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574" documentId="14_{BF77A4DB-2C0A-4862-9CC3-C64A3FB5C01D}" xr6:coauthVersionLast="47" xr6:coauthVersionMax="47" xr10:uidLastSave="{196C0E81-DE04-4C1D-8929-3176499D0F81}"/>
  <bookViews>
    <workbookView xWindow="28680" yWindow="870" windowWidth="29040" windowHeight="15720" xr2:uid="{FAB1A633-BA4D-4813-8605-DC3F4755D7C7}"/>
  </bookViews>
  <sheets>
    <sheet name="09_FOMD_metadata_extraction_lon" sheetId="2" r:id="rId1"/>
    <sheet name="09_FOMD_readme" sheetId="8" r:id="rId2"/>
    <sheet name="REMOVED" sheetId="4" r:id="rId3"/>
  </sheets>
  <externalReferences>
    <externalReference r:id="rId4"/>
    <externalReference r:id="rId5"/>
  </externalReferences>
  <definedNames>
    <definedName name="_xlnm._FilterDatabase" localSheetId="1" hidden="1">'09_FOMD_readme'!$A$7:$O$206</definedName>
    <definedName name="AnimalsList">[1]breeds_lookup!$A$1:$O$1</definedName>
    <definedName name="CountryList">[1]sites_lookup!$A$1:$IA$1</definedName>
    <definedName name="CropList">[1]variety_lookups!$A$1:$EL$1</definedName>
    <definedName name="Till.Code.Base">[2]!Till.Code.Base1[Tillage Codes]</definedName>
    <definedName name="tree.latin.name">'[1]01_trees'!$B$2:$B$218</definedName>
    <definedName name="trees">'[1]01_trees'!$B1048575:$B9997</definedName>
    <definedName name="W.Type">[2]!W.Type1[W.Type]</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W182" i="4" l="1"/>
  <c r="JQ182" i="4"/>
  <c r="JR182" i="4"/>
  <c r="JS182" i="4"/>
  <c r="MZ182" i="4"/>
  <c r="AW183" i="4"/>
  <c r="JQ183" i="4"/>
  <c r="JR183" i="4"/>
  <c r="JS183" i="4"/>
  <c r="MZ183" i="4"/>
  <c r="AW184" i="4"/>
  <c r="JQ184" i="4"/>
  <c r="JR184" i="4"/>
  <c r="JS184" i="4"/>
  <c r="MZ184" i="4"/>
  <c r="AW185" i="4"/>
  <c r="JQ185" i="4"/>
  <c r="JR185" i="4"/>
  <c r="JS185" i="4"/>
  <c r="MZ185" i="4"/>
  <c r="AW186" i="4"/>
  <c r="JQ186" i="4"/>
  <c r="JR186" i="4"/>
  <c r="JS186" i="4"/>
  <c r="MZ186" i="4"/>
  <c r="AW187" i="4"/>
  <c r="JQ187" i="4"/>
  <c r="JR187" i="4"/>
  <c r="JS187" i="4"/>
  <c r="MZ187" i="4"/>
  <c r="AW188" i="4"/>
  <c r="JQ188" i="4"/>
  <c r="JR188" i="4"/>
  <c r="JS188" i="4"/>
  <c r="MZ188" i="4"/>
  <c r="AW189" i="4"/>
  <c r="JQ189" i="4"/>
  <c r="JR189" i="4"/>
  <c r="JS189" i="4"/>
  <c r="MZ189" i="4"/>
  <c r="JS854" i="2"/>
  <c r="JS853" i="2"/>
  <c r="JS852" i="2"/>
  <c r="JS842" i="2"/>
  <c r="JS841" i="2"/>
  <c r="JS840" i="2"/>
  <c r="JS830" i="2"/>
  <c r="JS829" i="2"/>
  <c r="JS828" i="2"/>
  <c r="JS818" i="2"/>
  <c r="JS817" i="2"/>
  <c r="JS816" i="2"/>
  <c r="JS806" i="2"/>
  <c r="JS805" i="2"/>
  <c r="JS804" i="2"/>
  <c r="JS794" i="2"/>
  <c r="JS793" i="2"/>
  <c r="JS792" i="2"/>
  <c r="JS782" i="2"/>
  <c r="JS781" i="2"/>
  <c r="JS780" i="2"/>
  <c r="JQ851" i="2"/>
  <c r="JQ850" i="2"/>
  <c r="JQ849" i="2"/>
  <c r="JQ848" i="2"/>
  <c r="JQ839" i="2"/>
  <c r="JQ838" i="2"/>
  <c r="JQ837" i="2"/>
  <c r="JQ836" i="2"/>
  <c r="JQ827" i="2"/>
  <c r="JQ826" i="2"/>
  <c r="JQ825" i="2"/>
  <c r="JQ824" i="2"/>
  <c r="JQ815" i="2"/>
  <c r="JQ814" i="2"/>
  <c r="JQ813" i="2"/>
  <c r="JQ812" i="2"/>
  <c r="JQ803" i="2"/>
  <c r="JQ802" i="2"/>
  <c r="JQ801" i="2"/>
  <c r="JQ800" i="2"/>
  <c r="JQ791" i="2"/>
  <c r="JQ790" i="2"/>
  <c r="JQ789" i="2"/>
  <c r="JQ788" i="2"/>
  <c r="JQ779" i="2"/>
  <c r="JQ778" i="2"/>
  <c r="JQ777" i="2"/>
  <c r="JQ776" i="2"/>
  <c r="JQ846" i="2"/>
  <c r="JQ834" i="2"/>
  <c r="JQ822" i="2"/>
  <c r="JQ810" i="2"/>
  <c r="JQ798" i="2"/>
  <c r="JQ786" i="2"/>
  <c r="JQ774" i="2"/>
  <c r="JQ845" i="2"/>
  <c r="JQ833" i="2"/>
  <c r="JQ821" i="2"/>
  <c r="JQ809" i="2"/>
  <c r="JQ797" i="2"/>
  <c r="JQ785" i="2"/>
  <c r="JQ773" i="2"/>
  <c r="JQ772" i="2"/>
  <c r="JQ847" i="2"/>
  <c r="JQ835" i="2"/>
  <c r="JQ823" i="2"/>
  <c r="JQ811" i="2"/>
  <c r="JQ799" i="2"/>
  <c r="JQ787" i="2"/>
  <c r="JQ775" i="2"/>
  <c r="KQ855" i="2" l="1"/>
  <c r="KQ843" i="2"/>
  <c r="KQ831" i="2"/>
  <c r="KQ819" i="2"/>
  <c r="KQ807" i="2"/>
  <c r="KQ795" i="2"/>
  <c r="KQ783" i="2"/>
  <c r="KQ850" i="2"/>
  <c r="KQ849" i="2"/>
  <c r="KQ838" i="2"/>
  <c r="KQ837" i="2"/>
  <c r="KQ826" i="2"/>
  <c r="KQ825" i="2"/>
  <c r="KQ814" i="2"/>
  <c r="KQ813" i="2"/>
  <c r="KQ802" i="2"/>
  <c r="KQ801" i="2"/>
  <c r="KQ790" i="2"/>
  <c r="KQ789" i="2"/>
  <c r="KQ778" i="2"/>
  <c r="KQ777" i="2"/>
  <c r="KQ847" i="2"/>
  <c r="KQ835" i="2"/>
  <c r="KQ823" i="2"/>
  <c r="KQ811" i="2"/>
  <c r="KQ799" i="2"/>
  <c r="KQ787" i="2"/>
  <c r="KQ775" i="2"/>
  <c r="KQ846" i="2"/>
  <c r="KQ834" i="2"/>
  <c r="KQ822" i="2"/>
  <c r="KQ810" i="2"/>
  <c r="KQ798" i="2"/>
  <c r="KQ786" i="2"/>
  <c r="KQ774" i="2"/>
  <c r="KQ845" i="2"/>
  <c r="KQ833" i="2"/>
  <c r="KQ821" i="2"/>
  <c r="KQ809" i="2"/>
  <c r="KQ797" i="2"/>
  <c r="KQ785" i="2"/>
  <c r="KQ773" i="2"/>
  <c r="KM891" i="2" l="1"/>
  <c r="KM890" i="2"/>
  <c r="KM889" i="2"/>
  <c r="KM888" i="2"/>
  <c r="KM880" i="2"/>
  <c r="KM879" i="2"/>
  <c r="KM878" i="2"/>
  <c r="KM877" i="2"/>
  <c r="KM873" i="2"/>
  <c r="KM872" i="2"/>
  <c r="KM871" i="2"/>
  <c r="KM870" i="2"/>
  <c r="KM866" i="2"/>
  <c r="KM865" i="2"/>
  <c r="KM864" i="2"/>
  <c r="KM863" i="2"/>
  <c r="KM859" i="2"/>
  <c r="KM858" i="2"/>
  <c r="KM857" i="2"/>
  <c r="KM856" i="2"/>
  <c r="AW855" i="2"/>
  <c r="AW854" i="2"/>
  <c r="AW853" i="2"/>
  <c r="AW852" i="2"/>
  <c r="AW851" i="2"/>
  <c r="AW850" i="2"/>
  <c r="AW849" i="2"/>
  <c r="AW848" i="2"/>
  <c r="AW847" i="2"/>
  <c r="AW846" i="2"/>
  <c r="AW845" i="2"/>
  <c r="AW844" i="2"/>
  <c r="AW843" i="2"/>
  <c r="AW842" i="2"/>
  <c r="AW841" i="2"/>
  <c r="AW840" i="2"/>
  <c r="AW839" i="2"/>
  <c r="AW838" i="2"/>
  <c r="AW837" i="2"/>
  <c r="AW836" i="2"/>
  <c r="AW835" i="2"/>
  <c r="AW834" i="2"/>
  <c r="AW833" i="2"/>
  <c r="AW832" i="2"/>
  <c r="AW831" i="2"/>
  <c r="AW830" i="2"/>
  <c r="AW829" i="2"/>
  <c r="AW828" i="2"/>
  <c r="AW827" i="2"/>
  <c r="AW826" i="2"/>
  <c r="AW825" i="2"/>
  <c r="AW824" i="2"/>
  <c r="AW823" i="2"/>
  <c r="AW822" i="2"/>
  <c r="AW821" i="2"/>
  <c r="AW820" i="2"/>
  <c r="AW819" i="2"/>
  <c r="AW818" i="2"/>
  <c r="AW817" i="2"/>
  <c r="AW816" i="2"/>
  <c r="AW815" i="2"/>
  <c r="AW814" i="2"/>
  <c r="AW813" i="2"/>
  <c r="AW812" i="2"/>
  <c r="AW811" i="2"/>
  <c r="AW810" i="2"/>
  <c r="AW809" i="2"/>
  <c r="AW808" i="2"/>
  <c r="AW807" i="2"/>
  <c r="AW806" i="2"/>
  <c r="AW805" i="2"/>
  <c r="AW804" i="2"/>
  <c r="AW803" i="2"/>
  <c r="AW802" i="2"/>
  <c r="AW801" i="2"/>
  <c r="AW800" i="2"/>
  <c r="AW799" i="2"/>
  <c r="AW798" i="2"/>
  <c r="AW797" i="2"/>
  <c r="AW796" i="2"/>
  <c r="AW795" i="2"/>
  <c r="AW794" i="2"/>
  <c r="AW793" i="2"/>
  <c r="AW792" i="2"/>
  <c r="AW791" i="2"/>
  <c r="AW790" i="2"/>
  <c r="AW789" i="2"/>
  <c r="AW788" i="2"/>
  <c r="AW787" i="2"/>
  <c r="AW786" i="2"/>
  <c r="AW785" i="2"/>
  <c r="AW784" i="2"/>
  <c r="AW783" i="2"/>
  <c r="AW782" i="2"/>
  <c r="AW781" i="2"/>
  <c r="AW780" i="2"/>
  <c r="AW779" i="2"/>
  <c r="AW778" i="2"/>
  <c r="AW777" i="2"/>
  <c r="AW776" i="2"/>
  <c r="AW775" i="2"/>
  <c r="AW774" i="2"/>
  <c r="AW773" i="2"/>
  <c r="AW772" i="2"/>
  <c r="NW605" i="2"/>
  <c r="NW601" i="2"/>
  <c r="NW603" i="2"/>
  <c r="NW604" i="2"/>
  <c r="NW602" i="2"/>
  <c r="NW607" i="2"/>
  <c r="NW60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 Steward</author>
    <author>tc={02A9049C-ECDE-4BF0-94C1-6E1C6AD4BC06}</author>
    <author>tc={C77A97F7-3253-49A5-A0FD-E0B39BEED886}</author>
    <author>tc={8FF46DCE-5AEE-4AB8-9C83-4D4E11971B83}</author>
  </authors>
  <commentList>
    <comment ref="J7" authorId="0" shapeId="0" xr:uid="{04D4E3C8-58F0-4D04-8771-0AFCEB308480}">
      <text>
        <r>
          <rPr>
            <b/>
            <sz val="9"/>
            <color indexed="81"/>
            <rFont val="Tahoma"/>
            <family val="2"/>
          </rPr>
          <t>Corresponding name for the field in the ontology or thesaurus</t>
        </r>
      </text>
    </comment>
    <comment ref="K7" authorId="0" shapeId="0" xr:uid="{37550568-8600-4A4A-BA9D-976814AAC4C1}">
      <text>
        <r>
          <rPr>
            <sz val="9"/>
            <color indexed="81"/>
            <rFont val="Tahoma"/>
            <family val="2"/>
          </rPr>
          <t xml:space="preserve">Link to concept in the ontology or thesaurus
</t>
        </r>
      </text>
    </comment>
    <comment ref="E26" authorId="1" shapeId="0" xr:uid="{02A9049C-ECDE-4BF0-94C1-6E1C6AD4BC06}">
      <text>
        <t>[Threaded comment]
Your version of Excel allows you to read this threaded comment; however, any edits to it will get removed if the file is opened in a newer version of Excel. Learn more: https://go.microsoft.com/fwlink/?linkid=870924
Comment:
    For me it is not clear what should we put here. Ask Namita or Lolita</t>
      </text>
    </comment>
    <comment ref="E47" authorId="0" shapeId="0" xr:uid="{C4DE0009-17BF-48FD-A6D7-1B2A1E707C60}">
      <text>
        <r>
          <rPr>
            <b/>
            <sz val="9"/>
            <color indexed="81"/>
            <rFont val="Tahoma"/>
            <family val="2"/>
          </rPr>
          <t>Rather vague field that needs better definition</t>
        </r>
      </text>
    </comment>
    <comment ref="E156" authorId="2" shapeId="0" xr:uid="{C77A97F7-3253-49A5-A0FD-E0B39BEED886}">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E161" authorId="3" shapeId="0" xr:uid="{8FF46DCE-5AEE-4AB8-9C83-4D4E11971B83}">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H168" authorId="0" shapeId="0" xr:uid="{0AF977BC-0319-41E3-9578-011F1A973E55}">
      <text>
        <r>
          <rPr>
            <b/>
            <sz val="9"/>
            <color indexed="81"/>
            <rFont val="Tahoma"/>
            <family val="2"/>
          </rPr>
          <t>AGROVOC has concepts for this</t>
        </r>
      </text>
    </comment>
  </commentList>
</comments>
</file>

<file path=xl/sharedStrings.xml><?xml version="1.0" encoding="utf-8"?>
<sst xmlns="http://schemas.openxmlformats.org/spreadsheetml/2006/main" count="65371" uniqueCount="2652">
  <si>
    <t>ss_id</t>
  </si>
  <si>
    <t>study_id</t>
  </si>
  <si>
    <t>country01</t>
  </si>
  <si>
    <t>site_type01</t>
  </si>
  <si>
    <t>site_id01</t>
  </si>
  <si>
    <t>site_admin01</t>
  </si>
  <si>
    <t>site_agg01</t>
  </si>
  <si>
    <t>site_latlong_type01</t>
  </si>
  <si>
    <t>site_latitude01</t>
  </si>
  <si>
    <t>site_longitude01</t>
  </si>
  <si>
    <t>site_buffer01</t>
  </si>
  <si>
    <t>country02</t>
  </si>
  <si>
    <t>site_type02</t>
  </si>
  <si>
    <t>site_id02</t>
  </si>
  <si>
    <t>site_admin02</t>
  </si>
  <si>
    <t>site_agg02</t>
  </si>
  <si>
    <t>site_latlong_type02</t>
  </si>
  <si>
    <t>site_latitude02</t>
  </si>
  <si>
    <t>site_longitude02</t>
  </si>
  <si>
    <t>site_buffer02</t>
  </si>
  <si>
    <t>country03</t>
  </si>
  <si>
    <t>site_type03</t>
  </si>
  <si>
    <t>site_id03</t>
  </si>
  <si>
    <t>site_admin03</t>
  </si>
  <si>
    <t>site_agg03</t>
  </si>
  <si>
    <t>site_latlong_type03</t>
  </si>
  <si>
    <t>site_latitude03</t>
  </si>
  <si>
    <t>site_longitude03</t>
  </si>
  <si>
    <t>site_buffer03</t>
  </si>
  <si>
    <t>country04</t>
  </si>
  <si>
    <t>site_type04</t>
  </si>
  <si>
    <t>site_id04</t>
  </si>
  <si>
    <t>site_admin04</t>
  </si>
  <si>
    <t>site_agg04</t>
  </si>
  <si>
    <t>site_latlong_type04</t>
  </si>
  <si>
    <t>site_latitude04</t>
  </si>
  <si>
    <t>site_longitude04</t>
  </si>
  <si>
    <t>site_buffer04</t>
  </si>
  <si>
    <t>country05</t>
  </si>
  <si>
    <t>site_type05</t>
  </si>
  <si>
    <t>site_id05</t>
  </si>
  <si>
    <t>site_admin05</t>
  </si>
  <si>
    <t>site_agg05</t>
  </si>
  <si>
    <t>site_latlong_type05</t>
  </si>
  <si>
    <t>site_latitude05</t>
  </si>
  <si>
    <t>site_longitude05</t>
  </si>
  <si>
    <t>site_buffer05</t>
  </si>
  <si>
    <t>exp_design</t>
  </si>
  <si>
    <t>exp_plot_size</t>
  </si>
  <si>
    <t>exp_field_size</t>
  </si>
  <si>
    <t>exp_duration</t>
  </si>
  <si>
    <t>time_raw</t>
  </si>
  <si>
    <t>time_year_start</t>
  </si>
  <si>
    <t>time_year_end</t>
  </si>
  <si>
    <t>time_season</t>
  </si>
  <si>
    <t>subpractice_description_raw</t>
  </si>
  <si>
    <t>practice_id</t>
  </si>
  <si>
    <t>system_type</t>
  </si>
  <si>
    <t>crop01</t>
  </si>
  <si>
    <t>crop_variety01</t>
  </si>
  <si>
    <t>crop_density_unit01</t>
  </si>
  <si>
    <t>crop_density01</t>
  </si>
  <si>
    <t>crop_arrangement01</t>
  </si>
  <si>
    <t>crop02</t>
  </si>
  <si>
    <t>crop_variety02</t>
  </si>
  <si>
    <t>crop_density_unit02</t>
  </si>
  <si>
    <t>crop_density02</t>
  </si>
  <si>
    <t>crop_arrangement02</t>
  </si>
  <si>
    <t>crop03</t>
  </si>
  <si>
    <t>crop_variety03</t>
  </si>
  <si>
    <t>crop_density_unit03</t>
  </si>
  <si>
    <t>crop_density03</t>
  </si>
  <si>
    <t>crop_arrangement03</t>
  </si>
  <si>
    <t>crop04</t>
  </si>
  <si>
    <t>crop_variety04</t>
  </si>
  <si>
    <t>crop_density_unit04</t>
  </si>
  <si>
    <t>crop_density04</t>
  </si>
  <si>
    <t>crop_arrangement04</t>
  </si>
  <si>
    <t>crop05</t>
  </si>
  <si>
    <t>crop_variety05</t>
  </si>
  <si>
    <t>crop_density_unit05</t>
  </si>
  <si>
    <t>crop_density05</t>
  </si>
  <si>
    <t>crop_arrangement05</t>
  </si>
  <si>
    <t>crop06</t>
  </si>
  <si>
    <t>crop_variety06</t>
  </si>
  <si>
    <t>crop_density_unit06</t>
  </si>
  <si>
    <t>crop_density06</t>
  </si>
  <si>
    <t>crop_arrangement06</t>
  </si>
  <si>
    <t>crop07</t>
  </si>
  <si>
    <t>crop_variety07</t>
  </si>
  <si>
    <t>crop_density_unit07</t>
  </si>
  <si>
    <t>crop_density07</t>
  </si>
  <si>
    <t>crop_arrangement07</t>
  </si>
  <si>
    <t>crop08</t>
  </si>
  <si>
    <t>crop_variety08</t>
  </si>
  <si>
    <t>crop_density_unit08</t>
  </si>
  <si>
    <t>crop_density08</t>
  </si>
  <si>
    <t>crop_arrangement08</t>
  </si>
  <si>
    <t>crop09</t>
  </si>
  <si>
    <t>crop_variety09</t>
  </si>
  <si>
    <t>crop_density_unit09</t>
  </si>
  <si>
    <t>crop_density09</t>
  </si>
  <si>
    <t>crop_arrangement09</t>
  </si>
  <si>
    <t>crop10</t>
  </si>
  <si>
    <t>crop_variety10</t>
  </si>
  <si>
    <t>crop_density_unit10</t>
  </si>
  <si>
    <t>crop_density10</t>
  </si>
  <si>
    <t>crop_arrangement10</t>
  </si>
  <si>
    <t>crop11</t>
  </si>
  <si>
    <t>crop_variety11</t>
  </si>
  <si>
    <t>crop_density_unit11</t>
  </si>
  <si>
    <t>crop_density11</t>
  </si>
  <si>
    <t>crop_arrangement11</t>
  </si>
  <si>
    <t>crop12</t>
  </si>
  <si>
    <t>crop_variety12</t>
  </si>
  <si>
    <t>crop_density_unit12</t>
  </si>
  <si>
    <t>crop_density12</t>
  </si>
  <si>
    <t>crop_arrangement12</t>
  </si>
  <si>
    <t>crop13</t>
  </si>
  <si>
    <t>crop_variety13</t>
  </si>
  <si>
    <t>crop_density_unit13</t>
  </si>
  <si>
    <t>crop_density13</t>
  </si>
  <si>
    <t>crop_arrangement13</t>
  </si>
  <si>
    <t>crop14</t>
  </si>
  <si>
    <t>crop_variety14</t>
  </si>
  <si>
    <t>crop_density_unit14</t>
  </si>
  <si>
    <t>crop_density14</t>
  </si>
  <si>
    <t>crop_arrangement14</t>
  </si>
  <si>
    <t>crop15</t>
  </si>
  <si>
    <t>crop_variety15</t>
  </si>
  <si>
    <t>crop_density_unit15</t>
  </si>
  <si>
    <t>crop_density15</t>
  </si>
  <si>
    <t>crop_arrangement15</t>
  </si>
  <si>
    <t>tree01</t>
  </si>
  <si>
    <t>tree_density_unit01</t>
  </si>
  <si>
    <t>tree_density01</t>
  </si>
  <si>
    <t>tree_arrangement01</t>
  </si>
  <si>
    <t>tree02</t>
  </si>
  <si>
    <t>tree_density_unit02</t>
  </si>
  <si>
    <t>tree_density02</t>
  </si>
  <si>
    <t>tree_arrangement02</t>
  </si>
  <si>
    <t>tree03</t>
  </si>
  <si>
    <t>tree_density_unit03</t>
  </si>
  <si>
    <t>tree_density03</t>
  </si>
  <si>
    <t>tree_arrangement03</t>
  </si>
  <si>
    <t>tree04</t>
  </si>
  <si>
    <t>tree_density_unit04</t>
  </si>
  <si>
    <t>tree_density04</t>
  </si>
  <si>
    <t>tree_arrangement04</t>
  </si>
  <si>
    <t>tree05</t>
  </si>
  <si>
    <t>tree_density_unit05</t>
  </si>
  <si>
    <t>tree_density05</t>
  </si>
  <si>
    <t>tree_arrangement05</t>
  </si>
  <si>
    <t>tree06</t>
  </si>
  <si>
    <t>tree_density_unit06</t>
  </si>
  <si>
    <t>tree_density06</t>
  </si>
  <si>
    <t>tree_arrangement06</t>
  </si>
  <si>
    <t>tree07</t>
  </si>
  <si>
    <t>tree_density_unit07</t>
  </si>
  <si>
    <t>tree_density07</t>
  </si>
  <si>
    <t>tree_arrangement07</t>
  </si>
  <si>
    <t>tree08</t>
  </si>
  <si>
    <t>tree_density_unit08</t>
  </si>
  <si>
    <t>tree_density08</t>
  </si>
  <si>
    <t>tree_arrangement08</t>
  </si>
  <si>
    <t>tree09</t>
  </si>
  <si>
    <t>tree_density_unit09</t>
  </si>
  <si>
    <t>tree_density09</t>
  </si>
  <si>
    <t>tree_arrangement09</t>
  </si>
  <si>
    <t>tree10</t>
  </si>
  <si>
    <t>tree_density_unit10</t>
  </si>
  <si>
    <t>tree_density10</t>
  </si>
  <si>
    <t>tree_arrangement10</t>
  </si>
  <si>
    <t>tree11</t>
  </si>
  <si>
    <t>tree_density_unit11</t>
  </si>
  <si>
    <t>tree_density11</t>
  </si>
  <si>
    <t>tree_arrangement11</t>
  </si>
  <si>
    <t>tree12</t>
  </si>
  <si>
    <t>tree_density_unit12</t>
  </si>
  <si>
    <t>tree_density12</t>
  </si>
  <si>
    <t>tree_arrangement12</t>
  </si>
  <si>
    <t>tree13</t>
  </si>
  <si>
    <t>tree_density_unit13</t>
  </si>
  <si>
    <t>tree_density13</t>
  </si>
  <si>
    <t>tree_arrangement13</t>
  </si>
  <si>
    <t>tree14</t>
  </si>
  <si>
    <t>tree_density_unit14</t>
  </si>
  <si>
    <t>tree_density14</t>
  </si>
  <si>
    <t>tree_arrangement14</t>
  </si>
  <si>
    <t>tree15</t>
  </si>
  <si>
    <t>tree_density_unit15</t>
  </si>
  <si>
    <t>tree_density15</t>
  </si>
  <si>
    <t>tree_arrangement15</t>
  </si>
  <si>
    <t>animal01</t>
  </si>
  <si>
    <t>animal_breed01</t>
  </si>
  <si>
    <t>animal_density_unit01</t>
  </si>
  <si>
    <t>animal_density01</t>
  </si>
  <si>
    <t>animal_arrangement01</t>
  </si>
  <si>
    <t>animal02</t>
  </si>
  <si>
    <t>animal_breed02</t>
  </si>
  <si>
    <t>animal_density_unit02</t>
  </si>
  <si>
    <t>animal_density02</t>
  </si>
  <si>
    <t>animal_arrangement02</t>
  </si>
  <si>
    <t>animal03</t>
  </si>
  <si>
    <t>animal_breed03</t>
  </si>
  <si>
    <t>animal_density_unit03</t>
  </si>
  <si>
    <t>animal_density03</t>
  </si>
  <si>
    <t>animal_arrangement03</t>
  </si>
  <si>
    <t>animal04</t>
  </si>
  <si>
    <t>animal_breed04</t>
  </si>
  <si>
    <t>animal_density_unit04</t>
  </si>
  <si>
    <t>animal_density04</t>
  </si>
  <si>
    <t>animal_arrangement04</t>
  </si>
  <si>
    <t>animal05</t>
  </si>
  <si>
    <t>animal_breed05</t>
  </si>
  <si>
    <t>animal_density_unit05</t>
  </si>
  <si>
    <t>animal_density05</t>
  </si>
  <si>
    <t>animal_arrangement05</t>
  </si>
  <si>
    <t>tillage_subpractice_raw</t>
  </si>
  <si>
    <t>tillage_subpractice</t>
  </si>
  <si>
    <t>tillage_method</t>
  </si>
  <si>
    <t>tillage_method_other</t>
  </si>
  <si>
    <t>tillage_depth</t>
  </si>
  <si>
    <t>tillage_frequency</t>
  </si>
  <si>
    <t>planting_subpractice_raw</t>
  </si>
  <si>
    <t>planting_subpractice</t>
  </si>
  <si>
    <t>planting_method</t>
  </si>
  <si>
    <t>planting_date_start</t>
  </si>
  <si>
    <t>planting_date_end</t>
  </si>
  <si>
    <t>varietal_crop_subpractice_raw</t>
  </si>
  <si>
    <t>varietal_crop_name</t>
  </si>
  <si>
    <t>varietal_crop_variety</t>
  </si>
  <si>
    <t>varietal_crop_subpractice</t>
  </si>
  <si>
    <t>varietal_crop_type</t>
  </si>
  <si>
    <t>varietal_crop_trait</t>
  </si>
  <si>
    <t>varietal_animal_subpractice_raw</t>
  </si>
  <si>
    <t>varietal_animal_name</t>
  </si>
  <si>
    <t>varietal_animal_breed</t>
  </si>
  <si>
    <t>varietal_animal_subpractice</t>
  </si>
  <si>
    <t>varietal_animal_type</t>
  </si>
  <si>
    <t>varietal_animal_trait</t>
  </si>
  <si>
    <t>intercrop_subpractice_raw</t>
  </si>
  <si>
    <t>intercrop_subpractice</t>
  </si>
  <si>
    <t>intercrop_design</t>
  </si>
  <si>
    <t>intercrop_pattern</t>
  </si>
  <si>
    <t>intercrop_start_year</t>
  </si>
  <si>
    <t>intercrop_start_season</t>
  </si>
  <si>
    <t>intercrop_residues_fate</t>
  </si>
  <si>
    <t>crop_seq_subpractice_raw</t>
  </si>
  <si>
    <t>crop_seq_subpractice01</t>
  </si>
  <si>
    <t>crop_seq_subpractice02</t>
  </si>
  <si>
    <t>crop_seq_subpractice03</t>
  </si>
  <si>
    <t>crop_seq_start_year</t>
  </si>
  <si>
    <t>crop_seq_start_season</t>
  </si>
  <si>
    <t>crop_seq_residues_fate</t>
  </si>
  <si>
    <t>agrof_subpractice_raw</t>
  </si>
  <si>
    <t>agrof_spatial_arrangement_subpractice</t>
  </si>
  <si>
    <t>agrof_components_subpractice</t>
  </si>
  <si>
    <t>agrof_shade_subpractice</t>
  </si>
  <si>
    <t>agrof_subpractice_age_years</t>
  </si>
  <si>
    <t>agrof_shade_mean</t>
  </si>
  <si>
    <t>agrof_shade_min</t>
  </si>
  <si>
    <t>agrof_shade_max</t>
  </si>
  <si>
    <t>agrof_canopy_height_mean</t>
  </si>
  <si>
    <t>agrof_canopy_height_min</t>
  </si>
  <si>
    <t>agrof_canopy_height_max</t>
  </si>
  <si>
    <t>agrof_dhb_mean</t>
  </si>
  <si>
    <t>agrof_dhb_min</t>
  </si>
  <si>
    <t>agrof_dhb_max</t>
  </si>
  <si>
    <t>fert_subpractice_raw</t>
  </si>
  <si>
    <t>fert_subpractice</t>
  </si>
  <si>
    <t>fert_inorganic_category</t>
  </si>
  <si>
    <t>fert_inorganic_type</t>
  </si>
  <si>
    <t>fert_inorganic_unit</t>
  </si>
  <si>
    <t>fert_inorganic_amount</t>
  </si>
  <si>
    <t>fert_inorganicNPK_unit</t>
  </si>
  <si>
    <t>fert_inorganicN</t>
  </si>
  <si>
    <t>fert_inorganicP</t>
  </si>
  <si>
    <t>fert_inorganicK</t>
  </si>
  <si>
    <t>fert_inorganicP2O5</t>
  </si>
  <si>
    <t>fert_inorganicK2O</t>
  </si>
  <si>
    <t>fert_organic_category</t>
  </si>
  <si>
    <t>fert_organic_type</t>
  </si>
  <si>
    <t>fert_organic_unit</t>
  </si>
  <si>
    <t>fert_organic_amount</t>
  </si>
  <si>
    <t>fert_organicNPK_unit</t>
  </si>
  <si>
    <t>fert_organicN</t>
  </si>
  <si>
    <t>fert_organicP</t>
  </si>
  <si>
    <t>fert_organicK</t>
  </si>
  <si>
    <t>fert_organic_source</t>
  </si>
  <si>
    <t>weed_method_raw</t>
  </si>
  <si>
    <t>weed_method</t>
  </si>
  <si>
    <t>weed_frequency_unit</t>
  </si>
  <si>
    <t>weed_frequency</t>
  </si>
  <si>
    <t>chem_subpractice_raw</t>
  </si>
  <si>
    <t>chem_subpractice01</t>
  </si>
  <si>
    <t>chem_name01</t>
  </si>
  <si>
    <t>chem_unit01</t>
  </si>
  <si>
    <t>chem_amount01</t>
  </si>
  <si>
    <t>chem_subpractice02</t>
  </si>
  <si>
    <t>chem_name02</t>
  </si>
  <si>
    <t>chem_unit02</t>
  </si>
  <si>
    <t>chem_amount02</t>
  </si>
  <si>
    <t>chem_subpractice03</t>
  </si>
  <si>
    <t>chem_name03</t>
  </si>
  <si>
    <t>chem_unit03</t>
  </si>
  <si>
    <t>chem_amount03</t>
  </si>
  <si>
    <t>residues_subpractice_raw</t>
  </si>
  <si>
    <t>residues_subpractice01</t>
  </si>
  <si>
    <t>residues_subpractice02</t>
  </si>
  <si>
    <t>residues_subpractice03</t>
  </si>
  <si>
    <t>residues_subpractice04</t>
  </si>
  <si>
    <t>residues_OC_unit</t>
  </si>
  <si>
    <t>residues_OC</t>
  </si>
  <si>
    <t>residues_N_unit</t>
  </si>
  <si>
    <t>residues_N</t>
  </si>
  <si>
    <t>residues_P_unit</t>
  </si>
  <si>
    <t>residues_P</t>
  </si>
  <si>
    <t>residues_unit_K</t>
  </si>
  <si>
    <t>residues_K</t>
  </si>
  <si>
    <t>residues_tree</t>
  </si>
  <si>
    <t>residues_material</t>
  </si>
  <si>
    <t>residues_processing</t>
  </si>
  <si>
    <t>residues_material_source</t>
  </si>
  <si>
    <t>residues_material_unit</t>
  </si>
  <si>
    <t>residues_material_amount</t>
  </si>
  <si>
    <t>ph_subpractice_raw</t>
  </si>
  <si>
    <t>ph_subpractice</t>
  </si>
  <si>
    <t>ph_material_applied</t>
  </si>
  <si>
    <t>ph_material_unit</t>
  </si>
  <si>
    <t>ph_material_amount</t>
  </si>
  <si>
    <t>irrig_subpractice_raw</t>
  </si>
  <si>
    <t>irrig_subpractice</t>
  </si>
  <si>
    <t>irrig_method</t>
  </si>
  <si>
    <t>irrig_date_start</t>
  </si>
  <si>
    <t>irrig_date_end</t>
  </si>
  <si>
    <t>irrig_water_unit</t>
  </si>
  <si>
    <t>irrig_water_amount</t>
  </si>
  <si>
    <t>irrig_water_type</t>
  </si>
  <si>
    <t>watharv_subpractice_raw</t>
  </si>
  <si>
    <t>watharv_subpractice01</t>
  </si>
  <si>
    <t>watharv_subpractice02</t>
  </si>
  <si>
    <t>watharv_subpractice03</t>
  </si>
  <si>
    <t>watharv_subpractice04</t>
  </si>
  <si>
    <t>harvest_subpractice_raw</t>
  </si>
  <si>
    <t>harvest_subpractice</t>
  </si>
  <si>
    <t>harvest_date_start</t>
  </si>
  <si>
    <t>harvest_date_end</t>
  </si>
  <si>
    <t>harvest_days_after_planting</t>
  </si>
  <si>
    <t>postharvest_subpractice_raw</t>
  </si>
  <si>
    <t>postharvest_subpractice01</t>
  </si>
  <si>
    <t>postharvest_subpractice02</t>
  </si>
  <si>
    <t>postharvest_subpractice03</t>
  </si>
  <si>
    <t>postharvest_subpractice04</t>
  </si>
  <si>
    <t>postharvest_date_start</t>
  </si>
  <si>
    <t>postharvest_date_end</t>
  </si>
  <si>
    <t>postharvest_days_after_storage</t>
  </si>
  <si>
    <t>land_structure_subpractice_raw</t>
  </si>
  <si>
    <t>land_structure_subpractice</t>
  </si>
  <si>
    <t>land_structure_function</t>
  </si>
  <si>
    <t>land_structure_origin</t>
  </si>
  <si>
    <t>land_structure_manage</t>
  </si>
  <si>
    <t>out_exp_design</t>
  </si>
  <si>
    <t>out_exp_plot_size</t>
  </si>
  <si>
    <t>product_raw</t>
  </si>
  <si>
    <t>product01</t>
  </si>
  <si>
    <t>product02</t>
  </si>
  <si>
    <t>product03</t>
  </si>
  <si>
    <t>product04</t>
  </si>
  <si>
    <t>product05</t>
  </si>
  <si>
    <t>bio_func_group</t>
  </si>
  <si>
    <t>bio_ground_ref</t>
  </si>
  <si>
    <t>econ_inputs</t>
  </si>
  <si>
    <t>out_subindicator_raw</t>
  </si>
  <si>
    <t>out_subindicator_description_raw</t>
  </si>
  <si>
    <t>out_subindicator</t>
  </si>
  <si>
    <t>out_subindicator_unit</t>
  </si>
  <si>
    <t>out_soil_depth_l</t>
  </si>
  <si>
    <t>out_soil_depth_u</t>
  </si>
  <si>
    <t>out_npv_discount_rate</t>
  </si>
  <si>
    <t>out_npv_econ_period</t>
  </si>
  <si>
    <t>out_wg_start</t>
  </si>
  <si>
    <t>out_wg_start_unit</t>
  </si>
  <si>
    <t>out_wg_days</t>
  </si>
  <si>
    <t>out_comparison_treatment</t>
  </si>
  <si>
    <t>out_value_metric</t>
  </si>
  <si>
    <t>out_value</t>
  </si>
  <si>
    <t>out_var_metric</t>
  </si>
  <si>
    <t>out_var_value</t>
  </si>
  <si>
    <t>outc_var_value_l</t>
  </si>
  <si>
    <t>outc_var_value_u</t>
  </si>
  <si>
    <t>out_sample_size</t>
  </si>
  <si>
    <t>out_value_product01</t>
  </si>
  <si>
    <t>out_var_value_product01</t>
  </si>
  <si>
    <t>out_value_product02</t>
  </si>
  <si>
    <t>out_var_value_product02</t>
  </si>
  <si>
    <t>out_value_product03</t>
  </si>
  <si>
    <t>out_var_value_product03</t>
  </si>
  <si>
    <t>out_value_product04</t>
  </si>
  <si>
    <t>out_var_value_product04</t>
  </si>
  <si>
    <t>out_value_product05</t>
  </si>
  <si>
    <t>out_var_value_product05</t>
  </si>
  <si>
    <t>ler_value_product01</t>
  </si>
  <si>
    <t>ler_var_value_product01</t>
  </si>
  <si>
    <t>ler_value_product02</t>
  </si>
  <si>
    <t>ler_var_value_product_component02</t>
  </si>
  <si>
    <t>ler_value_product03</t>
  </si>
  <si>
    <t>ler_var_value_product03</t>
  </si>
  <si>
    <t>ler_value_total</t>
  </si>
  <si>
    <t>ler_var_total</t>
  </si>
  <si>
    <t>data_location</t>
  </si>
  <si>
    <t>out_agg_stat</t>
  </si>
  <si>
    <t>out_year</t>
  </si>
  <si>
    <t>out_year_start</t>
  </si>
  <si>
    <t>out_year_end</t>
  </si>
  <si>
    <t>out_season_start</t>
  </si>
  <si>
    <t>out_season_end</t>
  </si>
  <si>
    <t>extraction_person</t>
  </si>
  <si>
    <t>extraction_date</t>
  </si>
  <si>
    <t>extraction_obs</t>
  </si>
  <si>
    <t>checking_person</t>
  </si>
  <si>
    <t>checking_date</t>
  </si>
  <si>
    <t>checking_obs</t>
  </si>
  <si>
    <t>row_status</t>
  </si>
  <si>
    <t>id</t>
  </si>
  <si>
    <t>location</t>
  </si>
  <si>
    <t>experiment details</t>
  </si>
  <si>
    <t>experiment time</t>
  </si>
  <si>
    <t>practice</t>
  </si>
  <si>
    <t>commodity_product_component</t>
  </si>
  <si>
    <t>commodity_crop</t>
  </si>
  <si>
    <t>commodity: trees</t>
  </si>
  <si>
    <t>commodity: animal</t>
  </si>
  <si>
    <t>soil management: practice</t>
  </si>
  <si>
    <t>soil management: moderator</t>
  </si>
  <si>
    <t>planting: practice</t>
  </si>
  <si>
    <t>planting: moderator</t>
  </si>
  <si>
    <t>improved varieties: practice</t>
  </si>
  <si>
    <t>improved breeds: practice</t>
  </si>
  <si>
    <t>intercropping: practice</t>
  </si>
  <si>
    <t>intercropping: moderator</t>
  </si>
  <si>
    <t>crop sequence (crop rotation, fallow, green manure): practice</t>
  </si>
  <si>
    <t>crop sequence (crop rotation, fallow, green manure): moderator</t>
  </si>
  <si>
    <t>agroforestry: practice</t>
  </si>
  <si>
    <t>agroforestry: moderator</t>
  </si>
  <si>
    <t>nutrient management: practice</t>
  </si>
  <si>
    <t>nutrient management: moderator</t>
  </si>
  <si>
    <t>weeding management: practice. This section is for physical weeding only, herbicides application should be noted under the chemicals columns.</t>
  </si>
  <si>
    <t>weeding management: moderator. This section is for physical weeding only, herbicides application should be noted under the chemicals columns.</t>
  </si>
  <si>
    <t>chemical management: practice</t>
  </si>
  <si>
    <t>chemical management: moderator</t>
  </si>
  <si>
    <t>Mulches, residues, prunning: practice</t>
  </si>
  <si>
    <t>Mulches, residues, prunning: moderator</t>
  </si>
  <si>
    <t>pH ammendment: practice</t>
  </si>
  <si>
    <t>pH ammendment: moderator</t>
  </si>
  <si>
    <t>irrigation: practice</t>
  </si>
  <si>
    <t>irrigation: moderator</t>
  </si>
  <si>
    <t>water harvesting: practice</t>
  </si>
  <si>
    <t>harvest: practice</t>
  </si>
  <si>
    <t>harvest: moderator</t>
  </si>
  <si>
    <t>postharvesting: practice</t>
  </si>
  <si>
    <t>postharvesting: moderator</t>
  </si>
  <si>
    <t>landscape_management</t>
  </si>
  <si>
    <t>outcome experimental design</t>
  </si>
  <si>
    <t>product/taxa of outcome</t>
  </si>
  <si>
    <t>input_outcome</t>
  </si>
  <si>
    <t>outcome</t>
  </si>
  <si>
    <t>outcome value</t>
  </si>
  <si>
    <t>outcome year</t>
  </si>
  <si>
    <t>MA_Sanch_22_Finan_Ec</t>
  </si>
  <si>
    <t>JA_Mutsa_20_Forag_NJ</t>
  </si>
  <si>
    <t>Zimbabwe</t>
  </si>
  <si>
    <t>Farmer Managed</t>
  </si>
  <si>
    <t>Murehwa</t>
  </si>
  <si>
    <t>District</t>
  </si>
  <si>
    <t>No</t>
  </si>
  <si>
    <t>Original</t>
  </si>
  <si>
    <t>-17.71666667</t>
  </si>
  <si>
    <t>31.65</t>
  </si>
  <si>
    <t>The experiment was laid out in a randomized complete block design and was run at eight farmer’s ﬁelds for three seasons from 2012/ 13–2014/15. Prior to the experiment, all ﬁelds were under conventional mouldboard tillage (CT) and had maize during the 2011/12 season. Each farmer was treated as a replicate with a set of six treatments testing ﬁve cropping systems where one system was CT and the other four systems were under CA. The six treatments were:</t>
  </si>
  <si>
    <t>Unspecified</t>
  </si>
  <si>
    <t>2012/13-2014/15 no manure</t>
  </si>
  <si>
    <t>ii CA + sole maize continuous (F only)</t>
  </si>
  <si>
    <t>C2</t>
  </si>
  <si>
    <t>cropland</t>
  </si>
  <si>
    <t>Maize</t>
  </si>
  <si>
    <t>plants/ha</t>
  </si>
  <si>
    <t xml:space="preserve">conservation agriculture (CA): Conservation agriculture (CA) which is premised on three main principles namely minimal soil disturbance, crop rotations and mulching is being promoted as a potential solution to declining soil productivity. </t>
  </si>
  <si>
    <t>No or Zero Tillage</t>
  </si>
  <si>
    <t>An animal drawn Fitarelli direct seeder (Brazilian made) was used  for opening planting furrows</t>
  </si>
  <si>
    <t>Direct-seeding Planter</t>
  </si>
  <si>
    <t>Maize monoculture</t>
  </si>
  <si>
    <t>Monoculture</t>
  </si>
  <si>
    <t xml:space="preserve">basal fertiliser (compound D) </t>
  </si>
  <si>
    <t>Inorganic Fertilizer</t>
  </si>
  <si>
    <t>Inorganic</t>
  </si>
  <si>
    <t>Compound D..Ammonium Nitrate</t>
  </si>
  <si>
    <t>kg/ha..kg/ha</t>
  </si>
  <si>
    <t>240..200</t>
  </si>
  <si>
    <t>Glyphosate (480 g l-1 active ingredient) at 2.5 l ha-1 soon after planting and there-after weeding was done manually using hand hoes.</t>
  </si>
  <si>
    <t>Hand Hoe</t>
  </si>
  <si>
    <t>Herbicide</t>
  </si>
  <si>
    <t>glyphosate</t>
  </si>
  <si>
    <t>l/ha</t>
  </si>
  <si>
    <t>No Insecticide Applied</t>
  </si>
  <si>
    <t>Hypharennia grass was applied as mulch at 2.5 t ha-1 in CA treatments at the beginning of each rainy season.</t>
  </si>
  <si>
    <t>Mulch (Non N fixing)</t>
  </si>
  <si>
    <t>Hyparrhenia Grass Species</t>
  </si>
  <si>
    <t>kg/ha</t>
  </si>
  <si>
    <t>Maize, cowpea and mucuna grain and stover (biomass) yields were measured from net plots (area) of 2 rows x 5 m long whilst the net plots for groundnuts and soybeans consisted of four rows that were 5 m long. Six net plots were harvested per each main treatment. Maize grain yield was adjusted to 12.5 % moisture content and expressed to a hectare basis.</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</si>
  <si>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</si>
  <si>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Maize Stover</t>
  </si>
  <si>
    <t>Inorganic Fertilizer..Seeds..Labor Cost..Organic Mulch..Herbicides</t>
  </si>
  <si>
    <t xml:space="preserve">Gross margin/ha (USD). </t>
  </si>
  <si>
    <t>The proﬁtability of the cropping systems was determined using the gross margin analysis as: Gross Margin = Total Revenue - Total Input Costs. 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 Input costs included cost of inputs such as inorganic and organic fertilizers, seeds, pesticides, labour manure, mulching grass and herbicides. Labour was estimated at $3/labour day. The costs of inputs per hectare were obtained from actual costs/receipted prices during purchasing period (Table 2). 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</si>
  <si>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Gross Margin</t>
  </si>
  <si>
    <t>USD/ha</t>
  </si>
  <si>
    <t>T1..T2..T3..T4</t>
  </si>
  <si>
    <t>Mean</t>
  </si>
  <si>
    <t xml:space="preserve"> 588.8324873096444</t>
  </si>
  <si>
    <t>SE (Standard Error)</t>
  </si>
  <si>
    <t>Fig 3a</t>
  </si>
  <si>
    <t>AS</t>
  </si>
  <si>
    <t>i CT + sole maize continuous (F only)</t>
  </si>
  <si>
    <t>C1</t>
  </si>
  <si>
    <t>conventional mouldboard tillage (CT): ox-drawn mouldboard plough</t>
  </si>
  <si>
    <t>Conventional Tillage</t>
  </si>
  <si>
    <t>Ox-drawn Mouldboard Plough</t>
  </si>
  <si>
    <t>In CT treatment, all weeding operations were done manually using a hand hoe.</t>
  </si>
  <si>
    <t>No Glyphosate added</t>
  </si>
  <si>
    <t>No Herbicide Applied</t>
  </si>
  <si>
    <t>No mulch Applied</t>
  </si>
  <si>
    <t>Inorganic Fertilizer..Seeds..Labor Cost..Herbicides</t>
  </si>
  <si>
    <t>C2..T1..T2..T3..T4</t>
  </si>
  <si>
    <t xml:space="preserve"> 578.6802030456851</t>
  </si>
  <si>
    <t>iii CA + maize + cowpea intercropping (F only)</t>
  </si>
  <si>
    <t>T1</t>
  </si>
  <si>
    <t>-</t>
  </si>
  <si>
    <t>Cowpea</t>
  </si>
  <si>
    <t>Direct-seeding Planter..Hand hoes</t>
  </si>
  <si>
    <t>cowpeas were relayed in between maize rows</t>
  </si>
  <si>
    <t>Relay Green Manure (N fixing and Non N fixing)</t>
  </si>
  <si>
    <t>Additive</t>
  </si>
  <si>
    <t>Row</t>
  </si>
  <si>
    <t>Removed</t>
  </si>
  <si>
    <t>Insecticide</t>
  </si>
  <si>
    <t>carbaryl</t>
  </si>
  <si>
    <t>Total Revenue = [(Ylegume × P)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</si>
  <si>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Maize Grain</t>
  </si>
  <si>
    <t>Cowpea Dried</t>
  </si>
  <si>
    <t>Inorganic Fertilizer..Seeds..Pesticides...Labor Cost..Organic Mulch..Herbicides</t>
  </si>
  <si>
    <t xml:space="preserve"> 639.5939086294416</t>
  </si>
  <si>
    <t>vi CA + soybean/groundnut + maize rotation (legume phase)  (F only)</t>
  </si>
  <si>
    <t>T4</t>
  </si>
  <si>
    <t>Soybean</t>
  </si>
  <si>
    <t>/</t>
  </si>
  <si>
    <t>Groundnut or Peanut</t>
  </si>
  <si>
    <t>Crop rotation</t>
  </si>
  <si>
    <t>Rotation (N fixing and Non N fixing)</t>
  </si>
  <si>
    <t>Compound D..Ammonium Nitrate..Gypsum</t>
  </si>
  <si>
    <t>kg/ha..kg/ha..Unspecified</t>
  </si>
  <si>
    <t>240..200..Unspecified</t>
  </si>
  <si>
    <t>Rhizobium leguminosarium</t>
  </si>
  <si>
    <t>Soybean Dried</t>
  </si>
  <si>
    <t xml:space="preserve"> 720.8121827411165</t>
  </si>
  <si>
    <t>iv CA + maize + mucuna intercropping (F only)</t>
  </si>
  <si>
    <t>T2</t>
  </si>
  <si>
    <t>Velvet Bean, Mucuna</t>
  </si>
  <si>
    <t>Mucuna were relayed in between maize rows</t>
  </si>
  <si>
    <t>Mucuna pruriens Dried</t>
  </si>
  <si>
    <t xml:space="preserve"> 1385.786802030457</t>
  </si>
  <si>
    <t>v CA + maize + soybean/groundnut rotation (maize phase)  (F only)</t>
  </si>
  <si>
    <t>T3</t>
  </si>
  <si>
    <t>Rotation (Non N fixing)</t>
  </si>
  <si>
    <t>basal fertiliser (compound D). Soybean seed was inoculated with rhizobia just before planting.</t>
  </si>
  <si>
    <t xml:space="preserve"> 487.30964467005066</t>
  </si>
  <si>
    <t>2014/15 season</t>
  </si>
  <si>
    <t>531.496063</t>
  </si>
  <si>
    <t>255.905512</t>
  </si>
  <si>
    <t>Fig 3b</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</si>
  <si>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</si>
  <si>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Gross margin/ha (USD)</t>
  </si>
  <si>
    <t>393.700787</t>
  </si>
  <si>
    <t>236.220472</t>
  </si>
  <si>
    <t>Nitrogen ﬁxation</t>
  </si>
  <si>
    <t>629.92126</t>
  </si>
  <si>
    <t>216.535433</t>
  </si>
  <si>
    <t>2086.61417</t>
  </si>
  <si>
    <t>196.850394</t>
  </si>
  <si>
    <t>413.385827</t>
  </si>
  <si>
    <t>157.480315</t>
  </si>
  <si>
    <t>511.811024</t>
  </si>
  <si>
    <t>i CT + sole maize continuous (F + M)</t>
  </si>
  <si>
    <t>C3</t>
  </si>
  <si>
    <t>Inorganic and Organic Fertilizers</t>
  </si>
  <si>
    <t>Manure</t>
  </si>
  <si>
    <t>Cattle Manure</t>
  </si>
  <si>
    <t>% of Total</t>
  </si>
  <si>
    <t>Off-farm (unknown)</t>
  </si>
  <si>
    <t>Inorganic Fertilizer..Organic Fertilizer...Seeds..Labor Cost..Herbicides</t>
  </si>
  <si>
    <t>C4..T5..T6..T7..T8</t>
  </si>
  <si>
    <t>ii CA + sole maize continuous (F + M)</t>
  </si>
  <si>
    <t>C4</t>
  </si>
  <si>
    <t>Inorganic Fertilizer..Organic Fertilizer...Seeds..Labor Cost..Organic Mulch..Herbicides</t>
  </si>
  <si>
    <t>T5..T6..T7..T8</t>
  </si>
  <si>
    <t>354.330709</t>
  </si>
  <si>
    <t>iii CA + maize + cowpea intercropping (F + M)</t>
  </si>
  <si>
    <t>T5</t>
  </si>
  <si>
    <t>Inorganic Fertilizer..Organic Fertilizer...Seeds..Pesticides...Labor Cost..Organic Mulch..Herbicides</t>
  </si>
  <si>
    <t>472.440945</t>
  </si>
  <si>
    <t>iv CA + maize + mucuna intercropping (F + M)</t>
  </si>
  <si>
    <t>T6</t>
  </si>
  <si>
    <t>1456.69291</t>
  </si>
  <si>
    <t>177.165354</t>
  </si>
  <si>
    <t>v CA + maize + soybean/groundnut rotation (maize phase) (F + M)</t>
  </si>
  <si>
    <t>T7</t>
  </si>
  <si>
    <t>vi CA + soybean/groundnut + maize rotation (legume phase) (F + M)</t>
  </si>
  <si>
    <t>T8</t>
  </si>
  <si>
    <t>314.96063</t>
  </si>
  <si>
    <t>98.4251969</t>
  </si>
  <si>
    <t>CT Maize</t>
  </si>
  <si>
    <t>C5</t>
  </si>
  <si>
    <t>Land Clearing..Land Preparation..Sowing..Inorganic Fertilizer Application..Organic Fertilizer Application..Herbicides Application..Pesticides Application..Weeding..Harvesting..Threshing</t>
  </si>
  <si>
    <t>Labour costs</t>
  </si>
  <si>
    <t>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</si>
  <si>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Labour Cost</t>
  </si>
  <si>
    <t>USD/acre</t>
  </si>
  <si>
    <t>C6..T9..T10..T11..T12..T13..T14</t>
  </si>
  <si>
    <t>Tab 3</t>
  </si>
  <si>
    <t>CA Maize</t>
  </si>
  <si>
    <t>C6</t>
  </si>
  <si>
    <t>Top dressing with Ammonium Nitrate</t>
  </si>
  <si>
    <t>Ammonium Nitrate</t>
  </si>
  <si>
    <t>Land Clearing..Sowing..Inorganic Fertilizer Application..Organic Fertilizer Application..Organic Mulch..Herbicides Application..Weeding..Harvesting..Threshing</t>
  </si>
  <si>
    <t>T9..T10..T11..T12..T13..T14</t>
  </si>
  <si>
    <t>Maize/Cowpea Intercropping</t>
  </si>
  <si>
    <t>T9</t>
  </si>
  <si>
    <t>Land Clearing..Sowing..Inorganic Fertilizer Application..Organic Fertilizer Application..Organic Mulch..Herbicides Application..Pesticides Application..Weeding..Harvesting..Threshing</t>
  </si>
  <si>
    <t>Maize/Mucuna Intercropping</t>
  </si>
  <si>
    <t>T10</t>
  </si>
  <si>
    <t>Maize/Soybean Rotation</t>
  </si>
  <si>
    <t>T11</t>
  </si>
  <si>
    <t>Soybean/Maize Rotation</t>
  </si>
  <si>
    <t>T12</t>
  </si>
  <si>
    <t>Land Clearing..Sowing..Organic Fertilizer Application..Organic Mulch..Herbicides Application..Weeding..Harvesting..Threshing</t>
  </si>
  <si>
    <t>Maize/Groundnut Rotation</t>
  </si>
  <si>
    <t>T13</t>
  </si>
  <si>
    <t>Groundnut/Maize Rotation</t>
  </si>
  <si>
    <t>T14</t>
  </si>
  <si>
    <t>No Inoculation Applied</t>
  </si>
  <si>
    <t>Forage yield (kg/ha)= maize stover</t>
  </si>
  <si>
    <t>Cereal and Legume Forages</t>
  </si>
  <si>
    <t>Forage yield</t>
  </si>
  <si>
    <t>Forage yield intercropping (kg/ha) = Maize stover + legume stover + mucuna grain</t>
  </si>
  <si>
    <t>Biomass Yield</t>
  </si>
  <si>
    <t>C2..T1..T2</t>
  </si>
  <si>
    <t>Tab 4</t>
  </si>
  <si>
    <t>T1..T2</t>
  </si>
  <si>
    <t>Forage yield, intercropping (kg/ha)= maize stover and legume stover</t>
  </si>
  <si>
    <t>Maize grain yield (kg/ha)</t>
  </si>
  <si>
    <t>Crop Yield</t>
  </si>
  <si>
    <t>2014-15 with manure</t>
  </si>
  <si>
    <t>Forage yield (kg/ha)= maize stover and Maize grain yield</t>
  </si>
  <si>
    <t>C4..T5..T6</t>
  </si>
  <si>
    <t>T5..T6</t>
  </si>
  <si>
    <t>MD_Jones_21_A glo_Sc</t>
  </si>
  <si>
    <t>JA_Sjogr_10_Effec_Jo</t>
  </si>
  <si>
    <t>Kenya</t>
  </si>
  <si>
    <t>Researcher Managed &amp; On-farm</t>
  </si>
  <si>
    <t>Central Bunyore, Vihiga District</t>
  </si>
  <si>
    <t>Sub-County</t>
  </si>
  <si>
    <t xml:space="preserve">A randomized complete block design with four replicates experiment (Fig. 2) was established to examine the effect of improved fallow with leguminous shrub Sesbania sesban on maize yields and levels of S. hermonthica infestation on farm land in the bimodal highlands of western Kenya. </t>
  </si>
  <si>
    <t>1994 (LR, SR), 1995 (LR, SR), 1996 (LR, SR), 1997 (LR, SR), 1998 (SR)</t>
  </si>
  <si>
    <t>LR=long rains period (March-July), SR=short rains period (September-January)</t>
  </si>
  <si>
    <t>S6: 6 months tree growth with Sesbania fallow</t>
  </si>
  <si>
    <t>H 511</t>
  </si>
  <si>
    <t>Sesbania sesban</t>
  </si>
  <si>
    <t>Direct planting</t>
  </si>
  <si>
    <t>S6= six months tree growth with Sesbania fallow</t>
  </si>
  <si>
    <t>Agroforestry Fallow (N fixing) (&gt;=6months)</t>
  </si>
  <si>
    <t>MS6=Maize and Sesbania intercropped</t>
  </si>
  <si>
    <t>Alleycropping (N fixing)</t>
  </si>
  <si>
    <t>No Fertilizers Applied</t>
  </si>
  <si>
    <t>Seed inoculation</t>
  </si>
  <si>
    <r>
      <t>4 replicates (blocks)</t>
    </r>
    <r>
      <rPr>
        <sz val="11"/>
        <color theme="1"/>
        <rFont val="Aptos Narrow"/>
        <family val="2"/>
        <scheme val="minor"/>
      </rPr>
      <t xml:space="preserve"> in a randomized complete block design</t>
    </r>
  </si>
  <si>
    <t>Striga hermonthica plants</t>
  </si>
  <si>
    <t>Pest</t>
  </si>
  <si>
    <t>Above ground</t>
  </si>
  <si>
    <t>Number of Striga plants (x 1000 ha-1) during seven seasons</t>
  </si>
  <si>
    <t>Abundance</t>
  </si>
  <si>
    <t>10^3 plants/ha</t>
  </si>
  <si>
    <t>Tab 1; Tab 3</t>
  </si>
  <si>
    <t>LR</t>
  </si>
  <si>
    <t>S18: 18 months tree growth with Sesbania fallow</t>
  </si>
  <si>
    <t>S18=18 months tree growth with Sesbania</t>
  </si>
  <si>
    <t>Agroforestry Fallow (N fixing) (&gt;=1yr)</t>
  </si>
  <si>
    <t>MS18=Maize and Sesbania intercropped</t>
  </si>
  <si>
    <t>N6: 6 months natural regrowth of vegetation fallow without cultivation</t>
  </si>
  <si>
    <t>N6=six months natural re-growth of vegetation fallow without cultivation</t>
  </si>
  <si>
    <t>Natural Fallow (&gt;6months)</t>
  </si>
  <si>
    <t>M=continuous maize cropping</t>
  </si>
  <si>
    <t>N18: 18 months natural regrowth of vegetation fallow without cultivation</t>
  </si>
  <si>
    <t>N18=18 months natural re-growth of vegetation fallow without cultivation</t>
  </si>
  <si>
    <t>Natural Fallow (&gt;1yr)</t>
  </si>
  <si>
    <t>M: continuous maize cropping</t>
  </si>
  <si>
    <t>MF: continuous maize cropping associated with fertilizer  (60 kg P2O5 + 60 kg N/ha/season)</t>
  </si>
  <si>
    <t>MF=continuous maize cropping with fertilizer (60 kg P2O5 + 60 kg N/ha) application</t>
  </si>
  <si>
    <t>MF=continuous maize cropping with fertilizer (60 kg P2O5 + 60 kg N/ha)</t>
  </si>
  <si>
    <t>C1..T1..T2..T3..T4</t>
  </si>
  <si>
    <t>SR</t>
  </si>
  <si>
    <t>Striga hermonthica seeds</t>
  </si>
  <si>
    <t>Below ground</t>
  </si>
  <si>
    <t>Number of Striga hermonthica seeds (seeds kg-1 soil)</t>
  </si>
  <si>
    <t>seeds/kg soil</t>
  </si>
  <si>
    <t>Tab 1; Tab 4 (1996 LR 0-15)</t>
  </si>
  <si>
    <t>Tab 1; Tab 4 (1996 SR 0-15)</t>
  </si>
  <si>
    <t>Tab 1; Tab 4 (1996 LR 15-30)</t>
  </si>
  <si>
    <t>Tab 1; Tab 4 (1996 SR 15-30)</t>
  </si>
  <si>
    <t xml:space="preserve">Yield of maize grain </t>
  </si>
  <si>
    <t>t/ha</t>
  </si>
  <si>
    <t xml:space="preserve"> 5.704327697502654</t>
  </si>
  <si>
    <t>Tab 1; Fig3A (1996)</t>
  </si>
  <si>
    <t xml:space="preserve"> 1.796513500936653</t>
  </si>
  <si>
    <t xml:space="preserve"> 4.494720137455404</t>
  </si>
  <si>
    <t xml:space="preserve"> 1.700867448603372</t>
  </si>
  <si>
    <t xml:space="preserve"> 1.6629956209953578</t>
  </si>
  <si>
    <t xml:space="preserve"> 2.4653915450607924</t>
  </si>
  <si>
    <t xml:space="preserve"> 3.347182283525635</t>
  </si>
  <si>
    <t>Tab 1; Fig3A (1997)</t>
  </si>
  <si>
    <t xml:space="preserve"> 2.5275328425348107</t>
  </si>
  <si>
    <t xml:space="preserve"> 2.4696870264530055</t>
  </si>
  <si>
    <t xml:space="preserve"> 2.6271880108341588</t>
  </si>
  <si>
    <t xml:space="preserve"> 2.5893161832261447</t>
  </si>
  <si>
    <t xml:space="preserve"> 3.528523189633572</t>
  </si>
  <si>
    <t xml:space="preserve"> 1.557040413320764</t>
  </si>
  <si>
    <t>Tab 1; Fig3A (1998)</t>
  </si>
  <si>
    <t xml:space="preserve"> 1.2452600556026203</t>
  </si>
  <si>
    <t xml:space="preserve"> 1.4026894486272354</t>
  </si>
  <si>
    <t xml:space="preserve"> 1.4820126716701072</t>
  </si>
  <si>
    <t xml:space="preserve"> 1.5611927119999036</t>
  </si>
  <si>
    <t xml:space="preserve"> 3.4189168227755964</t>
  </si>
  <si>
    <t xml:space="preserve"> 3.0095238095238077</t>
  </si>
  <si>
    <t>Tab 1; Fig3B (1996)</t>
  </si>
  <si>
    <t xml:space="preserve"> 1.542857142857141</t>
  </si>
  <si>
    <t xml:space="preserve"> 1.9047619047619033</t>
  </si>
  <si>
    <t xml:space="preserve"> 1.3904761904761873</t>
  </si>
  <si>
    <t xml:space="preserve"> 1.1428571428571406</t>
  </si>
  <si>
    <t xml:space="preserve"> 1.0857142857142854</t>
  </si>
  <si>
    <t>Tab 1; Fig3B (1997)</t>
  </si>
  <si>
    <t xml:space="preserve"> 0.8190476190476179</t>
  </si>
  <si>
    <t xml:space="preserve"> 0.7999999999999989</t>
  </si>
  <si>
    <t xml:space="preserve"> 0.9523809523809508</t>
  </si>
  <si>
    <t xml:space="preserve"> 0.9904761904761887</t>
  </si>
  <si>
    <t xml:space="preserve"> 1.523809523809522</t>
  </si>
  <si>
    <t>Maize Core</t>
  </si>
  <si>
    <t xml:space="preserve">Yield of maize core </t>
  </si>
  <si>
    <t xml:space="preserve"> 0.7811753784553097</t>
  </si>
  <si>
    <t>Tab 1; Fig3C (1996)</t>
  </si>
  <si>
    <t xml:space="preserve"> 0.3275602704410605</t>
  </si>
  <si>
    <t xml:space="preserve"> 0.7207567428517104</t>
  </si>
  <si>
    <t xml:space="preserve"> 0.33921451299917793</t>
  </si>
  <si>
    <t xml:space="preserve"> 0.29403475022229175</t>
  </si>
  <si>
    <t xml:space="preserve"> 0.4590563642565947</t>
  </si>
  <si>
    <t xml:space="preserve"> 0.6087943674889135</t>
  </si>
  <si>
    <t>Tab 1; Fig3C (1997)</t>
  </si>
  <si>
    <t xml:space="preserve"> 0.4252736006800173</t>
  </si>
  <si>
    <t xml:space="preserve"> 0.4671707145213876</t>
  </si>
  <si>
    <t xml:space="preserve"> 0.46998361471655703</t>
  </si>
  <si>
    <t xml:space="preserve"> 0.6289879710768991</t>
  </si>
  <si>
    <t xml:space="preserve"> 0.2832584904288694</t>
  </si>
  <si>
    <t>Tab 1; Fig3C (1998)</t>
  </si>
  <si>
    <t xml:space="preserve"> 0.22001577013628304</t>
  </si>
  <si>
    <t xml:space="preserve"> 0.2378550377756279</t>
  </si>
  <si>
    <t xml:space="preserve"> 0.23770963935599687</t>
  </si>
  <si>
    <t xml:space="preserve"> 0.30059445584641453</t>
  </si>
  <si>
    <t xml:space="preserve"> 0.6638164848254381</t>
  </si>
  <si>
    <t xml:space="preserve"> 0.5306182112577864</t>
  </si>
  <si>
    <t>Tab 1; Fig3D (1996)</t>
  </si>
  <si>
    <t xml:space="preserve"> 0.2913902444509411</t>
  </si>
  <si>
    <t xml:space="preserve"> 0.30369150156295666</t>
  </si>
  <si>
    <t xml:space="preserve"> 0.2827152719994599</t>
  </si>
  <si>
    <t xml:space="preserve"> 0.21930307868756582</t>
  </si>
  <si>
    <t xml:space="preserve"> 0.22606089909370963</t>
  </si>
  <si>
    <t>Tab 1; Fig3D (1997)</t>
  </si>
  <si>
    <t xml:space="preserve"> 0.18683518114556863</t>
  </si>
  <si>
    <t xml:space="preserve"> 0.1506847774754312</t>
  </si>
  <si>
    <t xml:space="preserve"> 0.22362650954640495</t>
  </si>
  <si>
    <t xml:space="preserve"> 0.23595025524546287</t>
  </si>
  <si>
    <t xml:space="preserve"> 0.38160883351699004</t>
  </si>
  <si>
    <t>Maize Cob</t>
  </si>
  <si>
    <t xml:space="preserve">Yield of maize cob </t>
  </si>
  <si>
    <t xml:space="preserve"> 6.468760146829787</t>
  </si>
  <si>
    <t>Tab 1; Fig3E (1996)</t>
  </si>
  <si>
    <t xml:space="preserve"> 2.1556626877335487</t>
  </si>
  <si>
    <t xml:space="preserve"> 5.265707980430033</t>
  </si>
  <si>
    <t xml:space="preserve"> 2.0731452283071103</t>
  </si>
  <si>
    <t xml:space="preserve"> 2.0110837777300823</t>
  </si>
  <si>
    <t xml:space="preserve"> 2.985113396842169</t>
  </si>
  <si>
    <t xml:space="preserve"> 3.9180769040268126</t>
  </si>
  <si>
    <t>Tab 1; Fig3E (1997)</t>
  </si>
  <si>
    <t xml:space="preserve"> 3.0312646183140997</t>
  </si>
  <si>
    <t xml:space="preserve"> 2.8419983820105994</t>
  </si>
  <si>
    <t xml:space="preserve"> 3.1603955818983316</t>
  </si>
  <si>
    <t xml:space="preserve"> 3.0559582184505825</t>
  </si>
  <si>
    <t xml:space="preserve"> 4.177879773481484</t>
  </si>
  <si>
    <t xml:space="preserve"> 1.8753652858723102</t>
  </si>
  <si>
    <t>Tab 1; Fig3E (1998)</t>
  </si>
  <si>
    <t xml:space="preserve"> 1.5170576807717921</t>
  </si>
  <si>
    <t xml:space="preserve"> 1.6028111189992682</t>
  </si>
  <si>
    <t xml:space="preserve"> 1.7519358087470485</t>
  </si>
  <si>
    <t xml:space="preserve"> 1.816848002553562</t>
  </si>
  <si>
    <t xml:space="preserve"> 4.0387712085940555</t>
  </si>
  <si>
    <t xml:space="preserve"> 3.6404618346508357</t>
  </si>
  <si>
    <t>Tab 1; Fig3F (1996)</t>
  </si>
  <si>
    <t xml:space="preserve"> 1.8756433524385319</t>
  </si>
  <si>
    <t xml:space="preserve"> 2.2600936688051974</t>
  </si>
  <si>
    <t xml:space="preserve"> 1.7506854151381575</t>
  </si>
  <si>
    <t xml:space="preserve"> 1.3906783541210395</t>
  </si>
  <si>
    <t xml:space="preserve"> 1.774974210738261</t>
  </si>
  <si>
    <t xml:space="preserve"> 1.4171295862133615</t>
  </si>
  <si>
    <t>Tab 1; Fig3F (1997)</t>
  </si>
  <si>
    <t xml:space="preserve"> 1.0989811172956276</t>
  </si>
  <si>
    <t xml:space="preserve"> 1.0368496830816891</t>
  </si>
  <si>
    <t xml:space="preserve"> 1.2722849561720437</t>
  </si>
  <si>
    <t xml:space="preserve"> 1.337582815249588</t>
  </si>
  <si>
    <t xml:space="preserve"> 1.9559238072121659</t>
  </si>
  <si>
    <t xml:space="preserve">Yield of maize stover </t>
  </si>
  <si>
    <t xml:space="preserve"> 4.456628799577715</t>
  </si>
  <si>
    <t>Tab 1; Fig3G (1996)</t>
  </si>
  <si>
    <t xml:space="preserve"> 2.366758573442125</t>
  </si>
  <si>
    <t xml:space="preserve"> 4.455550626407381</t>
  </si>
  <si>
    <t xml:space="preserve"> 1.6873073186619427</t>
  </si>
  <si>
    <t xml:space="preserve"> 1.811836319835578</t>
  </si>
  <si>
    <t xml:space="preserve"> 2.1863330319689576</t>
  </si>
  <si>
    <t xml:space="preserve"> 3.0959068727924124</t>
  </si>
  <si>
    <t>Tab 1; Fig3G (1997)</t>
  </si>
  <si>
    <t xml:space="preserve"> 2.1847157722134556</t>
  </si>
  <si>
    <t xml:space="preserve"> 2.3802020451597325</t>
  </si>
  <si>
    <t xml:space="preserve"> 2.6118071193122154</t>
  </si>
  <si>
    <t xml:space="preserve"> 2.950623038089837</t>
  </si>
  <si>
    <t xml:space="preserve"> 1.5745371436272668</t>
  </si>
  <si>
    <t>Tab 1; Fig3G (1998)</t>
  </si>
  <si>
    <t xml:space="preserve"> 1.7168896950229957</t>
  </si>
  <si>
    <t xml:space="preserve"> 1.4842401406117514</t>
  </si>
  <si>
    <t xml:space="preserve"> 1.4123731602266414</t>
  </si>
  <si>
    <t xml:space="preserve"> 1.715474592736932</t>
  </si>
  <si>
    <t xml:space="preserve"> 2.179122748892345</t>
  </si>
  <si>
    <t xml:space="preserve"> 3.5657306304056657</t>
  </si>
  <si>
    <t>Tab 1; Fig3H (1996)</t>
  </si>
  <si>
    <t xml:space="preserve"> 2.7073619214092766</t>
  </si>
  <si>
    <t xml:space="preserve"> 2.9233842591541617</t>
  </si>
  <si>
    <t xml:space="preserve"> 2.279675830287621</t>
  </si>
  <si>
    <t xml:space="preserve"> 1.887062722753173</t>
  </si>
  <si>
    <t xml:space="preserve"> 2.156954439172779</t>
  </si>
  <si>
    <t xml:space="preserve"> 1.8555310889650638</t>
  </si>
  <si>
    <t>Tab 1; Fig3H (1997)</t>
  </si>
  <si>
    <t xml:space="preserve"> 1.5519284465732888</t>
  </si>
  <si>
    <t xml:space="preserve"> 1.5532224013075737</t>
  </si>
  <si>
    <t xml:space="preserve"> 1.572291207918095</t>
  </si>
  <si>
    <t xml:space="preserve"> 1.913895257769406</t>
  </si>
  <si>
    <t xml:space="preserve"> 2.3272116410524166</t>
  </si>
  <si>
    <t>MD_Paut,_24_A glo_Sc</t>
  </si>
  <si>
    <t>JA_Kabur_08_Evalu_J.</t>
  </si>
  <si>
    <t>Nigeria</t>
  </si>
  <si>
    <t>Sudan Savanna ecological zone</t>
  </si>
  <si>
    <t>Region</t>
  </si>
  <si>
    <t>Unespecified</t>
  </si>
  <si>
    <t>The experiment was a two factor experiment i.e., two crops combined under different intercropping spacings laid out in a randomnized complete block design (rcdb), replicated three times. There were ten treatments.</t>
  </si>
  <si>
    <t>2002/2003 and 2004/2005 cool dry seeason of october to march of each year</t>
  </si>
  <si>
    <t>15x20 cm sole onion</t>
  </si>
  <si>
    <t>Onion</t>
  </si>
  <si>
    <t>Bama red</t>
  </si>
  <si>
    <t>Randomnized complete block design, 3 replicates in 2002 and 3 replicates in 2004= 6 replicates</t>
  </si>
  <si>
    <t>Onion Bulb</t>
  </si>
  <si>
    <t>Bulb yield &amp; Fresh fruit yield</t>
  </si>
  <si>
    <t>Onion bulb yield (mt/ha)</t>
  </si>
  <si>
    <t>mt/ha</t>
  </si>
  <si>
    <t>T1..T2..T3..T4..T5..T6..T7..T8</t>
  </si>
  <si>
    <t>Tab 2 bulb yield (mt/ha)(2002)</t>
  </si>
  <si>
    <t>15x20 cm onion/60x30 cm pepper</t>
  </si>
  <si>
    <t>Pepper</t>
  </si>
  <si>
    <t>Damasak</t>
  </si>
  <si>
    <t>Intercrop (Non N fixing)</t>
  </si>
  <si>
    <t>Pepper Fresh Fruit</t>
  </si>
  <si>
    <t>Onion bulb yield (mt/ha) and peper fresh fruit (mt/yield)</t>
  </si>
  <si>
    <t>Tab 2 bulb yield (mt/ha)(2002); Tab 3 Fresh fruit yield (mt/ha)(2002). Tab 4 (LER) (2002)</t>
  </si>
  <si>
    <t>15x20 cm onion/60x45 cm pepper</t>
  </si>
  <si>
    <t>15x20 cm onion/60x60 cm pepper</t>
  </si>
  <si>
    <t>15x20 cm onion/60x75 cm pepper</t>
  </si>
  <si>
    <t>60x30 cm sole pepper</t>
  </si>
  <si>
    <t>Fresh fruit yield</t>
  </si>
  <si>
    <t>peper fresh fruit (mt/yield)</t>
  </si>
  <si>
    <t>Tab 2 bulb yield (mt/ha)(2002); Tab 3 Fresh fruit yield (mt/ha)(2002)</t>
  </si>
  <si>
    <t>60x30 cm pepper/15x20 onion</t>
  </si>
  <si>
    <t>60x30 cm pepper/15x30 onion</t>
  </si>
  <si>
    <t>60x30 cm pepper/15x40 onion</t>
  </si>
  <si>
    <t>60x30 cm pepper/15x50 onion</t>
  </si>
  <si>
    <t>Tab 3 Fresh fruit yield (mt/ha)(2004)</t>
  </si>
  <si>
    <t>Tab 2 bulb yield (mt/ha)(2004); Tab 3 Fresh fruit yield (mt/ha)(2004)</t>
  </si>
  <si>
    <t>JA_Berha_21_A sys_AG</t>
  </si>
  <si>
    <t>Ethiopia</t>
  </si>
  <si>
    <t>Ziway</t>
  </si>
  <si>
    <t>City</t>
  </si>
  <si>
    <t>On-farm experiments were conducted during the 2015 and 2016 cropping seasons, with three farmers at each site, making a total of nine farmers hosting the tests. Each farm hosted one full experimental repetition, thus functioning as an experimental block. The purpose of this trial was to compare the yield responses of five CSA treatments against the recommended levels (see Section 2.2 for details) of treatment (the control).</t>
  </si>
  <si>
    <t>This study was conducted during two consecutive cropping seasons (2015 and 2016)</t>
  </si>
  <si>
    <t>Control: maize with recommended fertilizer rates. Recommended fertilizer levels, i.e. 100 kg diammonium  phosphate (DAP) ha 1 and 100 kg ha 1 urea at 30 days after planting  (53,333 plants ha 1)</t>
  </si>
  <si>
    <t>Control: Recommended fertilizer levels, i.e. 100 kg diammonium  phosphate (DAP) ha 1 and 100 kg ha 1 urea at 30 days after planting  (53,333 plants ha 1)</t>
  </si>
  <si>
    <t>Recommend rate of fertilizer</t>
  </si>
  <si>
    <t>Diammonium Phosphate..Urea</t>
  </si>
  <si>
    <t>100..100</t>
  </si>
  <si>
    <t>The economic feasibility of the studied practices was evaluated based  on gross margin (GM) (net returns) (CIMMYT, 1988). The GM ha 1 was calculated as the difference between total revenue and total variable costs (TVC). TVC was calculated as the sum of labour and input costs (seed and fertilizers); the latter were obtained from local markets. 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</si>
  <si>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</si>
  <si>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Seeds..Inorganic Fertilizer..Labor Cost</t>
  </si>
  <si>
    <t>gross margin</t>
  </si>
  <si>
    <t>Yields were obtained through field measurements, while information on seeds, fertilisers and labour inputs were obtained through farmer interviews and field observations with costs obtained from local markets. Total revenue was based on sum of yields of maize, stover and legume biomass. Maize yields were based on harvesting crops from 70 sq m farm section covering three random 5.63 sq m of each subplot. The average of three subplots was taken and used to compute the yield per ha for each farm.</t>
  </si>
  <si>
    <t>C2..C4..T1..T2</t>
  </si>
  <si>
    <t>SD (Standard Deviation)</t>
  </si>
  <si>
    <t>Table A1</t>
  </si>
  <si>
    <t>MD: maize with micrrodosed fertilizer. Micro-dosing (point application of 0.5 g of DAP (equivalent to  26.7 kg ha 1) at planting and 0.5 g of urea (equivalent to  26.7 kg ha 1) 30 days after planting per pocket), equivalent to  17.3 kg N/ha (53,333 plants ha 1)</t>
  </si>
  <si>
    <t>MD: Micro-dosing (point application of 0.5 g of DAP (equivalent to  26.7 kg ha 1) at planting and 0.5 g of urea (equivalent to  26.7 kg ha 1) 30 days after planting per pocket), equivalent to  17.3 kg N/ha (53,333 plants ha 1);</t>
  </si>
  <si>
    <t>Micro dosing</t>
  </si>
  <si>
    <t>26.7..26.7</t>
  </si>
  <si>
    <t>SP+M: maize with seeds primed, mulch and recommended fertilizer. Seed priming (soaking seeds in water for 8 h prior to sowing), + 3 Mg/ha mulch, + recommended fertilizer levels (53,333  plants ha 1)</t>
  </si>
  <si>
    <t>Seed priming (soaking seeds in water for 8 h prior to sowing)</t>
  </si>
  <si>
    <t>SP + M: Seed priming (soaking seeds in water for 8 h prior to sowing), + 3 Mg/ha mulch, + recommended fertilizer levels (53,333  plants ha 1)</t>
  </si>
  <si>
    <t>3 Mg/ha mulch</t>
  </si>
  <si>
    <t>MD+SH: maize intercropped with sunnhemp and microdosed fertilizer. Micro-dosing + maize/sunnhemp intercropping (53,333  and 266,666 plants ha 1)</t>
  </si>
  <si>
    <t>Sunn Hemp</t>
  </si>
  <si>
    <t>maize/sunnhemp intercropping</t>
  </si>
  <si>
    <t>Intercrop (N fixing and Non N fixing)</t>
  </si>
  <si>
    <t>MD + SH: Micro-dosing + maize/sunnhemp intercropping (53,333  and 266,666 plants ha 1)</t>
  </si>
  <si>
    <t>MD+LL: maize intercropped with lablab and microdosed fertilizer. Micro-dosing + maize/lablab intercropping (53,333 and  66,666 plants ha 1)</t>
  </si>
  <si>
    <t>Lablab</t>
  </si>
  <si>
    <t>maize/lablab intercropping</t>
  </si>
  <si>
    <t>Micro-dosing + maize/lablab intercropping (53,333 and  66,666 plants ha 1)</t>
  </si>
  <si>
    <t>Lablab Biomass</t>
  </si>
  <si>
    <t>SP+MD: maize with seeds primed and microdosed fertilizer. Seed priming + micro-dosing (53,333 plants ha 1)</t>
  </si>
  <si>
    <t>Seed priming + micro-dosing (53,333 plants ha 1)</t>
  </si>
  <si>
    <t>Halaba</t>
  </si>
  <si>
    <t>Table A2</t>
  </si>
  <si>
    <t>Loka-Abaya</t>
  </si>
  <si>
    <t>Table A3</t>
  </si>
  <si>
    <t>Study conducted at three sites over 2 years (one cropping season per year), with three farmers per site each hosting one experimental block. So N = 3 farmers per study site x 3 subplots where yield was harvested x 2 years = 18</t>
  </si>
  <si>
    <t>total variable cost</t>
  </si>
  <si>
    <t>Variable Cost</t>
  </si>
  <si>
    <t>total revenue (USD/ha)</t>
  </si>
  <si>
    <t>Gross Return</t>
  </si>
  <si>
    <t>Sunn Hemp Biomass</t>
  </si>
  <si>
    <t>yield (kg/ha)</t>
  </si>
  <si>
    <t>JA_Moham_08_Produ_Wo</t>
  </si>
  <si>
    <t>Researcher Managed &amp; Research Facility</t>
  </si>
  <si>
    <t>IITA, Minjibir</t>
  </si>
  <si>
    <t>Field</t>
  </si>
  <si>
    <t>The treatments consisted of a factorial combination of six cowpea genotypes and four row arrangements. The cowpea genotypes were made up of one local (Danila) and five improved (IT95K-222-14, IT90K-277-2,IT95K-1091-3, IT96D-740,IT96D-757),while the row arrangements were 1:1, 1:2, 2:2 and 2:4 millet to cowpea rows.</t>
  </si>
  <si>
    <t>The experiment was conducted during the 1999 and 2000</t>
  </si>
  <si>
    <t>Danila: cowpea monoculture</t>
  </si>
  <si>
    <t>Danila</t>
  </si>
  <si>
    <t>Local</t>
  </si>
  <si>
    <t>Medium Maturity..Photoperiod Sensitive..Spreading growth habit</t>
  </si>
  <si>
    <t>All plots received a basal dressing of 30kg N, 13kg P and 24.3kg K ha-1 as urea, Superphosphate and muriate of potash, respectivelly</t>
  </si>
  <si>
    <t>Urea..Superphosphate..Muriate of Potash</t>
  </si>
  <si>
    <t>kg/ha..kg/ha..kg/ha</t>
  </si>
  <si>
    <t>30..13..24.3</t>
  </si>
  <si>
    <t xml:space="preserve">Delfos (monocrotophos 400 g L of water-soluble concentrate) at the rate of 1.0 L ha </t>
  </si>
  <si>
    <t>delfos</t>
  </si>
  <si>
    <t>The experimental design was split plot with three replications.</t>
  </si>
  <si>
    <t>cowpea grain</t>
  </si>
  <si>
    <t>sole grain yield</t>
  </si>
  <si>
    <t>Tab 3 (sole grain yield)</t>
  </si>
  <si>
    <t>IT90K-277-2: cowpea monoculture</t>
  </si>
  <si>
    <t>IT 95K-277-2</t>
  </si>
  <si>
    <t>Improved</t>
  </si>
  <si>
    <t>Medium Maturity..Photoperiod Insensitive..Semi-erect growing habit</t>
  </si>
  <si>
    <t>IT95K-1091-3: cowpea monoculture</t>
  </si>
  <si>
    <t>IT 95K-1091-3</t>
  </si>
  <si>
    <t>IT96D-740: cowpea monoculture</t>
  </si>
  <si>
    <t>IT 96D-740</t>
  </si>
  <si>
    <t>IT96D-757: cowpea monoculture</t>
  </si>
  <si>
    <t>IT 96D-757</t>
  </si>
  <si>
    <t>IT96D-722: cowpea monoculture</t>
  </si>
  <si>
    <t>IT 96D-772</t>
  </si>
  <si>
    <t>Danila: cowpea/millet intercrop</t>
  </si>
  <si>
    <t>Millet</t>
  </si>
  <si>
    <t>Replacement</t>
  </si>
  <si>
    <t>intercrop grain yield</t>
  </si>
  <si>
    <t>Tab 3 (intercrop grain yield)</t>
  </si>
  <si>
    <t>IT90K-277-2: cowpea /millet intercrop</t>
  </si>
  <si>
    <t>IT95K-1091-3: cowpea /millet intercrop</t>
  </si>
  <si>
    <t>IT96D-740: cowpea /millet intercrop</t>
  </si>
  <si>
    <t>IT96D-757: cowpea /millet intercrop</t>
  </si>
  <si>
    <t>IT96D-722: cowpea /millet intercrop</t>
  </si>
  <si>
    <t>JA_Muone_07_Effec_Af</t>
  </si>
  <si>
    <t>Agricultural Vocational Training Centre (AVTC), Otobi</t>
  </si>
  <si>
    <t>The experiments were laid out factorially in randomized complete block design (RCBD) with three blocks. Each block consisted of nine treatments, involving two soybean varieties (TGX 1448-2E) and (Samsoy-2), each with three maize (TZR-EW) population densities (38,000; 44,440 and 53,330 plants/ha) (2 x 3) factorial and sole crop of each soybean variety at 266,660 plants/ha and maize at 53,330 plants/ha for determining the productivity of the intercropping systems.</t>
  </si>
  <si>
    <t>early season (May - August)</t>
  </si>
  <si>
    <t>38,000/TGX 1448-2E: maize (TZR-EW)/soybean varieties (TGX 1448-2E)</t>
  </si>
  <si>
    <t>TZR-EW</t>
  </si>
  <si>
    <t>TGx 1448-2E</t>
  </si>
  <si>
    <t>Intercropping</t>
  </si>
  <si>
    <t>Mixed fertilizer NPK was separately applied to soybean by drilling at 21 DAP to supply 10 kg N, 36 kg P2 O5 and 20 kg K2O per hectare and this was achieved by mixing 22 kg urea + 200 kg P2O5 + 100 kg K2O per ha. Also 450 kg/ha NPK (20:10:10) compound fertilizer was applied to maize stands by side dressing at the same time with soybean, that is, 21 DAP to supply 90 kg N, 45 kg P2 O5 45 kg K2O per ha as recommended by BNARDA (2000). This was achieved by mixing 450 kg NPK 20:10:10 (BNARDA, 2000).</t>
  </si>
  <si>
    <t>Two manual weedings were done at three and six weeks after planting (WAP).</t>
  </si>
  <si>
    <t>Hand Weeding</t>
  </si>
  <si>
    <t>A broad spectrum insecticide (Cypertex 10EC) was sprayed at 500 ml per 400 litres of water per hectare using an 18 L Jacto sprayer. This was to control leaf hoppers and grass hoppers, which are the devastating leaf eating insects in soybean (Onwueme and Sinha, 1991).</t>
  </si>
  <si>
    <t>cypertex</t>
  </si>
  <si>
    <t>The experiments were laid out factorially in randomized complete block design (RCBD) with three blocks x two seasons (6 samples per treatment)</t>
  </si>
  <si>
    <t>maize and soybean yield</t>
  </si>
  <si>
    <t>gross monetary return</t>
  </si>
  <si>
    <t>yield x crop price</t>
  </si>
  <si>
    <t>NGN/ha</t>
  </si>
  <si>
    <t>Tab9 (early season)</t>
  </si>
  <si>
    <t>early season</t>
  </si>
  <si>
    <t>38,000/Samsoy-2: maize (TZR-EW)/Soybean variety (Samsoy-2)</t>
  </si>
  <si>
    <t>Samsoy-2</t>
  </si>
  <si>
    <t>44,440/TGX 1448-2E: maize (TZR-EW)/ soybean varieties (TGX 1448-2E)</t>
  </si>
  <si>
    <t>44,440/Samsoy-2: maize (TZR-EW)/Soybean variety (Samsoy-2)</t>
  </si>
  <si>
    <t>53,330/TGX 1448-2E: maize (TZR-EW)/soybean varieties (TGX 1448-2E)</t>
  </si>
  <si>
    <t>53,330/Samsoy-2: maize (TZR-EW)/Soybean variety (Samsoy-2)</t>
  </si>
  <si>
    <t>Sole TGX 1448-2E: soybean varieties (TGX 1448-2E)</t>
  </si>
  <si>
    <t>Monoculure</t>
  </si>
  <si>
    <t>soybean yield</t>
  </si>
  <si>
    <t>T1..T3..T5</t>
  </si>
  <si>
    <t>Sole Samsoy-2: Soybean variety (Samsoy-2)</t>
  </si>
  <si>
    <t>T2..T4..T6</t>
  </si>
  <si>
    <t>Sole Maixe (53,330): maize (TZR-EW)</t>
  </si>
  <si>
    <t>maize yield</t>
  </si>
  <si>
    <t>T1..T2..T3..T4..T5..T6</t>
  </si>
  <si>
    <t>late season (July November)</t>
  </si>
  <si>
    <t>Tab9 (late season)</t>
  </si>
  <si>
    <t>late season</t>
  </si>
  <si>
    <t>Land Equivalent Ratio</t>
  </si>
  <si>
    <t>Tab8 (early season)</t>
  </si>
  <si>
    <t>maize and soybean</t>
  </si>
  <si>
    <t>JA_Phill_09_Econo_Wo</t>
  </si>
  <si>
    <t>University of Agriculture Abeokuta</t>
  </si>
  <si>
    <t>A total of nine treatment combinations of three replicates each were assigned by randomized complete block design on 27 experimental plots, each of 10m x 12m size. The treatment combinations include sole plantain, sole Telfairia and plantain- Telfairia mix crop, each of which were established either without manure application, with 40ton/ha manure application or with 80ton/ha manure application.</t>
  </si>
  <si>
    <t>Plantain and Telfairia (no manure)</t>
  </si>
  <si>
    <t>Plantain</t>
  </si>
  <si>
    <t>Agbagba</t>
  </si>
  <si>
    <t>Fluted Pumpkin</t>
  </si>
  <si>
    <t>a total of nine treatment combinations of three replicates each were assigned by randomized complete block design on 27 experimental plots. (3 replications x 2 years = 6=</t>
  </si>
  <si>
    <t>revenue from telfairia and plantain sucker sales</t>
  </si>
  <si>
    <t>Plantain Sucker</t>
  </si>
  <si>
    <t>total revenue (Nairas/ha)</t>
  </si>
  <si>
    <t>Tab1</t>
  </si>
  <si>
    <t>Sum</t>
  </si>
  <si>
    <t>Sole Plantain (no manure)</t>
  </si>
  <si>
    <t>revenue from plantain sucker sales</t>
  </si>
  <si>
    <t>Plantain Fruit</t>
  </si>
  <si>
    <t>Sole Telfairia (no manure)</t>
  </si>
  <si>
    <t>NA</t>
  </si>
  <si>
    <t>revenue from telfairia</t>
  </si>
  <si>
    <t>Sole Telfairia (40 tonnes/ha manure)</t>
  </si>
  <si>
    <t>Unspecified Manure</t>
  </si>
  <si>
    <t>Tab2</t>
  </si>
  <si>
    <t>Sole Telfairia (80 tonnes/ha manure)</t>
  </si>
  <si>
    <t>Sole Plantain (40 tonnes/ha manure)</t>
  </si>
  <si>
    <t>Tab3</t>
  </si>
  <si>
    <t>Sole Plantain (80 tonnes/ha manure)</t>
  </si>
  <si>
    <t>Plantain and Telfairia: (40 tonnes/ha manure)</t>
  </si>
  <si>
    <t>Tab4</t>
  </si>
  <si>
    <t>Plantain and Telfairia: (80 tonnes/ha manure)</t>
  </si>
  <si>
    <t>labour cost</t>
  </si>
  <si>
    <t>Labor Cost</t>
  </si>
  <si>
    <t>labour cost (N/ha)</t>
  </si>
  <si>
    <t>Seeds or Planting Material..Labor Cost</t>
  </si>
  <si>
    <t>Total variable cost (N/ha)</t>
  </si>
  <si>
    <t>Seeds or Planting Material..Labor Cost..Organic Fertilizer</t>
  </si>
  <si>
    <t>Gross Margin (N/ha)</t>
  </si>
  <si>
    <t>Benefit - Cost ratio</t>
  </si>
  <si>
    <t>Benefit Cost Ratio (GRVC)</t>
  </si>
  <si>
    <t>Fig2</t>
  </si>
  <si>
    <t>yield from telfairia, plantain fruits and plantain suckers</t>
  </si>
  <si>
    <t>Crop yield</t>
  </si>
  <si>
    <t>yield from plantain fruits and plantain suckers</t>
  </si>
  <si>
    <t>yield from telfairia</t>
  </si>
  <si>
    <t>JA_Mastr_12_Trade_Co</t>
  </si>
  <si>
    <t>Argentina</t>
  </si>
  <si>
    <t>The Bermejo-Pilcomayo Interfluve</t>
  </si>
  <si>
    <t>Yes</t>
  </si>
  <si>
    <t>Middle point</t>
  </si>
  <si>
    <t>We classified cattle ranches by production strategy on the basis of these practices as a surrogate measure of cattle yield. We validated this classification later by comparing methods for clearing forests and for increasing forage availability with cattle yield declared by ranchers. We collected data on cattle yield and birds on ranches with different production intensities. Measured from the perimeter, ranches with the same type of production system were at least 50 km apart. At least one ranch in every type of production system was located in each zone (premontane, umbral, and chaco) to account for variations in elevation and rainfall. To collect baseline data on birds, we surveyed forest fragments that had not been used for agriculture or intensive logging in the past 5 years, were &gt;1000 ha, and had a canopy cover &gt;70%. Each forest fragment was in the same zone (premontane, umbral, or chaco) of a group of 4–5 selected ranches (to which served as baseline land cover) and at a distance of 5–50 km from those ranches (measured from the perimeter). This selection process yielded a sample of 7 high-intensity pasture systems, 5 intermediate-intensity silvopastoral systems, 7 low-intensity silvopastoral systems, 8 very-low-intensity systems, and 6 forest fragments (Fig. 1).</t>
  </si>
  <si>
    <t>May to August 2010</t>
  </si>
  <si>
    <t>May-August</t>
  </si>
  <si>
    <t>FF: forest fragments: that had not been used for agriculture or intensive logging in the past 5 years, were &gt;1000 ha, and had a canopy cover &gt;70%.</t>
  </si>
  <si>
    <t>natural/seminatural</t>
  </si>
  <si>
    <t>Schinopsis balansae</t>
  </si>
  <si>
    <t>Aspidosperma spp.</t>
  </si>
  <si>
    <t>Calycophyllum multiflorum</t>
  </si>
  <si>
    <t>Phyllostylon rhamnoides</t>
  </si>
  <si>
    <t>Bulnesia sarmientoi</t>
  </si>
  <si>
    <t>Chorisia speciosa</t>
  </si>
  <si>
    <t>Prosopis spp.</t>
  </si>
  <si>
    <t>Secondary Forest</t>
  </si>
  <si>
    <t>Natural or spontaneous</t>
  </si>
  <si>
    <t>Passively managed/unmanaged</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</si>
  <si>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t>
  </si>
  <si>
    <t>granivores</t>
  </si>
  <si>
    <t>Birds</t>
  </si>
  <si>
    <t>Granivores</t>
  </si>
  <si>
    <t>Species Richness</t>
  </si>
  <si>
    <t>T1..T2..T3..C2</t>
  </si>
  <si>
    <t>VLIS: very-low intensity systems, closed forests with free-ranging cattle feeding on understory shurbs and ephemeral grasses</t>
  </si>
  <si>
    <t>grassland</t>
  </si>
  <si>
    <t>Native grasses</t>
  </si>
  <si>
    <t>Ephemeral</t>
  </si>
  <si>
    <t>Cattle</t>
  </si>
  <si>
    <t>Farmer Managed Natural Regeneration</t>
  </si>
  <si>
    <t>Silvopasture</t>
  </si>
  <si>
    <t>Agroforestry (high shaded)</t>
  </si>
  <si>
    <t>LISS: low-intensity silvopastoral systems, open forests with free-ranging cattle feeding on understory selectively cleared to stimulate regeneration of native grasses</t>
  </si>
  <si>
    <t>Agroforestry (moderate shaded)</t>
  </si>
  <si>
    <t>IISS: intermediate-intensity silvopastoral systems, stands of native trees of varying densities in which planted non-native grasses have replaced the woody understory</t>
  </si>
  <si>
    <t>Panicum maximum</t>
  </si>
  <si>
    <t>HIPS: high-intensity pasture systems, open pastures of non-native grasses growing on areas completely cleared of native vegetation</t>
  </si>
  <si>
    <t>Open pasture</t>
  </si>
  <si>
    <t>Unshaded</t>
  </si>
  <si>
    <t>T1..T2..T3</t>
  </si>
  <si>
    <t>carnivores</t>
  </si>
  <si>
    <t>Carnivores</t>
  </si>
  <si>
    <t>insectivores</t>
  </si>
  <si>
    <t>Insectivores</t>
  </si>
  <si>
    <t>frugivores</t>
  </si>
  <si>
    <t>Frugivores</t>
  </si>
  <si>
    <t>omnivores</t>
  </si>
  <si>
    <t>Omnivores</t>
  </si>
  <si>
    <t>forest specialist</t>
  </si>
  <si>
    <t>Forest specialist</t>
  </si>
  <si>
    <t>generalist</t>
  </si>
  <si>
    <t>Generalist</t>
  </si>
  <si>
    <t>open-land specialist</t>
  </si>
  <si>
    <t>Open-land specialist</t>
  </si>
  <si>
    <t>individuals/km2</t>
  </si>
  <si>
    <t>all species</t>
  </si>
  <si>
    <t>Shannon Index</t>
  </si>
  <si>
    <t>May to August 2011</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</si>
  <si>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HIPS=7*7</t>
  </si>
  <si>
    <t>cattle weight</t>
  </si>
  <si>
    <t>cattle yield</t>
  </si>
  <si>
    <t>cattle yield based on this question How many kilograms of meat yield each cattle head</t>
  </si>
  <si>
    <t>Weight Gain</t>
  </si>
  <si>
    <t>kg/ha/yr</t>
  </si>
  <si>
    <t>From text in Results &gt; Production Intensity, Cattle Yield and Tree Cover</t>
  </si>
  <si>
    <t>May to August 2012</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</si>
  <si>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HIPS=7*8</t>
  </si>
  <si>
    <t>May to August 2013</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</si>
  <si>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HIPS=7*9</t>
  </si>
  <si>
    <t>May to August 2014</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</si>
  <si>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HIPS=7*10</t>
  </si>
  <si>
    <t>JA_Hylan_09_compl_Co</t>
  </si>
  <si>
    <t>Bonga</t>
  </si>
  <si>
    <t>Town</t>
  </si>
  <si>
    <t>Based on aerial photographs from 1996 (and in some cases 1984–1985) we selected all forest patches of more than 1 km2. Of these (approximately 40), we selected 15 areas evenly distributed in the elevational range of 1700–2000 m asl. In a similar manner we selected all agricultural areas of more than 1 km2 from aerial photos from 1967, 1975, and 1984–1985. To be considered an agricultural site, the area had to have been in cultivation on the oldest available aerial photo. On the basis of this initial selection we selected 15 sites that were evenly distributed in the area and in the same elevational range as the forest sites. Finally, we selected all stands (around 20) that appeared to be exotic tree plantations (i.e., dense tree cover in an area that in the oldest aerial photos was treeless). In the field we randomly selected one tree in each of the forest sites in an area that was minimally disturbed by humans (selective logging, beehives, coffee production) and &gt;200 m from the forest edge. In the center of the agricultural sites, we selected a mature shade tree in a home garden with coffee (in one site we found no such home garden, hence n = 14). In the plantations we selected a random tree in the middle of the stand. We selected 7 Cupressus-plantations and six Eucalyptus plantations (n = 13 exotic plantations) to get an even distribution between the two plantation types. (See Supporting Information for a list of the sites and Fig. 1 for the distribution of the sites across the investigated landscape.)</t>
  </si>
  <si>
    <t>Based on aerial photographs from 1996 (and in some cases 1984–1985)</t>
  </si>
  <si>
    <t>upland rainforest, with canopy trees, such as Olea welwitschii, Sapium ellipticum, Schefflera abyssinica, Syzygium guineense,and Pouteria adolfi-friderici,that reach 20â€“30 m (Friis</t>
  </si>
  <si>
    <t>Olea welwitschii</t>
  </si>
  <si>
    <t>Sapium ellipticum</t>
  </si>
  <si>
    <t>Schefflera abyssinica</t>
  </si>
  <si>
    <t>Syzygium guineense</t>
  </si>
  <si>
    <t>Pouteria adolfi-friderici</t>
  </si>
  <si>
    <t>upland rainforest, with canopy trees, such as Olea welwitschii, Sapium ellipticum, Schefflera abyssinica, Syzygium guineense,and Pouteria adolfi-friderici,that reach 20â€“30 m (Friis) People use the forests for various purposes besides coffee production. They gather firewood and food, harvest timber and spice plants, hunt, and collect honey (from feral and managed bee hives)</t>
  </si>
  <si>
    <t>A quadrat (various sizes depending on taxa) in each 1km2 site, including 13 sites for plantation, 15 for forest, 14 for home gardens</t>
  </si>
  <si>
    <t>Plants (Trees and Shrubs)</t>
  </si>
  <si>
    <t>Trees</t>
  </si>
  <si>
    <t>Shrubs</t>
  </si>
  <si>
    <t>Species density</t>
  </si>
  <si>
    <t>Confidence intervals</t>
  </si>
  <si>
    <t>Figure 2. Coordinates are for the centroid of the area. Sites are located at max 30km. The home gardens of the southwestern Ethiopian highlands could be classified as an agroforestry system even though the density of trees is relatively low compared with many shaded coffee or cacao farm systems described from other parts of the world (e.g., Perfecto et al. 1996; Bos et al. 2007; LÂ´opez-GÂ´omez et al. 2008). The overall number of tree species in the home garden system over a landscape can, however, be relatively high (Abebe 2005).</t>
  </si>
  <si>
    <t>shaded coffee home gardens</t>
  </si>
  <si>
    <t>Coffee</t>
  </si>
  <si>
    <t>Homegarden</t>
  </si>
  <si>
    <t>Plants (Vascular Epiphytic Species)</t>
  </si>
  <si>
    <t>Vascular epiphytes</t>
  </si>
  <si>
    <t>Bryophyta (Mosses)</t>
  </si>
  <si>
    <t>Mosses</t>
  </si>
  <si>
    <t>Bryophyta (Liverworts)</t>
  </si>
  <si>
    <t>Liverworts</t>
  </si>
  <si>
    <t>JA_Siles_08_Mixed_So</t>
  </si>
  <si>
    <t>Zambia</t>
  </si>
  <si>
    <t>Msekera RS</t>
  </si>
  <si>
    <t>Station</t>
  </si>
  <si>
    <t>The treatments were arranged in a randomized complete block design with three replicates.</t>
  </si>
  <si>
    <t>between 1999 and 2007.</t>
  </si>
  <si>
    <t>Cc: pigeon pea in fallow. Fallow (12/1999-10/2001); M-F (12/2001-4/2002); M-F (12/2002-4/2003); fallow (12/2023-10/2005); M-F (12/2005-4/2006); M-F (12/2006-4/2007)</t>
  </si>
  <si>
    <t>MM 604</t>
  </si>
  <si>
    <t>Pigeon pea</t>
  </si>
  <si>
    <t>Improved Fallow (N fixing) (&gt;6months)</t>
  </si>
  <si>
    <t>Incorporated</t>
  </si>
  <si>
    <t>No-fertilizer</t>
  </si>
  <si>
    <t>Weeding was done manually once to help seedling establishment and all weeds were incorporated into the soil.</t>
  </si>
  <si>
    <t>Soil samples were collected using a steel monolith sampler (25 ? 25 ? 25 cm) placed over a randomly selected spot and driven into the soil to ground level using a metallic mallet. Three monoliths (within 3â€“5 m of each other) were taken from each of the replicate plots bringing the total number of sampling units per treatment to nine. The soil was removed from the sampler, macrofauna were hand-sorted and separated into higher taxa (family and order). In some taxa such as Coleoptera, where both larvae and adults were encountered, adults Ã¾ larvae were recorded as total beetles. Samples were taken on 4 different occasions, but results in this database are for each occasion separately so n=9</t>
  </si>
  <si>
    <t>earthworms</t>
  </si>
  <si>
    <t>Earthworms</t>
  </si>
  <si>
    <t>SEM (Standard Error of Mean)</t>
  </si>
  <si>
    <t>Figure 4 A</t>
  </si>
  <si>
    <t>Feb</t>
  </si>
  <si>
    <t>SsCc: 1:1 mixtures of sesbania + pigeon pea in fallow. Fallow (12/1999-10/2001); M-F (12/2001-4/2002); M-F (12/2002-4/2003); fallow (12/2023-10/2005); M-F (12/2005-4/2006); M-F (12/2006-4/2007)</t>
  </si>
  <si>
    <t xml:space="preserve">Tv: tephrosia in fallow. Fallow (12/1999-10/2001); M-F (12/2001-4/2002); M-F (12/2002-4/2003); fallow (12/2023-10/2005); M-F (12/2005-4/2006); M-F (12/2006-4/2007) </t>
  </si>
  <si>
    <t>Tephrosia vogelii</t>
  </si>
  <si>
    <t>SsTv: 1:1 mixtures of sesbania + tephrosia in fallow. Fallow (12/1999-10/2001); M-F (12/2001-4/2002); M-F (12/2002-4/2003); fallow (12/2023-10/2005); M-F (12/2005-4/2006); M-F (12/2006-4/2007)</t>
  </si>
  <si>
    <t xml:space="preserve">Ss: sesbania in fallow. Fallow (12/1999-10/2001); M-F (12/2001-4/2002); M-F (12/2002-4/2003); fallow (12/2023-10/2005); M-F (12/2005-4/2006); M-F (12/2006-4/2007) </t>
  </si>
  <si>
    <t>MVF: mixed vegetation fallow. The mixed vegetation fallow consisted of natural regenerations of native legume and grass species. Continuously cropped monoculture maize receiving the recommended fertilizer rate served as the control since it represents a simplified and highinput agro-ecosystem.</t>
  </si>
  <si>
    <t>MVF: mixed vegetation fallow. The mixed vegetation fallow consisted of natural regenerations of native legume and grass species.</t>
  </si>
  <si>
    <t>M + F: monoculture maize receiving recommended fertilizer. M+F (12/1999-10/2001); M+F (12/2001-4/2002); M+F (12/2002-4/2003); M+F (12/2023-10/2005); M+F (12/2005-4/2006); M+F (12/2006-4/2007)</t>
  </si>
  <si>
    <t>M + F: monoculture maize receiving recommended fertilizer. M+F (12/1999-10/2001); M+F (12/2001-4/2002); M+F (12/2002-4/2003); M+F (12/2023-10/2005); M+F (12/2005-4/2006); M+F (12/2006-4/2007).  Continuously cropped monoculture maize receiving the recommended fertilizer rate served as the control since it represents a simplified and highinput agro-ecosystem.</t>
  </si>
  <si>
    <t>Compound..Urea</t>
  </si>
  <si>
    <t>200..200</t>
  </si>
  <si>
    <t>100..92</t>
  </si>
  <si>
    <t>millipedes</t>
  </si>
  <si>
    <t>Millipedes</t>
  </si>
  <si>
    <t>Figure 4 B</t>
  </si>
  <si>
    <t>termites</t>
  </si>
  <si>
    <t>Termites</t>
  </si>
  <si>
    <t>Figure 4 C</t>
  </si>
  <si>
    <t>Beetles</t>
  </si>
  <si>
    <t>Figure 4 D</t>
  </si>
  <si>
    <t>Centipedes</t>
  </si>
  <si>
    <t>Figure 4 E</t>
  </si>
  <si>
    <t>At harvest maize grain yield (moisture content 1⁄4 13%) were recorded from each of the replicates for each treatment.</t>
  </si>
  <si>
    <t>Maize grain</t>
  </si>
  <si>
    <t>Maize grain yield</t>
  </si>
  <si>
    <t xml:space="preserve"> 2.645833333333334</t>
  </si>
  <si>
    <t>Figure 8a</t>
  </si>
  <si>
    <t xml:space="preserve"> 3.9791666666666674</t>
  </si>
  <si>
    <t xml:space="preserve"> 3.875000000000001</t>
  </si>
  <si>
    <t xml:space="preserve"> 4.479166666666668</t>
  </si>
  <si>
    <t xml:space="preserve"> 3.4791666666666674</t>
  </si>
  <si>
    <t>MVF: mixed vegetation fallow. The mixed vegetation fallow consisted of natural regenerations of native legume and grass species. Continuously cropped monoculture maize receiving the recommended fertilizer rate served as the control since it represents a s</t>
  </si>
  <si>
    <t xml:space="preserve"> 4.729166666666668</t>
  </si>
  <si>
    <t xml:space="preserve"> 0.9383798956186125</t>
  </si>
  <si>
    <t>Figure 8b</t>
  </si>
  <si>
    <t xml:space="preserve"> 1.7788693478356201</t>
  </si>
  <si>
    <t xml:space="preserve"> 1.6022323582299016</t>
  </si>
  <si>
    <t xml:space="preserve"> 1.326191833691504</t>
  </si>
  <si>
    <t xml:space="preserve"> 1.010284636638744</t>
  </si>
  <si>
    <t xml:space="preserve"> 1.1328450506556722</t>
  </si>
  <si>
    <t xml:space="preserve"> 4.285206789175913</t>
  </si>
  <si>
    <t xml:space="preserve"> 2.0014287569814275</t>
  </si>
  <si>
    <t>Figure 8c</t>
  </si>
  <si>
    <t xml:space="preserve"> 3.4412261332640597</t>
  </si>
  <si>
    <t xml:space="preserve"> 2.4150539031042992</t>
  </si>
  <si>
    <t xml:space="preserve"> 2.3986231978178996</t>
  </si>
  <si>
    <t xml:space="preserve"> 2.770554617482791</t>
  </si>
  <si>
    <t xml:space="preserve"> 1.0643590076633362</t>
  </si>
  <si>
    <t xml:space="preserve"> 5.4946096895700745</t>
  </si>
  <si>
    <t xml:space="preserve"> 0.7115384615384617</t>
  </si>
  <si>
    <t>Figure 8d</t>
  </si>
  <si>
    <t xml:space="preserve"> 0.5384615384615383</t>
  </si>
  <si>
    <t xml:space="preserve"> 0.5961538461538467</t>
  </si>
  <si>
    <t xml:space="preserve"> 0.6153846153846168</t>
  </si>
  <si>
    <t xml:space="preserve"> 0.21153846153846168</t>
  </si>
  <si>
    <t xml:space="preserve"> 2.3076923076923084</t>
  </si>
  <si>
    <t>JA_Kaur,_21_Produ_IN</t>
  </si>
  <si>
    <t>India</t>
  </si>
  <si>
    <t>Punjab Agricultural University (PAU), Ludhiana.</t>
  </si>
  <si>
    <t>The experiment was laid out in split-plot design with seven crop sequences in main plots, viz. maize (Zea mays)-wheat (Triticum aestivum), maize-potato (Solanum tuberosum)mentha (Mentha arvensis) + onion (Allium cepa), maize + cowpea (Vigna unguiculata) (f)-potato-mentha + onion, maize + cowpea (f)-potato-spring maize, maize + cowpea (f)-gobhi sarson-summer moong (Vigna radiata), maizetoria (Brassica rapa) + gobhi sarson (Brassica napus)summer moong and maize + cowpea (f)-toria + gobhi sarson-summer moong and four irrigation schedules in sub plots: 0.75 IW/CPE, 1.0 IW/CPE, 1.25 IW/CPE and recommended schedule with three replications.</t>
  </si>
  <si>
    <t>crop growing seasons (2016-2017, 2017-2018)</t>
  </si>
  <si>
    <t>M-W: maize (Zea mays)-wheat (Triticum aestivum)</t>
  </si>
  <si>
    <t>PMH 1</t>
  </si>
  <si>
    <t>Wheat</t>
  </si>
  <si>
    <t>Crop rotation (Low diversity)</t>
  </si>
  <si>
    <t>Total fertilizer application was 125 kg N/ha, 60 kg P2O5/ha and 30 kg K2O/ha. One third of N and entire quantity of P2O5 and K2O were applied at the time of sowing.</t>
  </si>
  <si>
    <t>Two hand weedings were given to control weeds.</t>
  </si>
  <si>
    <t>times</t>
  </si>
  <si>
    <t>Seeds were treated with Bavistin 50 WP (carbendazim) @ 3 g/kg seed. Pre-emergence herbicide Stomp 30 EC (pendimethalin) was sprayed within 2 days of sowing. Decis 2.8 EC (deltamethrin) was sprayed to control maize borer.</t>
  </si>
  <si>
    <t>carbendazim</t>
  </si>
  <si>
    <t>g/kg seed</t>
  </si>
  <si>
    <t>pendimethalin</t>
  </si>
  <si>
    <t>deltamethrin</t>
  </si>
  <si>
    <t>The amount of irrigation water applied (mm) was calculated from the initial and the final flow meter readings divided by the area of the sub plot. First irrigation was applied before sowing and further irrigations were applied at the pre-tasseling, silking and grain filling stages.</t>
  </si>
  <si>
    <t>mm</t>
  </si>
  <si>
    <t>3 replications</t>
  </si>
  <si>
    <t>Maize- Wheat yield</t>
  </si>
  <si>
    <t>Machinery..Inorganic Fertilizer..Pesticides..Irrigation..Organic Fertilizer</t>
  </si>
  <si>
    <t>Net income</t>
  </si>
  <si>
    <t>Net returns: Net returns were calculated by subtracting total variable cost from the gross returns.</t>
  </si>
  <si>
    <t>INR/ha</t>
  </si>
  <si>
    <t>Table 2</t>
  </si>
  <si>
    <t>M-P-Me+O:maize-potato (Solanum tuberosum)-mentha (Mentha arvensis)  onion (Allium cepa)</t>
  </si>
  <si>
    <t>Potato</t>
  </si>
  <si>
    <t>Mentha</t>
  </si>
  <si>
    <t>Crop rotation (High diversity)</t>
  </si>
  <si>
    <t>Maize- Mentha- Onion- Potato yield</t>
  </si>
  <si>
    <t>M+C(f)-P- Me+O: maize  cowpea (Vigna unguiculata) (f)-potato-mentha  onion</t>
  </si>
  <si>
    <t>M(f)-P- Me+O: maize  cowpea (Vigna unguiculata) (f)-potato-mentha  onion</t>
  </si>
  <si>
    <t>Cowpea- Maize- Mentha- Onion- Potato yield</t>
  </si>
  <si>
    <t>M+C(f)-P-SpM: maize  cowpea (f)-potato-spring maize</t>
  </si>
  <si>
    <t>M(f)-P-SpM: maize  cowpea (f)-potato-spring maize</t>
  </si>
  <si>
    <t>Cowpea- Maize- Potato yield</t>
  </si>
  <si>
    <t>M+C(f)-Gs-SuMo: maize  cowpea (f)-gobhi sarson (Brassica napus)-summer moong (Vigna radiata)</t>
  </si>
  <si>
    <t>Canola</t>
  </si>
  <si>
    <t>Mung Bean</t>
  </si>
  <si>
    <t>M(f)-Gs-SuMo: maize  cowpea (f)-gobhi sarson (Brassica napus)-summer moong (Vigna radiata)</t>
  </si>
  <si>
    <t>Cowpea- Gobhi sarson- Maize- Summer moong yield</t>
  </si>
  <si>
    <t>M-TSuMo: maize-toria (Brassica rapa)  gobhi sarson (Brassica napus)- summer moong</t>
  </si>
  <si>
    <t>Turnip</t>
  </si>
  <si>
    <t>Gobhi sarson- Maize- Moong- Toria yield</t>
  </si>
  <si>
    <t>M+C(f)-TSuMo: maize  cowpea (f)-toria- gobhi sarson-summer moong (Vigna radiata)</t>
  </si>
  <si>
    <t>M(f)-TSuMo: maize  cowpea (f)-toria- gobhi sarson-summer moong (Vigna radiata)</t>
  </si>
  <si>
    <t>Cowpea- Gobhi sarson- Maize- Moong- Toria yield</t>
  </si>
  <si>
    <t>M(f)-Gs-SuMo: maize  cowpea (f)-gobhi sarson-summer moong (Vigna radiata)</t>
  </si>
  <si>
    <t>B:C ratio</t>
  </si>
  <si>
    <t>Benefit cost ratio was calculated by dividing the net returns with total variable cost under the respective treatment.</t>
  </si>
  <si>
    <t>Benefit Cost Ratio (NRVC)</t>
  </si>
  <si>
    <t>M-P-Me:maize-potato (Solanum tuberosum)-mentha (Mentha arvensis)  onion (Allium cepa)</t>
  </si>
  <si>
    <t>M(f)-P- Me: maize  cowpea (Vigna unguiculata) (f)-potato-mentha  onion</t>
  </si>
  <si>
    <t>kharif maize grain yield</t>
  </si>
  <si>
    <t>kharif maize grain yield (pooled)</t>
  </si>
  <si>
    <t>q/ha</t>
  </si>
  <si>
    <t>Table 1</t>
  </si>
  <si>
    <t>Irrigation</t>
  </si>
  <si>
    <t>Apparent water productivity (kg/m3) of kharif maize</t>
  </si>
  <si>
    <t>AWP (kg/m3) is the ratio of grain yield to irrigation water applied.</t>
  </si>
  <si>
    <t>Water Use Efficiency</t>
  </si>
  <si>
    <t>kg/m3</t>
  </si>
  <si>
    <t>Energy productivity  (g grain/MJ)</t>
  </si>
  <si>
    <t>Energy productivity (g grain per MJ energy): The energy productivity (EP) was worked out as ratio of grain yield (g/ha) to the energy input (MJ/ha) as suggested by Demicran et al. (2006).</t>
  </si>
  <si>
    <t>Energy Use Efficiency</t>
  </si>
  <si>
    <t>g/MJ</t>
  </si>
  <si>
    <t>JA_Perry_16_how n_Fo</t>
  </si>
  <si>
    <t>Peru</t>
  </si>
  <si>
    <t>Macuya</t>
  </si>
  <si>
    <t>Pimental</t>
  </si>
  <si>
    <t>Village</t>
  </si>
  <si>
    <t>Comparison of 5 land-use systems (natural forest, multistrata agroforest, cocoa agroforest, cassava monoculture, weedy grassland) across several villages near Pucallpa city, Peruvian Amazon. Four sampling plots per village (25 x 25 m); each plot sampled six times with monthly repetition (Macuya forest only four times). Insects collected using one Malaise trap, nine pitfall traps in a 5 x 5 m grid, and sweeping net zigzag transects (80 m) per plot, between 6:30-10:30 am, March-August 2009 and February-November 2010. Per Table 1, not all habitats occur in all villages.</t>
  </si>
  <si>
    <t>March to August 2009, and February to November 2010</t>
  </si>
  <si>
    <t>Wet and dry seasons</t>
  </si>
  <si>
    <t>primary natural forest (selectively logged 20+ yrs ago; closed canopy; 9 trees/25 m2; 95% ground shade) and ~20 yr old closed-canopy forest in Pimental</t>
  </si>
  <si>
    <t>No tillage (natural forest)</t>
  </si>
  <si>
    <t>Natural forest selectively logged 20+ years, on the edges; trees, palms, shrubs, thick layer of fallen leaves and woody material; Closed canopy; tree density 9 trees/25 m2; 95% ground shade, several natural streams and small ponds of  standing water.</t>
  </si>
  <si>
    <t>12 plots of 25 x 25 m sampled (4 per village x 3 villages), plus Macuya forest plots. Each plot sampled with 1 Malaise trap + 9 pitfall traps (5x5 m grid) + sweep net (80 m zigzag transect). Samples collected after 24 h. Insects sorted into morphospecies; Coleoptera, Hymenoptera, Orthoptera, Homoptera and Dictyoptera (Blattodea) retained for analysis.</t>
  </si>
  <si>
    <t>insect morphospecies (5 orders)</t>
  </si>
  <si>
    <t>Coleoptera</t>
  </si>
  <si>
    <t>Hymenoptera</t>
  </si>
  <si>
    <t>Orthoptera</t>
  </si>
  <si>
    <t>Homoptera</t>
  </si>
  <si>
    <t>Dictyoptera</t>
  </si>
  <si>
    <t>Abundance (total number of individuals)</t>
  </si>
  <si>
    <t>Total number of individuals collected across all samples per habitat.</t>
  </si>
  <si>
    <t>individuals</t>
  </si>
  <si>
    <t>T1..T2..C2..C3</t>
  </si>
  <si>
    <t>Total</t>
  </si>
  <si>
    <t>tab2</t>
  </si>
  <si>
    <t>Lolita</t>
  </si>
  <si>
    <t>I removed the total values for the subindicators that have mean and sd. I fixed the agroforestry section</t>
  </si>
  <si>
    <t>verified</t>
  </si>
  <si>
    <t>Antonio Raimondi</t>
  </si>
  <si>
    <t>Multistrata agroforest: Inga edulis + pineapples, 6 yrs old, tree density 5-7 trees/25 m2, trees 6-9 m high, 75-80% ground shade</t>
  </si>
  <si>
    <t>Pineapple</t>
  </si>
  <si>
    <t>Inga edulis</t>
  </si>
  <si>
    <t>trees/m2</t>
  </si>
  <si>
    <t>Slash-and-burn used to establish plots; no regular tillage within agroforest</t>
  </si>
  <si>
    <t>Multistrata agroforest (Inga + pineapples)</t>
  </si>
  <si>
    <t>Agroforestry (low diversity)</t>
  </si>
  <si>
    <t>Porvenir, San Alejandro</t>
  </si>
  <si>
    <t>Cocoa agroforest: Theobroma cacao shaded by Piper nigrum (Pimental) or various shade trees (Inga sp., Calycophyllum sp., Dipteryx sp., Tabebuia sp.) in San Alejandro. 6 yrs old; tree density 6 trees/25 m2; trees 12 m; 50% ground shade; little herbaceous undergrowth</t>
  </si>
  <si>
    <t>Cocoa</t>
  </si>
  <si>
    <t>Inga sp.</t>
  </si>
  <si>
    <t>Calycophyllum spruceanum</t>
  </si>
  <si>
    <t>Dipteryx sp.</t>
  </si>
  <si>
    <t>Tabebuia sp.</t>
  </si>
  <si>
    <t>Cocoa agroforest (cocoa + shade trees)</t>
  </si>
  <si>
    <t>Multistrata Agroforestry</t>
  </si>
  <si>
    <t>Agroforestry (high diversity)</t>
  </si>
  <si>
    <t>Annual crops: Cassava monoculture; low vegetation density; no shade; established after slash-and-burn clearing</t>
  </si>
  <si>
    <t>Cassava</t>
  </si>
  <si>
    <t>Slash-and-burn clearing followed by hand-hoe land preparation</t>
  </si>
  <si>
    <t>Cassava monoculture; low vegetation density; no shade; established after slash-and-burn clearing</t>
  </si>
  <si>
    <t>Weedy grassland on degraded soils; dominated by Imperata brasiliensis; compact 1.2 m tall grass vegetation; some grasslands burned up to three times per year</t>
  </si>
  <si>
    <t>Imperata brasiliensis</t>
  </si>
  <si>
    <t>No tillage; degraded land</t>
  </si>
  <si>
    <t>Grassland (unknown if natural/semi-natural)</t>
  </si>
  <si>
    <t>Observed species richness per sample</t>
  </si>
  <si>
    <t>Mean observed species richness per sample (no. of morphospecies per sample plot/trap-round), with SD.</t>
  </si>
  <si>
    <t>species/sample</t>
  </si>
  <si>
    <t>Jackknife species richness per sample</t>
  </si>
  <si>
    <t>Mean Jackknife estimate of species richness per sample, with SD.</t>
  </si>
  <si>
    <t>Jack-knife Species Richness</t>
  </si>
  <si>
    <t>n/sample</t>
  </si>
  <si>
    <t>Shannon-Weiner diversity index per sample</t>
  </si>
  <si>
    <t>Mean Shannon-Weiner diversity index (H', log base e) per sample, with SD.</t>
  </si>
  <si>
    <t>Shannon-Wiener Index</t>
  </si>
  <si>
    <t>Shannon-Weaver Index (H')</t>
  </si>
  <si>
    <t>Simpson's diversity index (1-D) per sample</t>
  </si>
  <si>
    <t>Mean Simpson's diversity index (1-D) per sample, with SD.</t>
  </si>
  <si>
    <t>Simpson Index</t>
  </si>
  <si>
    <t>Simpson's diversity index</t>
  </si>
  <si>
    <t>JA_TerAv_19_Diver_AG</t>
  </si>
  <si>
    <t>Malawi</t>
  </si>
  <si>
    <t>Nkhotakota</t>
  </si>
  <si>
    <t>Research plots were established on four smallholder farms in each district in November 2011. On each farm three plots were established: continuous no-till maize (NTM), conservation agriculture rotation (CAR), and conventional tillage rotation (CTR). Individual research plots were small–0.13 ha in Nkhotakota and 0.25 ha in Dowa–due to the already limited landholding size farmers typically possess in Malawi</t>
  </si>
  <si>
    <t>the 2011/12, 2012/13, and 2013/14 growing seasons in the Central region of Malawi</t>
  </si>
  <si>
    <t>NTM: continuous no-till maize</t>
  </si>
  <si>
    <t>DK 9089</t>
  </si>
  <si>
    <t>No Tillage</t>
  </si>
  <si>
    <t>Inorganic fertilizer</t>
  </si>
  <si>
    <t>Weeds were controlled by hand-hoeing.</t>
  </si>
  <si>
    <t>roundup</t>
  </si>
  <si>
    <t>harness</t>
  </si>
  <si>
    <t>4 smallholders per district</t>
  </si>
  <si>
    <t>yield maize</t>
  </si>
  <si>
    <t>gross revenue</t>
  </si>
  <si>
    <t>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</si>
  <si>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density, fertilizers from table 1. chemicals from table 2. economic output from table 7</t>
  </si>
  <si>
    <t>CAR: conservation agriculture rotation (Cassava, pigeon pea, cowpea, pigeon pea, maize</t>
  </si>
  <si>
    <t>Manyakola</t>
  </si>
  <si>
    <t>Pigeon Pea</t>
  </si>
  <si>
    <t>Mwaiwathu alimi</t>
  </si>
  <si>
    <t>IT 82E-16</t>
  </si>
  <si>
    <t>Intercrop Rotation</t>
  </si>
  <si>
    <t>dimethoate</t>
  </si>
  <si>
    <t>ml/l</t>
  </si>
  <si>
    <t>yield (cassava, pigeon pea,cowpea, maize), cassava leaves, cassava stems, firewood, cowpea leaves</t>
  </si>
  <si>
    <t>Cassava Tuber..Cassava Stems..Cassava Leaves</t>
  </si>
  <si>
    <t>Pigeon Pea Grain</t>
  </si>
  <si>
    <t>Cowpea leaves..Cowpea</t>
  </si>
  <si>
    <t>CTR: conventional tillage rotation (Cassava, soybean, maize)</t>
  </si>
  <si>
    <t>Nasoko</t>
  </si>
  <si>
    <t>Conventional tillage</t>
  </si>
  <si>
    <t>yield (cassava, soybean, maize), cassava leaves, cassava stems, firewood</t>
  </si>
  <si>
    <t>Dowa</t>
  </si>
  <si>
    <t>T3..T4</t>
  </si>
  <si>
    <t>density, fertilizers from table 1. chemicals from table3.economic output from table 7</t>
  </si>
  <si>
    <t>CAR: conservation agriculture rotation (Sweet potato, pigeon pea, bean, maize)</t>
  </si>
  <si>
    <t>Sweet Potato</t>
  </si>
  <si>
    <t>Mugamba</t>
  </si>
  <si>
    <t>Common Bean</t>
  </si>
  <si>
    <t>Khulophete</t>
  </si>
  <si>
    <t>yield (sweet potato, pigeon pea, bean, maize), sweet potato leaves, sweet potato vines, bean leaves</t>
  </si>
  <si>
    <t>Sweet Potato Tuber..Sweet Potato Leaves</t>
  </si>
  <si>
    <t>Common Bean Grain..Common Bean Leaves</t>
  </si>
  <si>
    <t>CTR: conventional tillage rotation (sweet potato, bean, maize)</t>
  </si>
  <si>
    <t>yield (sweet potato, bean, maize), sweet potato leaves, sweet potato vines, bean leaves</t>
  </si>
  <si>
    <t>Planting..Inorganic Fertilizer Application..Herbicides Application..Harvesting..Weeding</t>
  </si>
  <si>
    <t>labor cost</t>
  </si>
  <si>
    <t>Labor costs were based on time. Some labor time was measured directly (e.g., planting, applying fertilizer, spraying herbicides and pesticides, and harvesting crops and firewood), while other time was determined through farmer interviews (e.g., cultivating ridges, laying out crop residue, and hand-weeding). Labor costs were based on Malawi's official minimum daily wage and converted from the Malawi kwacha to US dollars. The minimum daily wage was about $1.00 per 8h day ($1.02, $0.98, and $1.07, in years 1, 2 and 3, respectively).</t>
  </si>
  <si>
    <t>Planting..Inorganic Fertilizer Application..Herbicides Application..Insecticides Application..Harvesting..Weeding</t>
  </si>
  <si>
    <t>Seeds..Inorganic Fertilizer..Herbicides..Transport..Equipment..Labor Cost</t>
  </si>
  <si>
    <t>total costs</t>
  </si>
  <si>
    <t>Labor costs were based on Malawi's official minimum daily wage and converted from the Malawi kwacha to US dollars. The minimum daily wage was about $1.00 per 8-h day ($1.02, $0.98, and $1.07, in years 1, 2 and 3, respectively). 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</si>
  <si>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Total Cost</t>
  </si>
  <si>
    <t>Seeds..Inorganic Fertilizer..Herbicides..Insecticides..Transport..Equipment..Labor Cost</t>
  </si>
  <si>
    <t>Seeds..Inorganic Fertilizer..Transport..Labor Cost</t>
  </si>
  <si>
    <t>net revenue</t>
  </si>
  <si>
    <t>Net revenue was calculated as gross revenue minus total production costs.</t>
  </si>
  <si>
    <t>Net Return</t>
  </si>
  <si>
    <t>labor productivity</t>
  </si>
  <si>
    <t>Return to Labour</t>
  </si>
  <si>
    <t>USD/d</t>
  </si>
  <si>
    <t>gross margin With opportunity cost of labor</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</si>
  <si>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ha−1</t>
  </si>
  <si>
    <t>%</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</si>
  <si>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ha−2</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</si>
  <si>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ha−3</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</si>
  <si>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ha−4</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</si>
  <si>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ha−5</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</si>
  <si>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ha−6</t>
  </si>
  <si>
    <t>outputs maize year 3</t>
  </si>
  <si>
    <t>density, fertilizers from table 1. chemicals from table 2. yield year 3 from table 5</t>
  </si>
  <si>
    <t>density, fertilizers from table 1. chemicals from table3.yield year 3 from table 6</t>
  </si>
  <si>
    <t>JA_Mideg_10_Integ_In</t>
  </si>
  <si>
    <t>ICIPE, Mbita Point</t>
  </si>
  <si>
    <t>Finger millet (var. Local) was planted either in sole stands (monocrop) or intercropped in alternate rows with D. intortum in experimental plots following the methodologies of Khan et al. (2006b). Finger millet was planted at a row-to-row distance of 60 cm and a plant-to-plant distance of 15 cm within a row. The layout comprised four large plots each measuring, 30 6 30 m where finger millet – D. intortum intercrop and the control were diagonally placed, with 2-m buffer strips between plots as described in Khan et al. (2006b). To facilitate sampling a method adapted from Khan et al. (2001) was used, with modifications, to create subplots within the established plots. Random-paired subplots of 8 6 8 m along perpendicular transect lines bisecting both treatment and control plots were demarcated with four replications in each plot.</t>
  </si>
  <si>
    <t>The study was conducted between the long (March to August) rainy season of 2007 and short (October to January) rainy season of 2008</t>
  </si>
  <si>
    <t>Monocrop</t>
  </si>
  <si>
    <t>Finger Millet</t>
  </si>
  <si>
    <t>Finger millet (var. Local) was planted either in sole stands (monocrop) or intercropped in alternate rows with D. intortum in experimental plots following the methodologies of Khan et al. (2006b).</t>
  </si>
  <si>
    <t>Diammonium Phosphate..Calcium Ammonium Nitrate</t>
  </si>
  <si>
    <t>Unspecified..Unspecified..Unspecified</t>
  </si>
  <si>
    <t>Random-paired subplots of 8 6 8 m along perpendicular transect lines bisecting both treatment and control plots were demarcated with four replications in each plot.</t>
  </si>
  <si>
    <t>Planting..Weeding..Inorganic Fertilizer Application..Harvesting..Threshing</t>
  </si>
  <si>
    <t>total labour cost</t>
  </si>
  <si>
    <t>is the amount of money paid for the labour of carrying out activity i.</t>
  </si>
  <si>
    <t>Table 7</t>
  </si>
  <si>
    <t>Intercrop</t>
  </si>
  <si>
    <t>Desmodium distortum</t>
  </si>
  <si>
    <t>Planting..Weeding..Inorganic Fertilizer Application..Harvesting..Threshing..Land Preparation..Seeds..Inorganic Fertilizer</t>
  </si>
  <si>
    <t>total variable costs</t>
  </si>
  <si>
    <t>total labour cost plus total non-labour costs</t>
  </si>
  <si>
    <t>the amount of money generated from the sale of plot output i, including finger millet grain and stover, and desmodium forage.</t>
  </si>
  <si>
    <t>Finger Millet Grain</t>
  </si>
  <si>
    <t>Finger Millet Straw</t>
  </si>
  <si>
    <t>total revenue</t>
  </si>
  <si>
    <t>Desmodium intortum</t>
  </si>
  <si>
    <t>total revenue minus total variable costs</t>
  </si>
  <si>
    <t>yield</t>
  </si>
  <si>
    <t>Grain yields of finger millet, finger millet stover and desmodium intortum forage</t>
  </si>
  <si>
    <t>Table 4 and Table 5</t>
  </si>
  <si>
    <t>Grain yields of finger millet and finger millet stover</t>
  </si>
  <si>
    <t>striga harmonica counts at 10 weeks after crop emergence</t>
  </si>
  <si>
    <t>Striga hermonthica</t>
  </si>
  <si>
    <t>Striga hermonthica counts in finger millet plots planted in sole stands or intercropped with Desmodium intortum, at 10 weeks after crop emergence</t>
  </si>
  <si>
    <t>striga/84 finger millet plants</t>
  </si>
  <si>
    <t>Mean % stemborer damaged plants</t>
  </si>
  <si>
    <t>Damaged caused by pest</t>
  </si>
  <si>
    <t>% plants damaged (striga)</t>
  </si>
  <si>
    <t>Table 6</t>
  </si>
  <si>
    <t>JA_Alam,_15_Impro_FI</t>
  </si>
  <si>
    <t>Bangladesh Agricultural Research Institute (BARI), Gazipur</t>
  </si>
  <si>
    <t>the entire field was divided into three blocks separated by a 1.5-m walkway and each block was subdivided into four plots each measuring 35 m × 41 m separated by earthen bunds (0.6 m wide and 0.3 m high). Four cropping system treatments referred to as scenarios (S) were designed based on different drivers of agricultural change (Table 2). The scenarios varied from each other in tillage, crop establishment, residue management, crop rotation and other management practices. Treatments referred to as scenarios 1–4 (S1–S4) were assigned to individual plots and replicated thrice in a randomized complete block design. Scenario details involving crop management and various field activities are provided in Tables 2 and 3, respectively.</t>
  </si>
  <si>
    <t>Crop production was distributed across the three seasons common in the country: Rabi, also called Boro (November to March); premonsoon Kharif-1, also called Aus (April to June); and monsoon Kharif-2, also called Aman (July to October). The trial began in Boro 2009–2010.</t>
  </si>
  <si>
    <t>scenario 1: 1(business as usual–farmers practice): Rice (Boro)-fallow (Aus)-rice (Aman). This scenario represents current farmers’ practices of crop rotation, crop varieties and management (tillage and crop establishment, and residue), which were based on an on-farm survey conducted in 263 farmers’ fields during 2006–2008 in the neighboring area. Rice (Boro)–fallow (Aus)–rice (Aman) was the crop rotation because it is the predominant cropping pattern covering more than 80% of the cultivated area in the region. In both seasons (Boro and Aman), rice was grown by transplanting four to six seedlings per hill in puddled soil prepared by intensive wet tillage. Boro rice was irrigated but Aman rice was rainfed. Rice was harvested manually at or near ground level, leaving 5–10 cm standing biomass from the ground which was incorporated during land preparation of the next crop.</t>
  </si>
  <si>
    <t>Rice</t>
  </si>
  <si>
    <t>BRRI dhan 28</t>
  </si>
  <si>
    <t>kg seed/ha</t>
  </si>
  <si>
    <t>BR11</t>
  </si>
  <si>
    <t>BRRI dhan 49</t>
  </si>
  <si>
    <t>Conventional  tillage–puddling(CTPd)</t>
  </si>
  <si>
    <t>Puddling</t>
  </si>
  <si>
    <t>Transplanted  manually</t>
  </si>
  <si>
    <t>Transplanting</t>
  </si>
  <si>
    <t>Natural Fallow (&lt;6months)</t>
  </si>
  <si>
    <t>boro</t>
  </si>
  <si>
    <t>MicroNutrient</t>
  </si>
  <si>
    <t>Sulphur</t>
  </si>
  <si>
    <t>hand weeding 3 in all years</t>
  </si>
  <si>
    <t>total</t>
  </si>
  <si>
    <t>see table 3</t>
  </si>
  <si>
    <t>carbofuran (furadan 5G)</t>
  </si>
  <si>
    <t>kg a.i./ha</t>
  </si>
  <si>
    <t>Incorporated 5–10-cm standing rice biomass</t>
  </si>
  <si>
    <t>Crop Residue Incorporated</t>
  </si>
  <si>
    <t>In-field</t>
  </si>
  <si>
    <t>cm (depth)</t>
  </si>
  <si>
    <t>BORO: Irrigated, water applied at  5–6-cm depth when no standing water in the field without any soil crack. AMAN: Rainfed—no irrigation  applied in 2010 and 2012, irrigation applied at booting in 2011.</t>
  </si>
  <si>
    <t>Irrigation (Other)</t>
  </si>
  <si>
    <t>Ground</t>
  </si>
  <si>
    <t>Manually</t>
  </si>
  <si>
    <t>Treatments referred to as scenarios 1–4 (S1–S4) were assigned to individual plots and replicated thrice in a randomized complete block design. Scenario details involving crop management and various field activities are provided in Tables 2 and 3, respectively.</t>
  </si>
  <si>
    <t>aman rice yield</t>
  </si>
  <si>
    <t>Rice Grain</t>
  </si>
  <si>
    <t>Grain yields of  Aman rice</t>
  </si>
  <si>
    <t>Mg/ha</t>
  </si>
  <si>
    <t>T1..C3</t>
  </si>
  <si>
    <t>table 7</t>
  </si>
  <si>
    <t>aman</t>
  </si>
  <si>
    <t>scenario 2: (best management practices with conventional tillage): rice (Boro)Â–fallow (Aus)?rice (Aman) crop rotation. Scenario 2 was designed to increase productivity, input use efficiency and profitability of the rice (Boro)–fallow (Aus)–rice (Aman) crop rotation through the use of BMPs. Rice was manually transplanted into puddled and leveled soils prepared by three to four passes of a power tiller followed by two passes of the power tiller with wooden plank for leveling. At harvest, 30 cm standing rice biomass was incorporated during land preparation of the next crop.</t>
  </si>
  <si>
    <t>Sulphur..Zinc</t>
  </si>
  <si>
    <t>10..2</t>
  </si>
  <si>
    <t>3 in 2009-2011, 1 in 2010-2011, 2 in 2011-2012</t>
  </si>
  <si>
    <t>pendimethalin (Panida 33 EC)</t>
  </si>
  <si>
    <t>l a.i./ha</t>
  </si>
  <si>
    <t>cartap (cidan 4G)</t>
  </si>
  <si>
    <t>Incorporated 30-cm standing rice biomass</t>
  </si>
  <si>
    <t>BORO: Irrigated, water applied at 3–4-cm depth following AWD method. AMAN: Supplemental irrigation applied following AWD method. No irrigation required in 2010. In 2011 and 2012, irrigation applied at booting and flowering stage.</t>
  </si>
  <si>
    <t>scenario 3: (best management practices with reduced tillage): rice (Boro)-fallow (Aus)-rice (Aman) crop rotation. Similar to S2, S3 had the objective of increasing productivity, input use efficiency and profitability of the rice (Boro)–fallow (Aus)–rice (Aman) crop rotation through the use of BMPs. In addition some components of CA were included to specifically address shortages of labor and water. Intensive wet tillage (puddling) was avoided by transplanting in non-puddled soil. At harvest, 30 cm standing biomass was left and incorporated during land preparation of the next crop. Boro rice was transplanted manually and Aman rice with a mechanical transplanter into reduced-till nonpuddled soils. In Boro, soils prepared by one to two passes of a power tiller operated seeder (PTOS) in dry condition and prior to transplanting water applied. In Aman, soils prepared by two passes of a power tiller in wet condition.</t>
  </si>
  <si>
    <t>Reduced tillage  non-puddled (RT-nonPd)</t>
  </si>
  <si>
    <t>Reduced or Minimum Tillage</t>
  </si>
  <si>
    <t>Transplanted in Aman by machine and in Boro manually</t>
  </si>
  <si>
    <t>3 in 2009-2011, 1 in 2010-2011, 3 in 2011-2012</t>
  </si>
  <si>
    <t>ncorporated 30-cm standing rice biomass</t>
  </si>
  <si>
    <t>BORO: Irrigated, water applied at 3–4 cm depth following AWD method. AMAN: Supplemental irrigation applied following AWD method. No irrigation required in 2010. Irrigation applied at early tillering, booting, and flowering stage in 2011 and at booting and flowering stage in 2012.</t>
  </si>
  <si>
    <t>scenario 4: (crop diversification with best management practices and reduced to zero tillage) potato (Boro)?relay maize (or mungbean) (Aus)?rice (Aman). This scenario was designed for water- and labor-scarce environments to improve system productivity and profitability through diversified cereal-based cropping systems with BMPs and CA. In this scenario, the crop rotation was potato (Boro)-relay maize (or mungbean) (Aus)-rice (Aman). In 2011, maize failed to grow because of untimely and excessive rainfall. In 2012, mungbean instead of maize was grown after the harvest of potato. Rice was transplanted into reduced-till non-puddled soils prepared by one to two passes of a power tiller in wet condition. Transplanting was done manually in 2010 and 2011 and with a mechanical transplanter in 2012. Potato was planted manually into soils prepared with reduced tillage (four to five passes of a power tiller followed by two passes of laddering) while maize and mungbean were sown with zero tillage (ZT). At harvest, 30 cm standing rice biomass was left and incorporated during land preparation of the next crop and full residues of non-rice crops were retained on soil surface.</t>
  </si>
  <si>
    <t>Diamond</t>
  </si>
  <si>
    <t>NK 40</t>
  </si>
  <si>
    <t>BARI mung 6</t>
  </si>
  <si>
    <t>BINA 7</t>
  </si>
  <si>
    <t>BRRI dhan 56</t>
  </si>
  <si>
    <t>Zero tillage for maize and mungbean RT-nonPd for rice</t>
  </si>
  <si>
    <t>Rice transplanted in 2012 by machine and in other years manually Potato, maize, and mungbean planted in line manually</t>
  </si>
  <si>
    <t>Crop rotation (seasonal)</t>
  </si>
  <si>
    <t>Sulphur..Zinc..Boron</t>
  </si>
  <si>
    <t>18..4..1</t>
  </si>
  <si>
    <t>1 in 2009-2011, 1 in 2010-2011, 2 in 2011-2012</t>
  </si>
  <si>
    <t>sulfur (kumulus DF)</t>
  </si>
  <si>
    <t>Incorporated 30-cm standing rice biomass, and full residues of potato, maize, and mungbean retained on surface</t>
  </si>
  <si>
    <t>BORO: Pre-sown irrigation followed by 2 irrigations in 2009–2010 and 1 irrigation in 2010–2011 and 2011–2012 (P). 1 irrigation in 2009–2010 (M) and no irrigation for Mb. AMAN:Supplemental irrigation applied following AWD method. No irrigation required in 2010 and 2012. Irrigation applied at booting stage in 2011.</t>
  </si>
  <si>
    <t>Manually and machine</t>
  </si>
  <si>
    <t>11..2</t>
  </si>
  <si>
    <t>cartap (suntap 50SP)</t>
  </si>
  <si>
    <t>13..6..1</t>
  </si>
  <si>
    <t>chlorpyrifos (dursban 20EC)</t>
  </si>
  <si>
    <t>boro rice, aman rice</t>
  </si>
  <si>
    <t>total water (irrigation + rainfall) productivity (WPI+R) based on rice equivalent yield (REY) of crop and cropping system in different scenarios.</t>
  </si>
  <si>
    <t>The productivity of irrigation (WPI) and total water (WPI+R) was calculated using the following equations: WPI  (kg grain m−3 of irrigation water)  = grain yield (kg ha−1) /irrigation water (mm)  10</t>
  </si>
  <si>
    <t>table 9</t>
  </si>
  <si>
    <t>aman rice, potato, maize</t>
  </si>
  <si>
    <t>Seeds..Inorganic Fertilizer..Pesticides..Fuel..Labor Cost..Electricity</t>
  </si>
  <si>
    <t>total variable cost for cropping system</t>
  </si>
  <si>
    <t>The variable costs included human labor, machinery (power tiller, transplanter and reaper) rent and the cost of production inputs (seed, fertilizer, pesticides, fuel and electricity). The cost of human labor used for tillage, seedling raising, transplanting or planting, irrigation, fertilizer and pesticide application, weeding, harvesting and threshing of crops was calculated by multiplying the person-days ha−1 required for an operation by wage rate.</t>
  </si>
  <si>
    <t>Table 10</t>
  </si>
  <si>
    <t>gross return</t>
  </si>
  <si>
    <t>Gross returns were calculated by multiplying the economic yields of crops by the farm-gate price at harvest time.</t>
  </si>
  <si>
    <t>Table 11</t>
  </si>
  <si>
    <t>net return</t>
  </si>
  <si>
    <t>Net returns (NR) were calculated as the difference between Gross Revenue and Total Variable Cost (NR = GR − TVC).</t>
  </si>
  <si>
    <t>BCR</t>
  </si>
  <si>
    <t>The benefit–cost ratio (BCR) was calculated by dividing gross returns by TVC (BCR = GR/TVC).</t>
  </si>
  <si>
    <t>specific energy</t>
  </si>
  <si>
    <t>The energy equivalent was calculated for each input (seed, fertilizer, irrigation water, pesticides, fuel, electricity, machinery use and labor) and output (economic yield [grain and tuber] and crop residue [straw, stover, shoot]) by multiplying by a respective energy value provided in Table 4. Fuel consumption was recorded during each field operation, which includes land preparation, transplanting and harvesting. The energy usage in irrigation was calculated from the amount of total irrigation water and electricity consumption. The total energy input (EI) and output (EO) were computed by summing the energy equivalents of all the inputs and outputs. Specific energy (SE) was calculated by using the following equations (Moraditochaee, 2012):</t>
  </si>
  <si>
    <t>MJ/kg</t>
  </si>
  <si>
    <t>Table 12</t>
  </si>
  <si>
    <t>JA_Husso_22_Desig_FI</t>
  </si>
  <si>
    <t>Ivory Coast</t>
  </si>
  <si>
    <t>Mbe Africa Rice Center (AfricaRice)</t>
  </si>
  <si>
    <t>Overall, the new design was a split-plot design with three replicates. Cropping systems were fully randomized as main plot and main plots were further split with two fertilization levels (F1, as in 2015 and 2016, and F0, without fertilizer). The sub-plot size was reduced to 17 m × 8 m  (136 m2). There were three replicates, except for one system (conventional system with plowing and burning of the crop residues, system 5.1) for which only two replicates were possible.</t>
  </si>
  <si>
    <t>Three growing seasons-sowing dates were considered, as a function of the cropping systems: spring (sowing in March), summer (sowing in June), and late summer (sowing in July).</t>
  </si>
  <si>
    <t>1.1: Rice+stylo // Maize+Stylo. CA system with rice in rotation with maize, both associated to stylo (Stylosanthes guianensis), sown in June.</t>
  </si>
  <si>
    <t>NERICA 4</t>
  </si>
  <si>
    <t>seeds/ha</t>
  </si>
  <si>
    <t>Stylosanthes guianensis</t>
  </si>
  <si>
    <t>CIAT</t>
  </si>
  <si>
    <t>conservation agriculture</t>
  </si>
  <si>
    <t>Mulched (left on surface)</t>
  </si>
  <si>
    <t>Weeds were controlled by hand weeding starting 3 weeks after sowing, when needed.</t>
  </si>
  <si>
    <t>Manual</t>
  </si>
  <si>
    <t>g/ha</t>
  </si>
  <si>
    <t>2,4-D</t>
  </si>
  <si>
    <t>control of crop residues or cover crops for CA systems: A knife-roller  was passed twice on crop residues or on stylo, dolichos bean or sunn hemp cover crops. Pigeon pea was manually cut just above the soil surface with a machete.</t>
  </si>
  <si>
    <t>Mulch (N fixing)</t>
  </si>
  <si>
    <t>Crop Residue</t>
  </si>
  <si>
    <t>Herbicides..Seeds</t>
  </si>
  <si>
    <t>mean net margin</t>
  </si>
  <si>
    <t>Net margins were calculated as ((the crop harvest × market price) – (herbicide + seed costs))</t>
  </si>
  <si>
    <t>CFA/ha</t>
  </si>
  <si>
    <t>Table 8</t>
  </si>
  <si>
    <t>2.1: Rice+stylo//Rice+stylo: CA system with rice associated to stylo, rice ë‹œ cultivated every year, sown in June.</t>
  </si>
  <si>
    <t>3.1: Rice+Stylo // Stylo //  Rice+Stylo: CA system with rice associated to stylo, rice cultivated every other year (with stylo in pure stand the other year), sown in June.</t>
  </si>
  <si>
    <t>4.1: Rice // Maize conventional  (removing crop residues): CT system with soil tillage, rice sown in June.</t>
  </si>
  <si>
    <t>conventional tillage</t>
  </si>
  <si>
    <t>Disc Plough..Harrow</t>
  </si>
  <si>
    <t>Burned</t>
  </si>
  <si>
    <t>6.1: Maize+Pigeon pea //  Rice+Crotalaria juncea: and various plots of the other systems burnt in 2017: CA system with maizeçŠŒâ¥¹ (sown in March) in rotation with rice sown in June.</t>
  </si>
  <si>
    <t>CRF0025</t>
  </si>
  <si>
    <t>Complex Rotation</t>
  </si>
  <si>
    <t>oxadiazon</t>
  </si>
  <si>
    <t>Crop Residues Burnt</t>
  </si>
  <si>
    <t>8.1: Maize+Groundnut/  Maize+Dolichos // Rice</t>
  </si>
  <si>
    <t>Groundnut</t>
  </si>
  <si>
    <t>Reunion Island</t>
  </si>
  <si>
    <t>10.1: Cassava+Stylo //  Cassava+Stylo // Rice+Stylo</t>
  </si>
  <si>
    <t>Unspecified..CIAT</t>
  </si>
  <si>
    <t>Cassava Tuber</t>
  </si>
  <si>
    <t>Labor day equivalent 2017–2020 (person day year-1)</t>
  </si>
  <si>
    <t>Labor day equivalent was calculated as the net margin divided by 2 500 CFA day-1.</t>
  </si>
  <si>
    <t>Labour Person Hours</t>
  </si>
  <si>
    <t>person-d/y</t>
  </si>
  <si>
    <t>Return on labor day 2017–2020 (CFA person day-1)</t>
  </si>
  <si>
    <t>Return on labor day was calculated as the net margin divided by the estimated manpower.</t>
  </si>
  <si>
    <t>CFA/person-d</t>
  </si>
  <si>
    <t>Impact of fertilization level on mean rice yield (kg ha-1) over the 2017–2020</t>
  </si>
  <si>
    <t>1.2 Rice+Stylo // Maize+Stylo</t>
  </si>
  <si>
    <t>3.0 Rice+Stylo // Stylo //  Rice+Stylo</t>
  </si>
  <si>
    <t>T1..T2..T3..T4..T5..T6..T7..T8..T9</t>
  </si>
  <si>
    <t>5.1 Rice // Maize conventional +  Burning</t>
  </si>
  <si>
    <t>7.2 Maize sc+Cowpea sc/Maize  sc+Pigeon pea // Rice</t>
  </si>
  <si>
    <t>David</t>
  </si>
  <si>
    <t>9.1 Maize+Soybean/Sorghum +  Pigeon pea // Rice</t>
  </si>
  <si>
    <t>Sorghum</t>
  </si>
  <si>
    <t>souna 3</t>
  </si>
  <si>
    <t>Mulch (N fixing and Non N fixing)</t>
  </si>
  <si>
    <t>NPK..Urea</t>
  </si>
  <si>
    <t>200..87</t>
  </si>
  <si>
    <t>T10..T11.T12..T13..T14..T15..T16..T17..18</t>
  </si>
  <si>
    <t>T15</t>
  </si>
  <si>
    <t>T16</t>
  </si>
  <si>
    <t>T17</t>
  </si>
  <si>
    <t>T18</t>
  </si>
  <si>
    <t>JA_Ronne_21_Inter_Ex</t>
  </si>
  <si>
    <t>Uganda</t>
  </si>
  <si>
    <t>Kapchorwa</t>
  </si>
  <si>
    <t>Each experimental field within a farm covered an area of 12 × 12 m, consisting of four subplots of 6 × 6 m in a split-plot design with two levels of pruning and two climbing bean varieties, and two separate plots of 6 × 6 m with the sole-cropped bean varieties (Supplementary Material Appendix I).</t>
  </si>
  <si>
    <t>In Kapchorwa, 13 trials were established in 2016A and 10 in 2016B. Each farm hosted one unreplicated trial; hence, each farm represents one replicate.</t>
  </si>
  <si>
    <t>season A</t>
  </si>
  <si>
    <t>Common bean and banana intercropping. No pruning variety improved: In both seasons, NABE 12C (released in 2005) was planted as the improved climbing bean variety. Pruning on the intercropped plots implied that all banana leaves were removed except the eight youngest leaves from the top. We tested this single pruning level which matches the moderate pruning levels practiced by farmers who intercrop their bananas.</t>
  </si>
  <si>
    <t>Common_Bean</t>
  </si>
  <si>
    <t>NABE 12C</t>
  </si>
  <si>
    <t>Banana</t>
  </si>
  <si>
    <t>No pruning variety improved: In both seasons, NABE 12C (released in 2005) was planted as the improved climbing bean variety.</t>
  </si>
  <si>
    <t>Improved Seeds</t>
  </si>
  <si>
    <t>Common bean and banana intercropping. No pruning variety improved: In both seasons, NABE 12C (released in 2005) was planted as the improved climbing bean variety.</t>
  </si>
  <si>
    <t>Strip</t>
  </si>
  <si>
    <t>season</t>
  </si>
  <si>
    <t>The yields of the two strips and of the remainder of the subplot together established the total climbing bean yield per subplot, for the assessment of bean yields per treatment and the assessment of differences between sole and intercropped beans including the reduction in plant population as a result of the banana intercrop.</t>
  </si>
  <si>
    <t>climbing bean grain yield</t>
  </si>
  <si>
    <t>Common Bean Grain</t>
  </si>
  <si>
    <t>Grain yield</t>
  </si>
  <si>
    <t>climbing bean grain yield per pruning treatment and variety</t>
  </si>
  <si>
    <t>Common bean and banana intercropping. Pruning variety improved: In both seasons, NABE 12C (released in 2005) was planted as the improved climbing bean variety. Pruning on the intercropped plots implied that all banana leaves were removed except the eight youngest leaves from the top. We tested this single pruning level which matches the moderate pruning levels practiced by farmers who intercrop their bananas.</t>
  </si>
  <si>
    <t>Pruning variety improved: In both seasons, NABE 12C (released in 2005) was planted as the improved climbing bean variety.</t>
  </si>
  <si>
    <t>Common bean and banana intercropping. Pruning variety improved: In both seasons, NABE 12C (released in 2005) was planted as the improved climbing bean variety.</t>
  </si>
  <si>
    <t>Common bean and banana intercropping. No pruning variety local: The local climbing bean varieties included in the experiment were NABE 10C in 2016A. Pruning on the intercropped plots implied that all banana leaves were removed except the eight youngest leaves from the top. We tested this single pruning level which matches the moderate pruning levels practiced by farmers who intercrop their bananas.</t>
  </si>
  <si>
    <t>NABE 10C</t>
  </si>
  <si>
    <t>No pruning variety local: The local climbing bean varieties included in the experiment were NABE 10C in 2016A</t>
  </si>
  <si>
    <t>Unimproved Variety</t>
  </si>
  <si>
    <t>Common bean and banana intercropping. No pruning variety local: The local climbing bean varieties included in the experiment were NABE 10C in 2016A</t>
  </si>
  <si>
    <t>Common bean and banana intercropping. Pruning variety local: The local climbing bean varieties included in the experiment were NABE 10C in 2016A. Pruning on the intercropped plots implied that all banana leaves were removed except the eight youngest leaves from the top. We tested this single pruning level which matches the moderate pruning levels practiced by farmers who intercrop their bananas.</t>
  </si>
  <si>
    <t>Pruning variety local: The local climbing bean varieties included in the experiment were NABE 10C in 2016A</t>
  </si>
  <si>
    <t>Common bean and banana intercropping. Pruning variety local: The local climbing bean varieties included in the experiment were NABE 10C in 2016A</t>
  </si>
  <si>
    <t>Common bean monoculture. Sole cropping variety improved:  In both seasons, NABE 12C (released in 2005) was planted as the improved climbing bean variety.</t>
  </si>
  <si>
    <t>Sole cropping variety improved:  In both seasons, NABE 12C (released in 2005) was planted as the improved climbing bean variety.</t>
  </si>
  <si>
    <t>Common bean monoculture. Sole cropping variety local: The local climbing bean varieties included in the experiment were NABE 10C in 2016A</t>
  </si>
  <si>
    <t>Sole cropping variety local: The local climbing bean varieties included in the experiment were NABE 10C in 2016A</t>
  </si>
  <si>
    <t>Kanungu</t>
  </si>
  <si>
    <t>0.967283155211626</t>
  </si>
  <si>
    <t>In Kanungu 15 trials were established in 2016A and 14 in 2016B. Each farm hosted one unreplicated trial; hence, each farm represents one replicate.</t>
  </si>
  <si>
    <t>season B</t>
  </si>
  <si>
    <t>Common bean and banana intercropping. No pruning variety local: The local climbing bean varieties included in the experiment were NABE 8C in 2016B. Pruning on the intercropped plots implied that all banana leaves were removed except the eight youngest leaves from the top. We tested this single pruning level which matches the moderate pruning levels practiced by farmers who intercrop their bananas.</t>
  </si>
  <si>
    <t>NABE 8C</t>
  </si>
  <si>
    <t>Common bean and banana intercropping. Pruning variety local: The local climbing bean varieties included in the experiment were NABE 8C in 2016B. Pruning on the intercropped plots implied that all banana leaves were removed except the eight youngest leaves from the top. We tested this single pruning level which matches the moderate pruning levels practiced by farmers who intercrop their bananas.</t>
  </si>
  <si>
    <t>Common bean monoculture. Sole cropping variety local: The local climbing bean varieties included in the experiment were NABE 8C in 2016B</t>
  </si>
  <si>
    <t>JA_Phiri_24_Compa_Ag</t>
  </si>
  <si>
    <t>Msongwe</t>
  </si>
  <si>
    <t>Ward</t>
  </si>
  <si>
    <t>34.058109999999999</t>
  </si>
  <si>
    <t>A 2-year field experiment was conducted using a split plot design with three replications during the 2020–2021 and 2021–2022 CS. The experiment consisted of seven CS as the main plots: sole cropped maize without fertilizer (MZ), sole cropped maize with 92 kg top dressing N fertilizer per hectare (MZ + 92), sole cropped cowpea (CP), sole cropped pigeon pea (PP), intercrop of pigeon pea and maize (PP + MZ), intercrop of cowpea and maize (CP + MZ), and intercrop of pigeon pea and cowpea (PP + CP).</t>
  </si>
  <si>
    <t>A 2-year field experiment was conducted using a split plot design with three replications during the 2020–2021 and 2021–2022 CS (Figure 1).</t>
  </si>
  <si>
    <t>PP: sole cropped pigeon pea (PP)</t>
  </si>
  <si>
    <t>Pigeon_Pea</t>
  </si>
  <si>
    <t>ICEAP 00557</t>
  </si>
  <si>
    <t>seeds/m2</t>
  </si>
  <si>
    <t>All treatments were replicated three times.</t>
  </si>
  <si>
    <t>Table 5 and 6</t>
  </si>
  <si>
    <t>PP+CP: intercrop of pigeon pea and cowpea (PP + CP)</t>
  </si>
  <si>
    <t>IT99K-494-6</t>
  </si>
  <si>
    <t>Intercrop (N fixing)</t>
  </si>
  <si>
    <t>Mixed</t>
  </si>
  <si>
    <t>Retained (unknown if mulched/incorp.)</t>
  </si>
  <si>
    <t>Cowpea Grain</t>
  </si>
  <si>
    <t>PP+MZ: intercrop of pigeon pea and maize (PP + MZ)</t>
  </si>
  <si>
    <t>SC653</t>
  </si>
  <si>
    <t>CP+MZ: intercrop of cowpea and maize (CP + MZ)</t>
  </si>
  <si>
    <t>CP: sole cropped cowpea</t>
  </si>
  <si>
    <t>T1..T3</t>
  </si>
  <si>
    <t>MZ: sole cropped maize</t>
  </si>
  <si>
    <t>T2..T3</t>
  </si>
  <si>
    <t>MZ: sole cropped maize. Deep bed</t>
  </si>
  <si>
    <t>deep bed farming (DBF) All crop residues after harvest are returned to the deep bed as mulches.</t>
  </si>
  <si>
    <t>no fertilizer applied</t>
  </si>
  <si>
    <t>sum of available nitrate and amonia</t>
  </si>
  <si>
    <t>Soil samples were collected at depths of 0–20 cm in each plot using a soil auger, based on the simple random sampling during both years after harvest. The soil at the same depth of 0–20 cm was sampled from three points per plot and combined into composite samples. The soil samples were then air-dried for analysis of available P. Moist soils were used for analyzing nitrate (NO3−-N) and available ammonium (NH4+N).</t>
  </si>
  <si>
    <t>Soil Available Nitrogen</t>
  </si>
  <si>
    <t>mg/kg</t>
  </si>
  <si>
    <t>T4..T5</t>
  </si>
  <si>
    <t>Sum of nitrate in Table 1 and amonia in Table 2</t>
  </si>
  <si>
    <t>MZ+92: sole cropped maize with 92 kg top dressing N fertilizer per hectare (MZ + 92). Deep bed</t>
  </si>
  <si>
    <t>MZ+92: sole cropped maize with 92 kg top dressing N fertilizer per hectare (MZ + 92)</t>
  </si>
  <si>
    <t xml:space="preserve"> 92 kg top dressing N fertilizer per hectare (MZ + 92)</t>
  </si>
  <si>
    <t>C4..T4..T5</t>
  </si>
  <si>
    <t>CP: sole cropped cowpea. Deep bed</t>
  </si>
  <si>
    <t>PP: sole cropped pigeon pea (PP). Deep bed</t>
  </si>
  <si>
    <t>C7</t>
  </si>
  <si>
    <t>T4..T6</t>
  </si>
  <si>
    <t>PP+MZ: intercrop of pigeon pea and maize (PP + MZ). Deep bed</t>
  </si>
  <si>
    <t>CP+MZ: intercrop of cowpea and maize (CP + MZ). Deep bed</t>
  </si>
  <si>
    <t>PP+CP: intercrop of pigeon pea and cowpea (PP + CP). Deep bed</t>
  </si>
  <si>
    <t>MZ: sole cropped maize.Conventional tillage</t>
  </si>
  <si>
    <t>C8</t>
  </si>
  <si>
    <t>conventional tillage (CT)</t>
  </si>
  <si>
    <t>C4..C5..T4..T5..T7..T8</t>
  </si>
  <si>
    <t>MZ+92: sole cropped maize with 92 kg top dressing N fertilizer per hectare (MZ + 92).Conventional tillage</t>
  </si>
  <si>
    <t>C9</t>
  </si>
  <si>
    <t>C4..C5..C8..T7..T8</t>
  </si>
  <si>
    <t>CP: sole cropped cowpea.Conventional tillage</t>
  </si>
  <si>
    <t>C10</t>
  </si>
  <si>
    <t>C6..T5..T6..T8..T9</t>
  </si>
  <si>
    <t>PP: sole cropped pigeon pea (PP).Conventional tillage</t>
  </si>
  <si>
    <t>C11</t>
  </si>
  <si>
    <t>C7..T4..T6..T7..T9</t>
  </si>
  <si>
    <t>PP+MZ: intercrop of pigeon pea and maize (PP + MZ).Conventional tillage</t>
  </si>
  <si>
    <t>CP+MZ: intercrop of cowpea and maize (CP + MZ).Conventional tillage</t>
  </si>
  <si>
    <t>PP+CP: intercrop of pigeon pea and cowpea (PP + CP).Conventional tillage</t>
  </si>
  <si>
    <t>Soil samples were collected at depths of 0–20 cm in each plot using a soil auger, based on the simple random sampling during both years after harvest. The soil at the same depth of 0–20 cm was sampled from three points per plot and combined into composite samples. The soil samples were then air-dried for analysis of available P. Available P was determined using Mehlich-3 method (Anderson &amp; Ingram, 1989),</t>
  </si>
  <si>
    <t>Soil Available Phosphorus</t>
  </si>
  <si>
    <t>Table 3</t>
  </si>
  <si>
    <t>Dataset section</t>
  </si>
  <si>
    <t>File</t>
  </si>
  <si>
    <t>07_FOMD_metadata_original_long</t>
  </si>
  <si>
    <t>Name</t>
  </si>
  <si>
    <t>Content</t>
  </si>
  <si>
    <t>variable</t>
  </si>
  <si>
    <t>data_type</t>
  </si>
  <si>
    <t>variable_unit</t>
  </si>
  <si>
    <t>field_description</t>
  </si>
  <si>
    <t>notes</t>
  </si>
  <si>
    <t>values</t>
  </si>
  <si>
    <t>validation</t>
  </si>
  <si>
    <t>ref_Source</t>
  </si>
  <si>
    <t>Ref_Name</t>
  </si>
  <si>
    <t>Ref_Link</t>
  </si>
  <si>
    <t>variable_rule</t>
  </si>
  <si>
    <t>variable_cell_type</t>
  </si>
  <si>
    <t>rationale</t>
  </si>
  <si>
    <t>ai_possibility_for_extraction</t>
  </si>
  <si>
    <t>table</t>
  </si>
  <si>
    <t>field</t>
  </si>
  <si>
    <t>character</t>
  </si>
  <si>
    <t>Unique identifier for the systematic synthesis that included the primary study</t>
  </si>
  <si>
    <t>Free text</t>
  </si>
  <si>
    <t>Each paper is assigned a unique code that can be used to identify the source of the data in the database.</t>
  </si>
  <si>
    <t>Must match a value listed in the ss_id column of Files 06_FOMD_screening</t>
  </si>
  <si>
    <t>Enables consistent referencing across datasets and links synthesis records to derived files.</t>
  </si>
  <si>
    <t>country01:05</t>
  </si>
  <si>
    <t>Character</t>
  </si>
  <si>
    <t>Country where the study site is located</t>
  </si>
  <si>
    <t>01_countries[country]</t>
  </si>
  <si>
    <t>Must match a value listed in 01_countries$country in the 01_FOMD_ontologies file. For studies conducted in multiple countries, record each country in a separate indexed field or row following the predefined structure.</t>
  </si>
  <si>
    <t>Select one (controlled vocabulary).</t>
  </si>
  <si>
    <t>Standardises geographic reporting and enables spatial aggregation and filtering</t>
  </si>
  <si>
    <t>site_type01:05</t>
  </si>
  <si>
    <t xml:space="preserve">This describes the nature of the field and who is managing it  </t>
  </si>
  <si>
    <t>01_lookup_levels[Field$Site.Type]</t>
  </si>
  <si>
    <t>Must match a value listed in 01_lookup_levels$site_type in the 01_FOMD_ontologies file.</t>
  </si>
  <si>
    <t>Distinguishes between study designs and supports methodological stratification in analyses</t>
  </si>
  <si>
    <t>site_id01:05</t>
  </si>
  <si>
    <t>Standardised name of the specific study site. If  you select a site name that already exists in ontologies, the latitude and longitude fields will auto-populate.  If there is a mismatch you can overwrite the autogenerated values. If you are including a new site, please don't include the name of the country here</t>
  </si>
  <si>
    <t>01_sites[Site.Id]  or Free text</t>
  </si>
  <si>
    <t>Must match a value listed in the 01_sites$site_id column in 01_FOMD_ontologies file. If an existing site is selected, latitude and longitude fields will auto-populate. These coordinates must be verified against the publication and Google Maps/Earth. If discrepancies are detected, coordinates may be corrected and the modification flagged for review. New site names may be added following validation procedures.</t>
  </si>
  <si>
    <t>Free text or select existing value (controlled list).</t>
  </si>
  <si>
    <t>Ensures consistency in site naming, prevents duplication, and maintains spatial data integrity.</t>
  </si>
  <si>
    <t>site_admin01:05</t>
  </si>
  <si>
    <t>A qualitative measure of how accurate you think the location reporting is. If the study is at a research station, but we only know the location of the city where the station is,  we record "City". If we know the exact location of the station record "Facility".</t>
  </si>
  <si>
    <t>01_lookup_levels[Field$FieldSite.Admin]</t>
  </si>
  <si>
    <t>Must match a value listed in 01_lookup_levels$site_admin in 01_FOMD_ontologies file.</t>
  </si>
  <si>
    <t>Captures spatial reporting accuracy and supports interpretation of geographic precision</t>
  </si>
  <si>
    <t>site_agg01:05</t>
  </si>
  <si>
    <t>Does the location contain sub-locations?. State yes if a paper reports a general location which contains sub-locations that you do not know the co-ordinates of. For example a paper might state "we repeated the experiment on 10 farms in 5 villages in Busia county, Kenya" so we have a county location and know there are 5 village sub-locations in this county, we don't know where these villages are and results are reported averaged across all the farms and villages. If we know the location or names of the villages (e.g. results are reported per village) then we create one site per village and state "no" in this field.</t>
  </si>
  <si>
    <t>Yes, No</t>
  </si>
  <si>
    <t>site_latlong_type01:05</t>
  </si>
  <si>
    <t>Source and derivation type of the geographic coordinates associated with the study site. Indicates whether coordinates were directly reported in the publication or derived during data extraction.</t>
  </si>
  <si>
    <t>01_lookup_levels[Field$site_latlong_type]</t>
  </si>
  <si>
    <t>Must match a value listed in 01_lookup_levels$site_location_type in 01_FOMD_ontologies file.</t>
  </si>
  <si>
    <t>Has to match one of the items in the drop down</t>
  </si>
  <si>
    <t>site_latitude01:05</t>
  </si>
  <si>
    <t>numeric</t>
  </si>
  <si>
    <t>decimal degrees</t>
  </si>
  <si>
    <t>Latitude of the study location in decimal degrees, recorded at the precision reported in the publication or derived from place-based geocoding when coordinates are not provided.</t>
  </si>
  <si>
    <t xml:space="preserve">If site_location_type1:n = original, enter the latitude reported in the publication (retain the reported precision). If site_location_type1:n = middle point, enter the derived latitude corresponding to the calculated midpoint (e.g., midpoint of multiple reported coordinates or midpoint of a named place such as a city). If site_location_type1:n = Unspecified and the publication provides a place name (e.g., city/administrative unit) via site_id1:n, auto-populate latitude using the centroid (midpoint) of that place (e.g., city centroid from the gazetteer/Google Maps-based lookup). If site_location_type1:n = Unspecified and no place name is available, leave blank. Where coordinates are auto-populated or derived, they must be plausibility-checked (e.g., within the selected country1:n) and corrected if clearly inconsistent, with corrections flagged for review. </t>
  </si>
  <si>
    <t>Numeric (free entry; auto-fill when available).</t>
  </si>
  <si>
    <t>Supports mapping and spatial linkage while documenting whether coordinates are reported or derived.</t>
  </si>
  <si>
    <t>site_longitude01:05</t>
  </si>
  <si>
    <t>Longitude of the study location in decimal degrees, recorded at the precision reported in the publication or derived from place-based geocoding when coordinates are not provided.</t>
  </si>
  <si>
    <t>If site_location_type1:n = original, enter the longitude reported in the publication (retain the reported precision). If site_location_type1:n = middle point, enter the derived longitude corresponding to the calculated midpoint (e.g., midpoint of multiple reported coordinates or midpoint of a named place such as a city). If site_location_type1:n = Unspecified and the publication provides a place name (e.g., city/administrative unit) via site_id1:n, auto-populate longitude using the centroid (midpoint) of that place. If site_location_type1:n = Unspecified and no place name is available, leave blank. Where coordinates are auto-populated or derived, they must be plausibility-checked (e.g., within the selected country1:n) and corrected if clearly inconsistent, with corrections flagged for review.</t>
  </si>
  <si>
    <t>site_buffer01:05</t>
  </si>
  <si>
    <t>meters</t>
  </si>
  <si>
    <t>Manual estimation (e.g. from measuring on google earth) in m of the spatial uncertainty for a point location. The site should within an X m radius (the buffer.manual amount) of the point location specified. Unit is meters</t>
  </si>
  <si>
    <t>If site_location_type1:n = original and the publication reports exact coordinates for a specific plot or facility, enter a small buffer reflecting reported precision (e.g., 0–100 m depending on precision and context). If site_location_type1:n = middle point (e.g., midpoint of multiple plots or centroid of a named place), enter a buffer reflecting the spatial extent represented (e.g., radius covering the spread of reported coordinates or the approximate spatial extent of the city/administrative unit). If site_location_type1:n = Unspecified but coordinates are auto-derived from a place name (e.g., city centroid), enter a buffer approximating the spatial extent of that place (e.g., radius covering the urban boundary or administrative polygon). If no coordinates or identifiable place name are available, leave blank. Buffer values should be based on transparent estimation (e.g., Google Earth measurement tools or gazetteer-based administrative boundaries) and must be internally consistent across studies.</t>
  </si>
  <si>
    <t>Complements latitude to enable spatial analysis while preserving transparency on coordinate provenance.</t>
  </si>
  <si>
    <t>experiment_details</t>
  </si>
  <si>
    <t>Experimental design used to assign treatments/comparators in the study (e.g., randomized complete block design, split-plot, completely randomized design). The experimental unit corresponds to the unit receiving the treatment (e.g., plot, field, farm, pot).</t>
  </si>
  <si>
    <t>Free Text</t>
  </si>
  <si>
    <t>AGROVOC</t>
  </si>
  <si>
    <t>experimental design</t>
  </si>
  <si>
    <t>http://aims.fao.org/aos/agrovoc/c_29466</t>
  </si>
  <si>
    <t>Numeric</t>
  </si>
  <si>
    <t>m2</t>
  </si>
  <si>
    <t>The size of a treatment and control plot in the experiment in meter squares, if variable use the mean value or mid-point of the size range.</t>
  </si>
  <si>
    <t>Free numeric entry (positive).</t>
  </si>
  <si>
    <t>Put plot size in meter squares</t>
  </si>
  <si>
    <t>Hectares</t>
  </si>
  <si>
    <t>Total size of the agricultural field or farm where the experiment was conducted, reported in hectares (ha), not the individual treatment/control plot size.</t>
  </si>
  <si>
    <t>Put field size in ha</t>
  </si>
  <si>
    <t>years</t>
  </si>
  <si>
    <t>Total duration of the experiment in years. In unimodal systems (one growing season per year), one season equals 1 year, while in bimodal systems (two growing seasons per year), one season equals 0.5 years.</t>
  </si>
  <si>
    <t>experiment_time</t>
  </si>
  <si>
    <t>Complete with the specific time period name the study provide</t>
  </si>
  <si>
    <t xml:space="preserve">Year when the experiment started. Year Start as stated by the author </t>
  </si>
  <si>
    <t>yyyy</t>
  </si>
  <si>
    <t xml:space="preserve">Year when the experiment stopped. Year End as stated by the author </t>
  </si>
  <si>
    <t>Season as stated by the author</t>
  </si>
  <si>
    <t>Detailed description of how the practice or sub-practice was implemented, including contextual or methodological qualifiers (e.g., frequency, intensity, timing, species used).</t>
  </si>
  <si>
    <t>Copy verbatim from the study when additional descriptive detail is provided. Do not summarise or interpret. Leave blank if no additional description beyond the sub-practice name is available.</t>
  </si>
  <si>
    <t>Preserves implementation-level detail that may be relevant for subgroup analysis or quality assessment.</t>
  </si>
  <si>
    <t>Unique ID assigned to each agroecological intervention/treatment (T1, T2, …) and non-agroecological and/or natural comparator/control system (C1, C2, …) within a study to correctly link intervention–comparator combinations. Assign new T and C IDs whenever the experimental setting changes (e.g., intervention type, comparator type, location, management, or pesticide use). For example, agroforestry vs. monoculture in Peru = T1/C1, while intercropping vs. natural vegetation in the same study = T2/C2; however, if the same agroforestry vs. monoculture comparison reports biodiversity, yield, and economic outcomes, keep the same T1/C1 IDs.</t>
  </si>
  <si>
    <t>cropland, grassland, natural/seminatural</t>
  </si>
  <si>
    <t>crop01:15</t>
  </si>
  <si>
    <t>Name of crop species including in the practice, first letter of name capitilized and the rest lowercase. Use common names of species. See crop lists in 01_crops$crop_names in 01_FOMD_ontologoies file.</t>
  </si>
  <si>
    <t>01_product$Product.Simple</t>
  </si>
  <si>
    <t>crop_variety01:15</t>
  </si>
  <si>
    <t>Commercial or local name of the crop variety associated with the selected crop (e.g., Katumani, G2333, Maasai Red). Do not include the crop species name in this field. When multiple varieties of the same crop are present, separate varieties using an asterisk (*).</t>
  </si>
  <si>
    <t>(01_vars_crops$V.Var)</t>
  </si>
  <si>
    <t>Allow multiple selection</t>
  </si>
  <si>
    <t>crop_density_unit01:15</t>
  </si>
  <si>
    <t>plants/m2; seeds/m2</t>
  </si>
  <si>
    <t>Unit fo the planting density</t>
  </si>
  <si>
    <t>01_lookup_levels[Field$Plant.Density.Unit]</t>
  </si>
  <si>
    <t>crop_density01:15</t>
  </si>
  <si>
    <t>Numerical value of crop planting density corresponding to the selected crop and density unit.</t>
  </si>
  <si>
    <t>Depends on Unit</t>
  </si>
  <si>
    <t>crop_arrangement01:15</t>
  </si>
  <si>
    <t>Use - between crops grown simultaneously in intercrops (e.g., maize-bean) and / between crops grown sequentially in rotations (e.g., maize/soybean).</t>
  </si>
  <si>
    <t>"-", "/"</t>
  </si>
  <si>
    <t>commodity_trees</t>
  </si>
  <si>
    <t>tree01:15</t>
  </si>
  <si>
    <t>Name of tree or shrub species used in the specific practice. Please use scientific name and be careful of your spelling. Use full scientific name, do not abbreviate genus (e.g., Mangifera indica should not be abbreviated to M.indica)." "Gliricidia sepium; Acacia abyssinica"</t>
  </si>
  <si>
    <t>01_trees$tree.latin.name</t>
  </si>
  <si>
    <t>species (taxa)</t>
  </si>
  <si>
    <t>http://aims.fao.org/aos/agrovoc/c_331243</t>
  </si>
  <si>
    <t>tree_density_unit01:15</t>
  </si>
  <si>
    <t>tree_density01:15</t>
  </si>
  <si>
    <t>Numerical value of tree planting density corresponding to the selected tree and density unit.</t>
  </si>
  <si>
    <t>tree_arrangement01:15</t>
  </si>
  <si>
    <t>Use a dash (-) for intercrops and forward slash (/) for rotation. So we can know the arrangement of trees in the plot</t>
  </si>
  <si>
    <t>commodity_animal</t>
  </si>
  <si>
    <t>animal01:05</t>
  </si>
  <si>
    <t>Name of animal species including in the practice, first letter of name capitilized and the rest lowercase. Use common names of species.</t>
  </si>
  <si>
    <t>unique(01_vars_animals$V.Product)</t>
  </si>
  <si>
    <t>Must match a value listed in the 01_var_animals$V.Var in 01_FOMD_ontologies file. Use controlled vocabulary only (no free typing). If multiple animals are present (e.g., intercropping or rotation), record each animal in a separate indexed column (animal01:05).</t>
  </si>
  <si>
    <t>Drop-down menu (controlled vocabulary; single selection per indexed column).</t>
  </si>
  <si>
    <t>Enables standardised crop classification and supports filtering, grouping, and crop-specific analyses.</t>
  </si>
  <si>
    <t>animal_breed01:05</t>
  </si>
  <si>
    <t>Commercial or local name of the animal variety associated with the selected animal (e.g., Katumani, G2333, Maasai Red). Do not include the animal species name in this field.</t>
  </si>
  <si>
    <t>01_vars_animals$V.Var</t>
  </si>
  <si>
    <t>Must match a value listed in the 01_animals$v_var in 01_FOMD_ontologies file. Enter only the variety name (e.g., “Maasai Red”, not “Maasai Red Goats”). If the study does not specify the variety, enter NA.</t>
  </si>
  <si>
    <t>Drop-down menu (controlled vocabulary; multi-selection allowed if multiple varieties apply).</t>
  </si>
  <si>
    <t>Enables differentiation of varietal effects and supports more detailed agronomic comparisons.</t>
  </si>
  <si>
    <t>animal_density_unit01:05</t>
  </si>
  <si>
    <t>Unit used to report animal growing density.</t>
  </si>
  <si>
    <t>Must match a value listed in the 01_lookuplevels$density_unit  in 01_FOMD_ontologies file. Required only when animal density is reported.</t>
  </si>
  <si>
    <t>Drop-down menu (controlled vocabulary).</t>
  </si>
  <si>
    <t>Ensures unit harmonisation and supports density standardisation across studies.</t>
  </si>
  <si>
    <t>yes</t>
  </si>
  <si>
    <t>animal_density01:05</t>
  </si>
  <si>
    <t>Numerical value of animal growing density corresponding to the selected animal and density unit.</t>
  </si>
  <si>
    <t>Enter only when animal density is explicitly reported. Must be numeric. Value must correspond to the selected animal_density_unit1:n.</t>
  </si>
  <si>
    <t>Free numeric entry.</t>
  </si>
  <si>
    <t>Supports agronomic intensity analysis and enables harmonisation or conversion of animal density across studies.</t>
  </si>
  <si>
    <t>animal_arrangement01:05</t>
  </si>
  <si>
    <t>soil_management_practice</t>
  </si>
  <si>
    <t>Complete with an easy to recognize name for the tillage practice, you will use this name to reference it when building treatments later in the extraction process. Avoid using special characters.</t>
  </si>
  <si>
    <t>None</t>
  </si>
  <si>
    <t>Name of the tillage practice</t>
  </si>
  <si>
    <t>01_practices[subtype== "Tillage",subpractice]</t>
  </si>
  <si>
    <t>soil_management_moderator</t>
  </si>
  <si>
    <t>Tillage method or implement</t>
  </si>
  <si>
    <t>01_lookup_levels[Field$$T.Method]</t>
  </si>
  <si>
    <t>Allows multiple selection</t>
  </si>
  <si>
    <t>tillage equipment</t>
  </si>
  <si>
    <t>http://aims.fao.org/aos/agrovoc/c_25768</t>
  </si>
  <si>
    <t>Other Soil Prep Methods</t>
  </si>
  <si>
    <t>01_lookup_levels[Field$$Till.Other]</t>
  </si>
  <si>
    <t>Compound and Vague topic</t>
  </si>
  <si>
    <t>Integer</t>
  </si>
  <si>
    <t>cm</t>
  </si>
  <si>
    <t>Tillage Depth (cm). The depth at which a soil is ploughed or tilled. Source: AGROVOC</t>
  </si>
  <si>
    <t>Range 0-150, warn if &gt;50</t>
  </si>
  <si>
    <t>ploughing depth</t>
  </si>
  <si>
    <t>http://aims.fao.org/aos/agrovoc/c_d349db98</t>
  </si>
  <si>
    <t xml:space="preserve">How many times was the land tilled during one experimental season </t>
  </si>
  <si>
    <t>None , but could be set to an integer class with lmiited number of tillage passes allowed</t>
  </si>
  <si>
    <t>planting_practice</t>
  </si>
  <si>
    <t>Complete with an easy to recognize name for the planting method, you will use this name to reference it when building treatments later in the extraction process. Avoid using special characters.</t>
  </si>
  <si>
    <t>Name of the planting subpractice</t>
  </si>
  <si>
    <t>01_practices[subtype =="Planting method"]</t>
  </si>
  <si>
    <t>planting_moderator</t>
  </si>
  <si>
    <t>Planting Method</t>
  </si>
  <si>
    <t>01_lookup_levels[Field$Plant.Method"]</t>
  </si>
  <si>
    <t>Date</t>
  </si>
  <si>
    <t>Planting Date Start (DD/MM/YYYY)</t>
  </si>
  <si>
    <t>Planting Date End (DD/MM/YYYY)</t>
  </si>
  <si>
    <t>improved crop varieties: practice</t>
  </si>
  <si>
    <t>Complete with an easy to recognize name for the crop varietal subpractice, you will use this name to reference it when building treatments later in the extraction process. Avoid using special characters.</t>
  </si>
  <si>
    <t>Variety, cultivar of the crop</t>
  </si>
  <si>
    <t>Choose from unique 01_vars_crops[V.Product==V.Product,V.Var] or add new value.</t>
  </si>
  <si>
    <t>Is it an improved, Hybrid or unimproved variety ?</t>
  </si>
  <si>
    <t>01_practices[type=="Crop management" &amp; subtype%in%c("Genetic improvement", "Genetic variation"),subpractice]</t>
  </si>
  <si>
    <t>Type of plant variety or similar. Is it a local variety?</t>
  </si>
  <si>
    <t>01_lookup_levels[Field$Var.Type]</t>
  </si>
  <si>
    <t xml:space="preserve">Crop trait. Enter any specific info of the variety .  When multiple traits are reported for the same variety, separate traits using two dots (..). </t>
  </si>
  <si>
    <t>01_lookup_levels[Field$$Crop.Trait]</t>
  </si>
  <si>
    <t>Complete with an easy to recognize name for the animal varietal subpractice, you will use this name to reference it when building treatments later in the extraction process. Avoid using special characters.</t>
  </si>
  <si>
    <t>Breed of the animal</t>
  </si>
  <si>
    <t>Is it an improved, Hybrid or unimproved breed ?</t>
  </si>
  <si>
    <t>01_practices[type=="Animal management" &amp;subtype=="Genetic improvement",Subpractice]</t>
  </si>
  <si>
    <t>Type of animal breed or similar. Is it a local breed?</t>
  </si>
  <si>
    <t>01_lookup_levels[Field$animal_var_type]</t>
  </si>
  <si>
    <t xml:space="preserve">Animal trait. Enter any specific info of the variety . When multiple traits are reported for the same variety, separate traits using two dots (..). </t>
  </si>
  <si>
    <t>01_lookup_levels[Field$animal_trait]</t>
  </si>
  <si>
    <t>intercropping_practice</t>
  </si>
  <si>
    <t>Complete with an easy to recognize name for the intercropping practice, you will use this name to reference it when building treatments later in the extraction process. Avoid using special characters.</t>
  </si>
  <si>
    <t xml:space="preserve">Name of the intercropping subpractice. When multiple traits are reported for the same variety, separate traits using two dots (-). </t>
  </si>
  <si>
    <t>01_practices[type%in%c("Crop management", "Soil management) &amp;subtype=="Diversification (spatial)",subpractice]  &amp; 01_practices[type =="Natural/seminatural habitats management,subpractice]</t>
  </si>
  <si>
    <t>intercropping_moderator</t>
  </si>
  <si>
    <t>In which design both species were  intercropped</t>
  </si>
  <si>
    <t>Replacement (i.e., an intercropping system where plants of one crop are replaced by plants of the other crop. Each crop therefore has a lower density in intercrop than in its sole crop, but the total plant density remains the same as in the monoculture stands.). Additive (i.e., an intercropping system where the full plant densities of the sole crops are combined together. Each crop keeps the same density as in its monoculture, so the total plant density in the intercrop is higher than in the sole crops)</t>
  </si>
  <si>
    <t>Paut et al 2024</t>
  </si>
  <si>
    <t>https://www.nature.com/articles/s41597-023-02831-7</t>
  </si>
  <si>
    <t>In which way both species were spatially  sown</t>
  </si>
  <si>
    <t>Strip (several rows of one crop species are alternated with one or several rows of another crop species; in this case, a strip contains more than one row.), Row (two crop species are cultivated in separate alternate rows), Mixed (the component crops are planted simultaneously within the same row or without a distinct row or strip arrangement.)</t>
  </si>
  <si>
    <t>The start year of the intercropping practice</t>
  </si>
  <si>
    <t>List the starting season of an experimental treatment in systems with &gt;1 growing season. If a region has unimodal rainfall or if seasonality is unespecified please leave this file blanck</t>
  </si>
  <si>
    <t>Fate of crop residues from the previous season</t>
  </si>
  <si>
    <t>01_lookup_levels[Field$M.Fate]</t>
  </si>
  <si>
    <t>crop_sequence_practice</t>
  </si>
  <si>
    <t>Complete with an easy to recognize name for the crop rotation practice, you will use this name to reference it when building treatments later in the extraction process. Avoid using special characters.</t>
  </si>
  <si>
    <t>crop_seq_subpractice01:03</t>
  </si>
  <si>
    <t xml:space="preserve">Name of the crop sequence subpractice (crop rotation type, fallow type, green manure or cover crop type, </t>
  </si>
  <si>
    <t>01_practices[subtype%in%c( "Diversification (temporal)","Diversification (spatial temporal)"),Subpractice] &amp; &amp;01_practices[type =="Natural/seminatural habitats management,subpractice]</t>
  </si>
  <si>
    <t>crop_sequence_moderator</t>
  </si>
  <si>
    <t>The start year of the crop rotation practice</t>
  </si>
  <si>
    <t>agroforestry_practice</t>
  </si>
  <si>
    <t>Choose a easy to recognize name for the practice, you will use this name to reference it when building treatments later in the extraction process. Avoid using special characters.</t>
  </si>
  <si>
    <t>Name of the agroforestry practice. This dimension describes how trees are arranged in space</t>
  </si>
  <si>
    <t>01_practices[subtheme %in% c("FMNR","Alleycropping", "Parklands","Boundary Planting", "Homegarden","Other Agroforestry","Monoculture","Timber plantation"),subpractice] &amp;01_practices[type =="Natural/seminatural habitats management,subpractice]</t>
  </si>
  <si>
    <t>agroforestry</t>
  </si>
  <si>
    <t>https://agrovoc.fao.org/browse/agrovoc/en/page/c_16113</t>
  </si>
  <si>
    <t>Name of the agroforestry practice. This dimension captures what components are combined and their ecological complexity.</t>
  </si>
  <si>
    <t>01_practices[practice %in% c("Silvopasture","Multistrata Agroforestry","Agroforestry - high diversity","Agroforestry - low diversity","Other Agroforestry","Agrosilvopasture","Aquasilvopasture","Monoculture"),subpractice] &amp;01_practices[type =="Natural/seminatural habitats management,subpractice]</t>
  </si>
  <si>
    <r>
      <t xml:space="preserve">Name of the agroforestry practice. This dimension captures </t>
    </r>
    <r>
      <rPr>
        <sz val="11"/>
        <color theme="1"/>
        <rFont val="Aptos Narrow"/>
        <family val="2"/>
        <scheme val="minor"/>
      </rPr>
      <t>the shade management of the agroforestry system.</t>
    </r>
  </si>
  <si>
    <t>01_practices[subtype %in% c("Shade management"),subpractice] &amp;01_practices[type =="Natural/seminatural habitats management,subpractice]</t>
  </si>
  <si>
    <t>Number of years since the agroforestry system or comparator was established or transitioned to its current state, measured at the time of the study. Report values in years using a numeric format. Convert months into fractions of a year (e.g., 6 months = 0.5), and for reported ranges, use the midpoint (e.g., 10–15 years = 12.5).</t>
  </si>
  <si>
    <t>agroforestry_moderator</t>
  </si>
  <si>
    <t>percentage</t>
  </si>
  <si>
    <t>Shade mean if shade is provided as mean. Ex. If shade is 52%, complete with 52</t>
  </si>
  <si>
    <t>Allow for example "&gt;50". No higher than 100</t>
  </si>
  <si>
    <t>Shade min if shade is provided by ranges. Ex. If shade is 50-70, complete with 50</t>
  </si>
  <si>
    <t>Shade max if shade is provided by ranges. Ex. If shade is 50-70, complete with 70</t>
  </si>
  <si>
    <t>Canopy height mean if height is provided as mean. Ex. If height is 15 meters, complete with 15</t>
  </si>
  <si>
    <t>Allow for example "&gt;50".</t>
  </si>
  <si>
    <t>Canopy height  min if height is provided by ranges. Ex. If height is 50-70, complete with 50</t>
  </si>
  <si>
    <t>Canopy height  max if height is provided by ranges. Ex. If height is 50-70, complete with 70</t>
  </si>
  <si>
    <t>DHB mean</t>
  </si>
  <si>
    <t>DHB min</t>
  </si>
  <si>
    <t>DHB max</t>
  </si>
  <si>
    <t>nutrient_management_practice</t>
  </si>
  <si>
    <t>Complete with an easy to recognize name for the fertilizer practice, you will use this name to reference it when building treatments later in the extraction process. Avoid using special characters.</t>
  </si>
  <si>
    <t>Free type cell</t>
  </si>
  <si>
    <t>Name of the nutrient management subpractice</t>
  </si>
  <si>
    <t>01_practices[type =="Nutrient management",subpractice]</t>
  </si>
  <si>
    <t>nutrient_management_fert_moderator</t>
  </si>
  <si>
    <t>Category of inorganic fertilizer</t>
  </si>
  <si>
    <t>unique(01_fertiliser$F.Category_New)</t>
  </si>
  <si>
    <t>fertilizers</t>
  </si>
  <si>
    <t>http://aims.fao.org/aos/agrovoc/c_2867</t>
  </si>
  <si>
    <t>Drop down menu</t>
  </si>
  <si>
    <t>Name of the inorganic fertilizer</t>
  </si>
  <si>
    <t>01_fertiliser[F.Category_New==fert_inorganic_practice$F.Category_New,F.Type_New] or Free Text</t>
  </si>
  <si>
    <t>If a new value is added it will need to be flagged and the corresponding entry in the fertilizer completed.</t>
  </si>
  <si>
    <t>(kg/ha/y), kg/ha</t>
  </si>
  <si>
    <t>The unit of measurement for total inorganic values. Try to record kg/ha</t>
  </si>
  <si>
    <t>01_lookup_levels[Field$$F.Unit]</t>
  </si>
  <si>
    <t>If any of Fert.Out$F.NO, Fert.Out$F.PO or Fert.Out$F.KO are completed then this field is required.</t>
  </si>
  <si>
    <t>Total elemental nitrogen, phosphorus, and potassium applied from inorganic sources (e.g., urea or DAP).</t>
  </si>
  <si>
    <t>Must be number</t>
  </si>
  <si>
    <t>Unit used to report elemental nutrient quantities (N, P, K) applied from inorganic fertilizers. Try to record kg/ha</t>
  </si>
  <si>
    <t xml:space="preserve">Total elemental nitrogen applied from inorganic sources (e.g., urea or DAP). </t>
  </si>
  <si>
    <t>nitrogen
inorganic fertilizers</t>
  </si>
  <si>
    <t>http://aims.fao.org/aos/agrovoc/c_5192
http://aims.fao.org/aos/agrovoc/c_27870</t>
  </si>
  <si>
    <t>Total elemental phosphorus applied from inorganic sources (e.g., rock phosphate or DAP).</t>
  </si>
  <si>
    <t>phosphorus
inorganic fertilizers</t>
  </si>
  <si>
    <t>http://aims.fao.org/aos/agrovoc/c_5804
http://aims.fao.org/aos/agrovoc/c_27870</t>
  </si>
  <si>
    <t>Total elemental potassium applied from inorganic sources (e.g., potassium chloride or monopotassium phosphate).</t>
  </si>
  <si>
    <t>Total phosphorus applied from inorganic sources presented as phosphorus pentoxide (P2O5) .</t>
  </si>
  <si>
    <t>Total potassium applied from inorganic sources presented as potassium oxide (K2O).</t>
  </si>
  <si>
    <t>potassium
inorganic fertilizers</t>
  </si>
  <si>
    <t>http://aims.fao.org/aos/agrovoc/c_6139
http://aims.fao.org/aos/agrovoc/c_27870</t>
  </si>
  <si>
    <t>nutrient_management_org_moderator</t>
  </si>
  <si>
    <t>Category of organic fertilizer</t>
  </si>
  <si>
    <t>Name of the organic fertilizer</t>
  </si>
  <si>
    <t>01_fertiliser[F.Category==Fert.Method$F.Category,F.Type] or Free Text</t>
  </si>
  <si>
    <t>The unit of measurement for total organic NPK numbers.</t>
  </si>
  <si>
    <t>Total elemental nitrogen, phosphorus, and potassium applied from organic sources (e.g., compost, manure, biosolid).</t>
  </si>
  <si>
    <t>Unit used to report elemental nutrient quantities (N, P, K) applied from organic fertilizers. Try to record kg/ha</t>
  </si>
  <si>
    <t>Total elemental nitrogen applied  from organic sources (e.g., compost, manure, biosolid).</t>
  </si>
  <si>
    <t>nitrogen
organic fertilizers</t>
  </si>
  <si>
    <t>http://aims.fao.org/aos/agrovoc/c_5192
http://aims.fao.org/aos/agrovoc/c_4592</t>
  </si>
  <si>
    <t>Total elemental phosphorus applied from organic sources (e.g., compost, manure, biosolid).</t>
  </si>
  <si>
    <t>phosphorus
organic fertilizers</t>
  </si>
  <si>
    <t>http://aims.fao.org/aos/agrovoc/c_5804
http://aims.fao.org/aos/agrovoc/c_4592</t>
  </si>
  <si>
    <t>Total elemental potassium applied from organic sources (e.g., compost, manure, biosolid).</t>
  </si>
  <si>
    <t>potassium
organic fertilizers</t>
  </si>
  <si>
    <t>http://aims.fao.org/aos/agrovoc/c_6139
http://aims.fao.org/aos/agrovoc/c_4592</t>
  </si>
  <si>
    <t>Fertilizer source. Only required for organic materials like compost, manure or residues.</t>
  </si>
  <si>
    <t>01_lookup_levels[Field$$M.Source]</t>
  </si>
  <si>
    <t>Only required if Fertilizer[F.Type==Fert.Method$F.Type, F.Category == "Organic" ]</t>
  </si>
  <si>
    <t>weeding_management_practice</t>
  </si>
  <si>
    <t>Complete with an easy to recognize name for the weeding practice, you will use this name to reference it when building treatments later in the extraction process. Avoid using special characters. This section is for physical weeding only, herbicides application should be noted under the chemicals columns.</t>
  </si>
  <si>
    <t>Name the physical weeding method. If only chemical weed control method was applied, select Chemical weed control and complete the details of the chemical in chemical management section</t>
  </si>
  <si>
    <t>01_practices[theme =="Weed control",subpractice]</t>
  </si>
  <si>
    <t>mechanical weed control</t>
  </si>
  <si>
    <t>http://aims.fao.org/aos/agrovoc/c_24200</t>
  </si>
  <si>
    <t>weeding_management_moderator</t>
  </si>
  <si>
    <t>Weeding frequency time unit</t>
  </si>
  <si>
    <t>01_lookup_levels[Field$$W.Time.Units]</t>
  </si>
  <si>
    <t>Frequency of the weeding practice</t>
  </si>
  <si>
    <t>chemical_management_practice</t>
  </si>
  <si>
    <t>Complete with an easy to recognize name for the chemical practice, you will use this name to reference it when building treatments later in the extraction process. Avoid using special characters.</t>
  </si>
  <si>
    <t>chem_subpractice01:05</t>
  </si>
  <si>
    <t>Name of the pest management subpractice. Start with Herbicide management-Inoculation management-Insecticide management</t>
  </si>
  <si>
    <t>01_practices[subtype %in% c("Pest management in plants"),subpractice]</t>
  </si>
  <si>
    <t>agrochemicals</t>
  </si>
  <si>
    <t>http://aims.fao.org/aos/agrovoc/c_24430</t>
  </si>
  <si>
    <t>chemical_management_moderator</t>
  </si>
  <si>
    <t>chem_name01:05</t>
  </si>
  <si>
    <t>Please use active ingredient name over trade-name of product, unless the  product contains multiple active ingredients then it is acceptible to use the product name.</t>
  </si>
  <si>
    <t>01_chemicals[C.Name] &amp; Free Text</t>
  </si>
  <si>
    <t>chem_unit01:05</t>
  </si>
  <si>
    <t>unit of measurement for the active ingredient in the chemical application</t>
  </si>
  <si>
    <t>01_lookup_levels[Field$$C.AI.Unit]</t>
  </si>
  <si>
    <t>chem_amount01:05</t>
  </si>
  <si>
    <t>Chemical amount applied</t>
  </si>
  <si>
    <t>application rates</t>
  </si>
  <si>
    <t>residues_practice</t>
  </si>
  <si>
    <t>Complete with an easy to recognize name for the practice, you will use this name to reference it when building treatments later in the extraction process. Avoid using special characters.</t>
  </si>
  <si>
    <t>residues_subpractice01:04</t>
  </si>
  <si>
    <t>Name of the residues management practice (mulches, residues, prunning)</t>
  </si>
  <si>
    <t>01_practices[subtype %in% c("Agroforestry pruning residues","Mulches","Crop residues"),Subpractice]</t>
  </si>
  <si>
    <t>crop residues</t>
  </si>
  <si>
    <t>http://aims.fao.org/aos/agrovoc/c_16118</t>
  </si>
  <si>
    <t>The unit of measurement for total organic carbon amount.</t>
  </si>
  <si>
    <t>Represents the total amount of organic carbon (OC) added from non-composted organic materials</t>
  </si>
  <si>
    <t>residues_moderator</t>
  </si>
  <si>
    <t>The unit of measurement for total organic N amount</t>
  </si>
  <si>
    <t>Represents the total amount of elemental nitrogen (N) added from non-composted organic materials</t>
  </si>
  <si>
    <t>nitrogen content</t>
  </si>
  <si>
    <t>http://aims.fao.org/aos/agrovoc/c_5193</t>
  </si>
  <si>
    <t>The unit of measurement for total organic P amount.</t>
  </si>
  <si>
    <t>Specifies the total amount of elemental phosphorus (P) from non-composted organic materials</t>
  </si>
  <si>
    <t>phosphorus</t>
  </si>
  <si>
    <t xml:space="preserve">http://aims.fao.org/aos/agrovoc/c_5804
</t>
  </si>
  <si>
    <t>residues_K_unit</t>
  </si>
  <si>
    <t>The unit of measurement for total organic K amount.</t>
  </si>
  <si>
    <t>Indicates the total amount of elemental potassium (K) from non-composted organic materials</t>
  </si>
  <si>
    <t>potassium</t>
  </si>
  <si>
    <t>http://aims.fao.org/aos/agrovoc/c_6139</t>
  </si>
  <si>
    <t>Tree (plant species). Only required if a material comes from a tree or shrub</t>
  </si>
  <si>
    <t>01_trees$Tree.Latin.Name</t>
  </si>
  <si>
    <t>woody plants</t>
  </si>
  <si>
    <t>http://aims.fao.org/aos/agrovoc/c_26837</t>
  </si>
  <si>
    <t>Mulch Material Applied. Choose from the list or add a new material if the list does not contain a suitable match. Please specifiy the type of any new materials add in the column to the left. You do not need to enter any details about mulched crop residues here.</t>
  </si>
  <si>
    <t>01_residues$M.Material or if a tree/shrub entered 01_lookup_levels$Tree.Materials or Free Text</t>
  </si>
  <si>
    <t>mulches</t>
  </si>
  <si>
    <t>http://aims.fao.org/aos/agrovoc/c_4977</t>
  </si>
  <si>
    <t>Describes the type of processing applied to the material before application</t>
  </si>
  <si>
    <t>01_lookup_levels[Field$M.Process]</t>
  </si>
  <si>
    <t>Source of Material. In-field: From inside the experimental field. On-farm: From outside the experimental field within the same landholding. Off-farm: From outside the farm</t>
  </si>
  <si>
    <t>01_lookup_levels[Field$M.Source]</t>
  </si>
  <si>
    <t>Unit of Application</t>
  </si>
  <si>
    <t>01_lookup_levels[Field$$M.Unit"]</t>
  </si>
  <si>
    <t>Required if Res.Method$M.Amount has a value</t>
  </si>
  <si>
    <t>Amount of material applied in the study</t>
  </si>
  <si>
    <t>pH_amendment_practice</t>
  </si>
  <si>
    <t>Name of the pH control subpractice</t>
  </si>
  <si>
    <t>01_practices[practice=="pH Control",subpractice] or Free Text</t>
  </si>
  <si>
    <t>liming</t>
  </si>
  <si>
    <t>http://aims.fao.org/aos/agrovoc/c_25206</t>
  </si>
  <si>
    <t>pH_amendment_moderator</t>
  </si>
  <si>
    <t>Material applied. Type of material applied to influence soil pH</t>
  </si>
  <si>
    <t>01_lookup_levels[Field$pH.Material] or Free Text</t>
  </si>
  <si>
    <t>liming materials</t>
  </si>
  <si>
    <t>http://aims.fao.org/aos/agrovoc/c_200</t>
  </si>
  <si>
    <t>01_lookup_levels[Field$F.Unit"]</t>
  </si>
  <si>
    <t>Amount Applied. Captures the total amount of pH-altering material applied</t>
  </si>
  <si>
    <t>irrigation_practice</t>
  </si>
  <si>
    <t>Name of the irrigation subpractice</t>
  </si>
  <si>
    <t>01_practices[type=="Water management" &amp; theme=="Irrigation",subpractice] or Free Text</t>
  </si>
  <si>
    <t>irrigation_moderator</t>
  </si>
  <si>
    <t>Date Start of the irrigation (DD/MM/YYYY)</t>
  </si>
  <si>
    <t>Date End of the irrigation (DD/MM/YYYY)</t>
  </si>
  <si>
    <t>Unit of Water Application</t>
  </si>
  <si>
    <t>01_lookup_levels[Field$I.Unit"]</t>
  </si>
  <si>
    <t>Amount of Water Applied</t>
  </si>
  <si>
    <t>Type of Water Applied</t>
  </si>
  <si>
    <t>01_lookup_levels[Field$I.Water.Type] or Free Text</t>
  </si>
  <si>
    <t>irrigation water</t>
  </si>
  <si>
    <t>http://aims.fao.org/aos/agrovoc/c_3958</t>
  </si>
  <si>
    <t>water_harvesting_practice</t>
  </si>
  <si>
    <t>watharv_subpractice01:04</t>
  </si>
  <si>
    <t>Name of the water harvesting subpractice</t>
  </si>
  <si>
    <t>01_practices[theme %in% c("Water Harvesting"),Subpractice]</t>
  </si>
  <si>
    <t>water harvesting</t>
  </si>
  <si>
    <t>http://aims.fao.org/aos/agrovoc/c_25305</t>
  </si>
  <si>
    <t>harvest_practice</t>
  </si>
  <si>
    <t>Name the harvest subpractice</t>
  </si>
  <si>
    <t>01_practices[subtype=="Harvesting method",subpractice] or Free Text</t>
  </si>
  <si>
    <t>harvesting</t>
  </si>
  <si>
    <t>http://aims.fao.org/aos/agrovoc/c_3500</t>
  </si>
  <si>
    <t>harvest_moderator</t>
  </si>
  <si>
    <t>Harvest Date Start (dd/mm/yy)</t>
  </si>
  <si>
    <t>dd/mm/yy</t>
  </si>
  <si>
    <t>Harvest Date End (dd/mm/yy)</t>
  </si>
  <si>
    <t>Harvest Days After Planting</t>
  </si>
  <si>
    <t>warning if &lt;30</t>
  </si>
  <si>
    <t>postharvesting_practice</t>
  </si>
  <si>
    <t>postharvest_subpractice01:04</t>
  </si>
  <si>
    <t>Name of the postharvesting subpractice</t>
  </si>
  <si>
    <t>01_practices[subtype %in% c("Postharvest method"),Subpractice]</t>
  </si>
  <si>
    <t>postharvesting_moderator</t>
  </si>
  <si>
    <t>(Storage Date Start for Postharvest)</t>
  </si>
  <si>
    <t>(Storage Date End for Postharvest)</t>
  </si>
  <si>
    <t>(Days after Storage for Postharvest)</t>
  </si>
  <si>
    <t>Name the landscape structure subpractice</t>
  </si>
  <si>
    <t>01_practices[subtype =="Landscape structure"),Subpractice] &amp;01_practices[type =="Natural/seminatural habitats management,subpractice]</t>
  </si>
  <si>
    <t>What ecological function is the structure meant to provide?</t>
  </si>
  <si>
    <t>01_lookup_levels[Field$land_structure_function]</t>
  </si>
  <si>
    <t>Indicate the origin and intentionality of the landscape structure. Specify whether the structure is actively implemented (e.g., planted or established by farmers), maintained (e.g., existing structure preserved or managed), or natural/spontaneous (e.g., unmanaged vegetation).</t>
  </si>
  <si>
    <t>01_lookup_levels[Field$land_structure_origin]</t>
  </si>
  <si>
    <t>Describe the level of management intensity applied to the structure. Indicate whether it is actively managed (e.g., regularly planted, maintained, or modified), periodically managed (e.g., occasional cutting or maintenance), or passively managed/unmanaged. This reflects the degree of human intervention and effort associated with the practice.</t>
  </si>
  <si>
    <t>01_lookup_levels[Field$land_structure_manage]</t>
  </si>
  <si>
    <t>ANIMAL PRACTICES MISSING</t>
  </si>
  <si>
    <t>outcome_experimental_design</t>
  </si>
  <si>
    <t>Experimental design used for the measurement of a specific outcome. Record the sampling/measurement unit on which the outcome was assessed (e.g., plot-level measurement, plant subsampling within plots, quadrats within plots, repeated measurements over time). This may differ from the treatment experimental unit.</t>
  </si>
  <si>
    <t>None, but a lookup table could be implemented</t>
  </si>
  <si>
    <t>Size of the area (m2) from which a specific outcome was measured or sampled. Record the dimensions or area actually used for outcome assessment (e.g., harvest area, central sampling area, quadrat, subplot). This may be equal or smaller than the full treatment plot.</t>
  </si>
  <si>
    <t>exp_hplot_size&lt;=exp_plot_size</t>
  </si>
  <si>
    <t>product_outcome</t>
  </si>
  <si>
    <t>taxa details, output from economic indictors</t>
  </si>
  <si>
    <t>product01:05</t>
  </si>
  <si>
    <t>The full name of the product (including aspect of the component such as grain, meat or milk) or taxa for which the outcome is provided</t>
  </si>
  <si>
    <t>01_products$Edge_Value</t>
  </si>
  <si>
    <t>For biodiversity outcomes, specify the functional group related to taxa assessed, if specified in the study</t>
  </si>
  <si>
    <t>For biodiversity outcomes, specify whether the taxa were assessed above or below ground</t>
  </si>
  <si>
    <t>01_lookup_levels[Field$out_bio_ground_ref]</t>
  </si>
  <si>
    <t>Inputs (e.g., fertilizer, fertilizer application, pesticide, seeds, labor, etc.) included in the financial outcome calculation</t>
  </si>
  <si>
    <t>01_out_econ$Variable</t>
  </si>
  <si>
    <t xml:space="preserve">Allows multiple selection </t>
  </si>
  <si>
    <t>Suboutcome or component of the outcome as reported (e.g., “yield per plot”, “gross margin”, “labour cost”, “aboveground biomass”). Use when the study reports multiple components under a broader outcome.</t>
  </si>
  <si>
    <t>Complete only when a sub-outcome is explicitly stated in the study/synthesis. Copy verbatim; normalise whitespace only. Leave blank if not reported or not applicable.</t>
  </si>
  <si>
    <t>Description of the suboutcome as reported in the primary study or systematic synthesis. Record sufficient detail to clearly identify what was measured and how it was defined.</t>
  </si>
  <si>
    <t>Copy exactly as provided in the source, including qualifiers or contextual details. Normalise whitespace only (remove extra spaces or line breaks). Do not interpret, summarise, harmonise, or translate. Leave blank if no additional description is provided beyond the sub-outcome name.</t>
  </si>
  <si>
    <t>Preserves the original conceptual and measurement detail of the reported suboutcome prior to ontology-based harmonisation, ensuring transparency and traceability.</t>
  </si>
  <si>
    <t>Harmonised sub-outcome category assigned to the reported outcome, based on the controlled ontology.</t>
  </si>
  <si>
    <t>01_outcomes$subindicator</t>
  </si>
  <si>
    <t>Must match a value listed in 01_outcomes$suboutcome in the 01_FOMD_ontologies file. Assignment requires manual review and interpretation of outcome_raw and suboutcome_raw.</t>
  </si>
  <si>
    <t>Enables standardised aggregation, comparison, and synthesis across studies using consistent outcome terminology.</t>
  </si>
  <si>
    <t>Unit of measurement for the outcome (please use SI units)</t>
  </si>
  <si>
    <t>unique[01_suboutcome_units$suboutcome_unit_correct]</t>
  </si>
  <si>
    <t>This needs to be added, it can be derived from a lookup of the existing values for an outcome in ERA.
Always use a "/" separator to indicate "unit x" per "unit y". Refer to number of animals as "individuals" in units. Only capitalize units that require a capital letter, such as megagrams "Mg".</t>
  </si>
  <si>
    <t>Record exactly as reported, but remove special characters/formatting that can break parsing (e.g., convert “ha⁻¹ yr⁻¹” to “per ha per year”, avoid superscripts/subscripts, keep plain text). If the unit is not reported, leave blank.</t>
  </si>
  <si>
    <t>Free text (pattern-validated recommended).</t>
  </si>
  <si>
    <t>Soil outcome depths (cm) lower. Lower depth of measurement (cm) for soil or biodiversity outcomes</t>
  </si>
  <si>
    <t>&gt;0, warning if &gt;200</t>
  </si>
  <si>
    <t>depth</t>
  </si>
  <si>
    <t>http://aims.fao.org/aos/agrovoc/c_2190</t>
  </si>
  <si>
    <t>Soil outcome depths (cm) upper. Upper depth of measurement (cm) for soil or biodiversity outcomes</t>
  </si>
  <si>
    <t>&gt;0, warning if &gt;200, Out.Out$Soil.Depth.Lower&lt;Out.Out$Soil.Depth.Upper</t>
  </si>
  <si>
    <t>Economic Discount Rate (%). Typically associated with calculations of Net Present Value (NPV).</t>
  </si>
  <si>
    <t>0-100, warn if &gt;50</t>
  </si>
  <si>
    <t>Economic Period (Years). Use with Net Present Value (NPV) outcome or similar only.</t>
  </si>
  <si>
    <t>Starting Weight Unit. Use with Weight Gain subindicator.</t>
  </si>
  <si>
    <t>None,  but should be limited to units of mass (e.g. g, kg)</t>
  </si>
  <si>
    <t>Only required when Out.Out$Subindicator == "Weight Gain" &amp; !Out.Out$Out.WG.Start has data</t>
  </si>
  <si>
    <t>Mean Starting Weight. Use with Weight Gain subindicator. You may take the average across all treatments if the starting weights are similar and the difference between them is small relative to the total change in wieght.</t>
  </si>
  <si>
    <t>body weight</t>
  </si>
  <si>
    <t>http://aims.fao.org/aos/agrovoc/c_15846</t>
  </si>
  <si>
    <t>Days</t>
  </si>
  <si>
    <t>Duration (Days). Use with Weight Gain subindicator.</t>
  </si>
  <si>
    <t>&gt;0, warning if &gt;1000</t>
  </si>
  <si>
    <t>AGROVOC
UO</t>
  </si>
  <si>
    <t>duration
day</t>
  </si>
  <si>
    <t>http://aims.fao.org/aos/agrovoc/c_2412
http://purl.obolibrary.org/obo/UO_0000002</t>
  </si>
  <si>
    <t>Comparison Treatment (e.g. for LER or fertilizer use efficiency outcomes)</t>
  </si>
  <si>
    <t>outcome_value</t>
  </si>
  <si>
    <t>metric</t>
  </si>
  <si>
    <t>Statistical metric used to report the central tendency of the sub-outcome (e.g., mean, median)</t>
  </si>
  <si>
    <t>01_lookup_levels[Field$suboutcome_value_metric]</t>
  </si>
  <si>
    <t>Must match a value listed in 01_lookuplevels$suboutcome_value_metric in the 01_FOMD_ontologies file.</t>
  </si>
  <si>
    <t>Clarifies how the central value was calculated and enables filtering and harmonisation across studies</t>
  </si>
  <si>
    <t>Numerical value corresponding to the reported central tendency of the sub-outcome.</t>
  </si>
  <si>
    <t>Must be numeric. Where applicable, standardise values to the harmonised unit (e.g., convert yields to t/ha when required), retaining maximum available precision.</t>
  </si>
  <si>
    <t>Stores the primary quantitative result used for synthesis.</t>
  </si>
  <si>
    <t>Statistical metric used to quantify variation in the sub-outcome (e.g., standard deviation, standard error, confidence interval, interquartile range).</t>
  </si>
  <si>
    <t>01_lookup_levels[Field$Error.Type]</t>
  </si>
  <si>
    <t>Must match a value listed in 01_lookuplevels$suboutcome_variance_metric in the 01_FOMD_ontologies file.</t>
  </si>
  <si>
    <t>Identifies the type of dispersion measure used, enabling correct variance harmonisation.</t>
  </si>
  <si>
    <t>Value measure of dispersion when variation is reported as standard deviation or standard error</t>
  </si>
  <si>
    <t>Enter only when suboutcome_variance_metric corresponds to SD, SE OR SEM. Must be numeric. Leave blank otherwise.</t>
  </si>
  <si>
    <t>Enables calculation of effect sizes and weighting in meta-analysis.</t>
  </si>
  <si>
    <t>Lower limit for variation in suboutcome when variation is reported as a confidence interval or interquartile range.</t>
  </si>
  <si>
    <t>Enter only when suboutcome_variance_metric corresponds to CV or IQR. Must be numeric. Leave blank otherwise.</t>
  </si>
  <si>
    <t>Preserves full reporting of interval-based uncertainty measures.</t>
  </si>
  <si>
    <t>Upper limit for variation in suboutcome when  variation is reported as a confidence interval or interquartile range.</t>
  </si>
  <si>
    <t>Double</t>
  </si>
  <si>
    <t xml:space="preserve">Number of independent sampling units on which the sub-outcome estimate is based for this specific practice. </t>
  </si>
  <si>
    <t>Must be a positive integer. Record as reported. If multiple groups are reported, record the group-specific sample size corresponding to the extracted value.</t>
  </si>
  <si>
    <t>Free numeric entry (integer).</t>
  </si>
  <si>
    <t>Essential for variance estimation, effect size calculation, and weighting in quantitative synthesis.</t>
  </si>
  <si>
    <t>yield_values_for_lear_calculation</t>
  </si>
  <si>
    <t>out_value_product01:05</t>
  </si>
  <si>
    <t>out_var_value_product01:05</t>
  </si>
  <si>
    <t>ler_values</t>
  </si>
  <si>
    <t>ler_value_product01:05</t>
  </si>
  <si>
    <t>ler_var_value_product01:05</t>
  </si>
  <si>
    <t>The location in the paper where the data can be found. This should be three letters (fig, tab, or txt) in lowercase and a number (for figures and tables) to signify figure, table or text, respectively.</t>
  </si>
  <si>
    <t>Use the format: figX for figures (e.g., fig1, fig2); tabX for tables (e.g., tab1, tab3); txt when the data are reported only in the main text without a numbered figure or table. Use lowercase letters only. Do not include spaces, punctuation, or additional text. If multiple locations contain relevant data, record the primary location used for extraction.</t>
  </si>
  <si>
    <t>Free text entry</t>
  </si>
  <si>
    <t>Ensures traceability and reproducibility of extracted data by documenting the exact source location within the publication.</t>
  </si>
  <si>
    <t>outcome_time</t>
  </si>
  <si>
    <t>Statistics if outcome temporally aggregatted</t>
  </si>
  <si>
    <t>01_lookup_levels[Field$Out.Agg.Stat]</t>
  </si>
  <si>
    <t>The calendar year the measurement was taken. Seasons in multi-season systems are identified by decimals ‘.1’ or ‘.2’ for the first and second season respectively. When the measurements are average values for more than one year create a decimal for the years covered.</t>
  </si>
  <si>
    <t>Positive integer</t>
  </si>
  <si>
    <t>First year the measurement was taken (YYYY). For yield or similar outcomes this should relate to the harvest year (rather than the planting year). Where data are aggregated across years also complete the Measurement End Year Field.</t>
  </si>
  <si>
    <t>This only required for temporally aggregated observations (e.g. a result that has been averaged from crop yields reported from 2000,2001 and 2002). Here report the last year of the period over for which observations were aggregated (in the previous example this would be 2002).</t>
  </si>
  <si>
    <t>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</si>
  <si>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This only required for temporally aggregated observations in areas with more than one growing season (e.g. a result that has been averaged from crop yields reported from 2000 season 1,2001 season 1 and 2002 season 1). Here report the last season of the period over for which observations were aggregated (in the previous example this would be 1).</t>
  </si>
  <si>
    <t>extraction_details</t>
  </si>
  <si>
    <t>put your name or initials here</t>
  </si>
  <si>
    <t>complete with the date you extracted the data</t>
  </si>
  <si>
    <t>sampling date</t>
  </si>
  <si>
    <t>sampling_date_start</t>
  </si>
  <si>
    <t>Sampling Date (Can be used with soil moisture outcomes, for example) - Start</t>
  </si>
  <si>
    <t>dd/mm/yyyy</t>
  </si>
  <si>
    <t>dd/mm/yyyy, warning if year more than 1 different to Time</t>
  </si>
  <si>
    <t>planting date</t>
  </si>
  <si>
    <t>http://aims.fao.org/aos/agrovoc/c_24065</t>
  </si>
  <si>
    <t>sampling_date_end</t>
  </si>
  <si>
    <t>Sampling Date (Can be used with soil moisture outcomes, for example) - End</t>
  </si>
  <si>
    <t>dd/mm/yyyy, warning if year more than 1 different to Time, Times$Plant.End&gt;=Times$Plant.Start</t>
  </si>
  <si>
    <t>sampling_days_after_planting</t>
  </si>
  <si>
    <t>Sampling Date (Can be used with soil moisture outcomes, for example) - Days After Planting</t>
  </si>
  <si>
    <t>sampling</t>
  </si>
  <si>
    <t>sampling_method</t>
  </si>
  <si>
    <t>sampling_duration</t>
  </si>
  <si>
    <t>positive numeric</t>
  </si>
  <si>
    <t>Length of time (in years) that the experiment or observation had been ongoing up to the date for which the outcome is reported.</t>
  </si>
  <si>
    <t>Record duration in years. In bimodal or multi-season systems, represent individual seasons as fractions of a year (e.g., 0.5 for one of two seasons). In unimodal systems with one growing season per year, one season equals one year.</t>
  </si>
  <si>
    <t>Free numeric entry. (positive)</t>
  </si>
  <si>
    <t>Enables assessment of intervention maturity and supports temporal subgroup analyses.</t>
  </si>
  <si>
    <t>sampling_year</t>
  </si>
  <si>
    <t>Calendar year in which the outcome was measured.</t>
  </si>
  <si>
    <t>For single-season observations: record as YYYY (e.g., 1999). For multi-season systems within a year: use decimal notation (e.g., 2002.1 for season 1, 2002.2 for season 2). For measurements aggregated across multiple years: record the range as YYYY.YYYY (e.g., 1999.2004). Must follow one of these formats exactly.</t>
  </si>
  <si>
    <t>Free text (pattern validated)</t>
  </si>
  <si>
    <t>Preserves precise temporal information while allowing season-level resolution.</t>
  </si>
  <si>
    <t>time_start_year</t>
  </si>
  <si>
    <t>positive integer</t>
  </si>
  <si>
    <t>year (YYYY)</t>
  </si>
  <si>
    <t>Record the start year for experimental outcomes reported. This may be different from the start date of experimental treatments (e.g., if a non-till experiment starts in 2000 and the first outcome is reported for 2002, report 2002 here)</t>
  </si>
  <si>
    <t>Free numeric entry (4-digit integer).</t>
  </si>
  <si>
    <t>Record as four-digit year (YYYY). Required for all observations (single-year and multi-year). If the outcome was measured in a single year, enter that year. Must be ≤ sampling_year_end.</t>
  </si>
  <si>
    <t>Defines the start of the temporal observation window for longitudinal or aggregated outcomes.</t>
  </si>
  <si>
    <t>time_end_year</t>
  </si>
  <si>
    <t>Final calendar year in which the outcome was measured.</t>
  </si>
  <si>
    <t>Record as four-digit year (YYYY). If the outcome was measured in a single year, enter the same value as sampling_year_start. If outcomes are aggregated across multiple years, enter the final year of the aggregation period. Must be ≥ sampling_year_start.</t>
  </si>
  <si>
    <t>Defines the end of the temporal observation window and avoids missing or ambiguous temporal data.</t>
  </si>
  <si>
    <t>sampling_season_start</t>
  </si>
  <si>
    <t>First growing season in which the outcome was measured within a given year in systems with multiple growing seasons.</t>
  </si>
  <si>
    <t>This only required in areas where there are mutiple growing seasons in a year (e.g., areas with bimodal rainfall or irrigated cropping in dry seasons of a unimodal system). 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</si>
  <si>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Free numeric entry (positive integer).</t>
  </si>
  <si>
    <t>Preserves intra-annual temporal resolution in multi-season production systems.</t>
  </si>
  <si>
    <t>sampling_season_end</t>
  </si>
  <si>
    <t>Final growing season included when outcomes are aggregated across multiple seasons within or across years.</t>
  </si>
  <si>
    <t>automatic</t>
  </si>
  <si>
    <t>practices_components</t>
  </si>
  <si>
    <t>automatic, based on subpractice_list</t>
  </si>
  <si>
    <t>practice_list</t>
  </si>
  <si>
    <t>automatic, based on suboutcome selected</t>
  </si>
  <si>
    <t>taxa_class</t>
  </si>
  <si>
    <t>automatic, based on suboutcome_detail1 or suboutcome_detail2</t>
  </si>
  <si>
    <t>taxa_order</t>
  </si>
  <si>
    <t>automatic, based on suboutcome_detail1 or suboutcome_detail3</t>
  </si>
  <si>
    <t>taxa_phylum</t>
  </si>
  <si>
    <t>automatic, based on suboutcome_detail1 or suboutcome_detail4</t>
  </si>
  <si>
    <t>functional_group</t>
  </si>
  <si>
    <t>automatic, based on suboutcome_detail1 or suboutcome_detail5</t>
  </si>
  <si>
    <t>biodiversity_ground</t>
  </si>
  <si>
    <t>automatic, based on suboutcome_detail1 or suboutcome_detail6</t>
  </si>
  <si>
    <t>subpractice_list</t>
  </si>
  <si>
    <t>automatic, based on subpractice</t>
  </si>
  <si>
    <t>subpractice_raw</t>
  </si>
  <si>
    <t>habitat_type</t>
  </si>
  <si>
    <t>agrof_temporal_subpractice</t>
  </si>
  <si>
    <t>residues_unit</t>
  </si>
  <si>
    <t>product_component_focal_yield</t>
  </si>
  <si>
    <t>product_component01</t>
  </si>
  <si>
    <t>product_component02</t>
  </si>
  <si>
    <t>product_component03</t>
  </si>
  <si>
    <t>product_component04</t>
  </si>
  <si>
    <t>product_component05</t>
  </si>
  <si>
    <t>out_value_product_component01</t>
  </si>
  <si>
    <t>out_var_value_product_component01</t>
  </si>
  <si>
    <t>out_value_product_component02</t>
  </si>
  <si>
    <t>out_var_value_product_component02</t>
  </si>
  <si>
    <t>out_value_product_component03</t>
  </si>
  <si>
    <t>out_var_value_product_component03</t>
  </si>
  <si>
    <t>out_value_product_component04</t>
  </si>
  <si>
    <t>out_var_value_product_component04</t>
  </si>
  <si>
    <t>out_value_product_component05</t>
  </si>
  <si>
    <t>out_var_value_product_component05</t>
  </si>
  <si>
    <t>JA_Saka,_07_An ec_Mi</t>
  </si>
  <si>
    <t>Ibadan</t>
  </si>
  <si>
    <t xml:space="preserve">The experiment involved seven treatments namely: AYB/Maize/Kenaf, AYB/Kenaf, AYB/Maize, Maize/Kenaf, sole maize, sole kenaf and sole AYB. </t>
  </si>
  <si>
    <t>nd</t>
  </si>
  <si>
    <t>Mz/Kn/AY:intercropping maize, kenaf and african yam bean</t>
  </si>
  <si>
    <t>DMR-ESR-Y</t>
  </si>
  <si>
    <t>Kenaf</t>
  </si>
  <si>
    <t>Cuba 108</t>
  </si>
  <si>
    <t>African Yam Bean</t>
  </si>
  <si>
    <t>A basal application of 120 kg haG NPK (15-15-15) compound fertilizer was applied to maize and kenaf plants. At anthesis, a second dose of fertilizer was</t>
  </si>
  <si>
    <t>Compound D..Urea</t>
  </si>
  <si>
    <t>120..40</t>
  </si>
  <si>
    <t>2 studied years</t>
  </si>
  <si>
    <t>Maize value, kenaf value, ayb value</t>
  </si>
  <si>
    <t>total benefit</t>
  </si>
  <si>
    <t>In determining the most economically acceptable treatment, partial budget analysis was carried out to estimate the gross value of the component crops using the adjusted yield [15, 16] at 2004 market price for the crops and inputs. The prevailing rates paid to farm labourers at the location were used to estimate the labour cost that vary.</t>
  </si>
  <si>
    <t>USD</t>
  </si>
  <si>
    <t>standard deviation</t>
  </si>
  <si>
    <t>Mz/Kn: intercropping maize and kenaf</t>
  </si>
  <si>
    <t>Cuba 109</t>
  </si>
  <si>
    <t>A basal application of 120 kg haG NPK (15-15-15) compound fertilizer was applied to maize and kenaf plants. applied to maize in form of 40 kgN haG using urea.</t>
  </si>
  <si>
    <t>120..41</t>
  </si>
  <si>
    <t>Maize value, kenaf value</t>
  </si>
  <si>
    <t>Mz/AY: intercroppin maize and african yam bean</t>
  </si>
  <si>
    <t>A basal application of 120 kg haG NPK (15-15-15) compound fertilizer was applied to maize and kenaf plants.</t>
  </si>
  <si>
    <t>120..42</t>
  </si>
  <si>
    <t>Maize value, ayb value</t>
  </si>
  <si>
    <t>Mz: sole maize</t>
  </si>
  <si>
    <t>120..43</t>
  </si>
  <si>
    <t>Maize value</t>
  </si>
  <si>
    <t>Kn/AYB: intercropping kenaf and african yam bean</t>
  </si>
  <si>
    <t>Compound D</t>
  </si>
  <si>
    <t>kenaf value, ayb value</t>
  </si>
  <si>
    <t>Kn: sole kenaf</t>
  </si>
  <si>
    <t>kenaf value</t>
  </si>
  <si>
    <t>AYB sole african yam bean</t>
  </si>
  <si>
    <t>No fertilizer applied</t>
  </si>
  <si>
    <t>ayb value</t>
  </si>
  <si>
    <t>Integration of edible beans (Phaseolus vulgaris L.) into the push–pull technology developed for stemborer and Striga control in maize-based cropping systems</t>
  </si>
  <si>
    <t>ICIPE Campus, Mbita Point</t>
  </si>
  <si>
    <t>Maize was planted at a row-to-row distance of 75 cm and a plant-to-plant distance of 30 cm in a row and was intercropped in alternate rows with silverleaf desmodium in three treatments. In two of these, beans (var. ‘mwezi moja’ – matures in one month) were planted either between maize plants in a row, or same holes with maize (henceforth referred to as bean integration plots). An intercrop of maize and beans and a control plot of maize monocrop were also included, giving a total of five treatments. These were completely randomized and planted in four replications in experimental plots measuring 6 m by 6 m at both sites, one infested with S. hermonthica (henceforth referred to as site A) and one with no S. hermonthica infestation (henceforth referred to as site B).</t>
  </si>
  <si>
    <t>short rains 2007</t>
  </si>
  <si>
    <t>Maize monocrop infested with S. hermonthica (henceforth referred to as site A)</t>
  </si>
  <si>
    <t>H 505</t>
  </si>
  <si>
    <t>Additionally, in all plots, 20 kg nitrogen and 50 kg P/ha were applied as diammonium phosphate at planting of maize and 20 kg N/ha was applied as calcium ammonium nitrate as topdressing 6 weeks later.</t>
  </si>
  <si>
    <t>four replications per treatment</t>
  </si>
  <si>
    <t>maize grain</t>
  </si>
  <si>
    <t>Planting..Weeding..Inorganic Fertilizer Application..Harvesting..Shelling..Machinery..Packaging material..Transport..Seeds..Inorganic Fertilizer</t>
  </si>
  <si>
    <t>gross benefits</t>
  </si>
  <si>
    <t>Total revenues minus total variable costs</t>
  </si>
  <si>
    <t>Tab8 (siteA infested with striga, short rains 2007)</t>
  </si>
  <si>
    <t>short rains</t>
  </si>
  <si>
    <t>maize-beans: intercrop infested with S. hermonthica (henceforth referred to as site A)</t>
  </si>
  <si>
    <t>Mwezi moja</t>
  </si>
  <si>
    <t>maize grain, bean grain</t>
  </si>
  <si>
    <t>Planting..Weeding..Inorganic Fertilizer Application..Harvesting..Shelling..Threshing..Machinery..Packaging material..Transport..Seeds..Inorganic Fertilizer</t>
  </si>
  <si>
    <t>maize-desmodium: maize and silverleaf desmodium infested with S. hermonthica (henceforth referred to as site A)</t>
  </si>
  <si>
    <t>Desmodium</t>
  </si>
  <si>
    <t>Push pull</t>
  </si>
  <si>
    <t>maize grain, desmodium seeds, desmodium forage</t>
  </si>
  <si>
    <t>Desmodium Seed</t>
  </si>
  <si>
    <t>Desmodium Forage</t>
  </si>
  <si>
    <t>MDB same hole: maize, desmodium and bean with maize and beans in the same hole; infested with S. hermonthica (henceforth referred to as site A)</t>
  </si>
  <si>
    <t>maize grain, desmodium seeds, bean grain, desmodium forage</t>
  </si>
  <si>
    <t>Code</t>
  </si>
  <si>
    <t>Site</t>
  </si>
  <si>
    <t>Area (ha)</t>
  </si>
  <si>
    <t>Alt (m)</t>
  </si>
  <si>
    <t>Lat (°N)</t>
  </si>
  <si>
    <t>Lon (°E)</t>
  </si>
  <si>
    <t>Buffer (m)</t>
  </si>
  <si>
    <t>Confidence</t>
  </si>
  <si>
    <t>Source / reasoning</t>
  </si>
  <si>
    <t>MDB different holes: maize, desmodium and bean with maize and beans in the different hole; infested with S. hermonthica (henceforth referred to as site A)</t>
  </si>
  <si>
    <t>MDB different holes: maize, desmodium and bean with maize and beans in the same hole; infested with S. hermonthica (henceforth referred to as site A)</t>
  </si>
  <si>
    <t>IYAK</t>
  </si>
  <si>
    <t>Iyerpadi–Akkamalai</t>
  </si>
  <si>
    <t>High</t>
  </si>
  <si>
    <t>Iyerpadi village centre from elevationmap.net (10.362248, 76.980171, 1224 m); Akkamalai 3.5 km east (10.3246, 77.008, 1338 m). Fragment is large (2600 ha) so buffer reflects fragment spatial extent, not GPS error.</t>
  </si>
  <si>
    <t>long rains 2008</t>
  </si>
  <si>
    <t>long rains</t>
  </si>
  <si>
    <t>AN</t>
  </si>
  <si>
    <t>Andiparai</t>
  </si>
  <si>
    <t>Medium</t>
  </si>
  <si>
    <t>Andiparai shola is inside ATR just N of Valparai plateau edge; position triangulated from Fig. 1 (the paper shows it NW of IYAK, N of Valparai). Companion NCF studies place it ~3-4 km N of Valparai town at high elevation.</t>
  </si>
  <si>
    <t>MA</t>
  </si>
  <si>
    <t>Manamboli</t>
  </si>
  <si>
    <t>Medium-High</t>
  </si>
  <si>
    <t>Manamboli is a known range of the ATR; the 785 m elevation locates it at the lower-elevation edge near the Manamboli/Sholayar area. Lat/lon from ATR range centroid + Fig. 1 (south/southwest of plateau at low elevation).</t>
  </si>
  <si>
    <t>IT</t>
  </si>
  <si>
    <t>Iyerpadi Top</t>
  </si>
  <si>
    <t>"Iyerpadi Top" = the high point immediately adjacent to Iyerpadi village, at elevation ~1400 m (matches paper). Positioned just north/above Iyerpadi centre from elevationmap.net coordinates.</t>
  </si>
  <si>
    <t>PU</t>
  </si>
  <si>
    <t>Puthuthottam</t>
  </si>
  <si>
    <t>Adjacent to Valparai town (10.3278, 76.9556; ~1089 m) — literature explicitly states Puthuthottam "borders the Valparai town" and is "less than a kilometer from Valparai". Placed just east of town centre.</t>
  </si>
  <si>
    <t>KO</t>
  </si>
  <si>
    <t>Korangumudi</t>
  </si>
  <si>
    <t>Direct gazetteer match: Korangumudi 10.308293, 76.899948, elevation 1073 m (close to paper's 995 m). From elevationmap.net.</t>
  </si>
  <si>
    <t>long rains 2007</t>
  </si>
  <si>
    <t>Maize monocrop; with no S. hermonthica infestation (henceforth referred to as site B).</t>
  </si>
  <si>
    <t>Tab8 (siteB without striga, long rains 2007)</t>
  </si>
  <si>
    <t>IN</t>
  </si>
  <si>
    <t>Injipara</t>
  </si>
  <si>
    <t>No direct gazetteer match, but "Injipara" references (Stanmore/Injipara bungalow of Hindustan Unilever's Nallakathu-Injiparai estate complex) place it on the south side of Valparai plateau at similar elevation to Korangumudi. Small fragment (19 ha) so tight buffer.</t>
  </si>
  <si>
    <t>maize-beans: intercrop; with no S. hermonthica infestation (henceforth referred to as site B).</t>
  </si>
  <si>
    <t>TF</t>
  </si>
  <si>
    <t>Tata Finley (= Old Valparai)</t>
  </si>
  <si>
    <t>Direct gazetteer match: Old Valparai 10.351159, 76.938382, elevation 1067 m. Confirmed by NCF dataset: "Current Name of TF (Tata Finlay) site is Old Valparai". Paper's 980 m matches within SRTM uncertainty.</t>
  </si>
  <si>
    <t>maize-desmodium: maize and silverleaf desmodium; with no S. hermonthica infestation (henceforth referred to as site B).</t>
  </si>
  <si>
    <t>PA</t>
  </si>
  <si>
    <t>Pannimade</t>
  </si>
  <si>
    <t>Direct gazetteer match: Pannimade 10.279004, 76.887396, elevation 982 m (paper says 1032 m — likely paper rounded). From elevationmap.net.</t>
  </si>
  <si>
    <t>MDB same hole: maize, desmodium and bean with maize and beans in the same hole; with no S. hermonthica infestation (henceforth referred to as site B).</t>
  </si>
  <si>
    <t>V3</t>
  </si>
  <si>
    <t>Varattuparai 1–3</t>
  </si>
  <si>
    <t>Varattuparai is the location of NCF's rainforest nursery in land provided by Tata Coffee. No exact gazetteer hit, but Fig. 1 places V3 between MA and TC/TF. Small fragment (11 ha).</t>
  </si>
  <si>
    <t>MDB different holes: maize, desmodium and bean with maize and beans in the same hole; with no S. hermonthica infestation (henceforth referred to as site B).</t>
  </si>
  <si>
    <t>BC</t>
  </si>
  <si>
    <t>BBTC Coffee</t>
  </si>
  <si>
    <t>Paper says BC is adjacent to a degraded fragment "along the Sholayar river" and surrounded by tea plantations. Placed near the Sholayar river valley on the SW edge of the plateau, consistent with Fig. 1.</t>
  </si>
  <si>
    <t>Tab8 (siteB without striga, short rains 2007)</t>
  </si>
  <si>
    <t>TC</t>
  </si>
  <si>
    <t>Tata Coffee</t>
  </si>
  <si>
    <t>Paper says TC "bordered a forest fragment (TF)" = Tata Finley/Old Valparai. So placed adjacent to TF (10.3512, 76.9384), slightly south/west.</t>
  </si>
  <si>
    <t>where zi is the amount of money generated from the sale of plot output i, i.e., due to the technology including maize grain, beans, desmodium seeds and desmodium forage.</t>
  </si>
  <si>
    <t>Planting..Weeding..Inorganic Fertilizer Application..Harvesting..Shelling</t>
  </si>
  <si>
    <t>Planting..Weeding..Inorganic Fertilizer Application..Harvesting..Shelling..Threshing</t>
  </si>
  <si>
    <t>Tab6 (siteA infested with striga, short rains 2007)</t>
  </si>
  <si>
    <t>Tab6 (siteB without striga, long rains 2007)</t>
  </si>
  <si>
    <t>Tab6 (siteB without striga, short rains 2007)</t>
  </si>
  <si>
    <t>Above</t>
  </si>
  <si>
    <t>Number of Striga hermonthica plants per plot</t>
  </si>
  <si>
    <t>plants/plot</t>
  </si>
  <si>
    <t>Tab5 (short rains 2007 7WAE seven weeks after maize emerge)</t>
  </si>
  <si>
    <t>short rains 7WAE</t>
  </si>
  <si>
    <t>Tab5 (short rains 2007 12WAE twelve weeks after maize emerge)</t>
  </si>
  <si>
    <t>short rains 12WAE</t>
  </si>
  <si>
    <t>Tab5 (long rains 2008 7WAE seven weeks after maize emerge)</t>
  </si>
  <si>
    <t>long rains 7WAE</t>
  </si>
  <si>
    <t>Tab5 (long rains 2008 12WAE twelve weeks after maize emerge)</t>
  </si>
  <si>
    <t>long rains 12WAE</t>
  </si>
  <si>
    <t>study_id_ss</t>
  </si>
  <si>
    <t>agro_subpractice_raw</t>
  </si>
  <si>
    <t>fert_inorganic_applied_unit</t>
  </si>
  <si>
    <t>fert_inorganic_applied</t>
  </si>
  <si>
    <t>weed_subpractice_raw</t>
  </si>
  <si>
    <t>weed_subpractice</t>
  </si>
  <si>
    <t>ph_amount_unit</t>
  </si>
  <si>
    <t>ph_amount</t>
  </si>
  <si>
    <t>out_variance_metric</t>
  </si>
  <si>
    <t>out_variance_value</t>
  </si>
  <si>
    <t>outc_variance_value_l</t>
  </si>
  <si>
    <t>outc_variance_value_u</t>
  </si>
  <si>
    <t>JA_Ramad_02_Impro_</t>
  </si>
  <si>
    <t>Tanzania</t>
  </si>
  <si>
    <t>Farmers were chosen randomly from three tobacco-growing villages in three districts, using lists of farmers available at village offices. The selected farmers were then visited to see if they were interested in hosting the on-farm trial. Five farmers planted in 1993/94 (the planting season extends from December to February); 10 in 1994/95; 8 in 1995/96; and 37 in 1996/97. Seedlings of A. crassicarpa, A. jurifera and A. leptocarpa were raised in a nursery at ARTI-Tumbi and transported to farmers’ fields. The trial was researcher-designed and farmer-managed; researchers marked out plots and advised on management, but farmers conducted all operations. The trial included three plots, one for each species, planted at a spacing of 4 m × 4 m (625 trees ha−1). Plot size ranged from 0.07 to 0.16 ha depending on the land the farmer had available, thus, each farmer planted about 44–100 trees of each species.</t>
  </si>
  <si>
    <t>Five farmers planted in 1993/94 (the planting season extends from December to February); 10 in 1994/95; 8 in 1995/96; and 37 in 1996/97.</t>
  </si>
  <si>
    <r>
      <t xml:space="preserve">Maize-fallow system: </t>
    </r>
    <r>
      <rPr>
        <b/>
        <sz val="11"/>
        <color theme="1"/>
        <rFont val="Aptos Narrow"/>
        <family val="2"/>
        <scheme val="minor"/>
      </rPr>
      <t>farmers planted woodlots on fields that they indicated would have been used for growing maize for 2 years followed by a 3-year fallow.</t>
    </r>
  </si>
  <si>
    <t>Kilima</t>
  </si>
  <si>
    <t>Hand hoes</t>
  </si>
  <si>
    <t>Maize-fallow system: Maize is cultivated for 2 years followed by 3 years of fallow.</t>
  </si>
  <si>
    <t>Urea</t>
  </si>
  <si>
    <t>bags/ha</t>
  </si>
  <si>
    <t>maize grain yield</t>
  </si>
  <si>
    <t>total benefits</t>
  </si>
  <si>
    <t>TZS/ha</t>
  </si>
  <si>
    <t>table 5</t>
  </si>
  <si>
    <t>year 1</t>
  </si>
  <si>
    <t>Agroforestry</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</si>
  <si>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t>
  </si>
  <si>
    <t>Acacia crassicarpa</t>
  </si>
  <si>
    <t>Acacia julifera</t>
  </si>
  <si>
    <t>Acacia leptocarpa</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</si>
  <si>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 Maize is intercropped with the trees during the first 2 years. There are no benefits or costs during years 3 and 4. All costs and benefits are discounted over a 5-year period</t>
  </si>
  <si>
    <t>Data on tree height, root collar diameter (the diameter of the lowest part of the stem), and canopy cover (a mean of the longest axis of canopy cover and the axis perpendicular to it) were collected at 3, 6, 18, 27, 39 and 51 months after planting from 15 farmers, five in each village. These 15 farmers were those who planted in 1993/94 and 1994/95.</t>
  </si>
  <si>
    <t>year 2</t>
  </si>
  <si>
    <t>maize grain yield and pruning yield. Wood yield was measured from four of the 15 farmers who planted in 1993/94 and 1994/95; only five farmers had harvested their trees at the time of writing. Of the four farmers from whom data were obtained, three harvested 4 years after planting. Their yield data were converted to 5th year yields by adding 20%, a conservative estimate of the yield increase during the 5th year. The remaining farmer harvested during the 5th year after planting.</t>
  </si>
  <si>
    <t>maize grain yield and pruning yield</t>
  </si>
  <si>
    <t>no yield</t>
  </si>
  <si>
    <t>year 5</t>
  </si>
  <si>
    <t>wood yield</t>
  </si>
  <si>
    <t>Land Preparation..Planting..1</t>
  </si>
  <si>
    <t>total labor costs</t>
  </si>
  <si>
    <t>pla</t>
  </si>
  <si>
    <t>JA_Kapoo_08_Effec_Jo</t>
  </si>
  <si>
    <t>Researcher Managed</t>
  </si>
  <si>
    <t>Iyerpadi-Akkamalai (IYAK), Valparai plateau, Anamalai Hills</t>
  </si>
  <si>
    <t>Facility</t>
  </si>
  <si>
    <t>Estimated</t>
  </si>
  <si>
    <t>Andiparai (AN), Valparai plateau, Anamalai Hills</t>
  </si>
  <si>
    <t>Manamboli (MA), Valparai plateau, Anamalai Hills</t>
  </si>
  <si>
    <t>Observational study comparing spider communities across four disturbance categories in a plantation-rainforest mosaic in the Anamalai Hills, Western Ghats, southern India. Four practice groups: C1 undisturbed primary rainforest (3 sites within Indira Gandhi Wildlife Sanctuary), T1 disturbed rainforest with primary vegetation retained (4 privately-owned sites), T2 highly disturbed rainforest in abandoned plantations (3 privately-owned sites), T3 shade-coffee plantation (2 sites). Total 12 sites ranging 11-2600 ha and 785-1400 m elevation. Spiders sampled by visual searches along belt transects (2 m width, 1.6 m max height, ~30-50 m from edge); each transect ~180 min duration. 5 transects per site (7 in IYAK; 4 in MA, AN); repeated monthly Jan-May 2005. Total sampled area 5.757 ha.</t>
  </si>
  <si>
    <t>January to May 2005</t>
  </si>
  <si>
    <t>Dry season (January-May)</t>
  </si>
  <si>
    <t>Relatively undisturbed primary tropical wet evergreen rainforest fragments (Cullenia exarillata-Mesua ferrea-Palaquium ellipticum type) within the Indira Gandhi Wildlife Sanctuary; 3 sites: IYAK (2600 ha, 1380 m), AN (185 ha, 1270 m), MA (200 ha, 785 m). Tree densities 505-517/ha (MA not quantified).</t>
  </si>
  <si>
    <t>Cullenia exarillata</t>
  </si>
  <si>
    <t>trees/ha</t>
  </si>
  <si>
    <t>Mesua ferrea</t>
  </si>
  <si>
    <t>Palaquium ellipticum</t>
  </si>
  <si>
    <t>Visual searches for spiders along belt transects (2 m wide, 1.6 m max height, ~180 min each; 07:15-14:30 h on non-rainy days). Practice C1 aggregates 3 sites: IYAK (7 transects, 3.09 km, 1219 min); AN (4 transects, 2.04 km, 893 min); MA (4 transects, 2.06 km, 851 min).</t>
  </si>
  <si>
    <t>understorey spider morphospecies (Araneae; 21 families, 8 functional groups)</t>
  </si>
  <si>
    <t>Araneae</t>
  </si>
  <si>
    <t>Mean individual spider density per 100 m2, aggregated across sites</t>
  </si>
  <si>
    <t>Mean number of individual spiders per 100 m2 of transect area across sites within the treatment. Per-site values visually estimated from Fig 2a; treatment-level mean = mean of per-site means; SD combines between-site variation and pooled within-site SD. [VISUAL APPROXIMATION from Fig 2a: per-site values read from published graph (+/- 0.5 precision on mean, +/- 0.5 on within-site SD). Treatment-level aggregation: mean across sites; SD = sqrt(between-site variance + mean within-site variance). Paper text confirms overall range 5-12 individuals/100 m2.]</t>
  </si>
  <si>
    <t>n araneae/m2</t>
  </si>
  <si>
    <t>fig2a (visual estimate)</t>
  </si>
  <si>
    <t>21/04/2026</t>
  </si>
  <si>
    <t>in this study outcomes are provided per each site (e.g., V3, IN, TF) so you should extract one outcome per site. Only data from figure 2 a and b is necessary to extract ( Jonest et al already extracted the data from the figure, so you just need to complet the rest)</t>
  </si>
  <si>
    <t>please check comments</t>
  </si>
  <si>
    <t>Iyerpadi Top (IT), Valparai plateau, Anamalai Hills</t>
  </si>
  <si>
    <t>Tata Finley (TF), Valparai plateau, Anamalai Hills</t>
  </si>
  <si>
    <t>Pannimade (PA), Valparai plateau, Anamalai Hills</t>
  </si>
  <si>
    <t>Varattuparai 1-3 (V3), Valparai plateau, Anamalai Hills</t>
  </si>
  <si>
    <t>Disturbed privately-owned rainforest fragments with primary rainforest vegetation retained; 4 sites: IT (100 ha, 1400 m), TF (32.6 ha, 980 m), PA (88 ha, 1032 m), V3 (11 ha, 975 m). Tree densities 370-601/ha. Subject to fuel wood collection, cattle grazing, and occasional tree cutting; variable Lantana camara presence (notable at IT).</t>
  </si>
  <si>
    <t>Visual searches for spiders along belt transects (2 m wide, 1.6 m max height, ~180 min each; 07:15-14:30 h on non-rainy days). Practice T1 aggregates 4 sites: IT (5 transects, 2.24 km, 906 min); TF (5 transects, 2.2 km, 900 min); PA (5 transects, 2.39 km, 915 min); V3 (5 transects, 2.26 km, 915 min).</t>
  </si>
  <si>
    <t>C1..T2..T3</t>
  </si>
  <si>
    <t>Puthuthottam (PU), Valparai plateau, Anamalai Hills</t>
  </si>
  <si>
    <t>Korangumudi (KO), Valparai plateau, Anamalai Hills</t>
  </si>
  <si>
    <t>Injipara (IN), Valparai plateau, Anamalai Hills</t>
  </si>
  <si>
    <t>Highly disturbed privately-owned rainforest fragments; originally coffee or cardamom plantations now abandoned; mixed canopy of native rainforest trees and planted exotics (Maesopsis eminii, Spathodea campanulata). 3 sites: PU (92 ha, 1120 m), KO (56 ha, 995 m), IN (19.1 ha, 992 m). Tree densities 257-404/ha (lower than disturbed T1); high Lantana camara invasion across all sites.</t>
  </si>
  <si>
    <t>Maesopsis eminii</t>
  </si>
  <si>
    <t>Spathodea campanulata</t>
  </si>
  <si>
    <t>Visual searches for spiders along belt transects (2 m wide, 1.6 m max height, ~180 min each; 07:15-14:30 h on non-rainy days). Practice T2 aggregates 3 sites: PU (5 transects, 3.0 km, 894 min); KO (5 transects, 2.53 km, 908 min); IN (5 transects, 2.34 km, 900 min).</t>
  </si>
  <si>
    <t>C1..T1..T3</t>
  </si>
  <si>
    <t>BBTC Coffee (BC), Valparai plateau, Anamalai Hills</t>
  </si>
  <si>
    <t>Farm</t>
  </si>
  <si>
    <t>Tata Coffee (TC), Valparai plateau, Anamalai Hills</t>
  </si>
  <si>
    <t>Organically grown shade-coffee plantations; 2 sites: BC (83.8 ha, 1000 m) — Eucalyptus sp. monoculture shade, certified organic, young/short coffee plants, poor connectivity to rainforest; TC (100 ha, 980 m) — mixed native (Palaquium ellipticum, Cullenia exarillata, Mesua ferrea) + exotic (Erythrina indica, Maesopsis eminii) shade, older/taller coffee plants, borders rainforest fragments TF and V3.</t>
  </si>
  <si>
    <t>Eucalyptus sp.</t>
  </si>
  <si>
    <t>Erythrina indica</t>
  </si>
  <si>
    <t>Shade coffee plantation</t>
  </si>
  <si>
    <t>Organic management reported (no synthetic fertilizer)</t>
  </si>
  <si>
    <t>Organic Fertilizer</t>
  </si>
  <si>
    <t>Manual weeding of undergrowth under coffee rows</t>
  </si>
  <si>
    <t>Visual searches for spiders along belt transects (2 m wide, 1.6 m max height, ~180 min each; 07:15-14:30 h on non-rainy days). Practice T3 aggregates 2 sites: BC (5 transects, 2.51 km, 868 min); TC (5 transects, 2.12 km, 903 min).</t>
  </si>
  <si>
    <t>C1..T1..T2</t>
  </si>
  <si>
    <t>Mean spider species density per 100 m2, aggregated across sites</t>
  </si>
  <si>
    <t>Mean number of distinct spider morphospecies per 100 m2 of transect area across sites within the treatment (Gotelli and Colwell 2001 definition). Per-site values visually estimated from Fig 2b. [VISUAL APPROXIMATION from Fig 2b: per-site values read from published graph (+/- 0.3 precision). Treatment-level SD combines between-site and within-site variation. Paper text confirms overall range 2-3.6 species/100 m2 with highest at TC.]</t>
  </si>
  <si>
    <t>species per 100 m2</t>
  </si>
  <si>
    <t>fig2b (visual estimate)</t>
  </si>
  <si>
    <t>Mean rarefaction species richness per 200 individuals, aggregated across sites</t>
  </si>
  <si>
    <t>Expected number of spider morphospecies for a standardised sample of 200 individuals (EcoSim rarefaction; Gotelli and Entsminger 2001), averaged across sites within the treatment. Per-site values visually estimated from Fig 3 (open symbols). [VISUAL APPROXIMATION from Fig 3 open symbols: per-site values read from published graph (+/- 5 precision). Paper text confirms V3 has the highest rarefaction richness.]</t>
  </si>
  <si>
    <t>Rareified Species Richness</t>
  </si>
  <si>
    <t>expected species count</t>
  </si>
  <si>
    <t>fig3 (visual estimate)</t>
  </si>
  <si>
    <t>Mean Jackknife 1 estimated species richness, aggregated across sites</t>
  </si>
  <si>
    <t>First-order Jackknife estimate of total spider species richness per site (EstimateS; Colwell 2000), averaged across sites within the treatment. Per-site values visually estimated from Fig 3 (filled symbols). [VISUAL APPROXIMATION from Fig 3 filled symbols: per-site values read from published graph (+/- 5 precision). Paper text confirms MA has the highest estimated richness, closely followed by TC, while IYAK and AN have relatively low values.]</t>
  </si>
  <si>
    <t>estimated species count</t>
  </si>
  <si>
    <t>yield to calculate ler</t>
  </si>
  <si>
    <t>ler</t>
  </si>
  <si>
    <t>There is no information on the site type//I am not sure about the exp_duration, I put 2001-2008 as stated but outcomes are reported for 2007 and 2008 only, is it the correct way?//seed density was given as a range so I took the middle point//not sure about the crop_seq_subpractice because it is more than 2 crops (or at lest more than 2 seasons in all treatments) but the fixing non-fixing distinction seems important//not sure about the exp_plot_size//not sure about the out_season_start I put 8 because it is the 8th year if we consider 2001 as the satarting point and then 8.1 because it correspond to the first growing season of the year//I do not have the drop down anymore fore out_subindicator and i am not sure about the unit for the Chao1 index//I know we are not supposed to put treatment and control numbers but I did it to try to understand how you do it since I think it is important as I am also supposed to analyse the data afterwards (for FABLE)</t>
  </si>
  <si>
    <t>Charlotte</t>
  </si>
  <si>
    <t>Figure 2a,b estimated (middle of rotation crop)</t>
  </si>
  <si>
    <t>C1..T3</t>
  </si>
  <si>
    <t>RMgM rice–mungbean–maize</t>
  </si>
  <si>
    <t>Shannon-Weaver Index (H')- Bacterial (16S rDNA DGGE) communities</t>
  </si>
  <si>
    <t>Tests of normality of Shannon diversity and Chao I richness values were performed using the Shapiro–Wilk test.</t>
  </si>
  <si>
    <t>Bacteria</t>
  </si>
  <si>
    <t>The experiment was set-up as a randomized block design with four treatments and four replicates of each treatment. Soil samples were collected in two different cropping periods: (1) in May 2007 in the middle of the cropping period March–July during vigorous plant growth when rice, mungbean and maize crops were grown (the middle of rotation crop) and (2) in February 2008 1 week after rice was harvested in all treatments at the end of cropping period NovemberFebruary (the end of rice crop). Five soil cores (15 cm deep×2.5 cm diameter) from each plot (6×15 m2) were randomly taken. Two replicates from each pooled sample were used for DNA extraction.</t>
  </si>
  <si>
    <t>Urea..Superphosphate..Potassium Chloride</t>
  </si>
  <si>
    <t>Fertilizer rates for urea–superphosphate–potassium chloride in kg/ha, for rice 100-45-30, maize 140-50-30, for mungbean 40-30-60. Split between the day before sowing, 7-15 days after sowing, 20-30 days after sowing and 35-50 days after sowing</t>
  </si>
  <si>
    <t>September</t>
  </si>
  <si>
    <t>Mung_Bean</t>
  </si>
  <si>
    <t>These crop rotation treatments were repeated yearly from 2001 to 2008.</t>
  </si>
  <si>
    <t>The experiment was set-up as a randomized block design with four treatments and four replicates of each treatment. Rice was rotated with maize and mungbean in different combinations. Each year, the three cropping periods were November–February (only rice crop in all treatments), March–June (rotation crops) and July–October (rice or maize crops) with four treatments: (1) rice–rice–rice (RRR) as control, (2) rice–maize–rice (RMR), (3) rice–mungbeanmaize (RMgM), and (4) rice–mungbean–rice (RMgR). These crop rotation treatments were repeated yearly from 2001 to 2008.</t>
  </si>
  <si>
    <t>Cailay District, TienGiang Province</t>
  </si>
  <si>
    <t>Vietnam</t>
  </si>
  <si>
    <t>JA_Xuan _12_Diffe_Bi</t>
  </si>
  <si>
    <t>C1..T2</t>
  </si>
  <si>
    <t>RMgR Rice–mungbean–rice treatment</t>
  </si>
  <si>
    <t>July</t>
  </si>
  <si>
    <t>Double Cropping (N fixing and Non N fixing)</t>
  </si>
  <si>
    <t>C1..T1</t>
  </si>
  <si>
    <t>RMR Rice–maize–rice treatment</t>
  </si>
  <si>
    <t>May</t>
  </si>
  <si>
    <t>Double Cropping (Non N fixing)</t>
  </si>
  <si>
    <t>RRR Rice–rice–rice treatment</t>
  </si>
  <si>
    <t>March</t>
  </si>
  <si>
    <t>Index</t>
  </si>
  <si>
    <t>Chao1 Index</t>
  </si>
  <si>
    <t>Tests of normality of Shannon diversity and Chao I richness values were performed using the Shapiro–Wilk test. Chao I richness data were log-transformed before analysis of differences in bacterial diversity and richness in relation to treatment and sampling point, and the interaction of the two were analysed by two-way ANOVA</t>
  </si>
  <si>
    <t>January</t>
  </si>
  <si>
    <t>November</t>
  </si>
  <si>
    <t>These crop rotation treatments were repeated yearly from 2001 to 2008. Each year, the three cropping periods were November–February (only rice crop in all treatments), March–June (rotation crops) and July–October (rice or maize crops) with four treatments: (1) rice–rice–rice (RRR) as control, (2) rice–maize–rice (RMR), (3) rice–mungbeanmaize (RMgM), and (4) rice–mungbean–rice (RMgR).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</si>
</sst>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52">
    <font>
      <sz val="11"/>
      <color theme="1"/>
      <name val="Aptos Narrow"/>
      <family val="2"/>
      <scheme val="minor"/>
    </font>
    <font>
      <b/>
      <sz val="11"/>
      <color theme="0"/>
      <name val="Aptos Narrow"/>
      <family val="2"/>
      <scheme val="minor"/>
    </font>
    <font>
      <sz val="11"/>
      <color theme="1"/>
      <name val="Aptos Narrow"/>
      <family val="2"/>
      <scheme val="minor"/>
    </font>
    <font>
      <sz val="11"/>
      <color rgb="FFFF0000"/>
      <name val="Aptos Narrow"/>
      <family val="2"/>
      <scheme val="minor"/>
    </font>
    <font>
      <sz val="11"/>
      <name val="Aptos Narrow"/>
      <family val="2"/>
      <scheme val="minor"/>
    </font>
    <font>
      <sz val="11"/>
      <color rgb="FF000000"/>
      <name val="Calibri"/>
      <family val="2"/>
    </font>
    <font>
      <sz val="11"/>
      <color theme="1"/>
      <name val="Courier New"/>
      <family val="1"/>
    </font>
    <font>
      <sz val="10"/>
      <color theme="1"/>
      <name val="Arial"/>
      <family val="2"/>
    </font>
    <font>
      <sz val="8"/>
      <color theme="1"/>
      <name val="Aptos Narrow"/>
      <family val="2"/>
      <scheme val="minor"/>
    </font>
    <font>
      <sz val="11"/>
      <color theme="1"/>
      <name val="Calibri"/>
      <family val="2"/>
    </font>
    <font>
      <sz val="10"/>
      <name val="Arial"/>
      <family val="2"/>
    </font>
    <font>
      <sz val="10"/>
      <color rgb="FF000000"/>
      <name val="Helvetica Neue"/>
      <family val="2"/>
    </font>
    <font>
      <sz val="10"/>
      <color rgb="FFFF0000"/>
      <name val="Arial"/>
      <family val="2"/>
    </font>
    <font>
      <sz val="11"/>
      <name val="Calibri"/>
      <family val="2"/>
    </font>
    <font>
      <b/>
      <sz val="10"/>
      <color theme="0"/>
      <name val="Arial"/>
      <family val="2"/>
    </font>
    <font>
      <b/>
      <sz val="9"/>
      <color indexed="81"/>
      <name val="Tahoma"/>
      <family val="2"/>
    </font>
    <font>
      <sz val="8"/>
      <name val="Aptos Narrow"/>
      <family val="2"/>
      <scheme val="minor"/>
    </font>
    <font>
      <sz val="11"/>
      <color theme="0"/>
      <name val="Aptos Narrow"/>
      <family val="2"/>
      <scheme val="minor"/>
    </font>
    <font>
      <b/>
      <sz val="11"/>
      <color theme="1"/>
      <name val="Aptos Narrow"/>
      <family val="2"/>
      <scheme val="minor"/>
    </font>
    <font>
      <u/>
      <sz val="11"/>
      <color theme="10"/>
      <name val="Aptos Narrow"/>
      <family val="2"/>
      <scheme val="minor"/>
    </font>
    <font>
      <sz val="11"/>
      <color rgb="FFED0000"/>
      <name val="Aptos Narrow"/>
      <family val="2"/>
      <scheme val="minor"/>
    </font>
    <font>
      <sz val="11"/>
      <color rgb="FF242424"/>
      <name val="Aptos Narrow"/>
      <family val="2"/>
    </font>
    <font>
      <sz val="11"/>
      <color rgb="FFE40000"/>
      <name val="Aptos Narrow"/>
      <family val="2"/>
      <scheme val="minor"/>
    </font>
    <font>
      <sz val="9"/>
      <color indexed="81"/>
      <name val="Tahoma"/>
      <family val="2"/>
    </font>
    <font>
      <sz val="11"/>
      <name val="Courier New"/>
      <family val="1"/>
    </font>
    <font>
      <sz val="11"/>
      <name val="Aptos Narrow"/>
      <family val="2"/>
    </font>
    <font>
      <b/>
      <sz val="11"/>
      <color rgb="FFFFFFFF"/>
      <name val="Aptos Narrow"/>
      <family val="2"/>
    </font>
    <font>
      <sz val="10"/>
      <color rgb="FF000000"/>
      <name val="Arial"/>
      <family val="2"/>
      <charset val="1"/>
    </font>
    <font>
      <sz val="8"/>
      <color rgb="FF000000"/>
      <name val="Calibri"/>
      <family val="2"/>
    </font>
    <font>
      <sz val="11"/>
      <color theme="1"/>
      <name val="Arial"/>
      <family val="2"/>
    </font>
    <font>
      <sz val="11"/>
      <color theme="1"/>
      <name val="Aptos Narrow"/>
      <family val="2"/>
    </font>
    <font>
      <sz val="11"/>
      <color rgb="FF000000"/>
      <name val="Courier New"/>
      <family val="1"/>
    </font>
    <font>
      <sz val="11"/>
      <color rgb="FF3B4045"/>
      <name val="Segoe UI"/>
      <family val="2"/>
    </font>
    <font>
      <b/>
      <sz val="10"/>
      <name val="Arial"/>
      <family val="2"/>
    </font>
    <font>
      <b/>
      <sz val="11"/>
      <name val="Calibri"/>
      <family val="2"/>
    </font>
    <font>
      <b/>
      <sz val="1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i/>
      <sz val="11"/>
      <color rgb="FF7F7F7F"/>
      <name val="Aptos Narrow"/>
      <family val="2"/>
      <scheme val="minor"/>
    </font>
    <font>
      <b/>
      <sz val="11"/>
      <color theme="0"/>
      <name val="Calibri"/>
      <family val="2"/>
    </font>
    <font>
      <sz val="11"/>
      <color theme="0"/>
      <name val="Calibri"/>
      <family val="2"/>
    </font>
    <font>
      <sz val="10"/>
      <color theme="0"/>
      <name val="Arial"/>
      <family val="2"/>
    </font>
    <font>
      <b/>
      <sz val="11"/>
      <color theme="0"/>
      <name val="Aptos Narrow"/>
      <family val="2"/>
    </font>
  </fonts>
  <fills count="56">
    <fill>
      <patternFill patternType="none"/>
    </fill>
    <fill>
      <patternFill patternType="gray125"/>
    </fill>
    <fill>
      <patternFill patternType="solid">
        <fgColor theme="5"/>
        <bgColor indexed="64"/>
      </patternFill>
    </fill>
    <fill>
      <patternFill patternType="solid">
        <fgColor theme="4" tint="0.79998168889431442"/>
        <bgColor theme="4" tint="0.79998168889431442"/>
      </patternFill>
    </fill>
    <fill>
      <patternFill patternType="solid">
        <fgColor theme="2"/>
        <bgColor indexed="64"/>
      </patternFill>
    </fill>
    <fill>
      <patternFill patternType="solid">
        <fgColor rgb="FFFF0000"/>
        <bgColor indexed="64"/>
      </patternFill>
    </fill>
    <fill>
      <patternFill patternType="solid">
        <fgColor rgb="FF007BB8"/>
        <bgColor indexed="64"/>
      </patternFill>
    </fill>
    <fill>
      <patternFill patternType="solid">
        <fgColor theme="9"/>
        <bgColor indexed="64"/>
      </patternFill>
    </fill>
    <fill>
      <patternFill patternType="solid">
        <fgColor theme="8"/>
        <bgColor indexed="64"/>
      </patternFill>
    </fill>
    <fill>
      <patternFill patternType="solid">
        <fgColor rgb="FFFF85FF"/>
        <bgColor indexed="64"/>
      </patternFill>
    </fill>
    <fill>
      <patternFill patternType="solid">
        <fgColor rgb="FFFFE599"/>
        <bgColor indexed="64"/>
      </patternFill>
    </fill>
    <fill>
      <patternFill patternType="solid">
        <fgColor rgb="FFD883FF"/>
        <bgColor indexed="64"/>
      </patternFill>
    </fill>
    <fill>
      <patternFill patternType="solid">
        <fgColor rgb="FF7A81FF"/>
        <bgColor indexed="64"/>
      </patternFill>
    </fill>
    <fill>
      <patternFill patternType="solid">
        <fgColor rgb="FF76D6FF"/>
        <bgColor indexed="64"/>
      </patternFill>
    </fill>
    <fill>
      <patternFill patternType="solid">
        <fgColor theme="3" tint="0.749992370372631"/>
        <bgColor indexed="64"/>
      </patternFill>
    </fill>
    <fill>
      <patternFill patternType="solid">
        <fgColor rgb="FFFF8AD8"/>
        <bgColor indexed="64"/>
      </patternFill>
    </fill>
    <fill>
      <patternFill patternType="solid">
        <fgColor theme="4" tint="0.39997558519241921"/>
        <bgColor indexed="64"/>
      </patternFill>
    </fill>
    <fill>
      <patternFill patternType="solid">
        <fgColor theme="4"/>
        <bgColor theme="4"/>
      </patternFill>
    </fill>
    <fill>
      <patternFill patternType="solid">
        <fgColor theme="4"/>
        <bgColor indexed="64"/>
      </patternFill>
    </fill>
    <fill>
      <patternFill patternType="solid">
        <fgColor rgb="FFFFFF00"/>
        <bgColor indexed="64"/>
      </patternFill>
    </fill>
    <fill>
      <patternFill patternType="solid">
        <fgColor rgb="FFFF8F8F"/>
        <bgColor indexed="64"/>
      </patternFill>
    </fill>
    <fill>
      <patternFill patternType="solid">
        <fgColor rgb="FFFF7474"/>
        <bgColor indexed="64"/>
      </patternFill>
    </fill>
    <fill>
      <patternFill patternType="solid">
        <fgColor rgb="FF227ACB"/>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theme="4" tint="0.79998168889431442"/>
      </patternFill>
    </fill>
    <fill>
      <patternFill patternType="solid">
        <fgColor theme="0"/>
        <bgColor indexed="64"/>
      </patternFill>
    </fill>
  </fills>
  <borders count="23">
    <border>
      <left/>
      <right/>
      <top/>
      <bottom/>
      <diagonal/>
    </border>
    <border>
      <left/>
      <right/>
      <top style="thin">
        <color theme="4" tint="0.39997558519241921"/>
      </top>
      <bottom style="thin">
        <color theme="4" tint="0.39997558519241921"/>
      </bottom>
      <diagonal/>
    </border>
    <border>
      <left/>
      <right/>
      <top style="thin">
        <color theme="4" tint="0.39997558519241921"/>
      </top>
      <bottom/>
      <diagonal/>
    </border>
    <border>
      <left style="medium">
        <color rgb="FFCCCCCC"/>
      </left>
      <right style="medium">
        <color rgb="FFCCCCCC"/>
      </right>
      <top style="medium">
        <color rgb="FFCCCCCC"/>
      </top>
      <bottom/>
      <diagonal/>
    </border>
    <border>
      <left style="medium">
        <color rgb="FFCCCCCC"/>
      </left>
      <right style="medium">
        <color rgb="FFCCCCCC"/>
      </right>
      <top style="medium">
        <color rgb="FFCCCCCC"/>
      </top>
      <bottom style="medium">
        <color rgb="FFCCCCCC"/>
      </bottom>
      <diagonal/>
    </border>
    <border>
      <left style="thin">
        <color theme="4" tint="0.39997558519241921"/>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style="thin">
        <color theme="4" tint="0.39997558519241921"/>
      </right>
      <top style="thin">
        <color theme="4" tint="0.39997558519241921"/>
      </top>
      <bottom style="thin">
        <color theme="4" tint="0.39997558519241921"/>
      </bottom>
      <diagonal/>
    </border>
    <border>
      <left/>
      <right/>
      <top/>
      <bottom style="thin">
        <color rgb="FF8ED973"/>
      </bottom>
      <diagonal/>
    </border>
    <border>
      <left/>
      <right/>
      <top style="thin">
        <color theme="4" tint="0.39997558519241921"/>
      </top>
      <bottom style="thin">
        <color rgb="FF8ED973"/>
      </bottom>
      <diagonal/>
    </border>
    <border>
      <left/>
      <right/>
      <top style="medium">
        <color rgb="FFCCCCCC"/>
      </top>
      <bottom/>
      <diagonal/>
    </border>
    <border>
      <left style="medium">
        <color rgb="FFCCCCCC"/>
      </left>
      <right/>
      <top style="medium">
        <color rgb="FFCCCCCC"/>
      </top>
      <bottom/>
      <diagonal/>
    </border>
    <border>
      <left style="medium">
        <color rgb="FFCCCCCC"/>
      </left>
      <right/>
      <top style="thin">
        <color theme="4" tint="0.39997558519241921"/>
      </top>
      <bottom/>
      <diagonal/>
    </border>
    <border>
      <left style="thin">
        <color theme="4" tint="0.39997558519241921"/>
      </left>
      <right/>
      <top style="thin">
        <color theme="4" tint="0.39997558519241921"/>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4">
    <xf numFmtId="0" fontId="0" fillId="0" borderId="0"/>
    <xf numFmtId="0" fontId="19" fillId="0" borderId="0" applyNumberFormat="0" applyFill="0" applyBorder="0" applyAlignment="0" applyProtection="0"/>
    <xf numFmtId="0" fontId="29" fillId="0" borderId="0"/>
    <xf numFmtId="0" fontId="36" fillId="0" borderId="0" applyNumberFormat="0" applyFill="0" applyBorder="0" applyAlignment="0" applyProtection="0"/>
    <xf numFmtId="0" fontId="37" fillId="0" borderId="14" applyNumberFormat="0" applyFill="0" applyAlignment="0" applyProtection="0"/>
    <xf numFmtId="0" fontId="38" fillId="0" borderId="15" applyNumberFormat="0" applyFill="0" applyAlignment="0" applyProtection="0"/>
    <xf numFmtId="0" fontId="39" fillId="0" borderId="16" applyNumberFormat="0" applyFill="0" applyAlignment="0" applyProtection="0"/>
    <xf numFmtId="0" fontId="39" fillId="0" borderId="0" applyNumberFormat="0" applyFill="0" applyBorder="0" applyAlignment="0" applyProtection="0"/>
    <xf numFmtId="0" fontId="40" fillId="23" borderId="0" applyNumberFormat="0" applyBorder="0" applyAlignment="0" applyProtection="0"/>
    <xf numFmtId="0" fontId="41" fillId="24" borderId="0" applyNumberFormat="0" applyBorder="0" applyAlignment="0" applyProtection="0"/>
    <xf numFmtId="0" fontId="42" fillId="25" borderId="0" applyNumberFormat="0" applyBorder="0" applyAlignment="0" applyProtection="0"/>
    <xf numFmtId="0" fontId="43" fillId="26" borderId="17" applyNumberFormat="0" applyAlignment="0" applyProtection="0"/>
    <xf numFmtId="0" fontId="44" fillId="27" borderId="18" applyNumberFormat="0" applyAlignment="0" applyProtection="0"/>
    <xf numFmtId="0" fontId="45" fillId="27" borderId="17" applyNumberFormat="0" applyAlignment="0" applyProtection="0"/>
    <xf numFmtId="0" fontId="46" fillId="0" borderId="19" applyNumberFormat="0" applyFill="0" applyAlignment="0" applyProtection="0"/>
    <xf numFmtId="0" fontId="1" fillId="28" borderId="20" applyNumberFormat="0" applyAlignment="0" applyProtection="0"/>
    <xf numFmtId="0" fontId="3" fillId="0" borderId="0" applyNumberFormat="0" applyFill="0" applyBorder="0" applyAlignment="0" applyProtection="0"/>
    <xf numFmtId="0" fontId="2" fillId="29" borderId="21" applyNumberFormat="0" applyFont="0" applyAlignment="0" applyProtection="0"/>
    <xf numFmtId="0" fontId="47" fillId="0" borderId="0" applyNumberFormat="0" applyFill="0" applyBorder="0" applyAlignment="0" applyProtection="0"/>
    <xf numFmtId="0" fontId="18" fillId="0" borderId="22" applyNumberFormat="0" applyFill="0" applyAlignment="0" applyProtection="0"/>
    <xf numFmtId="0" fontId="17" fillId="30" borderId="0" applyNumberFormat="0" applyBorder="0" applyAlignment="0" applyProtection="0"/>
    <xf numFmtId="0" fontId="2"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17" fillId="34" borderId="0" applyNumberFormat="0" applyBorder="0" applyAlignment="0" applyProtection="0"/>
    <xf numFmtId="0" fontId="2" fillId="35"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17" fillId="38" borderId="0" applyNumberFormat="0" applyBorder="0" applyAlignment="0" applyProtection="0"/>
    <xf numFmtId="0" fontId="2" fillId="39"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17" fillId="42" borderId="0" applyNumberFormat="0" applyBorder="0" applyAlignment="0" applyProtection="0"/>
    <xf numFmtId="0" fontId="2" fillId="43"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17" fillId="46"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2" fillId="49" borderId="0" applyNumberFormat="0" applyBorder="0" applyAlignment="0" applyProtection="0"/>
    <xf numFmtId="0" fontId="17" fillId="50" borderId="0" applyNumberFormat="0" applyBorder="0" applyAlignment="0" applyProtection="0"/>
    <xf numFmtId="0" fontId="2" fillId="51" borderId="0" applyNumberFormat="0" applyBorder="0" applyAlignment="0" applyProtection="0"/>
    <xf numFmtId="0" fontId="2" fillId="52" borderId="0" applyNumberFormat="0" applyBorder="0" applyAlignment="0" applyProtection="0"/>
    <xf numFmtId="0" fontId="2" fillId="53" borderId="0" applyNumberFormat="0" applyBorder="0" applyAlignment="0" applyProtection="0"/>
  </cellStyleXfs>
  <cellXfs count="284">
    <xf numFmtId="0" fontId="0" fillId="0" borderId="0" xfId="0"/>
    <xf numFmtId="0" fontId="1" fillId="2" borderId="1" xfId="0" applyFont="1" applyFill="1" applyBorder="1"/>
    <xf numFmtId="0" fontId="0" fillId="0" borderId="2" xfId="0" applyBorder="1"/>
    <xf numFmtId="0" fontId="4" fillId="0" borderId="0" xfId="0" applyFont="1"/>
    <xf numFmtId="0" fontId="5" fillId="0" borderId="0" xfId="0" applyFont="1"/>
    <xf numFmtId="0" fontId="0" fillId="0" borderId="0" xfId="0" quotePrefix="1"/>
    <xf numFmtId="0" fontId="6" fillId="0" borderId="0" xfId="0" applyFont="1"/>
    <xf numFmtId="0" fontId="7" fillId="0" borderId="3" xfId="0" applyFont="1" applyBorder="1"/>
    <xf numFmtId="0" fontId="8" fillId="0" borderId="0" xfId="0" applyFont="1"/>
    <xf numFmtId="3" fontId="0" fillId="0" borderId="0" xfId="0" applyNumberFormat="1"/>
    <xf numFmtId="0" fontId="2" fillId="0" borderId="0" xfId="0" applyFont="1"/>
    <xf numFmtId="0" fontId="0" fillId="0" borderId="0" xfId="0" applyAlignment="1">
      <alignment horizontal="left"/>
    </xf>
    <xf numFmtId="0" fontId="9" fillId="0" borderId="4" xfId="0" applyFont="1" applyBorder="1"/>
    <xf numFmtId="0" fontId="7" fillId="0" borderId="4" xfId="0" applyFont="1" applyBorder="1"/>
    <xf numFmtId="0" fontId="9" fillId="0" borderId="3" xfId="0" applyFont="1" applyBorder="1"/>
    <xf numFmtId="0" fontId="3" fillId="0" borderId="0" xfId="0" applyFont="1"/>
    <xf numFmtId="0" fontId="10" fillId="4" borderId="4" xfId="0" applyFont="1" applyFill="1" applyBorder="1" applyAlignment="1">
      <alignment vertical="center"/>
    </xf>
    <xf numFmtId="0" fontId="0" fillId="5" borderId="0" xfId="0" applyFill="1"/>
    <xf numFmtId="0" fontId="10" fillId="7" borderId="0" xfId="0" applyFont="1" applyFill="1" applyAlignment="1">
      <alignment vertical="center"/>
    </xf>
    <xf numFmtId="0" fontId="10" fillId="7" borderId="4" xfId="0" applyFont="1" applyFill="1" applyBorder="1" applyAlignment="1">
      <alignment vertical="center"/>
    </xf>
    <xf numFmtId="0" fontId="10" fillId="5" borderId="4" xfId="0" applyFont="1" applyFill="1" applyBorder="1" applyAlignment="1">
      <alignment vertical="center"/>
    </xf>
    <xf numFmtId="0" fontId="1" fillId="7" borderId="0" xfId="0" applyFont="1" applyFill="1"/>
    <xf numFmtId="0" fontId="1" fillId="7" borderId="1" xfId="0" applyFont="1" applyFill="1" applyBorder="1"/>
    <xf numFmtId="0" fontId="1" fillId="8" borderId="1" xfId="0" applyFont="1" applyFill="1" applyBorder="1"/>
    <xf numFmtId="0" fontId="1" fillId="6" borderId="1" xfId="0" applyFont="1" applyFill="1" applyBorder="1"/>
    <xf numFmtId="0" fontId="9" fillId="9" borderId="0" xfId="0" applyFont="1" applyFill="1"/>
    <xf numFmtId="0" fontId="10" fillId="10" borderId="0" xfId="0" applyFont="1" applyFill="1" applyAlignment="1">
      <alignment vertical="center"/>
    </xf>
    <xf numFmtId="0" fontId="9" fillId="11" borderId="0" xfId="0" applyFont="1" applyFill="1"/>
    <xf numFmtId="0" fontId="0" fillId="12" borderId="0" xfId="0" applyFill="1"/>
    <xf numFmtId="0" fontId="9" fillId="13" borderId="0" xfId="0" applyFont="1" applyFill="1"/>
    <xf numFmtId="0" fontId="10" fillId="14" borderId="4" xfId="0" applyFont="1" applyFill="1" applyBorder="1" applyAlignment="1">
      <alignment vertical="center"/>
    </xf>
    <xf numFmtId="0" fontId="13" fillId="15" borderId="0" xfId="0" applyFont="1" applyFill="1"/>
    <xf numFmtId="0" fontId="14" fillId="10" borderId="0" xfId="0" applyFont="1" applyFill="1" applyAlignment="1">
      <alignment vertical="center"/>
    </xf>
    <xf numFmtId="0" fontId="10" fillId="16" borderId="0" xfId="0" applyFont="1" applyFill="1" applyAlignment="1">
      <alignment vertical="center"/>
    </xf>
    <xf numFmtId="0" fontId="10" fillId="4" borderId="4" xfId="0" applyFont="1" applyFill="1" applyBorder="1" applyAlignment="1">
      <alignment vertical="center" wrapText="1"/>
    </xf>
    <xf numFmtId="0" fontId="10" fillId="5" borderId="4" xfId="0" applyFont="1" applyFill="1" applyBorder="1" applyAlignment="1">
      <alignment vertical="center" wrapText="1"/>
    </xf>
    <xf numFmtId="0" fontId="10" fillId="4" borderId="0" xfId="0" applyFont="1" applyFill="1" applyAlignment="1">
      <alignment vertical="center" wrapText="1"/>
    </xf>
    <xf numFmtId="0" fontId="9" fillId="0" borderId="0" xfId="0" applyFont="1"/>
    <xf numFmtId="0" fontId="7" fillId="0" borderId="0" xfId="0" applyFont="1"/>
    <xf numFmtId="0" fontId="4" fillId="8" borderId="0" xfId="0" applyFont="1" applyFill="1"/>
    <xf numFmtId="0" fontId="0" fillId="0" borderId="0" xfId="0" applyAlignment="1">
      <alignment vertical="center" wrapText="1"/>
    </xf>
    <xf numFmtId="0" fontId="1" fillId="8" borderId="1" xfId="0" applyFont="1" applyFill="1" applyBorder="1" applyAlignment="1">
      <alignment vertical="center" wrapText="1"/>
    </xf>
    <xf numFmtId="0" fontId="13" fillId="15" borderId="0" xfId="0" applyFont="1" applyFill="1" applyAlignment="1">
      <alignment vertical="center" wrapText="1"/>
    </xf>
    <xf numFmtId="0" fontId="0" fillId="5" borderId="0" xfId="0" applyFill="1" applyAlignment="1">
      <alignment vertical="center" wrapText="1"/>
    </xf>
    <xf numFmtId="1" fontId="4" fillId="0" borderId="0" xfId="0" applyNumberFormat="1" applyFont="1"/>
    <xf numFmtId="0" fontId="0" fillId="7" borderId="0" xfId="0" applyFill="1" applyAlignment="1">
      <alignment horizontal="left"/>
    </xf>
    <xf numFmtId="0" fontId="7" fillId="7" borderId="4" xfId="0" applyFont="1" applyFill="1" applyBorder="1"/>
    <xf numFmtId="0" fontId="17" fillId="17" borderId="5" xfId="0" applyFont="1" applyFill="1" applyBorder="1"/>
    <xf numFmtId="0" fontId="17" fillId="8" borderId="1" xfId="0" applyFont="1" applyFill="1" applyBorder="1"/>
    <xf numFmtId="0" fontId="1" fillId="8" borderId="0" xfId="0" applyFont="1" applyFill="1"/>
    <xf numFmtId="14" fontId="0" fillId="0" borderId="0" xfId="0" applyNumberFormat="1"/>
    <xf numFmtId="0" fontId="18" fillId="0" borderId="0" xfId="0" applyFont="1"/>
    <xf numFmtId="0" fontId="18" fillId="0" borderId="0" xfId="0" applyFont="1" applyAlignment="1">
      <alignment wrapText="1"/>
    </xf>
    <xf numFmtId="0" fontId="1" fillId="17" borderId="5" xfId="0" applyFont="1" applyFill="1" applyBorder="1"/>
    <xf numFmtId="0" fontId="0" fillId="12" borderId="0" xfId="0" applyFill="1" applyAlignment="1">
      <alignment wrapText="1"/>
    </xf>
    <xf numFmtId="0" fontId="9" fillId="5" borderId="0" xfId="0" applyFont="1" applyFill="1"/>
    <xf numFmtId="0" fontId="22" fillId="0" borderId="0" xfId="0" applyFont="1"/>
    <xf numFmtId="0" fontId="1" fillId="18" borderId="1" xfId="0" applyFont="1" applyFill="1" applyBorder="1"/>
    <xf numFmtId="0" fontId="1" fillId="2" borderId="0" xfId="0" applyFont="1" applyFill="1"/>
    <xf numFmtId="0" fontId="13" fillId="0" borderId="0" xfId="0" applyFont="1"/>
    <xf numFmtId="3" fontId="4" fillId="0" borderId="0" xfId="0" applyNumberFormat="1" applyFont="1"/>
    <xf numFmtId="0" fontId="10" fillId="0" borderId="4" xfId="0" applyFont="1" applyBorder="1"/>
    <xf numFmtId="0" fontId="10" fillId="0" borderId="0" xfId="0" applyFont="1"/>
    <xf numFmtId="0" fontId="16" fillId="0" borderId="0" xfId="0" applyFont="1"/>
    <xf numFmtId="0" fontId="10" fillId="0" borderId="3" xfId="0" applyFont="1" applyBorder="1"/>
    <xf numFmtId="0" fontId="24" fillId="0" borderId="0" xfId="0" applyFont="1"/>
    <xf numFmtId="0" fontId="4" fillId="0" borderId="0" xfId="0" quotePrefix="1" applyFont="1"/>
    <xf numFmtId="0" fontId="25" fillId="0" borderId="0" xfId="0" applyFont="1"/>
    <xf numFmtId="0" fontId="4" fillId="0" borderId="1" xfId="0" applyFont="1" applyBorder="1"/>
    <xf numFmtId="0" fontId="4" fillId="3" borderId="1" xfId="0" applyFont="1" applyFill="1" applyBorder="1"/>
    <xf numFmtId="0" fontId="17" fillId="0" borderId="0" xfId="0" applyFont="1" applyAlignment="1">
      <alignment vertical="center" wrapText="1"/>
    </xf>
    <xf numFmtId="0" fontId="26" fillId="0" borderId="8" xfId="0" applyFont="1" applyBorder="1" applyAlignment="1">
      <alignment vertical="center" wrapText="1"/>
    </xf>
    <xf numFmtId="0" fontId="26" fillId="0" borderId="0" xfId="0" applyFont="1" applyAlignment="1">
      <alignment vertical="center" wrapText="1"/>
    </xf>
    <xf numFmtId="0" fontId="26" fillId="17" borderId="9" xfId="0" applyFont="1" applyFill="1" applyBorder="1" applyAlignment="1">
      <alignment vertical="center" wrapText="1"/>
    </xf>
    <xf numFmtId="14" fontId="4" fillId="0" borderId="0" xfId="0" applyNumberFormat="1" applyFont="1"/>
    <xf numFmtId="0" fontId="9" fillId="7" borderId="4" xfId="0" applyFont="1" applyFill="1" applyBorder="1"/>
    <xf numFmtId="0" fontId="17" fillId="8" borderId="0" xfId="0" applyFont="1" applyFill="1"/>
    <xf numFmtId="0" fontId="1" fillId="0" borderId="5" xfId="0" applyFont="1" applyBorder="1"/>
    <xf numFmtId="0" fontId="0" fillId="3" borderId="1" xfId="0" applyFill="1" applyBorder="1"/>
    <xf numFmtId="0" fontId="0" fillId="0" borderId="1" xfId="0" applyBorder="1"/>
    <xf numFmtId="0" fontId="0" fillId="3" borderId="2" xfId="0" applyFill="1" applyBorder="1"/>
    <xf numFmtId="0" fontId="28" fillId="0" borderId="0" xfId="0" applyFont="1"/>
    <xf numFmtId="0" fontId="27" fillId="0" borderId="0" xfId="0" applyFont="1"/>
    <xf numFmtId="0" fontId="28" fillId="0" borderId="1" xfId="0" applyFont="1" applyBorder="1"/>
    <xf numFmtId="0" fontId="5" fillId="0" borderId="1" xfId="0" applyFont="1" applyBorder="1"/>
    <xf numFmtId="0" fontId="28" fillId="0" borderId="2" xfId="0" applyFont="1" applyBorder="1"/>
    <xf numFmtId="0" fontId="4" fillId="3" borderId="2" xfId="0" applyFont="1" applyFill="1" applyBorder="1"/>
    <xf numFmtId="0" fontId="9" fillId="7" borderId="3" xfId="0" applyFont="1" applyFill="1" applyBorder="1"/>
    <xf numFmtId="0" fontId="5" fillId="0" borderId="2" xfId="0" applyFont="1" applyBorder="1"/>
    <xf numFmtId="0" fontId="28" fillId="3" borderId="1" xfId="0" applyFont="1" applyFill="1" applyBorder="1"/>
    <xf numFmtId="14" fontId="0" fillId="0" borderId="1" xfId="0" applyNumberFormat="1" applyBorder="1"/>
    <xf numFmtId="0" fontId="6" fillId="0" borderId="1" xfId="0" applyFont="1" applyBorder="1"/>
    <xf numFmtId="0" fontId="5" fillId="3" borderId="1" xfId="0" applyFont="1" applyFill="1" applyBorder="1"/>
    <xf numFmtId="2" fontId="0" fillId="0" borderId="0" xfId="0" applyNumberFormat="1"/>
    <xf numFmtId="0" fontId="18" fillId="0" borderId="0" xfId="0" applyFont="1" applyAlignment="1">
      <alignment horizontal="left" wrapText="1"/>
    </xf>
    <xf numFmtId="0" fontId="10" fillId="0" borderId="4" xfId="0" applyFont="1" applyBorder="1" applyAlignment="1">
      <alignment vertical="center"/>
    </xf>
    <xf numFmtId="0" fontId="10" fillId="0" borderId="0" xfId="0" applyFont="1" applyAlignment="1">
      <alignment vertical="center"/>
    </xf>
    <xf numFmtId="0" fontId="4" fillId="0" borderId="6" xfId="0" applyFont="1" applyBorder="1" applyAlignment="1">
      <alignment vertical="center"/>
    </xf>
    <xf numFmtId="0" fontId="4" fillId="0" borderId="0" xfId="0" applyFont="1" applyAlignment="1">
      <alignment vertical="center"/>
    </xf>
    <xf numFmtId="0" fontId="20" fillId="0" borderId="0" xfId="0" applyFont="1"/>
    <xf numFmtId="0" fontId="19" fillId="0" borderId="4" xfId="1" applyFill="1" applyBorder="1" applyAlignment="1">
      <alignment vertical="center"/>
    </xf>
    <xf numFmtId="0" fontId="21" fillId="0" borderId="0" xfId="0" applyFont="1"/>
    <xf numFmtId="0" fontId="9" fillId="0" borderId="0" xfId="0" applyFont="1" applyAlignment="1">
      <alignment wrapText="1"/>
    </xf>
    <xf numFmtId="0" fontId="11" fillId="0" borderId="0" xfId="0" applyFont="1"/>
    <xf numFmtId="0" fontId="1" fillId="0" borderId="0" xfId="0" applyFont="1" applyAlignment="1">
      <alignment vertical="center" wrapText="1"/>
    </xf>
    <xf numFmtId="0" fontId="1" fillId="0" borderId="1" xfId="0" applyFont="1" applyBorder="1"/>
    <xf numFmtId="0" fontId="1" fillId="0" borderId="0" xfId="0" applyFont="1"/>
    <xf numFmtId="0" fontId="10" fillId="10" borderId="0" xfId="0" applyFont="1" applyFill="1" applyAlignment="1">
      <alignment vertical="center" wrapText="1"/>
    </xf>
    <xf numFmtId="0" fontId="13" fillId="9" borderId="0" xfId="0" applyFont="1" applyFill="1" applyAlignment="1">
      <alignment wrapText="1"/>
    </xf>
    <xf numFmtId="0" fontId="9" fillId="11" borderId="1" xfId="0" applyFont="1" applyFill="1" applyBorder="1"/>
    <xf numFmtId="0" fontId="2" fillId="0" borderId="0" xfId="2" applyFont="1"/>
    <xf numFmtId="0" fontId="12" fillId="19" borderId="0" xfId="0" applyFont="1" applyFill="1" applyAlignment="1">
      <alignment vertical="center"/>
    </xf>
    <xf numFmtId="0" fontId="0" fillId="0" borderId="0" xfId="0" applyAlignment="1">
      <alignment horizontal="center" vertical="center" wrapText="1"/>
    </xf>
    <xf numFmtId="0" fontId="1" fillId="8" borderId="1" xfId="0" applyFont="1" applyFill="1" applyBorder="1" applyAlignment="1">
      <alignment horizontal="center" vertical="center" wrapText="1"/>
    </xf>
    <xf numFmtId="0" fontId="13" fillId="15" borderId="0" xfId="0" applyFont="1" applyFill="1" applyAlignment="1">
      <alignment horizontal="center" vertical="center" wrapText="1"/>
    </xf>
    <xf numFmtId="0" fontId="10" fillId="5" borderId="4" xfId="0" applyFont="1" applyFill="1" applyBorder="1" applyAlignment="1">
      <alignment horizontal="center" vertical="center" wrapText="1"/>
    </xf>
    <xf numFmtId="0" fontId="10" fillId="4" borderId="4" xfId="0" applyFont="1" applyFill="1" applyBorder="1" applyAlignment="1">
      <alignment horizontal="center" vertical="center" wrapText="1"/>
    </xf>
    <xf numFmtId="0" fontId="10" fillId="10" borderId="0" xfId="0" applyFont="1" applyFill="1" applyAlignment="1">
      <alignment horizontal="center" vertical="center" wrapText="1"/>
    </xf>
    <xf numFmtId="0" fontId="26" fillId="0" borderId="8" xfId="0" applyFont="1" applyBorder="1" applyAlignment="1">
      <alignment horizontal="center" vertical="center" wrapText="1"/>
    </xf>
    <xf numFmtId="0" fontId="26" fillId="0" borderId="0" xfId="0" applyFont="1" applyAlignment="1">
      <alignment horizontal="center" vertical="center" wrapText="1"/>
    </xf>
    <xf numFmtId="0" fontId="17" fillId="0" borderId="0" xfId="0" applyFont="1" applyAlignment="1">
      <alignment horizontal="center" vertical="center" wrapText="1"/>
    </xf>
    <xf numFmtId="0" fontId="1" fillId="0" borderId="5" xfId="0" applyFont="1" applyBorder="1" applyAlignment="1">
      <alignment horizontal="center" vertical="center" wrapText="1"/>
    </xf>
    <xf numFmtId="0" fontId="1" fillId="2" borderId="1" xfId="0" applyFont="1" applyFill="1" applyBorder="1" applyAlignment="1">
      <alignment horizontal="center" vertical="center" wrapText="1"/>
    </xf>
    <xf numFmtId="0" fontId="13" fillId="9" borderId="0" xfId="0" applyFont="1" applyFill="1" applyAlignment="1">
      <alignment horizontal="center" vertical="center" wrapText="1"/>
    </xf>
    <xf numFmtId="0" fontId="0" fillId="3" borderId="7" xfId="0" applyFill="1" applyBorder="1"/>
    <xf numFmtId="3" fontId="0" fillId="3" borderId="1" xfId="0" applyNumberFormat="1" applyFill="1" applyBorder="1"/>
    <xf numFmtId="14" fontId="0" fillId="3" borderId="1" xfId="0" applyNumberFormat="1" applyFill="1" applyBorder="1"/>
    <xf numFmtId="0" fontId="30" fillId="0" borderId="0" xfId="0" applyFont="1"/>
    <xf numFmtId="14" fontId="30" fillId="0" borderId="0" xfId="0" applyNumberFormat="1" applyFont="1"/>
    <xf numFmtId="0" fontId="31" fillId="0" borderId="0" xfId="0" applyFont="1"/>
    <xf numFmtId="3" fontId="30" fillId="0" borderId="0" xfId="0" applyNumberFormat="1" applyFont="1"/>
    <xf numFmtId="3" fontId="0" fillId="0" borderId="1" xfId="0" applyNumberFormat="1" applyBorder="1"/>
    <xf numFmtId="0" fontId="5" fillId="3" borderId="2" xfId="0" applyFont="1" applyFill="1" applyBorder="1"/>
    <xf numFmtId="0" fontId="0" fillId="3" borderId="10" xfId="0" applyFill="1" applyBorder="1"/>
    <xf numFmtId="0" fontId="5" fillId="3" borderId="10" xfId="0" applyFont="1" applyFill="1" applyBorder="1"/>
    <xf numFmtId="3" fontId="0" fillId="3" borderId="10" xfId="0" applyNumberFormat="1" applyFill="1" applyBorder="1"/>
    <xf numFmtId="0" fontId="32" fillId="3" borderId="10" xfId="0" applyFont="1" applyFill="1" applyBorder="1"/>
    <xf numFmtId="0" fontId="7" fillId="3" borderId="11" xfId="0" applyFont="1" applyFill="1" applyBorder="1"/>
    <xf numFmtId="0" fontId="7" fillId="3" borderId="10" xfId="0" applyFont="1" applyFill="1" applyBorder="1"/>
    <xf numFmtId="0" fontId="8" fillId="3" borderId="2" xfId="0" applyFont="1" applyFill="1" applyBorder="1"/>
    <xf numFmtId="0" fontId="8" fillId="0" borderId="10" xfId="0" applyFont="1" applyBorder="1"/>
    <xf numFmtId="0" fontId="8" fillId="3" borderId="10" xfId="0" applyFont="1" applyFill="1" applyBorder="1"/>
    <xf numFmtId="0" fontId="0" fillId="3" borderId="11" xfId="0" applyFill="1" applyBorder="1"/>
    <xf numFmtId="0" fontId="7" fillId="7" borderId="11" xfId="0" applyFont="1" applyFill="1" applyBorder="1"/>
    <xf numFmtId="0" fontId="0" fillId="3" borderId="0" xfId="0" applyFill="1"/>
    <xf numFmtId="0" fontId="6" fillId="3" borderId="10" xfId="0" applyFont="1" applyFill="1" applyBorder="1"/>
    <xf numFmtId="0" fontId="4" fillId="3" borderId="10" xfId="0" applyFont="1" applyFill="1" applyBorder="1"/>
    <xf numFmtId="0" fontId="3" fillId="3" borderId="10" xfId="0" applyFont="1" applyFill="1" applyBorder="1"/>
    <xf numFmtId="0" fontId="7" fillId="0" borderId="11" xfId="0" applyFont="1" applyBorder="1"/>
    <xf numFmtId="0" fontId="7" fillId="0" borderId="12" xfId="0" applyFont="1" applyBorder="1"/>
    <xf numFmtId="0" fontId="7" fillId="0" borderId="2" xfId="0" applyFont="1" applyBorder="1"/>
    <xf numFmtId="0" fontId="8" fillId="0" borderId="2" xfId="0" applyFont="1" applyBorder="1"/>
    <xf numFmtId="0" fontId="0" fillId="0" borderId="12" xfId="0" applyBorder="1"/>
    <xf numFmtId="0" fontId="4" fillId="0" borderId="2" xfId="0" applyFont="1" applyBorder="1"/>
    <xf numFmtId="0" fontId="3" fillId="0" borderId="2" xfId="0" applyFont="1" applyBorder="1"/>
    <xf numFmtId="3" fontId="0" fillId="3" borderId="2" xfId="0" applyNumberFormat="1" applyFill="1" applyBorder="1"/>
    <xf numFmtId="0" fontId="9" fillId="3" borderId="12" xfId="0" applyFont="1" applyFill="1" applyBorder="1"/>
    <xf numFmtId="0" fontId="9" fillId="3" borderId="2" xfId="0" applyFont="1" applyFill="1" applyBorder="1"/>
    <xf numFmtId="0" fontId="0" fillId="3" borderId="12" xfId="0" applyFill="1" applyBorder="1"/>
    <xf numFmtId="0" fontId="8" fillId="3" borderId="12" xfId="0" applyFont="1" applyFill="1" applyBorder="1"/>
    <xf numFmtId="0" fontId="3" fillId="3" borderId="2" xfId="0" applyFont="1" applyFill="1" applyBorder="1"/>
    <xf numFmtId="0" fontId="8" fillId="0" borderId="12" xfId="0" applyFont="1" applyBorder="1"/>
    <xf numFmtId="0" fontId="0" fillId="7" borderId="2" xfId="0" applyFill="1" applyBorder="1" applyAlignment="1">
      <alignment horizontal="left"/>
    </xf>
    <xf numFmtId="0" fontId="0" fillId="5" borderId="2" xfId="0" applyFill="1" applyBorder="1"/>
    <xf numFmtId="0" fontId="1" fillId="17" borderId="13" xfId="0" applyFont="1" applyFill="1" applyBorder="1" applyAlignment="1">
      <alignment vertical="center" wrapText="1"/>
    </xf>
    <xf numFmtId="0" fontId="1" fillId="17" borderId="2" xfId="0" applyFont="1" applyFill="1" applyBorder="1" applyAlignment="1">
      <alignment vertical="center" wrapText="1"/>
    </xf>
    <xf numFmtId="0" fontId="1" fillId="8" borderId="2" xfId="0" applyFont="1" applyFill="1" applyBorder="1" applyAlignment="1">
      <alignment vertical="center" wrapText="1"/>
    </xf>
    <xf numFmtId="0" fontId="34" fillId="15" borderId="2" xfId="0" applyFont="1" applyFill="1" applyBorder="1" applyAlignment="1">
      <alignment vertical="center" wrapText="1"/>
    </xf>
    <xf numFmtId="0" fontId="33" fillId="5" borderId="11" xfId="0" applyFont="1" applyFill="1" applyBorder="1" applyAlignment="1">
      <alignment vertical="center" wrapText="1"/>
    </xf>
    <xf numFmtId="0" fontId="33" fillId="4" borderId="11" xfId="0" applyFont="1" applyFill="1" applyBorder="1" applyAlignment="1">
      <alignment vertical="center" wrapText="1"/>
    </xf>
    <xf numFmtId="0" fontId="33" fillId="2" borderId="11" xfId="0" applyFont="1" applyFill="1" applyBorder="1" applyAlignment="1">
      <alignment vertical="center" wrapText="1"/>
    </xf>
    <xf numFmtId="0" fontId="33" fillId="4" borderId="11" xfId="0" applyFont="1" applyFill="1" applyBorder="1" applyAlignment="1">
      <alignment vertical="center"/>
    </xf>
    <xf numFmtId="0" fontId="33" fillId="4" borderId="12" xfId="0" applyFont="1" applyFill="1" applyBorder="1" applyAlignment="1">
      <alignment vertical="center" wrapText="1"/>
    </xf>
    <xf numFmtId="0" fontId="33" fillId="4" borderId="2" xfId="0" applyFont="1" applyFill="1" applyBorder="1" applyAlignment="1">
      <alignment vertical="center" wrapText="1"/>
    </xf>
    <xf numFmtId="0" fontId="33" fillId="0" borderId="11" xfId="0" applyFont="1" applyBorder="1" applyAlignment="1">
      <alignment vertical="center" wrapText="1"/>
    </xf>
    <xf numFmtId="0" fontId="33" fillId="4" borderId="1" xfId="0" applyFont="1" applyFill="1" applyBorder="1" applyAlignment="1">
      <alignment horizontal="center" vertical="center" wrapText="1"/>
    </xf>
    <xf numFmtId="0" fontId="33" fillId="10" borderId="1" xfId="0" applyFont="1" applyFill="1" applyBorder="1" applyAlignment="1">
      <alignment horizontal="center" vertical="center" wrapText="1"/>
    </xf>
    <xf numFmtId="0" fontId="34" fillId="9" borderId="1" xfId="0" applyFont="1" applyFill="1" applyBorder="1" applyAlignment="1">
      <alignment horizontal="center" vertical="center" wrapText="1"/>
    </xf>
    <xf numFmtId="0" fontId="33" fillId="17" borderId="1" xfId="0" applyFont="1" applyFill="1" applyBorder="1" applyAlignment="1">
      <alignment horizontal="center" vertical="center" wrapText="1"/>
    </xf>
    <xf numFmtId="0" fontId="1" fillId="5" borderId="1" xfId="0" applyFont="1" applyFill="1" applyBorder="1" applyAlignment="1">
      <alignment horizontal="center" vertical="center" wrapText="1"/>
    </xf>
    <xf numFmtId="0" fontId="33" fillId="4" borderId="4" xfId="0" applyFont="1" applyFill="1" applyBorder="1" applyAlignment="1">
      <alignment horizontal="center" vertical="center" wrapText="1"/>
    </xf>
    <xf numFmtId="0" fontId="26" fillId="17" borderId="9" xfId="0" applyFont="1" applyFill="1" applyBorder="1" applyAlignment="1">
      <alignment horizontal="center" vertical="center" wrapText="1"/>
    </xf>
    <xf numFmtId="0" fontId="26" fillId="17" borderId="1" xfId="0" applyFont="1" applyFill="1" applyBorder="1" applyAlignment="1">
      <alignment horizontal="center" vertical="center" wrapText="1"/>
    </xf>
    <xf numFmtId="0" fontId="1" fillId="17" borderId="7" xfId="0" applyFont="1" applyFill="1" applyBorder="1" applyAlignment="1">
      <alignment horizontal="center" vertical="center" wrapText="1"/>
    </xf>
    <xf numFmtId="0" fontId="6" fillId="0" borderId="2" xfId="0" applyFont="1" applyBorder="1"/>
    <xf numFmtId="0" fontId="0" fillId="0" borderId="10" xfId="0" applyBorder="1"/>
    <xf numFmtId="17" fontId="0" fillId="0" borderId="0" xfId="0" applyNumberFormat="1"/>
    <xf numFmtId="0" fontId="0" fillId="20" borderId="0" xfId="0" applyFill="1"/>
    <xf numFmtId="0" fontId="10" fillId="21" borderId="4" xfId="0" applyFont="1" applyFill="1" applyBorder="1" applyAlignment="1">
      <alignment horizontal="center" vertical="center" wrapText="1"/>
    </xf>
    <xf numFmtId="0" fontId="10" fillId="22" borderId="4" xfId="0" applyFont="1" applyFill="1" applyBorder="1" applyAlignment="1">
      <alignment horizontal="center" vertical="center" wrapText="1"/>
    </xf>
    <xf numFmtId="0" fontId="4" fillId="8" borderId="0" xfId="0" applyFont="1" applyFill="1" applyAlignment="1">
      <alignment wrapText="1"/>
    </xf>
    <xf numFmtId="0" fontId="10" fillId="14" borderId="4" xfId="0" applyFont="1" applyFill="1" applyBorder="1" applyAlignment="1">
      <alignment vertical="center" wrapText="1"/>
    </xf>
    <xf numFmtId="0" fontId="13" fillId="15" borderId="0" xfId="0" applyFont="1" applyFill="1" applyAlignment="1">
      <alignment wrapText="1"/>
    </xf>
    <xf numFmtId="0" fontId="1" fillId="8" borderId="0" xfId="0" applyFont="1" applyFill="1" applyAlignment="1">
      <alignment horizontal="center" vertical="center" wrapText="1"/>
    </xf>
    <xf numFmtId="0" fontId="10" fillId="14" borderId="4" xfId="0" applyFont="1" applyFill="1" applyBorder="1" applyAlignment="1">
      <alignment horizontal="center" vertical="center" wrapText="1"/>
    </xf>
    <xf numFmtId="0" fontId="13" fillId="13" borderId="0" xfId="0" applyFont="1" applyFill="1" applyAlignment="1">
      <alignment vertical="center" wrapText="1"/>
    </xf>
    <xf numFmtId="0" fontId="4" fillId="12" borderId="0" xfId="0" applyFont="1" applyFill="1" applyAlignment="1">
      <alignment horizontal="center" vertical="center" wrapText="1"/>
    </xf>
    <xf numFmtId="0" fontId="13" fillId="11" borderId="0" xfId="0" applyFont="1" applyFill="1" applyAlignment="1">
      <alignment vertical="center" wrapText="1"/>
    </xf>
    <xf numFmtId="0" fontId="35" fillId="6" borderId="1" xfId="0" applyFont="1" applyFill="1" applyBorder="1" applyAlignment="1">
      <alignment horizontal="center" vertical="center" wrapText="1"/>
    </xf>
    <xf numFmtId="0" fontId="1" fillId="2" borderId="1" xfId="0" applyFont="1" applyFill="1" applyBorder="1" applyAlignment="1">
      <alignment wrapText="1"/>
    </xf>
    <xf numFmtId="0" fontId="1" fillId="7" borderId="1" xfId="0" applyFont="1" applyFill="1" applyBorder="1" applyAlignment="1">
      <alignment horizontal="center" vertical="center" wrapText="1"/>
    </xf>
    <xf numFmtId="0" fontId="34" fillId="15" borderId="0" xfId="0" applyFont="1" applyFill="1" applyAlignment="1">
      <alignment horizontal="center" vertical="center" wrapText="1"/>
    </xf>
    <xf numFmtId="0" fontId="10" fillId="21" borderId="4" xfId="0" applyFont="1" applyFill="1" applyBorder="1" applyAlignment="1">
      <alignment horizontal="left" vertical="center"/>
    </xf>
    <xf numFmtId="0" fontId="10" fillId="22" borderId="4" xfId="0" applyFont="1" applyFill="1" applyBorder="1" applyAlignment="1">
      <alignment horizontal="left" vertical="center"/>
    </xf>
    <xf numFmtId="0" fontId="10" fillId="16" borderId="0" xfId="0" applyFont="1" applyFill="1" applyAlignment="1">
      <alignment vertical="center" wrapText="1"/>
    </xf>
    <xf numFmtId="0" fontId="0" fillId="0" borderId="13" xfId="0" applyBorder="1"/>
    <xf numFmtId="0" fontId="5" fillId="0" borderId="10" xfId="0" applyFont="1" applyBorder="1"/>
    <xf numFmtId="164" fontId="0" fillId="0" borderId="10" xfId="0" applyNumberFormat="1" applyBorder="1"/>
    <xf numFmtId="0" fontId="10" fillId="0" borderId="10" xfId="0" applyFont="1" applyBorder="1" applyAlignment="1">
      <alignment vertical="center"/>
    </xf>
    <xf numFmtId="0" fontId="10" fillId="0" borderId="11" xfId="0" applyFont="1" applyBorder="1" applyAlignment="1">
      <alignment vertical="center"/>
    </xf>
    <xf numFmtId="0" fontId="7" fillId="0" borderId="10" xfId="0" applyFont="1" applyBorder="1"/>
    <xf numFmtId="0" fontId="0" fillId="0" borderId="10" xfId="0" applyBorder="1" applyAlignment="1">
      <alignment horizontal="left" vertical="center"/>
    </xf>
    <xf numFmtId="0" fontId="12" fillId="0" borderId="0" xfId="0" applyFont="1" applyAlignment="1">
      <alignment horizontal="center" vertical="center"/>
    </xf>
    <xf numFmtId="0" fontId="6" fillId="0" borderId="10" xfId="0" applyFont="1" applyBorder="1"/>
    <xf numFmtId="0" fontId="3" fillId="0" borderId="10" xfId="0" applyFont="1" applyBorder="1"/>
    <xf numFmtId="0" fontId="32" fillId="0" borderId="10" xfId="0" applyFont="1" applyBorder="1"/>
    <xf numFmtId="0" fontId="0" fillId="0" borderId="11" xfId="0" applyBorder="1"/>
    <xf numFmtId="0" fontId="0" fillId="0" borderId="10" xfId="0" applyBorder="1" applyAlignment="1">
      <alignment horizontal="center" vertical="center"/>
    </xf>
    <xf numFmtId="0" fontId="0" fillId="0" borderId="2" xfId="0" applyBorder="1" applyAlignment="1">
      <alignment horizontal="center" vertical="center"/>
    </xf>
    <xf numFmtId="0" fontId="9" fillId="7" borderId="4" xfId="0" applyFont="1" applyFill="1" applyBorder="1" applyAlignment="1">
      <alignment vertical="center"/>
    </xf>
    <xf numFmtId="0" fontId="4" fillId="0" borderId="10" xfId="0" applyFont="1" applyBorder="1"/>
    <xf numFmtId="0" fontId="9" fillId="0" borderId="4" xfId="0" applyFont="1" applyBorder="1" applyAlignment="1">
      <alignment vertical="center"/>
    </xf>
    <xf numFmtId="0" fontId="10" fillId="7" borderId="0" xfId="0" applyFont="1" applyFill="1" applyAlignment="1">
      <alignment vertical="center" wrapText="1"/>
    </xf>
    <xf numFmtId="0" fontId="0" fillId="54" borderId="1" xfId="0" applyFill="1" applyBorder="1"/>
    <xf numFmtId="0" fontId="0" fillId="55" borderId="0" xfId="0" applyFill="1"/>
    <xf numFmtId="0" fontId="0" fillId="3" borderId="1" xfId="0" applyFill="1" applyBorder="1" applyAlignment="1">
      <alignment horizontal="left"/>
    </xf>
    <xf numFmtId="0" fontId="11" fillId="5" borderId="0" xfId="0" applyFont="1" applyFill="1"/>
    <xf numFmtId="0" fontId="10" fillId="55" borderId="4" xfId="0" applyFont="1" applyFill="1" applyBorder="1" applyAlignment="1">
      <alignment vertical="center"/>
    </xf>
    <xf numFmtId="0" fontId="48" fillId="15" borderId="2" xfId="0" applyFont="1" applyFill="1" applyBorder="1" applyAlignment="1">
      <alignment vertical="center" wrapText="1"/>
    </xf>
    <xf numFmtId="0" fontId="14" fillId="5" borderId="11" xfId="0" applyFont="1" applyFill="1" applyBorder="1" applyAlignment="1">
      <alignment vertical="center" wrapText="1"/>
    </xf>
    <xf numFmtId="0" fontId="14" fillId="2" borderId="11" xfId="0" applyFont="1" applyFill="1" applyBorder="1" applyAlignment="1">
      <alignment vertical="center" wrapText="1"/>
    </xf>
    <xf numFmtId="0" fontId="49" fillId="15" borderId="0" xfId="0" applyFont="1" applyFill="1" applyAlignment="1">
      <alignment horizontal="left" vertical="center" wrapText="1"/>
    </xf>
    <xf numFmtId="0" fontId="49" fillId="15" borderId="0" xfId="0" applyFont="1" applyFill="1" applyAlignment="1">
      <alignment horizontal="center" vertical="center" wrapText="1"/>
    </xf>
    <xf numFmtId="0" fontId="50" fillId="16" borderId="0" xfId="0" applyFont="1" applyFill="1" applyAlignment="1">
      <alignment vertical="center" wrapText="1"/>
    </xf>
    <xf numFmtId="0" fontId="17" fillId="8" borderId="0" xfId="0" applyFont="1" applyFill="1" applyAlignment="1">
      <alignment horizontal="center" vertical="center" wrapText="1"/>
    </xf>
    <xf numFmtId="0" fontId="50" fillId="14" borderId="4" xfId="0" applyFont="1" applyFill="1" applyBorder="1" applyAlignment="1">
      <alignment vertical="center"/>
    </xf>
    <xf numFmtId="0" fontId="49" fillId="15" borderId="0" xfId="0" applyFont="1" applyFill="1" applyAlignment="1">
      <alignment vertical="center" wrapText="1"/>
    </xf>
    <xf numFmtId="0" fontId="50" fillId="10" borderId="0" xfId="0" applyFont="1" applyFill="1" applyAlignment="1">
      <alignment vertical="center" wrapText="1"/>
    </xf>
    <xf numFmtId="0" fontId="50" fillId="14" borderId="4" xfId="0" applyFont="1" applyFill="1" applyBorder="1" applyAlignment="1">
      <alignment horizontal="center" vertical="center" wrapText="1"/>
    </xf>
    <xf numFmtId="0" fontId="49" fillId="13" borderId="0" xfId="0" applyFont="1" applyFill="1" applyAlignment="1">
      <alignment horizontal="center" vertical="center" wrapText="1"/>
    </xf>
    <xf numFmtId="0" fontId="17" fillId="12" borderId="0" xfId="0" applyFont="1" applyFill="1" applyAlignment="1">
      <alignment horizontal="center" vertical="center" wrapText="1"/>
    </xf>
    <xf numFmtId="0" fontId="49" fillId="11" borderId="0" xfId="0" applyFont="1" applyFill="1" applyAlignment="1">
      <alignment horizontal="center" vertical="center" wrapText="1"/>
    </xf>
    <xf numFmtId="0" fontId="14" fillId="10" borderId="1" xfId="0" applyFont="1" applyFill="1" applyBorder="1" applyAlignment="1">
      <alignment horizontal="center" vertical="center" wrapText="1"/>
    </xf>
    <xf numFmtId="0" fontId="48" fillId="9" borderId="1"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1" fillId="7" borderId="1" xfId="0" applyFont="1" applyFill="1" applyBorder="1" applyAlignment="1">
      <alignment wrapText="1"/>
    </xf>
    <xf numFmtId="0" fontId="50" fillId="22" borderId="4" xfId="0" applyFont="1" applyFill="1" applyBorder="1" applyAlignment="1">
      <alignment horizontal="center" vertical="center" wrapText="1"/>
    </xf>
    <xf numFmtId="0" fontId="50" fillId="21" borderId="4" xfId="0" applyFont="1" applyFill="1" applyBorder="1" applyAlignment="1">
      <alignment horizontal="center" vertical="center" wrapText="1"/>
    </xf>
    <xf numFmtId="0" fontId="48" fillId="15" borderId="0" xfId="0" applyFont="1" applyFill="1" applyAlignment="1">
      <alignment horizontal="center" vertical="center" wrapText="1"/>
    </xf>
    <xf numFmtId="0" fontId="51" fillId="17" borderId="9" xfId="0" applyFont="1" applyFill="1" applyBorder="1" applyAlignment="1">
      <alignment horizontal="center" vertical="center" wrapText="1"/>
    </xf>
    <xf numFmtId="0" fontId="51" fillId="17" borderId="1" xfId="0" applyFont="1" applyFill="1" applyBorder="1" applyAlignment="1">
      <alignment horizontal="center" vertical="center" wrapText="1"/>
    </xf>
    <xf numFmtId="0" fontId="17" fillId="17" borderId="13" xfId="0" applyFont="1" applyFill="1" applyBorder="1"/>
    <xf numFmtId="0" fontId="17" fillId="17" borderId="2" xfId="0" applyFont="1" applyFill="1" applyBorder="1"/>
    <xf numFmtId="0" fontId="17" fillId="8" borderId="2" xfId="0" applyFont="1" applyFill="1" applyBorder="1"/>
    <xf numFmtId="0" fontId="13" fillId="15" borderId="2" xfId="0" applyFont="1" applyFill="1" applyBorder="1"/>
    <xf numFmtId="0" fontId="10" fillId="10" borderId="10" xfId="0" applyFont="1" applyFill="1" applyBorder="1" applyAlignment="1">
      <alignment vertical="center"/>
    </xf>
    <xf numFmtId="0" fontId="10" fillId="7" borderId="10" xfId="0" applyFont="1" applyFill="1" applyBorder="1" applyAlignment="1">
      <alignment vertical="center"/>
    </xf>
    <xf numFmtId="0" fontId="1" fillId="2" borderId="10" xfId="0" applyFont="1" applyFill="1" applyBorder="1"/>
    <xf numFmtId="0" fontId="13" fillId="15" borderId="10" xfId="0" applyFont="1" applyFill="1" applyBorder="1"/>
    <xf numFmtId="0" fontId="10" fillId="16" borderId="10" xfId="0" applyFont="1" applyFill="1" applyBorder="1" applyAlignment="1">
      <alignment vertical="center"/>
    </xf>
    <xf numFmtId="0" fontId="4" fillId="8" borderId="10" xfId="0" applyFont="1" applyFill="1" applyBorder="1"/>
    <xf numFmtId="0" fontId="10" fillId="14" borderId="10" xfId="0" applyFont="1" applyFill="1" applyBorder="1" applyAlignment="1">
      <alignment vertical="center"/>
    </xf>
    <xf numFmtId="0" fontId="10" fillId="14" borderId="11" xfId="0" applyFont="1" applyFill="1" applyBorder="1" applyAlignment="1">
      <alignment vertical="center"/>
    </xf>
    <xf numFmtId="0" fontId="10" fillId="14" borderId="2" xfId="0" applyFont="1" applyFill="1" applyBorder="1" applyAlignment="1">
      <alignment vertical="center"/>
    </xf>
    <xf numFmtId="0" fontId="10" fillId="10" borderId="11" xfId="0" applyFont="1" applyFill="1" applyBorder="1" applyAlignment="1">
      <alignment vertical="center"/>
    </xf>
    <xf numFmtId="0" fontId="10" fillId="14" borderId="0" xfId="0" applyFont="1" applyFill="1" applyAlignment="1">
      <alignment vertical="center"/>
    </xf>
    <xf numFmtId="0" fontId="9" fillId="13" borderId="10" xfId="0" applyFont="1" applyFill="1" applyBorder="1"/>
    <xf numFmtId="0" fontId="0" fillId="12" borderId="10" xfId="0" applyFill="1" applyBorder="1"/>
    <xf numFmtId="0" fontId="0" fillId="12" borderId="2" xfId="0" applyFill="1" applyBorder="1"/>
    <xf numFmtId="0" fontId="9" fillId="11" borderId="2" xfId="0" applyFont="1" applyFill="1" applyBorder="1"/>
    <xf numFmtId="0" fontId="9" fillId="11" borderId="10" xfId="0" applyFont="1" applyFill="1" applyBorder="1"/>
    <xf numFmtId="0" fontId="10" fillId="10" borderId="2" xfId="0" applyFont="1" applyFill="1" applyBorder="1" applyAlignment="1">
      <alignment vertical="center"/>
    </xf>
    <xf numFmtId="0" fontId="9" fillId="9" borderId="2" xfId="0" applyFont="1" applyFill="1" applyBorder="1"/>
    <xf numFmtId="0" fontId="9" fillId="9" borderId="10" xfId="0" applyFont="1" applyFill="1" applyBorder="1"/>
    <xf numFmtId="0" fontId="1" fillId="6" borderId="10" xfId="0" applyFont="1" applyFill="1" applyBorder="1" applyAlignment="1">
      <alignment horizontal="center" vertical="center"/>
    </xf>
    <xf numFmtId="0" fontId="1" fillId="6" borderId="2" xfId="0" applyFont="1" applyFill="1" applyBorder="1" applyAlignment="1">
      <alignment horizontal="center" vertical="center"/>
    </xf>
    <xf numFmtId="0" fontId="1" fillId="8" borderId="10" xfId="0" applyFont="1" applyFill="1" applyBorder="1"/>
    <xf numFmtId="0" fontId="1" fillId="7" borderId="10" xfId="0" applyFont="1" applyFill="1" applyBorder="1"/>
    <xf numFmtId="0" fontId="50" fillId="22" borderId="10" xfId="0" applyFont="1" applyFill="1" applyBorder="1" applyAlignment="1">
      <alignment horizontal="center" vertical="center"/>
    </xf>
    <xf numFmtId="0" fontId="50" fillId="21" borderId="10" xfId="0" applyFont="1" applyFill="1" applyBorder="1" applyAlignment="1">
      <alignment horizontal="center" vertical="center" wrapText="1"/>
    </xf>
    <xf numFmtId="0" fontId="48" fillId="15" borderId="10" xfId="0" applyFont="1" applyFill="1" applyBorder="1" applyAlignment="1">
      <alignment horizontal="center" vertical="center" wrapText="1"/>
    </xf>
    <xf numFmtId="0" fontId="0" fillId="0" borderId="2" xfId="0" applyBorder="1" applyAlignment="1">
      <alignment horizontal="left" vertical="center"/>
    </xf>
    <xf numFmtId="0" fontId="8" fillId="0" borderId="4" xfId="0" applyFont="1" applyBorder="1"/>
    <xf numFmtId="3" fontId="0" fillId="0" borderId="10" xfId="0" applyNumberFormat="1" applyBorder="1"/>
  </cellXfs>
  <cellStyles count="44">
    <cellStyle name="20% - Accent1" xfId="21" builtinId="30" customBuiltin="1"/>
    <cellStyle name="20% - Accent2" xfId="25" builtinId="34" customBuiltin="1"/>
    <cellStyle name="20% - Accent3" xfId="29" builtinId="38" customBuiltin="1"/>
    <cellStyle name="20% - Accent4" xfId="33" builtinId="42" customBuiltin="1"/>
    <cellStyle name="20% - Accent5" xfId="37" builtinId="46" customBuiltin="1"/>
    <cellStyle name="20% - Accent6" xfId="41" builtinId="50" customBuiltin="1"/>
    <cellStyle name="40% - Accent1" xfId="22" builtinId="31" customBuiltin="1"/>
    <cellStyle name="40% - Accent2" xfId="26" builtinId="35" customBuiltin="1"/>
    <cellStyle name="40% - Accent3" xfId="30" builtinId="39" customBuiltin="1"/>
    <cellStyle name="40% - Accent4" xfId="34" builtinId="43" customBuiltin="1"/>
    <cellStyle name="40% - Accent5" xfId="38" builtinId="47" customBuiltin="1"/>
    <cellStyle name="40% - Accent6" xfId="42" builtinId="51" customBuiltin="1"/>
    <cellStyle name="60% - Accent1" xfId="23" builtinId="32" customBuiltin="1"/>
    <cellStyle name="60% - Accent2" xfId="27" builtinId="36" customBuiltin="1"/>
    <cellStyle name="60% - Accent3" xfId="31" builtinId="40" customBuiltin="1"/>
    <cellStyle name="60% - Accent4" xfId="35" builtinId="44" customBuiltin="1"/>
    <cellStyle name="60% - Accent5" xfId="39" builtinId="48" customBuiltin="1"/>
    <cellStyle name="60% - Accent6" xfId="43" builtinId="52" customBuiltin="1"/>
    <cellStyle name="Accent1" xfId="20" builtinId="29" customBuiltin="1"/>
    <cellStyle name="Accent2" xfId="24" builtinId="33" customBuiltin="1"/>
    <cellStyle name="Accent3" xfId="28" builtinId="37" customBuiltin="1"/>
    <cellStyle name="Accent4" xfId="32" builtinId="41" customBuiltin="1"/>
    <cellStyle name="Accent5" xfId="36" builtinId="45" customBuiltin="1"/>
    <cellStyle name="Accent6" xfId="40" builtinId="49" customBuiltin="1"/>
    <cellStyle name="Bad" xfId="9" builtinId="27" customBuiltin="1"/>
    <cellStyle name="Calculation" xfId="13" builtinId="22" customBuiltin="1"/>
    <cellStyle name="Check Cell" xfId="15" builtinId="23" customBuiltin="1"/>
    <cellStyle name="Explanatory Text" xfId="18" builtinId="53" customBuiltin="1"/>
    <cellStyle name="Good" xfId="8" builtinId="26" customBuiltin="1"/>
    <cellStyle name="Heading 1" xfId="4" builtinId="16" customBuiltin="1"/>
    <cellStyle name="Heading 2" xfId="5" builtinId="17" customBuiltin="1"/>
    <cellStyle name="Heading 3" xfId="6" builtinId="18" customBuiltin="1"/>
    <cellStyle name="Heading 4" xfId="7" builtinId="19" customBuiltin="1"/>
    <cellStyle name="Hyperlink" xfId="1" builtinId="8"/>
    <cellStyle name="Input" xfId="11" builtinId="20" customBuiltin="1"/>
    <cellStyle name="Linked Cell" xfId="14" builtinId="24" customBuiltin="1"/>
    <cellStyle name="Neutral" xfId="10" builtinId="28" customBuiltin="1"/>
    <cellStyle name="Normal" xfId="0" builtinId="0"/>
    <cellStyle name="Normal 2" xfId="2" xr:uid="{32479CF1-84BD-4AA2-81B8-3F678C6B99A9}"/>
    <cellStyle name="Note" xfId="17" builtinId="10" customBuiltin="1"/>
    <cellStyle name="Output" xfId="12" builtinId="21" customBuiltin="1"/>
    <cellStyle name="Title" xfId="3" builtinId="15" customBuiltin="1"/>
    <cellStyle name="Total" xfId="19" builtinId="25" customBuiltin="1"/>
    <cellStyle name="Warning Text" xfId="16" builtinId="11" customBuiltin="1"/>
  </cellStyles>
  <dxfs count="1101">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DAE9F8"/>
        </patternFill>
      </fill>
    </dxf>
    <dxf>
      <fill>
        <patternFill patternType="solid">
          <fgColor indexed="64"/>
          <bgColor rgb="FFDAE9F8"/>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bgColor rgb="FFFF7C80"/>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DAE9F8"/>
        </patternFill>
      </fill>
    </dxf>
    <dxf>
      <fill>
        <patternFill patternType="solid">
          <fgColor indexed="64"/>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numFmt numFmtId="19" formatCode="dd/mm/yyyy"/>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externalLink" Target="externalLinks/externalLink2.xml"/><Relationship Id="rId10" Type="http://schemas.openxmlformats.org/officeDocument/2006/relationships/calcChain" Target="calcChain.xml"/><Relationship Id="rId4" Type="http://schemas.openxmlformats.org/officeDocument/2006/relationships/externalLink" Target="externalLinks/externalLink1.xml"/><Relationship Id="rId9" Type="http://schemas.microsoft.com/office/2017/10/relationships/person" Target="persons/person.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partners/Stats4SD/09_FOMD_metadata_extraction_long_stats4sd.xlsm" TargetMode="External"/><Relationship Id="rId2" Type="http://schemas.openxmlformats.org/officeDocument/2006/relationships/externalLinkPath" Target="https://cgiar.sharepoint.com/sites/Alliance-AgroecologyKnowledgeHub/Shared%20Documents/General/partners/Stats4SD/09_FOMD_metadata_extraction_long_stats4sd.xlsm" TargetMode="External"/><Relationship Id="rId1" Type="http://schemas.openxmlformats.org/officeDocument/2006/relationships/externalLinkPath" Target="/sites/Alliance-AgroecologyKnowledgeHub/Shared%20Documents/General/partners/Stats4SD/09_FOMD_metadata_extraction_long_stats4sd.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cgiar-my.sharepoint.com/personal/andrea_sanchez_cgiar_org/Documents/Bioversity/meta-analysis/ERA/V1.14.3%20-%20Majestic%20Hippo.xlsm" TargetMode="External"/><Relationship Id="rId1" Type="http://schemas.openxmlformats.org/officeDocument/2006/relationships/externalLinkPath" Target="https://cgiar-my.sharepoint.com/personal/andrea_sanchez_cgiar_org/Documents/Bioversity/meta-analysis/ERA/V1.14.3%20-%20Majestic%20Hipp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09_FOMD_metadata_extraction_lon"/>
      <sheetName val="09_FOMD_readme"/>
      <sheetName val="01_lookuplevels"/>
      <sheetName val="09_look_up_levels"/>
      <sheetName val="01_suboutcome_units"/>
      <sheetName val="01_sites"/>
      <sheetName val="01_outcomes"/>
      <sheetName val="01_out_econ"/>
      <sheetName val="01_practices"/>
      <sheetName val="01_products"/>
      <sheetName val="01_residues"/>
      <sheetName val="01_trees"/>
      <sheetName val="01_chemicals "/>
      <sheetName val="chemical_lookups"/>
      <sheetName val="01_fertiliser"/>
      <sheetName val="fertiliser_lookups"/>
      <sheetName val="01_vars_animals"/>
      <sheetName val="breeds_lookup"/>
      <sheetName val="01_countries"/>
      <sheetName val="sites_lookup"/>
      <sheetName val="01_vars_crops"/>
      <sheetName val="variety_lookups"/>
    </sheetNames>
    <sheetDataSet>
      <sheetData sheetId="0"/>
      <sheetData sheetId="1"/>
      <sheetData sheetId="2"/>
      <sheetData sheetId="3"/>
      <sheetData sheetId="4"/>
      <sheetData sheetId="5"/>
      <sheetData sheetId="6"/>
      <sheetData sheetId="7"/>
      <sheetData sheetId="8"/>
      <sheetData sheetId="9"/>
      <sheetData sheetId="10"/>
      <sheetData sheetId="11">
        <row r="2">
          <cell r="B2" t="str">
            <v>Acacia albida Delile</v>
          </cell>
        </row>
        <row r="3">
          <cell r="B3" t="str">
            <v>Acacia albida</v>
          </cell>
        </row>
        <row r="4">
          <cell r="B4" t="str">
            <v>Acacia karroo</v>
          </cell>
        </row>
        <row r="5">
          <cell r="B5" t="str">
            <v>Leucaena diversifolia</v>
          </cell>
        </row>
        <row r="6">
          <cell r="B6" t="str">
            <v>Leucaena leucocephala</v>
          </cell>
        </row>
        <row r="7">
          <cell r="B7" t="str">
            <v>Leucaena pallida</v>
          </cell>
        </row>
        <row r="8">
          <cell r="B8" t="str">
            <v>Leucaena trichandra</v>
          </cell>
        </row>
        <row r="9">
          <cell r="B9" t="str">
            <v>Lippia javanica</v>
          </cell>
        </row>
        <row r="10">
          <cell r="B10" t="str">
            <v>Maesopsis eminii</v>
          </cell>
        </row>
        <row r="11">
          <cell r="B11" t="str">
            <v>Mangifera indica</v>
          </cell>
        </row>
        <row r="12">
          <cell r="B12" t="str">
            <v>Acacia leptocarpa</v>
          </cell>
        </row>
        <row r="13">
          <cell r="B13" t="str">
            <v>Markhamia lutea</v>
          </cell>
        </row>
        <row r="14">
          <cell r="B14" t="str">
            <v>Melia azedarach</v>
          </cell>
        </row>
        <row r="15">
          <cell r="B15" t="str">
            <v>Melia volkensii</v>
          </cell>
        </row>
        <row r="16">
          <cell r="B16" t="str">
            <v>Milicia excelsa</v>
          </cell>
        </row>
        <row r="17">
          <cell r="B17" t="str">
            <v>Milletia ferruginea</v>
          </cell>
        </row>
        <row r="18">
          <cell r="B18" t="str">
            <v>Millettia thonningii</v>
          </cell>
        </row>
        <row r="19">
          <cell r="B19" t="str">
            <v>Moringa oleifera</v>
          </cell>
        </row>
        <row r="20">
          <cell r="B20" t="str">
            <v>Moringa stenopetala</v>
          </cell>
        </row>
        <row r="21">
          <cell r="B21" t="str">
            <v>Newbouldia laevis</v>
          </cell>
        </row>
        <row r="22">
          <cell r="B22" t="str">
            <v>Olea europaea</v>
          </cell>
        </row>
        <row r="23">
          <cell r="B23" t="str">
            <v>Acacia mangium</v>
          </cell>
        </row>
        <row r="24">
          <cell r="B24" t="str">
            <v>Opuntia ficus-indica</v>
          </cell>
        </row>
        <row r="25">
          <cell r="B25" t="str">
            <v>Palm</v>
          </cell>
        </row>
        <row r="26">
          <cell r="B26" t="str">
            <v>Parkia biglobosa</v>
          </cell>
        </row>
        <row r="27">
          <cell r="B27" t="str">
            <v>Paulownia fortunei</v>
          </cell>
        </row>
        <row r="28">
          <cell r="B28" t="str">
            <v>Bauhinia reticulata</v>
          </cell>
        </row>
        <row r="29">
          <cell r="B29" t="str">
            <v>Pinus patula</v>
          </cell>
        </row>
        <row r="30">
          <cell r="B30" t="str">
            <v>Pithecellobium dulce</v>
          </cell>
        </row>
        <row r="31">
          <cell r="B31" t="str">
            <v>Podocarpus falcatus</v>
          </cell>
        </row>
        <row r="32">
          <cell r="B32" t="str">
            <v>Prosopis africana</v>
          </cell>
        </row>
        <row r="33">
          <cell r="B33" t="str">
            <v>Prosopis juliflora</v>
          </cell>
        </row>
        <row r="34">
          <cell r="B34" t="str">
            <v>Acacia nilotica</v>
          </cell>
        </row>
        <row r="35">
          <cell r="B35" t="str">
            <v>Prunus africana</v>
          </cell>
        </row>
        <row r="36">
          <cell r="B36" t="str">
            <v>Prunus persica</v>
          </cell>
        </row>
        <row r="37">
          <cell r="B37" t="str">
            <v>Pterocarpus erinaceus</v>
          </cell>
        </row>
        <row r="38">
          <cell r="B38" t="str">
            <v>Pterocarpus lucens</v>
          </cell>
        </row>
        <row r="39">
          <cell r="B39" t="str">
            <v>Pterocarpus santalinoides</v>
          </cell>
        </row>
        <row r="40">
          <cell r="B40" t="str">
            <v>Pueraria phaseoloides</v>
          </cell>
        </row>
        <row r="41">
          <cell r="B41" t="str">
            <v>Quillaja saponaria</v>
          </cell>
        </row>
        <row r="42">
          <cell r="B42" t="str">
            <v>Ricinodendron heudelotii</v>
          </cell>
        </row>
        <row r="43">
          <cell r="B43" t="str">
            <v>Rosmarinus officinalis</v>
          </cell>
        </row>
        <row r="44">
          <cell r="B44" t="str">
            <v>Schefflera abyssinica</v>
          </cell>
        </row>
        <row r="45">
          <cell r="B45" t="str">
            <v>Acacia polyacantha</v>
          </cell>
        </row>
        <row r="46">
          <cell r="B46" t="str">
            <v>Senna didymobotrya</v>
          </cell>
        </row>
        <row r="47">
          <cell r="B47" t="str">
            <v>Senna occidentalis</v>
          </cell>
        </row>
        <row r="48">
          <cell r="B48" t="str">
            <v>Sesbania cinerascens</v>
          </cell>
        </row>
        <row r="49">
          <cell r="B49" t="str">
            <v>Sesbania goetzei</v>
          </cell>
        </row>
        <row r="50">
          <cell r="B50" t="str">
            <v>Sesbania macrantha</v>
          </cell>
        </row>
        <row r="51">
          <cell r="B51" t="str">
            <v>Sesbania rostrata</v>
          </cell>
        </row>
        <row r="52">
          <cell r="B52" t="str">
            <v>Sesbania sesban</v>
          </cell>
        </row>
        <row r="53">
          <cell r="B53" t="str">
            <v>Spathodea campanulata</v>
          </cell>
        </row>
        <row r="54">
          <cell r="B54" t="str">
            <v>Acacia tortilis</v>
          </cell>
        </row>
        <row r="55">
          <cell r="B55" t="str">
            <v>Syzygium guineense</v>
          </cell>
        </row>
        <row r="56">
          <cell r="B56" t="str">
            <v>Tephrosia candida</v>
          </cell>
        </row>
        <row r="57">
          <cell r="B57" t="str">
            <v>Tephrosia diversifolia</v>
          </cell>
        </row>
        <row r="58">
          <cell r="B58" t="str">
            <v>Tephrosia vogelii</v>
          </cell>
        </row>
        <row r="59">
          <cell r="B59" t="str">
            <v>Terminalia brownii</v>
          </cell>
        </row>
        <row r="60">
          <cell r="B60" t="str">
            <v>Terminalia ivoresensis</v>
          </cell>
        </row>
        <row r="61">
          <cell r="B61" t="str">
            <v>Terminalia sericea</v>
          </cell>
        </row>
        <row r="62">
          <cell r="B62" t="str">
            <v>Terminalia superba</v>
          </cell>
        </row>
        <row r="63">
          <cell r="B63" t="str">
            <v>Plukenetia conophora</v>
          </cell>
        </row>
        <row r="64">
          <cell r="B64" t="str">
            <v>Tithonia diversifolia</v>
          </cell>
        </row>
        <row r="65">
          <cell r="B65" t="str">
            <v>Acacia saligna</v>
          </cell>
        </row>
        <row r="66">
          <cell r="B66" t="str">
            <v>Uapaca kirkiana</v>
          </cell>
        </row>
        <row r="67">
          <cell r="B67" t="str">
            <v>Vitellaria paradoxa</v>
          </cell>
        </row>
        <row r="68">
          <cell r="B68" t="str">
            <v>Ziziphus mauritiana</v>
          </cell>
        </row>
        <row r="69">
          <cell r="B69" t="str">
            <v>Vachellia seyal</v>
          </cell>
        </row>
        <row r="70">
          <cell r="B70" t="str">
            <v>Acacia senegal</v>
          </cell>
        </row>
        <row r="71">
          <cell r="B71" t="str">
            <v>Acacia decurrens</v>
          </cell>
        </row>
        <row r="72">
          <cell r="B72" t="str">
            <v>Acacia sieberiana</v>
          </cell>
        </row>
        <row r="73">
          <cell r="B73" t="str">
            <v>Tephrosia sp.</v>
          </cell>
        </row>
        <row r="74">
          <cell r="B74" t="str">
            <v>Acacia toxicaria</v>
          </cell>
        </row>
        <row r="75">
          <cell r="B75" t="str">
            <v>Unspecified Tree</v>
          </cell>
        </row>
        <row r="76">
          <cell r="B76" t="str">
            <v>Acacia julifera</v>
          </cell>
        </row>
        <row r="77">
          <cell r="B77" t="str">
            <v>Acacia mearnsii</v>
          </cell>
        </row>
        <row r="78">
          <cell r="B78" t="str">
            <v>Acrocomia aculeata</v>
          </cell>
        </row>
        <row r="79">
          <cell r="B79" t="str">
            <v>Aeschynomene histrix</v>
          </cell>
        </row>
        <row r="80">
          <cell r="B80" t="str">
            <v>Albizia falcataria</v>
          </cell>
        </row>
        <row r="81">
          <cell r="B81" t="str">
            <v>Albizia harveyi</v>
          </cell>
        </row>
        <row r="82">
          <cell r="B82" t="str">
            <v>Albizia versicolor</v>
          </cell>
        </row>
        <row r="83">
          <cell r="B83" t="str">
            <v>Allanblackia floribunda</v>
          </cell>
        </row>
        <row r="84">
          <cell r="B84" t="str">
            <v>Auxemma oncocalyx</v>
          </cell>
        </row>
        <row r="85">
          <cell r="B85" t="str">
            <v>Acacia angustissima</v>
          </cell>
        </row>
        <row r="86">
          <cell r="B86" t="str">
            <v>Acacia tumida</v>
          </cell>
        </row>
        <row r="87">
          <cell r="B87" t="str">
            <v>Balanites aegyptica</v>
          </cell>
        </row>
        <row r="88">
          <cell r="B88" t="str">
            <v>Caesalpinia bracteosa</v>
          </cell>
        </row>
        <row r="89">
          <cell r="B89" t="str">
            <v>Calliandra houstoniana</v>
          </cell>
        </row>
        <row r="90">
          <cell r="B90" t="str">
            <v>Chloroleucon eurycyclum</v>
          </cell>
        </row>
        <row r="91">
          <cell r="B91" t="str">
            <v>Cordia alliodora</v>
          </cell>
        </row>
        <row r="92">
          <cell r="B92" t="str">
            <v>Cytisus proliferus var. palmensis</v>
          </cell>
        </row>
        <row r="93">
          <cell r="B93" t="str">
            <v>Dipteryx alata</v>
          </cell>
        </row>
        <row r="94">
          <cell r="B94" t="str">
            <v>Dombeya goetzenii</v>
          </cell>
        </row>
        <row r="95">
          <cell r="B95" t="str">
            <v>Dracaena steudneri</v>
          </cell>
        </row>
        <row r="96">
          <cell r="B96" t="str">
            <v>Ehretia abyssinica</v>
          </cell>
        </row>
        <row r="97">
          <cell r="B97" t="str">
            <v>Dactyladenia barteri</v>
          </cell>
        </row>
        <row r="98">
          <cell r="B98" t="str">
            <v>Ehretia cymosa</v>
          </cell>
        </row>
        <row r="99">
          <cell r="B99" t="str">
            <v>Eucalyptus deglupta</v>
          </cell>
        </row>
        <row r="100">
          <cell r="B100" t="str">
            <v>Eucalyptus urograndis</v>
          </cell>
        </row>
        <row r="101">
          <cell r="B101" t="str">
            <v>Euclea racemosa subsp. schimperi</v>
          </cell>
        </row>
        <row r="102">
          <cell r="B102" t="str">
            <v>Ficus thonningii</v>
          </cell>
        </row>
        <row r="103">
          <cell r="B103" t="str">
            <v>Ficus vallis-choudae</v>
          </cell>
        </row>
        <row r="104">
          <cell r="B104" t="str">
            <v>Ficus vasta</v>
          </cell>
        </row>
        <row r="105">
          <cell r="B105" t="str">
            <v>Gliricidia sepium</v>
          </cell>
        </row>
        <row r="106">
          <cell r="B106" t="str">
            <v>Gliricidia sp.</v>
          </cell>
        </row>
        <row r="107">
          <cell r="B107" t="str">
            <v>Hyptis suaveolens</v>
          </cell>
        </row>
        <row r="108">
          <cell r="B108" t="str">
            <v>Acrocarpus fraxinifolius</v>
          </cell>
        </row>
        <row r="109">
          <cell r="B109" t="str">
            <v>Inga densiflora</v>
          </cell>
        </row>
        <row r="110">
          <cell r="B110" t="str">
            <v>Inga edulis</v>
          </cell>
        </row>
        <row r="111">
          <cell r="B111" t="str">
            <v>Inga laurina</v>
          </cell>
        </row>
        <row r="112">
          <cell r="B112" t="str">
            <v>Inga oerstediana</v>
          </cell>
        </row>
        <row r="113">
          <cell r="B113" t="str">
            <v>Inga sp.</v>
          </cell>
        </row>
        <row r="114">
          <cell r="B114" t="str">
            <v>Juglans steyermarkii</v>
          </cell>
        </row>
        <row r="115">
          <cell r="B115" t="str">
            <v>Millettia ferruginea</v>
          </cell>
        </row>
        <row r="116">
          <cell r="B116" t="str">
            <v>Mimosa caesalpiniifolia</v>
          </cell>
        </row>
        <row r="117">
          <cell r="B117" t="str">
            <v>Mimosa tenuiflora</v>
          </cell>
        </row>
        <row r="118">
          <cell r="B118" t="str">
            <v>Olea welwitschii</v>
          </cell>
        </row>
        <row r="119">
          <cell r="B119" t="str">
            <v>Adansonia digitata</v>
          </cell>
        </row>
        <row r="120">
          <cell r="B120" t="str">
            <v>Olea welwitshii</v>
          </cell>
        </row>
        <row r="121">
          <cell r="B121" t="str">
            <v>Pavetta ternifolia</v>
          </cell>
        </row>
        <row r="122">
          <cell r="B122" t="str">
            <v>Peltophorum dubium</v>
          </cell>
        </row>
        <row r="123">
          <cell r="B123" t="str">
            <v>Persea americana</v>
          </cell>
        </row>
        <row r="124">
          <cell r="B124" t="str">
            <v>Phoenix reclinata</v>
          </cell>
        </row>
        <row r="125">
          <cell r="B125" t="str">
            <v>Polyscias fulva</v>
          </cell>
        </row>
        <row r="126">
          <cell r="B126" t="str">
            <v>Pouteria adolfi-friedericii</v>
          </cell>
        </row>
        <row r="127">
          <cell r="B127" t="str">
            <v>Quercus constaricensis</v>
          </cell>
        </row>
        <row r="128">
          <cell r="B128" t="str">
            <v>Samanea saman</v>
          </cell>
        </row>
        <row r="129">
          <cell r="B129" t="str">
            <v>Senna sp.</v>
          </cell>
        </row>
        <row r="130">
          <cell r="B130" t="str">
            <v>Afzelia africana</v>
          </cell>
        </row>
        <row r="131">
          <cell r="B131" t="str">
            <v>Sesbania aculeata</v>
          </cell>
        </row>
        <row r="132">
          <cell r="B132" t="str">
            <v>Sesbania bispinosa</v>
          </cell>
        </row>
        <row r="133">
          <cell r="B133" t="str">
            <v>Sesbania cannabina</v>
          </cell>
        </row>
        <row r="134">
          <cell r="B134" t="str">
            <v>Sesbania sp.</v>
          </cell>
        </row>
        <row r="135">
          <cell r="B135" t="str">
            <v>Simarouba glauca</v>
          </cell>
        </row>
        <row r="136">
          <cell r="B136" t="str">
            <v>Solanum sp.</v>
          </cell>
        </row>
        <row r="137">
          <cell r="B137" t="str">
            <v>Tabebuia rosea</v>
          </cell>
        </row>
        <row r="138">
          <cell r="B138" t="str">
            <v>Tectona grandis</v>
          </cell>
        </row>
        <row r="139">
          <cell r="B139" t="str">
            <v>Terminalia amazonia</v>
          </cell>
        </row>
        <row r="140">
          <cell r="B140" t="str">
            <v>Terminalia ivorensis</v>
          </cell>
        </row>
        <row r="141">
          <cell r="B141" t="str">
            <v>Albizia chinensis</v>
          </cell>
        </row>
        <row r="142">
          <cell r="B142" t="str">
            <v>Theobroma cacao</v>
          </cell>
        </row>
        <row r="143">
          <cell r="B143" t="str">
            <v>Toona ciliata</v>
          </cell>
        </row>
        <row r="144">
          <cell r="B144" t="str">
            <v>Unspecified Tree (N-fixing)</v>
          </cell>
        </row>
        <row r="145">
          <cell r="B145" t="str">
            <v>Unspecified Tree (Non N-fixing)</v>
          </cell>
        </row>
        <row r="146">
          <cell r="B146" t="str">
            <v>Vachellia xanthophloea</v>
          </cell>
        </row>
        <row r="147">
          <cell r="B147" t="str">
            <v>Vepris dainellii</v>
          </cell>
        </row>
        <row r="148">
          <cell r="B148" t="str">
            <v>Ziziphus spina-christi</v>
          </cell>
        </row>
        <row r="149">
          <cell r="B149" t="str">
            <v>Albizia coriaria</v>
          </cell>
        </row>
        <row r="150">
          <cell r="B150" t="str">
            <v>Albizia gummifera</v>
          </cell>
        </row>
        <row r="151">
          <cell r="B151" t="str">
            <v>Albizia lebbeck</v>
          </cell>
        </row>
        <row r="152">
          <cell r="B152" t="str">
            <v>Albizia zygia</v>
          </cell>
        </row>
        <row r="153">
          <cell r="B153" t="str">
            <v>Acacia auriculiformis</v>
          </cell>
        </row>
        <row r="154">
          <cell r="B154" t="str">
            <v>Alchornea cordifolia</v>
          </cell>
        </row>
        <row r="155">
          <cell r="B155" t="str">
            <v>Alnus acuminata</v>
          </cell>
        </row>
        <row r="156">
          <cell r="B156" t="str">
            <v>Antiaris toxicaria</v>
          </cell>
        </row>
        <row r="157">
          <cell r="B157" t="str">
            <v>Argyrolobium uniflorum</v>
          </cell>
        </row>
        <row r="158">
          <cell r="B158" t="str">
            <v>Artocarpus heterophyllus</v>
          </cell>
        </row>
        <row r="159">
          <cell r="B159" t="str">
            <v>Artocarpus altilis</v>
          </cell>
        </row>
        <row r="160">
          <cell r="B160" t="str">
            <v>Atriplex nummularia</v>
          </cell>
        </row>
        <row r="161">
          <cell r="B161" t="str">
            <v>Azadirachta indica</v>
          </cell>
        </row>
        <row r="162">
          <cell r="B162" t="str">
            <v>Bauhinia rufescens</v>
          </cell>
        </row>
        <row r="163">
          <cell r="B163" t="str">
            <v>Berchemia discolor</v>
          </cell>
        </row>
        <row r="164">
          <cell r="B164" t="str">
            <v>Acacia brevispica</v>
          </cell>
        </row>
        <row r="165">
          <cell r="B165" t="str">
            <v>Brachystegia spiciformis</v>
          </cell>
        </row>
        <row r="166">
          <cell r="B166" t="str">
            <v>Cajanus cajan</v>
          </cell>
        </row>
        <row r="167">
          <cell r="B167" t="str">
            <v>Calliandra calothyrsus</v>
          </cell>
        </row>
        <row r="168">
          <cell r="B168" t="str">
            <v>Senna siamea</v>
          </cell>
        </row>
        <row r="169">
          <cell r="B169" t="str">
            <v>Senna spectabilis</v>
          </cell>
        </row>
        <row r="170">
          <cell r="B170" t="str">
            <v>Casuarina equisetifolia</v>
          </cell>
        </row>
        <row r="171">
          <cell r="B171" t="str">
            <v>Casuarina glauca</v>
          </cell>
        </row>
        <row r="172">
          <cell r="B172" t="str">
            <v>Catha edulis</v>
          </cell>
        </row>
        <row r="173">
          <cell r="B173" t="str">
            <v>Cedrela odorata</v>
          </cell>
        </row>
        <row r="174">
          <cell r="B174" t="str">
            <v>Acacia caerulescens</v>
          </cell>
        </row>
        <row r="175">
          <cell r="B175" t="str">
            <v>Cedrela serrata</v>
          </cell>
        </row>
        <row r="176">
          <cell r="B176" t="str">
            <v>Centrosema pubescens</v>
          </cell>
        </row>
        <row r="177">
          <cell r="B177" t="str">
            <v>Cytisus proliferus</v>
          </cell>
        </row>
        <row r="178">
          <cell r="B178" t="str">
            <v>Chromolaena odorata</v>
          </cell>
        </row>
        <row r="179">
          <cell r="B179" t="str">
            <v>Cinnamomum cassia</v>
          </cell>
        </row>
        <row r="180">
          <cell r="B180" t="str">
            <v>Combretum apiculatum</v>
          </cell>
        </row>
        <row r="181">
          <cell r="B181" t="str">
            <v>Cordia africana</v>
          </cell>
        </row>
        <row r="182">
          <cell r="B182" t="str">
            <v>Crotalaria sp.</v>
          </cell>
        </row>
        <row r="183">
          <cell r="B183" t="str">
            <v>Crotalaria agatiflora</v>
          </cell>
        </row>
        <row r="184">
          <cell r="B184" t="str">
            <v>Crotalaria grahamiana</v>
          </cell>
        </row>
        <row r="185">
          <cell r="B185" t="str">
            <v>Acacia crassicarpa</v>
          </cell>
        </row>
        <row r="186">
          <cell r="B186" t="str">
            <v>Crotalaria juncea</v>
          </cell>
        </row>
        <row r="187">
          <cell r="B187" t="str">
            <v>Crotalaria ochrolueca</v>
          </cell>
        </row>
        <row r="188">
          <cell r="B188" t="str">
            <v>Crotalaria trichotoma</v>
          </cell>
        </row>
        <row r="189">
          <cell r="B189" t="str">
            <v>Croton macrostachyus</v>
          </cell>
        </row>
        <row r="190">
          <cell r="B190" t="str">
            <v>Croton megalocarpus</v>
          </cell>
        </row>
        <row r="191">
          <cell r="B191" t="str">
            <v>Cupressus lusitanica</v>
          </cell>
        </row>
        <row r="192">
          <cell r="B192" t="str">
            <v>Acacia cyanophylla</v>
          </cell>
        </row>
        <row r="193">
          <cell r="B193" t="str">
            <v>Dodonaea Viscosa</v>
          </cell>
        </row>
        <row r="194">
          <cell r="B194" t="str">
            <v>Elaeis guineensis</v>
          </cell>
        </row>
        <row r="195">
          <cell r="B195" t="str">
            <v>Entada abyssinica</v>
          </cell>
        </row>
        <row r="196">
          <cell r="B196" t="str">
            <v>Erythrina abyssinica</v>
          </cell>
        </row>
        <row r="197">
          <cell r="B197" t="str">
            <v>Erythrina poeppigiana</v>
          </cell>
        </row>
        <row r="198">
          <cell r="B198" t="str">
            <v>Eucalyptus alba</v>
          </cell>
        </row>
        <row r="199">
          <cell r="B199" t="str">
            <v>Eucalyptus camaldulensis</v>
          </cell>
        </row>
        <row r="200">
          <cell r="B200" t="str">
            <v>Eucalyptus globulus</v>
          </cell>
        </row>
        <row r="201">
          <cell r="B201" t="str">
            <v>Eucalyptus saligna</v>
          </cell>
        </row>
        <row r="202">
          <cell r="B202" t="str">
            <v>Acacia ferruginea</v>
          </cell>
        </row>
        <row r="203">
          <cell r="B203" t="str">
            <v>Ficus natalensis</v>
          </cell>
        </row>
        <row r="204">
          <cell r="B204" t="str">
            <v>Ficus laurifolia</v>
          </cell>
        </row>
        <row r="205">
          <cell r="B205" t="str">
            <v>Ficus polita</v>
          </cell>
        </row>
        <row r="206">
          <cell r="B206" t="str">
            <v>Ficus sur</v>
          </cell>
        </row>
        <row r="207">
          <cell r="B207" t="str">
            <v>Flemingia sp.</v>
          </cell>
        </row>
        <row r="208">
          <cell r="B208" t="str">
            <v>Flemingia macrophylla</v>
          </cell>
        </row>
        <row r="209">
          <cell r="B209" t="str">
            <v>Acacia holosericea</v>
          </cell>
        </row>
        <row r="210">
          <cell r="B210" t="str">
            <v>Gliricidia maculata</v>
          </cell>
        </row>
        <row r="211">
          <cell r="B211" t="str">
            <v>Glycine wightii</v>
          </cell>
        </row>
        <row r="212">
          <cell r="B212" t="str">
            <v>Gmelina arborea</v>
          </cell>
        </row>
        <row r="213">
          <cell r="B213" t="str">
            <v>Grevillea robusta</v>
          </cell>
        </row>
        <row r="214">
          <cell r="B214" t="str">
            <v>Guiera senegalensis</v>
          </cell>
        </row>
        <row r="215">
          <cell r="B215" t="str">
            <v>Harrisonia abyssinica</v>
          </cell>
        </row>
        <row r="216">
          <cell r="B216" t="str">
            <v>Jatropha curcas</v>
          </cell>
        </row>
        <row r="217">
          <cell r="B217" t="str">
            <v>Julbernardia globiflora</v>
          </cell>
        </row>
        <row r="218">
          <cell r="B218" t="str">
            <v>Khaya senegalensis</v>
          </cell>
        </row>
      </sheetData>
      <sheetData sheetId="12"/>
      <sheetData sheetId="13"/>
      <sheetData sheetId="14"/>
      <sheetData sheetId="15"/>
      <sheetData sheetId="16"/>
      <sheetData sheetId="17">
        <row r="1">
          <cell r="A1" t="str">
            <v>Buffalo</v>
          </cell>
          <cell r="B1" t="str">
            <v>Camel</v>
          </cell>
          <cell r="C1" t="str">
            <v>Cattle</v>
          </cell>
          <cell r="D1" t="str">
            <v>Chicken</v>
          </cell>
          <cell r="E1" t="str">
            <v>Crustacean</v>
          </cell>
          <cell r="F1" t="str">
            <v>Duck</v>
          </cell>
          <cell r="G1" t="str">
            <v>Fish</v>
          </cell>
          <cell r="H1" t="str">
            <v>Goat</v>
          </cell>
          <cell r="I1" t="str">
            <v>Guinea Pig</v>
          </cell>
          <cell r="J1" t="str">
            <v>Pig</v>
          </cell>
          <cell r="K1" t="str">
            <v>Quail</v>
          </cell>
          <cell r="L1" t="str">
            <v>Rabbit</v>
          </cell>
          <cell r="M1" t="str">
            <v>Sheep</v>
          </cell>
          <cell r="N1" t="str">
            <v>Snail</v>
          </cell>
          <cell r="O1" t="str">
            <v>Turkey</v>
          </cell>
        </row>
      </sheetData>
      <sheetData sheetId="18"/>
      <sheetData sheetId="19">
        <row r="1">
          <cell r="A1" t="str">
            <v>Afghanistan</v>
          </cell>
          <cell r="B1" t="str">
            <v>Albania</v>
          </cell>
          <cell r="C1" t="str">
            <v>Algeria</v>
          </cell>
          <cell r="D1" t="str">
            <v>Andorra</v>
          </cell>
          <cell r="E1" t="str">
            <v>Angola</v>
          </cell>
          <cell r="F1" t="str">
            <v>Antigua and Barbuda</v>
          </cell>
          <cell r="G1" t="str">
            <v>Argentina</v>
          </cell>
          <cell r="H1" t="str">
            <v>Armenia</v>
          </cell>
          <cell r="I1" t="str">
            <v>Australia</v>
          </cell>
          <cell r="J1" t="str">
            <v>Austria</v>
          </cell>
          <cell r="K1" t="str">
            <v>Azerbaijan</v>
          </cell>
          <cell r="L1" t="str">
            <v>Bahamas</v>
          </cell>
          <cell r="M1" t="str">
            <v>Bahrain</v>
          </cell>
          <cell r="N1" t="str">
            <v>Bangladesh</v>
          </cell>
          <cell r="O1" t="str">
            <v>Barbados</v>
          </cell>
          <cell r="P1" t="str">
            <v>Belarus</v>
          </cell>
          <cell r="Q1" t="str">
            <v>Belgium</v>
          </cell>
          <cell r="R1" t="str">
            <v>Belize</v>
          </cell>
          <cell r="S1" t="str">
            <v>Benin</v>
          </cell>
          <cell r="T1" t="str">
            <v>Bhutan</v>
          </cell>
          <cell r="U1" t="str">
            <v>Bolivia</v>
          </cell>
          <cell r="V1" t="str">
            <v>Bosnia and Herzegovina</v>
          </cell>
          <cell r="W1" t="str">
            <v>Botswana</v>
          </cell>
          <cell r="X1" t="str">
            <v>Brazil</v>
          </cell>
          <cell r="Y1" t="str">
            <v>Brunei</v>
          </cell>
          <cell r="Z1" t="str">
            <v>Bulgaria</v>
          </cell>
          <cell r="AA1" t="str">
            <v>Burkina Faso</v>
          </cell>
          <cell r="AB1" t="str">
            <v>Burundi</v>
          </cell>
          <cell r="AC1" t="str">
            <v>Cabo Verde</v>
          </cell>
          <cell r="AD1" t="str">
            <v>Cambodia</v>
          </cell>
          <cell r="AE1" t="str">
            <v>Cameroon</v>
          </cell>
          <cell r="AF1" t="str">
            <v>Canada</v>
          </cell>
          <cell r="AG1" t="str">
            <v>Central African Republic</v>
          </cell>
          <cell r="AH1" t="str">
            <v>Chad</v>
          </cell>
          <cell r="AI1" t="str">
            <v>Chile</v>
          </cell>
          <cell r="AJ1" t="str">
            <v>China</v>
          </cell>
          <cell r="AK1" t="str">
            <v>Colombia</v>
          </cell>
          <cell r="AL1" t="str">
            <v>Comoros</v>
          </cell>
          <cell r="AM1" t="str">
            <v>Congo (Democratic Republic of the)</v>
          </cell>
          <cell r="AN1" t="str">
            <v>Congo (Republic of the)</v>
          </cell>
          <cell r="AO1" t="str">
            <v>Costa Rica</v>
          </cell>
          <cell r="AP1" t="str">
            <v>Croatia</v>
          </cell>
          <cell r="AQ1" t="str">
            <v>Cuba</v>
          </cell>
          <cell r="AR1" t="str">
            <v>Cyprus</v>
          </cell>
          <cell r="AS1" t="str">
            <v>Czech Republic</v>
          </cell>
          <cell r="AT1" t="str">
            <v>Denmark</v>
          </cell>
          <cell r="AU1" t="str">
            <v>Djibouti</v>
          </cell>
          <cell r="AV1" t="str">
            <v>Dominica</v>
          </cell>
          <cell r="AW1" t="str">
            <v>Dominican Republic</v>
          </cell>
          <cell r="AX1" t="str">
            <v>Ecuador</v>
          </cell>
          <cell r="AY1" t="str">
            <v>Egypt</v>
          </cell>
          <cell r="AZ1" t="str">
            <v>El Salvador</v>
          </cell>
          <cell r="BA1" t="str">
            <v>Equatorial Guinea</v>
          </cell>
          <cell r="BB1" t="str">
            <v>Eritrea</v>
          </cell>
          <cell r="BC1" t="str">
            <v>Estonia</v>
          </cell>
          <cell r="BD1" t="str">
            <v>Ethiopia</v>
          </cell>
          <cell r="BE1" t="str">
            <v>Fiji</v>
          </cell>
          <cell r="BF1" t="str">
            <v>Finland</v>
          </cell>
          <cell r="BG1" t="str">
            <v>France (Metropolitan)</v>
          </cell>
          <cell r="BH1" t="str">
            <v>Gabon</v>
          </cell>
          <cell r="BI1" t="str">
            <v>Gambia</v>
          </cell>
          <cell r="BJ1" t="str">
            <v>Georgia</v>
          </cell>
          <cell r="BK1" t="str">
            <v>Germany</v>
          </cell>
          <cell r="BL1" t="str">
            <v>Ghana</v>
          </cell>
          <cell r="BM1" t="str">
            <v>Greece</v>
          </cell>
          <cell r="BN1" t="str">
            <v>Grenada</v>
          </cell>
          <cell r="BO1" t="str">
            <v>Guatemala</v>
          </cell>
          <cell r="BP1" t="str">
            <v>Guinea</v>
          </cell>
          <cell r="BQ1" t="str">
            <v>Guinea Bissau</v>
          </cell>
          <cell r="BR1" t="str">
            <v>Guyana</v>
          </cell>
          <cell r="BS1" t="str">
            <v>Haiti</v>
          </cell>
          <cell r="BT1" t="str">
            <v>Honduras</v>
          </cell>
          <cell r="BU1" t="str">
            <v>Hungary</v>
          </cell>
          <cell r="BV1" t="str">
            <v>Iceland</v>
          </cell>
          <cell r="BW1" t="str">
            <v>India</v>
          </cell>
          <cell r="BX1" t="str">
            <v>Indonesia</v>
          </cell>
          <cell r="BY1" t="str">
            <v>Iran</v>
          </cell>
          <cell r="BZ1" t="str">
            <v>Iraq</v>
          </cell>
          <cell r="CA1" t="str">
            <v>Ireland</v>
          </cell>
          <cell r="CB1" t="str">
            <v>Israel</v>
          </cell>
          <cell r="CC1" t="str">
            <v>Italy</v>
          </cell>
          <cell r="CD1" t="str">
            <v>Ivory Coast</v>
          </cell>
          <cell r="CE1" t="str">
            <v>Jamaica</v>
          </cell>
          <cell r="CF1" t="str">
            <v>Japan</v>
          </cell>
          <cell r="CG1" t="str">
            <v>Jordan</v>
          </cell>
          <cell r="CH1" t="str">
            <v>Kazakhstan</v>
          </cell>
          <cell r="CI1" t="str">
            <v>Kenya</v>
          </cell>
          <cell r="CJ1" t="str">
            <v>Kiribati</v>
          </cell>
          <cell r="CK1" t="str">
            <v>Kosovo</v>
          </cell>
          <cell r="CL1" t="str">
            <v>Kuwait</v>
          </cell>
          <cell r="CM1" t="str">
            <v>Kyrgyzstan</v>
          </cell>
          <cell r="CN1" t="str">
            <v>Laos</v>
          </cell>
          <cell r="CO1" t="str">
            <v>Latvia</v>
          </cell>
          <cell r="CP1" t="str">
            <v>Lebanon</v>
          </cell>
          <cell r="CQ1" t="str">
            <v>Lesotho</v>
          </cell>
          <cell r="CR1" t="str">
            <v>Liberia</v>
          </cell>
          <cell r="CS1" t="str">
            <v>Libya</v>
          </cell>
          <cell r="CT1" t="str">
            <v>Liechtenstein</v>
          </cell>
          <cell r="CU1" t="str">
            <v>Lithuania</v>
          </cell>
          <cell r="CV1" t="str">
            <v>Luxembourg</v>
          </cell>
          <cell r="CW1" t="str">
            <v>Madagascar</v>
          </cell>
          <cell r="CX1" t="str">
            <v>Malawi</v>
          </cell>
          <cell r="CY1" t="str">
            <v>Malaysia</v>
          </cell>
          <cell r="CZ1" t="str">
            <v>Maldives</v>
          </cell>
          <cell r="DA1" t="str">
            <v>Mali</v>
          </cell>
          <cell r="DB1" t="str">
            <v>Malta</v>
          </cell>
          <cell r="DC1" t="str">
            <v>Marshall Islands</v>
          </cell>
          <cell r="DD1" t="str">
            <v>Mauritania</v>
          </cell>
          <cell r="DE1" t="str">
            <v>Mauritius</v>
          </cell>
          <cell r="DF1" t="str">
            <v>Mexico</v>
          </cell>
          <cell r="DG1" t="str">
            <v>Micronesia</v>
          </cell>
          <cell r="DH1" t="str">
            <v>Moldova</v>
          </cell>
          <cell r="DI1" t="str">
            <v>Monaco</v>
          </cell>
          <cell r="DJ1" t="str">
            <v>Mongolia</v>
          </cell>
          <cell r="DK1" t="str">
            <v>Montenegro</v>
          </cell>
          <cell r="DL1" t="str">
            <v>Morocco</v>
          </cell>
          <cell r="DM1" t="str">
            <v>Mozambique</v>
          </cell>
          <cell r="DN1" t="str">
            <v>Myanmar</v>
          </cell>
          <cell r="DO1" t="str">
            <v>Namibia</v>
          </cell>
          <cell r="DP1" t="str">
            <v>Nauru</v>
          </cell>
          <cell r="DQ1" t="str">
            <v>Nepal</v>
          </cell>
          <cell r="DR1" t="str">
            <v>Netherlands</v>
          </cell>
          <cell r="DS1" t="str">
            <v>New Zealand</v>
          </cell>
          <cell r="DT1" t="str">
            <v>Nicaragua</v>
          </cell>
          <cell r="DU1" t="str">
            <v>Niger</v>
          </cell>
          <cell r="DV1" t="str">
            <v>Nigeria</v>
          </cell>
          <cell r="DW1" t="str">
            <v>North Korea</v>
          </cell>
          <cell r="DX1" t="str">
            <v>North Macedonia</v>
          </cell>
          <cell r="DY1" t="str">
            <v>Norway</v>
          </cell>
          <cell r="DZ1" t="str">
            <v>Oman</v>
          </cell>
          <cell r="EA1" t="str">
            <v>Pakistan</v>
          </cell>
          <cell r="EB1" t="str">
            <v>Palau</v>
          </cell>
          <cell r="EC1" t="str">
            <v>Palestine</v>
          </cell>
          <cell r="ED1" t="str">
            <v>Panama</v>
          </cell>
          <cell r="EE1" t="str">
            <v>Papua New Guinea</v>
          </cell>
          <cell r="EF1" t="str">
            <v>Paraguay</v>
          </cell>
          <cell r="EG1" t="str">
            <v>Peru</v>
          </cell>
          <cell r="EH1" t="str">
            <v>Philippines</v>
          </cell>
          <cell r="EI1" t="str">
            <v>Poland</v>
          </cell>
          <cell r="EJ1" t="str">
            <v>Portugal</v>
          </cell>
          <cell r="EK1" t="str">
            <v>Qatar</v>
          </cell>
          <cell r="EL1" t="str">
            <v>Romania</v>
          </cell>
          <cell r="EM1" t="str">
            <v>Russia (European + Asian)</v>
          </cell>
          <cell r="EN1" t="str">
            <v>Rwanda</v>
          </cell>
          <cell r="EO1" t="str">
            <v>Saint Kitts and Nevis</v>
          </cell>
          <cell r="EP1" t="str">
            <v>Saint Lucia</v>
          </cell>
          <cell r="EQ1" t="str">
            <v>Saint Vincent and the Grenadines</v>
          </cell>
          <cell r="ER1" t="str">
            <v>Samoa</v>
          </cell>
          <cell r="ES1" t="str">
            <v>San Marino</v>
          </cell>
          <cell r="ET1" t="str">
            <v>Sao Tome &amp; Principe</v>
          </cell>
          <cell r="EU1" t="str">
            <v>Saudi Arabia</v>
          </cell>
          <cell r="EV1" t="str">
            <v>Senegal</v>
          </cell>
          <cell r="EW1" t="str">
            <v>Serbia</v>
          </cell>
          <cell r="EX1" t="str">
            <v>Seychelles</v>
          </cell>
          <cell r="EY1" t="str">
            <v>Sierra Leone</v>
          </cell>
          <cell r="EZ1" t="str">
            <v>Singapore</v>
          </cell>
          <cell r="FA1" t="str">
            <v>Slovakia</v>
          </cell>
          <cell r="FB1" t="str">
            <v>Slovenia</v>
          </cell>
          <cell r="FC1" t="str">
            <v>Solomon Islands</v>
          </cell>
          <cell r="FD1" t="str">
            <v>Somalia</v>
          </cell>
          <cell r="FE1" t="str">
            <v>South Africa</v>
          </cell>
          <cell r="FF1" t="str">
            <v>South Korea</v>
          </cell>
          <cell r="FG1" t="str">
            <v>South Sudan</v>
          </cell>
          <cell r="FH1" t="str">
            <v>Spain</v>
          </cell>
          <cell r="FI1" t="str">
            <v>Sri Lanka</v>
          </cell>
          <cell r="FJ1" t="str">
            <v>Sudan</v>
          </cell>
          <cell r="FK1" t="str">
            <v>Suriname</v>
          </cell>
          <cell r="FL1" t="str">
            <v>Swaziland</v>
          </cell>
          <cell r="FM1" t="str">
            <v>Sweden</v>
          </cell>
          <cell r="FN1" t="str">
            <v>Switzerland</v>
          </cell>
          <cell r="FO1" t="str">
            <v>Syria</v>
          </cell>
          <cell r="FP1" t="str">
            <v>Taiwan</v>
          </cell>
          <cell r="FQ1" t="str">
            <v>Tajikistan</v>
          </cell>
          <cell r="FR1" t="str">
            <v>Tanzania</v>
          </cell>
          <cell r="FS1" t="str">
            <v>Thailand</v>
          </cell>
          <cell r="FT1" t="str">
            <v>Timor-Leste</v>
          </cell>
          <cell r="FU1" t="str">
            <v>Togo</v>
          </cell>
          <cell r="FV1" t="str">
            <v>Tonga</v>
          </cell>
          <cell r="FW1" t="str">
            <v>Trinidad and Tobago</v>
          </cell>
          <cell r="FX1" t="str">
            <v>Tunisia</v>
          </cell>
          <cell r="FY1" t="str">
            <v>Turkey</v>
          </cell>
          <cell r="FZ1" t="str">
            <v>Turkmenistan</v>
          </cell>
          <cell r="GA1" t="str">
            <v>Tuvalu</v>
          </cell>
          <cell r="GB1" t="str">
            <v>Uganda</v>
          </cell>
          <cell r="GC1" t="str">
            <v>Ukraine</v>
          </cell>
          <cell r="GD1" t="str">
            <v>United Arab Emirates</v>
          </cell>
          <cell r="GE1" t="str">
            <v>United Kingdom</v>
          </cell>
          <cell r="GF1" t="str">
            <v>United States (Contiguous)</v>
          </cell>
          <cell r="GG1" t="str">
            <v>Uruguay</v>
          </cell>
          <cell r="GH1" t="str">
            <v>Uzbekistan</v>
          </cell>
          <cell r="GI1" t="str">
            <v>Vanuatu</v>
          </cell>
          <cell r="GJ1" t="str">
            <v>Vatican City</v>
          </cell>
          <cell r="GK1" t="str">
            <v>Venezuela</v>
          </cell>
          <cell r="GL1" t="str">
            <v>Vietnam</v>
          </cell>
          <cell r="GM1" t="str">
            <v>Yemen</v>
          </cell>
          <cell r="GN1" t="str">
            <v>Zambia</v>
          </cell>
          <cell r="GO1" t="str">
            <v>Zimbabwe</v>
          </cell>
          <cell r="GP1" t="str">
            <v>Alaska (US)</v>
          </cell>
          <cell r="GQ1" t="str">
            <v>American Samoa</v>
          </cell>
          <cell r="GR1" t="str">
            <v>Anguilla</v>
          </cell>
          <cell r="GS1" t="str">
            <v>Aruba</v>
          </cell>
          <cell r="GT1" t="str">
            <v>Bermuda</v>
          </cell>
          <cell r="GU1" t="str">
            <v>Bonaire, Sint Eustatius and Saba</v>
          </cell>
          <cell r="GV1" t="str">
            <v>British Virgin Islands</v>
          </cell>
          <cell r="GW1" t="str">
            <v>Cayman Islands</v>
          </cell>
          <cell r="GX1" t="str">
            <v>Cook Islands</v>
          </cell>
          <cell r="GY1" t="str">
            <v>Curacao</v>
          </cell>
          <cell r="GZ1" t="str">
            <v>Falkland Islands</v>
          </cell>
          <cell r="HA1" t="str">
            <v>Faroe Islands</v>
          </cell>
          <cell r="HB1" t="str">
            <v>French Guiana</v>
          </cell>
          <cell r="HC1" t="str">
            <v>French Polynesia</v>
          </cell>
          <cell r="HD1" t="str">
            <v>Gibraltar</v>
          </cell>
          <cell r="HE1" t="str">
            <v>Greenland</v>
          </cell>
          <cell r="HF1" t="str">
            <v>Guadeloupe</v>
          </cell>
          <cell r="HG1" t="str">
            <v>Guam</v>
          </cell>
          <cell r="HH1" t="str">
            <v>Hawaii (US)</v>
          </cell>
          <cell r="HI1" t="str">
            <v>Hong Kong</v>
          </cell>
          <cell r="HJ1" t="str">
            <v>Macau</v>
          </cell>
          <cell r="HK1" t="str">
            <v>Martinique</v>
          </cell>
          <cell r="HL1" t="str">
            <v>Mayotte</v>
          </cell>
          <cell r="HM1" t="str">
            <v>Montserrat</v>
          </cell>
          <cell r="HN1" t="str">
            <v>New Caledonia</v>
          </cell>
          <cell r="HO1" t="str">
            <v>Niue</v>
          </cell>
          <cell r="HP1" t="str">
            <v>Northern Mariana Islands</v>
          </cell>
          <cell r="HQ1" t="str">
            <v>Puerto Rico</v>
          </cell>
          <cell r="HR1" t="str">
            <v>Reunion</v>
          </cell>
          <cell r="HS1" t="str">
            <v>Saint Barthelemy</v>
          </cell>
          <cell r="HT1" t="str">
            <v>Saint Martin (French)</v>
          </cell>
          <cell r="HU1" t="str">
            <v>Saint Pierre and Miquelon</v>
          </cell>
          <cell r="HV1" t="str">
            <v>Sint Maarten (Dutch)</v>
          </cell>
          <cell r="HW1" t="str">
            <v>Tokelau</v>
          </cell>
          <cell r="HX1" t="str">
            <v>Turks and Caicos</v>
          </cell>
          <cell r="HY1" t="str">
            <v>US Virgin Islands</v>
          </cell>
          <cell r="HZ1" t="str">
            <v>Wallis and Futuna</v>
          </cell>
          <cell r="IA1" t="str">
            <v>Western Sahara</v>
          </cell>
        </row>
      </sheetData>
      <sheetData sheetId="20"/>
      <sheetData sheetId="21">
        <row r="1">
          <cell r="A1" t="str">
            <v>African Yam Bean</v>
          </cell>
          <cell r="B1" t="str">
            <v>Alfalfa</v>
          </cell>
          <cell r="C1" t="str">
            <v>Banana Sweet</v>
          </cell>
          <cell r="D1" t="str">
            <v>Barley</v>
          </cell>
          <cell r="E1" t="str">
            <v>Basil</v>
          </cell>
          <cell r="F1" t="str">
            <v>Bell pepper</v>
          </cell>
          <cell r="G1" t="str">
            <v>Black Oats</v>
          </cell>
          <cell r="H1" t="str">
            <v>Brachiaria brizantha</v>
          </cell>
          <cell r="I1" t="str">
            <v>Brachiaria decumbens</v>
          </cell>
          <cell r="J1" t="str">
            <v>Brachiaria humidicola</v>
          </cell>
          <cell r="K1" t="str">
            <v>Brachiaria hybrid</v>
          </cell>
          <cell r="L1" t="str">
            <v>Buffalo</v>
          </cell>
          <cell r="M1" t="str">
            <v>Butter Bean</v>
          </cell>
          <cell r="N1" t="str">
            <v>Cabbage</v>
          </cell>
          <cell r="O1" t="str">
            <v>Calabash</v>
          </cell>
          <cell r="P1" t="str">
            <v>Canola</v>
          </cell>
          <cell r="Q1" t="str">
            <v>Capsicum</v>
          </cell>
          <cell r="R1" t="str">
            <v>Carrot</v>
          </cell>
          <cell r="S1" t="str">
            <v>Carrot &amp; Parsnip</v>
          </cell>
          <cell r="T1" t="str">
            <v>Cassava</v>
          </cell>
          <cell r="U1" t="str">
            <v>Castor</v>
          </cell>
          <cell r="V1" t="str">
            <v>Cattle</v>
          </cell>
          <cell r="W1" t="str">
            <v>Cauliflower &amp; Broccoli</v>
          </cell>
          <cell r="X1" t="str">
            <v>Chicken</v>
          </cell>
          <cell r="Y1" t="str">
            <v>Chickpea</v>
          </cell>
          <cell r="Z1" t="str">
            <v>Chili</v>
          </cell>
          <cell r="AA1" t="str">
            <v>Chloris gayana</v>
          </cell>
          <cell r="AB1" t="str">
            <v>Cocoa</v>
          </cell>
          <cell r="AC1" t="str">
            <v>Coffee</v>
          </cell>
          <cell r="AD1" t="str">
            <v>Common Bean</v>
          </cell>
          <cell r="AE1" t="str">
            <v>Congo Grass</v>
          </cell>
          <cell r="AF1" t="str">
            <v>Cooking Banana</v>
          </cell>
          <cell r="AG1" t="str">
            <v>Cookstove</v>
          </cell>
          <cell r="AH1" t="str">
            <v>Cotton</v>
          </cell>
          <cell r="AI1" t="str">
            <v>Cowpea</v>
          </cell>
          <cell r="AJ1" t="str">
            <v>Cucumber</v>
          </cell>
          <cell r="AK1" t="str">
            <v>Date</v>
          </cell>
          <cell r="AL1" t="str">
            <v>Duck</v>
          </cell>
          <cell r="AM1" t="str">
            <v>Durum Wheat</v>
          </cell>
          <cell r="AN1" t="str">
            <v>Eggplant</v>
          </cell>
          <cell r="AO1" t="str">
            <v>Egyptian Clover</v>
          </cell>
          <cell r="AP1" t="str">
            <v>Ethiopian Mustard</v>
          </cell>
          <cell r="AQ1" t="str">
            <v>Fava Bean</v>
          </cell>
          <cell r="AR1" t="str">
            <v>Fennel</v>
          </cell>
          <cell r="AS1" t="str">
            <v>Fenugreek</v>
          </cell>
          <cell r="AT1" t="str">
            <v>Finger Millet</v>
          </cell>
          <cell r="AU1" t="str">
            <v>Fish</v>
          </cell>
          <cell r="AV1" t="str">
            <v>Flax</v>
          </cell>
          <cell r="AW1" t="str">
            <v>Fonio</v>
          </cell>
          <cell r="AX1" t="str">
            <v>Garlic</v>
          </cell>
          <cell r="AY1" t="str">
            <v>Goat</v>
          </cell>
          <cell r="AZ1" t="str">
            <v>Grape</v>
          </cell>
          <cell r="BA1" t="str">
            <v>Green gram</v>
          </cell>
          <cell r="BB1" t="str">
            <v>Groundnut</v>
          </cell>
          <cell r="BC1" t="str">
            <v>Guar Gum</v>
          </cell>
          <cell r="BD1" t="str">
            <v>Guinea Grass</v>
          </cell>
          <cell r="BE1" t="str">
            <v>Hairy Vetch</v>
          </cell>
          <cell r="BF1" t="str">
            <v>Hibiscus</v>
          </cell>
          <cell r="BG1" t="str">
            <v>Jack Bean</v>
          </cell>
          <cell r="BH1" t="str">
            <v>Jujube</v>
          </cell>
          <cell r="BI1" t="str">
            <v>Jute mallow</v>
          </cell>
          <cell r="BJ1" t="str">
            <v>Kale</v>
          </cell>
          <cell r="BK1" t="str">
            <v>Kikuyu Grass</v>
          </cell>
          <cell r="BL1" t="str">
            <v>Lablab</v>
          </cell>
          <cell r="BM1" t="str">
            <v>Lentil</v>
          </cell>
          <cell r="BN1" t="str">
            <v>Leucaena leucocephala</v>
          </cell>
          <cell r="BO1" t="str">
            <v>Lupin</v>
          </cell>
          <cell r="BP1" t="str">
            <v>Macadamia</v>
          </cell>
          <cell r="BQ1" t="str">
            <v>Maize</v>
          </cell>
          <cell r="BR1" t="str">
            <v>Maize-Common Bean</v>
          </cell>
          <cell r="BS1" t="str">
            <v>Maize-Cowpea</v>
          </cell>
          <cell r="BT1" t="str">
            <v>Maize-Sweet Potato</v>
          </cell>
          <cell r="BU1" t="str">
            <v>Mangifera indica</v>
          </cell>
          <cell r="BV1" t="str">
            <v>Mango</v>
          </cell>
          <cell r="BW1" t="str">
            <v>Melon</v>
          </cell>
          <cell r="BX1" t="str">
            <v>Mung Bean</v>
          </cell>
          <cell r="BY1" t="str">
            <v>Napier Grass</v>
          </cell>
          <cell r="BZ1" t="str">
            <v>New Cocoyam</v>
          </cell>
          <cell r="CA1" t="str">
            <v>Oats</v>
          </cell>
          <cell r="CB1" t="str">
            <v>Okra</v>
          </cell>
          <cell r="CC1" t="str">
            <v>Olive</v>
          </cell>
          <cell r="CD1" t="str">
            <v>Olive Oil</v>
          </cell>
          <cell r="CE1" t="str">
            <v>Onion</v>
          </cell>
          <cell r="CF1" t="str">
            <v>Orange</v>
          </cell>
          <cell r="CG1" t="str">
            <v>Orange-Pepper-Amaranth</v>
          </cell>
          <cell r="CH1" t="str">
            <v>Ornithopus sativus</v>
          </cell>
          <cell r="CI1" t="str">
            <v>Palisade Grass</v>
          </cell>
          <cell r="CJ1" t="str">
            <v>Palm Oil</v>
          </cell>
          <cell r="CK1" t="str">
            <v>Passionfruit</v>
          </cell>
          <cell r="CL1" t="str">
            <v>Peach &amp; Nectarine</v>
          </cell>
          <cell r="CM1" t="str">
            <v>Pearl Millet</v>
          </cell>
          <cell r="CN1" t="str">
            <v>Pearl Millet-Sorghum-Cowpea</v>
          </cell>
          <cell r="CO1" t="str">
            <v>Peas</v>
          </cell>
          <cell r="CP1" t="str">
            <v>Pepper</v>
          </cell>
          <cell r="CQ1" t="str">
            <v>Pigeon Pea</v>
          </cell>
          <cell r="CR1" t="str">
            <v>Pigs</v>
          </cell>
          <cell r="CS1" t="str">
            <v>Pineapple</v>
          </cell>
          <cell r="CT1" t="str">
            <v>Pomegranate</v>
          </cell>
          <cell r="CU1" t="str">
            <v>Potato</v>
          </cell>
          <cell r="CV1" t="str">
            <v>Pueraria phaseoloides</v>
          </cell>
          <cell r="CW1" t="str">
            <v>Pumpkin</v>
          </cell>
          <cell r="CX1" t="str">
            <v>Quinoa</v>
          </cell>
          <cell r="CY1" t="str">
            <v>Rabbit</v>
          </cell>
          <cell r="CZ1" t="str">
            <v>Rape</v>
          </cell>
          <cell r="DA1" t="str">
            <v>Rice</v>
          </cell>
          <cell r="DB1" t="str">
            <v>Rice Bean</v>
          </cell>
          <cell r="DC1" t="str">
            <v>Rubber</v>
          </cell>
          <cell r="DD1" t="str">
            <v>Ruzi grass</v>
          </cell>
          <cell r="DE1" t="str">
            <v>Rye</v>
          </cell>
          <cell r="DF1" t="str">
            <v>Ryegrass Sp.</v>
          </cell>
          <cell r="DG1" t="str">
            <v>Safflower</v>
          </cell>
          <cell r="DH1" t="str">
            <v>Sesame</v>
          </cell>
          <cell r="DI1" t="str">
            <v>Sheep</v>
          </cell>
          <cell r="DJ1" t="str">
            <v>Snail</v>
          </cell>
          <cell r="DK1" t="str">
            <v>Sorghum</v>
          </cell>
          <cell r="DL1" t="str">
            <v>Soybean</v>
          </cell>
          <cell r="DM1" t="str">
            <v>Spinach</v>
          </cell>
          <cell r="DN1" t="str">
            <v>Spring Onion</v>
          </cell>
          <cell r="DO1" t="str">
            <v>Squash</v>
          </cell>
          <cell r="DP1" t="str">
            <v>Strawberry</v>
          </cell>
          <cell r="DQ1" t="str">
            <v>Stylosanthes guianensis</v>
          </cell>
          <cell r="DR1" t="str">
            <v>Subterranean Clover</v>
          </cell>
          <cell r="DS1" t="str">
            <v>Sugar Beet</v>
          </cell>
          <cell r="DT1" t="str">
            <v>Sugar Cane</v>
          </cell>
          <cell r="DU1" t="str">
            <v>Sunflower</v>
          </cell>
          <cell r="DV1" t="str">
            <v>Sunn Hemp</v>
          </cell>
          <cell r="DW1" t="str">
            <v>Sweet Potato</v>
          </cell>
          <cell r="DX1" t="str">
            <v>Swiss Chard</v>
          </cell>
          <cell r="DY1" t="str">
            <v>Tall Fescue</v>
          </cell>
          <cell r="DZ1" t="str">
            <v>Taro</v>
          </cell>
          <cell r="EA1" t="str">
            <v>Tea</v>
          </cell>
          <cell r="EB1" t="str">
            <v>Teff</v>
          </cell>
          <cell r="EC1" t="str">
            <v>Tomato</v>
          </cell>
          <cell r="ED1" t="str">
            <v>Triticale</v>
          </cell>
          <cell r="EE1" t="str">
            <v>Turkey</v>
          </cell>
          <cell r="EF1" t="str">
            <v>Turmeric</v>
          </cell>
          <cell r="EG1" t="str">
            <v>Turnip</v>
          </cell>
          <cell r="EH1" t="str">
            <v>Velvet Bean</v>
          </cell>
          <cell r="EI1" t="str">
            <v>Watermelon</v>
          </cell>
          <cell r="EJ1" t="str">
            <v>Wheat</v>
          </cell>
          <cell r="EK1" t="str">
            <v>Yam</v>
          </cell>
          <cell r="EL1" t="str">
            <v>Zucchini</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tro"/>
      <sheetName val="Pub"/>
      <sheetName val="Pub.Out"/>
      <sheetName val="Site"/>
      <sheetName val="Site.Out"/>
      <sheetName val="Site.L"/>
      <sheetName val="Site.Soils"/>
      <sheetName val="Soils.Out"/>
      <sheetName val="Lists"/>
      <sheetName val="Products"/>
      <sheetName val="Times"/>
      <sheetName val="ExpD.Out"/>
      <sheetName val="ExpD"/>
      <sheetName val="Prod.Out"/>
      <sheetName val="EUs"/>
      <sheetName val="Var.Out"/>
      <sheetName val="Var.L"/>
      <sheetName val="Prac.L"/>
      <sheetName val="Plant"/>
      <sheetName val="AgFor"/>
      <sheetName val="AF.Out"/>
      <sheetName val="Tree.L"/>
      <sheetName val="Tillage"/>
      <sheetName val="Till.Out"/>
      <sheetName val="Plant.Out"/>
      <sheetName val="Fert.Out"/>
      <sheetName val="Fert.L"/>
      <sheetName val="Fertilizer"/>
      <sheetName val="Chems"/>
      <sheetName val="Chems.Out"/>
      <sheetName val="Chem.L"/>
      <sheetName val="Residues"/>
      <sheetName val="Residues.Out"/>
      <sheetName val="Residue.L"/>
      <sheetName val="Weed"/>
      <sheetName val="Weed.Out"/>
      <sheetName val="Harvest"/>
      <sheetName val="Harvest.Out"/>
      <sheetName val="pH"/>
      <sheetName val="pH.Out"/>
      <sheetName val="Other.Out"/>
      <sheetName val="Variety"/>
      <sheetName val="WaterHarvest"/>
      <sheetName val="WH.Out"/>
      <sheetName val="Irrigat"/>
      <sheetName val="Irrig.Out"/>
      <sheetName val="Animals.Out"/>
      <sheetName val="Other"/>
      <sheetName val="Animals"/>
      <sheetName val="PH.Energy"/>
      <sheetName val="PH.E.Out"/>
      <sheetName val="Make.Trt"/>
      <sheetName val="MT.Out"/>
      <sheetName val="Intercrop"/>
      <sheetName val="Int.Out"/>
      <sheetName val="Rotation"/>
      <sheetName val="Rot.Out"/>
      <sheetName val="Outcomes"/>
      <sheetName val="Out.Out"/>
      <sheetName val="Outcodes"/>
      <sheetName val="ED.LookUps"/>
      <sheetName val="Data.Out"/>
      <sheetName val="Bib.L"/>
      <sheetName val="EnterData"/>
      <sheetName val="Evaluate"/>
      <sheetName val="T.List"/>
      <sheetName val="Base.Out"/>
      <sheetName val="Sheet2"/>
      <sheetName val="Sheet3"/>
      <sheetName val="Out.L"/>
      <sheetName val="V1.14.3 - Majestic Hipp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Set>
  </externalBook>
</externalLink>
</file>

<file path=xl/persons/person.xml><?xml version="1.0" encoding="utf-8"?>
<personList xmlns="http://schemas.microsoft.com/office/spreadsheetml/2018/threadedcomments" xmlns:x="http://schemas.openxmlformats.org/spreadsheetml/2006/main">
  <person displayName="Sanchez, Andrea Cecilia (Alliance Bioversity-CIAT)" id="{C40DBF99-73A9-49FC-BB57-336111A2E5F3}"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9DA8E5E-EA60-42D7-9917-355E36134E10}" name="Table1" displayName="Table1" ref="A1:PH1072" totalsRowShown="0" headerRowDxfId="1100">
  <autoFilter ref="A1:PH1072" xr:uid="{0217B3CA-C858-4B6B-BFA0-ECFB79516A94}"/>
  <tableColumns count="424">
    <tableColumn id="166" xr3:uid="{C8A23CA5-2F91-4A1F-AB24-6ABD039E8CB8}" name="ss_id"/>
    <tableColumn id="1" xr3:uid="{5390AEBA-E3D4-4949-9289-6C8261D10889}" name="study_id"/>
    <tableColumn id="411" xr3:uid="{9DDC3AC8-DB78-40B5-A3A4-A056715EE8EB}" name="country01"/>
    <tableColumn id="51" xr3:uid="{15414CFF-6F88-4104-BE61-F6BB44168E39}" name="site_type01"/>
    <tableColumn id="3" xr3:uid="{215F2DD3-B5CE-46E5-94EF-81DBD53F4AB8}" name="site_id01"/>
    <tableColumn id="4" xr3:uid="{AA45F56E-B660-4ACD-AEED-2B7C19642D75}" name="site_admin01"/>
    <tableColumn id="5" xr3:uid="{615F1628-56B0-48C7-A350-87D32A67D73C}" name="site_agg01"/>
    <tableColumn id="6" xr3:uid="{FDB16181-30A9-4271-959B-953B8F8E47B1}" name="site_latlong_type01"/>
    <tableColumn id="234" xr3:uid="{96E3D02C-F4F9-4EDB-B594-D1AD78139FCC}" name="site_latitude01"/>
    <tableColumn id="7" xr3:uid="{70588788-95A8-4C9B-9E1D-C6B0F7BF700E}" name="site_longitude01"/>
    <tableColumn id="8" xr3:uid="{4AB6FAF6-6620-473E-8891-B87DB482B57D}" name="site_buffer01"/>
    <tableColumn id="9" xr3:uid="{022E02F0-05AC-4DEC-8BB8-67B6B130BCCE}" name="country02"/>
    <tableColumn id="10" xr3:uid="{973E52B3-8F1A-4353-8923-26BB9169804C}" name="site_type02"/>
    <tableColumn id="150" xr3:uid="{C88CB27B-71BB-4443-A91E-7135D8CCA3BA}" name="site_id02"/>
    <tableColumn id="151" xr3:uid="{98E179D2-4087-4126-B687-27BA90C2C9CE}" name="site_admin02"/>
    <tableColumn id="152" xr3:uid="{5F680741-072E-430A-9CD7-5A1757F8620D}" name="site_agg02"/>
    <tableColumn id="153" xr3:uid="{703012A0-8AE5-440C-8D17-F2F980643EB1}" name="site_latlong_type02"/>
    <tableColumn id="154" xr3:uid="{243A6FF9-5E70-4383-B1D7-C933D7CEA59E}" name="site_latitude02"/>
    <tableColumn id="155" xr3:uid="{E640138C-3D59-40A8-AB2E-71B54454A979}" name="site_longitude02"/>
    <tableColumn id="156" xr3:uid="{16117F78-42EC-4C77-A65A-BC1F0431EDEA}" name="site_buffer02"/>
    <tableColumn id="157" xr3:uid="{6561E364-D03B-4709-AB65-6778FADE5BBA}" name="country03"/>
    <tableColumn id="158" xr3:uid="{533D097C-0941-45C2-84D6-22304B689F0B}" name="site_type03"/>
    <tableColumn id="314" xr3:uid="{908921D1-44D4-40D2-9BC3-97177F1C2684}" name="site_id03"/>
    <tableColumn id="315" xr3:uid="{B847205C-52A7-46F7-9FAD-911AA7BDD3A6}" name="site_admin03"/>
    <tableColumn id="316" xr3:uid="{B17027F9-14F6-4569-8DEC-51FD17AE4B0E}" name="site_agg03"/>
    <tableColumn id="317" xr3:uid="{D7B96E3C-E08E-431B-9F8E-0C29342C8F14}" name="site_latlong_type03"/>
    <tableColumn id="318" xr3:uid="{2822A039-DF86-47F3-954E-FFBF046F4FC5}" name="site_latitude03"/>
    <tableColumn id="319" xr3:uid="{B795B3C4-E0FA-4078-A8FD-E07CFF9AC7DC}" name="site_longitude03"/>
    <tableColumn id="320" xr3:uid="{E9268791-2B87-4953-93EA-6908C84149EE}" name="site_buffer03"/>
    <tableColumn id="321" xr3:uid="{51EE724C-1269-4867-A38A-E014F0D41DA5}" name="country04"/>
    <tableColumn id="322" xr3:uid="{3BCF742A-6B1B-4E65-A575-9449E82E208E}" name="site_type04"/>
    <tableColumn id="323" xr3:uid="{9A882D00-D100-4EBF-838D-D1D7421448A5}" name="site_id04"/>
    <tableColumn id="324" xr3:uid="{C747739E-D4A5-4177-9589-A72072C0B6F4}" name="site_admin04"/>
    <tableColumn id="325" xr3:uid="{4A83A85B-3B0A-4342-B79A-5A9EB9508E7E}" name="site_agg04"/>
    <tableColumn id="326" xr3:uid="{848513F5-7B33-4F96-AC3F-CEC2409B1829}" name="site_latlong_type04"/>
    <tableColumn id="327" xr3:uid="{FBD48422-8A75-41EE-BBF9-0AEF6B82F3FF}" name="site_latitude04"/>
    <tableColumn id="328" xr3:uid="{F91856A8-B0CD-485B-8F93-3E4C9C9046C6}" name="site_longitude04"/>
    <tableColumn id="329" xr3:uid="{5468A62D-4517-4776-9876-FFA1F8775531}" name="site_buffer04"/>
    <tableColumn id="330" xr3:uid="{5CF2BD09-A541-46FA-9618-D70C6B5A5898}" name="country05"/>
    <tableColumn id="331" xr3:uid="{96FFB049-3638-4345-9EB4-BF22FECB3659}" name="site_type05"/>
    <tableColumn id="332" xr3:uid="{A3C62F05-54E8-4191-A48F-EE139104D330}" name="site_id05"/>
    <tableColumn id="333" xr3:uid="{C49FBADF-31E9-4193-8BAC-ADEC43FAE967}" name="site_admin05"/>
    <tableColumn id="334" xr3:uid="{405D636C-2903-4475-AB5A-76AC4729D8D6}" name="site_agg05"/>
    <tableColumn id="335" xr3:uid="{21EDFE88-E090-47B4-8FF9-544C81D21F67}" name="site_latlong_type05"/>
    <tableColumn id="336" xr3:uid="{2421032F-AAED-4789-A69A-E56C9890790E}" name="site_latitude05"/>
    <tableColumn id="337" xr3:uid="{E34DC352-4FF7-4DDC-9530-F8FADB66E408}" name="site_longitude05"/>
    <tableColumn id="338" xr3:uid="{E7461BFD-F0EB-443A-BEF2-9A74A7313DFC}" name="site_buffer05"/>
    <tableColumn id="339" xr3:uid="{682F3FD6-DE8E-4864-8AA3-832E18B86A81}" name="exp_design"/>
    <tableColumn id="340" xr3:uid="{714A9EA6-7099-4B59-A73E-C1E5DE034DCC}" name="exp_plot_size"/>
    <tableColumn id="11" xr3:uid="{52149835-4FC4-4B99-BF1A-D3B67B8434D7}" name="exp_field_size"/>
    <tableColumn id="255" xr3:uid="{E2495AA5-FF51-46B5-B81E-6C0E1A864DB8}" name="exp_duration"/>
    <tableColumn id="12" xr3:uid="{D04C69F6-450E-408A-BFBB-F569D810BF62}" name="time_raw"/>
    <tableColumn id="274" xr3:uid="{59D3F969-C59F-482E-B40E-62FCF7E9CD88}" name="time_year_start"/>
    <tableColumn id="241" xr3:uid="{0679227E-4B1E-45B9-8B9C-2037B9FA2FA6}" name="time_year_end"/>
    <tableColumn id="238" xr3:uid="{C7B8319E-5CF7-45EE-AF51-AB3AE7AF9876}" name="time_season"/>
    <tableColumn id="240" xr3:uid="{B8406A8A-4191-47A8-BFE7-6903A0D99F37}" name="subpractice_description_raw"/>
    <tableColumn id="236" xr3:uid="{5AF666CD-31C4-45EC-9797-672E461A2671}" name="practice_id"/>
    <tableColumn id="237" xr3:uid="{4B3609F5-4392-4D7C-B954-1357D9E6E5B1}" name="system_type"/>
    <tableColumn id="253" xr3:uid="{AD7A952E-F8A5-4AF2-AAA9-AE63AFAD99D5}" name="crop01"/>
    <tableColumn id="13" xr3:uid="{2AF7E8B5-4BF9-4C5E-87D9-FA3D60E1E4C8}" name="crop_variety01"/>
    <tableColumn id="14" xr3:uid="{7CB0140C-1190-4917-A800-AF6CE3FC6D37}" name="crop_density_unit01"/>
    <tableColumn id="15" xr3:uid="{935D12D9-6223-44A0-9080-D10344274400}" name="crop_density01"/>
    <tableColumn id="16" xr3:uid="{B4AAE87D-112A-4406-9515-E1D7619AC366}" name="crop_arrangement01"/>
    <tableColumn id="17" xr3:uid="{6E3E59CD-844D-4014-89D0-9C864BACC6F6}" name="crop02"/>
    <tableColumn id="18" xr3:uid="{7A28EB50-C486-4A75-A671-CDA46011EBEB}" name="crop_variety02"/>
    <tableColumn id="19" xr3:uid="{25025CF8-777C-4C99-A5BC-2C2100ABB1A0}" name="crop_density_unit02"/>
    <tableColumn id="20" xr3:uid="{A711CC0F-1173-4B06-97D4-E56A2C28C8AE}" name="crop_density02"/>
    <tableColumn id="21" xr3:uid="{67C5DCF2-6858-4ED9-8516-5B6013421571}" name="crop_arrangement02"/>
    <tableColumn id="22" xr3:uid="{C26CB542-5C00-411A-B2F7-97B2C742C2CE}" name="crop03"/>
    <tableColumn id="23" xr3:uid="{671A5CAC-BF6C-40A1-A074-115B14563590}" name="crop_variety03"/>
    <tableColumn id="24" xr3:uid="{B0BF4B85-7F1D-417B-BB01-ACBDD675B3F0}" name="crop_density_unit03"/>
    <tableColumn id="25" xr3:uid="{699B540B-6BF5-494A-9373-5B65409029B3}" name="crop_density03"/>
    <tableColumn id="26" xr3:uid="{C3EB7F52-1FAD-4B7B-9734-4FA99411C374}" name="crop_arrangement03"/>
    <tableColumn id="27" xr3:uid="{FEEAB8A8-C353-47C7-984E-04EE0574FF42}" name="crop04"/>
    <tableColumn id="28" xr3:uid="{B507E60B-44D0-45F4-90A3-54A8E0CE9DE6}" name="crop_variety04"/>
    <tableColumn id="50" xr3:uid="{33D8CFBC-C0BE-4692-9A1C-8830989ADC3B}" name="crop_density_unit04"/>
    <tableColumn id="279" xr3:uid="{C39E630F-770A-458F-B400-3FB457EA7FC3}" name="crop_density04"/>
    <tableColumn id="280" xr3:uid="{C06DC4E6-0445-4898-9E95-46850E34A3CB}" name="crop_arrangement04"/>
    <tableColumn id="281" xr3:uid="{E8C71341-4216-442C-B1C9-872D5EB7540A}" name="crop05"/>
    <tableColumn id="282" xr3:uid="{B076ECCF-4B85-42EA-B6C6-F5CB4511EF41}" name="crop_variety05"/>
    <tableColumn id="223" xr3:uid="{972DF35E-839A-477F-955B-A9A557864902}" name="crop_density_unit05"/>
    <tableColumn id="224" xr3:uid="{16859438-BDE1-4442-A8CB-1113C94A0126}" name="crop_density05"/>
    <tableColumn id="225" xr3:uid="{D1ECCD8D-5BA2-4ED9-A434-BC513AC5B6F1}" name="crop_arrangement05"/>
    <tableColumn id="226" xr3:uid="{9976316A-EFEB-46CD-9BE2-38ABF40E42E1}" name="crop06"/>
    <tableColumn id="227" xr3:uid="{1ADE19A9-BAB6-44AD-B2D3-43AF2833837C}" name="crop_variety06"/>
    <tableColumn id="228" xr3:uid="{8CD970C5-CB64-49EE-B99F-220B4761B99A}" name="crop_density_unit06"/>
    <tableColumn id="229" xr3:uid="{7A0416A7-323D-41E8-8169-05D6FBCC12D7}" name="crop_density06"/>
    <tableColumn id="230" xr3:uid="{06B712C1-4CB1-4E4C-8E3E-0AFAE912590C}" name="crop_arrangement06"/>
    <tableColumn id="231" xr3:uid="{B1907580-1019-42E0-AED5-3C2F3F43A401}" name="crop07"/>
    <tableColumn id="232" xr3:uid="{AA0FF5DC-2D4C-4D95-B837-D51D8919058B}" name="crop_variety07"/>
    <tableColumn id="233" xr3:uid="{F93DB958-EAF2-438C-97E5-E13F748A8380}" name="crop_density_unit07"/>
    <tableColumn id="235" xr3:uid="{D6F491F2-2EF3-4629-BE70-A162B60F231B}" name="crop_density07"/>
    <tableColumn id="246" xr3:uid="{37841259-2846-48E6-8DA7-11DE27E5A36F}" name="crop_arrangement07"/>
    <tableColumn id="247" xr3:uid="{E473DD4A-A39E-4887-BB2B-FC42E38F5D2E}" name="crop08"/>
    <tableColumn id="248" xr3:uid="{9B5206FB-E899-4164-9569-DC49D729AFFE}" name="crop_variety08"/>
    <tableColumn id="249" xr3:uid="{5ADDFE33-6BA4-4249-A037-BA178F859A32}" name="crop_density_unit08"/>
    <tableColumn id="251" xr3:uid="{42DA5040-E0B6-49F6-9AE0-E4BBC7422325}" name="crop_density08"/>
    <tableColumn id="254" xr3:uid="{0B036375-1817-46B1-9E4F-FD5326F0CB4B}" name="crop_arrangement08"/>
    <tableColumn id="260" xr3:uid="{31E634A5-804D-4A5E-9561-963D9CFCE6D5}" name="crop09"/>
    <tableColumn id="262" xr3:uid="{277B6443-EC0B-43D2-8344-1B6F02544DD8}" name="crop_variety09"/>
    <tableColumn id="271" xr3:uid="{40A372F6-7933-4C09-9D5B-1FB0AD702693}" name="crop_density_unit09"/>
    <tableColumn id="272" xr3:uid="{5DDAA75B-5BF6-4DC6-B189-74C9ED8A717B}" name="crop_density09"/>
    <tableColumn id="273" xr3:uid="{B1047361-086B-42A3-B425-2AF185013C7F}" name="crop_arrangement09"/>
    <tableColumn id="283" xr3:uid="{AAC0ADC7-E27C-4562-8DA9-ED8C87E51DA7}" name="crop10"/>
    <tableColumn id="278" xr3:uid="{B33BAA51-A88F-420A-9365-ABEB1B6E1663}" name="crop_variety10"/>
    <tableColumn id="284" xr3:uid="{34A92F84-EE92-4010-9493-7C75A9D28F6E}" name="crop_density_unit10"/>
    <tableColumn id="285" xr3:uid="{830232AB-B839-4F35-AB9E-3D559B0F8078}" name="crop_density10"/>
    <tableColumn id="286" xr3:uid="{C6A55642-43D6-4FD0-AF66-DF78C1429C98}" name="crop_arrangement10"/>
    <tableColumn id="287" xr3:uid="{2BFC0D97-2FD4-473F-8D14-3D73D759D49D}" name="crop11"/>
    <tableColumn id="288" xr3:uid="{508538AB-B141-4138-AEB0-47F1400E7E37}" name="crop_variety11"/>
    <tableColumn id="289" xr3:uid="{6629875A-76A5-45C9-A156-760A58EA78C6}" name="crop_density_unit11"/>
    <tableColumn id="290" xr3:uid="{5CC86C03-707D-49CC-AF3E-B4533FCB8F2D}" name="crop_density11"/>
    <tableColumn id="291" xr3:uid="{A5B6E3C5-82C9-45D0-82E6-0749492E4453}" name="crop_arrangement11"/>
    <tableColumn id="292" xr3:uid="{02231E45-E4C5-44D0-A129-D9C3009FD40D}" name="crop12"/>
    <tableColumn id="293" xr3:uid="{7C902E07-FB29-4DC9-839F-35623EE1A472}" name="crop_variety12"/>
    <tableColumn id="294" xr3:uid="{955E072A-60E8-46B2-998E-76DED63F95D0}" name="crop_density_unit12"/>
    <tableColumn id="295" xr3:uid="{B62A6BAC-9FB4-4985-AF84-2537D7D1D288}" name="crop_density12"/>
    <tableColumn id="296" xr3:uid="{1AB1E4D8-DBEA-424D-88C7-CC8FA4D33A89}" name="crop_arrangement12"/>
    <tableColumn id="297" xr3:uid="{FAAC874E-BC41-4397-A214-70327EED879D}" name="crop13"/>
    <tableColumn id="298" xr3:uid="{C215C47C-42C5-45EB-B6DF-A75BA36E9077}" name="crop_variety13"/>
    <tableColumn id="299" xr3:uid="{9C7D8725-2C10-4D8E-892F-5481705B99BE}" name="crop_density_unit13"/>
    <tableColumn id="300" xr3:uid="{81A5BC6D-2F8F-45C9-9DD4-F42462B05C3B}" name="crop_density13"/>
    <tableColumn id="301" xr3:uid="{24E4998D-A511-4F1D-B93B-AE33B01E355C}" name="crop_arrangement13"/>
    <tableColumn id="302" xr3:uid="{2941AF45-011D-4CF2-BAB7-2A822216F238}" name="crop14"/>
    <tableColumn id="303" xr3:uid="{A91F43E9-2787-49A9-A4ED-E3924563BBD7}" name="crop_variety14"/>
    <tableColumn id="313" xr3:uid="{2E4D66DA-04AE-4301-93B3-97F3D361F0CB}" name="crop_density_unit14"/>
    <tableColumn id="304" xr3:uid="{9F4C2F90-D188-4802-89B7-2B6689DF04F4}" name="crop_density14"/>
    <tableColumn id="305" xr3:uid="{404C7DDA-0E54-494B-9E47-8363F2469676}" name="crop_arrangement14"/>
    <tableColumn id="306" xr3:uid="{D6267014-5916-440E-83F3-6E9C404E69D1}" name="crop15"/>
    <tableColumn id="307" xr3:uid="{1844FBC4-747F-45B9-BDCB-E3910E9A4CCF}" name="crop_variety15"/>
    <tableColumn id="308" xr3:uid="{CF240B26-B935-4BAB-99DF-A06369B73AE6}" name="crop_density_unit15"/>
    <tableColumn id="309" xr3:uid="{7DB275D6-2FA3-496A-9460-D644F545DC7E}" name="crop_density15"/>
    <tableColumn id="310" xr3:uid="{55E44F80-97F7-4581-A835-E24140D2B51E}" name="crop_arrangement15"/>
    <tableColumn id="311" xr3:uid="{64A8C3A3-B371-40EA-BC77-AD170730D710}" name="tree01"/>
    <tableColumn id="312" xr3:uid="{41082E9B-03AD-4CA4-8C18-5D4F6D027575}" name="tree_density_unit01"/>
    <tableColumn id="268" xr3:uid="{360CFBC2-6F4C-4E57-8754-FBDE7ED9CE85}" name="tree_density01"/>
    <tableColumn id="269" xr3:uid="{259B8EA4-64A0-4113-A6CD-64849CA730A3}" name="tree_arrangement01"/>
    <tableColumn id="270" xr3:uid="{481C50B0-3680-4BC5-8914-BD84510E0E40}" name="tree02"/>
    <tableColumn id="162" xr3:uid="{67C3B592-D290-4165-88AF-79A047956B0B}" name="tree_density_unit02" dataDxfId="1099"/>
    <tableColumn id="159" xr3:uid="{0321910E-E48E-4AAC-9CD3-6A77D4A10F8C}" name="tree_density02" dataDxfId="1098"/>
    <tableColumn id="160" xr3:uid="{FF1A0174-7C22-450F-A789-AAAADE9A74A4}" name="tree_arrangement02" dataDxfId="1097"/>
    <tableColumn id="161" xr3:uid="{C0EC0A3F-C938-4443-BF86-FC9B4244DB01}" name="tree03" dataDxfId="1096"/>
    <tableColumn id="163" xr3:uid="{6DF4F6FF-1D7C-4FA1-99C9-F7CF69A1BBB3}" name="tree_density_unit03" dataDxfId="1095"/>
    <tableColumn id="341" xr3:uid="{ED7654E3-DD55-4A2A-A187-A133397CCAE5}" name="tree_density03" dataDxfId="1094"/>
    <tableColumn id="342" xr3:uid="{7DB88D77-C92D-413D-A77C-69EFE6350AA2}" name="tree_arrangement03" dataDxfId="1093"/>
    <tableColumn id="343" xr3:uid="{FD3367C7-4C84-4EF8-B6AC-F88FD444AD69}" name="tree04" dataDxfId="1092"/>
    <tableColumn id="344" xr3:uid="{07FAD3A1-9249-4B69-B1D3-E19AF8A7E99C}" name="tree_density_unit04" dataDxfId="1091"/>
    <tableColumn id="345" xr3:uid="{45CB8A60-5DAE-4F74-B5E9-78D78DBE1535}" name="tree_density04" dataDxfId="1090"/>
    <tableColumn id="346" xr3:uid="{D81CA74A-71AC-4AB4-899F-4462ABE950F0}" name="tree_arrangement04" dataDxfId="1089"/>
    <tableColumn id="347" xr3:uid="{F20290B1-E7A2-4E30-867E-7AFDDF3EE536}" name="tree05" dataDxfId="1088"/>
    <tableColumn id="348" xr3:uid="{45F9A1D4-3408-437A-8152-4758219BE659}" name="tree_density_unit05" dataDxfId="1087"/>
    <tableColumn id="349" xr3:uid="{AEB83B46-8A38-471A-A132-BCC8FAA81B69}" name="tree_density05" dataDxfId="1086"/>
    <tableColumn id="350" xr3:uid="{C7EEB6CC-AB1F-4AAD-8BA3-8F4FAC1FF4B0}" name="tree_arrangement05" dataDxfId="1085"/>
    <tableColumn id="351" xr3:uid="{D5936058-8DBB-4182-A7C6-E5939A10946C}" name="tree06" dataDxfId="1084"/>
    <tableColumn id="352" xr3:uid="{DD6F006E-DFAC-4BB0-AAF5-91435C4222F4}" name="tree_density_unit06" dataDxfId="1083"/>
    <tableColumn id="353" xr3:uid="{651AF64A-167F-4AD1-BBFF-FCA154A69675}" name="tree_density06" dataDxfId="1082"/>
    <tableColumn id="354" xr3:uid="{ED291335-AEAF-455F-82FB-DA21DE128416}" name="tree_arrangement06" dataDxfId="1081"/>
    <tableColumn id="355" xr3:uid="{1989D979-2636-4321-89A9-0DB56912062B}" name="tree07" dataDxfId="1080"/>
    <tableColumn id="356" xr3:uid="{91D54373-2686-4101-8CF7-E35E2E7915CE}" name="tree_density_unit07" dataDxfId="1079"/>
    <tableColumn id="357" xr3:uid="{03425170-6807-4CFD-B921-98522BE53439}" name="tree_density07" dataDxfId="1078"/>
    <tableColumn id="358" xr3:uid="{714D6E92-A818-4B45-9948-A652D8B7AC8B}" name="tree_arrangement07" dataDxfId="1077"/>
    <tableColumn id="359" xr3:uid="{9B3E0F7F-292C-46BB-B463-9AD791D7E3D3}" name="tree08" dataDxfId="1076"/>
    <tableColumn id="360" xr3:uid="{145EF881-B18B-43E4-842E-6D21CCB737E6}" name="tree_density_unit08" dataDxfId="1075"/>
    <tableColumn id="361" xr3:uid="{A264EF10-F58B-45FB-81AE-51764C6FE113}" name="tree_density08" dataDxfId="1074"/>
    <tableColumn id="362" xr3:uid="{D89DAAD3-E3BD-4598-810E-356038236E61}" name="tree_arrangement08" dataDxfId="1073"/>
    <tableColumn id="363" xr3:uid="{6B7D8A8E-467F-432D-B36B-D99C979F05C8}" name="tree09" dataDxfId="1072"/>
    <tableColumn id="364" xr3:uid="{E7AED1D8-91A7-4EE2-BCE7-300596E85AD0}" name="tree_density_unit09" dataDxfId="1071"/>
    <tableColumn id="365" xr3:uid="{620A20FA-B777-4166-92B7-36DCAA860B9C}" name="tree_density09" dataDxfId="1070"/>
    <tableColumn id="366" xr3:uid="{2EE71C52-8756-4FD2-8FF4-61EDCEC1A26F}" name="tree_arrangement09" dataDxfId="1069"/>
    <tableColumn id="367" xr3:uid="{EBB65759-792A-42DB-95C4-69473B9AD5CE}" name="tree10" dataDxfId="1068"/>
    <tableColumn id="368" xr3:uid="{B00B3FC5-EDC0-4CAA-90EE-0BE717BBECAE}" name="tree_density_unit10" dataDxfId="1067"/>
    <tableColumn id="369" xr3:uid="{BB1859C2-D384-4ACD-8F4C-B8F7124F1F7A}" name="tree_density10" dataDxfId="1066"/>
    <tableColumn id="370" xr3:uid="{A4CB551B-DD37-4969-ADAA-199B947F76A3}" name="tree_arrangement10" dataDxfId="1065"/>
    <tableColumn id="371" xr3:uid="{E6F09058-689E-4A99-B062-B417476C1B92}" name="tree11" dataDxfId="1064"/>
    <tableColumn id="372" xr3:uid="{1D1C89EF-ED33-4804-A325-DFE3028A7810}" name="tree_density_unit11" dataDxfId="1063"/>
    <tableColumn id="373" xr3:uid="{D86F4952-CF9E-4268-A6F5-0814AEE3AAE0}" name="tree_density11" dataDxfId="1062"/>
    <tableColumn id="374" xr3:uid="{3BDEE12F-0A1B-44DC-9B2E-069D92A0BBA3}" name="tree_arrangement11" dataDxfId="1061"/>
    <tableColumn id="375" xr3:uid="{55C93E3B-146C-4619-9B8F-18BC4BAC778B}" name="tree12" dataDxfId="1060"/>
    <tableColumn id="376" xr3:uid="{F9E3EDC1-C841-40FB-ABB3-C33808C60667}" name="tree_density_unit12" dataDxfId="1059"/>
    <tableColumn id="377" xr3:uid="{EED6ADB0-1D9A-45A3-B42D-94C98DB627F9}" name="tree_density12" dataDxfId="1058"/>
    <tableColumn id="378" xr3:uid="{014669D2-0F5E-4968-804D-AF52F873233A}" name="tree_arrangement12" dataDxfId="1057"/>
    <tableColumn id="379" xr3:uid="{BDE1287B-FCA6-4829-A189-E958764713F2}" name="tree13" dataDxfId="1056"/>
    <tableColumn id="380" xr3:uid="{51F57FA1-94C8-4C1F-99BD-FF62A25DC8B0}" name="tree_density_unit13" dataDxfId="1055"/>
    <tableColumn id="381" xr3:uid="{2FBAE601-C061-49CD-9F9E-82A0CA361353}" name="tree_density13" dataDxfId="1054"/>
    <tableColumn id="382" xr3:uid="{DF5D14C1-9069-426E-9915-51041D65AD4B}" name="tree_arrangement13" dataDxfId="1053"/>
    <tableColumn id="383" xr3:uid="{FD6D77A7-0937-405C-BC0A-A1BC4F4817E0}" name="tree14" dataDxfId="1052"/>
    <tableColumn id="384" xr3:uid="{7B2D3EB2-A606-47D8-A0AF-FBF62EEC9C21}" name="tree_density_unit14" dataDxfId="1051"/>
    <tableColumn id="385" xr3:uid="{A3825A04-630C-4E36-AEB7-755E8FFFBC86}" name="tree_density14" dataDxfId="1050"/>
    <tableColumn id="386" xr3:uid="{25BF84F6-72CF-420C-97B6-351007017D84}" name="tree_arrangement14" dataDxfId="1049"/>
    <tableColumn id="387" xr3:uid="{96E0AB0E-02ED-4446-97DE-795691A9EECC}" name="tree15" dataDxfId="1048"/>
    <tableColumn id="388" xr3:uid="{79CE56B6-CD55-4F3F-AD58-F4CD20DACADE}" name="tree_density_unit15" dataDxfId="1047"/>
    <tableColumn id="389" xr3:uid="{F9AC5F0A-015B-4446-90CA-8DD1840DF369}" name="tree_density15" dataDxfId="1046"/>
    <tableColumn id="390" xr3:uid="{25F60004-3BB4-457C-AC05-A79003F9E188}" name="tree_arrangement15" dataDxfId="1045"/>
    <tableColumn id="391" xr3:uid="{519E05BC-962A-4377-928D-71714092EB4A}" name="animal01" dataDxfId="1044"/>
    <tableColumn id="392" xr3:uid="{9E8BC561-A91F-4C84-B359-360BA87F4A30}" name="animal_breed01" dataDxfId="1043"/>
    <tableColumn id="164" xr3:uid="{364EBEDB-5E6E-4AA9-ADD5-D96829D18E90}" name="animal_density_unit01" dataDxfId="1042"/>
    <tableColumn id="168" xr3:uid="{2868DC60-603A-4777-BCA2-674B94674D1E}" name="animal_density01" dataDxfId="1041"/>
    <tableColumn id="169" xr3:uid="{F5D34A2F-27A2-49E6-AA09-FDD3E3E83AAC}" name="animal_arrangement01" dataDxfId="1040"/>
    <tableColumn id="173" xr3:uid="{7FFBAC95-5C85-46BF-B668-E34C4320628F}" name="animal02" dataDxfId="1039"/>
    <tableColumn id="2" xr3:uid="{B1BD080D-7F71-4205-9D5F-106DC407ADB8}" name="animal_breed02" dataDxfId="1038"/>
    <tableColumn id="184" xr3:uid="{32F7EA72-5EEB-4FAD-873E-78FE758EA34E}" name="animal_density_unit02" dataDxfId="1037"/>
    <tableColumn id="185" xr3:uid="{17625798-2A82-4581-854E-A3A708139535}" name="animal_density02" dataDxfId="1036"/>
    <tableColumn id="186" xr3:uid="{7757E5BF-F4A5-4FC2-ACDC-35CF44B75242}" name="animal_arrangement02" dataDxfId="1035"/>
    <tableColumn id="187" xr3:uid="{0DE85C29-3B7C-4160-B792-90A50C4A55E5}" name="animal03" dataDxfId="1034"/>
    <tableColumn id="121" xr3:uid="{61070040-F53D-4A6F-AB55-A14F50122C5F}" name="animal_breed03" dataDxfId="1033"/>
    <tableColumn id="394" xr3:uid="{FFEC33EE-D05E-46F5-B3D2-C18839DF499D}" name="animal_density_unit03" dataDxfId="1032"/>
    <tableColumn id="395" xr3:uid="{25BB282A-44C6-49BD-B913-12F90A239D09}" name="animal_density03" dataDxfId="1031"/>
    <tableColumn id="396" xr3:uid="{E33A2945-7697-446B-8493-2A74237BDB4F}" name="animal_arrangement03" dataDxfId="1030"/>
    <tableColumn id="397" xr3:uid="{76F70A87-63B1-4FBA-8088-B66FA9B7CDA8}" name="animal04" dataDxfId="1029"/>
    <tableColumn id="398" xr3:uid="{28CEF047-4930-4A2F-9138-9F50FF75B498}" name="animal_breed04" dataDxfId="1028"/>
    <tableColumn id="399" xr3:uid="{36AC6548-7D81-4EC7-8190-FDAFA37D00F6}" name="animal_density_unit04" dataDxfId="1027"/>
    <tableColumn id="400" xr3:uid="{2700FAC8-5222-4F69-B8DE-2592AD0323B6}" name="animal_density04" dataDxfId="1026"/>
    <tableColumn id="401" xr3:uid="{7B987B24-4453-442D-970D-814014599D91}" name="animal_arrangement04" dataDxfId="1025"/>
    <tableColumn id="402" xr3:uid="{3C3F83F9-47E4-48C0-AA86-B4CCEE4A88BD}" name="animal05" dataDxfId="1024"/>
    <tableColumn id="403" xr3:uid="{730709D0-0BE3-4E3E-B097-CA27D253BCF4}" name="animal_breed05" dataDxfId="1023"/>
    <tableColumn id="404" xr3:uid="{58CE66C8-F76E-4386-85BC-2CA90F75C8EA}" name="animal_density_unit05" dataDxfId="1022"/>
    <tableColumn id="405" xr3:uid="{CCEBE2F8-41C7-486A-A3CD-FC5CA0877CE0}" name="animal_density05" dataDxfId="1021"/>
    <tableColumn id="406" xr3:uid="{74D87670-21DF-493F-8E34-FB31006D9ADD}" name="animal_arrangement05" dataDxfId="1020"/>
    <tableColumn id="407" xr3:uid="{74C09784-004B-4F46-B880-46A2895C8686}" name="tillage_subpractice_raw" dataDxfId="1019"/>
    <tableColumn id="408" xr3:uid="{5B2C3A21-663A-4167-B19A-376B3E94B378}" name="tillage_subpractice" dataDxfId="1018"/>
    <tableColumn id="29" xr3:uid="{0BA130AD-FAC3-423F-9650-DA46698D2F9A}" name="tillage_method"/>
    <tableColumn id="30" xr3:uid="{DA5D0DB0-11ED-44F3-80AC-AB94ADFC0B54}" name="tillage_method_other"/>
    <tableColumn id="31" xr3:uid="{E6746894-7C9C-46FA-9C3D-01D0639DE90B}" name="tillage_depth"/>
    <tableColumn id="32" xr3:uid="{1DCD5E76-D842-432C-85A4-8AA97D3AEADC}" name="tillage_frequency"/>
    <tableColumn id="33" xr3:uid="{A2C0EB1C-C72F-45E6-8529-8DADEDB9B02B}" name="planting_subpractice_raw"/>
    <tableColumn id="34" xr3:uid="{B4E64218-1E15-4EE0-AE0A-5362365AA016}" name="planting_subpractice"/>
    <tableColumn id="35" xr3:uid="{8A77E082-8D54-4E43-BE34-9FF6C3974D67}" name="planting_method"/>
    <tableColumn id="55" xr3:uid="{918B8654-0EEE-4FFB-A770-2AE344120D24}" name="planting_date_start"/>
    <tableColumn id="56" xr3:uid="{70912182-113F-4574-B6BD-A6DA39845709}" name="planting_date_end"/>
    <tableColumn id="57" xr3:uid="{03F40C69-2394-4CA0-AF80-347CBFEB5B36}" name="varietal_crop_subpractice_raw"/>
    <tableColumn id="44" xr3:uid="{A3322B1F-3181-4EB3-9B0A-8D3CED2C2240}" name="varietal_crop_name"/>
    <tableColumn id="58" xr3:uid="{194FDC9A-A037-482A-AA79-BE762495F5C0}" name="varietal_crop_variety"/>
    <tableColumn id="132" xr3:uid="{4B1D6D9B-8D62-4F13-A622-5418F6AA59A3}" name="varietal_crop_subpractice" dataDxfId="1017"/>
    <tableColumn id="36" xr3:uid="{57E4FEE0-C518-4EAD-A038-A01FF0948B47}" name="varietal_crop_type"/>
    <tableColumn id="37" xr3:uid="{0245BC23-8A2C-487C-8CBF-D1EC5332DB11}" name="varietal_crop_trait"/>
    <tableColumn id="38" xr3:uid="{2725F37A-53D6-49A9-9AB2-F25AAEC10B96}" name="varietal_animal_subpractice_raw"/>
    <tableColumn id="418" xr3:uid="{B5751C9B-206C-4544-AF05-57A8ACED6A48}" name="varietal_animal_name"/>
    <tableColumn id="175" xr3:uid="{70819A19-159C-49C5-98EE-B7F064247C73}" name="varietal_animal_breed"/>
    <tableColumn id="188" xr3:uid="{652048D8-79FB-4F4F-AA1F-C5291907714A}" name="varietal_animal_subpractice"/>
    <tableColumn id="189" xr3:uid="{0D6DEC79-4CC9-421E-9AF7-D8FD85D73438}" name="varietal_animal_type"/>
    <tableColumn id="52" xr3:uid="{89DC98D1-41E3-4AD1-BCBD-57047F8A4F32}" name="varietal_animal_trait"/>
    <tableColumn id="190" xr3:uid="{1F0CB4D1-928D-4766-A690-CB0B8F41CA77}" name="intercrop_subpractice_raw"/>
    <tableColumn id="191" xr3:uid="{864B955C-C153-4C23-B702-E85AE9867164}" name="intercrop_subpractice"/>
    <tableColumn id="176" xr3:uid="{41052F7D-FC40-4482-AA07-94278A8E82FF}" name="intercrop_design"/>
    <tableColumn id="60" xr3:uid="{1FFFEB54-C652-449F-B672-473F5A671A28}" name="intercrop_pattern"/>
    <tableColumn id="148" xr3:uid="{09EBEF5B-B8BA-4FB5-B332-872A556B5459}" name="intercrop_start_year"/>
    <tableColumn id="149" xr3:uid="{9E521CF7-B71B-4B30-9BC9-372F98AE44D6}" name="intercrop_start_season"/>
    <tableColumn id="177" xr3:uid="{B515C0F7-E8CD-4506-B28B-715B1A88FCD1}" name="intercrop_residues_fate"/>
    <tableColumn id="178" xr3:uid="{8DE5080C-05C6-4E57-993C-AEB319B35516}" name="crop_seq_subpractice_raw"/>
    <tableColumn id="179" xr3:uid="{2587485F-20AA-4701-9FF9-F02620806C3C}" name="crop_seq_subpractice01"/>
    <tableColumn id="53" xr3:uid="{962489B2-0D0C-4FE7-A2E7-84503BB38268}" name="crop_seq_subpractice02"/>
    <tableColumn id="180" xr3:uid="{2EF2C85E-B3F0-425C-BCDB-77A4566DA971}" name="crop_seq_subpractice03"/>
    <tableColumn id="245" xr3:uid="{5EF28E37-E073-47F2-8E91-873AAA0F8B4C}" name="crop_seq_start_year"/>
    <tableColumn id="244" xr3:uid="{9C428573-589A-43C9-A85E-031987393586}" name="crop_seq_start_season"/>
    <tableColumn id="181" xr3:uid="{5B15F8B5-F624-4F99-9537-E100103038B7}" name="crop_seq_residues_fate"/>
    <tableColumn id="182" xr3:uid="{A0B1F11C-7193-4C48-AF63-1D863A1F903C}" name="agrof_subpractice_raw"/>
    <tableColumn id="214" xr3:uid="{8FEA64FD-4BC2-4BB8-9758-EEA37CBFEA81}" name="agrof_spatial_arrangement_subpractice"/>
    <tableColumn id="183" xr3:uid="{CBCAAF3C-B671-4630-83AC-A5F43F908247}" name="agrof_components_subpractice"/>
    <tableColumn id="165" xr3:uid="{4F1581B8-F50D-48FC-9B84-222D15CB86A5}" name="agrof_shade_subpractice"/>
    <tableColumn id="193" xr3:uid="{BF776449-431F-478B-90B1-9E71C7DFA626}" name="agrof_subpractice_age_years"/>
    <tableColumn id="167" xr3:uid="{BE716256-F10E-4801-A1FF-CB5BB21F4F5A}" name="agrof_shade_mean"/>
    <tableColumn id="170" xr3:uid="{3DC7AADF-653E-4139-9B96-446919F45ADC}" name="agrof_shade_min"/>
    <tableColumn id="171" xr3:uid="{970FF208-DB31-4BD9-AC8F-563FCA36BF46}" name="agrof_shade_max"/>
    <tableColumn id="172" xr3:uid="{DB1C39DD-FEC9-4B1E-8C6D-079092E8F7DC}" name="agrof_canopy_height_mean"/>
    <tableColumn id="215" xr3:uid="{8F1FC4D0-7402-4BCC-AF7E-3AB0D81A06F4}" name="agrof_canopy_height_min"/>
    <tableColumn id="61" xr3:uid="{17F6940C-5B8A-4597-B081-2289CB197B2C}" name="agrof_canopy_height_max"/>
    <tableColumn id="62" xr3:uid="{9FD840E4-608D-4534-A05E-7DEAFFD4FEB4}" name="agrof_dhb_mean"/>
    <tableColumn id="63" xr3:uid="{60804766-C3FF-42B4-AFB0-1BFF9D978EF5}" name="agrof_dhb_min"/>
    <tableColumn id="64" xr3:uid="{06EDB666-993F-4730-8834-3C5689717158}" name="agrof_dhb_max"/>
    <tableColumn id="65" xr3:uid="{486A2D7F-C350-4272-80FB-DDEE9D4F858A}" name="fert_subpractice_raw"/>
    <tableColumn id="66" xr3:uid="{A6AD3744-C3DA-4EC3-8E92-07BC2DCE1823}" name="fert_subpractice"/>
    <tableColumn id="67" xr3:uid="{E3645A11-BE11-486B-BD3F-2F70D0F26BDF}" name="fert_inorganic_category"/>
    <tableColumn id="216" xr3:uid="{155FFC81-06B0-4C19-AC8C-615ADE48B401}" name="fert_inorganic_type"/>
    <tableColumn id="45" xr3:uid="{2B0B35CC-98DA-4DC3-8E42-CE38AA7109FA}" name="fert_inorganic_unit"/>
    <tableColumn id="46" xr3:uid="{50ABD9F3-86E0-4E0E-A9F8-72D7C1F1EB75}" name="fert_inorganic_amount"/>
    <tableColumn id="243" xr3:uid="{A75D39BC-4537-479B-B991-91D212F16613}" name="fert_inorganicNPK_unit" dataDxfId="1016"/>
    <tableColumn id="54" xr3:uid="{FBF459DB-705D-40B3-95F8-150CDDFAC44F}" name="fert_inorganicN"/>
    <tableColumn id="47" xr3:uid="{358291DB-EDF6-4D51-9C2C-7AE01B1236A3}" name="fert_inorganicP"/>
    <tableColumn id="75" xr3:uid="{BAE808A6-3D76-4377-AD99-1B8FE3B27DC3}" name="fert_inorganicK"/>
    <tableColumn id="74" xr3:uid="{26255856-965E-4C86-90B8-E51AE84710C8}" name="fert_inorganicP2O5"/>
    <tableColumn id="128" xr3:uid="{7ED4B943-424A-462A-BA79-9F31F2292200}" name="fert_inorganicK2O"/>
    <tableColumn id="73" xr3:uid="{82F404E2-6458-4407-92A8-DCA41FFE7B7B}" name="fert_organic_category"/>
    <tableColumn id="77" xr3:uid="{2CE9CA95-1CED-403F-8953-282857E9ECAF}" name="fert_organic_type"/>
    <tableColumn id="78" xr3:uid="{4E10768E-71CF-44A5-9023-22BA7A1CABB2}" name="fert_organic_unit"/>
    <tableColumn id="79" xr3:uid="{FA2723AF-F27C-478E-922B-DFAA99CFD3F3}" name="fert_organic_amount"/>
    <tableColumn id="242" xr3:uid="{B6D9ED6B-E6A2-46A2-8D53-C5C5CD1EAAD3}" name="fert_organicNPK_unit" dataDxfId="1015"/>
    <tableColumn id="80" xr3:uid="{293D47A5-6091-4499-B772-1C438A06DA6A}" name="fert_organicN"/>
    <tableColumn id="81" xr3:uid="{FB1D1C30-2AB2-4831-B5D4-D0AF800AFD1B}" name="fert_organicP"/>
    <tableColumn id="82" xr3:uid="{3E08A228-8D1F-4B5D-96FC-F384054AA6AA}" name="fert_organicK"/>
    <tableColumn id="110" xr3:uid="{09044BC8-6E54-4B4E-82B6-F627420D91AC}" name="fert_organic_source"/>
    <tableColumn id="144" xr3:uid="{97F8BC1D-2133-4225-ACAC-696058F4371B}" name="weed_method_raw"/>
    <tableColumn id="111" xr3:uid="{891DD9E4-23E4-4FC0-983A-A5628972AB01}" name="weed_method"/>
    <tableColumn id="137" xr3:uid="{86257C9C-8463-4FE4-8F83-CA94C70405DE}" name="weed_frequency_unit"/>
    <tableColumn id="83" xr3:uid="{B35F2297-CC88-4775-8371-BA0B8FE96189}" name="weed_frequency"/>
    <tableColumn id="85" xr3:uid="{45452095-00C2-4E71-8F8E-D2E0728EBC85}" name="chem_subpractice_raw"/>
    <tableColumn id="125" xr3:uid="{70F48D63-B85D-42CA-9122-7F774D208DE4}" name="chem_subpractice01"/>
    <tableColumn id="124" xr3:uid="{6B163157-F070-4A0D-BE42-46D646DEDA00}" name="chem_name01"/>
    <tableColumn id="69" xr3:uid="{21005658-E754-44F1-B4EF-B8E3224425D5}" name="chem_unit01"/>
    <tableColumn id="70" xr3:uid="{97B01FA7-AE91-4E5C-B6CA-C35242EF08FC}" name="chem_amount01"/>
    <tableColumn id="256" xr3:uid="{181130BD-B7EF-416F-ADB7-96269551FA9A}" name="chem_subpractice02"/>
    <tableColumn id="257" xr3:uid="{8D5EAB4F-DA3C-48B1-9916-96D5631B7907}" name="chem_name02"/>
    <tableColumn id="258" xr3:uid="{0ED5AD6D-8C5E-4113-84E0-634C0D9D4337}" name="chem_unit02"/>
    <tableColumn id="259" xr3:uid="{C03DB076-EAD8-4E2B-B49E-8118B1128D8F}" name="chem_amount02"/>
    <tableColumn id="264" xr3:uid="{12DDC123-F530-4D58-A27C-F5D3B1BD50B1}" name="chem_subpractice03" dataDxfId="1014"/>
    <tableColumn id="265" xr3:uid="{FD1F3321-599E-4C3C-AB7D-0FAEFF17BB1E}" name="chem_name03" dataDxfId="1013"/>
    <tableColumn id="266" xr3:uid="{1B11E53A-7535-47EB-93BF-714B7FE7FF11}" name="chem_unit03" dataDxfId="1012"/>
    <tableColumn id="267" xr3:uid="{F808183A-533E-4812-B6DD-E59A71739723}" name="chem_amount03" dataDxfId="1011"/>
    <tableColumn id="71" xr3:uid="{693EE5C5-4FCB-46AA-8630-97CDA8DB2B6A}" name="residues_subpractice_raw"/>
    <tableColumn id="72" xr3:uid="{53752156-2096-4FCC-B1FD-3F4A30AC762C}" name="residues_subpractice01"/>
    <tableColumn id="196" xr3:uid="{4D48F3F5-5E15-4EC4-A081-187901FC5437}" name="residues_subpractice02"/>
    <tableColumn id="197" xr3:uid="{46ED67A3-0ACE-4296-BDB8-C6696134C927}" name="residues_subpractice03"/>
    <tableColumn id="198" xr3:uid="{1FF400A5-93BC-4E6F-A776-1ACF17ACC489}" name="residues_subpractice04"/>
    <tableColumn id="421" xr3:uid="{E25ACB7F-5AF2-460E-9910-486DD3CF9041}" name="residues_OC_unit"/>
    <tableColumn id="422" xr3:uid="{06241E57-7AD9-47C0-916B-CEC65820E7D9}" name="residues_OC"/>
    <tableColumn id="76" xr3:uid="{4999139C-016C-40EE-ACAD-0BE8F5FEA7DD}" name="residues_N_unit"/>
    <tableColumn id="84" xr3:uid="{57A4FC28-2AB1-4774-8694-C1C4A37CD102}" name="residues_N"/>
    <tableColumn id="419" xr3:uid="{42B3EC46-3BFC-413F-9BD9-6F03C4648A03}" name="residues_P_unit"/>
    <tableColumn id="86" xr3:uid="{0E614474-D4C5-4436-8FBB-444118F190E5}" name="residues_P"/>
    <tableColumn id="420" xr3:uid="{A31012F9-E936-4804-B1BC-E57C3A2A6FF1}" name="residues_unit_K"/>
    <tableColumn id="87" xr3:uid="{EBDAC0EA-7BAD-41E8-A813-299B572A9583}" name="residues_K"/>
    <tableColumn id="88" xr3:uid="{B68972FA-9359-4EF2-BF4E-43BBBDEB4EE5}" name="residues_tree"/>
    <tableColumn id="89" xr3:uid="{25BE4AA8-67FE-4700-8376-A9ECB3C5DA75}" name="residues_material"/>
    <tableColumn id="90" xr3:uid="{EDA12915-E41A-4AAD-A283-5EFED0B7E87C}" name="residues_processing"/>
    <tableColumn id="91" xr3:uid="{5E92794A-5D9A-4D08-96AA-6CC91D2A1C72}" name="residues_material_source"/>
    <tableColumn id="92" xr3:uid="{6D10E9C1-6C29-4F4E-9F86-10FD1498EB13}" name="residues_material_unit"/>
    <tableColumn id="93" xr3:uid="{29641DBF-ED22-4C10-8C9A-3AE7D2DDA701}" name="residues_material_amount"/>
    <tableColumn id="94" xr3:uid="{70A60611-629F-466B-91B2-D9463E05A9B3}" name="ph_subpractice_raw"/>
    <tableColumn id="95" xr3:uid="{0CAACD1A-663A-4F5B-B5BE-51D0A71FA43A}" name="ph_subpractice"/>
    <tableColumn id="96" xr3:uid="{73D2A6B1-58E3-4988-A054-E2CC64E0D01F}" name="ph_material_applied"/>
    <tableColumn id="97" xr3:uid="{BA48DA89-E334-4FA7-9DF1-2BFF031D8BE1}" name="ph_material_unit"/>
    <tableColumn id="98" xr3:uid="{EFDCEAB1-53B1-4E97-BEA2-145E230CC7A7}" name="ph_material_amount"/>
    <tableColumn id="99" xr3:uid="{4BC69875-5DC8-4918-B894-6E72A3B68DC1}" name="irrig_subpractice_raw"/>
    <tableColumn id="100" xr3:uid="{9CA7D4C6-151C-4383-94BC-A0B1361375D9}" name="irrig_subpractice"/>
    <tableColumn id="423" xr3:uid="{2C92AC51-4617-4AB5-95A2-C1E75F8BF99D}" name="irrig_method"/>
    <tableColumn id="101" xr3:uid="{2AC27C83-F8A1-4223-B710-A2C1B810F598}" name="irrig_date_start"/>
    <tableColumn id="102" xr3:uid="{FBCE7012-4943-442F-8E2F-33A2BCE2EBCC}" name="irrig_date_end"/>
    <tableColumn id="103" xr3:uid="{88926600-DB4E-4665-B62C-328761EFA05B}" name="irrig_water_unit"/>
    <tableColumn id="104" xr3:uid="{B33EE80C-40C5-4636-BF9C-99039299A08F}" name="irrig_water_amount"/>
    <tableColumn id="105" xr3:uid="{6A1702DA-0FD6-4A32-89A7-B49F8DB36B71}" name="irrig_water_type"/>
    <tableColumn id="106" xr3:uid="{BC7F8086-33FF-4996-B668-0F10315057CB}" name="watharv_subpractice_raw"/>
    <tableColumn id="107" xr3:uid="{253FF347-667F-4539-96EE-9622A5AA2878}" name="watharv_subpractice01"/>
    <tableColumn id="59" xr3:uid="{F6024316-1C3B-4303-B389-E2EF4E42B37A}" name="watharv_subpractice02"/>
    <tableColumn id="194" xr3:uid="{07E18812-73BA-401A-83D5-53BE282DBFA4}" name="watharv_subpractice03"/>
    <tableColumn id="195" xr3:uid="{4E1130CD-F366-43A1-A5FF-247E987DF835}" name="watharv_subpractice04"/>
    <tableColumn id="108" xr3:uid="{FAF34F59-63E1-4849-AB7F-0A81D6542B48}" name="harvest_subpractice_raw"/>
    <tableColumn id="109" xr3:uid="{7D4ABFAF-5A4E-4814-BC3E-7F10713536E4}" name="harvest_subpractice"/>
    <tableColumn id="112" xr3:uid="{66931167-4307-4815-A898-729506260E4D}" name="harvest_date_start"/>
    <tableColumn id="113" xr3:uid="{3C56C8BD-D972-4AA0-B152-0BF3FB3AC79C}" name="harvest_date_end"/>
    <tableColumn id="114" xr3:uid="{6C958996-D525-4B75-9B36-551A81A201BA}" name="harvest_days_after_planting"/>
    <tableColumn id="115" xr3:uid="{453FEED7-6B60-47FB-ACC1-6AD31C4C578C}" name="postharvest_subpractice_raw"/>
    <tableColumn id="116" xr3:uid="{0CD311FD-1EB8-4C32-9506-D2757124386F}" name="postharvest_subpractice01"/>
    <tableColumn id="199" xr3:uid="{922F844B-7937-4D47-BEEE-B95CAC671B6C}" name="postharvest_subpractice02"/>
    <tableColumn id="200" xr3:uid="{56123415-091F-46C2-8E16-F061AEAC0BF1}" name="postharvest_subpractice03"/>
    <tableColumn id="201" xr3:uid="{2BD981CB-DE9D-4281-904A-6BF01AAED943}" name="postharvest_subpractice04"/>
    <tableColumn id="117" xr3:uid="{D3AB7313-AAD5-4994-8F12-BC9A100B42FC}" name="postharvest_date_start"/>
    <tableColumn id="39" xr3:uid="{EF6DAF33-B2DD-4338-8A62-515C8DA8064E}" name="postharvest_date_end"/>
    <tableColumn id="40" xr3:uid="{2C15F80A-B4C3-48C5-8461-920011B40FFE}" name="postharvest_days_after_storage"/>
    <tableColumn id="213" xr3:uid="{AE170034-5A87-48BD-B231-DDAC307C1FB7}" name="land_structure_subpractice_raw"/>
    <tableColumn id="277" xr3:uid="{FE64E026-7DF9-439C-A2C7-B14510B7BC88}" name="land_structure_subpractice"/>
    <tableColumn id="393" xr3:uid="{EBFDD32A-E8A7-41AA-8084-25A533705B3B}" name="land_structure_function"/>
    <tableColumn id="409" xr3:uid="{DE04B882-15A2-474E-9CA1-B2F3630B0014}" name="land_structure_origin"/>
    <tableColumn id="410" xr3:uid="{57A60126-59E8-44D9-B574-58B2D62976E0}" name="land_structure_manage"/>
    <tableColumn id="41" xr3:uid="{1A0205B9-D75A-4E16-9BE5-C01280E52757}" name="out_exp_design"/>
    <tableColumn id="42" xr3:uid="{9652C2BC-AC51-42AE-937D-43E5569B6CFA}" name="out_exp_plot_size"/>
    <tableColumn id="43" xr3:uid="{814ECB06-544E-4213-83F7-39FF7EFC1C42}" name="product_raw"/>
    <tableColumn id="48" xr3:uid="{5EF40663-F561-43F2-A591-DCF2A6DB4C93}" name="product01"/>
    <tableColumn id="250" xr3:uid="{98D125CC-BFB9-4F59-BEFE-17A105B26E92}" name="product02"/>
    <tableColumn id="252" xr3:uid="{1A61BB2F-2BB6-42AE-AA27-E0FAC681A4F9}" name="product03"/>
    <tableColumn id="261" xr3:uid="{007B18F2-9BEB-43C2-A4C5-E2BE6EE32007}" name="product04"/>
    <tableColumn id="263" xr3:uid="{C9C8E50C-EB81-49DA-A6FB-1535B9E1A71F}" name="product05"/>
    <tableColumn id="49" xr3:uid="{13A4CE93-0BA2-465A-A1D3-FBA999805EF3}" name="bio_func_group"/>
    <tableColumn id="192" xr3:uid="{8F6C2C49-A3A7-4A0A-A092-CFE24017D00F}" name="bio_ground_ref"/>
    <tableColumn id="174" xr3:uid="{9724FAF9-10E1-4844-9F59-696105F9B186}" name="econ_inputs"/>
    <tableColumn id="68" xr3:uid="{FF059607-3519-4D5D-9592-D2230665D558}" name="out_subindicator_raw"/>
    <tableColumn id="118" xr3:uid="{405CEDF3-8431-422E-A2B6-428DDCAE7016}" name="out_subindicator_description_raw"/>
    <tableColumn id="119" xr3:uid="{0574D15D-3714-4716-B567-5D9F3A2AF784}" name="out_subindicator"/>
    <tableColumn id="120" xr3:uid="{F80F6865-20A3-463C-9217-17E164A56114}" name="out_subindicator_unit"/>
    <tableColumn id="122" xr3:uid="{0A9B5B1D-7991-41A1-B987-558A43AC0EDA}" name="out_soil_depth_l"/>
    <tableColumn id="123" xr3:uid="{962C3893-39AF-4468-9724-765AE0A5F087}" name="out_soil_depth_u"/>
    <tableColumn id="126" xr3:uid="{81339580-13E0-477F-8B94-764B8699B9D5}" name="out_npv_discount_rate"/>
    <tableColumn id="127" xr3:uid="{9FA674FE-21F2-4FE3-8BAF-CA095FDD853B}" name="out_npv_econ_period"/>
    <tableColumn id="129" xr3:uid="{CDF3AB92-70DD-4727-84A3-07BEFAC32F1C}" name="out_wg_start"/>
    <tableColumn id="130" xr3:uid="{71FA23B9-FF39-4050-B545-5948FFDD24A5}" name="out_wg_start_unit"/>
    <tableColumn id="131" xr3:uid="{CF74B041-C50C-48AE-A370-2FCC683A97F5}" name="out_wg_days"/>
    <tableColumn id="133" xr3:uid="{A2DDB6D0-15FC-4070-BBED-7253C7380296}" name="out_comparison_treatment"/>
    <tableColumn id="134" xr3:uid="{634F4F6E-D7FE-43A5-9A9F-D3EA22A2DED9}" name="out_value_metric"/>
    <tableColumn id="135" xr3:uid="{7888AA9B-6220-44C9-AE02-EFDA531C65FA}" name="out_value"/>
    <tableColumn id="136" xr3:uid="{5CA6C7B3-54CE-45C2-B3F1-61C81830693C}" name="out_var_metric"/>
    <tableColumn id="138" xr3:uid="{A51AA032-9DA7-4196-990C-83748D791F0E}" name="out_var_value"/>
    <tableColumn id="139" xr3:uid="{D14CB834-4995-4B5E-9B4D-2EBE960A3028}" name="outc_var_value_l"/>
    <tableColumn id="140" xr3:uid="{C9CCFE54-9CDD-4BE0-ADE1-3E8A8D28F3F4}" name="outc_var_value_u"/>
    <tableColumn id="141" xr3:uid="{487BDF59-F2DB-498D-97F6-FFF300B530A4}" name="out_sample_size"/>
    <tableColumn id="202" xr3:uid="{DC2515EC-2E7A-4FA4-9B41-0AB6177FD872}" name="out_value_product01"/>
    <tableColumn id="220" xr3:uid="{4075FE6A-0327-41DF-9823-13BBDEE46D10}" name="out_var_value_product01"/>
    <tableColumn id="210" xr3:uid="{F7C9BB1E-2910-48DB-A837-AEF8E25550F4}" name="out_value_product02"/>
    <tableColumn id="221" xr3:uid="{7BB5F10F-ADC7-4E93-BB27-039EB82C4A00}" name="out_var_value_product02"/>
    <tableColumn id="217" xr3:uid="{AD896618-0FCD-469B-885E-983FF9C644D7}" name="out_value_product03"/>
    <tableColumn id="222" xr3:uid="{D182E797-CA29-4E6A-8AD8-BFF077E8D9E4}" name="out_var_value_product03"/>
    <tableColumn id="218" xr3:uid="{889E60A0-F4A0-4D1A-9AF6-BE8C91AF85F5}" name="out_value_product04"/>
    <tableColumn id="219" xr3:uid="{4CE87424-C59C-4FCA-A5AC-4D23E13D3F70}" name="out_var_value_product04"/>
    <tableColumn id="211" xr3:uid="{64EF697B-2A0B-4153-BB94-118B1959066E}" name="out_value_product05"/>
    <tableColumn id="212" xr3:uid="{3DA245CB-308A-4B3F-93AB-2DB399851BD0}" name="out_var_value_product05"/>
    <tableColumn id="413" xr3:uid="{E57D2242-B037-416A-BBD2-3BB2CD62B2EA}" name="ler_value_product01"/>
    <tableColumn id="415" xr3:uid="{8361ACCD-B61A-4272-9DB8-FDF4CBD28D9A}" name="ler_var_value_product01"/>
    <tableColumn id="414" xr3:uid="{CF6E8AA2-D9D9-401B-ACCC-3DF6F0797B21}" name="ler_value_product02"/>
    <tableColumn id="412" xr3:uid="{2191ECA8-0FC5-47D8-8DB8-5958D4AF2CDC}" name="ler_var_value_product_component02"/>
    <tableColumn id="239" xr3:uid="{FD56DD79-4CF0-4F90-ACA3-78434FDDDC77}" name="ler_value_product03"/>
    <tableColumn id="424" xr3:uid="{ACF19AA4-E7AA-44C8-9E79-E13223888DB8}" name="ler_var_value_product03"/>
    <tableColumn id="416" xr3:uid="{7071C41B-CE78-466F-88AC-EEA2108DA28B}" name="ler_value_total"/>
    <tableColumn id="417" xr3:uid="{F0411CB3-2947-4F7A-8DC6-DCFA15A70038}" name="ler_var_total"/>
    <tableColumn id="142" xr3:uid="{BE5F9334-DA22-4EC7-9121-F5A77BDDA2C6}" name="data_location"/>
    <tableColumn id="143" xr3:uid="{61B6318D-ED27-44DC-90FE-CDB5DB67C86D}" name="out_agg_stat"/>
    <tableColumn id="275" xr3:uid="{074B1E49-D19B-4571-BFD3-A9FB0E4AAA2D}" name="out_year"/>
    <tableColumn id="145" xr3:uid="{80921E8B-D492-4FD4-AEA9-4E9102F0F8E7}" name="out_year_start"/>
    <tableColumn id="146" xr3:uid="{9BCD7EEE-CA0F-4A43-928B-E43510B1CA38}" name="out_year_end"/>
    <tableColumn id="147" xr3:uid="{A1988F63-5085-44F6-AA18-8345C1B3EA29}" name="out_season_start"/>
    <tableColumn id="276" xr3:uid="{0C295053-4D3C-4373-A31D-E5C8B1E2E4CA}" name="out_season_end"/>
    <tableColumn id="203" xr3:uid="{6A654C9A-E222-4ACB-B05B-42033A5D0210}" name="extraction_person"/>
    <tableColumn id="204" xr3:uid="{60250E0C-C01E-4A2A-AAE2-ED4656604BAA}" name="extraction_date"/>
    <tableColumn id="208" xr3:uid="{001CAD15-87BF-4727-8674-A330FF26C9CC}" name="extraction_obs"/>
    <tableColumn id="206" xr3:uid="{0D703778-7DD5-49CB-894D-95DF6BB42CB5}" name="checking_person"/>
    <tableColumn id="207" xr3:uid="{B610709E-873B-492B-B998-C20E484F0A05}" name="checking_date"/>
    <tableColumn id="209" xr3:uid="{0E69BB0B-2671-4BC4-BA18-423954F76ACA}" name="checking_obs"/>
    <tableColumn id="205" xr3:uid="{6BFDFF9B-F77A-4D12-972A-01512BEFDBB2}" name="row_statu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26" dT="2026-02-20T15:03:48.65" personId="{C40DBF99-73A9-49FC-BB57-336111A2E5F3}" id="{02A9049C-ECDE-4BF0-94C1-6E1C6AD4BC06}">
    <text>For me it is not clear what should we put here. Ask Namita or Lolita</text>
  </threadedComment>
  <threadedComment ref="E156" dT="2026-02-20T20:50:13.23" personId="{C40DBF99-73A9-49FC-BB57-336111A2E5F3}" id="{C77A97F7-3253-49A5-A0FD-E0B39BEED886}">
    <text>Not sure what is this</text>
  </threadedComment>
  <threadedComment ref="E161" dT="2026-02-20T20:51:05.06" personId="{C40DBF99-73A9-49FC-BB57-336111A2E5F3}" id="{8FF46DCE-5AEE-4AB8-9C83-4D4E11971B83}">
    <text>Not sure what is this</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aims.fao.org/aos/agrovoc/c_24430" TargetMode="External"/><Relationship Id="rId18" Type="http://schemas.openxmlformats.org/officeDocument/2006/relationships/hyperlink" Target="http://aims.fao.org/aos/agrovoc/c_6139" TargetMode="External"/><Relationship Id="rId26" Type="http://schemas.openxmlformats.org/officeDocument/2006/relationships/hyperlink" Target="http://aims.fao.org/aos/agrovoc/c_25305" TargetMode="External"/><Relationship Id="rId3" Type="http://schemas.openxmlformats.org/officeDocument/2006/relationships/hyperlink" Target="http://aims.fao.org/aos/agrovoc/c_5192" TargetMode="External"/><Relationship Id="rId21" Type="http://schemas.openxmlformats.org/officeDocument/2006/relationships/hyperlink" Target="http://aims.fao.org/aos/agrovoc/c_25768" TargetMode="External"/><Relationship Id="rId34" Type="http://schemas.openxmlformats.org/officeDocument/2006/relationships/vmlDrawing" Target="../drawings/vmlDrawing1.vml"/><Relationship Id="rId7" Type="http://schemas.openxmlformats.org/officeDocument/2006/relationships/hyperlink" Target="http://aims.fao.org/aos/agrovoc/c_5192" TargetMode="External"/><Relationship Id="rId12" Type="http://schemas.openxmlformats.org/officeDocument/2006/relationships/hyperlink" Target="http://aims.fao.org/aos/agrovoc/c_24430" TargetMode="External"/><Relationship Id="rId17" Type="http://schemas.openxmlformats.org/officeDocument/2006/relationships/hyperlink" Target="http://aims.fao.org/aos/agrovoc/c_5804" TargetMode="External"/><Relationship Id="rId25" Type="http://schemas.openxmlformats.org/officeDocument/2006/relationships/hyperlink" Target="http://aims.fao.org/aos/agrovoc/c_3958" TargetMode="External"/><Relationship Id="rId33" Type="http://schemas.openxmlformats.org/officeDocument/2006/relationships/hyperlink" Target="http://aims.fao.org/aos/agrovoc/c_24065" TargetMode="External"/><Relationship Id="rId2" Type="http://schemas.openxmlformats.org/officeDocument/2006/relationships/hyperlink" Target="http://aims.fao.org/aos/agrovoc/c_5192" TargetMode="External"/><Relationship Id="rId16" Type="http://schemas.openxmlformats.org/officeDocument/2006/relationships/hyperlink" Target="http://aims.fao.org/aos/agrovoc/c_16118" TargetMode="External"/><Relationship Id="rId20" Type="http://schemas.openxmlformats.org/officeDocument/2006/relationships/hyperlink" Target="http://aims.fao.org/aos/agrovoc/c_4977" TargetMode="External"/><Relationship Id="rId29" Type="http://schemas.openxmlformats.org/officeDocument/2006/relationships/hyperlink" Target="http://aims.fao.org/aos/agrovoc/c_29466" TargetMode="External"/><Relationship Id="rId1" Type="http://schemas.openxmlformats.org/officeDocument/2006/relationships/hyperlink" Target="http://aims.fao.org/aos/agrovoc/c_5192" TargetMode="External"/><Relationship Id="rId6" Type="http://schemas.openxmlformats.org/officeDocument/2006/relationships/hyperlink" Target="http://aims.fao.org/aos/agrovoc/c_5192" TargetMode="External"/><Relationship Id="rId11" Type="http://schemas.openxmlformats.org/officeDocument/2006/relationships/hyperlink" Target="http://aims.fao.org/aos/agrovoc/c_2867" TargetMode="External"/><Relationship Id="rId24" Type="http://schemas.openxmlformats.org/officeDocument/2006/relationships/hyperlink" Target="http://aims.fao.org/aos/agrovoc/c_200" TargetMode="External"/><Relationship Id="rId32" Type="http://schemas.openxmlformats.org/officeDocument/2006/relationships/hyperlink" Target="http://aims.fao.org/aos/agrovoc/c_24065" TargetMode="External"/><Relationship Id="rId5" Type="http://schemas.openxmlformats.org/officeDocument/2006/relationships/hyperlink" Target="http://aims.fao.org/aos/agrovoc/c_5192" TargetMode="External"/><Relationship Id="rId15" Type="http://schemas.openxmlformats.org/officeDocument/2006/relationships/hyperlink" Target="http://aims.fao.org/aos/agrovoc/c_24200" TargetMode="External"/><Relationship Id="rId23" Type="http://schemas.openxmlformats.org/officeDocument/2006/relationships/hyperlink" Target="http://aims.fao.org/aos/agrovoc/c_25206" TargetMode="External"/><Relationship Id="rId28" Type="http://schemas.openxmlformats.org/officeDocument/2006/relationships/hyperlink" Target="http://aims.fao.org/aos/agrovoc/c_331243" TargetMode="External"/><Relationship Id="rId36" Type="http://schemas.microsoft.com/office/2017/10/relationships/threadedComment" Target="../threadedComments/threadedComment1.xml"/><Relationship Id="rId10" Type="http://schemas.openxmlformats.org/officeDocument/2006/relationships/hyperlink" Target="http://aims.fao.org/aos/agrovoc/c_2867" TargetMode="External"/><Relationship Id="rId19" Type="http://schemas.openxmlformats.org/officeDocument/2006/relationships/hyperlink" Target="http://aims.fao.org/aos/agrovoc/c_26837" TargetMode="External"/><Relationship Id="rId31" Type="http://schemas.openxmlformats.org/officeDocument/2006/relationships/hyperlink" Target="http://aims.fao.org/aos/agrovoc/c_2412" TargetMode="External"/><Relationship Id="rId4" Type="http://schemas.openxmlformats.org/officeDocument/2006/relationships/hyperlink" Target="http://aims.fao.org/aos/agrovoc/c_5192" TargetMode="External"/><Relationship Id="rId9" Type="http://schemas.openxmlformats.org/officeDocument/2006/relationships/hyperlink" Target="http://aims.fao.org/aos/agrovoc/c_2867" TargetMode="External"/><Relationship Id="rId14" Type="http://schemas.openxmlformats.org/officeDocument/2006/relationships/hyperlink" Target="https://agrovoc.fao.org/browse/agrovoc/en/page/c_16113" TargetMode="External"/><Relationship Id="rId22" Type="http://schemas.openxmlformats.org/officeDocument/2006/relationships/hyperlink" Target="http://aims.fao.org/aos/agrovoc/c_29466" TargetMode="External"/><Relationship Id="rId27" Type="http://schemas.openxmlformats.org/officeDocument/2006/relationships/hyperlink" Target="https://agrovoc.fao.org/browse/agrovoc/en/page/c_16113" TargetMode="External"/><Relationship Id="rId30" Type="http://schemas.openxmlformats.org/officeDocument/2006/relationships/hyperlink" Target="http://aims.fao.org/aos/agrovoc/c_15846" TargetMode="External"/><Relationship Id="rId35" Type="http://schemas.openxmlformats.org/officeDocument/2006/relationships/comments" Target="../comments1.xml"/><Relationship Id="rId8" Type="http://schemas.openxmlformats.org/officeDocument/2006/relationships/hyperlink" Target="http://aims.fao.org/aos/agrovoc/c_286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FFF17-92E5-46E4-AC0E-78C563C39BDF}">
  <sheetPr codeName="Sheet1"/>
  <dimension ref="A1:PH1072"/>
  <sheetViews>
    <sheetView tabSelected="1" topLeftCell="FO1" zoomScale="84" zoomScaleNormal="84" workbookViewId="0">
      <selection activeCell="EF2" sqref="EF2:GK2"/>
    </sheetView>
  </sheetViews>
  <sheetFormatPr defaultRowHeight="15"/>
  <cols>
    <col min="1" max="1" width="24.7109375" customWidth="1"/>
    <col min="2" max="2" width="21.5703125" customWidth="1"/>
    <col min="3" max="3" width="10.42578125" customWidth="1"/>
    <col min="4" max="4" width="18" customWidth="1"/>
    <col min="5" max="5" width="24.28515625" customWidth="1"/>
    <col min="6" max="7" width="10.42578125" customWidth="1"/>
    <col min="8" max="8" width="16.28515625" customWidth="1"/>
    <col min="9" max="10" width="10.42578125" customWidth="1"/>
    <col min="11" max="54" width="11.42578125" customWidth="1"/>
    <col min="55" max="55" width="11.5703125" customWidth="1"/>
    <col min="56" max="56" width="35" customWidth="1"/>
    <col min="57" max="58" width="17.28515625" customWidth="1"/>
    <col min="59" max="241" width="11.42578125" customWidth="1"/>
    <col min="242" max="242" width="40.85546875" customWidth="1"/>
    <col min="243" max="243" width="39.85546875" customWidth="1"/>
    <col min="244" max="249" width="11.42578125" customWidth="1"/>
    <col min="250" max="250" width="32.140625" customWidth="1"/>
    <col min="251" max="255" width="11.42578125" customWidth="1"/>
    <col min="256" max="256" width="21" customWidth="1"/>
    <col min="257" max="269" width="11.42578125" customWidth="1"/>
    <col min="270" max="270" width="15.7109375" customWidth="1"/>
    <col min="271" max="273" width="11.42578125" customWidth="1"/>
    <col min="274" max="277" width="16.28515625" customWidth="1"/>
    <col min="278" max="283" width="15.7109375" customWidth="1"/>
    <col min="347" max="348" width="10.42578125" bestFit="1" customWidth="1"/>
    <col min="363" max="363" width="12" customWidth="1"/>
    <col min="364" max="364" width="19.28515625" customWidth="1"/>
    <col min="366" max="366" width="18.42578125" customWidth="1"/>
    <col min="374" max="374" width="14.28515625" customWidth="1"/>
    <col min="376" max="376" width="12.7109375" customWidth="1"/>
    <col min="382" max="382" width="35.5703125" customWidth="1"/>
    <col min="385" max="385" width="18.5703125" customWidth="1"/>
    <col min="387" max="387" width="15.7109375" bestFit="1" customWidth="1"/>
    <col min="390" max="390" width="14.28515625" customWidth="1"/>
    <col min="391" max="391" width="13.28515625" customWidth="1"/>
    <col min="411" max="411" width="25.28515625" customWidth="1"/>
    <col min="419" max="419" width="12.28515625" customWidth="1"/>
    <col min="420" max="420" width="10.42578125" customWidth="1"/>
    <col min="422" max="422" width="14.28515625" customWidth="1"/>
  </cols>
  <sheetData>
    <row r="1" spans="1:424" s="112" customFormat="1" ht="64.5" thickBot="1">
      <c r="A1" s="121" t="s">
        <v>0</v>
      </c>
      <c r="B1" s="112" t="s">
        <v>1</v>
      </c>
      <c r="C1" s="113" t="s">
        <v>2</v>
      </c>
      <c r="D1" s="113" t="s">
        <v>3</v>
      </c>
      <c r="E1" s="113" t="s">
        <v>4</v>
      </c>
      <c r="F1" s="113" t="s">
        <v>5</v>
      </c>
      <c r="G1" s="113" t="s">
        <v>6</v>
      </c>
      <c r="H1" s="113" t="s">
        <v>7</v>
      </c>
      <c r="I1" s="113" t="s">
        <v>8</v>
      </c>
      <c r="J1" s="113" t="s">
        <v>9</v>
      </c>
      <c r="K1" s="113" t="s">
        <v>10</v>
      </c>
      <c r="L1" s="113" t="s">
        <v>11</v>
      </c>
      <c r="M1" s="113" t="s">
        <v>12</v>
      </c>
      <c r="N1" s="113" t="s">
        <v>13</v>
      </c>
      <c r="O1" s="113" t="s">
        <v>14</v>
      </c>
      <c r="P1" s="113" t="s">
        <v>15</v>
      </c>
      <c r="Q1" s="113" t="s">
        <v>16</v>
      </c>
      <c r="R1" s="113" t="s">
        <v>17</v>
      </c>
      <c r="S1" s="113" t="s">
        <v>18</v>
      </c>
      <c r="T1" s="113" t="s">
        <v>19</v>
      </c>
      <c r="U1" s="113" t="s">
        <v>20</v>
      </c>
      <c r="V1" s="113" t="s">
        <v>21</v>
      </c>
      <c r="W1" s="113" t="s">
        <v>22</v>
      </c>
      <c r="X1" s="113" t="s">
        <v>23</v>
      </c>
      <c r="Y1" s="113" t="s">
        <v>24</v>
      </c>
      <c r="Z1" s="113" t="s">
        <v>25</v>
      </c>
      <c r="AA1" s="113" t="s">
        <v>26</v>
      </c>
      <c r="AB1" s="113" t="s">
        <v>27</v>
      </c>
      <c r="AC1" s="113" t="s">
        <v>28</v>
      </c>
      <c r="AD1" s="113" t="s">
        <v>29</v>
      </c>
      <c r="AE1" s="113" t="s">
        <v>30</v>
      </c>
      <c r="AF1" s="113" t="s">
        <v>31</v>
      </c>
      <c r="AG1" s="113" t="s">
        <v>32</v>
      </c>
      <c r="AH1" s="113" t="s">
        <v>33</v>
      </c>
      <c r="AI1" s="113" t="s">
        <v>34</v>
      </c>
      <c r="AJ1" s="113" t="s">
        <v>35</v>
      </c>
      <c r="AK1" s="113" t="s">
        <v>36</v>
      </c>
      <c r="AL1" s="113" t="s">
        <v>37</v>
      </c>
      <c r="AM1" s="113" t="s">
        <v>38</v>
      </c>
      <c r="AN1" s="113" t="s">
        <v>39</v>
      </c>
      <c r="AO1" s="113" t="s">
        <v>40</v>
      </c>
      <c r="AP1" s="113" t="s">
        <v>41</v>
      </c>
      <c r="AQ1" s="113" t="s">
        <v>42</v>
      </c>
      <c r="AR1" s="113" t="s">
        <v>43</v>
      </c>
      <c r="AS1" s="113" t="s">
        <v>44</v>
      </c>
      <c r="AT1" s="113" t="s">
        <v>45</v>
      </c>
      <c r="AU1" s="113" t="s">
        <v>46</v>
      </c>
      <c r="AV1" s="114" t="s">
        <v>47</v>
      </c>
      <c r="AW1" s="114" t="s">
        <v>48</v>
      </c>
      <c r="AX1" s="114" t="s">
        <v>49</v>
      </c>
      <c r="AY1" s="114" t="s">
        <v>50</v>
      </c>
      <c r="AZ1" s="115" t="s">
        <v>51</v>
      </c>
      <c r="BA1" s="115" t="s">
        <v>52</v>
      </c>
      <c r="BB1" s="115" t="s">
        <v>53</v>
      </c>
      <c r="BC1" s="115" t="s">
        <v>54</v>
      </c>
      <c r="BD1" s="222" t="s">
        <v>55</v>
      </c>
      <c r="BE1" s="222" t="s">
        <v>56</v>
      </c>
      <c r="BF1" s="222" t="s">
        <v>57</v>
      </c>
      <c r="BG1" s="122" t="s">
        <v>58</v>
      </c>
      <c r="BH1" s="122" t="s">
        <v>59</v>
      </c>
      <c r="BI1" s="122" t="s">
        <v>60</v>
      </c>
      <c r="BJ1" s="122" t="s">
        <v>61</v>
      </c>
      <c r="BK1" s="122" t="s">
        <v>62</v>
      </c>
      <c r="BL1" s="122" t="s">
        <v>63</v>
      </c>
      <c r="BM1" s="122" t="s">
        <v>64</v>
      </c>
      <c r="BN1" s="122" t="s">
        <v>65</v>
      </c>
      <c r="BO1" s="122" t="s">
        <v>66</v>
      </c>
      <c r="BP1" s="122" t="s">
        <v>67</v>
      </c>
      <c r="BQ1" s="122" t="s">
        <v>68</v>
      </c>
      <c r="BR1" s="122" t="s">
        <v>69</v>
      </c>
      <c r="BS1" s="122" t="s">
        <v>70</v>
      </c>
      <c r="BT1" s="122" t="s">
        <v>71</v>
      </c>
      <c r="BU1" s="122" t="s">
        <v>72</v>
      </c>
      <c r="BV1" s="122" t="s">
        <v>73</v>
      </c>
      <c r="BW1" s="122" t="s">
        <v>74</v>
      </c>
      <c r="BX1" s="122" t="s">
        <v>75</v>
      </c>
      <c r="BY1" s="122" t="s">
        <v>76</v>
      </c>
      <c r="BZ1" s="122" t="s">
        <v>77</v>
      </c>
      <c r="CA1" s="122" t="s">
        <v>78</v>
      </c>
      <c r="CB1" s="122" t="s">
        <v>79</v>
      </c>
      <c r="CC1" s="122" t="s">
        <v>80</v>
      </c>
      <c r="CD1" s="122" t="s">
        <v>81</v>
      </c>
      <c r="CE1" s="122" t="s">
        <v>82</v>
      </c>
      <c r="CF1" s="122" t="s">
        <v>83</v>
      </c>
      <c r="CG1" s="122" t="s">
        <v>84</v>
      </c>
      <c r="CH1" s="122" t="s">
        <v>85</v>
      </c>
      <c r="CI1" s="122" t="s">
        <v>86</v>
      </c>
      <c r="CJ1" s="122" t="s">
        <v>87</v>
      </c>
      <c r="CK1" s="122" t="s">
        <v>88</v>
      </c>
      <c r="CL1" s="122" t="s">
        <v>89</v>
      </c>
      <c r="CM1" s="122" t="s">
        <v>90</v>
      </c>
      <c r="CN1" s="122" t="s">
        <v>91</v>
      </c>
      <c r="CO1" s="122" t="s">
        <v>92</v>
      </c>
      <c r="CP1" s="122" t="s">
        <v>93</v>
      </c>
      <c r="CQ1" s="122" t="s">
        <v>94</v>
      </c>
      <c r="CR1" s="122" t="s">
        <v>95</v>
      </c>
      <c r="CS1" s="122" t="s">
        <v>96</v>
      </c>
      <c r="CT1" s="122" t="s">
        <v>97</v>
      </c>
      <c r="CU1" s="122" t="s">
        <v>98</v>
      </c>
      <c r="CV1" s="122" t="s">
        <v>99</v>
      </c>
      <c r="CW1" s="122" t="s">
        <v>100</v>
      </c>
      <c r="CX1" s="122" t="s">
        <v>101</v>
      </c>
      <c r="CY1" s="122" t="s">
        <v>102</v>
      </c>
      <c r="CZ1" s="122" t="s">
        <v>103</v>
      </c>
      <c r="DA1" s="122" t="s">
        <v>104</v>
      </c>
      <c r="DB1" s="122" t="s">
        <v>105</v>
      </c>
      <c r="DC1" s="122" t="s">
        <v>106</v>
      </c>
      <c r="DD1" s="122" t="s">
        <v>107</v>
      </c>
      <c r="DE1" s="122" t="s">
        <v>108</v>
      </c>
      <c r="DF1" s="122" t="s">
        <v>109</v>
      </c>
      <c r="DG1" s="122" t="s">
        <v>110</v>
      </c>
      <c r="DH1" s="122" t="s">
        <v>111</v>
      </c>
      <c r="DI1" s="122" t="s">
        <v>112</v>
      </c>
      <c r="DJ1" s="122" t="s">
        <v>113</v>
      </c>
      <c r="DK1" s="122" t="s">
        <v>114</v>
      </c>
      <c r="DL1" s="122" t="s">
        <v>115</v>
      </c>
      <c r="DM1" s="122" t="s">
        <v>116</v>
      </c>
      <c r="DN1" s="122" t="s">
        <v>117</v>
      </c>
      <c r="DO1" s="122" t="s">
        <v>118</v>
      </c>
      <c r="DP1" s="122" t="s">
        <v>119</v>
      </c>
      <c r="DQ1" s="122" t="s">
        <v>120</v>
      </c>
      <c r="DR1" s="122" t="s">
        <v>121</v>
      </c>
      <c r="DS1" s="122" t="s">
        <v>122</v>
      </c>
      <c r="DT1" s="122" t="s">
        <v>123</v>
      </c>
      <c r="DU1" s="122" t="s">
        <v>124</v>
      </c>
      <c r="DV1" s="122" t="s">
        <v>125</v>
      </c>
      <c r="DW1" s="122" t="s">
        <v>126</v>
      </c>
      <c r="DX1" s="122" t="s">
        <v>127</v>
      </c>
      <c r="DY1" s="122" t="s">
        <v>128</v>
      </c>
      <c r="DZ1" s="122" t="s">
        <v>129</v>
      </c>
      <c r="EA1" s="122" t="s">
        <v>130</v>
      </c>
      <c r="EB1" s="122" t="s">
        <v>131</v>
      </c>
      <c r="EC1" s="122" t="s">
        <v>132</v>
      </c>
      <c r="ED1" s="114" t="s">
        <v>133</v>
      </c>
      <c r="EE1" s="114" t="s">
        <v>134</v>
      </c>
      <c r="EF1" s="114" t="s">
        <v>135</v>
      </c>
      <c r="EG1" s="114" t="s">
        <v>136</v>
      </c>
      <c r="EH1" s="114" t="s">
        <v>137</v>
      </c>
      <c r="EI1" s="114" t="s">
        <v>138</v>
      </c>
      <c r="EJ1" s="114" t="s">
        <v>139</v>
      </c>
      <c r="EK1" s="114" t="s">
        <v>140</v>
      </c>
      <c r="EL1" s="114" t="s">
        <v>141</v>
      </c>
      <c r="EM1" s="114" t="s">
        <v>142</v>
      </c>
      <c r="EN1" s="114" t="s">
        <v>143</v>
      </c>
      <c r="EO1" s="114" t="s">
        <v>144</v>
      </c>
      <c r="EP1" s="114" t="s">
        <v>145</v>
      </c>
      <c r="EQ1" s="114" t="s">
        <v>146</v>
      </c>
      <c r="ER1" s="114" t="s">
        <v>147</v>
      </c>
      <c r="ES1" s="114" t="s">
        <v>148</v>
      </c>
      <c r="ET1" s="114" t="s">
        <v>149</v>
      </c>
      <c r="EU1" s="114" t="s">
        <v>150</v>
      </c>
      <c r="EV1" s="114" t="s">
        <v>151</v>
      </c>
      <c r="EW1" s="114" t="s">
        <v>152</v>
      </c>
      <c r="EX1" s="114" t="s">
        <v>153</v>
      </c>
      <c r="EY1" s="114" t="s">
        <v>154</v>
      </c>
      <c r="EZ1" s="114" t="s">
        <v>155</v>
      </c>
      <c r="FA1" s="114" t="s">
        <v>156</v>
      </c>
      <c r="FB1" s="114" t="s">
        <v>157</v>
      </c>
      <c r="FC1" s="114" t="s">
        <v>158</v>
      </c>
      <c r="FD1" s="114" t="s">
        <v>159</v>
      </c>
      <c r="FE1" s="114" t="s">
        <v>160</v>
      </c>
      <c r="FF1" s="114" t="s">
        <v>161</v>
      </c>
      <c r="FG1" s="114" t="s">
        <v>162</v>
      </c>
      <c r="FH1" s="114" t="s">
        <v>163</v>
      </c>
      <c r="FI1" s="114" t="s">
        <v>164</v>
      </c>
      <c r="FJ1" s="114" t="s">
        <v>165</v>
      </c>
      <c r="FK1" s="114" t="s">
        <v>166</v>
      </c>
      <c r="FL1" s="114" t="s">
        <v>167</v>
      </c>
      <c r="FM1" s="114" t="s">
        <v>168</v>
      </c>
      <c r="FN1" s="114" t="s">
        <v>169</v>
      </c>
      <c r="FO1" s="114" t="s">
        <v>170</v>
      </c>
      <c r="FP1" s="114" t="s">
        <v>171</v>
      </c>
      <c r="FQ1" s="114" t="s">
        <v>172</v>
      </c>
      <c r="FR1" s="114" t="s">
        <v>173</v>
      </c>
      <c r="FS1" s="114" t="s">
        <v>174</v>
      </c>
      <c r="FT1" s="114" t="s">
        <v>175</v>
      </c>
      <c r="FU1" s="114" t="s">
        <v>176</v>
      </c>
      <c r="FV1" s="114" t="s">
        <v>177</v>
      </c>
      <c r="FW1" s="114" t="s">
        <v>178</v>
      </c>
      <c r="FX1" s="114" t="s">
        <v>179</v>
      </c>
      <c r="FY1" s="114" t="s">
        <v>180</v>
      </c>
      <c r="FZ1" s="114" t="s">
        <v>181</v>
      </c>
      <c r="GA1" s="114" t="s">
        <v>182</v>
      </c>
      <c r="GB1" s="114" t="s">
        <v>183</v>
      </c>
      <c r="GC1" s="114" t="s">
        <v>184</v>
      </c>
      <c r="GD1" s="114" t="s">
        <v>185</v>
      </c>
      <c r="GE1" s="114" t="s">
        <v>186</v>
      </c>
      <c r="GF1" s="114" t="s">
        <v>187</v>
      </c>
      <c r="GG1" s="114" t="s">
        <v>188</v>
      </c>
      <c r="GH1" s="114" t="s">
        <v>189</v>
      </c>
      <c r="GI1" s="114" t="s">
        <v>190</v>
      </c>
      <c r="GJ1" s="114" t="s">
        <v>191</v>
      </c>
      <c r="GK1" s="114" t="s">
        <v>192</v>
      </c>
      <c r="GL1" s="193" t="s">
        <v>193</v>
      </c>
      <c r="GM1" s="193" t="s">
        <v>194</v>
      </c>
      <c r="GN1" s="193" t="s">
        <v>195</v>
      </c>
      <c r="GO1" s="193" t="s">
        <v>196</v>
      </c>
      <c r="GP1" s="193" t="s">
        <v>197</v>
      </c>
      <c r="GQ1" s="193" t="s">
        <v>198</v>
      </c>
      <c r="GR1" s="193" t="s">
        <v>199</v>
      </c>
      <c r="GS1" s="193" t="s">
        <v>200</v>
      </c>
      <c r="GT1" s="193" t="s">
        <v>201</v>
      </c>
      <c r="GU1" s="193" t="s">
        <v>202</v>
      </c>
      <c r="GV1" s="193" t="s">
        <v>203</v>
      </c>
      <c r="GW1" s="193" t="s">
        <v>204</v>
      </c>
      <c r="GX1" s="193" t="s">
        <v>205</v>
      </c>
      <c r="GY1" s="193" t="s">
        <v>206</v>
      </c>
      <c r="GZ1" s="193" t="s">
        <v>207</v>
      </c>
      <c r="HA1" s="193" t="s">
        <v>208</v>
      </c>
      <c r="HB1" s="193" t="s">
        <v>209</v>
      </c>
      <c r="HC1" s="193" t="s">
        <v>210</v>
      </c>
      <c r="HD1" s="193" t="s">
        <v>211</v>
      </c>
      <c r="HE1" s="193" t="s">
        <v>212</v>
      </c>
      <c r="HF1" s="193" t="s">
        <v>213</v>
      </c>
      <c r="HG1" s="193" t="s">
        <v>214</v>
      </c>
      <c r="HH1" s="193" t="s">
        <v>215</v>
      </c>
      <c r="HI1" s="193" t="s">
        <v>216</v>
      </c>
      <c r="HJ1" s="193" t="s">
        <v>217</v>
      </c>
      <c r="HK1" s="117" t="s">
        <v>218</v>
      </c>
      <c r="HL1" s="117" t="s">
        <v>219</v>
      </c>
      <c r="HM1" s="117" t="s">
        <v>220</v>
      </c>
      <c r="HN1" s="117" t="s">
        <v>221</v>
      </c>
      <c r="HO1" s="117" t="s">
        <v>222</v>
      </c>
      <c r="HP1" s="117" t="s">
        <v>223</v>
      </c>
      <c r="HQ1" s="192" t="s">
        <v>224</v>
      </c>
      <c r="HR1" s="192" t="s">
        <v>225</v>
      </c>
      <c r="HS1" s="192" t="s">
        <v>226</v>
      </c>
      <c r="HT1" s="192" t="s">
        <v>227</v>
      </c>
      <c r="HU1" s="192" t="s">
        <v>228</v>
      </c>
      <c r="HV1" s="204" t="s">
        <v>229</v>
      </c>
      <c r="HW1" s="204" t="s">
        <v>230</v>
      </c>
      <c r="HX1" s="204" t="s">
        <v>231</v>
      </c>
      <c r="HY1" s="204" t="s">
        <v>232</v>
      </c>
      <c r="HZ1" s="204" t="s">
        <v>233</v>
      </c>
      <c r="IA1" s="204" t="s">
        <v>234</v>
      </c>
      <c r="IB1" s="190" t="s">
        <v>235</v>
      </c>
      <c r="IC1" s="190" t="s">
        <v>236</v>
      </c>
      <c r="ID1" s="190" t="s">
        <v>237</v>
      </c>
      <c r="IE1" s="190" t="s">
        <v>238</v>
      </c>
      <c r="IF1" s="190" t="s">
        <v>239</v>
      </c>
      <c r="IG1" s="190" t="s">
        <v>240</v>
      </c>
      <c r="IH1" s="191" t="s">
        <v>241</v>
      </c>
      <c r="II1" s="191" t="s">
        <v>242</v>
      </c>
      <c r="IJ1" s="191" t="s">
        <v>243</v>
      </c>
      <c r="IK1" s="191" t="s">
        <v>244</v>
      </c>
      <c r="IL1" s="191" t="s">
        <v>245</v>
      </c>
      <c r="IM1" s="191" t="s">
        <v>246</v>
      </c>
      <c r="IN1" s="191" t="s">
        <v>247</v>
      </c>
      <c r="IO1" s="107" t="s">
        <v>248</v>
      </c>
      <c r="IP1" s="107" t="s">
        <v>249</v>
      </c>
      <c r="IQ1" s="107" t="s">
        <v>250</v>
      </c>
      <c r="IR1" s="107" t="s">
        <v>251</v>
      </c>
      <c r="IS1" s="107" t="s">
        <v>252</v>
      </c>
      <c r="IT1" s="107" t="s">
        <v>253</v>
      </c>
      <c r="IU1" s="107" t="s">
        <v>254</v>
      </c>
      <c r="IV1" s="114" t="s">
        <v>255</v>
      </c>
      <c r="IW1" s="114" t="s">
        <v>256</v>
      </c>
      <c r="IX1" s="114" t="s">
        <v>257</v>
      </c>
      <c r="IY1" s="114" t="s">
        <v>258</v>
      </c>
      <c r="IZ1" s="114" t="s">
        <v>259</v>
      </c>
      <c r="JA1" s="114" t="s">
        <v>260</v>
      </c>
      <c r="JB1" s="114" t="s">
        <v>261</v>
      </c>
      <c r="JC1" s="114" t="s">
        <v>262</v>
      </c>
      <c r="JD1" s="114" t="s">
        <v>263</v>
      </c>
      <c r="JE1" s="114" t="s">
        <v>264</v>
      </c>
      <c r="JF1" s="114" t="s">
        <v>265</v>
      </c>
      <c r="JG1" s="114" t="s">
        <v>266</v>
      </c>
      <c r="JH1" s="114" t="s">
        <v>267</v>
      </c>
      <c r="JI1" s="114" t="s">
        <v>268</v>
      </c>
      <c r="JJ1" s="191" t="s">
        <v>269</v>
      </c>
      <c r="JK1" s="191" t="s">
        <v>270</v>
      </c>
      <c r="JL1" s="191" t="s">
        <v>271</v>
      </c>
      <c r="JM1" s="191" t="s">
        <v>272</v>
      </c>
      <c r="JN1" s="191" t="s">
        <v>273</v>
      </c>
      <c r="JO1" s="191" t="s">
        <v>274</v>
      </c>
      <c r="JP1" s="191" t="s">
        <v>275</v>
      </c>
      <c r="JQ1" s="191" t="s">
        <v>276</v>
      </c>
      <c r="JR1" s="191" t="s">
        <v>277</v>
      </c>
      <c r="JS1" s="191" t="s">
        <v>278</v>
      </c>
      <c r="JT1" s="191" t="s">
        <v>279</v>
      </c>
      <c r="JU1" s="191" t="s">
        <v>280</v>
      </c>
      <c r="JV1" s="117" t="s">
        <v>281</v>
      </c>
      <c r="JW1" s="117" t="s">
        <v>282</v>
      </c>
      <c r="JX1" s="117" t="s">
        <v>283</v>
      </c>
      <c r="JY1" s="117" t="s">
        <v>284</v>
      </c>
      <c r="JZ1" s="117" t="s">
        <v>285</v>
      </c>
      <c r="KA1" s="117" t="s">
        <v>286</v>
      </c>
      <c r="KB1" s="117" t="s">
        <v>287</v>
      </c>
      <c r="KC1" s="117" t="s">
        <v>288</v>
      </c>
      <c r="KD1" s="117" t="s">
        <v>289</v>
      </c>
      <c r="KE1" s="194" t="s">
        <v>290</v>
      </c>
      <c r="KF1" s="194" t="s">
        <v>291</v>
      </c>
      <c r="KG1" s="194" t="s">
        <v>292</v>
      </c>
      <c r="KH1" s="194" t="s">
        <v>293</v>
      </c>
      <c r="KI1" s="107" t="s">
        <v>294</v>
      </c>
      <c r="KJ1" s="107" t="s">
        <v>295</v>
      </c>
      <c r="KK1" s="107" t="s">
        <v>296</v>
      </c>
      <c r="KL1" s="107" t="s">
        <v>297</v>
      </c>
      <c r="KM1" s="107" t="s">
        <v>298</v>
      </c>
      <c r="KN1" s="107" t="s">
        <v>299</v>
      </c>
      <c r="KO1" s="107" t="s">
        <v>300</v>
      </c>
      <c r="KP1" s="107" t="s">
        <v>301</v>
      </c>
      <c r="KQ1" s="107" t="s">
        <v>302</v>
      </c>
      <c r="KR1" s="107" t="s">
        <v>303</v>
      </c>
      <c r="KS1" s="107" t="s">
        <v>304</v>
      </c>
      <c r="KT1" s="107" t="s">
        <v>305</v>
      </c>
      <c r="KU1" s="107" t="s">
        <v>306</v>
      </c>
      <c r="KV1" s="191" t="s">
        <v>307</v>
      </c>
      <c r="KW1" s="191" t="s">
        <v>308</v>
      </c>
      <c r="KX1" s="191" t="s">
        <v>309</v>
      </c>
      <c r="KY1" s="191" t="s">
        <v>310</v>
      </c>
      <c r="KZ1" s="191" t="s">
        <v>311</v>
      </c>
      <c r="LA1" s="191" t="s">
        <v>312</v>
      </c>
      <c r="LB1" s="191" t="s">
        <v>313</v>
      </c>
      <c r="LC1" s="191" t="s">
        <v>314</v>
      </c>
      <c r="LD1" s="191" t="s">
        <v>315</v>
      </c>
      <c r="LE1" s="191" t="s">
        <v>316</v>
      </c>
      <c r="LF1" s="191" t="s">
        <v>317</v>
      </c>
      <c r="LG1" s="191" t="s">
        <v>318</v>
      </c>
      <c r="LH1" s="191" t="s">
        <v>319</v>
      </c>
      <c r="LI1" s="191" t="s">
        <v>320</v>
      </c>
      <c r="LJ1" s="191" t="s">
        <v>321</v>
      </c>
      <c r="LK1" s="191" t="s">
        <v>322</v>
      </c>
      <c r="LL1" s="191" t="s">
        <v>323</v>
      </c>
      <c r="LM1" s="191" t="s">
        <v>324</v>
      </c>
      <c r="LN1" s="191" t="s">
        <v>325</v>
      </c>
      <c r="LO1" s="195" t="s">
        <v>326</v>
      </c>
      <c r="LP1" s="195" t="s">
        <v>327</v>
      </c>
      <c r="LQ1" s="195" t="s">
        <v>328</v>
      </c>
      <c r="LR1" s="195" t="s">
        <v>329</v>
      </c>
      <c r="LS1" s="195" t="s">
        <v>330</v>
      </c>
      <c r="LT1" s="196" t="s">
        <v>331</v>
      </c>
      <c r="LU1" s="196" t="s">
        <v>332</v>
      </c>
      <c r="LV1" s="196" t="s">
        <v>333</v>
      </c>
      <c r="LW1" s="196" t="s">
        <v>334</v>
      </c>
      <c r="LX1" s="196" t="s">
        <v>335</v>
      </c>
      <c r="LY1" s="196" t="s">
        <v>336</v>
      </c>
      <c r="LZ1" s="196" t="s">
        <v>337</v>
      </c>
      <c r="MA1" s="196" t="s">
        <v>338</v>
      </c>
      <c r="MB1" s="197" t="s">
        <v>339</v>
      </c>
      <c r="MC1" s="197" t="s">
        <v>340</v>
      </c>
      <c r="MD1" s="197" t="s">
        <v>341</v>
      </c>
      <c r="ME1" s="197" t="s">
        <v>342</v>
      </c>
      <c r="MF1" s="197" t="s">
        <v>343</v>
      </c>
      <c r="MG1" s="117" t="s">
        <v>344</v>
      </c>
      <c r="MH1" s="117" t="s">
        <v>345</v>
      </c>
      <c r="MI1" s="117" t="s">
        <v>346</v>
      </c>
      <c r="MJ1" s="117" t="s">
        <v>347</v>
      </c>
      <c r="MK1" s="117" t="s">
        <v>348</v>
      </c>
      <c r="ML1" s="123" t="s">
        <v>349</v>
      </c>
      <c r="MM1" s="123" t="s">
        <v>350</v>
      </c>
      <c r="MN1" s="123" t="s">
        <v>351</v>
      </c>
      <c r="MO1" s="123" t="s">
        <v>352</v>
      </c>
      <c r="MP1" s="123" t="s">
        <v>353</v>
      </c>
      <c r="MQ1" s="123" t="s">
        <v>354</v>
      </c>
      <c r="MR1" s="123" t="s">
        <v>355</v>
      </c>
      <c r="MS1" s="123" t="s">
        <v>356</v>
      </c>
      <c r="MT1" s="191" t="s">
        <v>357</v>
      </c>
      <c r="MU1" s="191" t="s">
        <v>358</v>
      </c>
      <c r="MV1" s="191" t="s">
        <v>359</v>
      </c>
      <c r="MW1" s="191" t="s">
        <v>360</v>
      </c>
      <c r="MX1" s="191" t="s">
        <v>361</v>
      </c>
      <c r="MY1" s="198" t="s">
        <v>362</v>
      </c>
      <c r="MZ1" s="198" t="s">
        <v>363</v>
      </c>
      <c r="NA1" s="113" t="s">
        <v>364</v>
      </c>
      <c r="NB1" s="113" t="s">
        <v>365</v>
      </c>
      <c r="NC1" s="113" t="s">
        <v>366</v>
      </c>
      <c r="ND1" s="113" t="s">
        <v>367</v>
      </c>
      <c r="NE1" s="113" t="s">
        <v>368</v>
      </c>
      <c r="NF1" s="113" t="s">
        <v>369</v>
      </c>
      <c r="NG1" s="113" t="s">
        <v>370</v>
      </c>
      <c r="NH1" s="113" t="s">
        <v>371</v>
      </c>
      <c r="NI1" s="113" t="s">
        <v>372</v>
      </c>
      <c r="NJ1" s="122" t="s">
        <v>373</v>
      </c>
      <c r="NK1" s="199" t="s">
        <v>374</v>
      </c>
      <c r="NL1" s="199" t="s">
        <v>375</v>
      </c>
      <c r="NM1" s="199" t="s">
        <v>376</v>
      </c>
      <c r="NN1" s="199" t="s">
        <v>377</v>
      </c>
      <c r="NO1" s="199" t="s">
        <v>378</v>
      </c>
      <c r="NP1" s="199" t="s">
        <v>379</v>
      </c>
      <c r="NQ1" s="199" t="s">
        <v>380</v>
      </c>
      <c r="NR1" s="199" t="s">
        <v>381</v>
      </c>
      <c r="NS1" s="199" t="s">
        <v>382</v>
      </c>
      <c r="NT1" s="199" t="s">
        <v>383</v>
      </c>
      <c r="NU1" s="199" t="s">
        <v>384</v>
      </c>
      <c r="NV1" s="200" t="s">
        <v>385</v>
      </c>
      <c r="NW1" s="200" t="s">
        <v>386</v>
      </c>
      <c r="NX1" s="200" t="s">
        <v>387</v>
      </c>
      <c r="NY1" s="200" t="s">
        <v>388</v>
      </c>
      <c r="NZ1" s="200" t="s">
        <v>389</v>
      </c>
      <c r="OA1" s="200" t="s">
        <v>390</v>
      </c>
      <c r="OB1" s="200" t="s">
        <v>391</v>
      </c>
      <c r="OC1" s="189" t="s">
        <v>392</v>
      </c>
      <c r="OD1" s="189" t="s">
        <v>393</v>
      </c>
      <c r="OE1" s="189" t="s">
        <v>394</v>
      </c>
      <c r="OF1" s="189" t="s">
        <v>395</v>
      </c>
      <c r="OG1" s="189" t="s">
        <v>396</v>
      </c>
      <c r="OH1" s="189" t="s">
        <v>397</v>
      </c>
      <c r="OI1" s="189" t="s">
        <v>398</v>
      </c>
      <c r="OJ1" s="189" t="s">
        <v>399</v>
      </c>
      <c r="OK1" s="189" t="s">
        <v>400</v>
      </c>
      <c r="OL1" s="189" t="s">
        <v>401</v>
      </c>
      <c r="OM1" s="188" t="s">
        <v>402</v>
      </c>
      <c r="ON1" s="188" t="s">
        <v>403</v>
      </c>
      <c r="OO1" s="188" t="s">
        <v>404</v>
      </c>
      <c r="OP1" s="188" t="s">
        <v>405</v>
      </c>
      <c r="OQ1" s="188" t="s">
        <v>406</v>
      </c>
      <c r="OR1" s="188" t="s">
        <v>407</v>
      </c>
      <c r="OS1" s="188" t="s">
        <v>408</v>
      </c>
      <c r="OT1" s="188" t="s">
        <v>409</v>
      </c>
      <c r="OU1" s="200" t="s">
        <v>410</v>
      </c>
      <c r="OV1" s="201" t="s">
        <v>411</v>
      </c>
      <c r="OW1" s="201" t="s">
        <v>412</v>
      </c>
      <c r="OX1" s="201" t="s">
        <v>413</v>
      </c>
      <c r="OY1" s="201" t="s">
        <v>414</v>
      </c>
      <c r="OZ1" s="201" t="s">
        <v>415</v>
      </c>
      <c r="PA1" s="201" t="s">
        <v>416</v>
      </c>
      <c r="PB1" s="118" t="s">
        <v>417</v>
      </c>
      <c r="PC1" s="118" t="s">
        <v>418</v>
      </c>
      <c r="PD1" s="119" t="s">
        <v>419</v>
      </c>
      <c r="PE1" s="119" t="s">
        <v>420</v>
      </c>
      <c r="PF1" s="119" t="s">
        <v>421</v>
      </c>
      <c r="PG1" s="119" t="s">
        <v>422</v>
      </c>
      <c r="PH1" s="120" t="s">
        <v>423</v>
      </c>
    </row>
    <row r="2" spans="1:424" ht="15.75" thickBot="1">
      <c r="A2" s="47" t="s">
        <v>424</v>
      </c>
      <c r="B2" s="47" t="s">
        <v>424</v>
      </c>
      <c r="C2" s="48" t="s">
        <v>425</v>
      </c>
      <c r="D2" s="48" t="s">
        <v>425</v>
      </c>
      <c r="E2" s="48" t="s">
        <v>425</v>
      </c>
      <c r="F2" s="48" t="s">
        <v>425</v>
      </c>
      <c r="G2" s="48" t="s">
        <v>425</v>
      </c>
      <c r="H2" s="48" t="s">
        <v>425</v>
      </c>
      <c r="I2" s="48" t="s">
        <v>425</v>
      </c>
      <c r="J2" s="48" t="s">
        <v>425</v>
      </c>
      <c r="K2" s="48" t="s">
        <v>425</v>
      </c>
      <c r="L2" s="48" t="s">
        <v>425</v>
      </c>
      <c r="M2" s="48" t="s">
        <v>425</v>
      </c>
      <c r="N2" s="48" t="s">
        <v>425</v>
      </c>
      <c r="O2" s="48" t="s">
        <v>425</v>
      </c>
      <c r="P2" s="48" t="s">
        <v>425</v>
      </c>
      <c r="Q2" s="48" t="s">
        <v>425</v>
      </c>
      <c r="R2" s="48" t="s">
        <v>425</v>
      </c>
      <c r="S2" s="48" t="s">
        <v>425</v>
      </c>
      <c r="T2" s="48" t="s">
        <v>425</v>
      </c>
      <c r="U2" s="76"/>
      <c r="V2" s="76"/>
      <c r="W2" s="76"/>
      <c r="X2" s="76"/>
      <c r="Y2" s="76"/>
      <c r="Z2" s="76"/>
      <c r="AA2" s="76"/>
      <c r="AB2" s="76"/>
      <c r="AC2" s="76"/>
      <c r="AD2" s="76"/>
      <c r="AE2" s="76"/>
      <c r="AF2" s="76"/>
      <c r="AG2" s="76"/>
      <c r="AH2" s="76"/>
      <c r="AI2" s="76"/>
      <c r="AJ2" s="76"/>
      <c r="AK2" s="76"/>
      <c r="AL2" s="76"/>
      <c r="AM2" s="76"/>
      <c r="AN2" s="76"/>
      <c r="AO2" s="76"/>
      <c r="AP2" s="76"/>
      <c r="AQ2" s="76"/>
      <c r="AR2" s="76"/>
      <c r="AS2" s="76"/>
      <c r="AT2" s="76"/>
      <c r="AU2" s="76"/>
      <c r="AV2" s="31" t="s">
        <v>426</v>
      </c>
      <c r="AW2" s="31" t="s">
        <v>426</v>
      </c>
      <c r="AX2" s="31" t="s">
        <v>426</v>
      </c>
      <c r="AY2" s="31" t="s">
        <v>426</v>
      </c>
      <c r="AZ2" s="26" t="s">
        <v>427</v>
      </c>
      <c r="BA2" s="26" t="s">
        <v>427</v>
      </c>
      <c r="BB2" s="26" t="s">
        <v>427</v>
      </c>
      <c r="BC2" s="26" t="s">
        <v>427</v>
      </c>
      <c r="BD2" s="18" t="s">
        <v>428</v>
      </c>
      <c r="BE2" s="18" t="s">
        <v>428</v>
      </c>
      <c r="BF2" s="18" t="s">
        <v>428</v>
      </c>
      <c r="BG2" s="1" t="s">
        <v>429</v>
      </c>
      <c r="BH2" s="1" t="s">
        <v>430</v>
      </c>
      <c r="BI2" s="1" t="s">
        <v>430</v>
      </c>
      <c r="BJ2" s="1" t="s">
        <v>430</v>
      </c>
      <c r="BK2" s="1" t="s">
        <v>430</v>
      </c>
      <c r="BL2" s="1" t="s">
        <v>430</v>
      </c>
      <c r="BM2" s="1" t="s">
        <v>430</v>
      </c>
      <c r="BN2" s="1" t="s">
        <v>430</v>
      </c>
      <c r="BO2" s="1" t="s">
        <v>430</v>
      </c>
      <c r="BP2" s="1" t="s">
        <v>430</v>
      </c>
      <c r="BQ2" s="1" t="s">
        <v>430</v>
      </c>
      <c r="BR2" s="1" t="s">
        <v>430</v>
      </c>
      <c r="BS2" s="1" t="s">
        <v>430</v>
      </c>
      <c r="BT2" s="1" t="s">
        <v>430</v>
      </c>
      <c r="BU2" s="1" t="s">
        <v>430</v>
      </c>
      <c r="BV2" s="58"/>
      <c r="BW2" s="58"/>
      <c r="BX2" s="58"/>
      <c r="BY2" s="58"/>
      <c r="BZ2" s="58"/>
      <c r="CA2" s="58"/>
      <c r="CB2" s="58"/>
      <c r="CC2" s="58"/>
      <c r="CD2" s="58"/>
      <c r="CE2" s="58"/>
      <c r="CF2" s="58"/>
      <c r="CG2" s="58"/>
      <c r="CH2" s="58"/>
      <c r="CI2" s="58"/>
      <c r="CJ2" s="58"/>
      <c r="CK2" s="58"/>
      <c r="CL2" s="58"/>
      <c r="CM2" s="58"/>
      <c r="CN2" s="58"/>
      <c r="CO2" s="58"/>
      <c r="CP2" s="58"/>
      <c r="CQ2" s="58"/>
      <c r="CR2" s="58"/>
      <c r="CS2" s="58"/>
      <c r="CT2" s="58"/>
      <c r="CU2" s="58"/>
      <c r="CV2" s="58"/>
      <c r="CW2" s="58"/>
      <c r="CX2" s="58"/>
      <c r="CY2" s="58"/>
      <c r="CZ2" s="58"/>
      <c r="DA2" s="58"/>
      <c r="DB2" s="58"/>
      <c r="DC2" s="58"/>
      <c r="DD2" s="58"/>
      <c r="DE2" s="58"/>
      <c r="DF2" s="58"/>
      <c r="DG2" s="58"/>
      <c r="DH2" s="58"/>
      <c r="DI2" s="58"/>
      <c r="DJ2" s="58"/>
      <c r="DK2" s="58"/>
      <c r="DL2" s="58"/>
      <c r="DM2" s="58"/>
      <c r="DN2" s="58"/>
      <c r="DO2" s="58"/>
      <c r="DP2" s="58"/>
      <c r="DQ2" s="58"/>
      <c r="DR2" s="58"/>
      <c r="DS2" s="58"/>
      <c r="DT2" s="58"/>
      <c r="DU2" s="58"/>
      <c r="DV2" s="58"/>
      <c r="DW2" s="58"/>
      <c r="DX2" s="58"/>
      <c r="DY2" s="58"/>
      <c r="DZ2" s="58"/>
      <c r="EA2" s="58"/>
      <c r="EB2" s="58"/>
      <c r="EC2" s="58"/>
      <c r="ED2" s="31" t="s">
        <v>431</v>
      </c>
      <c r="EE2" s="31" t="s">
        <v>431</v>
      </c>
      <c r="EF2" s="31" t="s">
        <v>431</v>
      </c>
      <c r="EG2" s="31" t="s">
        <v>431</v>
      </c>
      <c r="EH2" s="31" t="s">
        <v>431</v>
      </c>
      <c r="EI2" s="31" t="s">
        <v>431</v>
      </c>
      <c r="EJ2" s="31" t="s">
        <v>431</v>
      </c>
      <c r="EK2" s="31" t="s">
        <v>431</v>
      </c>
      <c r="EL2" s="31" t="s">
        <v>431</v>
      </c>
      <c r="EM2" s="31" t="s">
        <v>431</v>
      </c>
      <c r="EN2" s="31" t="s">
        <v>431</v>
      </c>
      <c r="EO2" s="31" t="s">
        <v>431</v>
      </c>
      <c r="EP2" s="31" t="s">
        <v>431</v>
      </c>
      <c r="EQ2" s="31" t="s">
        <v>431</v>
      </c>
      <c r="ER2" s="31" t="s">
        <v>431</v>
      </c>
      <c r="ES2" s="31" t="s">
        <v>431</v>
      </c>
      <c r="ET2" s="31" t="s">
        <v>431</v>
      </c>
      <c r="EU2" s="31" t="s">
        <v>431</v>
      </c>
      <c r="EV2" s="31" t="s">
        <v>431</v>
      </c>
      <c r="EW2" s="31" t="s">
        <v>431</v>
      </c>
      <c r="EX2" s="31" t="s">
        <v>431</v>
      </c>
      <c r="EY2" s="31" t="s">
        <v>431</v>
      </c>
      <c r="EZ2" s="31" t="s">
        <v>431</v>
      </c>
      <c r="FA2" s="31" t="s">
        <v>431</v>
      </c>
      <c r="FB2" s="31" t="s">
        <v>431</v>
      </c>
      <c r="FC2" s="31" t="s">
        <v>431</v>
      </c>
      <c r="FD2" s="31" t="s">
        <v>431</v>
      </c>
      <c r="FE2" s="31" t="s">
        <v>431</v>
      </c>
      <c r="FF2" s="31" t="s">
        <v>431</v>
      </c>
      <c r="FG2" s="31" t="s">
        <v>431</v>
      </c>
      <c r="FH2" s="31" t="s">
        <v>431</v>
      </c>
      <c r="FI2" s="31" t="s">
        <v>431</v>
      </c>
      <c r="FJ2" s="31" t="s">
        <v>431</v>
      </c>
      <c r="FK2" s="31" t="s">
        <v>431</v>
      </c>
      <c r="FL2" s="31" t="s">
        <v>431</v>
      </c>
      <c r="FM2" s="31" t="s">
        <v>431</v>
      </c>
      <c r="FN2" s="31" t="s">
        <v>431</v>
      </c>
      <c r="FO2" s="31" t="s">
        <v>431</v>
      </c>
      <c r="FP2" s="31" t="s">
        <v>431</v>
      </c>
      <c r="FQ2" s="31" t="s">
        <v>431</v>
      </c>
      <c r="FR2" s="31" t="s">
        <v>431</v>
      </c>
      <c r="FS2" s="31" t="s">
        <v>431</v>
      </c>
      <c r="FT2" s="31" t="s">
        <v>431</v>
      </c>
      <c r="FU2" s="31" t="s">
        <v>431</v>
      </c>
      <c r="FV2" s="31" t="s">
        <v>431</v>
      </c>
      <c r="FW2" s="31" t="s">
        <v>431</v>
      </c>
      <c r="FX2" s="31" t="s">
        <v>431</v>
      </c>
      <c r="FY2" s="31" t="s">
        <v>431</v>
      </c>
      <c r="FZ2" s="31" t="s">
        <v>431</v>
      </c>
      <c r="GA2" s="31" t="s">
        <v>431</v>
      </c>
      <c r="GB2" s="31" t="s">
        <v>431</v>
      </c>
      <c r="GC2" s="31" t="s">
        <v>431</v>
      </c>
      <c r="GD2" s="31" t="s">
        <v>431</v>
      </c>
      <c r="GE2" s="31" t="s">
        <v>431</v>
      </c>
      <c r="GF2" s="31" t="s">
        <v>431</v>
      </c>
      <c r="GG2" s="31" t="s">
        <v>431</v>
      </c>
      <c r="GH2" s="31" t="s">
        <v>431</v>
      </c>
      <c r="GI2" s="31" t="s">
        <v>431</v>
      </c>
      <c r="GJ2" s="31" t="s">
        <v>431</v>
      </c>
      <c r="GK2" s="31" t="s">
        <v>431</v>
      </c>
      <c r="GL2" s="23" t="s">
        <v>432</v>
      </c>
      <c r="GM2" s="23" t="s">
        <v>432</v>
      </c>
      <c r="GN2" s="23" t="s">
        <v>432</v>
      </c>
      <c r="GO2" s="23" t="s">
        <v>432</v>
      </c>
      <c r="GP2" s="23"/>
      <c r="GQ2" s="23" t="s">
        <v>432</v>
      </c>
      <c r="GR2" s="23" t="s">
        <v>432</v>
      </c>
      <c r="GS2" s="23" t="s">
        <v>432</v>
      </c>
      <c r="GT2" s="23" t="s">
        <v>432</v>
      </c>
      <c r="GU2" s="49"/>
      <c r="GV2" s="49"/>
      <c r="GW2" s="49"/>
      <c r="GX2" s="49"/>
      <c r="GY2" s="49"/>
      <c r="GZ2" s="49"/>
      <c r="HA2" s="49"/>
      <c r="HB2" s="49"/>
      <c r="HC2" s="49"/>
      <c r="HD2" s="49"/>
      <c r="HE2" s="49"/>
      <c r="HF2" s="49"/>
      <c r="HG2" s="49"/>
      <c r="HH2" s="49"/>
      <c r="HI2" s="49"/>
      <c r="HJ2" s="49"/>
      <c r="HK2" s="26" t="s">
        <v>433</v>
      </c>
      <c r="HL2" s="26" t="s">
        <v>433</v>
      </c>
      <c r="HM2" s="26" t="s">
        <v>434</v>
      </c>
      <c r="HN2" s="26" t="s">
        <v>434</v>
      </c>
      <c r="HO2" s="26" t="s">
        <v>434</v>
      </c>
      <c r="HP2" s="26" t="s">
        <v>434</v>
      </c>
      <c r="HQ2" s="31" t="s">
        <v>435</v>
      </c>
      <c r="HR2" s="31" t="s">
        <v>435</v>
      </c>
      <c r="HS2" s="31" t="s">
        <v>436</v>
      </c>
      <c r="HT2" s="31" t="s">
        <v>436</v>
      </c>
      <c r="HU2" s="31" t="s">
        <v>436</v>
      </c>
      <c r="HV2" s="33" t="s">
        <v>437</v>
      </c>
      <c r="HW2" s="33"/>
      <c r="HX2" s="33" t="s">
        <v>437</v>
      </c>
      <c r="HY2" s="33" t="s">
        <v>437</v>
      </c>
      <c r="HZ2" s="33" t="s">
        <v>437</v>
      </c>
      <c r="IA2" s="33" t="s">
        <v>437</v>
      </c>
      <c r="IB2" s="39" t="s">
        <v>438</v>
      </c>
      <c r="IC2" s="39"/>
      <c r="ID2" s="39" t="s">
        <v>438</v>
      </c>
      <c r="IE2" s="39" t="s">
        <v>438</v>
      </c>
      <c r="IF2" s="39" t="s">
        <v>438</v>
      </c>
      <c r="IG2" s="39"/>
      <c r="IH2" s="30" t="s">
        <v>439</v>
      </c>
      <c r="II2" s="30" t="s">
        <v>439</v>
      </c>
      <c r="IJ2" s="30" t="s">
        <v>440</v>
      </c>
      <c r="IK2" s="30" t="s">
        <v>440</v>
      </c>
      <c r="IL2" s="30" t="s">
        <v>440</v>
      </c>
      <c r="IM2" s="30" t="s">
        <v>440</v>
      </c>
      <c r="IN2" s="30" t="s">
        <v>440</v>
      </c>
      <c r="IO2" s="26" t="s">
        <v>441</v>
      </c>
      <c r="IP2" s="26" t="s">
        <v>441</v>
      </c>
      <c r="IQ2" s="26"/>
      <c r="IR2" s="26"/>
      <c r="IS2" s="32" t="s">
        <v>442</v>
      </c>
      <c r="IT2" s="32" t="s">
        <v>442</v>
      </c>
      <c r="IU2" s="32" t="s">
        <v>442</v>
      </c>
      <c r="IV2" s="31" t="s">
        <v>443</v>
      </c>
      <c r="IW2" s="31" t="s">
        <v>443</v>
      </c>
      <c r="IX2" s="31" t="s">
        <v>443</v>
      </c>
      <c r="IY2" s="31" t="s">
        <v>443</v>
      </c>
      <c r="IZ2" s="31"/>
      <c r="JA2" s="31" t="s">
        <v>444</v>
      </c>
      <c r="JB2" s="31" t="s">
        <v>444</v>
      </c>
      <c r="JC2" s="31" t="s">
        <v>444</v>
      </c>
      <c r="JD2" s="31" t="s">
        <v>444</v>
      </c>
      <c r="JE2" s="31" t="s">
        <v>444</v>
      </c>
      <c r="JF2" s="31" t="s">
        <v>444</v>
      </c>
      <c r="JG2" s="31" t="s">
        <v>444</v>
      </c>
      <c r="JH2" s="31" t="s">
        <v>444</v>
      </c>
      <c r="JI2" s="31" t="s">
        <v>444</v>
      </c>
      <c r="JJ2" s="30" t="s">
        <v>445</v>
      </c>
      <c r="JK2" s="30" t="s">
        <v>445</v>
      </c>
      <c r="JL2" s="30" t="s">
        <v>446</v>
      </c>
      <c r="JM2" s="30" t="s">
        <v>446</v>
      </c>
      <c r="JN2" s="30" t="s">
        <v>446</v>
      </c>
      <c r="JO2" s="30" t="s">
        <v>446</v>
      </c>
      <c r="JP2" s="30" t="s">
        <v>446</v>
      </c>
      <c r="JQ2" s="30" t="s">
        <v>446</v>
      </c>
      <c r="JR2" s="30" t="s">
        <v>446</v>
      </c>
      <c r="JS2" s="30" t="s">
        <v>446</v>
      </c>
      <c r="JT2" s="30" t="s">
        <v>446</v>
      </c>
      <c r="JU2" s="30" t="s">
        <v>446</v>
      </c>
      <c r="JV2" s="26" t="s">
        <v>446</v>
      </c>
      <c r="JW2" s="26" t="s">
        <v>446</v>
      </c>
      <c r="JX2" s="26" t="s">
        <v>446</v>
      </c>
      <c r="JY2" s="26" t="s">
        <v>446</v>
      </c>
      <c r="JZ2" s="26" t="s">
        <v>446</v>
      </c>
      <c r="KA2" s="26" t="s">
        <v>446</v>
      </c>
      <c r="KB2" s="26" t="s">
        <v>446</v>
      </c>
      <c r="KC2" s="26" t="s">
        <v>446</v>
      </c>
      <c r="KD2" s="26" t="s">
        <v>446</v>
      </c>
      <c r="KE2" s="30" t="s">
        <v>447</v>
      </c>
      <c r="KF2" s="30" t="s">
        <v>447</v>
      </c>
      <c r="KG2" s="30" t="s">
        <v>448</v>
      </c>
      <c r="KH2" s="30" t="s">
        <v>448</v>
      </c>
      <c r="KI2" s="26" t="s">
        <v>449</v>
      </c>
      <c r="KJ2" s="26" t="s">
        <v>449</v>
      </c>
      <c r="KK2" s="26" t="s">
        <v>450</v>
      </c>
      <c r="KL2" s="26" t="s">
        <v>450</v>
      </c>
      <c r="KM2" s="26" t="s">
        <v>450</v>
      </c>
      <c r="KN2" s="26" t="s">
        <v>449</v>
      </c>
      <c r="KO2" s="26" t="s">
        <v>450</v>
      </c>
      <c r="KP2" s="26" t="s">
        <v>450</v>
      </c>
      <c r="KQ2" s="26" t="s">
        <v>450</v>
      </c>
      <c r="KR2" s="26"/>
      <c r="KS2" s="26"/>
      <c r="KT2" s="26"/>
      <c r="KU2" s="26"/>
      <c r="KV2" s="30" t="s">
        <v>451</v>
      </c>
      <c r="KW2" s="30" t="s">
        <v>451</v>
      </c>
      <c r="KX2" s="30" t="s">
        <v>451</v>
      </c>
      <c r="KY2" s="30" t="s">
        <v>451</v>
      </c>
      <c r="KZ2" s="30" t="s">
        <v>451</v>
      </c>
      <c r="LA2" s="30"/>
      <c r="LB2" s="30"/>
      <c r="LC2" s="30" t="s">
        <v>452</v>
      </c>
      <c r="LD2" s="30" t="s">
        <v>452</v>
      </c>
      <c r="LE2" s="30"/>
      <c r="LF2" s="30" t="s">
        <v>452</v>
      </c>
      <c r="LG2" s="30"/>
      <c r="LH2" s="30" t="s">
        <v>452</v>
      </c>
      <c r="LI2" s="30" t="s">
        <v>452</v>
      </c>
      <c r="LJ2" s="30" t="s">
        <v>452</v>
      </c>
      <c r="LK2" s="30" t="s">
        <v>452</v>
      </c>
      <c r="LL2" s="30" t="s">
        <v>452</v>
      </c>
      <c r="LM2" s="30" t="s">
        <v>452</v>
      </c>
      <c r="LN2" s="30" t="s">
        <v>452</v>
      </c>
      <c r="LO2" s="29" t="s">
        <v>453</v>
      </c>
      <c r="LP2" s="29" t="s">
        <v>453</v>
      </c>
      <c r="LQ2" s="29" t="s">
        <v>453</v>
      </c>
      <c r="LR2" s="29" t="s">
        <v>454</v>
      </c>
      <c r="LS2" s="29" t="s">
        <v>454</v>
      </c>
      <c r="LT2" s="28" t="s">
        <v>455</v>
      </c>
      <c r="LU2" s="28" t="s">
        <v>455</v>
      </c>
      <c r="LV2" s="28"/>
      <c r="LW2" s="28" t="s">
        <v>456</v>
      </c>
      <c r="LX2" s="28" t="s">
        <v>456</v>
      </c>
      <c r="LY2" s="28" t="s">
        <v>456</v>
      </c>
      <c r="LZ2" s="28" t="s">
        <v>456</v>
      </c>
      <c r="MA2" s="28" t="s">
        <v>456</v>
      </c>
      <c r="MB2" s="27" t="s">
        <v>457</v>
      </c>
      <c r="MC2" s="27" t="s">
        <v>457</v>
      </c>
      <c r="MD2" s="27" t="s">
        <v>457</v>
      </c>
      <c r="ME2" s="27" t="s">
        <v>457</v>
      </c>
      <c r="MF2" s="27" t="s">
        <v>457</v>
      </c>
      <c r="MG2" s="26" t="s">
        <v>458</v>
      </c>
      <c r="MH2" s="26" t="s">
        <v>458</v>
      </c>
      <c r="MI2" s="26" t="s">
        <v>459</v>
      </c>
      <c r="MJ2" s="26" t="s">
        <v>459</v>
      </c>
      <c r="MK2" s="26" t="s">
        <v>459</v>
      </c>
      <c r="ML2" s="25" t="s">
        <v>460</v>
      </c>
      <c r="MM2" s="25" t="s">
        <v>460</v>
      </c>
      <c r="MN2" s="25"/>
      <c r="MO2" s="25"/>
      <c r="MP2" s="25"/>
      <c r="MQ2" s="25" t="s">
        <v>461</v>
      </c>
      <c r="MR2" s="25" t="s">
        <v>461</v>
      </c>
      <c r="MS2" s="25" t="s">
        <v>461</v>
      </c>
      <c r="MT2" s="30" t="s">
        <v>462</v>
      </c>
      <c r="MU2" s="30" t="s">
        <v>462</v>
      </c>
      <c r="MV2" s="30" t="s">
        <v>462</v>
      </c>
      <c r="MW2" s="30" t="s">
        <v>462</v>
      </c>
      <c r="MX2" s="30" t="s">
        <v>462</v>
      </c>
      <c r="MY2" s="24" t="s">
        <v>463</v>
      </c>
      <c r="MZ2" s="24" t="s">
        <v>463</v>
      </c>
      <c r="NA2" s="23" t="s">
        <v>464</v>
      </c>
      <c r="NB2" s="23" t="s">
        <v>464</v>
      </c>
      <c r="NC2" s="23"/>
      <c r="ND2" s="23"/>
      <c r="NE2" s="23"/>
      <c r="NF2" s="23"/>
      <c r="NG2" s="23" t="s">
        <v>464</v>
      </c>
      <c r="NH2" s="23" t="s">
        <v>464</v>
      </c>
      <c r="NI2" s="23" t="s">
        <v>465</v>
      </c>
      <c r="NJ2" s="1" t="s">
        <v>466</v>
      </c>
      <c r="NK2" s="1" t="s">
        <v>466</v>
      </c>
      <c r="NL2" s="1" t="s">
        <v>466</v>
      </c>
      <c r="NM2" s="1" t="s">
        <v>466</v>
      </c>
      <c r="NN2" s="1" t="s">
        <v>466</v>
      </c>
      <c r="NO2" s="1" t="s">
        <v>466</v>
      </c>
      <c r="NP2" s="1" t="s">
        <v>466</v>
      </c>
      <c r="NQ2" s="1" t="s">
        <v>466</v>
      </c>
      <c r="NR2" s="1" t="s">
        <v>466</v>
      </c>
      <c r="NS2" s="1" t="s">
        <v>466</v>
      </c>
      <c r="NT2" s="1" t="s">
        <v>466</v>
      </c>
      <c r="NU2" s="1" t="s">
        <v>466</v>
      </c>
      <c r="NV2" s="22" t="s">
        <v>467</v>
      </c>
      <c r="NW2" s="22" t="s">
        <v>467</v>
      </c>
      <c r="NX2" s="22" t="s">
        <v>467</v>
      </c>
      <c r="NY2" s="22" t="s">
        <v>467</v>
      </c>
      <c r="NZ2" s="22" t="s">
        <v>467</v>
      </c>
      <c r="OA2" s="22" t="s">
        <v>467</v>
      </c>
      <c r="OB2" s="22" t="s">
        <v>467</v>
      </c>
      <c r="OC2" s="22"/>
      <c r="OD2" s="22"/>
      <c r="OE2" s="22"/>
      <c r="OF2" s="22"/>
      <c r="OG2" s="22"/>
      <c r="OH2" s="22"/>
      <c r="OI2" s="22"/>
      <c r="OJ2" s="22"/>
      <c r="OK2" s="22"/>
      <c r="OL2" s="22"/>
      <c r="OM2" s="22"/>
      <c r="ON2" s="22"/>
      <c r="OO2" s="22"/>
      <c r="OP2" s="22"/>
      <c r="OQ2" s="22"/>
      <c r="OR2" s="22"/>
      <c r="OS2" s="22"/>
      <c r="OT2" s="22"/>
      <c r="OU2" s="22" t="s">
        <v>467</v>
      </c>
      <c r="OV2" s="22" t="s">
        <v>467</v>
      </c>
      <c r="OW2" s="21" t="s">
        <v>468</v>
      </c>
      <c r="OX2" s="21" t="s">
        <v>468</v>
      </c>
      <c r="OY2" s="21" t="s">
        <v>468</v>
      </c>
      <c r="OZ2" s="21" t="s">
        <v>468</v>
      </c>
      <c r="PA2" s="21" t="s">
        <v>468</v>
      </c>
    </row>
    <row r="3" spans="1:424" s="3" customFormat="1" ht="14.65" customHeight="1" thickBot="1">
      <c r="A3" s="3" t="s">
        <v>469</v>
      </c>
      <c r="B3" s="3" t="s">
        <v>470</v>
      </c>
      <c r="C3" s="3" t="s">
        <v>471</v>
      </c>
      <c r="D3" s="59" t="s">
        <v>472</v>
      </c>
      <c r="E3" s="3" t="s">
        <v>473</v>
      </c>
      <c r="F3" s="59" t="s">
        <v>474</v>
      </c>
      <c r="G3" s="3" t="s">
        <v>475</v>
      </c>
      <c r="H3" s="3" t="s">
        <v>476</v>
      </c>
      <c r="I3" s="3" t="s">
        <v>477</v>
      </c>
      <c r="J3" s="3" t="s">
        <v>478</v>
      </c>
      <c r="K3" s="3">
        <v>200</v>
      </c>
      <c r="AV3" s="3" t="s">
        <v>479</v>
      </c>
      <c r="AW3" s="3">
        <v>400</v>
      </c>
      <c r="AX3" s="3" t="s">
        <v>480</v>
      </c>
      <c r="AY3" s="3">
        <v>3</v>
      </c>
      <c r="AZ3" s="3" t="s">
        <v>481</v>
      </c>
      <c r="BA3" s="3">
        <v>2012</v>
      </c>
      <c r="BB3" s="3">
        <v>2015</v>
      </c>
      <c r="BC3" s="3" t="s">
        <v>480</v>
      </c>
      <c r="BD3" s="3" t="s">
        <v>482</v>
      </c>
      <c r="BE3" s="3" t="s">
        <v>483</v>
      </c>
      <c r="BF3" s="3" t="s">
        <v>484</v>
      </c>
      <c r="BG3" s="3" t="s">
        <v>485</v>
      </c>
      <c r="BH3" s="3" t="s">
        <v>480</v>
      </c>
      <c r="BI3" s="59" t="s">
        <v>486</v>
      </c>
      <c r="BJ3" s="60">
        <v>44000</v>
      </c>
      <c r="HK3" s="3" t="s">
        <v>487</v>
      </c>
      <c r="HL3" s="3" t="s">
        <v>488</v>
      </c>
      <c r="HQ3" s="3" t="s">
        <v>489</v>
      </c>
      <c r="HS3" s="59" t="s">
        <v>490</v>
      </c>
      <c r="HT3" s="3" t="s">
        <v>480</v>
      </c>
      <c r="HU3" s="3" t="s">
        <v>480</v>
      </c>
      <c r="IH3" s="3" t="s">
        <v>491</v>
      </c>
      <c r="II3" s="46" t="s">
        <v>492</v>
      </c>
      <c r="IJ3" s="62"/>
      <c r="IK3" s="62"/>
      <c r="IO3" s="3" t="s">
        <v>491</v>
      </c>
      <c r="IP3" s="46" t="s">
        <v>492</v>
      </c>
      <c r="JJ3" s="3" t="s">
        <v>493</v>
      </c>
      <c r="JK3" s="3" t="s">
        <v>494</v>
      </c>
      <c r="JL3" s="63" t="s">
        <v>495</v>
      </c>
      <c r="JM3" s="63" t="s">
        <v>496</v>
      </c>
      <c r="JN3" s="59" t="s">
        <v>497</v>
      </c>
      <c r="JO3" s="3" t="s">
        <v>498</v>
      </c>
      <c r="JV3" s="59"/>
      <c r="JW3" s="59"/>
      <c r="JX3" s="59"/>
      <c r="JY3" s="59"/>
      <c r="JZ3" s="59"/>
      <c r="KA3" s="59"/>
      <c r="KB3" s="59"/>
      <c r="KC3" s="59"/>
      <c r="KD3" s="59"/>
      <c r="KE3" s="3" t="s">
        <v>499</v>
      </c>
      <c r="KF3" s="61" t="s">
        <v>500</v>
      </c>
      <c r="KG3" s="61" t="s">
        <v>480</v>
      </c>
      <c r="KH3" s="3" t="s">
        <v>480</v>
      </c>
      <c r="KI3" s="3" t="s">
        <v>499</v>
      </c>
      <c r="KJ3" s="3" t="s">
        <v>501</v>
      </c>
      <c r="KK3" s="3" t="s">
        <v>502</v>
      </c>
      <c r="KL3" s="59" t="s">
        <v>503</v>
      </c>
      <c r="KM3" s="3">
        <v>2.5</v>
      </c>
      <c r="KN3" s="64"/>
      <c r="KO3" s="64"/>
      <c r="KP3" s="64"/>
      <c r="KQ3" s="61"/>
      <c r="KR3" s="64" t="s">
        <v>504</v>
      </c>
      <c r="KS3" s="64"/>
      <c r="KT3" s="64"/>
      <c r="KU3" s="61"/>
      <c r="KV3" s="3" t="s">
        <v>505</v>
      </c>
      <c r="KW3" s="3" t="s">
        <v>506</v>
      </c>
      <c r="LB3" s="59" t="s">
        <v>480</v>
      </c>
      <c r="LC3" s="59"/>
      <c r="LD3" s="59" t="s">
        <v>480</v>
      </c>
      <c r="LE3" s="59"/>
      <c r="LF3" s="59" t="s">
        <v>480</v>
      </c>
      <c r="LG3" s="59"/>
      <c r="LH3" s="59" t="s">
        <v>480</v>
      </c>
      <c r="LI3" s="59"/>
      <c r="LJ3" s="3" t="s">
        <v>507</v>
      </c>
      <c r="LK3" s="59" t="s">
        <v>480</v>
      </c>
      <c r="LL3" s="59" t="s">
        <v>480</v>
      </c>
      <c r="LM3" s="59" t="s">
        <v>508</v>
      </c>
      <c r="LN3" s="3">
        <v>2500</v>
      </c>
      <c r="MY3" s="3" t="s">
        <v>509</v>
      </c>
      <c r="MZ3" s="3">
        <v>30</v>
      </c>
      <c r="NA3" s="3" t="s">
        <v>510</v>
      </c>
      <c r="NB3" s="59" t="s">
        <v>511</v>
      </c>
      <c r="NI3" s="3" t="s">
        <v>512</v>
      </c>
      <c r="NJ3" s="3" t="s">
        <v>513</v>
      </c>
      <c r="NK3" s="3" t="s">
        <v>514</v>
      </c>
      <c r="NL3" s="59" t="s">
        <v>515</v>
      </c>
      <c r="NM3" s="65" t="s">
        <v>516</v>
      </c>
      <c r="NU3" s="3" t="s">
        <v>517</v>
      </c>
      <c r="NV3" s="3" t="s">
        <v>518</v>
      </c>
      <c r="NW3" s="66" t="s">
        <v>519</v>
      </c>
      <c r="NX3" s="59" t="s">
        <v>520</v>
      </c>
      <c r="NY3" s="67">
        <v>147.20812182741099</v>
      </c>
      <c r="OB3" s="3">
        <v>8</v>
      </c>
      <c r="OU3" s="3" t="s">
        <v>521</v>
      </c>
      <c r="OV3" s="3" t="s">
        <v>518</v>
      </c>
      <c r="OX3" s="68">
        <v>2012</v>
      </c>
      <c r="OY3" s="68">
        <v>2015</v>
      </c>
      <c r="OZ3" s="68"/>
      <c r="PB3" s="3" t="s">
        <v>522</v>
      </c>
      <c r="PC3" s="74">
        <v>46094</v>
      </c>
      <c r="PD3"/>
    </row>
    <row r="4" spans="1:424" s="3" customFormat="1" ht="15.75" thickBot="1">
      <c r="A4" s="3" t="s">
        <v>469</v>
      </c>
      <c r="B4" s="3" t="s">
        <v>470</v>
      </c>
      <c r="C4" s="3" t="s">
        <v>471</v>
      </c>
      <c r="D4" s="59" t="s">
        <v>472</v>
      </c>
      <c r="E4" s="3" t="s">
        <v>473</v>
      </c>
      <c r="F4" s="59" t="s">
        <v>474</v>
      </c>
      <c r="G4" s="3" t="s">
        <v>475</v>
      </c>
      <c r="H4" s="3" t="s">
        <v>476</v>
      </c>
      <c r="I4" s="3" t="s">
        <v>477</v>
      </c>
      <c r="J4" s="3" t="s">
        <v>478</v>
      </c>
      <c r="K4" s="3">
        <v>200</v>
      </c>
      <c r="AV4" s="3" t="s">
        <v>479</v>
      </c>
      <c r="AW4" s="3">
        <v>400</v>
      </c>
      <c r="AX4" s="3" t="s">
        <v>480</v>
      </c>
      <c r="AY4" s="3">
        <v>3</v>
      </c>
      <c r="AZ4" s="3" t="s">
        <v>481</v>
      </c>
      <c r="BA4" s="3">
        <v>2012</v>
      </c>
      <c r="BB4" s="3">
        <v>2015</v>
      </c>
      <c r="BC4" s="3" t="s">
        <v>480</v>
      </c>
      <c r="BD4" s="3" t="s">
        <v>523</v>
      </c>
      <c r="BE4" s="3" t="s">
        <v>524</v>
      </c>
      <c r="BF4" s="3" t="s">
        <v>484</v>
      </c>
      <c r="BG4" s="3" t="s">
        <v>485</v>
      </c>
      <c r="BH4" s="3" t="s">
        <v>480</v>
      </c>
      <c r="BI4" s="59" t="s">
        <v>486</v>
      </c>
      <c r="BJ4" s="60">
        <v>44000</v>
      </c>
      <c r="HK4" s="3" t="s">
        <v>525</v>
      </c>
      <c r="HL4" s="3" t="s">
        <v>526</v>
      </c>
      <c r="HM4" s="3" t="s">
        <v>527</v>
      </c>
      <c r="HO4" s="3" t="s">
        <v>480</v>
      </c>
      <c r="HP4" s="3">
        <v>1</v>
      </c>
      <c r="HQ4" s="3" t="s">
        <v>489</v>
      </c>
      <c r="HS4" s="59" t="s">
        <v>490</v>
      </c>
      <c r="HT4" s="3" t="s">
        <v>480</v>
      </c>
      <c r="HU4" s="3" t="s">
        <v>480</v>
      </c>
      <c r="IH4" s="3" t="s">
        <v>491</v>
      </c>
      <c r="II4" s="46" t="s">
        <v>492</v>
      </c>
      <c r="IJ4" s="62"/>
      <c r="IK4" s="62"/>
      <c r="IO4" s="3" t="s">
        <v>491</v>
      </c>
      <c r="IP4" s="46" t="s">
        <v>492</v>
      </c>
      <c r="JJ4" s="3" t="s">
        <v>493</v>
      </c>
      <c r="JK4" s="3" t="s">
        <v>494</v>
      </c>
      <c r="JL4" s="63" t="s">
        <v>495</v>
      </c>
      <c r="JM4" s="63" t="s">
        <v>496</v>
      </c>
      <c r="JN4" s="59" t="s">
        <v>497</v>
      </c>
      <c r="JO4" s="3" t="s">
        <v>498</v>
      </c>
      <c r="JV4" s="59"/>
      <c r="JW4" s="59"/>
      <c r="JX4" s="59"/>
      <c r="JY4" s="59"/>
      <c r="JZ4" s="59"/>
      <c r="KA4" s="59"/>
      <c r="KB4" s="59"/>
      <c r="KC4" s="59"/>
      <c r="KD4" s="59"/>
      <c r="KE4" s="59" t="s">
        <v>528</v>
      </c>
      <c r="KF4" s="61" t="s">
        <v>500</v>
      </c>
      <c r="KG4" s="61" t="s">
        <v>480</v>
      </c>
      <c r="KH4" s="3" t="s">
        <v>480</v>
      </c>
      <c r="KI4" s="3" t="s">
        <v>529</v>
      </c>
      <c r="KJ4" s="12" t="s">
        <v>530</v>
      </c>
      <c r="KL4" s="59"/>
      <c r="KN4" s="64"/>
      <c r="KO4" s="64"/>
      <c r="KP4" s="64"/>
      <c r="KQ4" s="61"/>
      <c r="KR4" s="64" t="s">
        <v>504</v>
      </c>
      <c r="KS4" s="64"/>
      <c r="KT4" s="64"/>
      <c r="KU4" s="61"/>
      <c r="KW4" s="61" t="s">
        <v>531</v>
      </c>
      <c r="LB4" s="61"/>
      <c r="LC4" s="59"/>
      <c r="LD4" s="61"/>
      <c r="LE4" s="61"/>
      <c r="LF4" s="61"/>
      <c r="LG4" s="61"/>
      <c r="LH4" s="61"/>
      <c r="LI4" s="59"/>
      <c r="LJ4" s="59"/>
      <c r="LK4" s="59"/>
      <c r="LL4" s="59"/>
      <c r="LM4" s="59"/>
      <c r="MY4" s="3" t="s">
        <v>509</v>
      </c>
      <c r="MZ4" s="3">
        <v>30</v>
      </c>
      <c r="NA4" s="3" t="s">
        <v>510</v>
      </c>
      <c r="NB4" s="59" t="s">
        <v>511</v>
      </c>
      <c r="NI4" s="3" t="s">
        <v>532</v>
      </c>
      <c r="NJ4" s="3" t="s">
        <v>513</v>
      </c>
      <c r="NK4" s="3" t="s">
        <v>514</v>
      </c>
      <c r="NL4" s="59" t="s">
        <v>515</v>
      </c>
      <c r="NM4" s="65" t="s">
        <v>516</v>
      </c>
      <c r="NU4" s="3" t="s">
        <v>533</v>
      </c>
      <c r="NV4" s="3" t="s">
        <v>518</v>
      </c>
      <c r="NW4" s="66" t="s">
        <v>534</v>
      </c>
      <c r="NX4" s="59" t="s">
        <v>520</v>
      </c>
      <c r="NY4" s="67">
        <v>172.58883248730911</v>
      </c>
      <c r="OB4" s="3">
        <v>8</v>
      </c>
      <c r="OU4" s="3" t="s">
        <v>521</v>
      </c>
      <c r="OV4" t="s">
        <v>518</v>
      </c>
      <c r="OX4" s="68">
        <v>2012</v>
      </c>
      <c r="OY4" s="68">
        <v>2015</v>
      </c>
      <c r="PB4" s="3" t="s">
        <v>522</v>
      </c>
      <c r="PC4" s="74">
        <v>46094</v>
      </c>
      <c r="PD4"/>
    </row>
    <row r="5" spans="1:424" s="3" customFormat="1" ht="15.75" thickBot="1">
      <c r="A5" s="3" t="s">
        <v>469</v>
      </c>
      <c r="B5" s="3" t="s">
        <v>470</v>
      </c>
      <c r="C5" s="3" t="s">
        <v>471</v>
      </c>
      <c r="D5" s="59" t="s">
        <v>472</v>
      </c>
      <c r="E5" s="3" t="s">
        <v>473</v>
      </c>
      <c r="F5" s="59" t="s">
        <v>474</v>
      </c>
      <c r="G5" s="3" t="s">
        <v>475</v>
      </c>
      <c r="H5" s="3" t="s">
        <v>476</v>
      </c>
      <c r="I5" s="3" t="s">
        <v>477</v>
      </c>
      <c r="J5" s="3" t="s">
        <v>478</v>
      </c>
      <c r="K5" s="3">
        <v>200</v>
      </c>
      <c r="AV5" s="3" t="s">
        <v>479</v>
      </c>
      <c r="AW5" s="3">
        <v>400</v>
      </c>
      <c r="AX5" s="3" t="s">
        <v>480</v>
      </c>
      <c r="AY5" s="3">
        <v>3</v>
      </c>
      <c r="AZ5" s="3" t="s">
        <v>481</v>
      </c>
      <c r="BA5" s="3">
        <v>2012</v>
      </c>
      <c r="BB5" s="3">
        <v>2015</v>
      </c>
      <c r="BC5" s="3" t="s">
        <v>480</v>
      </c>
      <c r="BD5" s="3" t="s">
        <v>535</v>
      </c>
      <c r="BE5" s="3" t="s">
        <v>536</v>
      </c>
      <c r="BF5" s="3" t="s">
        <v>484</v>
      </c>
      <c r="BG5" s="3" t="s">
        <v>485</v>
      </c>
      <c r="BH5" s="3" t="s">
        <v>480</v>
      </c>
      <c r="BI5" s="59" t="s">
        <v>486</v>
      </c>
      <c r="BJ5" s="60">
        <v>44000</v>
      </c>
      <c r="BK5" s="3" t="s">
        <v>537</v>
      </c>
      <c r="BL5" s="3" t="s">
        <v>538</v>
      </c>
      <c r="BM5" s="3" t="s">
        <v>480</v>
      </c>
      <c r="BN5" s="59" t="s">
        <v>486</v>
      </c>
      <c r="BO5" s="60">
        <v>44444</v>
      </c>
      <c r="HK5" s="3" t="s">
        <v>487</v>
      </c>
      <c r="HL5" s="3" t="s">
        <v>488</v>
      </c>
      <c r="HQ5" s="3" t="s">
        <v>489</v>
      </c>
      <c r="HS5" s="59" t="s">
        <v>539</v>
      </c>
      <c r="HT5" s="3" t="s">
        <v>480</v>
      </c>
      <c r="HU5" s="3" t="s">
        <v>480</v>
      </c>
      <c r="IH5" s="3" t="s">
        <v>540</v>
      </c>
      <c r="II5" s="219" t="s">
        <v>541</v>
      </c>
      <c r="IJ5" s="59" t="s">
        <v>542</v>
      </c>
      <c r="IK5" s="59" t="s">
        <v>543</v>
      </c>
      <c r="IL5" s="3">
        <v>2012</v>
      </c>
      <c r="IM5" s="69" t="s">
        <v>480</v>
      </c>
      <c r="IN5" s="59" t="s">
        <v>544</v>
      </c>
      <c r="JJ5" s="3" t="s">
        <v>493</v>
      </c>
      <c r="JK5" s="3" t="s">
        <v>494</v>
      </c>
      <c r="JL5" s="63" t="s">
        <v>495</v>
      </c>
      <c r="JM5" s="63" t="s">
        <v>496</v>
      </c>
      <c r="JN5" s="59" t="s">
        <v>497</v>
      </c>
      <c r="JO5" s="3" t="s">
        <v>498</v>
      </c>
      <c r="JV5" s="59"/>
      <c r="JW5" s="59"/>
      <c r="JX5" s="59"/>
      <c r="JY5" s="59"/>
      <c r="JZ5" s="59"/>
      <c r="KA5" s="59"/>
      <c r="KB5" s="59"/>
      <c r="KC5" s="59"/>
      <c r="KD5" s="59"/>
      <c r="KE5" s="3" t="s">
        <v>499</v>
      </c>
      <c r="KF5" s="61" t="s">
        <v>500</v>
      </c>
      <c r="KG5" s="61" t="s">
        <v>480</v>
      </c>
      <c r="KH5" s="3" t="s">
        <v>480</v>
      </c>
      <c r="KI5" s="3" t="s">
        <v>499</v>
      </c>
      <c r="KJ5" s="3" t="s">
        <v>501</v>
      </c>
      <c r="KK5" s="3" t="s">
        <v>502</v>
      </c>
      <c r="KL5" s="59" t="s">
        <v>503</v>
      </c>
      <c r="KM5" s="3">
        <v>2.5</v>
      </c>
      <c r="KN5" s="64"/>
      <c r="KO5" s="64"/>
      <c r="KP5" s="64"/>
      <c r="KQ5" s="61"/>
      <c r="KR5" s="64" t="s">
        <v>545</v>
      </c>
      <c r="KS5" s="64" t="s">
        <v>546</v>
      </c>
      <c r="KT5" s="3" t="s">
        <v>480</v>
      </c>
      <c r="KU5" s="3" t="s">
        <v>480</v>
      </c>
      <c r="KV5" s="3" t="s">
        <v>505</v>
      </c>
      <c r="KW5" s="3" t="s">
        <v>506</v>
      </c>
      <c r="LB5" s="59" t="s">
        <v>480</v>
      </c>
      <c r="LC5" s="59"/>
      <c r="LD5" s="59" t="s">
        <v>480</v>
      </c>
      <c r="LE5" s="59"/>
      <c r="LF5" s="59" t="s">
        <v>480</v>
      </c>
      <c r="LG5" s="59"/>
      <c r="LH5" s="59" t="s">
        <v>480</v>
      </c>
      <c r="LI5" s="59"/>
      <c r="LJ5" s="3" t="s">
        <v>507</v>
      </c>
      <c r="LK5" s="59" t="s">
        <v>480</v>
      </c>
      <c r="LL5" s="59" t="s">
        <v>480</v>
      </c>
      <c r="LM5" s="59" t="s">
        <v>508</v>
      </c>
      <c r="LN5" s="3">
        <v>2500</v>
      </c>
      <c r="MY5" s="3" t="s">
        <v>509</v>
      </c>
      <c r="MZ5" s="3">
        <v>30</v>
      </c>
      <c r="NA5" s="3" t="s">
        <v>547</v>
      </c>
      <c r="NB5" s="59" t="s">
        <v>511</v>
      </c>
      <c r="NC5" s="59" t="s">
        <v>548</v>
      </c>
      <c r="ND5" s="3" t="s">
        <v>549</v>
      </c>
      <c r="NI5" s="3" t="s">
        <v>550</v>
      </c>
      <c r="NJ5" s="3" t="s">
        <v>513</v>
      </c>
      <c r="NK5" s="3" t="s">
        <v>514</v>
      </c>
      <c r="NL5" s="59" t="s">
        <v>515</v>
      </c>
      <c r="NM5" s="65" t="s">
        <v>516</v>
      </c>
      <c r="NV5" s="3" t="s">
        <v>518</v>
      </c>
      <c r="NW5" s="66" t="s">
        <v>551</v>
      </c>
      <c r="NX5" s="59" t="s">
        <v>520</v>
      </c>
      <c r="NY5" s="67">
        <v>91.370558375635028</v>
      </c>
      <c r="OB5" s="3">
        <v>8</v>
      </c>
      <c r="OU5" s="3" t="s">
        <v>521</v>
      </c>
      <c r="OV5" t="s">
        <v>518</v>
      </c>
      <c r="OX5" s="68">
        <v>2012</v>
      </c>
      <c r="OY5" s="68">
        <v>2015</v>
      </c>
      <c r="OZ5" s="68"/>
      <c r="PB5" s="3" t="s">
        <v>522</v>
      </c>
      <c r="PC5" s="74">
        <v>46094</v>
      </c>
      <c r="PD5"/>
    </row>
    <row r="6" spans="1:424" s="3" customFormat="1" ht="15.75" thickBot="1">
      <c r="A6" s="3" t="s">
        <v>469</v>
      </c>
      <c r="B6" s="3" t="s">
        <v>470</v>
      </c>
      <c r="C6" s="3" t="s">
        <v>471</v>
      </c>
      <c r="D6" s="59" t="s">
        <v>472</v>
      </c>
      <c r="E6" s="3" t="s">
        <v>473</v>
      </c>
      <c r="F6" s="59" t="s">
        <v>474</v>
      </c>
      <c r="G6" s="3" t="s">
        <v>475</v>
      </c>
      <c r="H6" s="3" t="s">
        <v>476</v>
      </c>
      <c r="I6" s="3" t="s">
        <v>477</v>
      </c>
      <c r="J6" s="3" t="s">
        <v>478</v>
      </c>
      <c r="K6" s="3">
        <v>200</v>
      </c>
      <c r="AV6" s="3" t="s">
        <v>479</v>
      </c>
      <c r="AW6" s="3">
        <v>400</v>
      </c>
      <c r="AX6" s="3" t="s">
        <v>480</v>
      </c>
      <c r="AY6" s="3">
        <v>3</v>
      </c>
      <c r="AZ6" s="3" t="s">
        <v>481</v>
      </c>
      <c r="BA6" s="3">
        <v>2012</v>
      </c>
      <c r="BB6" s="3">
        <v>2015</v>
      </c>
      <c r="BC6" s="3" t="s">
        <v>480</v>
      </c>
      <c r="BD6" s="3" t="s">
        <v>552</v>
      </c>
      <c r="BE6" s="3" t="s">
        <v>553</v>
      </c>
      <c r="BF6" s="3" t="s">
        <v>484</v>
      </c>
      <c r="BG6" s="3" t="s">
        <v>554</v>
      </c>
      <c r="BH6" s="3" t="s">
        <v>480</v>
      </c>
      <c r="BI6" s="59" t="s">
        <v>486</v>
      </c>
      <c r="BJ6" s="60">
        <v>44444</v>
      </c>
      <c r="BK6" s="3" t="s">
        <v>555</v>
      </c>
      <c r="BL6" s="3" t="s">
        <v>556</v>
      </c>
      <c r="BM6" s="3" t="s">
        <v>480</v>
      </c>
      <c r="BN6" s="59" t="s">
        <v>486</v>
      </c>
      <c r="BO6" s="60">
        <v>148000</v>
      </c>
      <c r="BP6" s="3" t="s">
        <v>555</v>
      </c>
      <c r="BQ6" s="3" t="s">
        <v>485</v>
      </c>
      <c r="BR6" s="3" t="s">
        <v>480</v>
      </c>
      <c r="BS6" s="59" t="s">
        <v>486</v>
      </c>
      <c r="BT6" s="3">
        <v>44000</v>
      </c>
      <c r="HK6" s="3" t="s">
        <v>487</v>
      </c>
      <c r="HL6" s="3" t="s">
        <v>488</v>
      </c>
      <c r="HQ6" s="3" t="s">
        <v>489</v>
      </c>
      <c r="HS6" s="59" t="s">
        <v>490</v>
      </c>
      <c r="HT6" s="3" t="s">
        <v>480</v>
      </c>
      <c r="HU6" s="3" t="s">
        <v>480</v>
      </c>
      <c r="IO6" s="3" t="s">
        <v>557</v>
      </c>
      <c r="IP6" s="75" t="s">
        <v>558</v>
      </c>
      <c r="IS6" s="3" t="s">
        <v>480</v>
      </c>
      <c r="IT6" s="3" t="s">
        <v>480</v>
      </c>
      <c r="IU6" s="59" t="s">
        <v>544</v>
      </c>
      <c r="JJ6" s="3" t="s">
        <v>493</v>
      </c>
      <c r="JK6" s="3" t="s">
        <v>494</v>
      </c>
      <c r="JL6" s="63" t="s">
        <v>495</v>
      </c>
      <c r="JM6" s="63" t="s">
        <v>559</v>
      </c>
      <c r="JN6" s="59" t="s">
        <v>560</v>
      </c>
      <c r="JO6" s="3" t="s">
        <v>561</v>
      </c>
      <c r="JV6" s="59"/>
      <c r="JW6" s="59"/>
      <c r="JX6" s="59"/>
      <c r="JY6" s="59"/>
      <c r="JZ6" s="59"/>
      <c r="KA6" s="59"/>
      <c r="KB6" s="59"/>
      <c r="KC6" s="59"/>
      <c r="KD6" s="59"/>
      <c r="KE6" s="3" t="s">
        <v>499</v>
      </c>
      <c r="KF6" s="61" t="s">
        <v>500</v>
      </c>
      <c r="KG6" s="61" t="s">
        <v>480</v>
      </c>
      <c r="KH6" s="3" t="s">
        <v>480</v>
      </c>
      <c r="KI6" s="3" t="s">
        <v>499</v>
      </c>
      <c r="KJ6" s="3" t="s">
        <v>501</v>
      </c>
      <c r="KK6" s="3" t="s">
        <v>502</v>
      </c>
      <c r="KL6" s="59" t="s">
        <v>503</v>
      </c>
      <c r="KM6" s="3">
        <v>2.5</v>
      </c>
      <c r="KN6" s="64"/>
      <c r="KO6" s="64" t="s">
        <v>562</v>
      </c>
      <c r="KP6" s="64" t="s">
        <v>480</v>
      </c>
      <c r="KQ6" s="64" t="s">
        <v>480</v>
      </c>
      <c r="KR6" s="64" t="s">
        <v>504</v>
      </c>
      <c r="KS6" s="64"/>
      <c r="KT6" s="64"/>
      <c r="KU6" s="61"/>
      <c r="KV6" s="3" t="s">
        <v>505</v>
      </c>
      <c r="KW6" s="3" t="s">
        <v>506</v>
      </c>
      <c r="LB6" s="59" t="s">
        <v>480</v>
      </c>
      <c r="LC6" s="59"/>
      <c r="LD6" s="59" t="s">
        <v>480</v>
      </c>
      <c r="LE6" s="59"/>
      <c r="LF6" s="59" t="s">
        <v>480</v>
      </c>
      <c r="LG6" s="59"/>
      <c r="LH6" s="59" t="s">
        <v>480</v>
      </c>
      <c r="LI6" s="59"/>
      <c r="LJ6" s="3" t="s">
        <v>507</v>
      </c>
      <c r="LK6" s="59" t="s">
        <v>480</v>
      </c>
      <c r="LL6" s="59" t="s">
        <v>480</v>
      </c>
      <c r="LM6" s="59" t="s">
        <v>508</v>
      </c>
      <c r="LN6" s="3">
        <v>2500</v>
      </c>
      <c r="MY6" s="3" t="s">
        <v>509</v>
      </c>
      <c r="MZ6" s="3">
        <v>30</v>
      </c>
      <c r="NA6" s="3" t="s">
        <v>510</v>
      </c>
      <c r="NB6" s="59" t="s">
        <v>511</v>
      </c>
      <c r="NC6" s="59" t="s">
        <v>548</v>
      </c>
      <c r="ND6" s="3" t="s">
        <v>563</v>
      </c>
      <c r="NI6" s="3" t="s">
        <v>512</v>
      </c>
      <c r="NJ6" s="3" t="s">
        <v>513</v>
      </c>
      <c r="NK6" s="3" t="s">
        <v>514</v>
      </c>
      <c r="NL6" s="59" t="s">
        <v>515</v>
      </c>
      <c r="NM6" s="65" t="s">
        <v>516</v>
      </c>
      <c r="NV6" s="3" t="s">
        <v>518</v>
      </c>
      <c r="NW6" s="66" t="s">
        <v>564</v>
      </c>
      <c r="NX6" s="59" t="s">
        <v>520</v>
      </c>
      <c r="NY6" s="67">
        <v>81.218274111674987</v>
      </c>
      <c r="OB6" s="3">
        <v>8</v>
      </c>
      <c r="OU6" s="3" t="s">
        <v>521</v>
      </c>
      <c r="OV6" t="s">
        <v>518</v>
      </c>
      <c r="OX6" s="68">
        <v>2012</v>
      </c>
      <c r="OY6" s="68">
        <v>2015</v>
      </c>
      <c r="PB6" s="3" t="s">
        <v>522</v>
      </c>
      <c r="PC6" s="74">
        <v>46094</v>
      </c>
      <c r="PD6"/>
    </row>
    <row r="7" spans="1:424" s="3" customFormat="1" ht="15.75" thickBot="1">
      <c r="A7" s="3" t="s">
        <v>469</v>
      </c>
      <c r="B7" s="3" t="s">
        <v>470</v>
      </c>
      <c r="C7" s="3" t="s">
        <v>471</v>
      </c>
      <c r="D7" s="59" t="s">
        <v>472</v>
      </c>
      <c r="E7" s="3" t="s">
        <v>473</v>
      </c>
      <c r="F7" s="59" t="s">
        <v>474</v>
      </c>
      <c r="G7" s="3" t="s">
        <v>475</v>
      </c>
      <c r="H7" s="3" t="s">
        <v>476</v>
      </c>
      <c r="I7" s="3" t="s">
        <v>477</v>
      </c>
      <c r="J7" s="3" t="s">
        <v>478</v>
      </c>
      <c r="K7" s="3">
        <v>200</v>
      </c>
      <c r="AV7" s="3" t="s">
        <v>479</v>
      </c>
      <c r="AW7" s="3">
        <v>400</v>
      </c>
      <c r="AX7" s="3" t="s">
        <v>480</v>
      </c>
      <c r="AY7" s="3">
        <v>3</v>
      </c>
      <c r="AZ7" s="3" t="s">
        <v>481</v>
      </c>
      <c r="BA7" s="3">
        <v>2012</v>
      </c>
      <c r="BB7" s="3">
        <v>2015</v>
      </c>
      <c r="BC7" s="3" t="s">
        <v>480</v>
      </c>
      <c r="BD7" s="3" t="s">
        <v>565</v>
      </c>
      <c r="BE7" s="3" t="s">
        <v>566</v>
      </c>
      <c r="BF7" s="3" t="s">
        <v>484</v>
      </c>
      <c r="BG7" s="3" t="s">
        <v>485</v>
      </c>
      <c r="BH7" s="3" t="s">
        <v>480</v>
      </c>
      <c r="BI7" s="59" t="s">
        <v>486</v>
      </c>
      <c r="BJ7" s="60">
        <v>44000</v>
      </c>
      <c r="BK7" s="3" t="s">
        <v>537</v>
      </c>
      <c r="BL7" s="3" t="s">
        <v>567</v>
      </c>
      <c r="BM7" s="3" t="s">
        <v>480</v>
      </c>
      <c r="BN7" s="59" t="s">
        <v>486</v>
      </c>
      <c r="BO7" s="60">
        <v>44444</v>
      </c>
      <c r="HK7" s="3" t="s">
        <v>487</v>
      </c>
      <c r="HL7" s="3" t="s">
        <v>488</v>
      </c>
      <c r="HQ7" s="3" t="s">
        <v>489</v>
      </c>
      <c r="HS7" s="59" t="s">
        <v>539</v>
      </c>
      <c r="HT7" s="3" t="s">
        <v>480</v>
      </c>
      <c r="HU7" s="3" t="s">
        <v>480</v>
      </c>
      <c r="IH7" s="3" t="s">
        <v>568</v>
      </c>
      <c r="II7" s="219" t="s">
        <v>541</v>
      </c>
      <c r="IJ7" s="59" t="s">
        <v>542</v>
      </c>
      <c r="IK7" s="59" t="s">
        <v>543</v>
      </c>
      <c r="IL7" s="3">
        <v>2012</v>
      </c>
      <c r="IM7" s="69" t="s">
        <v>480</v>
      </c>
      <c r="IN7" s="59" t="s">
        <v>544</v>
      </c>
      <c r="JJ7" s="3" t="s">
        <v>493</v>
      </c>
      <c r="JK7" s="3" t="s">
        <v>494</v>
      </c>
      <c r="JL7" s="63" t="s">
        <v>495</v>
      </c>
      <c r="JM7" s="63" t="s">
        <v>496</v>
      </c>
      <c r="JN7" s="59" t="s">
        <v>497</v>
      </c>
      <c r="JO7" s="3" t="s">
        <v>498</v>
      </c>
      <c r="JV7" s="59"/>
      <c r="JW7" s="59"/>
      <c r="JX7" s="59"/>
      <c r="JY7" s="59"/>
      <c r="JZ7" s="59"/>
      <c r="KA7" s="59"/>
      <c r="KB7" s="59"/>
      <c r="KC7" s="59"/>
      <c r="KD7" s="59"/>
      <c r="KE7" s="3" t="s">
        <v>499</v>
      </c>
      <c r="KF7" s="61" t="s">
        <v>500</v>
      </c>
      <c r="KG7" s="61" t="s">
        <v>480</v>
      </c>
      <c r="KH7" s="3" t="s">
        <v>480</v>
      </c>
      <c r="KI7" s="3" t="s">
        <v>499</v>
      </c>
      <c r="KJ7" s="3" t="s">
        <v>501</v>
      </c>
      <c r="KK7" s="3" t="s">
        <v>502</v>
      </c>
      <c r="KL7" s="59" t="s">
        <v>503</v>
      </c>
      <c r="KM7" s="3">
        <v>2.5</v>
      </c>
      <c r="KN7" s="64"/>
      <c r="KO7" s="64"/>
      <c r="KP7" s="64"/>
      <c r="KQ7" s="61"/>
      <c r="KR7" s="64" t="s">
        <v>545</v>
      </c>
      <c r="KS7" s="64" t="s">
        <v>546</v>
      </c>
      <c r="KT7" s="3" t="s">
        <v>480</v>
      </c>
      <c r="KU7" s="3" t="s">
        <v>480</v>
      </c>
      <c r="KV7" s="3" t="s">
        <v>505</v>
      </c>
      <c r="KW7" s="3" t="s">
        <v>506</v>
      </c>
      <c r="LB7" s="59" t="s">
        <v>480</v>
      </c>
      <c r="LC7" s="59"/>
      <c r="LD7" s="59" t="s">
        <v>480</v>
      </c>
      <c r="LE7" s="59"/>
      <c r="LF7" s="59" t="s">
        <v>480</v>
      </c>
      <c r="LG7" s="59"/>
      <c r="LH7" s="59" t="s">
        <v>480</v>
      </c>
      <c r="LI7" s="59"/>
      <c r="LJ7" s="3" t="s">
        <v>507</v>
      </c>
      <c r="LK7" s="59" t="s">
        <v>480</v>
      </c>
      <c r="LL7" s="59" t="s">
        <v>480</v>
      </c>
      <c r="LM7" s="59" t="s">
        <v>508</v>
      </c>
      <c r="LN7" s="3">
        <v>2500</v>
      </c>
      <c r="MY7" s="3" t="s">
        <v>509</v>
      </c>
      <c r="MZ7" s="3">
        <v>30</v>
      </c>
      <c r="NA7" s="3" t="s">
        <v>547</v>
      </c>
      <c r="NB7" s="59" t="s">
        <v>511</v>
      </c>
      <c r="NC7" s="59" t="s">
        <v>548</v>
      </c>
      <c r="ND7" s="3" t="s">
        <v>569</v>
      </c>
      <c r="NI7" s="3" t="s">
        <v>512</v>
      </c>
      <c r="NJ7" s="3" t="s">
        <v>513</v>
      </c>
      <c r="NK7" s="3" t="s">
        <v>514</v>
      </c>
      <c r="NL7" s="59" t="s">
        <v>515</v>
      </c>
      <c r="NM7" s="65" t="s">
        <v>516</v>
      </c>
      <c r="NV7" s="3" t="s">
        <v>518</v>
      </c>
      <c r="NW7" s="66" t="s">
        <v>570</v>
      </c>
      <c r="NX7" s="59" t="s">
        <v>520</v>
      </c>
      <c r="NY7" s="67">
        <v>461.92893401014999</v>
      </c>
      <c r="OB7" s="3">
        <v>8</v>
      </c>
      <c r="OU7" s="3" t="s">
        <v>521</v>
      </c>
      <c r="OV7" t="s">
        <v>518</v>
      </c>
      <c r="OX7" s="68">
        <v>2012</v>
      </c>
      <c r="OY7" s="68">
        <v>2015</v>
      </c>
      <c r="OZ7" s="68"/>
      <c r="PB7" s="3" t="s">
        <v>522</v>
      </c>
      <c r="PC7" s="74">
        <v>46094</v>
      </c>
      <c r="PD7"/>
    </row>
    <row r="8" spans="1:424" s="3" customFormat="1" ht="15.75" thickBot="1">
      <c r="A8" s="3" t="s">
        <v>469</v>
      </c>
      <c r="B8" s="3" t="s">
        <v>470</v>
      </c>
      <c r="C8" s="3" t="s">
        <v>471</v>
      </c>
      <c r="D8" s="59" t="s">
        <v>472</v>
      </c>
      <c r="E8" s="3" t="s">
        <v>473</v>
      </c>
      <c r="F8" s="59" t="s">
        <v>474</v>
      </c>
      <c r="G8" s="3" t="s">
        <v>475</v>
      </c>
      <c r="H8" s="3" t="s">
        <v>476</v>
      </c>
      <c r="I8" s="3" t="s">
        <v>477</v>
      </c>
      <c r="J8" s="3" t="s">
        <v>478</v>
      </c>
      <c r="K8" s="3">
        <v>200</v>
      </c>
      <c r="AV8" s="3" t="s">
        <v>479</v>
      </c>
      <c r="AW8" s="3">
        <v>400</v>
      </c>
      <c r="AX8" s="3" t="s">
        <v>480</v>
      </c>
      <c r="AY8" s="3">
        <v>3</v>
      </c>
      <c r="AZ8" s="3" t="s">
        <v>481</v>
      </c>
      <c r="BA8" s="3">
        <v>2012</v>
      </c>
      <c r="BB8" s="3">
        <v>2015</v>
      </c>
      <c r="BC8" s="3" t="s">
        <v>480</v>
      </c>
      <c r="BD8" s="3" t="s">
        <v>571</v>
      </c>
      <c r="BE8" s="3" t="s">
        <v>572</v>
      </c>
      <c r="BF8" s="3" t="s">
        <v>484</v>
      </c>
      <c r="BG8" s="3" t="s">
        <v>485</v>
      </c>
      <c r="BH8" s="3" t="s">
        <v>480</v>
      </c>
      <c r="BI8" s="59" t="s">
        <v>486</v>
      </c>
      <c r="BJ8" s="60">
        <v>44000</v>
      </c>
      <c r="BK8" s="3" t="s">
        <v>555</v>
      </c>
      <c r="BL8" s="3" t="s">
        <v>554</v>
      </c>
      <c r="BM8" s="3" t="s">
        <v>480</v>
      </c>
      <c r="BN8" s="59" t="s">
        <v>486</v>
      </c>
      <c r="BO8" s="60">
        <v>444444</v>
      </c>
      <c r="BP8" s="3" t="s">
        <v>555</v>
      </c>
      <c r="BQ8" s="3" t="s">
        <v>556</v>
      </c>
      <c r="BR8" s="3" t="s">
        <v>480</v>
      </c>
      <c r="BS8" s="59" t="s">
        <v>486</v>
      </c>
      <c r="BT8" s="60">
        <v>148000</v>
      </c>
      <c r="HK8" s="3" t="s">
        <v>487</v>
      </c>
      <c r="HL8" s="3" t="s">
        <v>488</v>
      </c>
      <c r="HQ8" s="3" t="s">
        <v>489</v>
      </c>
      <c r="HS8" s="59" t="s">
        <v>490</v>
      </c>
      <c r="HT8" s="3" t="s">
        <v>480</v>
      </c>
      <c r="HU8" s="3" t="s">
        <v>480</v>
      </c>
      <c r="IO8" s="3" t="s">
        <v>557</v>
      </c>
      <c r="IP8" s="3" t="s">
        <v>573</v>
      </c>
      <c r="IS8" s="3" t="s">
        <v>480</v>
      </c>
      <c r="IT8" s="3" t="s">
        <v>480</v>
      </c>
      <c r="IU8" s="59" t="s">
        <v>544</v>
      </c>
      <c r="JJ8" s="3" t="s">
        <v>574</v>
      </c>
      <c r="JK8" s="3" t="s">
        <v>494</v>
      </c>
      <c r="JL8" s="63" t="s">
        <v>495</v>
      </c>
      <c r="JM8" s="63" t="s">
        <v>559</v>
      </c>
      <c r="JN8" s="59" t="s">
        <v>560</v>
      </c>
      <c r="JO8" s="3" t="s">
        <v>561</v>
      </c>
      <c r="JV8" s="59"/>
      <c r="JW8" s="59"/>
      <c r="JX8" s="59"/>
      <c r="JY8" s="59"/>
      <c r="JZ8" s="59"/>
      <c r="KA8" s="59"/>
      <c r="KB8" s="59"/>
      <c r="KC8" s="59"/>
      <c r="KD8" s="59"/>
      <c r="KE8" s="3" t="s">
        <v>499</v>
      </c>
      <c r="KF8" s="61" t="s">
        <v>500</v>
      </c>
      <c r="KG8" s="61" t="s">
        <v>480</v>
      </c>
      <c r="KH8" s="3" t="s">
        <v>480</v>
      </c>
      <c r="KI8" s="3" t="s">
        <v>499</v>
      </c>
      <c r="KJ8" s="3" t="s">
        <v>501</v>
      </c>
      <c r="KK8" s="3" t="s">
        <v>502</v>
      </c>
      <c r="KL8" s="59" t="s">
        <v>503</v>
      </c>
      <c r="KM8" s="3">
        <v>2.5</v>
      </c>
      <c r="KN8" s="64"/>
      <c r="KO8" s="64" t="s">
        <v>562</v>
      </c>
      <c r="KP8" s="64" t="s">
        <v>480</v>
      </c>
      <c r="KQ8" s="64" t="s">
        <v>480</v>
      </c>
      <c r="KR8" s="64" t="s">
        <v>504</v>
      </c>
      <c r="KS8" s="64"/>
      <c r="KT8" s="64"/>
      <c r="KU8" s="61"/>
      <c r="KV8" s="3" t="s">
        <v>505</v>
      </c>
      <c r="KW8" s="3" t="s">
        <v>506</v>
      </c>
      <c r="LB8" s="59" t="s">
        <v>480</v>
      </c>
      <c r="LC8" s="59"/>
      <c r="LD8" s="59" t="s">
        <v>480</v>
      </c>
      <c r="LE8" s="59"/>
      <c r="LF8" s="59" t="s">
        <v>480</v>
      </c>
      <c r="LG8" s="59"/>
      <c r="LH8" s="59" t="s">
        <v>480</v>
      </c>
      <c r="LI8" s="59"/>
      <c r="LJ8" s="3" t="s">
        <v>507</v>
      </c>
      <c r="LK8" s="59" t="s">
        <v>480</v>
      </c>
      <c r="LL8" s="59" t="s">
        <v>480</v>
      </c>
      <c r="LM8" s="59" t="s">
        <v>508</v>
      </c>
      <c r="LN8" s="3">
        <v>2500</v>
      </c>
      <c r="MY8" s="3" t="s">
        <v>509</v>
      </c>
      <c r="MZ8" s="3">
        <v>30</v>
      </c>
      <c r="NA8" s="3" t="s">
        <v>510</v>
      </c>
      <c r="NB8" s="59" t="s">
        <v>511</v>
      </c>
      <c r="NC8" s="59" t="s">
        <v>548</v>
      </c>
      <c r="ND8" s="3" t="s">
        <v>563</v>
      </c>
      <c r="NI8" s="3" t="s">
        <v>512</v>
      </c>
      <c r="NJ8" s="3" t="s">
        <v>513</v>
      </c>
      <c r="NK8" s="3" t="s">
        <v>514</v>
      </c>
      <c r="NL8" s="59" t="s">
        <v>515</v>
      </c>
      <c r="NM8" s="65" t="s">
        <v>516</v>
      </c>
      <c r="NV8" s="3" t="s">
        <v>518</v>
      </c>
      <c r="NW8" s="66" t="s">
        <v>575</v>
      </c>
      <c r="NX8" s="59" t="s">
        <v>520</v>
      </c>
      <c r="NY8" s="67">
        <v>50.76142131979708</v>
      </c>
      <c r="OB8" s="3">
        <v>8</v>
      </c>
      <c r="OU8" s="3" t="s">
        <v>521</v>
      </c>
      <c r="OV8" t="s">
        <v>518</v>
      </c>
      <c r="OX8" s="68">
        <v>2012</v>
      </c>
      <c r="OY8" s="68">
        <v>2015</v>
      </c>
      <c r="PB8" s="3" t="s">
        <v>522</v>
      </c>
      <c r="PC8" s="74">
        <v>46094</v>
      </c>
      <c r="PD8"/>
    </row>
    <row r="9" spans="1:424" ht="15.75" thickBot="1">
      <c r="A9" t="s">
        <v>469</v>
      </c>
      <c r="B9" t="s">
        <v>470</v>
      </c>
      <c r="C9" t="s">
        <v>471</v>
      </c>
      <c r="D9" s="4" t="s">
        <v>472</v>
      </c>
      <c r="E9" t="s">
        <v>473</v>
      </c>
      <c r="F9" s="4" t="s">
        <v>474</v>
      </c>
      <c r="G9" t="s">
        <v>475</v>
      </c>
      <c r="H9" t="s">
        <v>476</v>
      </c>
      <c r="I9" t="s">
        <v>477</v>
      </c>
      <c r="J9" t="s">
        <v>478</v>
      </c>
      <c r="K9" s="3">
        <v>200</v>
      </c>
      <c r="AV9" t="s">
        <v>479</v>
      </c>
      <c r="AW9">
        <v>200</v>
      </c>
      <c r="AX9" t="s">
        <v>480</v>
      </c>
      <c r="AY9">
        <v>1</v>
      </c>
      <c r="AZ9" t="s">
        <v>576</v>
      </c>
      <c r="BA9">
        <v>2014</v>
      </c>
      <c r="BB9">
        <v>2015</v>
      </c>
      <c r="BC9" t="s">
        <v>480</v>
      </c>
      <c r="BD9" t="s">
        <v>523</v>
      </c>
      <c r="BE9" t="s">
        <v>524</v>
      </c>
      <c r="BF9" s="3" t="s">
        <v>484</v>
      </c>
      <c r="BG9" t="s">
        <v>485</v>
      </c>
      <c r="BH9" t="s">
        <v>480</v>
      </c>
      <c r="BI9" s="4" t="s">
        <v>486</v>
      </c>
      <c r="BJ9" s="9">
        <v>44000</v>
      </c>
      <c r="HK9" t="s">
        <v>525</v>
      </c>
      <c r="HL9" t="s">
        <v>526</v>
      </c>
      <c r="HM9" t="s">
        <v>527</v>
      </c>
      <c r="HO9" t="s">
        <v>480</v>
      </c>
      <c r="HP9">
        <v>1</v>
      </c>
      <c r="HQ9" t="s">
        <v>489</v>
      </c>
      <c r="HS9" s="4" t="s">
        <v>490</v>
      </c>
      <c r="HT9" t="s">
        <v>480</v>
      </c>
      <c r="HU9" t="s">
        <v>480</v>
      </c>
      <c r="IH9" t="s">
        <v>491</v>
      </c>
      <c r="II9" s="46" t="s">
        <v>492</v>
      </c>
      <c r="IJ9" s="38"/>
      <c r="IK9" s="38"/>
      <c r="IO9" t="s">
        <v>491</v>
      </c>
      <c r="IP9" s="46" t="s">
        <v>492</v>
      </c>
      <c r="JJ9" t="s">
        <v>493</v>
      </c>
      <c r="JK9" s="3" t="s">
        <v>494</v>
      </c>
      <c r="JL9" s="8" t="s">
        <v>495</v>
      </c>
      <c r="JM9" s="8" t="s">
        <v>496</v>
      </c>
      <c r="JN9" s="59" t="s">
        <v>497</v>
      </c>
      <c r="JO9" t="s">
        <v>498</v>
      </c>
      <c r="JV9" s="8"/>
      <c r="JX9" s="4"/>
      <c r="JZ9" s="4"/>
      <c r="KA9" s="4"/>
      <c r="KB9" s="4"/>
      <c r="KC9" s="4"/>
      <c r="KD9" s="4"/>
      <c r="KE9" s="4" t="s">
        <v>528</v>
      </c>
      <c r="KF9" s="13" t="s">
        <v>500</v>
      </c>
      <c r="KG9" s="13" t="s">
        <v>480</v>
      </c>
      <c r="KH9" s="13" t="s">
        <v>480</v>
      </c>
      <c r="KI9" s="13" t="s">
        <v>529</v>
      </c>
      <c r="KJ9" s="12" t="s">
        <v>530</v>
      </c>
      <c r="KK9" s="13"/>
      <c r="KL9" s="4"/>
      <c r="KM9" s="13"/>
      <c r="KN9" s="13"/>
      <c r="KO9" s="13"/>
      <c r="KP9" s="13"/>
      <c r="KQ9" s="13"/>
      <c r="KR9" s="13" t="s">
        <v>504</v>
      </c>
      <c r="KS9" s="13"/>
      <c r="KT9" s="13"/>
      <c r="KU9" s="13"/>
      <c r="KV9" s="13"/>
      <c r="KW9" s="13" t="s">
        <v>531</v>
      </c>
      <c r="KX9" s="13"/>
      <c r="KY9" s="13"/>
      <c r="KZ9" s="13"/>
      <c r="LA9" s="13"/>
      <c r="LB9" s="13"/>
      <c r="LC9" s="13"/>
      <c r="LD9" s="13"/>
      <c r="LE9" s="13"/>
      <c r="LF9" s="13"/>
      <c r="LG9" s="13"/>
      <c r="LH9" s="13"/>
      <c r="LI9" s="4"/>
      <c r="LJ9" s="4"/>
      <c r="LK9" s="4"/>
      <c r="LL9" s="4"/>
      <c r="LM9" s="4"/>
      <c r="NA9" t="s">
        <v>510</v>
      </c>
      <c r="NB9" s="4" t="s">
        <v>511</v>
      </c>
      <c r="NC9" s="4" t="s">
        <v>548</v>
      </c>
      <c r="NI9" t="s">
        <v>532</v>
      </c>
      <c r="NJ9" t="s">
        <v>513</v>
      </c>
      <c r="NK9" t="s">
        <v>514</v>
      </c>
      <c r="NL9" s="4" t="s">
        <v>515</v>
      </c>
      <c r="NM9" s="6" t="s">
        <v>516</v>
      </c>
      <c r="NU9" t="s">
        <v>533</v>
      </c>
      <c r="NV9" t="s">
        <v>518</v>
      </c>
      <c r="NW9" t="s">
        <v>577</v>
      </c>
      <c r="NX9" s="4" t="s">
        <v>520</v>
      </c>
      <c r="NY9" t="s">
        <v>578</v>
      </c>
      <c r="OB9">
        <v>8</v>
      </c>
      <c r="OU9" t="s">
        <v>579</v>
      </c>
      <c r="OV9" t="s">
        <v>518</v>
      </c>
      <c r="OX9">
        <v>2014</v>
      </c>
      <c r="OY9">
        <v>2015</v>
      </c>
      <c r="PB9" s="3" t="s">
        <v>522</v>
      </c>
      <c r="PC9" s="74">
        <v>46094</v>
      </c>
    </row>
    <row r="10" spans="1:424" ht="15.75" thickBot="1">
      <c r="A10" t="s">
        <v>469</v>
      </c>
      <c r="B10" t="s">
        <v>470</v>
      </c>
      <c r="C10" t="s">
        <v>471</v>
      </c>
      <c r="D10" s="4" t="s">
        <v>472</v>
      </c>
      <c r="E10" t="s">
        <v>473</v>
      </c>
      <c r="F10" s="4" t="s">
        <v>474</v>
      </c>
      <c r="G10" t="s">
        <v>475</v>
      </c>
      <c r="H10" t="s">
        <v>476</v>
      </c>
      <c r="I10" t="s">
        <v>477</v>
      </c>
      <c r="J10" t="s">
        <v>478</v>
      </c>
      <c r="K10" s="3">
        <v>200</v>
      </c>
      <c r="AV10" t="s">
        <v>479</v>
      </c>
      <c r="AW10">
        <v>200</v>
      </c>
      <c r="AX10" t="s">
        <v>480</v>
      </c>
      <c r="AY10">
        <v>1</v>
      </c>
      <c r="AZ10" t="s">
        <v>576</v>
      </c>
      <c r="BA10">
        <v>2014</v>
      </c>
      <c r="BB10">
        <v>2015</v>
      </c>
      <c r="BC10" t="s">
        <v>480</v>
      </c>
      <c r="BD10" t="s">
        <v>482</v>
      </c>
      <c r="BE10" t="s">
        <v>483</v>
      </c>
      <c r="BF10" s="3" t="s">
        <v>484</v>
      </c>
      <c r="BG10" t="s">
        <v>485</v>
      </c>
      <c r="BH10" t="s">
        <v>480</v>
      </c>
      <c r="BI10" s="4" t="s">
        <v>486</v>
      </c>
      <c r="BJ10" s="9">
        <v>44000</v>
      </c>
      <c r="HK10" t="s">
        <v>487</v>
      </c>
      <c r="HL10" t="s">
        <v>488</v>
      </c>
      <c r="HQ10" t="s">
        <v>489</v>
      </c>
      <c r="HS10" s="4" t="s">
        <v>490</v>
      </c>
      <c r="HT10" t="s">
        <v>480</v>
      </c>
      <c r="HU10" t="s">
        <v>480</v>
      </c>
      <c r="IH10" t="s">
        <v>491</v>
      </c>
      <c r="II10" s="46" t="s">
        <v>492</v>
      </c>
      <c r="IJ10" s="38"/>
      <c r="IK10" s="38"/>
      <c r="IO10" t="s">
        <v>491</v>
      </c>
      <c r="IP10" s="46" t="s">
        <v>492</v>
      </c>
      <c r="JJ10" t="s">
        <v>493</v>
      </c>
      <c r="JK10" s="3" t="s">
        <v>494</v>
      </c>
      <c r="JL10" s="8" t="s">
        <v>495</v>
      </c>
      <c r="JM10" s="8" t="s">
        <v>496</v>
      </c>
      <c r="JN10" s="59" t="s">
        <v>497</v>
      </c>
      <c r="JO10" t="s">
        <v>498</v>
      </c>
      <c r="JV10" s="8"/>
      <c r="JX10" s="4"/>
      <c r="JZ10" s="4"/>
      <c r="KA10" s="4"/>
      <c r="KB10" s="4"/>
      <c r="KC10" s="4"/>
      <c r="KD10" s="4"/>
      <c r="KE10" t="s">
        <v>499</v>
      </c>
      <c r="KF10" s="13" t="s">
        <v>500</v>
      </c>
      <c r="KG10" s="13" t="s">
        <v>480</v>
      </c>
      <c r="KH10" s="13" t="s">
        <v>480</v>
      </c>
      <c r="KI10" s="13" t="s">
        <v>499</v>
      </c>
      <c r="KJ10" s="13" t="s">
        <v>501</v>
      </c>
      <c r="KK10" s="13" t="s">
        <v>502</v>
      </c>
      <c r="KL10" s="13" t="s">
        <v>503</v>
      </c>
      <c r="KM10" s="13">
        <v>2.5</v>
      </c>
      <c r="KN10" s="13"/>
      <c r="KO10" s="13"/>
      <c r="KP10" s="13"/>
      <c r="KQ10" s="13"/>
      <c r="KR10" s="13" t="s">
        <v>504</v>
      </c>
      <c r="KS10" s="13"/>
      <c r="KT10" s="13"/>
      <c r="KU10" s="13"/>
      <c r="KV10" s="13" t="s">
        <v>505</v>
      </c>
      <c r="KW10" s="13" t="s">
        <v>506</v>
      </c>
      <c r="KX10" s="13"/>
      <c r="KY10" s="13"/>
      <c r="KZ10" s="13"/>
      <c r="LA10" s="13"/>
      <c r="LB10" s="13" t="s">
        <v>480</v>
      </c>
      <c r="LC10" s="13"/>
      <c r="LD10" s="13" t="s">
        <v>480</v>
      </c>
      <c r="LE10" s="38"/>
      <c r="LF10" s="4" t="s">
        <v>480</v>
      </c>
      <c r="LG10" s="4"/>
      <c r="LH10" s="4" t="s">
        <v>480</v>
      </c>
      <c r="LI10" s="4"/>
      <c r="LJ10" t="s">
        <v>507</v>
      </c>
      <c r="LK10" s="4" t="s">
        <v>480</v>
      </c>
      <c r="LL10" s="4" t="s">
        <v>480</v>
      </c>
      <c r="LM10" s="4" t="s">
        <v>508</v>
      </c>
      <c r="LN10">
        <v>2500</v>
      </c>
      <c r="NA10" t="s">
        <v>580</v>
      </c>
      <c r="NB10" s="4" t="s">
        <v>511</v>
      </c>
      <c r="NC10" s="4" t="s">
        <v>548</v>
      </c>
      <c r="NI10" t="s">
        <v>512</v>
      </c>
      <c r="NJ10" t="s">
        <v>581</v>
      </c>
      <c r="NK10" t="s">
        <v>514</v>
      </c>
      <c r="NL10" s="4" t="s">
        <v>515</v>
      </c>
      <c r="NM10" s="6" t="s">
        <v>516</v>
      </c>
      <c r="NU10" t="s">
        <v>517</v>
      </c>
      <c r="NV10" t="s">
        <v>518</v>
      </c>
      <c r="NW10" t="s">
        <v>582</v>
      </c>
      <c r="NX10" s="4" t="s">
        <v>520</v>
      </c>
      <c r="NY10" t="s">
        <v>583</v>
      </c>
      <c r="OB10">
        <v>8</v>
      </c>
      <c r="OU10" t="s">
        <v>579</v>
      </c>
      <c r="OV10" t="s">
        <v>518</v>
      </c>
      <c r="OX10">
        <v>2014</v>
      </c>
      <c r="OY10">
        <v>2015</v>
      </c>
      <c r="PB10" s="3" t="s">
        <v>522</v>
      </c>
      <c r="PC10" s="74">
        <v>46094</v>
      </c>
    </row>
    <row r="11" spans="1:424" ht="15.75" thickBot="1">
      <c r="A11" t="s">
        <v>469</v>
      </c>
      <c r="B11" t="s">
        <v>470</v>
      </c>
      <c r="C11" t="s">
        <v>471</v>
      </c>
      <c r="D11" s="4" t="s">
        <v>472</v>
      </c>
      <c r="E11" t="s">
        <v>473</v>
      </c>
      <c r="F11" s="4" t="s">
        <v>474</v>
      </c>
      <c r="G11" t="s">
        <v>475</v>
      </c>
      <c r="H11" t="s">
        <v>476</v>
      </c>
      <c r="I11" t="s">
        <v>477</v>
      </c>
      <c r="J11" t="s">
        <v>478</v>
      </c>
      <c r="K11" s="3">
        <v>200</v>
      </c>
      <c r="AV11" t="s">
        <v>479</v>
      </c>
      <c r="AW11">
        <v>200</v>
      </c>
      <c r="AX11" t="s">
        <v>480</v>
      </c>
      <c r="AY11">
        <v>1</v>
      </c>
      <c r="AZ11" t="s">
        <v>576</v>
      </c>
      <c r="BA11">
        <v>2014</v>
      </c>
      <c r="BB11">
        <v>2015</v>
      </c>
      <c r="BC11" t="s">
        <v>480</v>
      </c>
      <c r="BD11" t="s">
        <v>535</v>
      </c>
      <c r="BE11" t="s">
        <v>536</v>
      </c>
      <c r="BF11" s="3" t="s">
        <v>484</v>
      </c>
      <c r="BG11" t="s">
        <v>485</v>
      </c>
      <c r="BH11" t="s">
        <v>480</v>
      </c>
      <c r="BI11" s="4" t="s">
        <v>486</v>
      </c>
      <c r="BJ11" s="9">
        <v>44000</v>
      </c>
      <c r="BK11" t="s">
        <v>537</v>
      </c>
      <c r="BL11" t="s">
        <v>538</v>
      </c>
      <c r="BM11" t="s">
        <v>480</v>
      </c>
      <c r="BN11" s="4" t="s">
        <v>486</v>
      </c>
      <c r="BO11" s="9">
        <v>44444</v>
      </c>
      <c r="HK11" t="s">
        <v>487</v>
      </c>
      <c r="HL11" t="s">
        <v>488</v>
      </c>
      <c r="HQ11" t="s">
        <v>489</v>
      </c>
      <c r="HS11" s="4" t="s">
        <v>539</v>
      </c>
      <c r="HT11" t="s">
        <v>480</v>
      </c>
      <c r="HU11" t="s">
        <v>480</v>
      </c>
      <c r="IH11" t="s">
        <v>540</v>
      </c>
      <c r="II11" s="219" t="s">
        <v>541</v>
      </c>
      <c r="IJ11" s="37" t="s">
        <v>542</v>
      </c>
      <c r="IK11" s="37" t="s">
        <v>543</v>
      </c>
      <c r="IL11">
        <v>2012</v>
      </c>
      <c r="IM11" t="s">
        <v>480</v>
      </c>
      <c r="IN11" s="4" t="s">
        <v>544</v>
      </c>
      <c r="JJ11" t="s">
        <v>493</v>
      </c>
      <c r="JK11" s="3" t="s">
        <v>494</v>
      </c>
      <c r="JL11" s="8" t="s">
        <v>495</v>
      </c>
      <c r="JM11" s="8" t="s">
        <v>496</v>
      </c>
      <c r="JN11" s="59" t="s">
        <v>497</v>
      </c>
      <c r="JO11" t="s">
        <v>498</v>
      </c>
      <c r="JV11" s="8"/>
      <c r="JX11" s="4"/>
      <c r="JZ11" s="4"/>
      <c r="KA11" s="4"/>
      <c r="KB11" s="4"/>
      <c r="KC11" s="4"/>
      <c r="KD11" s="4"/>
      <c r="KE11" t="s">
        <v>499</v>
      </c>
      <c r="KF11" s="13" t="s">
        <v>500</v>
      </c>
      <c r="KG11" s="13" t="s">
        <v>480</v>
      </c>
      <c r="KH11" t="s">
        <v>480</v>
      </c>
      <c r="KI11" t="s">
        <v>499</v>
      </c>
      <c r="KJ11" t="s">
        <v>501</v>
      </c>
      <c r="KK11" t="s">
        <v>502</v>
      </c>
      <c r="KL11" s="4" t="s">
        <v>503</v>
      </c>
      <c r="KM11">
        <v>2.5</v>
      </c>
      <c r="KN11" s="7"/>
      <c r="KO11" s="7"/>
      <c r="KP11" s="7"/>
      <c r="KQ11" s="13"/>
      <c r="KR11" s="7" t="s">
        <v>545</v>
      </c>
      <c r="KS11" s="7" t="s">
        <v>546</v>
      </c>
      <c r="KT11" s="3" t="s">
        <v>480</v>
      </c>
      <c r="KU11" t="s">
        <v>480</v>
      </c>
      <c r="KV11" t="s">
        <v>505</v>
      </c>
      <c r="KW11" t="s">
        <v>506</v>
      </c>
      <c r="LB11" s="4" t="s">
        <v>480</v>
      </c>
      <c r="LC11" s="4"/>
      <c r="LD11" s="4" t="s">
        <v>480</v>
      </c>
      <c r="LE11" s="4"/>
      <c r="LF11" s="4" t="s">
        <v>480</v>
      </c>
      <c r="LG11" s="4"/>
      <c r="LH11" s="4" t="s">
        <v>480</v>
      </c>
      <c r="LI11" s="4"/>
      <c r="LJ11" t="s">
        <v>507</v>
      </c>
      <c r="LK11" s="4" t="s">
        <v>480</v>
      </c>
      <c r="LL11" s="4" t="s">
        <v>480</v>
      </c>
      <c r="LM11" s="4" t="s">
        <v>508</v>
      </c>
      <c r="LN11">
        <v>2500</v>
      </c>
      <c r="NA11" t="s">
        <v>547</v>
      </c>
      <c r="NB11" s="4" t="s">
        <v>511</v>
      </c>
      <c r="NC11" s="4" t="s">
        <v>548</v>
      </c>
      <c r="ND11" t="s">
        <v>549</v>
      </c>
      <c r="NF11" t="s">
        <v>584</v>
      </c>
      <c r="NI11" t="s">
        <v>550</v>
      </c>
      <c r="NJ11" t="s">
        <v>581</v>
      </c>
      <c r="NK11" t="s">
        <v>514</v>
      </c>
      <c r="NL11" s="4" t="s">
        <v>515</v>
      </c>
      <c r="NM11" s="6" t="s">
        <v>516</v>
      </c>
      <c r="NV11" t="s">
        <v>518</v>
      </c>
      <c r="NW11" t="s">
        <v>585</v>
      </c>
      <c r="NX11" s="4" t="s">
        <v>520</v>
      </c>
      <c r="NY11" t="s">
        <v>586</v>
      </c>
      <c r="OB11">
        <v>8</v>
      </c>
      <c r="OU11" t="s">
        <v>579</v>
      </c>
      <c r="OV11" t="s">
        <v>518</v>
      </c>
      <c r="OX11">
        <v>2014</v>
      </c>
      <c r="OY11">
        <v>2015</v>
      </c>
      <c r="PB11" s="3" t="s">
        <v>522</v>
      </c>
      <c r="PC11" s="74">
        <v>46094</v>
      </c>
    </row>
    <row r="12" spans="1:424" ht="15.75" thickBot="1">
      <c r="A12" t="s">
        <v>469</v>
      </c>
      <c r="B12" t="s">
        <v>470</v>
      </c>
      <c r="C12" t="s">
        <v>471</v>
      </c>
      <c r="D12" s="4" t="s">
        <v>472</v>
      </c>
      <c r="E12" t="s">
        <v>473</v>
      </c>
      <c r="F12" s="4" t="s">
        <v>474</v>
      </c>
      <c r="G12" t="s">
        <v>475</v>
      </c>
      <c r="H12" t="s">
        <v>476</v>
      </c>
      <c r="I12" t="s">
        <v>477</v>
      </c>
      <c r="J12" t="s">
        <v>478</v>
      </c>
      <c r="K12" s="3">
        <v>200</v>
      </c>
      <c r="AV12" t="s">
        <v>479</v>
      </c>
      <c r="AW12">
        <v>200</v>
      </c>
      <c r="AX12" t="s">
        <v>480</v>
      </c>
      <c r="AY12">
        <v>1</v>
      </c>
      <c r="AZ12" t="s">
        <v>576</v>
      </c>
      <c r="BA12">
        <v>2014</v>
      </c>
      <c r="BB12">
        <v>2015</v>
      </c>
      <c r="BC12" t="s">
        <v>480</v>
      </c>
      <c r="BD12" t="s">
        <v>565</v>
      </c>
      <c r="BE12" t="s">
        <v>566</v>
      </c>
      <c r="BF12" s="3" t="s">
        <v>484</v>
      </c>
      <c r="BG12" t="s">
        <v>485</v>
      </c>
      <c r="BH12" t="s">
        <v>480</v>
      </c>
      <c r="BI12" s="4" t="s">
        <v>486</v>
      </c>
      <c r="BJ12" s="9">
        <v>44000</v>
      </c>
      <c r="BK12" t="s">
        <v>537</v>
      </c>
      <c r="BL12" t="s">
        <v>567</v>
      </c>
      <c r="BM12" t="s">
        <v>480</v>
      </c>
      <c r="BN12" s="4" t="s">
        <v>486</v>
      </c>
      <c r="BO12" s="9">
        <v>44444</v>
      </c>
      <c r="HK12" t="s">
        <v>487</v>
      </c>
      <c r="HL12" t="s">
        <v>488</v>
      </c>
      <c r="HQ12" t="s">
        <v>489</v>
      </c>
      <c r="HS12" s="4" t="s">
        <v>539</v>
      </c>
      <c r="HT12" t="s">
        <v>480</v>
      </c>
      <c r="HU12" t="s">
        <v>480</v>
      </c>
      <c r="IH12" t="s">
        <v>568</v>
      </c>
      <c r="II12" s="219" t="s">
        <v>541</v>
      </c>
      <c r="IJ12" s="37" t="s">
        <v>542</v>
      </c>
      <c r="IK12" s="37" t="s">
        <v>543</v>
      </c>
      <c r="IL12">
        <v>2012</v>
      </c>
      <c r="IM12" t="s">
        <v>480</v>
      </c>
      <c r="IN12" s="4" t="s">
        <v>544</v>
      </c>
      <c r="JJ12" t="s">
        <v>493</v>
      </c>
      <c r="JK12" s="3" t="s">
        <v>494</v>
      </c>
      <c r="JL12" s="8" t="s">
        <v>495</v>
      </c>
      <c r="JM12" s="8" t="s">
        <v>496</v>
      </c>
      <c r="JN12" s="59" t="s">
        <v>497</v>
      </c>
      <c r="JO12" t="s">
        <v>498</v>
      </c>
      <c r="JV12" s="8"/>
      <c r="JX12" s="4"/>
      <c r="JZ12" s="4"/>
      <c r="KA12" s="4"/>
      <c r="KB12" s="4"/>
      <c r="KC12" s="4"/>
      <c r="KD12" s="4"/>
      <c r="KE12" t="s">
        <v>499</v>
      </c>
      <c r="KF12" s="13" t="s">
        <v>500</v>
      </c>
      <c r="KG12" s="13" t="s">
        <v>480</v>
      </c>
      <c r="KH12" t="s">
        <v>480</v>
      </c>
      <c r="KI12" t="s">
        <v>499</v>
      </c>
      <c r="KJ12" t="s">
        <v>501</v>
      </c>
      <c r="KK12" t="s">
        <v>502</v>
      </c>
      <c r="KL12" s="4" t="s">
        <v>503</v>
      </c>
      <c r="KM12">
        <v>2.5</v>
      </c>
      <c r="KN12" s="7"/>
      <c r="KO12" s="7"/>
      <c r="KP12" s="7"/>
      <c r="KQ12" s="13"/>
      <c r="KR12" s="7" t="s">
        <v>545</v>
      </c>
      <c r="KS12" s="7" t="s">
        <v>546</v>
      </c>
      <c r="KT12" s="3" t="s">
        <v>480</v>
      </c>
      <c r="KU12" t="s">
        <v>480</v>
      </c>
      <c r="KV12" t="s">
        <v>505</v>
      </c>
      <c r="KW12" t="s">
        <v>506</v>
      </c>
      <c r="LB12" s="4" t="s">
        <v>480</v>
      </c>
      <c r="LC12" s="4"/>
      <c r="LD12" s="4" t="s">
        <v>480</v>
      </c>
      <c r="LE12" s="4"/>
      <c r="LF12" s="4" t="s">
        <v>480</v>
      </c>
      <c r="LG12" s="4"/>
      <c r="LH12" s="4" t="s">
        <v>480</v>
      </c>
      <c r="LI12" s="4"/>
      <c r="LJ12" t="s">
        <v>507</v>
      </c>
      <c r="LK12" s="4" t="s">
        <v>480</v>
      </c>
      <c r="LL12" s="4" t="s">
        <v>480</v>
      </c>
      <c r="LM12" s="4" t="s">
        <v>508</v>
      </c>
      <c r="LN12">
        <v>2500</v>
      </c>
      <c r="NA12" t="s">
        <v>547</v>
      </c>
      <c r="NB12" s="4" t="s">
        <v>511</v>
      </c>
      <c r="NC12" s="4" t="s">
        <v>548</v>
      </c>
      <c r="ND12" t="s">
        <v>569</v>
      </c>
      <c r="NF12" t="s">
        <v>584</v>
      </c>
      <c r="NI12" t="s">
        <v>550</v>
      </c>
      <c r="NJ12" t="s">
        <v>581</v>
      </c>
      <c r="NK12" t="s">
        <v>514</v>
      </c>
      <c r="NL12" s="4" t="s">
        <v>515</v>
      </c>
      <c r="NM12" s="6" t="s">
        <v>516</v>
      </c>
      <c r="NV12" t="s">
        <v>518</v>
      </c>
      <c r="NW12" t="s">
        <v>587</v>
      </c>
      <c r="NX12" s="4" t="s">
        <v>520</v>
      </c>
      <c r="NY12" t="s">
        <v>588</v>
      </c>
      <c r="OB12">
        <v>8</v>
      </c>
      <c r="OU12" t="s">
        <v>579</v>
      </c>
      <c r="OV12" t="s">
        <v>518</v>
      </c>
      <c r="OX12">
        <v>2014</v>
      </c>
      <c r="OY12">
        <v>2015</v>
      </c>
      <c r="PB12" s="3" t="s">
        <v>522</v>
      </c>
      <c r="PC12" s="74">
        <v>46094</v>
      </c>
    </row>
    <row r="13" spans="1:424" ht="15.75" thickBot="1">
      <c r="A13" t="s">
        <v>469</v>
      </c>
      <c r="B13" t="s">
        <v>470</v>
      </c>
      <c r="C13" t="s">
        <v>471</v>
      </c>
      <c r="D13" s="4" t="s">
        <v>472</v>
      </c>
      <c r="E13" t="s">
        <v>473</v>
      </c>
      <c r="F13" s="4" t="s">
        <v>474</v>
      </c>
      <c r="G13" t="s">
        <v>475</v>
      </c>
      <c r="H13" t="s">
        <v>476</v>
      </c>
      <c r="I13" t="s">
        <v>477</v>
      </c>
      <c r="J13" t="s">
        <v>478</v>
      </c>
      <c r="K13" s="3">
        <v>200</v>
      </c>
      <c r="AV13" t="s">
        <v>479</v>
      </c>
      <c r="AW13">
        <v>200</v>
      </c>
      <c r="AX13" t="s">
        <v>480</v>
      </c>
      <c r="AY13">
        <v>1</v>
      </c>
      <c r="AZ13" t="s">
        <v>576</v>
      </c>
      <c r="BA13">
        <v>2014</v>
      </c>
      <c r="BB13">
        <v>2015</v>
      </c>
      <c r="BC13" t="s">
        <v>480</v>
      </c>
      <c r="BD13" t="s">
        <v>571</v>
      </c>
      <c r="BE13" t="s">
        <v>572</v>
      </c>
      <c r="BF13" s="3" t="s">
        <v>484</v>
      </c>
      <c r="BG13" t="s">
        <v>485</v>
      </c>
      <c r="BH13" t="s">
        <v>480</v>
      </c>
      <c r="BI13" s="4" t="s">
        <v>486</v>
      </c>
      <c r="BJ13" s="9">
        <v>44000</v>
      </c>
      <c r="BK13" t="s">
        <v>555</v>
      </c>
      <c r="BL13" t="s">
        <v>554</v>
      </c>
      <c r="BM13" t="s">
        <v>480</v>
      </c>
      <c r="BN13" s="4" t="s">
        <v>486</v>
      </c>
      <c r="BO13" s="9">
        <v>444444</v>
      </c>
      <c r="BP13" t="s">
        <v>555</v>
      </c>
      <c r="BQ13" t="s">
        <v>556</v>
      </c>
      <c r="BR13" t="s">
        <v>480</v>
      </c>
      <c r="BS13" s="4" t="s">
        <v>486</v>
      </c>
      <c r="BT13" s="9">
        <v>148000</v>
      </c>
      <c r="HK13" t="s">
        <v>487</v>
      </c>
      <c r="HL13" t="s">
        <v>488</v>
      </c>
      <c r="HQ13" t="s">
        <v>489</v>
      </c>
      <c r="HS13" s="4" t="s">
        <v>490</v>
      </c>
      <c r="HT13" t="s">
        <v>480</v>
      </c>
      <c r="HU13" t="s">
        <v>480</v>
      </c>
      <c r="IO13" t="s">
        <v>557</v>
      </c>
      <c r="IP13" t="s">
        <v>573</v>
      </c>
      <c r="IS13" t="s">
        <v>480</v>
      </c>
      <c r="IT13" t="s">
        <v>480</v>
      </c>
      <c r="IU13" s="4" t="s">
        <v>544</v>
      </c>
      <c r="JJ13" t="s">
        <v>574</v>
      </c>
      <c r="JK13" s="3" t="s">
        <v>494</v>
      </c>
      <c r="JL13" s="8" t="s">
        <v>495</v>
      </c>
      <c r="JM13" s="8" t="s">
        <v>559</v>
      </c>
      <c r="JN13" s="59" t="s">
        <v>560</v>
      </c>
      <c r="JO13" t="s">
        <v>561</v>
      </c>
      <c r="JV13" s="4"/>
      <c r="JW13" s="4"/>
      <c r="JX13" s="4"/>
      <c r="JY13" s="4"/>
      <c r="JZ13" s="4"/>
      <c r="KA13" s="4"/>
      <c r="KB13" s="4"/>
      <c r="KC13" s="4"/>
      <c r="KD13" s="4"/>
      <c r="KE13" t="s">
        <v>499</v>
      </c>
      <c r="KF13" s="13" t="s">
        <v>500</v>
      </c>
      <c r="KG13" s="13" t="s">
        <v>480</v>
      </c>
      <c r="KH13" t="s">
        <v>480</v>
      </c>
      <c r="KI13" t="s">
        <v>499</v>
      </c>
      <c r="KJ13" t="s">
        <v>501</v>
      </c>
      <c r="KK13" t="s">
        <v>502</v>
      </c>
      <c r="KL13" s="4" t="s">
        <v>503</v>
      </c>
      <c r="KM13">
        <v>2.5</v>
      </c>
      <c r="KN13" s="7"/>
      <c r="KO13" s="7" t="s">
        <v>562</v>
      </c>
      <c r="KP13" s="64" t="s">
        <v>480</v>
      </c>
      <c r="KQ13" s="64" t="s">
        <v>480</v>
      </c>
      <c r="KR13" s="7" t="s">
        <v>504</v>
      </c>
      <c r="KS13" s="7"/>
      <c r="KT13" s="7"/>
      <c r="KU13" s="13"/>
      <c r="KV13" t="s">
        <v>505</v>
      </c>
      <c r="KW13" t="s">
        <v>506</v>
      </c>
      <c r="LB13" s="4" t="s">
        <v>480</v>
      </c>
      <c r="LC13" s="4"/>
      <c r="LD13" s="4" t="s">
        <v>480</v>
      </c>
      <c r="LE13" s="4"/>
      <c r="LF13" s="4" t="s">
        <v>480</v>
      </c>
      <c r="LG13" s="4"/>
      <c r="LH13" s="4" t="s">
        <v>480</v>
      </c>
      <c r="LI13" s="4"/>
      <c r="LJ13" t="s">
        <v>507</v>
      </c>
      <c r="LK13" s="4" t="s">
        <v>480</v>
      </c>
      <c r="LL13" s="4" t="s">
        <v>480</v>
      </c>
      <c r="LM13" s="4" t="s">
        <v>508</v>
      </c>
      <c r="LN13">
        <v>2500</v>
      </c>
      <c r="NA13" t="s">
        <v>547</v>
      </c>
      <c r="NB13" s="4" t="s">
        <v>511</v>
      </c>
      <c r="NC13" s="4" t="s">
        <v>548</v>
      </c>
      <c r="ND13" t="s">
        <v>563</v>
      </c>
      <c r="NF13" t="s">
        <v>584</v>
      </c>
      <c r="NI13" t="s">
        <v>512</v>
      </c>
      <c r="NJ13" t="s">
        <v>581</v>
      </c>
      <c r="NK13" t="s">
        <v>514</v>
      </c>
      <c r="NL13" s="4" t="s">
        <v>515</v>
      </c>
      <c r="NM13" s="6" t="s">
        <v>516</v>
      </c>
      <c r="NV13" t="s">
        <v>518</v>
      </c>
      <c r="NW13" t="s">
        <v>589</v>
      </c>
      <c r="NX13" s="4" t="s">
        <v>520</v>
      </c>
      <c r="NY13" t="s">
        <v>590</v>
      </c>
      <c r="OB13">
        <v>8</v>
      </c>
      <c r="OU13" t="s">
        <v>579</v>
      </c>
      <c r="OV13" t="s">
        <v>518</v>
      </c>
      <c r="OX13">
        <v>2014</v>
      </c>
      <c r="OY13">
        <v>2015</v>
      </c>
      <c r="PB13" s="3" t="s">
        <v>522</v>
      </c>
      <c r="PC13" s="74">
        <v>46094</v>
      </c>
    </row>
    <row r="14" spans="1:424" ht="15.75" thickBot="1">
      <c r="A14" t="s">
        <v>469</v>
      </c>
      <c r="B14" t="s">
        <v>470</v>
      </c>
      <c r="C14" t="s">
        <v>471</v>
      </c>
      <c r="D14" s="4" t="s">
        <v>472</v>
      </c>
      <c r="E14" t="s">
        <v>473</v>
      </c>
      <c r="F14" s="4" t="s">
        <v>474</v>
      </c>
      <c r="G14" t="s">
        <v>475</v>
      </c>
      <c r="H14" t="s">
        <v>476</v>
      </c>
      <c r="I14" t="s">
        <v>477</v>
      </c>
      <c r="J14" t="s">
        <v>478</v>
      </c>
      <c r="K14" s="3">
        <v>200</v>
      </c>
      <c r="AV14" t="s">
        <v>479</v>
      </c>
      <c r="AW14">
        <v>200</v>
      </c>
      <c r="AX14" t="s">
        <v>480</v>
      </c>
      <c r="AY14">
        <v>1</v>
      </c>
      <c r="AZ14" t="s">
        <v>576</v>
      </c>
      <c r="BA14">
        <v>2014</v>
      </c>
      <c r="BB14">
        <v>2015</v>
      </c>
      <c r="BC14" t="s">
        <v>480</v>
      </c>
      <c r="BD14" t="s">
        <v>552</v>
      </c>
      <c r="BE14" t="s">
        <v>553</v>
      </c>
      <c r="BF14" s="3" t="s">
        <v>484</v>
      </c>
      <c r="BG14" t="s">
        <v>554</v>
      </c>
      <c r="BH14" t="s">
        <v>480</v>
      </c>
      <c r="BI14" s="4" t="s">
        <v>486</v>
      </c>
      <c r="BJ14" s="9">
        <v>44444</v>
      </c>
      <c r="BK14" t="s">
        <v>555</v>
      </c>
      <c r="BL14" t="s">
        <v>556</v>
      </c>
      <c r="BM14" t="s">
        <v>480</v>
      </c>
      <c r="BN14" s="4" t="s">
        <v>486</v>
      </c>
      <c r="BO14" s="9">
        <v>148000</v>
      </c>
      <c r="BP14" t="s">
        <v>555</v>
      </c>
      <c r="BQ14" t="s">
        <v>485</v>
      </c>
      <c r="BR14" t="s">
        <v>480</v>
      </c>
      <c r="BS14" s="4" t="s">
        <v>486</v>
      </c>
      <c r="BT14">
        <v>44000</v>
      </c>
      <c r="HK14" t="s">
        <v>487</v>
      </c>
      <c r="HL14" t="s">
        <v>488</v>
      </c>
      <c r="HQ14" t="s">
        <v>489</v>
      </c>
      <c r="HS14" s="4" t="s">
        <v>490</v>
      </c>
      <c r="HT14" t="s">
        <v>480</v>
      </c>
      <c r="HU14" t="s">
        <v>480</v>
      </c>
      <c r="IO14" t="s">
        <v>557</v>
      </c>
      <c r="IP14" s="75" t="s">
        <v>558</v>
      </c>
      <c r="IS14" t="s">
        <v>480</v>
      </c>
      <c r="IT14" t="s">
        <v>480</v>
      </c>
      <c r="IU14" s="4" t="s">
        <v>544</v>
      </c>
      <c r="JJ14" t="s">
        <v>493</v>
      </c>
      <c r="JK14" s="3" t="s">
        <v>494</v>
      </c>
      <c r="JL14" s="8" t="s">
        <v>495</v>
      </c>
      <c r="JM14" s="8" t="s">
        <v>559</v>
      </c>
      <c r="JN14" s="59" t="s">
        <v>560</v>
      </c>
      <c r="JO14" t="s">
        <v>561</v>
      </c>
      <c r="JV14" s="4"/>
      <c r="JW14" s="4"/>
      <c r="JX14" s="4"/>
      <c r="JY14" s="4"/>
      <c r="JZ14" s="4"/>
      <c r="KA14" s="4"/>
      <c r="KB14" s="4"/>
      <c r="KC14" s="4"/>
      <c r="KD14" s="4"/>
      <c r="KE14" t="s">
        <v>499</v>
      </c>
      <c r="KF14" s="13" t="s">
        <v>500</v>
      </c>
      <c r="KG14" s="13" t="s">
        <v>480</v>
      </c>
      <c r="KH14" t="s">
        <v>480</v>
      </c>
      <c r="KI14" t="s">
        <v>499</v>
      </c>
      <c r="KJ14" t="s">
        <v>501</v>
      </c>
      <c r="KK14" t="s">
        <v>502</v>
      </c>
      <c r="KL14" s="4" t="s">
        <v>503</v>
      </c>
      <c r="KM14">
        <v>2.5</v>
      </c>
      <c r="KN14" s="7"/>
      <c r="KO14" s="7" t="s">
        <v>562</v>
      </c>
      <c r="KP14" s="64" t="s">
        <v>480</v>
      </c>
      <c r="KQ14" s="64" t="s">
        <v>480</v>
      </c>
      <c r="KR14" s="7" t="s">
        <v>504</v>
      </c>
      <c r="KS14" s="7"/>
      <c r="KT14" s="7"/>
      <c r="KU14" s="13"/>
      <c r="KV14" t="s">
        <v>505</v>
      </c>
      <c r="KW14" t="s">
        <v>506</v>
      </c>
      <c r="LB14" s="4" t="s">
        <v>480</v>
      </c>
      <c r="LC14" s="4"/>
      <c r="LD14" s="4" t="s">
        <v>480</v>
      </c>
      <c r="LE14" s="4"/>
      <c r="LF14" s="4" t="s">
        <v>480</v>
      </c>
      <c r="LG14" s="4"/>
      <c r="LH14" s="4" t="s">
        <v>480</v>
      </c>
      <c r="LI14" s="4"/>
      <c r="LJ14" t="s">
        <v>507</v>
      </c>
      <c r="LK14" s="4" t="s">
        <v>480</v>
      </c>
      <c r="LL14" s="4" t="s">
        <v>480</v>
      </c>
      <c r="LM14" s="4" t="s">
        <v>508</v>
      </c>
      <c r="LN14">
        <v>2500</v>
      </c>
      <c r="NA14" t="s">
        <v>547</v>
      </c>
      <c r="NB14" s="4" t="s">
        <v>511</v>
      </c>
      <c r="NC14" s="4" t="s">
        <v>548</v>
      </c>
      <c r="ND14" t="s">
        <v>563</v>
      </c>
      <c r="NF14" t="s">
        <v>584</v>
      </c>
      <c r="NI14" t="s">
        <v>512</v>
      </c>
      <c r="NJ14" t="s">
        <v>581</v>
      </c>
      <c r="NK14" t="s">
        <v>514</v>
      </c>
      <c r="NL14" s="4" t="s">
        <v>515</v>
      </c>
      <c r="NM14" s="6" t="s">
        <v>516</v>
      </c>
      <c r="NV14" t="s">
        <v>518</v>
      </c>
      <c r="NW14" t="s">
        <v>591</v>
      </c>
      <c r="NX14" s="4" t="s">
        <v>520</v>
      </c>
      <c r="NY14" t="s">
        <v>586</v>
      </c>
      <c r="OB14">
        <v>8</v>
      </c>
      <c r="OU14" t="s">
        <v>579</v>
      </c>
      <c r="OV14" t="s">
        <v>518</v>
      </c>
      <c r="OX14">
        <v>2014</v>
      </c>
      <c r="OY14">
        <v>2015</v>
      </c>
      <c r="PB14" s="3" t="s">
        <v>522</v>
      </c>
      <c r="PC14" s="74">
        <v>46094</v>
      </c>
    </row>
    <row r="15" spans="1:424" ht="15.75" thickBot="1">
      <c r="A15" t="s">
        <v>469</v>
      </c>
      <c r="B15" t="s">
        <v>470</v>
      </c>
      <c r="C15" t="s">
        <v>471</v>
      </c>
      <c r="D15" s="4" t="s">
        <v>472</v>
      </c>
      <c r="E15" t="s">
        <v>473</v>
      </c>
      <c r="F15" s="4" t="s">
        <v>474</v>
      </c>
      <c r="G15" t="s">
        <v>475</v>
      </c>
      <c r="H15" t="s">
        <v>476</v>
      </c>
      <c r="I15" t="s">
        <v>477</v>
      </c>
      <c r="J15" t="s">
        <v>478</v>
      </c>
      <c r="K15" s="3">
        <v>200</v>
      </c>
      <c r="AV15" t="s">
        <v>479</v>
      </c>
      <c r="AW15">
        <v>200</v>
      </c>
      <c r="AX15" t="s">
        <v>480</v>
      </c>
      <c r="AY15">
        <v>1</v>
      </c>
      <c r="AZ15" t="s">
        <v>576</v>
      </c>
      <c r="BA15">
        <v>2014</v>
      </c>
      <c r="BB15">
        <v>2015</v>
      </c>
      <c r="BC15" t="s">
        <v>480</v>
      </c>
      <c r="BD15" t="s">
        <v>592</v>
      </c>
      <c r="BE15" t="s">
        <v>593</v>
      </c>
      <c r="BF15" s="3" t="s">
        <v>484</v>
      </c>
      <c r="BG15" t="s">
        <v>485</v>
      </c>
      <c r="BH15" t="s">
        <v>480</v>
      </c>
      <c r="BI15" s="4" t="s">
        <v>486</v>
      </c>
      <c r="BJ15" s="9">
        <v>44000</v>
      </c>
      <c r="HK15" t="s">
        <v>525</v>
      </c>
      <c r="HL15" t="s">
        <v>526</v>
      </c>
      <c r="HM15" t="s">
        <v>527</v>
      </c>
      <c r="HO15" t="s">
        <v>480</v>
      </c>
      <c r="HP15">
        <v>1</v>
      </c>
      <c r="HQ15" t="s">
        <v>489</v>
      </c>
      <c r="HS15" s="4" t="s">
        <v>490</v>
      </c>
      <c r="HT15" t="s">
        <v>480</v>
      </c>
      <c r="HU15" t="s">
        <v>480</v>
      </c>
      <c r="IH15" t="s">
        <v>491</v>
      </c>
      <c r="II15" s="46" t="s">
        <v>492</v>
      </c>
      <c r="IJ15" s="38"/>
      <c r="IK15" s="38"/>
      <c r="IO15" t="s">
        <v>491</v>
      </c>
      <c r="IP15" s="46" t="s">
        <v>492</v>
      </c>
      <c r="JJ15" t="s">
        <v>493</v>
      </c>
      <c r="JK15" s="46" t="s">
        <v>594</v>
      </c>
      <c r="JL15" s="8" t="s">
        <v>495</v>
      </c>
      <c r="JM15" s="8" t="s">
        <v>496</v>
      </c>
      <c r="JN15" s="59" t="s">
        <v>497</v>
      </c>
      <c r="JO15" t="s">
        <v>498</v>
      </c>
      <c r="JV15" s="4" t="s">
        <v>595</v>
      </c>
      <c r="JW15" s="4" t="s">
        <v>596</v>
      </c>
      <c r="JX15" s="4" t="s">
        <v>508</v>
      </c>
      <c r="JY15" s="4">
        <v>5000</v>
      </c>
      <c r="JZ15" s="4" t="s">
        <v>597</v>
      </c>
      <c r="KA15" s="4">
        <v>0.74</v>
      </c>
      <c r="KB15">
        <v>0.12</v>
      </c>
      <c r="KC15">
        <v>0.69</v>
      </c>
      <c r="KD15" s="4" t="s">
        <v>598</v>
      </c>
      <c r="KE15" s="4" t="s">
        <v>528</v>
      </c>
      <c r="KF15" s="13" t="s">
        <v>500</v>
      </c>
      <c r="KG15" s="13" t="s">
        <v>480</v>
      </c>
      <c r="KH15" t="s">
        <v>480</v>
      </c>
      <c r="KI15" t="s">
        <v>529</v>
      </c>
      <c r="KJ15" s="12" t="s">
        <v>530</v>
      </c>
      <c r="KL15" s="4"/>
      <c r="KN15" s="7"/>
      <c r="KO15" s="7"/>
      <c r="KP15" s="7"/>
      <c r="KQ15" s="13"/>
      <c r="KR15" s="7" t="s">
        <v>504</v>
      </c>
      <c r="KS15" s="7"/>
      <c r="KT15" s="7"/>
      <c r="KU15" s="13"/>
      <c r="KW15" s="13" t="s">
        <v>531</v>
      </c>
      <c r="LB15" s="13"/>
      <c r="LC15" s="4"/>
      <c r="LD15" s="13"/>
      <c r="LE15" s="13"/>
      <c r="LF15" s="13"/>
      <c r="LG15" s="13"/>
      <c r="LH15" s="13"/>
      <c r="LI15" s="4"/>
      <c r="LJ15" s="4"/>
      <c r="LK15" s="4"/>
      <c r="LL15" s="4"/>
      <c r="LM15" s="4"/>
      <c r="NA15" t="s">
        <v>510</v>
      </c>
      <c r="NB15" s="4" t="s">
        <v>511</v>
      </c>
      <c r="NC15" s="4" t="s">
        <v>548</v>
      </c>
      <c r="NI15" t="s">
        <v>599</v>
      </c>
      <c r="NJ15" t="s">
        <v>581</v>
      </c>
      <c r="NK15" t="s">
        <v>514</v>
      </c>
      <c r="NL15" s="4" t="s">
        <v>515</v>
      </c>
      <c r="NM15" s="6" t="s">
        <v>516</v>
      </c>
      <c r="NU15" t="s">
        <v>600</v>
      </c>
      <c r="NV15" t="s">
        <v>518</v>
      </c>
      <c r="NW15" t="s">
        <v>583</v>
      </c>
      <c r="NX15" s="4" t="s">
        <v>520</v>
      </c>
      <c r="NY15" t="s">
        <v>586</v>
      </c>
      <c r="OB15">
        <v>8</v>
      </c>
      <c r="OU15" t="s">
        <v>579</v>
      </c>
      <c r="OV15" t="s">
        <v>518</v>
      </c>
      <c r="OX15">
        <v>2014</v>
      </c>
      <c r="OY15">
        <v>2015</v>
      </c>
      <c r="PB15" s="3" t="s">
        <v>522</v>
      </c>
      <c r="PC15" s="74">
        <v>46094</v>
      </c>
    </row>
    <row r="16" spans="1:424" ht="15.75" thickBot="1">
      <c r="A16" t="s">
        <v>469</v>
      </c>
      <c r="B16" t="s">
        <v>470</v>
      </c>
      <c r="C16" t="s">
        <v>471</v>
      </c>
      <c r="D16" s="4" t="s">
        <v>472</v>
      </c>
      <c r="E16" t="s">
        <v>473</v>
      </c>
      <c r="F16" s="4" t="s">
        <v>474</v>
      </c>
      <c r="G16" t="s">
        <v>475</v>
      </c>
      <c r="H16" t="s">
        <v>476</v>
      </c>
      <c r="I16" t="s">
        <v>477</v>
      </c>
      <c r="J16" t="s">
        <v>478</v>
      </c>
      <c r="K16" s="3">
        <v>200</v>
      </c>
      <c r="AV16" t="s">
        <v>479</v>
      </c>
      <c r="AW16">
        <v>200</v>
      </c>
      <c r="AX16" t="s">
        <v>480</v>
      </c>
      <c r="AY16">
        <v>1</v>
      </c>
      <c r="AZ16" t="s">
        <v>576</v>
      </c>
      <c r="BA16">
        <v>2014</v>
      </c>
      <c r="BB16">
        <v>2015</v>
      </c>
      <c r="BC16" t="s">
        <v>480</v>
      </c>
      <c r="BD16" t="s">
        <v>601</v>
      </c>
      <c r="BE16" t="s">
        <v>602</v>
      </c>
      <c r="BF16" s="3" t="s">
        <v>484</v>
      </c>
      <c r="BG16" t="s">
        <v>485</v>
      </c>
      <c r="BH16" t="s">
        <v>480</v>
      </c>
      <c r="BI16" s="4" t="s">
        <v>486</v>
      </c>
      <c r="BJ16" s="9">
        <v>44000</v>
      </c>
      <c r="HK16" t="s">
        <v>487</v>
      </c>
      <c r="HL16" t="s">
        <v>488</v>
      </c>
      <c r="HQ16" t="s">
        <v>489</v>
      </c>
      <c r="HS16" s="4" t="s">
        <v>490</v>
      </c>
      <c r="HT16" t="s">
        <v>480</v>
      </c>
      <c r="HU16" t="s">
        <v>480</v>
      </c>
      <c r="IH16" t="s">
        <v>491</v>
      </c>
      <c r="II16" s="46" t="s">
        <v>492</v>
      </c>
      <c r="IJ16" s="38"/>
      <c r="IK16" s="38"/>
      <c r="IO16" s="15" t="s">
        <v>491</v>
      </c>
      <c r="IP16" s="46" t="s">
        <v>492</v>
      </c>
      <c r="JJ16" t="s">
        <v>493</v>
      </c>
      <c r="JK16" s="46" t="s">
        <v>594</v>
      </c>
      <c r="JL16" s="8" t="s">
        <v>495</v>
      </c>
      <c r="JM16" s="8" t="s">
        <v>496</v>
      </c>
      <c r="JN16" s="59" t="s">
        <v>497</v>
      </c>
      <c r="JO16" t="s">
        <v>498</v>
      </c>
      <c r="JV16" s="4" t="s">
        <v>595</v>
      </c>
      <c r="JW16" s="4" t="s">
        <v>596</v>
      </c>
      <c r="JX16" s="4" t="s">
        <v>508</v>
      </c>
      <c r="JY16" s="4">
        <v>5000</v>
      </c>
      <c r="JZ16" s="4" t="s">
        <v>597</v>
      </c>
      <c r="KA16" s="4">
        <v>0.74</v>
      </c>
      <c r="KB16">
        <v>0.12</v>
      </c>
      <c r="KC16">
        <v>0.69</v>
      </c>
      <c r="KD16" s="4" t="s">
        <v>598</v>
      </c>
      <c r="KE16" t="s">
        <v>499</v>
      </c>
      <c r="KF16" s="13" t="s">
        <v>500</v>
      </c>
      <c r="KG16" s="13" t="s">
        <v>480</v>
      </c>
      <c r="KH16" t="s">
        <v>480</v>
      </c>
      <c r="KI16" t="s">
        <v>499</v>
      </c>
      <c r="KJ16" t="s">
        <v>501</v>
      </c>
      <c r="KK16" t="s">
        <v>502</v>
      </c>
      <c r="KL16" s="4" t="s">
        <v>503</v>
      </c>
      <c r="KM16">
        <v>2.5</v>
      </c>
      <c r="KN16" s="7"/>
      <c r="KO16" s="7"/>
      <c r="KP16" s="7"/>
      <c r="KQ16" s="13"/>
      <c r="KR16" s="7" t="s">
        <v>504</v>
      </c>
      <c r="KS16" s="7"/>
      <c r="KT16" s="7"/>
      <c r="KU16" s="13"/>
      <c r="KV16" t="s">
        <v>505</v>
      </c>
      <c r="KW16" t="s">
        <v>506</v>
      </c>
      <c r="LB16" s="4" t="s">
        <v>480</v>
      </c>
      <c r="LC16" s="4"/>
      <c r="LD16" s="4" t="s">
        <v>480</v>
      </c>
      <c r="LE16" s="4"/>
      <c r="LF16" s="4" t="s">
        <v>480</v>
      </c>
      <c r="LG16" s="4"/>
      <c r="LH16" s="4" t="s">
        <v>480</v>
      </c>
      <c r="LI16" s="4"/>
      <c r="LJ16" t="s">
        <v>507</v>
      </c>
      <c r="LK16" s="4" t="s">
        <v>480</v>
      </c>
      <c r="LL16" s="4" t="s">
        <v>480</v>
      </c>
      <c r="LM16" s="4" t="s">
        <v>508</v>
      </c>
      <c r="LN16">
        <v>2500</v>
      </c>
      <c r="NA16" t="s">
        <v>580</v>
      </c>
      <c r="NB16" s="4" t="s">
        <v>511</v>
      </c>
      <c r="NC16" s="4" t="s">
        <v>548</v>
      </c>
      <c r="NI16" t="s">
        <v>603</v>
      </c>
      <c r="NJ16" t="s">
        <v>581</v>
      </c>
      <c r="NK16" t="s">
        <v>514</v>
      </c>
      <c r="NL16" s="4" t="s">
        <v>515</v>
      </c>
      <c r="NM16" s="6" t="s">
        <v>516</v>
      </c>
      <c r="NU16" t="s">
        <v>604</v>
      </c>
      <c r="NV16" t="s">
        <v>518</v>
      </c>
      <c r="NW16" t="s">
        <v>605</v>
      </c>
      <c r="NX16" s="4" t="s">
        <v>520</v>
      </c>
      <c r="NY16" t="s">
        <v>590</v>
      </c>
      <c r="OB16">
        <v>8</v>
      </c>
      <c r="OU16" t="s">
        <v>579</v>
      </c>
      <c r="OV16" t="s">
        <v>518</v>
      </c>
      <c r="OX16">
        <v>2014</v>
      </c>
      <c r="OY16">
        <v>2015</v>
      </c>
      <c r="PB16" s="3" t="s">
        <v>522</v>
      </c>
      <c r="PC16" s="74">
        <v>46094</v>
      </c>
    </row>
    <row r="17" spans="1:419" ht="15.75" thickBot="1">
      <c r="A17" t="s">
        <v>469</v>
      </c>
      <c r="B17" t="s">
        <v>470</v>
      </c>
      <c r="C17" t="s">
        <v>471</v>
      </c>
      <c r="D17" s="4" t="s">
        <v>472</v>
      </c>
      <c r="E17" t="s">
        <v>473</v>
      </c>
      <c r="F17" s="4" t="s">
        <v>474</v>
      </c>
      <c r="G17" t="s">
        <v>475</v>
      </c>
      <c r="H17" t="s">
        <v>476</v>
      </c>
      <c r="I17" t="s">
        <v>477</v>
      </c>
      <c r="J17" t="s">
        <v>478</v>
      </c>
      <c r="K17" s="3">
        <v>200</v>
      </c>
      <c r="AV17" t="s">
        <v>479</v>
      </c>
      <c r="AW17">
        <v>200</v>
      </c>
      <c r="AX17" t="s">
        <v>480</v>
      </c>
      <c r="AY17">
        <v>1</v>
      </c>
      <c r="AZ17" t="s">
        <v>576</v>
      </c>
      <c r="BA17">
        <v>2014</v>
      </c>
      <c r="BB17">
        <v>2015</v>
      </c>
      <c r="BC17" t="s">
        <v>480</v>
      </c>
      <c r="BD17" t="s">
        <v>606</v>
      </c>
      <c r="BE17" t="s">
        <v>607</v>
      </c>
      <c r="BF17" s="3" t="s">
        <v>484</v>
      </c>
      <c r="BG17" t="s">
        <v>485</v>
      </c>
      <c r="BH17" t="s">
        <v>480</v>
      </c>
      <c r="BI17" s="4" t="s">
        <v>486</v>
      </c>
      <c r="BJ17" s="9">
        <v>44000</v>
      </c>
      <c r="BK17" t="s">
        <v>537</v>
      </c>
      <c r="BL17" t="s">
        <v>538</v>
      </c>
      <c r="BM17" t="s">
        <v>480</v>
      </c>
      <c r="BN17" s="4" t="s">
        <v>486</v>
      </c>
      <c r="BO17" s="9">
        <v>44444</v>
      </c>
      <c r="HK17" t="s">
        <v>487</v>
      </c>
      <c r="HL17" t="s">
        <v>488</v>
      </c>
      <c r="HQ17" t="s">
        <v>489</v>
      </c>
      <c r="HS17" s="4" t="s">
        <v>539</v>
      </c>
      <c r="HT17" t="s">
        <v>480</v>
      </c>
      <c r="HU17" t="s">
        <v>480</v>
      </c>
      <c r="IH17" t="s">
        <v>540</v>
      </c>
      <c r="II17" s="219" t="s">
        <v>541</v>
      </c>
      <c r="IJ17" s="37" t="s">
        <v>542</v>
      </c>
      <c r="IK17" s="37" t="s">
        <v>543</v>
      </c>
      <c r="IL17">
        <v>2012</v>
      </c>
      <c r="IM17" t="s">
        <v>480</v>
      </c>
      <c r="IN17" s="4" t="s">
        <v>544</v>
      </c>
      <c r="JJ17" t="s">
        <v>493</v>
      </c>
      <c r="JK17" s="46" t="s">
        <v>594</v>
      </c>
      <c r="JL17" s="8" t="s">
        <v>495</v>
      </c>
      <c r="JM17" s="8" t="s">
        <v>496</v>
      </c>
      <c r="JN17" s="59" t="s">
        <v>497</v>
      </c>
      <c r="JO17" t="s">
        <v>498</v>
      </c>
      <c r="JV17" s="4" t="s">
        <v>595</v>
      </c>
      <c r="JW17" s="4" t="s">
        <v>596</v>
      </c>
      <c r="JX17" s="4" t="s">
        <v>508</v>
      </c>
      <c r="JY17" s="4">
        <v>5000</v>
      </c>
      <c r="JZ17" s="4" t="s">
        <v>597</v>
      </c>
      <c r="KA17" s="4">
        <v>0.74</v>
      </c>
      <c r="KB17">
        <v>0.12</v>
      </c>
      <c r="KC17">
        <v>0.69</v>
      </c>
      <c r="KD17" s="4" t="s">
        <v>598</v>
      </c>
      <c r="KE17" t="s">
        <v>499</v>
      </c>
      <c r="KF17" s="13" t="s">
        <v>500</v>
      </c>
      <c r="KG17" s="13" t="s">
        <v>480</v>
      </c>
      <c r="KH17" t="s">
        <v>480</v>
      </c>
      <c r="KI17" t="s">
        <v>499</v>
      </c>
      <c r="KJ17" t="s">
        <v>501</v>
      </c>
      <c r="KK17" t="s">
        <v>502</v>
      </c>
      <c r="KL17" s="4" t="s">
        <v>503</v>
      </c>
      <c r="KM17">
        <v>2.5</v>
      </c>
      <c r="KN17" s="7"/>
      <c r="KO17" s="7"/>
      <c r="KP17" s="7"/>
      <c r="KQ17" s="13"/>
      <c r="KR17" s="7" t="s">
        <v>545</v>
      </c>
      <c r="KS17" s="7" t="s">
        <v>546</v>
      </c>
      <c r="KT17" s="3" t="s">
        <v>480</v>
      </c>
      <c r="KU17" t="s">
        <v>480</v>
      </c>
      <c r="KV17" t="s">
        <v>505</v>
      </c>
      <c r="KW17" t="s">
        <v>506</v>
      </c>
      <c r="LB17" s="4" t="s">
        <v>480</v>
      </c>
      <c r="LC17" s="4"/>
      <c r="LD17" s="4" t="s">
        <v>480</v>
      </c>
      <c r="LE17" s="4"/>
      <c r="LF17" s="4" t="s">
        <v>480</v>
      </c>
      <c r="LG17" s="4"/>
      <c r="LH17" s="4" t="s">
        <v>480</v>
      </c>
      <c r="LI17" s="4"/>
      <c r="LJ17" t="s">
        <v>507</v>
      </c>
      <c r="LK17" s="4" t="s">
        <v>480</v>
      </c>
      <c r="LL17" s="4" t="s">
        <v>480</v>
      </c>
      <c r="LM17" s="4" t="s">
        <v>508</v>
      </c>
      <c r="LN17">
        <v>2500</v>
      </c>
      <c r="NA17" t="s">
        <v>547</v>
      </c>
      <c r="NB17" s="4" t="s">
        <v>511</v>
      </c>
      <c r="NC17" s="4" t="s">
        <v>548</v>
      </c>
      <c r="ND17" t="s">
        <v>549</v>
      </c>
      <c r="NF17" t="s">
        <v>584</v>
      </c>
      <c r="NI17" t="s">
        <v>608</v>
      </c>
      <c r="NJ17" t="s">
        <v>581</v>
      </c>
      <c r="NK17" t="s">
        <v>514</v>
      </c>
      <c r="NL17" s="4" t="s">
        <v>515</v>
      </c>
      <c r="NM17" s="6" t="s">
        <v>516</v>
      </c>
      <c r="NV17" t="s">
        <v>518</v>
      </c>
      <c r="NW17" t="s">
        <v>609</v>
      </c>
      <c r="NX17" s="4" t="s">
        <v>520</v>
      </c>
      <c r="NY17" t="s">
        <v>590</v>
      </c>
      <c r="OB17">
        <v>8</v>
      </c>
      <c r="OU17" t="s">
        <v>579</v>
      </c>
      <c r="OV17" t="s">
        <v>518</v>
      </c>
      <c r="OX17">
        <v>2014</v>
      </c>
      <c r="OY17">
        <v>2015</v>
      </c>
      <c r="PB17" s="3" t="s">
        <v>522</v>
      </c>
      <c r="PC17" s="74">
        <v>46094</v>
      </c>
    </row>
    <row r="18" spans="1:419" ht="15.75" thickBot="1">
      <c r="A18" t="s">
        <v>469</v>
      </c>
      <c r="B18" t="s">
        <v>470</v>
      </c>
      <c r="C18" t="s">
        <v>471</v>
      </c>
      <c r="D18" s="4" t="s">
        <v>472</v>
      </c>
      <c r="E18" t="s">
        <v>473</v>
      </c>
      <c r="F18" s="4" t="s">
        <v>474</v>
      </c>
      <c r="G18" t="s">
        <v>475</v>
      </c>
      <c r="H18" t="s">
        <v>476</v>
      </c>
      <c r="I18" t="s">
        <v>477</v>
      </c>
      <c r="J18" t="s">
        <v>478</v>
      </c>
      <c r="K18" s="3">
        <v>200</v>
      </c>
      <c r="AV18" t="s">
        <v>479</v>
      </c>
      <c r="AW18">
        <v>200</v>
      </c>
      <c r="AX18" t="s">
        <v>480</v>
      </c>
      <c r="AY18">
        <v>1</v>
      </c>
      <c r="AZ18" t="s">
        <v>576</v>
      </c>
      <c r="BA18">
        <v>2014</v>
      </c>
      <c r="BB18">
        <v>2015</v>
      </c>
      <c r="BC18" t="s">
        <v>480</v>
      </c>
      <c r="BD18" t="s">
        <v>610</v>
      </c>
      <c r="BE18" t="s">
        <v>611</v>
      </c>
      <c r="BF18" s="3" t="s">
        <v>484</v>
      </c>
      <c r="BG18" t="s">
        <v>485</v>
      </c>
      <c r="BH18" t="s">
        <v>480</v>
      </c>
      <c r="BI18" s="4" t="s">
        <v>486</v>
      </c>
      <c r="BJ18" s="9">
        <v>44000</v>
      </c>
      <c r="BK18" t="s">
        <v>537</v>
      </c>
      <c r="BL18" t="s">
        <v>567</v>
      </c>
      <c r="BM18" t="s">
        <v>480</v>
      </c>
      <c r="BN18" s="4" t="s">
        <v>486</v>
      </c>
      <c r="BO18" s="9">
        <v>44444</v>
      </c>
      <c r="HK18" t="s">
        <v>487</v>
      </c>
      <c r="HL18" t="s">
        <v>488</v>
      </c>
      <c r="HQ18" t="s">
        <v>489</v>
      </c>
      <c r="HS18" s="4" t="s">
        <v>539</v>
      </c>
      <c r="HT18" t="s">
        <v>480</v>
      </c>
      <c r="HU18" t="s">
        <v>480</v>
      </c>
      <c r="IH18" t="s">
        <v>568</v>
      </c>
      <c r="II18" s="219" t="s">
        <v>541</v>
      </c>
      <c r="IJ18" s="37" t="s">
        <v>542</v>
      </c>
      <c r="IK18" s="37" t="s">
        <v>543</v>
      </c>
      <c r="IL18">
        <v>2012</v>
      </c>
      <c r="IM18" t="s">
        <v>480</v>
      </c>
      <c r="IN18" s="4" t="s">
        <v>544</v>
      </c>
      <c r="JJ18" t="s">
        <v>493</v>
      </c>
      <c r="JK18" s="46" t="s">
        <v>594</v>
      </c>
      <c r="JL18" s="8" t="s">
        <v>495</v>
      </c>
      <c r="JM18" s="8" t="s">
        <v>496</v>
      </c>
      <c r="JN18" s="59" t="s">
        <v>497</v>
      </c>
      <c r="JO18" t="s">
        <v>498</v>
      </c>
      <c r="JV18" s="4" t="s">
        <v>595</v>
      </c>
      <c r="JW18" s="4" t="s">
        <v>596</v>
      </c>
      <c r="JX18" s="4" t="s">
        <v>508</v>
      </c>
      <c r="JY18" s="4">
        <v>5000</v>
      </c>
      <c r="JZ18" s="4" t="s">
        <v>597</v>
      </c>
      <c r="KA18" s="4">
        <v>0.74</v>
      </c>
      <c r="KB18">
        <v>0.12</v>
      </c>
      <c r="KC18">
        <v>0.69</v>
      </c>
      <c r="KD18" s="4" t="s">
        <v>598</v>
      </c>
      <c r="KE18" t="s">
        <v>499</v>
      </c>
      <c r="KF18" s="13" t="s">
        <v>500</v>
      </c>
      <c r="KG18" s="13" t="s">
        <v>480</v>
      </c>
      <c r="KH18" t="s">
        <v>480</v>
      </c>
      <c r="KI18" t="s">
        <v>499</v>
      </c>
      <c r="KJ18" t="s">
        <v>501</v>
      </c>
      <c r="KK18" t="s">
        <v>502</v>
      </c>
      <c r="KL18" s="4" t="s">
        <v>503</v>
      </c>
      <c r="KM18">
        <v>2.5</v>
      </c>
      <c r="KN18" s="7"/>
      <c r="KO18" s="7"/>
      <c r="KP18" s="7"/>
      <c r="KQ18" s="13"/>
      <c r="KR18" s="7" t="s">
        <v>545</v>
      </c>
      <c r="KS18" s="7" t="s">
        <v>546</v>
      </c>
      <c r="KT18" s="3" t="s">
        <v>480</v>
      </c>
      <c r="KU18" t="s">
        <v>480</v>
      </c>
      <c r="KV18" t="s">
        <v>505</v>
      </c>
      <c r="KW18" t="s">
        <v>506</v>
      </c>
      <c r="LB18" s="4" t="s">
        <v>480</v>
      </c>
      <c r="LC18" s="4"/>
      <c r="LD18" s="4" t="s">
        <v>480</v>
      </c>
      <c r="LE18" s="4"/>
      <c r="LF18" s="4" t="s">
        <v>480</v>
      </c>
      <c r="LG18" s="4"/>
      <c r="LH18" s="4" t="s">
        <v>480</v>
      </c>
      <c r="LI18" s="4"/>
      <c r="LJ18" t="s">
        <v>507</v>
      </c>
      <c r="LK18" s="4" t="s">
        <v>480</v>
      </c>
      <c r="LL18" s="4" t="s">
        <v>480</v>
      </c>
      <c r="LM18" s="4" t="s">
        <v>508</v>
      </c>
      <c r="LN18">
        <v>2500</v>
      </c>
      <c r="NA18" t="s">
        <v>547</v>
      </c>
      <c r="NB18" s="4" t="s">
        <v>511</v>
      </c>
      <c r="NC18" s="4" t="s">
        <v>548</v>
      </c>
      <c r="ND18" t="s">
        <v>569</v>
      </c>
      <c r="NF18" t="s">
        <v>584</v>
      </c>
      <c r="NI18" t="s">
        <v>608</v>
      </c>
      <c r="NJ18" t="s">
        <v>581</v>
      </c>
      <c r="NK18" t="s">
        <v>514</v>
      </c>
      <c r="NL18" s="4" t="s">
        <v>515</v>
      </c>
      <c r="NM18" s="6" t="s">
        <v>516</v>
      </c>
      <c r="NV18" t="s">
        <v>518</v>
      </c>
      <c r="NW18" t="s">
        <v>612</v>
      </c>
      <c r="NX18" s="4" t="s">
        <v>520</v>
      </c>
      <c r="NY18" t="s">
        <v>613</v>
      </c>
      <c r="OB18">
        <v>8</v>
      </c>
      <c r="OU18" t="s">
        <v>579</v>
      </c>
      <c r="OV18" t="s">
        <v>518</v>
      </c>
      <c r="OX18">
        <v>2014</v>
      </c>
      <c r="OY18">
        <v>2015</v>
      </c>
      <c r="PB18" s="3" t="s">
        <v>522</v>
      </c>
      <c r="PC18" s="74">
        <v>46094</v>
      </c>
    </row>
    <row r="19" spans="1:419" ht="15.75" thickBot="1">
      <c r="A19" t="s">
        <v>469</v>
      </c>
      <c r="B19" t="s">
        <v>470</v>
      </c>
      <c r="C19" t="s">
        <v>471</v>
      </c>
      <c r="D19" s="4" t="s">
        <v>472</v>
      </c>
      <c r="E19" t="s">
        <v>473</v>
      </c>
      <c r="F19" s="4" t="s">
        <v>474</v>
      </c>
      <c r="G19" t="s">
        <v>475</v>
      </c>
      <c r="H19" t="s">
        <v>476</v>
      </c>
      <c r="I19" t="s">
        <v>477</v>
      </c>
      <c r="J19" t="s">
        <v>478</v>
      </c>
      <c r="K19" s="3">
        <v>200</v>
      </c>
      <c r="AV19" t="s">
        <v>479</v>
      </c>
      <c r="AW19">
        <v>200</v>
      </c>
      <c r="AX19" t="s">
        <v>480</v>
      </c>
      <c r="AY19">
        <v>1</v>
      </c>
      <c r="AZ19" t="s">
        <v>576</v>
      </c>
      <c r="BA19">
        <v>2014</v>
      </c>
      <c r="BB19">
        <v>2015</v>
      </c>
      <c r="BC19" t="s">
        <v>480</v>
      </c>
      <c r="BD19" t="s">
        <v>614</v>
      </c>
      <c r="BE19" t="s">
        <v>615</v>
      </c>
      <c r="BF19" s="3" t="s">
        <v>484</v>
      </c>
      <c r="BG19" t="s">
        <v>485</v>
      </c>
      <c r="BH19" t="s">
        <v>480</v>
      </c>
      <c r="BI19" s="4" t="s">
        <v>486</v>
      </c>
      <c r="BJ19" s="9">
        <v>44000</v>
      </c>
      <c r="BK19" t="s">
        <v>555</v>
      </c>
      <c r="BL19" t="s">
        <v>554</v>
      </c>
      <c r="BM19" t="s">
        <v>480</v>
      </c>
      <c r="BN19" s="4" t="s">
        <v>486</v>
      </c>
      <c r="BO19" s="9">
        <v>444444</v>
      </c>
      <c r="BP19" t="s">
        <v>555</v>
      </c>
      <c r="BQ19" t="s">
        <v>556</v>
      </c>
      <c r="BR19" t="s">
        <v>480</v>
      </c>
      <c r="BS19" s="4" t="s">
        <v>486</v>
      </c>
      <c r="BT19" s="9">
        <v>148000</v>
      </c>
      <c r="HK19" t="s">
        <v>487</v>
      </c>
      <c r="HL19" t="s">
        <v>488</v>
      </c>
      <c r="HQ19" t="s">
        <v>489</v>
      </c>
      <c r="HS19" s="4" t="s">
        <v>490</v>
      </c>
      <c r="HT19" t="s">
        <v>480</v>
      </c>
      <c r="HU19" t="s">
        <v>480</v>
      </c>
      <c r="IO19" t="s">
        <v>557</v>
      </c>
      <c r="IP19" t="s">
        <v>573</v>
      </c>
      <c r="IS19" t="s">
        <v>480</v>
      </c>
      <c r="IT19" t="s">
        <v>480</v>
      </c>
      <c r="IU19" s="4" t="s">
        <v>544</v>
      </c>
      <c r="JJ19" t="s">
        <v>574</v>
      </c>
      <c r="JK19" s="46" t="s">
        <v>594</v>
      </c>
      <c r="JL19" s="8" t="s">
        <v>495</v>
      </c>
      <c r="JM19" s="8" t="s">
        <v>559</v>
      </c>
      <c r="JN19" s="59" t="s">
        <v>560</v>
      </c>
      <c r="JO19" t="s">
        <v>561</v>
      </c>
      <c r="JV19" s="4" t="s">
        <v>595</v>
      </c>
      <c r="JW19" s="4" t="s">
        <v>596</v>
      </c>
      <c r="JX19" s="4" t="s">
        <v>508</v>
      </c>
      <c r="JY19" s="4">
        <v>5000</v>
      </c>
      <c r="JZ19" s="4" t="s">
        <v>597</v>
      </c>
      <c r="KA19" s="4">
        <v>0.74</v>
      </c>
      <c r="KB19">
        <v>0.12</v>
      </c>
      <c r="KC19">
        <v>0.69</v>
      </c>
      <c r="KD19" s="4" t="s">
        <v>598</v>
      </c>
      <c r="KE19" t="s">
        <v>499</v>
      </c>
      <c r="KF19" s="13" t="s">
        <v>500</v>
      </c>
      <c r="KG19" s="13" t="s">
        <v>480</v>
      </c>
      <c r="KH19" t="s">
        <v>480</v>
      </c>
      <c r="KI19" t="s">
        <v>499</v>
      </c>
      <c r="KJ19" t="s">
        <v>501</v>
      </c>
      <c r="KK19" t="s">
        <v>502</v>
      </c>
      <c r="KL19" s="4" t="s">
        <v>503</v>
      </c>
      <c r="KM19">
        <v>2.5</v>
      </c>
      <c r="KN19" s="7"/>
      <c r="KO19" s="7" t="s">
        <v>562</v>
      </c>
      <c r="KP19" s="64" t="s">
        <v>480</v>
      </c>
      <c r="KQ19" s="64" t="s">
        <v>480</v>
      </c>
      <c r="KR19" s="7" t="s">
        <v>504</v>
      </c>
      <c r="KS19" s="7"/>
      <c r="KT19" s="7"/>
      <c r="KU19" s="13"/>
      <c r="KV19" t="s">
        <v>505</v>
      </c>
      <c r="KW19" t="s">
        <v>506</v>
      </c>
      <c r="LB19" s="4" t="s">
        <v>480</v>
      </c>
      <c r="LC19" s="4"/>
      <c r="LD19" s="4" t="s">
        <v>480</v>
      </c>
      <c r="LE19" s="4"/>
      <c r="LF19" s="4" t="s">
        <v>480</v>
      </c>
      <c r="LG19" s="4"/>
      <c r="LH19" s="4" t="s">
        <v>480</v>
      </c>
      <c r="LI19" s="4"/>
      <c r="LJ19" t="s">
        <v>507</v>
      </c>
      <c r="LK19" s="4" t="s">
        <v>480</v>
      </c>
      <c r="LL19" s="4" t="s">
        <v>480</v>
      </c>
      <c r="LM19" s="4" t="s">
        <v>508</v>
      </c>
      <c r="LN19">
        <v>2500</v>
      </c>
      <c r="NA19" t="s">
        <v>547</v>
      </c>
      <c r="NB19" s="4" t="s">
        <v>511</v>
      </c>
      <c r="NC19" s="4" t="s">
        <v>548</v>
      </c>
      <c r="ND19" t="s">
        <v>563</v>
      </c>
      <c r="NF19" t="s">
        <v>584</v>
      </c>
      <c r="NI19" t="s">
        <v>603</v>
      </c>
      <c r="NJ19" t="s">
        <v>581</v>
      </c>
      <c r="NK19" t="s">
        <v>514</v>
      </c>
      <c r="NL19" s="4" t="s">
        <v>515</v>
      </c>
      <c r="NM19" s="6" t="s">
        <v>516</v>
      </c>
      <c r="NV19" t="s">
        <v>518</v>
      </c>
      <c r="NW19" t="s">
        <v>588</v>
      </c>
      <c r="NX19" s="4" t="s">
        <v>520</v>
      </c>
      <c r="NY19" t="s">
        <v>590</v>
      </c>
      <c r="OB19">
        <v>8</v>
      </c>
      <c r="OU19" t="s">
        <v>579</v>
      </c>
      <c r="OV19" t="s">
        <v>518</v>
      </c>
      <c r="OX19">
        <v>2014</v>
      </c>
      <c r="OY19">
        <v>2015</v>
      </c>
      <c r="PB19" s="3" t="s">
        <v>522</v>
      </c>
      <c r="PC19" s="74">
        <v>46094</v>
      </c>
    </row>
    <row r="20" spans="1:419" ht="15.75" thickBot="1">
      <c r="A20" t="s">
        <v>469</v>
      </c>
      <c r="B20" t="s">
        <v>470</v>
      </c>
      <c r="C20" t="s">
        <v>471</v>
      </c>
      <c r="D20" s="4" t="s">
        <v>472</v>
      </c>
      <c r="E20" t="s">
        <v>473</v>
      </c>
      <c r="F20" s="4" t="s">
        <v>474</v>
      </c>
      <c r="G20" t="s">
        <v>475</v>
      </c>
      <c r="H20" t="s">
        <v>476</v>
      </c>
      <c r="I20" t="s">
        <v>477</v>
      </c>
      <c r="J20" t="s">
        <v>478</v>
      </c>
      <c r="K20" s="3">
        <v>200</v>
      </c>
      <c r="AV20" t="s">
        <v>479</v>
      </c>
      <c r="AW20">
        <v>200</v>
      </c>
      <c r="AX20" t="s">
        <v>480</v>
      </c>
      <c r="AY20">
        <v>1</v>
      </c>
      <c r="AZ20" t="s">
        <v>576</v>
      </c>
      <c r="BA20">
        <v>2014</v>
      </c>
      <c r="BB20">
        <v>2015</v>
      </c>
      <c r="BC20" t="s">
        <v>480</v>
      </c>
      <c r="BD20" t="s">
        <v>616</v>
      </c>
      <c r="BE20" t="s">
        <v>617</v>
      </c>
      <c r="BF20" s="3" t="s">
        <v>484</v>
      </c>
      <c r="BG20" t="s">
        <v>554</v>
      </c>
      <c r="BH20" t="s">
        <v>480</v>
      </c>
      <c r="BI20" s="4" t="s">
        <v>486</v>
      </c>
      <c r="BJ20" s="9">
        <v>44444</v>
      </c>
      <c r="BK20" t="s">
        <v>555</v>
      </c>
      <c r="BL20" t="s">
        <v>556</v>
      </c>
      <c r="BM20" t="s">
        <v>480</v>
      </c>
      <c r="BN20" s="4" t="s">
        <v>486</v>
      </c>
      <c r="BO20" s="9">
        <v>148000</v>
      </c>
      <c r="BP20" t="s">
        <v>555</v>
      </c>
      <c r="BQ20" t="s">
        <v>485</v>
      </c>
      <c r="BR20" t="s">
        <v>480</v>
      </c>
      <c r="BS20" s="4" t="s">
        <v>486</v>
      </c>
      <c r="BT20">
        <v>44000</v>
      </c>
      <c r="HK20" t="s">
        <v>487</v>
      </c>
      <c r="HL20" t="s">
        <v>488</v>
      </c>
      <c r="HQ20" t="s">
        <v>489</v>
      </c>
      <c r="HS20" s="4" t="s">
        <v>490</v>
      </c>
      <c r="HT20" t="s">
        <v>480</v>
      </c>
      <c r="HU20" t="s">
        <v>480</v>
      </c>
      <c r="IO20" t="s">
        <v>557</v>
      </c>
      <c r="IP20" s="75" t="s">
        <v>558</v>
      </c>
      <c r="IS20" t="s">
        <v>480</v>
      </c>
      <c r="IT20" t="s">
        <v>480</v>
      </c>
      <c r="IU20" s="4" t="s">
        <v>544</v>
      </c>
      <c r="JJ20" t="s">
        <v>493</v>
      </c>
      <c r="JK20" s="46" t="s">
        <v>594</v>
      </c>
      <c r="JL20" s="8" t="s">
        <v>495</v>
      </c>
      <c r="JM20" s="8" t="s">
        <v>559</v>
      </c>
      <c r="JN20" s="59" t="s">
        <v>560</v>
      </c>
      <c r="JO20" t="s">
        <v>561</v>
      </c>
      <c r="JV20" s="4" t="s">
        <v>595</v>
      </c>
      <c r="JW20" s="4" t="s">
        <v>596</v>
      </c>
      <c r="JX20" s="4" t="s">
        <v>508</v>
      </c>
      <c r="JY20" s="4">
        <v>5000</v>
      </c>
      <c r="JZ20" s="4" t="s">
        <v>597</v>
      </c>
      <c r="KA20" s="4">
        <v>0.74</v>
      </c>
      <c r="KB20">
        <v>0.12</v>
      </c>
      <c r="KC20">
        <v>0.69</v>
      </c>
      <c r="KD20" s="4" t="s">
        <v>598</v>
      </c>
      <c r="KE20" t="s">
        <v>499</v>
      </c>
      <c r="KF20" s="13" t="s">
        <v>500</v>
      </c>
      <c r="KG20" s="13" t="s">
        <v>480</v>
      </c>
      <c r="KH20" t="s">
        <v>480</v>
      </c>
      <c r="KI20" t="s">
        <v>499</v>
      </c>
      <c r="KJ20" t="s">
        <v>501</v>
      </c>
      <c r="KK20" t="s">
        <v>502</v>
      </c>
      <c r="KL20" s="4" t="s">
        <v>503</v>
      </c>
      <c r="KM20">
        <v>2.5</v>
      </c>
      <c r="KN20" s="7"/>
      <c r="KO20" s="7" t="s">
        <v>562</v>
      </c>
      <c r="KP20" s="64" t="s">
        <v>480</v>
      </c>
      <c r="KQ20" s="64" t="s">
        <v>480</v>
      </c>
      <c r="KR20" s="7" t="s">
        <v>504</v>
      </c>
      <c r="KS20" s="7"/>
      <c r="KT20" s="7"/>
      <c r="KU20" s="13"/>
      <c r="KV20" t="s">
        <v>505</v>
      </c>
      <c r="KW20" t="s">
        <v>506</v>
      </c>
      <c r="LB20" s="4" t="s">
        <v>480</v>
      </c>
      <c r="LC20" s="4"/>
      <c r="LD20" s="4" t="s">
        <v>480</v>
      </c>
      <c r="LE20" s="4"/>
      <c r="LF20" s="4" t="s">
        <v>480</v>
      </c>
      <c r="LG20" s="4"/>
      <c r="LH20" s="4" t="s">
        <v>480</v>
      </c>
      <c r="LI20" s="4"/>
      <c r="LJ20" t="s">
        <v>507</v>
      </c>
      <c r="LK20" s="4" t="s">
        <v>480</v>
      </c>
      <c r="LL20" s="4" t="s">
        <v>480</v>
      </c>
      <c r="LM20" s="4" t="s">
        <v>508</v>
      </c>
      <c r="LN20">
        <v>2500</v>
      </c>
      <c r="NA20" t="s">
        <v>547</v>
      </c>
      <c r="NB20" s="4" t="s">
        <v>511</v>
      </c>
      <c r="NC20" s="4" t="s">
        <v>548</v>
      </c>
      <c r="ND20" t="s">
        <v>563</v>
      </c>
      <c r="NF20" t="s">
        <v>584</v>
      </c>
      <c r="NI20" t="s">
        <v>603</v>
      </c>
      <c r="NJ20" t="s">
        <v>581</v>
      </c>
      <c r="NK20" t="s">
        <v>514</v>
      </c>
      <c r="NL20" s="4" t="s">
        <v>515</v>
      </c>
      <c r="NM20" s="6" t="s">
        <v>516</v>
      </c>
      <c r="NV20" t="s">
        <v>518</v>
      </c>
      <c r="NW20" t="s">
        <v>618</v>
      </c>
      <c r="NX20" s="4" t="s">
        <v>520</v>
      </c>
      <c r="NY20" t="s">
        <v>619</v>
      </c>
      <c r="OB20">
        <v>8</v>
      </c>
      <c r="OU20" t="s">
        <v>579</v>
      </c>
      <c r="OV20" t="s">
        <v>518</v>
      </c>
      <c r="OX20">
        <v>2014</v>
      </c>
      <c r="OY20">
        <v>2015</v>
      </c>
      <c r="PB20" s="3" t="s">
        <v>522</v>
      </c>
      <c r="PC20" s="74">
        <v>46094</v>
      </c>
    </row>
    <row r="21" spans="1:419" ht="15.75" thickBot="1">
      <c r="A21" t="s">
        <v>469</v>
      </c>
      <c r="B21" t="s">
        <v>470</v>
      </c>
      <c r="C21" t="s">
        <v>471</v>
      </c>
      <c r="D21" s="4" t="s">
        <v>472</v>
      </c>
      <c r="E21" t="s">
        <v>473</v>
      </c>
      <c r="F21" s="4" t="s">
        <v>474</v>
      </c>
      <c r="G21" t="s">
        <v>475</v>
      </c>
      <c r="H21" t="s">
        <v>476</v>
      </c>
      <c r="I21" t="s">
        <v>477</v>
      </c>
      <c r="J21" t="s">
        <v>478</v>
      </c>
      <c r="K21" s="3">
        <v>200</v>
      </c>
      <c r="AV21" t="s">
        <v>479</v>
      </c>
      <c r="AW21">
        <v>200</v>
      </c>
      <c r="AX21" t="s">
        <v>480</v>
      </c>
      <c r="AY21">
        <v>1</v>
      </c>
      <c r="AZ21" t="s">
        <v>576</v>
      </c>
      <c r="BA21">
        <v>2014</v>
      </c>
      <c r="BB21">
        <v>2015</v>
      </c>
      <c r="BC21" t="s">
        <v>480</v>
      </c>
      <c r="BD21" t="s">
        <v>620</v>
      </c>
      <c r="BE21" t="s">
        <v>621</v>
      </c>
      <c r="BF21" s="3" t="s">
        <v>484</v>
      </c>
      <c r="BG21" t="s">
        <v>485</v>
      </c>
      <c r="BH21" t="s">
        <v>480</v>
      </c>
      <c r="BI21" s="4" t="s">
        <v>486</v>
      </c>
      <c r="BJ21" s="9">
        <v>44000</v>
      </c>
      <c r="HK21" t="s">
        <v>525</v>
      </c>
      <c r="HL21" t="s">
        <v>526</v>
      </c>
      <c r="HM21" t="s">
        <v>527</v>
      </c>
      <c r="HO21" t="s">
        <v>480</v>
      </c>
      <c r="HP21">
        <v>1</v>
      </c>
      <c r="HQ21" t="s">
        <v>489</v>
      </c>
      <c r="HS21" s="4" t="s">
        <v>490</v>
      </c>
      <c r="HT21" t="s">
        <v>480</v>
      </c>
      <c r="HU21" t="s">
        <v>480</v>
      </c>
      <c r="IH21" t="s">
        <v>491</v>
      </c>
      <c r="II21" s="46" t="s">
        <v>492</v>
      </c>
      <c r="IJ21" s="38"/>
      <c r="IK21" s="38"/>
      <c r="IO21" t="s">
        <v>491</v>
      </c>
      <c r="IP21" s="46" t="s">
        <v>492</v>
      </c>
      <c r="JJ21" t="s">
        <v>493</v>
      </c>
      <c r="JK21" s="46" t="s">
        <v>594</v>
      </c>
      <c r="JL21" s="8" t="s">
        <v>495</v>
      </c>
      <c r="JM21" s="8" t="s">
        <v>496</v>
      </c>
      <c r="JN21" s="59" t="s">
        <v>497</v>
      </c>
      <c r="JO21" t="s">
        <v>498</v>
      </c>
      <c r="JV21" s="4" t="s">
        <v>595</v>
      </c>
      <c r="JW21" s="4" t="s">
        <v>596</v>
      </c>
      <c r="JX21" s="4" t="s">
        <v>508</v>
      </c>
      <c r="JY21" s="4">
        <v>5000</v>
      </c>
      <c r="JZ21" s="4" t="s">
        <v>597</v>
      </c>
      <c r="KA21" s="4">
        <v>0.74</v>
      </c>
      <c r="KB21">
        <v>0.12</v>
      </c>
      <c r="KC21">
        <v>0.69</v>
      </c>
      <c r="KD21" s="4" t="s">
        <v>598</v>
      </c>
      <c r="KE21" s="4" t="s">
        <v>528</v>
      </c>
      <c r="KF21" s="13" t="s">
        <v>500</v>
      </c>
      <c r="KG21" s="13" t="s">
        <v>480</v>
      </c>
      <c r="KH21" t="s">
        <v>480</v>
      </c>
      <c r="KI21" t="s">
        <v>529</v>
      </c>
      <c r="KJ21" s="12" t="s">
        <v>530</v>
      </c>
      <c r="KL21" s="4"/>
      <c r="KN21" s="7"/>
      <c r="KO21" s="7"/>
      <c r="KP21" s="7"/>
      <c r="KQ21" s="13"/>
      <c r="KR21" s="7" t="s">
        <v>504</v>
      </c>
      <c r="KS21" s="7"/>
      <c r="KT21" s="7"/>
      <c r="KU21" s="13"/>
      <c r="KW21" s="13" t="s">
        <v>531</v>
      </c>
      <c r="LB21" s="13"/>
      <c r="LC21" s="4"/>
      <c r="LD21" s="13"/>
      <c r="LE21" s="13"/>
      <c r="LF21" s="13"/>
      <c r="LG21" s="13"/>
      <c r="LH21" s="13"/>
      <c r="LI21" s="4"/>
      <c r="LJ21" s="4"/>
      <c r="LK21" s="4"/>
      <c r="LL21" s="4"/>
      <c r="LM21" s="4"/>
      <c r="NB21" s="4"/>
      <c r="NC21" s="4"/>
      <c r="NI21" t="s">
        <v>622</v>
      </c>
      <c r="NJ21" t="s">
        <v>623</v>
      </c>
      <c r="NK21" t="s">
        <v>624</v>
      </c>
      <c r="NL21" s="4" t="s">
        <v>625</v>
      </c>
      <c r="NM21" s="6" t="s">
        <v>626</v>
      </c>
      <c r="NU21" t="s">
        <v>627</v>
      </c>
      <c r="NV21" t="s">
        <v>518</v>
      </c>
      <c r="NW21">
        <v>109.95</v>
      </c>
      <c r="NX21" t="s">
        <v>480</v>
      </c>
      <c r="NY21" t="s">
        <v>480</v>
      </c>
      <c r="OB21">
        <v>8</v>
      </c>
      <c r="OU21" t="s">
        <v>628</v>
      </c>
      <c r="OV21" t="s">
        <v>518</v>
      </c>
      <c r="OX21">
        <v>2012</v>
      </c>
      <c r="OY21">
        <v>2015</v>
      </c>
      <c r="PB21" s="3" t="s">
        <v>522</v>
      </c>
      <c r="PC21" s="74">
        <v>46105</v>
      </c>
    </row>
    <row r="22" spans="1:419" ht="15.75" thickBot="1">
      <c r="A22" t="s">
        <v>469</v>
      </c>
      <c r="B22" t="s">
        <v>470</v>
      </c>
      <c r="C22" t="s">
        <v>471</v>
      </c>
      <c r="D22" s="4" t="s">
        <v>472</v>
      </c>
      <c r="E22" t="s">
        <v>473</v>
      </c>
      <c r="F22" s="4" t="s">
        <v>474</v>
      </c>
      <c r="G22" t="s">
        <v>475</v>
      </c>
      <c r="H22" t="s">
        <v>476</v>
      </c>
      <c r="I22" t="s">
        <v>477</v>
      </c>
      <c r="J22" t="s">
        <v>478</v>
      </c>
      <c r="K22" s="3">
        <v>200</v>
      </c>
      <c r="AV22" t="s">
        <v>479</v>
      </c>
      <c r="AW22">
        <v>200</v>
      </c>
      <c r="AX22" t="s">
        <v>480</v>
      </c>
      <c r="AY22">
        <v>1</v>
      </c>
      <c r="AZ22" t="s">
        <v>576</v>
      </c>
      <c r="BA22">
        <v>2014</v>
      </c>
      <c r="BB22">
        <v>2015</v>
      </c>
      <c r="BC22" t="s">
        <v>480</v>
      </c>
      <c r="BD22" t="s">
        <v>629</v>
      </c>
      <c r="BE22" t="s">
        <v>630</v>
      </c>
      <c r="BF22" s="3" t="s">
        <v>484</v>
      </c>
      <c r="BG22" t="s">
        <v>485</v>
      </c>
      <c r="BH22" t="s">
        <v>480</v>
      </c>
      <c r="BI22" s="4" t="s">
        <v>486</v>
      </c>
      <c r="BJ22" s="9">
        <v>44000</v>
      </c>
      <c r="HK22" t="s">
        <v>487</v>
      </c>
      <c r="HL22" t="s">
        <v>488</v>
      </c>
      <c r="HQ22" t="s">
        <v>489</v>
      </c>
      <c r="HS22" s="4" t="s">
        <v>490</v>
      </c>
      <c r="HT22" t="s">
        <v>480</v>
      </c>
      <c r="HU22" t="s">
        <v>480</v>
      </c>
      <c r="IH22" t="s">
        <v>491</v>
      </c>
      <c r="II22" s="46" t="s">
        <v>492</v>
      </c>
      <c r="IJ22" s="38"/>
      <c r="IK22" s="38"/>
      <c r="IO22" s="15" t="s">
        <v>491</v>
      </c>
      <c r="IP22" s="46" t="s">
        <v>492</v>
      </c>
      <c r="JJ22" t="s">
        <v>631</v>
      </c>
      <c r="JK22" s="46" t="s">
        <v>594</v>
      </c>
      <c r="JL22" s="8" t="s">
        <v>495</v>
      </c>
      <c r="JM22" s="8" t="s">
        <v>632</v>
      </c>
      <c r="JN22" s="4" t="s">
        <v>508</v>
      </c>
      <c r="JO22">
        <v>200</v>
      </c>
      <c r="JV22" s="4" t="s">
        <v>595</v>
      </c>
      <c r="JW22" s="4" t="s">
        <v>596</v>
      </c>
      <c r="JX22" s="4" t="s">
        <v>508</v>
      </c>
      <c r="JY22" s="4">
        <v>5000</v>
      </c>
      <c r="JZ22" s="4" t="s">
        <v>597</v>
      </c>
      <c r="KA22" s="4">
        <v>0.74</v>
      </c>
      <c r="KB22">
        <v>0.12</v>
      </c>
      <c r="KC22">
        <v>0.69</v>
      </c>
      <c r="KD22" s="4" t="s">
        <v>598</v>
      </c>
      <c r="KE22" t="s">
        <v>499</v>
      </c>
      <c r="KF22" s="13" t="s">
        <v>500</v>
      </c>
      <c r="KG22" s="13" t="s">
        <v>480</v>
      </c>
      <c r="KH22" t="s">
        <v>480</v>
      </c>
      <c r="KI22" t="s">
        <v>499</v>
      </c>
      <c r="KJ22" t="s">
        <v>501</v>
      </c>
      <c r="KK22" t="s">
        <v>502</v>
      </c>
      <c r="KL22" s="4" t="s">
        <v>503</v>
      </c>
      <c r="KM22">
        <v>2.5</v>
      </c>
      <c r="KN22" s="7"/>
      <c r="KO22" s="7"/>
      <c r="KP22" s="7"/>
      <c r="KQ22" s="13"/>
      <c r="KR22" s="7" t="s">
        <v>504</v>
      </c>
      <c r="KS22" s="7"/>
      <c r="KT22" s="7"/>
      <c r="KU22" s="13"/>
      <c r="KV22" t="s">
        <v>505</v>
      </c>
      <c r="KW22" t="s">
        <v>506</v>
      </c>
      <c r="LB22" s="4" t="s">
        <v>480</v>
      </c>
      <c r="LC22" s="4"/>
      <c r="LD22" s="4" t="s">
        <v>480</v>
      </c>
      <c r="LE22" s="4"/>
      <c r="LF22" s="4" t="s">
        <v>480</v>
      </c>
      <c r="LG22" s="4"/>
      <c r="LH22" s="4" t="s">
        <v>480</v>
      </c>
      <c r="LI22" s="4"/>
      <c r="LJ22" t="s">
        <v>507</v>
      </c>
      <c r="LK22" s="4" t="s">
        <v>480</v>
      </c>
      <c r="LL22" s="4" t="s">
        <v>480</v>
      </c>
      <c r="LM22" s="4" t="s">
        <v>508</v>
      </c>
      <c r="LN22">
        <v>2500</v>
      </c>
      <c r="NB22" s="4"/>
      <c r="NC22" s="4"/>
      <c r="NI22" t="s">
        <v>633</v>
      </c>
      <c r="NJ22" t="s">
        <v>623</v>
      </c>
      <c r="NK22" t="s">
        <v>624</v>
      </c>
      <c r="NL22" s="4" t="s">
        <v>625</v>
      </c>
      <c r="NM22" s="6" t="s">
        <v>626</v>
      </c>
      <c r="NU22" t="s">
        <v>634</v>
      </c>
      <c r="NV22" t="s">
        <v>518</v>
      </c>
      <c r="NW22">
        <v>102.9</v>
      </c>
      <c r="NX22" t="s">
        <v>480</v>
      </c>
      <c r="NY22" t="s">
        <v>480</v>
      </c>
      <c r="OB22">
        <v>8</v>
      </c>
      <c r="OU22" t="s">
        <v>628</v>
      </c>
      <c r="OV22" t="s">
        <v>518</v>
      </c>
      <c r="OX22">
        <v>2012</v>
      </c>
      <c r="OY22">
        <v>2015</v>
      </c>
      <c r="PB22" s="3" t="s">
        <v>522</v>
      </c>
      <c r="PC22" s="74">
        <v>46105</v>
      </c>
    </row>
    <row r="23" spans="1:419" ht="15.75" thickBot="1">
      <c r="A23" t="s">
        <v>469</v>
      </c>
      <c r="B23" t="s">
        <v>470</v>
      </c>
      <c r="C23" t="s">
        <v>471</v>
      </c>
      <c r="D23" s="4" t="s">
        <v>472</v>
      </c>
      <c r="E23" t="s">
        <v>473</v>
      </c>
      <c r="F23" s="4" t="s">
        <v>474</v>
      </c>
      <c r="G23" t="s">
        <v>475</v>
      </c>
      <c r="H23" t="s">
        <v>476</v>
      </c>
      <c r="I23" t="s">
        <v>477</v>
      </c>
      <c r="J23" t="s">
        <v>478</v>
      </c>
      <c r="K23" s="3">
        <v>200</v>
      </c>
      <c r="AV23" t="s">
        <v>479</v>
      </c>
      <c r="AW23">
        <v>200</v>
      </c>
      <c r="AX23" t="s">
        <v>480</v>
      </c>
      <c r="AY23">
        <v>1</v>
      </c>
      <c r="AZ23" t="s">
        <v>576</v>
      </c>
      <c r="BA23">
        <v>2014</v>
      </c>
      <c r="BB23">
        <v>2015</v>
      </c>
      <c r="BC23" t="s">
        <v>480</v>
      </c>
      <c r="BD23" t="s">
        <v>635</v>
      </c>
      <c r="BE23" t="s">
        <v>636</v>
      </c>
      <c r="BF23" s="3" t="s">
        <v>484</v>
      </c>
      <c r="BG23" t="s">
        <v>485</v>
      </c>
      <c r="BH23" t="s">
        <v>480</v>
      </c>
      <c r="BI23" s="4" t="s">
        <v>486</v>
      </c>
      <c r="BJ23" s="9">
        <v>44000</v>
      </c>
      <c r="BK23" t="s">
        <v>537</v>
      </c>
      <c r="BL23" t="s">
        <v>538</v>
      </c>
      <c r="BM23" t="s">
        <v>480</v>
      </c>
      <c r="BN23" s="4" t="s">
        <v>486</v>
      </c>
      <c r="BO23" s="9">
        <v>44444</v>
      </c>
      <c r="HK23" t="s">
        <v>487</v>
      </c>
      <c r="HL23" t="s">
        <v>488</v>
      </c>
      <c r="HQ23" t="s">
        <v>489</v>
      </c>
      <c r="HS23" s="4" t="s">
        <v>539</v>
      </c>
      <c r="HT23" t="s">
        <v>480</v>
      </c>
      <c r="HU23" t="s">
        <v>480</v>
      </c>
      <c r="IH23" t="s">
        <v>540</v>
      </c>
      <c r="II23" s="219" t="s">
        <v>541</v>
      </c>
      <c r="IJ23" s="37" t="s">
        <v>542</v>
      </c>
      <c r="IK23" s="37" t="s">
        <v>543</v>
      </c>
      <c r="IL23">
        <v>2012</v>
      </c>
      <c r="IM23" t="s">
        <v>480</v>
      </c>
      <c r="IN23" s="4" t="s">
        <v>544</v>
      </c>
      <c r="JJ23" t="s">
        <v>631</v>
      </c>
      <c r="JK23" s="46" t="s">
        <v>594</v>
      </c>
      <c r="JL23" s="8" t="s">
        <v>495</v>
      </c>
      <c r="JM23" s="8" t="s">
        <v>632</v>
      </c>
      <c r="JN23" s="4" t="s">
        <v>508</v>
      </c>
      <c r="JO23">
        <v>200</v>
      </c>
      <c r="JV23" s="4" t="s">
        <v>595</v>
      </c>
      <c r="JW23" s="4" t="s">
        <v>596</v>
      </c>
      <c r="JX23" s="4" t="s">
        <v>508</v>
      </c>
      <c r="JY23" s="4">
        <v>5000</v>
      </c>
      <c r="JZ23" s="4" t="s">
        <v>597</v>
      </c>
      <c r="KA23" s="4">
        <v>0.74</v>
      </c>
      <c r="KB23">
        <v>0.12</v>
      </c>
      <c r="KC23">
        <v>0.69</v>
      </c>
      <c r="KD23" s="4" t="s">
        <v>598</v>
      </c>
      <c r="KE23" t="s">
        <v>499</v>
      </c>
      <c r="KF23" s="13" t="s">
        <v>500</v>
      </c>
      <c r="KG23" s="13" t="s">
        <v>480</v>
      </c>
      <c r="KH23" t="s">
        <v>480</v>
      </c>
      <c r="KI23" t="s">
        <v>499</v>
      </c>
      <c r="KJ23" t="s">
        <v>501</v>
      </c>
      <c r="KK23" t="s">
        <v>502</v>
      </c>
      <c r="KL23" s="4" t="s">
        <v>503</v>
      </c>
      <c r="KM23">
        <v>2.5</v>
      </c>
      <c r="KN23" s="7"/>
      <c r="KO23" s="7"/>
      <c r="KP23" s="7"/>
      <c r="KQ23" s="13"/>
      <c r="KR23" s="7" t="s">
        <v>545</v>
      </c>
      <c r="KS23" s="7" t="s">
        <v>546</v>
      </c>
      <c r="KT23" s="3" t="s">
        <v>480</v>
      </c>
      <c r="KU23" t="s">
        <v>480</v>
      </c>
      <c r="KV23" t="s">
        <v>505</v>
      </c>
      <c r="KW23" t="s">
        <v>506</v>
      </c>
      <c r="LB23" s="4" t="s">
        <v>480</v>
      </c>
      <c r="LC23" s="4"/>
      <c r="LD23" s="4" t="s">
        <v>480</v>
      </c>
      <c r="LE23" s="4"/>
      <c r="LF23" s="4" t="s">
        <v>480</v>
      </c>
      <c r="LG23" s="4"/>
      <c r="LH23" s="4" t="s">
        <v>480</v>
      </c>
      <c r="LI23" s="4"/>
      <c r="LJ23" t="s">
        <v>507</v>
      </c>
      <c r="LK23" s="4" t="s">
        <v>480</v>
      </c>
      <c r="LL23" s="4" t="s">
        <v>480</v>
      </c>
      <c r="LM23" s="4" t="s">
        <v>508</v>
      </c>
      <c r="LN23">
        <v>2500</v>
      </c>
      <c r="NB23" s="4"/>
      <c r="NC23" s="4"/>
      <c r="NI23" t="s">
        <v>637</v>
      </c>
      <c r="NJ23" t="s">
        <v>623</v>
      </c>
      <c r="NK23" t="s">
        <v>624</v>
      </c>
      <c r="NL23" s="4" t="s">
        <v>625</v>
      </c>
      <c r="NM23" s="6" t="s">
        <v>626</v>
      </c>
      <c r="NV23" t="s">
        <v>518</v>
      </c>
      <c r="NW23">
        <v>113.76</v>
      </c>
      <c r="NX23" t="s">
        <v>480</v>
      </c>
      <c r="NY23" t="s">
        <v>480</v>
      </c>
      <c r="OB23">
        <v>8</v>
      </c>
      <c r="OU23" t="s">
        <v>628</v>
      </c>
      <c r="OV23" t="s">
        <v>518</v>
      </c>
      <c r="OX23">
        <v>2012</v>
      </c>
      <c r="OY23">
        <v>2015</v>
      </c>
      <c r="PB23" s="3" t="s">
        <v>522</v>
      </c>
      <c r="PC23" s="74">
        <v>46105</v>
      </c>
    </row>
    <row r="24" spans="1:419" ht="15.75" thickBot="1">
      <c r="A24" t="s">
        <v>469</v>
      </c>
      <c r="B24" t="s">
        <v>470</v>
      </c>
      <c r="C24" t="s">
        <v>471</v>
      </c>
      <c r="D24" s="4" t="s">
        <v>472</v>
      </c>
      <c r="E24" t="s">
        <v>473</v>
      </c>
      <c r="F24" s="4" t="s">
        <v>474</v>
      </c>
      <c r="G24" t="s">
        <v>475</v>
      </c>
      <c r="H24" t="s">
        <v>476</v>
      </c>
      <c r="I24" t="s">
        <v>477</v>
      </c>
      <c r="J24" t="s">
        <v>478</v>
      </c>
      <c r="K24" s="3">
        <v>200</v>
      </c>
      <c r="AV24" t="s">
        <v>479</v>
      </c>
      <c r="AW24">
        <v>200</v>
      </c>
      <c r="AX24" t="s">
        <v>480</v>
      </c>
      <c r="AY24">
        <v>1</v>
      </c>
      <c r="AZ24" t="s">
        <v>576</v>
      </c>
      <c r="BA24">
        <v>2014</v>
      </c>
      <c r="BB24">
        <v>2015</v>
      </c>
      <c r="BC24" t="s">
        <v>480</v>
      </c>
      <c r="BD24" t="s">
        <v>638</v>
      </c>
      <c r="BE24" t="s">
        <v>639</v>
      </c>
      <c r="BF24" s="3" t="s">
        <v>484</v>
      </c>
      <c r="BG24" t="s">
        <v>485</v>
      </c>
      <c r="BH24" t="s">
        <v>480</v>
      </c>
      <c r="BI24" s="4" t="s">
        <v>486</v>
      </c>
      <c r="BJ24" s="9">
        <v>44000</v>
      </c>
      <c r="BK24" t="s">
        <v>537</v>
      </c>
      <c r="BL24" t="s">
        <v>567</v>
      </c>
      <c r="BM24" t="s">
        <v>480</v>
      </c>
      <c r="BN24" s="4" t="s">
        <v>486</v>
      </c>
      <c r="BO24" s="9">
        <v>44444</v>
      </c>
      <c r="HK24" t="s">
        <v>487</v>
      </c>
      <c r="HL24" t="s">
        <v>488</v>
      </c>
      <c r="HQ24" t="s">
        <v>489</v>
      </c>
      <c r="HS24" s="4" t="s">
        <v>539</v>
      </c>
      <c r="HT24" t="s">
        <v>480</v>
      </c>
      <c r="HU24" t="s">
        <v>480</v>
      </c>
      <c r="IH24" t="s">
        <v>568</v>
      </c>
      <c r="II24" s="219" t="s">
        <v>541</v>
      </c>
      <c r="IJ24" s="37" t="s">
        <v>542</v>
      </c>
      <c r="IK24" s="37" t="s">
        <v>543</v>
      </c>
      <c r="IL24">
        <v>2012</v>
      </c>
      <c r="IM24" t="s">
        <v>480</v>
      </c>
      <c r="IN24" s="4" t="s">
        <v>544</v>
      </c>
      <c r="JJ24" t="s">
        <v>631</v>
      </c>
      <c r="JK24" s="46" t="s">
        <v>594</v>
      </c>
      <c r="JL24" s="8" t="s">
        <v>495</v>
      </c>
      <c r="JM24" s="8" t="s">
        <v>632</v>
      </c>
      <c r="JN24" s="4" t="s">
        <v>508</v>
      </c>
      <c r="JO24">
        <v>200</v>
      </c>
      <c r="JV24" s="4" t="s">
        <v>595</v>
      </c>
      <c r="JW24" s="4" t="s">
        <v>596</v>
      </c>
      <c r="JX24" s="4" t="s">
        <v>508</v>
      </c>
      <c r="JY24" s="4">
        <v>5000</v>
      </c>
      <c r="JZ24" s="4" t="s">
        <v>597</v>
      </c>
      <c r="KA24" s="4">
        <v>0.74</v>
      </c>
      <c r="KB24">
        <v>0.12</v>
      </c>
      <c r="KC24">
        <v>0.69</v>
      </c>
      <c r="KD24" s="4" t="s">
        <v>598</v>
      </c>
      <c r="KE24" t="s">
        <v>499</v>
      </c>
      <c r="KF24" s="13" t="s">
        <v>500</v>
      </c>
      <c r="KG24" s="13" t="s">
        <v>480</v>
      </c>
      <c r="KH24" t="s">
        <v>480</v>
      </c>
      <c r="KI24" t="s">
        <v>499</v>
      </c>
      <c r="KJ24" t="s">
        <v>501</v>
      </c>
      <c r="KK24" t="s">
        <v>502</v>
      </c>
      <c r="KL24" s="4" t="s">
        <v>503</v>
      </c>
      <c r="KM24">
        <v>2.5</v>
      </c>
      <c r="KN24" s="7"/>
      <c r="KO24" s="7"/>
      <c r="KP24" s="7"/>
      <c r="KQ24" s="13"/>
      <c r="KR24" s="7" t="s">
        <v>545</v>
      </c>
      <c r="KS24" s="7" t="s">
        <v>546</v>
      </c>
      <c r="KT24" s="3" t="s">
        <v>480</v>
      </c>
      <c r="KU24" t="s">
        <v>480</v>
      </c>
      <c r="KV24" t="s">
        <v>505</v>
      </c>
      <c r="KW24" t="s">
        <v>506</v>
      </c>
      <c r="LB24" s="4" t="s">
        <v>480</v>
      </c>
      <c r="LC24" s="4"/>
      <c r="LD24" s="4" t="s">
        <v>480</v>
      </c>
      <c r="LE24" s="4"/>
      <c r="LF24" s="4" t="s">
        <v>480</v>
      </c>
      <c r="LG24" s="4"/>
      <c r="LH24" s="4" t="s">
        <v>480</v>
      </c>
      <c r="LI24" s="4"/>
      <c r="LJ24" t="s">
        <v>507</v>
      </c>
      <c r="LK24" s="4" t="s">
        <v>480</v>
      </c>
      <c r="LL24" s="4" t="s">
        <v>480</v>
      </c>
      <c r="LM24" s="4" t="s">
        <v>508</v>
      </c>
      <c r="LN24">
        <v>2500</v>
      </c>
      <c r="NB24" s="4"/>
      <c r="NC24" s="4"/>
      <c r="NI24" t="s">
        <v>637</v>
      </c>
      <c r="NJ24" t="s">
        <v>623</v>
      </c>
      <c r="NK24" t="s">
        <v>624</v>
      </c>
      <c r="NL24" s="4" t="s">
        <v>625</v>
      </c>
      <c r="NM24" s="6" t="s">
        <v>626</v>
      </c>
      <c r="NV24" t="s">
        <v>518</v>
      </c>
      <c r="NW24">
        <v>118.62</v>
      </c>
      <c r="NX24" t="s">
        <v>480</v>
      </c>
      <c r="NY24" t="s">
        <v>480</v>
      </c>
      <c r="OB24">
        <v>8</v>
      </c>
      <c r="OU24" t="s">
        <v>628</v>
      </c>
      <c r="OV24" t="s">
        <v>518</v>
      </c>
      <c r="OX24">
        <v>2012</v>
      </c>
      <c r="OY24">
        <v>2015</v>
      </c>
      <c r="PB24" s="3" t="s">
        <v>522</v>
      </c>
      <c r="PC24" s="74">
        <v>46105</v>
      </c>
    </row>
    <row r="25" spans="1:419" ht="15.75" thickBot="1">
      <c r="A25" t="s">
        <v>469</v>
      </c>
      <c r="B25" t="s">
        <v>470</v>
      </c>
      <c r="C25" t="s">
        <v>471</v>
      </c>
      <c r="D25" s="4" t="s">
        <v>472</v>
      </c>
      <c r="E25" t="s">
        <v>473</v>
      </c>
      <c r="F25" s="4" t="s">
        <v>474</v>
      </c>
      <c r="G25" t="s">
        <v>475</v>
      </c>
      <c r="H25" t="s">
        <v>476</v>
      </c>
      <c r="I25" t="s">
        <v>477</v>
      </c>
      <c r="J25" t="s">
        <v>478</v>
      </c>
      <c r="K25" s="3">
        <v>200</v>
      </c>
      <c r="AV25" t="s">
        <v>479</v>
      </c>
      <c r="AW25">
        <v>200</v>
      </c>
      <c r="AX25" t="s">
        <v>480</v>
      </c>
      <c r="AY25">
        <v>1</v>
      </c>
      <c r="AZ25" t="s">
        <v>576</v>
      </c>
      <c r="BA25">
        <v>2014</v>
      </c>
      <c r="BB25">
        <v>2015</v>
      </c>
      <c r="BC25" t="s">
        <v>480</v>
      </c>
      <c r="BD25" t="s">
        <v>640</v>
      </c>
      <c r="BE25" t="s">
        <v>641</v>
      </c>
      <c r="BF25" s="3" t="s">
        <v>484</v>
      </c>
      <c r="BG25" t="s">
        <v>485</v>
      </c>
      <c r="BH25" t="s">
        <v>480</v>
      </c>
      <c r="BI25" s="4" t="s">
        <v>486</v>
      </c>
      <c r="BJ25" s="9">
        <v>44000</v>
      </c>
      <c r="BK25" t="s">
        <v>555</v>
      </c>
      <c r="BL25" t="s">
        <v>554</v>
      </c>
      <c r="BM25" t="s">
        <v>480</v>
      </c>
      <c r="BN25" s="4" t="s">
        <v>486</v>
      </c>
      <c r="BO25" s="9">
        <v>444444</v>
      </c>
      <c r="BS25" s="4"/>
      <c r="BT25" s="9"/>
      <c r="HK25" t="s">
        <v>487</v>
      </c>
      <c r="HL25" t="s">
        <v>488</v>
      </c>
      <c r="HQ25" t="s">
        <v>489</v>
      </c>
      <c r="HS25" s="4" t="s">
        <v>490</v>
      </c>
      <c r="HT25" t="s">
        <v>480</v>
      </c>
      <c r="HU25" t="s">
        <v>480</v>
      </c>
      <c r="IO25" t="s">
        <v>557</v>
      </c>
      <c r="IP25" t="s">
        <v>573</v>
      </c>
      <c r="IS25" t="s">
        <v>480</v>
      </c>
      <c r="IT25" t="s">
        <v>480</v>
      </c>
      <c r="IU25" s="4" t="s">
        <v>544</v>
      </c>
      <c r="JJ25" t="s">
        <v>631</v>
      </c>
      <c r="JK25" s="46" t="s">
        <v>594</v>
      </c>
      <c r="JL25" s="8" t="s">
        <v>495</v>
      </c>
      <c r="JM25" s="8" t="s">
        <v>632</v>
      </c>
      <c r="JN25" s="4" t="s">
        <v>508</v>
      </c>
      <c r="JO25">
        <v>200</v>
      </c>
      <c r="JV25" s="4" t="s">
        <v>595</v>
      </c>
      <c r="JW25" s="4" t="s">
        <v>596</v>
      </c>
      <c r="JX25" s="4" t="s">
        <v>508</v>
      </c>
      <c r="JY25" s="4">
        <v>5000</v>
      </c>
      <c r="JZ25" s="4" t="s">
        <v>597</v>
      </c>
      <c r="KA25" s="4">
        <v>0.74</v>
      </c>
      <c r="KB25">
        <v>0.12</v>
      </c>
      <c r="KC25">
        <v>0.69</v>
      </c>
      <c r="KD25" s="4" t="s">
        <v>598</v>
      </c>
      <c r="KE25" t="s">
        <v>499</v>
      </c>
      <c r="KF25" s="13" t="s">
        <v>500</v>
      </c>
      <c r="KG25" s="13" t="s">
        <v>480</v>
      </c>
      <c r="KH25" t="s">
        <v>480</v>
      </c>
      <c r="KI25" t="s">
        <v>499</v>
      </c>
      <c r="KJ25" t="s">
        <v>501</v>
      </c>
      <c r="KK25" t="s">
        <v>502</v>
      </c>
      <c r="KL25" s="4" t="s">
        <v>503</v>
      </c>
      <c r="KM25">
        <v>2.5</v>
      </c>
      <c r="KN25" s="7"/>
      <c r="KO25" s="7" t="s">
        <v>562</v>
      </c>
      <c r="KP25" s="64" t="s">
        <v>480</v>
      </c>
      <c r="KQ25" s="64" t="s">
        <v>480</v>
      </c>
      <c r="KR25" s="7" t="s">
        <v>504</v>
      </c>
      <c r="KS25" s="7"/>
      <c r="KT25" s="7"/>
      <c r="KU25" s="13"/>
      <c r="KV25" t="s">
        <v>505</v>
      </c>
      <c r="KW25" t="s">
        <v>506</v>
      </c>
      <c r="LB25" s="4" t="s">
        <v>480</v>
      </c>
      <c r="LC25" s="4"/>
      <c r="LD25" s="4" t="s">
        <v>480</v>
      </c>
      <c r="LE25" s="4"/>
      <c r="LF25" s="4" t="s">
        <v>480</v>
      </c>
      <c r="LG25" s="4"/>
      <c r="LH25" s="4" t="s">
        <v>480</v>
      </c>
      <c r="LI25" s="4"/>
      <c r="LJ25" t="s">
        <v>507</v>
      </c>
      <c r="LK25" s="4" t="s">
        <v>480</v>
      </c>
      <c r="LL25" s="4" t="s">
        <v>480</v>
      </c>
      <c r="LM25" s="4" t="s">
        <v>508</v>
      </c>
      <c r="LN25">
        <v>2500</v>
      </c>
      <c r="NB25" s="4"/>
      <c r="NC25" s="4"/>
      <c r="NI25" t="s">
        <v>633</v>
      </c>
      <c r="NJ25" t="s">
        <v>623</v>
      </c>
      <c r="NK25" t="s">
        <v>624</v>
      </c>
      <c r="NL25" s="4" t="s">
        <v>625</v>
      </c>
      <c r="NM25" s="6" t="s">
        <v>626</v>
      </c>
      <c r="NV25" t="s">
        <v>518</v>
      </c>
      <c r="NW25">
        <v>102.6</v>
      </c>
      <c r="NX25" t="s">
        <v>480</v>
      </c>
      <c r="NY25" t="s">
        <v>480</v>
      </c>
      <c r="OB25">
        <v>8</v>
      </c>
      <c r="OU25" t="s">
        <v>628</v>
      </c>
      <c r="OV25" t="s">
        <v>518</v>
      </c>
      <c r="OX25">
        <v>2012</v>
      </c>
      <c r="OY25">
        <v>2015</v>
      </c>
      <c r="PB25" s="3" t="s">
        <v>522</v>
      </c>
      <c r="PC25" s="74">
        <v>46105</v>
      </c>
    </row>
    <row r="26" spans="1:419" ht="15.75" thickBot="1">
      <c r="A26" t="s">
        <v>469</v>
      </c>
      <c r="B26" t="s">
        <v>470</v>
      </c>
      <c r="C26" t="s">
        <v>471</v>
      </c>
      <c r="D26" s="4" t="s">
        <v>472</v>
      </c>
      <c r="E26" t="s">
        <v>473</v>
      </c>
      <c r="F26" s="4" t="s">
        <v>474</v>
      </c>
      <c r="G26" t="s">
        <v>475</v>
      </c>
      <c r="H26" t="s">
        <v>476</v>
      </c>
      <c r="I26" t="s">
        <v>477</v>
      </c>
      <c r="J26" t="s">
        <v>478</v>
      </c>
      <c r="K26" s="3">
        <v>200</v>
      </c>
      <c r="AV26" t="s">
        <v>479</v>
      </c>
      <c r="AW26">
        <v>200</v>
      </c>
      <c r="AX26" t="s">
        <v>480</v>
      </c>
      <c r="AY26">
        <v>1</v>
      </c>
      <c r="AZ26" t="s">
        <v>576</v>
      </c>
      <c r="BA26">
        <v>2014</v>
      </c>
      <c r="BB26">
        <v>2015</v>
      </c>
      <c r="BC26" t="s">
        <v>480</v>
      </c>
      <c r="BD26" t="s">
        <v>642</v>
      </c>
      <c r="BE26" t="s">
        <v>643</v>
      </c>
      <c r="BF26" s="3" t="s">
        <v>484</v>
      </c>
      <c r="BG26" t="s">
        <v>554</v>
      </c>
      <c r="BH26" t="s">
        <v>480</v>
      </c>
      <c r="BI26" s="4" t="s">
        <v>486</v>
      </c>
      <c r="BJ26" s="9">
        <v>44000</v>
      </c>
      <c r="BK26" t="s">
        <v>555</v>
      </c>
      <c r="BL26" t="s">
        <v>485</v>
      </c>
      <c r="BM26" t="s">
        <v>480</v>
      </c>
      <c r="BN26" s="4" t="s">
        <v>486</v>
      </c>
      <c r="BO26" s="9">
        <v>444444</v>
      </c>
      <c r="BS26" s="4"/>
      <c r="BT26" s="9"/>
      <c r="HK26" t="s">
        <v>487</v>
      </c>
      <c r="HL26" t="s">
        <v>488</v>
      </c>
      <c r="HQ26" t="s">
        <v>489</v>
      </c>
      <c r="HS26" s="4" t="s">
        <v>490</v>
      </c>
      <c r="HT26" t="s">
        <v>480</v>
      </c>
      <c r="HU26" t="s">
        <v>480</v>
      </c>
      <c r="IO26" t="s">
        <v>557</v>
      </c>
      <c r="IP26" t="s">
        <v>573</v>
      </c>
      <c r="IS26" t="s">
        <v>480</v>
      </c>
      <c r="IT26" t="s">
        <v>480</v>
      </c>
      <c r="IU26" s="4" t="s">
        <v>544</v>
      </c>
      <c r="JJ26" t="s">
        <v>631</v>
      </c>
      <c r="JK26" s="46" t="s">
        <v>594</v>
      </c>
      <c r="JL26" s="8" t="s">
        <v>495</v>
      </c>
      <c r="JM26" s="8" t="s">
        <v>632</v>
      </c>
      <c r="JN26" s="4" t="s">
        <v>508</v>
      </c>
      <c r="JO26">
        <v>200</v>
      </c>
      <c r="JV26" s="4" t="s">
        <v>595</v>
      </c>
      <c r="JW26" s="4" t="s">
        <v>596</v>
      </c>
      <c r="JX26" s="4" t="s">
        <v>508</v>
      </c>
      <c r="JY26" s="4">
        <v>5000</v>
      </c>
      <c r="JZ26" s="4" t="s">
        <v>597</v>
      </c>
      <c r="KA26" s="4">
        <v>0.74</v>
      </c>
      <c r="KB26">
        <v>0.12</v>
      </c>
      <c r="KC26">
        <v>0.69</v>
      </c>
      <c r="KD26" s="4" t="s">
        <v>598</v>
      </c>
      <c r="KE26" t="s">
        <v>499</v>
      </c>
      <c r="KF26" s="13" t="s">
        <v>500</v>
      </c>
      <c r="KG26" s="13" t="s">
        <v>480</v>
      </c>
      <c r="KH26" t="s">
        <v>480</v>
      </c>
      <c r="KI26" t="s">
        <v>499</v>
      </c>
      <c r="KJ26" t="s">
        <v>501</v>
      </c>
      <c r="KK26" t="s">
        <v>502</v>
      </c>
      <c r="KL26" s="4" t="s">
        <v>503</v>
      </c>
      <c r="KM26">
        <v>2.5</v>
      </c>
      <c r="KN26" s="7"/>
      <c r="KO26" s="7" t="s">
        <v>562</v>
      </c>
      <c r="KP26" s="64" t="s">
        <v>480</v>
      </c>
      <c r="KQ26" s="64" t="s">
        <v>480</v>
      </c>
      <c r="KR26" s="7" t="s">
        <v>504</v>
      </c>
      <c r="KS26" s="7"/>
      <c r="KT26" s="7"/>
      <c r="KU26" s="13"/>
      <c r="KV26" t="s">
        <v>505</v>
      </c>
      <c r="KW26" t="s">
        <v>506</v>
      </c>
      <c r="LB26" s="4" t="s">
        <v>480</v>
      </c>
      <c r="LC26" s="4"/>
      <c r="LD26" s="4" t="s">
        <v>480</v>
      </c>
      <c r="LE26" s="4"/>
      <c r="LF26" s="4" t="s">
        <v>480</v>
      </c>
      <c r="LG26" s="4"/>
      <c r="LH26" s="4" t="s">
        <v>480</v>
      </c>
      <c r="LI26" s="4"/>
      <c r="LJ26" t="s">
        <v>507</v>
      </c>
      <c r="LK26" s="4" t="s">
        <v>480</v>
      </c>
      <c r="LL26" s="4" t="s">
        <v>480</v>
      </c>
      <c r="LM26" s="4" t="s">
        <v>508</v>
      </c>
      <c r="LN26">
        <v>2500</v>
      </c>
      <c r="NB26" s="4"/>
      <c r="NC26" s="4"/>
      <c r="NI26" t="s">
        <v>644</v>
      </c>
      <c r="NJ26" t="s">
        <v>623</v>
      </c>
      <c r="NK26" t="s">
        <v>624</v>
      </c>
      <c r="NL26" s="4" t="s">
        <v>625</v>
      </c>
      <c r="NM26" s="6" t="s">
        <v>626</v>
      </c>
      <c r="NV26" t="s">
        <v>518</v>
      </c>
      <c r="NW26">
        <v>79.83</v>
      </c>
      <c r="NX26" t="s">
        <v>480</v>
      </c>
      <c r="NY26" t="s">
        <v>480</v>
      </c>
      <c r="OB26">
        <v>8</v>
      </c>
      <c r="OU26" t="s">
        <v>628</v>
      </c>
      <c r="OV26" t="s">
        <v>518</v>
      </c>
      <c r="OX26">
        <v>2012</v>
      </c>
      <c r="OY26">
        <v>2015</v>
      </c>
      <c r="PB26" s="3" t="s">
        <v>522</v>
      </c>
      <c r="PC26" s="74">
        <v>46105</v>
      </c>
    </row>
    <row r="27" spans="1:419" ht="15.75" thickBot="1">
      <c r="A27" t="s">
        <v>469</v>
      </c>
      <c r="B27" t="s">
        <v>470</v>
      </c>
      <c r="C27" t="s">
        <v>471</v>
      </c>
      <c r="D27" s="4" t="s">
        <v>472</v>
      </c>
      <c r="E27" t="s">
        <v>473</v>
      </c>
      <c r="F27" s="4" t="s">
        <v>474</v>
      </c>
      <c r="G27" t="s">
        <v>475</v>
      </c>
      <c r="H27" t="s">
        <v>476</v>
      </c>
      <c r="I27" t="s">
        <v>477</v>
      </c>
      <c r="J27" t="s">
        <v>478</v>
      </c>
      <c r="K27" s="3">
        <v>200</v>
      </c>
      <c r="AV27" t="s">
        <v>479</v>
      </c>
      <c r="AW27">
        <v>200</v>
      </c>
      <c r="AX27" t="s">
        <v>480</v>
      </c>
      <c r="AY27">
        <v>1</v>
      </c>
      <c r="AZ27" t="s">
        <v>576</v>
      </c>
      <c r="BA27">
        <v>2014</v>
      </c>
      <c r="BB27">
        <v>2015</v>
      </c>
      <c r="BC27" t="s">
        <v>480</v>
      </c>
      <c r="BD27" t="s">
        <v>645</v>
      </c>
      <c r="BE27" t="s">
        <v>646</v>
      </c>
      <c r="BF27" s="3" t="s">
        <v>484</v>
      </c>
      <c r="BG27" t="s">
        <v>485</v>
      </c>
      <c r="BH27" t="s">
        <v>480</v>
      </c>
      <c r="BI27" s="4" t="s">
        <v>486</v>
      </c>
      <c r="BJ27" s="9">
        <v>44444</v>
      </c>
      <c r="BK27" t="s">
        <v>555</v>
      </c>
      <c r="BL27" t="s">
        <v>556</v>
      </c>
      <c r="BM27" t="s">
        <v>480</v>
      </c>
      <c r="BN27" s="4" t="s">
        <v>486</v>
      </c>
      <c r="BO27" s="9">
        <v>148000</v>
      </c>
      <c r="BS27" s="4"/>
      <c r="HK27" t="s">
        <v>487</v>
      </c>
      <c r="HL27" t="s">
        <v>488</v>
      </c>
      <c r="HQ27" t="s">
        <v>489</v>
      </c>
      <c r="HS27" s="4" t="s">
        <v>490</v>
      </c>
      <c r="HT27" t="s">
        <v>480</v>
      </c>
      <c r="HU27" t="s">
        <v>480</v>
      </c>
      <c r="IO27" t="s">
        <v>557</v>
      </c>
      <c r="IP27" s="75" t="s">
        <v>558</v>
      </c>
      <c r="IS27" t="s">
        <v>480</v>
      </c>
      <c r="IT27" t="s">
        <v>480</v>
      </c>
      <c r="IU27" s="4" t="s">
        <v>544</v>
      </c>
      <c r="JJ27" t="s">
        <v>631</v>
      </c>
      <c r="JK27" s="46" t="s">
        <v>594</v>
      </c>
      <c r="JL27" s="8" t="s">
        <v>495</v>
      </c>
      <c r="JM27" s="8" t="s">
        <v>632</v>
      </c>
      <c r="JN27" s="4" t="s">
        <v>508</v>
      </c>
      <c r="JO27">
        <v>200</v>
      </c>
      <c r="JV27" s="4" t="s">
        <v>595</v>
      </c>
      <c r="JW27" s="4" t="s">
        <v>596</v>
      </c>
      <c r="JX27" s="4" t="s">
        <v>508</v>
      </c>
      <c r="JY27" s="4">
        <v>5000</v>
      </c>
      <c r="JZ27" s="4" t="s">
        <v>597</v>
      </c>
      <c r="KA27" s="4">
        <v>0.74</v>
      </c>
      <c r="KB27">
        <v>0.12</v>
      </c>
      <c r="KC27">
        <v>0.69</v>
      </c>
      <c r="KD27" s="4" t="s">
        <v>598</v>
      </c>
      <c r="KE27" t="s">
        <v>499</v>
      </c>
      <c r="KF27" s="13" t="s">
        <v>500</v>
      </c>
      <c r="KG27" s="13" t="s">
        <v>480</v>
      </c>
      <c r="KH27" t="s">
        <v>480</v>
      </c>
      <c r="KI27" t="s">
        <v>499</v>
      </c>
      <c r="KJ27" t="s">
        <v>501</v>
      </c>
      <c r="KK27" t="s">
        <v>502</v>
      </c>
      <c r="KL27" s="4" t="s">
        <v>503</v>
      </c>
      <c r="KM27">
        <v>2.5</v>
      </c>
      <c r="KN27" s="7"/>
      <c r="KO27" s="7"/>
      <c r="KP27" s="7"/>
      <c r="KQ27" s="7"/>
      <c r="KR27" s="7" t="s">
        <v>504</v>
      </c>
      <c r="KS27" s="7"/>
      <c r="KT27" s="7"/>
      <c r="KU27" s="13"/>
      <c r="KV27" t="s">
        <v>505</v>
      </c>
      <c r="KW27" t="s">
        <v>506</v>
      </c>
      <c r="LB27" s="4" t="s">
        <v>480</v>
      </c>
      <c r="LC27" s="4"/>
      <c r="LD27" s="4" t="s">
        <v>480</v>
      </c>
      <c r="LE27" s="4"/>
      <c r="LF27" s="4" t="s">
        <v>480</v>
      </c>
      <c r="LG27" s="4"/>
      <c r="LH27" s="4" t="s">
        <v>480</v>
      </c>
      <c r="LI27" s="4"/>
      <c r="LJ27" t="s">
        <v>507</v>
      </c>
      <c r="LK27" s="4" t="s">
        <v>480</v>
      </c>
      <c r="LL27" s="4" t="s">
        <v>480</v>
      </c>
      <c r="LM27" s="4" t="s">
        <v>508</v>
      </c>
      <c r="LN27">
        <v>2500</v>
      </c>
      <c r="NB27" s="4"/>
      <c r="NC27" s="4"/>
      <c r="NI27" t="s">
        <v>633</v>
      </c>
      <c r="NJ27" t="s">
        <v>623</v>
      </c>
      <c r="NK27" t="s">
        <v>624</v>
      </c>
      <c r="NL27" s="4" t="s">
        <v>625</v>
      </c>
      <c r="NM27" s="6" t="s">
        <v>626</v>
      </c>
      <c r="NV27" t="s">
        <v>518</v>
      </c>
      <c r="NW27">
        <v>99.48</v>
      </c>
      <c r="NX27" t="s">
        <v>480</v>
      </c>
      <c r="NY27" t="s">
        <v>480</v>
      </c>
      <c r="OB27">
        <v>8</v>
      </c>
      <c r="OU27" t="s">
        <v>628</v>
      </c>
      <c r="OV27" t="s">
        <v>518</v>
      </c>
      <c r="OX27">
        <v>2012</v>
      </c>
      <c r="OY27">
        <v>2015</v>
      </c>
      <c r="PB27" s="3" t="s">
        <v>522</v>
      </c>
      <c r="PC27" s="74">
        <v>46105</v>
      </c>
    </row>
    <row r="28" spans="1:419" ht="15.75" thickBot="1">
      <c r="A28" t="s">
        <v>469</v>
      </c>
      <c r="B28" t="s">
        <v>470</v>
      </c>
      <c r="C28" t="s">
        <v>471</v>
      </c>
      <c r="D28" s="4" t="s">
        <v>472</v>
      </c>
      <c r="E28" t="s">
        <v>473</v>
      </c>
      <c r="F28" s="4" t="s">
        <v>474</v>
      </c>
      <c r="G28" t="s">
        <v>475</v>
      </c>
      <c r="H28" t="s">
        <v>476</v>
      </c>
      <c r="I28" t="s">
        <v>477</v>
      </c>
      <c r="J28" t="s">
        <v>478</v>
      </c>
      <c r="K28" s="3">
        <v>200</v>
      </c>
      <c r="AV28" t="s">
        <v>479</v>
      </c>
      <c r="AW28">
        <v>200</v>
      </c>
      <c r="AX28" t="s">
        <v>480</v>
      </c>
      <c r="AY28">
        <v>1</v>
      </c>
      <c r="AZ28" t="s">
        <v>576</v>
      </c>
      <c r="BA28">
        <v>2014</v>
      </c>
      <c r="BB28">
        <v>2015</v>
      </c>
      <c r="BC28" t="s">
        <v>480</v>
      </c>
      <c r="BD28" t="s">
        <v>647</v>
      </c>
      <c r="BE28" t="s">
        <v>648</v>
      </c>
      <c r="BF28" s="3" t="s">
        <v>484</v>
      </c>
      <c r="BG28" t="s">
        <v>556</v>
      </c>
      <c r="BH28" t="s">
        <v>480</v>
      </c>
      <c r="BI28" s="4" t="s">
        <v>486</v>
      </c>
      <c r="BJ28" s="9">
        <v>148000</v>
      </c>
      <c r="BK28" t="s">
        <v>555</v>
      </c>
      <c r="BL28" t="s">
        <v>485</v>
      </c>
      <c r="BM28" t="s">
        <v>480</v>
      </c>
      <c r="BN28" s="4" t="s">
        <v>486</v>
      </c>
      <c r="BO28" s="9">
        <v>44444</v>
      </c>
      <c r="BS28" s="4"/>
      <c r="HK28" t="s">
        <v>487</v>
      </c>
      <c r="HL28" t="s">
        <v>488</v>
      </c>
      <c r="HQ28" t="s">
        <v>489</v>
      </c>
      <c r="HS28" s="4" t="s">
        <v>490</v>
      </c>
      <c r="HT28" t="s">
        <v>480</v>
      </c>
      <c r="HU28" t="s">
        <v>480</v>
      </c>
      <c r="IO28" t="s">
        <v>557</v>
      </c>
      <c r="IP28" s="75" t="s">
        <v>558</v>
      </c>
      <c r="IS28" t="s">
        <v>480</v>
      </c>
      <c r="IT28" t="s">
        <v>480</v>
      </c>
      <c r="IU28" s="4" t="s">
        <v>544</v>
      </c>
      <c r="JK28" t="s">
        <v>595</v>
      </c>
      <c r="JL28" s="8"/>
      <c r="JM28" s="8"/>
      <c r="JN28" s="4"/>
      <c r="JV28" s="4" t="s">
        <v>595</v>
      </c>
      <c r="JW28" s="4" t="s">
        <v>596</v>
      </c>
      <c r="JX28" s="4" t="s">
        <v>508</v>
      </c>
      <c r="JY28" s="4">
        <v>5000</v>
      </c>
      <c r="JZ28" s="4" t="s">
        <v>597</v>
      </c>
      <c r="KA28" s="4">
        <v>0.74</v>
      </c>
      <c r="KB28">
        <v>0.12</v>
      </c>
      <c r="KC28">
        <v>0.69</v>
      </c>
      <c r="KD28" s="4" t="s">
        <v>598</v>
      </c>
      <c r="KE28" t="s">
        <v>499</v>
      </c>
      <c r="KF28" s="13" t="s">
        <v>500</v>
      </c>
      <c r="KG28" s="13" t="s">
        <v>480</v>
      </c>
      <c r="KH28" t="s">
        <v>480</v>
      </c>
      <c r="KI28" t="s">
        <v>499</v>
      </c>
      <c r="KJ28" t="s">
        <v>501</v>
      </c>
      <c r="KK28" t="s">
        <v>502</v>
      </c>
      <c r="KL28" s="4" t="s">
        <v>503</v>
      </c>
      <c r="KM28">
        <v>2.5</v>
      </c>
      <c r="KN28" s="7"/>
      <c r="KO28" s="7"/>
      <c r="KP28" s="7"/>
      <c r="KQ28" s="7"/>
      <c r="KR28" s="7" t="s">
        <v>504</v>
      </c>
      <c r="KS28" s="7"/>
      <c r="KT28" s="7"/>
      <c r="KU28" s="13"/>
      <c r="KV28" t="s">
        <v>505</v>
      </c>
      <c r="KW28" t="s">
        <v>506</v>
      </c>
      <c r="LB28" s="4" t="s">
        <v>480</v>
      </c>
      <c r="LC28" s="4"/>
      <c r="LD28" s="4" t="s">
        <v>480</v>
      </c>
      <c r="LE28" s="4"/>
      <c r="LF28" s="4" t="s">
        <v>480</v>
      </c>
      <c r="LG28" s="4"/>
      <c r="LH28" s="4" t="s">
        <v>480</v>
      </c>
      <c r="LI28" s="4"/>
      <c r="LJ28" t="s">
        <v>507</v>
      </c>
      <c r="LK28" s="4" t="s">
        <v>480</v>
      </c>
      <c r="LL28" s="4" t="s">
        <v>480</v>
      </c>
      <c r="LM28" s="4" t="s">
        <v>508</v>
      </c>
      <c r="LN28">
        <v>2500</v>
      </c>
      <c r="NB28" s="4"/>
      <c r="NC28" s="4"/>
      <c r="NI28" t="s">
        <v>644</v>
      </c>
      <c r="NJ28" t="s">
        <v>623</v>
      </c>
      <c r="NK28" t="s">
        <v>624</v>
      </c>
      <c r="NL28" s="4" t="s">
        <v>625</v>
      </c>
      <c r="NM28" s="6" t="s">
        <v>626</v>
      </c>
      <c r="NV28" t="s">
        <v>518</v>
      </c>
      <c r="NW28">
        <v>85.17</v>
      </c>
      <c r="NX28" t="s">
        <v>480</v>
      </c>
      <c r="NY28" t="s">
        <v>480</v>
      </c>
      <c r="OB28">
        <v>8</v>
      </c>
      <c r="OU28" t="s">
        <v>628</v>
      </c>
      <c r="OV28" t="s">
        <v>518</v>
      </c>
      <c r="OX28">
        <v>2012</v>
      </c>
      <c r="OY28">
        <v>2015</v>
      </c>
      <c r="PB28" s="3" t="s">
        <v>522</v>
      </c>
      <c r="PC28" s="74">
        <v>46105</v>
      </c>
    </row>
    <row r="29" spans="1:419" ht="15.75" thickBot="1">
      <c r="A29" t="s">
        <v>469</v>
      </c>
      <c r="B29" t="s">
        <v>470</v>
      </c>
      <c r="C29" t="s">
        <v>471</v>
      </c>
      <c r="D29" s="4" t="s">
        <v>472</v>
      </c>
      <c r="E29" t="s">
        <v>473</v>
      </c>
      <c r="F29" s="4" t="s">
        <v>474</v>
      </c>
      <c r="G29" t="s">
        <v>475</v>
      </c>
      <c r="H29" t="s">
        <v>476</v>
      </c>
      <c r="I29" t="s">
        <v>477</v>
      </c>
      <c r="J29" t="s">
        <v>478</v>
      </c>
      <c r="K29" s="3">
        <v>200</v>
      </c>
      <c r="AV29" t="s">
        <v>479</v>
      </c>
      <c r="AW29">
        <v>400</v>
      </c>
      <c r="AX29" t="s">
        <v>480</v>
      </c>
      <c r="AY29">
        <v>3</v>
      </c>
      <c r="AZ29" t="s">
        <v>481</v>
      </c>
      <c r="BA29">
        <v>2012</v>
      </c>
      <c r="BB29">
        <v>2015</v>
      </c>
      <c r="BC29" t="s">
        <v>480</v>
      </c>
      <c r="BD29" t="s">
        <v>523</v>
      </c>
      <c r="BE29" t="s">
        <v>524</v>
      </c>
      <c r="BF29" s="3" t="s">
        <v>484</v>
      </c>
      <c r="BG29" t="s">
        <v>485</v>
      </c>
      <c r="BH29" t="s">
        <v>480</v>
      </c>
      <c r="BI29" s="4" t="s">
        <v>486</v>
      </c>
      <c r="BJ29" s="9">
        <v>44000</v>
      </c>
      <c r="HK29" t="s">
        <v>525</v>
      </c>
      <c r="HL29" t="s">
        <v>526</v>
      </c>
      <c r="HM29" t="s">
        <v>527</v>
      </c>
      <c r="HO29" t="s">
        <v>480</v>
      </c>
      <c r="HP29">
        <v>1</v>
      </c>
      <c r="HQ29" t="s">
        <v>489</v>
      </c>
      <c r="HS29" s="4" t="s">
        <v>490</v>
      </c>
      <c r="HT29" t="s">
        <v>480</v>
      </c>
      <c r="HU29" t="s">
        <v>480</v>
      </c>
      <c r="IH29" t="s">
        <v>491</v>
      </c>
      <c r="II29" s="13" t="s">
        <v>492</v>
      </c>
      <c r="IJ29" s="38"/>
      <c r="IK29" s="38"/>
      <c r="JJ29" t="s">
        <v>493</v>
      </c>
      <c r="JK29" s="3" t="s">
        <v>494</v>
      </c>
      <c r="JL29" s="8" t="s">
        <v>495</v>
      </c>
      <c r="JM29" s="8" t="s">
        <v>496</v>
      </c>
      <c r="JN29" s="59" t="s">
        <v>497</v>
      </c>
      <c r="JO29" t="s">
        <v>498</v>
      </c>
      <c r="JV29" s="4"/>
      <c r="JW29" s="4"/>
      <c r="JX29" s="4"/>
      <c r="JY29" s="4"/>
      <c r="JZ29" s="4"/>
      <c r="KA29" s="4"/>
      <c r="KB29" s="4"/>
      <c r="KC29" s="4"/>
      <c r="KD29" s="4"/>
      <c r="KE29" s="4" t="s">
        <v>528</v>
      </c>
      <c r="KF29" s="13" t="s">
        <v>500</v>
      </c>
      <c r="KG29" s="13" t="s">
        <v>480</v>
      </c>
      <c r="KH29" t="s">
        <v>480</v>
      </c>
      <c r="KI29" t="s">
        <v>529</v>
      </c>
      <c r="KJ29" s="12" t="s">
        <v>530</v>
      </c>
      <c r="KL29" s="4"/>
      <c r="KN29" s="7" t="s">
        <v>649</v>
      </c>
      <c r="KO29" s="7"/>
      <c r="KP29" s="7"/>
      <c r="KQ29" s="13"/>
      <c r="KR29" s="7" t="s">
        <v>504</v>
      </c>
      <c r="KS29" s="7"/>
      <c r="KT29" s="7"/>
      <c r="KU29" s="13"/>
      <c r="KW29" s="13" t="s">
        <v>531</v>
      </c>
      <c r="LB29" s="13"/>
      <c r="LC29" s="4"/>
      <c r="LD29" s="13"/>
      <c r="LE29" s="13"/>
      <c r="LF29" s="13"/>
      <c r="LG29" s="13"/>
      <c r="LH29" s="13"/>
      <c r="LI29" s="4"/>
      <c r="LJ29" s="4"/>
      <c r="LK29" s="4"/>
      <c r="LL29" s="4"/>
      <c r="LM29" s="4"/>
      <c r="MY29" t="s">
        <v>509</v>
      </c>
      <c r="MZ29">
        <v>30</v>
      </c>
      <c r="NA29" t="s">
        <v>650</v>
      </c>
      <c r="NB29" t="s">
        <v>651</v>
      </c>
      <c r="NJ29" t="s">
        <v>652</v>
      </c>
      <c r="NK29" t="s">
        <v>653</v>
      </c>
      <c r="NL29" s="4" t="s">
        <v>654</v>
      </c>
      <c r="NM29" s="6" t="s">
        <v>508</v>
      </c>
      <c r="NU29" t="s">
        <v>655</v>
      </c>
      <c r="NV29" t="s">
        <v>518</v>
      </c>
      <c r="NW29">
        <v>3076</v>
      </c>
      <c r="NX29" t="s">
        <v>480</v>
      </c>
      <c r="NY29" t="s">
        <v>480</v>
      </c>
      <c r="OB29">
        <v>8</v>
      </c>
      <c r="OU29" t="s">
        <v>656</v>
      </c>
      <c r="OV29" t="s">
        <v>518</v>
      </c>
      <c r="OX29" s="79">
        <v>2012</v>
      </c>
      <c r="OY29" s="79">
        <v>2015</v>
      </c>
      <c r="PB29" s="3" t="s">
        <v>522</v>
      </c>
      <c r="PC29" s="74">
        <v>46094</v>
      </c>
    </row>
    <row r="30" spans="1:419" ht="14.65" customHeight="1" thickBot="1">
      <c r="A30" t="s">
        <v>469</v>
      </c>
      <c r="B30" t="s">
        <v>470</v>
      </c>
      <c r="C30" t="s">
        <v>471</v>
      </c>
      <c r="D30" s="4" t="s">
        <v>472</v>
      </c>
      <c r="E30" t="s">
        <v>473</v>
      </c>
      <c r="F30" s="4" t="s">
        <v>474</v>
      </c>
      <c r="G30" t="s">
        <v>475</v>
      </c>
      <c r="H30" t="s">
        <v>476</v>
      </c>
      <c r="I30" t="s">
        <v>477</v>
      </c>
      <c r="J30" t="s">
        <v>478</v>
      </c>
      <c r="K30" s="3">
        <v>200</v>
      </c>
      <c r="AV30" t="s">
        <v>479</v>
      </c>
      <c r="AW30">
        <v>400</v>
      </c>
      <c r="AX30" t="s">
        <v>480</v>
      </c>
      <c r="AY30">
        <v>3</v>
      </c>
      <c r="AZ30" t="s">
        <v>481</v>
      </c>
      <c r="BA30">
        <v>2012</v>
      </c>
      <c r="BB30">
        <v>2015</v>
      </c>
      <c r="BC30" t="s">
        <v>480</v>
      </c>
      <c r="BD30" t="s">
        <v>482</v>
      </c>
      <c r="BE30" t="s">
        <v>483</v>
      </c>
      <c r="BF30" s="3" t="s">
        <v>484</v>
      </c>
      <c r="BG30" t="s">
        <v>485</v>
      </c>
      <c r="BH30" t="s">
        <v>480</v>
      </c>
      <c r="BI30" s="4" t="s">
        <v>486</v>
      </c>
      <c r="BJ30" s="9">
        <v>44000</v>
      </c>
      <c r="HK30" t="s">
        <v>487</v>
      </c>
      <c r="HL30" t="s">
        <v>488</v>
      </c>
      <c r="HQ30" t="s">
        <v>489</v>
      </c>
      <c r="HS30" s="4" t="s">
        <v>490</v>
      </c>
      <c r="HT30" t="s">
        <v>480</v>
      </c>
      <c r="HU30" t="s">
        <v>480</v>
      </c>
      <c r="IH30" t="s">
        <v>491</v>
      </c>
      <c r="II30" s="13" t="s">
        <v>492</v>
      </c>
      <c r="IJ30" s="38"/>
      <c r="IK30" s="38"/>
      <c r="IP30" s="13"/>
      <c r="JJ30" t="s">
        <v>493</v>
      </c>
      <c r="JK30" s="3" t="s">
        <v>494</v>
      </c>
      <c r="JL30" s="8" t="s">
        <v>495</v>
      </c>
      <c r="JM30" s="8" t="s">
        <v>496</v>
      </c>
      <c r="JN30" s="59" t="s">
        <v>497</v>
      </c>
      <c r="JO30" t="s">
        <v>498</v>
      </c>
      <c r="JV30" s="4"/>
      <c r="JW30" s="4"/>
      <c r="JX30" s="4"/>
      <c r="JY30" s="4"/>
      <c r="JZ30" s="4"/>
      <c r="KA30" s="4"/>
      <c r="KB30" s="4"/>
      <c r="KC30" s="4"/>
      <c r="KD30" s="4"/>
      <c r="KE30" t="s">
        <v>499</v>
      </c>
      <c r="KF30" s="13" t="s">
        <v>500</v>
      </c>
      <c r="KG30" s="13" t="s">
        <v>480</v>
      </c>
      <c r="KH30" t="s">
        <v>480</v>
      </c>
      <c r="KI30" t="s">
        <v>499</v>
      </c>
      <c r="KJ30" t="s">
        <v>501</v>
      </c>
      <c r="KK30" t="s">
        <v>502</v>
      </c>
      <c r="KL30" s="4" t="s">
        <v>503</v>
      </c>
      <c r="KM30">
        <v>2.5</v>
      </c>
      <c r="KN30" s="7" t="s">
        <v>649</v>
      </c>
      <c r="KO30" s="7"/>
      <c r="KP30" s="7"/>
      <c r="KQ30" s="13"/>
      <c r="KR30" s="7" t="s">
        <v>504</v>
      </c>
      <c r="KS30" s="7"/>
      <c r="KT30" s="7"/>
      <c r="KU30" s="13"/>
      <c r="KV30" t="s">
        <v>505</v>
      </c>
      <c r="KW30" t="s">
        <v>506</v>
      </c>
      <c r="LB30" s="4" t="s">
        <v>480</v>
      </c>
      <c r="LC30" s="4"/>
      <c r="LD30" s="4" t="s">
        <v>480</v>
      </c>
      <c r="LE30" s="4"/>
      <c r="LF30" s="4" t="s">
        <v>480</v>
      </c>
      <c r="LG30" s="4"/>
      <c r="LH30" s="4" t="s">
        <v>480</v>
      </c>
      <c r="LI30" s="4"/>
      <c r="LJ30" t="s">
        <v>507</v>
      </c>
      <c r="LK30" s="4" t="s">
        <v>480</v>
      </c>
      <c r="LL30" s="4" t="s">
        <v>480</v>
      </c>
      <c r="LM30" s="4" t="s">
        <v>508</v>
      </c>
      <c r="LN30">
        <v>2500</v>
      </c>
      <c r="MY30" t="s">
        <v>509</v>
      </c>
      <c r="MZ30">
        <v>30</v>
      </c>
      <c r="NA30" t="s">
        <v>650</v>
      </c>
      <c r="NB30" t="s">
        <v>651</v>
      </c>
      <c r="NJ30" t="s">
        <v>652</v>
      </c>
      <c r="NK30" t="s">
        <v>653</v>
      </c>
      <c r="NL30" s="4" t="s">
        <v>654</v>
      </c>
      <c r="NM30" s="6" t="s">
        <v>508</v>
      </c>
      <c r="NU30" t="s">
        <v>657</v>
      </c>
      <c r="NV30" t="s">
        <v>518</v>
      </c>
      <c r="NW30">
        <v>3646</v>
      </c>
      <c r="NX30" t="s">
        <v>480</v>
      </c>
      <c r="NY30" t="s">
        <v>480</v>
      </c>
      <c r="OB30">
        <v>8</v>
      </c>
      <c r="OU30" t="s">
        <v>656</v>
      </c>
      <c r="OV30" t="s">
        <v>518</v>
      </c>
      <c r="OX30" s="79">
        <v>2012</v>
      </c>
      <c r="OY30" s="79">
        <v>2015</v>
      </c>
      <c r="OZ30" s="79"/>
      <c r="PB30" s="3" t="s">
        <v>522</v>
      </c>
      <c r="PC30" s="74">
        <v>46094</v>
      </c>
    </row>
    <row r="31" spans="1:419" ht="15.75" thickBot="1">
      <c r="A31" t="s">
        <v>469</v>
      </c>
      <c r="B31" t="s">
        <v>470</v>
      </c>
      <c r="C31" t="s">
        <v>471</v>
      </c>
      <c r="D31" s="4" t="s">
        <v>472</v>
      </c>
      <c r="E31" t="s">
        <v>473</v>
      </c>
      <c r="F31" s="4" t="s">
        <v>474</v>
      </c>
      <c r="G31" t="s">
        <v>475</v>
      </c>
      <c r="H31" t="s">
        <v>476</v>
      </c>
      <c r="I31" t="s">
        <v>477</v>
      </c>
      <c r="J31" t="s">
        <v>478</v>
      </c>
      <c r="K31" s="3">
        <v>200</v>
      </c>
      <c r="AV31" t="s">
        <v>479</v>
      </c>
      <c r="AW31">
        <v>400</v>
      </c>
      <c r="AX31" t="s">
        <v>480</v>
      </c>
      <c r="AY31">
        <v>3</v>
      </c>
      <c r="AZ31" t="s">
        <v>481</v>
      </c>
      <c r="BA31">
        <v>2012</v>
      </c>
      <c r="BB31">
        <v>2015</v>
      </c>
      <c r="BC31" t="s">
        <v>480</v>
      </c>
      <c r="BD31" t="s">
        <v>535</v>
      </c>
      <c r="BE31" t="s">
        <v>536</v>
      </c>
      <c r="BF31" s="3" t="s">
        <v>484</v>
      </c>
      <c r="BG31" t="s">
        <v>485</v>
      </c>
      <c r="BH31" t="s">
        <v>480</v>
      </c>
      <c r="BI31" s="4" t="s">
        <v>486</v>
      </c>
      <c r="BJ31" s="9">
        <v>44000</v>
      </c>
      <c r="BK31" t="s">
        <v>537</v>
      </c>
      <c r="BL31" t="s">
        <v>538</v>
      </c>
      <c r="BM31" t="s">
        <v>480</v>
      </c>
      <c r="BN31" s="4" t="s">
        <v>486</v>
      </c>
      <c r="BO31" s="9">
        <v>44444</v>
      </c>
      <c r="HK31" t="s">
        <v>487</v>
      </c>
      <c r="HL31" t="s">
        <v>488</v>
      </c>
      <c r="HQ31" t="s">
        <v>489</v>
      </c>
      <c r="HS31" s="4" t="s">
        <v>539</v>
      </c>
      <c r="HT31" t="s">
        <v>480</v>
      </c>
      <c r="HU31" t="s">
        <v>480</v>
      </c>
      <c r="IH31" t="s">
        <v>540</v>
      </c>
      <c r="II31" s="219" t="s">
        <v>541</v>
      </c>
      <c r="IJ31" s="37" t="s">
        <v>542</v>
      </c>
      <c r="IK31" s="37" t="s">
        <v>543</v>
      </c>
      <c r="IL31">
        <v>2012</v>
      </c>
      <c r="IM31" s="79" t="s">
        <v>480</v>
      </c>
      <c r="IN31" s="4" t="s">
        <v>544</v>
      </c>
      <c r="JJ31" t="s">
        <v>493</v>
      </c>
      <c r="JK31" s="3" t="s">
        <v>494</v>
      </c>
      <c r="JL31" s="8" t="s">
        <v>495</v>
      </c>
      <c r="JM31" s="8" t="s">
        <v>496</v>
      </c>
      <c r="JN31" s="59" t="s">
        <v>497</v>
      </c>
      <c r="JO31" t="s">
        <v>498</v>
      </c>
      <c r="JV31" s="4"/>
      <c r="JW31" s="4"/>
      <c r="JX31" s="4"/>
      <c r="JY31" s="4"/>
      <c r="JZ31" s="4"/>
      <c r="KA31" s="4"/>
      <c r="KB31" s="4"/>
      <c r="KC31" s="4"/>
      <c r="KD31" s="4"/>
      <c r="KE31" t="s">
        <v>499</v>
      </c>
      <c r="KF31" s="13" t="s">
        <v>500</v>
      </c>
      <c r="KG31" s="13" t="s">
        <v>480</v>
      </c>
      <c r="KH31" t="s">
        <v>480</v>
      </c>
      <c r="KI31" t="s">
        <v>499</v>
      </c>
      <c r="KJ31" t="s">
        <v>501</v>
      </c>
      <c r="KK31" t="s">
        <v>502</v>
      </c>
      <c r="KL31" s="4" t="s">
        <v>503</v>
      </c>
      <c r="KM31">
        <v>2.5</v>
      </c>
      <c r="KN31" s="7" t="s">
        <v>649</v>
      </c>
      <c r="KO31" s="7"/>
      <c r="KP31" s="7"/>
      <c r="KQ31" s="13"/>
      <c r="KR31" s="7" t="s">
        <v>545</v>
      </c>
      <c r="KS31" s="7" t="s">
        <v>546</v>
      </c>
      <c r="KT31" s="3" t="s">
        <v>480</v>
      </c>
      <c r="KU31" t="s">
        <v>480</v>
      </c>
      <c r="KV31" t="s">
        <v>505</v>
      </c>
      <c r="KW31" t="s">
        <v>506</v>
      </c>
      <c r="LB31" s="4" t="s">
        <v>480</v>
      </c>
      <c r="LC31" s="4"/>
      <c r="LD31" s="4" t="s">
        <v>480</v>
      </c>
      <c r="LE31" s="4"/>
      <c r="LF31" s="4" t="s">
        <v>480</v>
      </c>
      <c r="LG31" s="4"/>
      <c r="LH31" s="4" t="s">
        <v>480</v>
      </c>
      <c r="LI31" s="4"/>
      <c r="LJ31" t="s">
        <v>507</v>
      </c>
      <c r="LK31" s="4" t="s">
        <v>480</v>
      </c>
      <c r="LL31" s="4" t="s">
        <v>480</v>
      </c>
      <c r="LM31" s="4" t="s">
        <v>508</v>
      </c>
      <c r="LN31">
        <v>2500</v>
      </c>
      <c r="MY31" t="s">
        <v>509</v>
      </c>
      <c r="MZ31">
        <v>30</v>
      </c>
      <c r="NA31" t="s">
        <v>658</v>
      </c>
      <c r="NB31" t="s">
        <v>651</v>
      </c>
      <c r="NJ31" t="s">
        <v>652</v>
      </c>
      <c r="NK31" t="s">
        <v>653</v>
      </c>
      <c r="NL31" s="4" t="s">
        <v>654</v>
      </c>
      <c r="NM31" s="6" t="s">
        <v>508</v>
      </c>
      <c r="NV31" t="s">
        <v>518</v>
      </c>
      <c r="NW31">
        <v>4134</v>
      </c>
      <c r="NX31" t="s">
        <v>480</v>
      </c>
      <c r="NY31" t="s">
        <v>480</v>
      </c>
      <c r="OB31">
        <v>8</v>
      </c>
      <c r="OU31" t="s">
        <v>656</v>
      </c>
      <c r="OV31" t="s">
        <v>518</v>
      </c>
      <c r="OX31" s="79">
        <v>2012</v>
      </c>
      <c r="OY31" s="79">
        <v>2015</v>
      </c>
      <c r="OZ31" s="79"/>
      <c r="PB31" s="3" t="s">
        <v>522</v>
      </c>
      <c r="PC31" s="74">
        <v>46094</v>
      </c>
    </row>
    <row r="32" spans="1:419" ht="15.75" thickBot="1">
      <c r="A32" t="s">
        <v>469</v>
      </c>
      <c r="B32" t="s">
        <v>470</v>
      </c>
      <c r="C32" t="s">
        <v>471</v>
      </c>
      <c r="D32" s="4" t="s">
        <v>472</v>
      </c>
      <c r="E32" t="s">
        <v>473</v>
      </c>
      <c r="F32" s="4" t="s">
        <v>474</v>
      </c>
      <c r="G32" t="s">
        <v>475</v>
      </c>
      <c r="H32" t="s">
        <v>476</v>
      </c>
      <c r="I32" t="s">
        <v>477</v>
      </c>
      <c r="J32" t="s">
        <v>478</v>
      </c>
      <c r="K32" s="3">
        <v>200</v>
      </c>
      <c r="AV32" t="s">
        <v>479</v>
      </c>
      <c r="AW32">
        <v>400</v>
      </c>
      <c r="AX32" t="s">
        <v>480</v>
      </c>
      <c r="AY32">
        <v>3</v>
      </c>
      <c r="AZ32" t="s">
        <v>481</v>
      </c>
      <c r="BA32">
        <v>2012</v>
      </c>
      <c r="BB32">
        <v>2015</v>
      </c>
      <c r="BC32" t="s">
        <v>480</v>
      </c>
      <c r="BD32" t="s">
        <v>565</v>
      </c>
      <c r="BE32" t="s">
        <v>566</v>
      </c>
      <c r="BF32" s="3" t="s">
        <v>484</v>
      </c>
      <c r="BG32" t="s">
        <v>485</v>
      </c>
      <c r="BH32" t="s">
        <v>480</v>
      </c>
      <c r="BI32" s="4" t="s">
        <v>486</v>
      </c>
      <c r="BJ32" s="9">
        <v>44000</v>
      </c>
      <c r="BK32" t="s">
        <v>537</v>
      </c>
      <c r="BL32" t="s">
        <v>567</v>
      </c>
      <c r="BM32" t="s">
        <v>480</v>
      </c>
      <c r="BN32" s="4" t="s">
        <v>486</v>
      </c>
      <c r="BO32" s="9">
        <v>44444</v>
      </c>
      <c r="HK32" t="s">
        <v>487</v>
      </c>
      <c r="HL32" t="s">
        <v>488</v>
      </c>
      <c r="HQ32" t="s">
        <v>489</v>
      </c>
      <c r="HS32" s="4" t="s">
        <v>539</v>
      </c>
      <c r="HT32" t="s">
        <v>480</v>
      </c>
      <c r="HU32" t="s">
        <v>480</v>
      </c>
      <c r="IH32" t="s">
        <v>568</v>
      </c>
      <c r="II32" s="219" t="s">
        <v>541</v>
      </c>
      <c r="IJ32" s="37" t="s">
        <v>542</v>
      </c>
      <c r="IK32" s="37" t="s">
        <v>543</v>
      </c>
      <c r="IL32">
        <v>2012</v>
      </c>
      <c r="IM32" s="79" t="s">
        <v>480</v>
      </c>
      <c r="IN32" s="4" t="s">
        <v>544</v>
      </c>
      <c r="JJ32" t="s">
        <v>493</v>
      </c>
      <c r="JK32" s="3" t="s">
        <v>494</v>
      </c>
      <c r="JL32" s="8" t="s">
        <v>495</v>
      </c>
      <c r="JM32" s="8" t="s">
        <v>496</v>
      </c>
      <c r="JN32" s="59" t="s">
        <v>497</v>
      </c>
      <c r="JO32" t="s">
        <v>498</v>
      </c>
      <c r="JV32" s="4"/>
      <c r="JW32" s="4"/>
      <c r="JX32" s="4"/>
      <c r="JY32" s="4"/>
      <c r="JZ32" s="4"/>
      <c r="KA32" s="4"/>
      <c r="KB32" s="4"/>
      <c r="KC32" s="4"/>
      <c r="KD32" s="4"/>
      <c r="KE32" t="s">
        <v>499</v>
      </c>
      <c r="KF32" s="13" t="s">
        <v>500</v>
      </c>
      <c r="KG32" s="13" t="s">
        <v>480</v>
      </c>
      <c r="KH32" t="s">
        <v>480</v>
      </c>
      <c r="KI32" t="s">
        <v>499</v>
      </c>
      <c r="KJ32" t="s">
        <v>501</v>
      </c>
      <c r="KK32" t="s">
        <v>502</v>
      </c>
      <c r="KL32" s="4" t="s">
        <v>503</v>
      </c>
      <c r="KM32">
        <v>2.5</v>
      </c>
      <c r="KN32" s="7" t="s">
        <v>649</v>
      </c>
      <c r="KO32" s="7"/>
      <c r="KP32" s="7"/>
      <c r="KQ32" s="13"/>
      <c r="KR32" s="7" t="s">
        <v>545</v>
      </c>
      <c r="KS32" s="7" t="s">
        <v>546</v>
      </c>
      <c r="KT32" s="3" t="s">
        <v>480</v>
      </c>
      <c r="KU32" t="s">
        <v>480</v>
      </c>
      <c r="KV32" t="s">
        <v>505</v>
      </c>
      <c r="KW32" t="s">
        <v>506</v>
      </c>
      <c r="LB32" s="4" t="s">
        <v>480</v>
      </c>
      <c r="LC32" s="4"/>
      <c r="LD32" s="4" t="s">
        <v>480</v>
      </c>
      <c r="LE32" s="4"/>
      <c r="LF32" s="4" t="s">
        <v>480</v>
      </c>
      <c r="LG32" s="4"/>
      <c r="LH32" s="4" t="s">
        <v>480</v>
      </c>
      <c r="LI32" s="4"/>
      <c r="LJ32" t="s">
        <v>507</v>
      </c>
      <c r="LK32" s="4" t="s">
        <v>480</v>
      </c>
      <c r="LL32" s="4" t="s">
        <v>480</v>
      </c>
      <c r="LM32" s="4" t="s">
        <v>508</v>
      </c>
      <c r="LN32">
        <v>2500</v>
      </c>
      <c r="MY32" t="s">
        <v>509</v>
      </c>
      <c r="MZ32">
        <v>30</v>
      </c>
      <c r="NA32" t="s">
        <v>658</v>
      </c>
      <c r="NB32" t="s">
        <v>651</v>
      </c>
      <c r="NJ32" t="s">
        <v>652</v>
      </c>
      <c r="NK32" t="s">
        <v>653</v>
      </c>
      <c r="NL32" s="4" t="s">
        <v>654</v>
      </c>
      <c r="NM32" s="6" t="s">
        <v>508</v>
      </c>
      <c r="NV32" t="s">
        <v>518</v>
      </c>
      <c r="NW32">
        <v>3999</v>
      </c>
      <c r="NX32" t="s">
        <v>480</v>
      </c>
      <c r="NY32" t="s">
        <v>480</v>
      </c>
      <c r="OB32">
        <v>8</v>
      </c>
      <c r="OU32" t="s">
        <v>656</v>
      </c>
      <c r="OV32" t="s">
        <v>518</v>
      </c>
      <c r="OX32" s="79">
        <v>2012</v>
      </c>
      <c r="OY32" s="79">
        <v>2015</v>
      </c>
      <c r="OZ32" s="79"/>
      <c r="PB32" s="3" t="s">
        <v>522</v>
      </c>
      <c r="PC32" s="74">
        <v>46094</v>
      </c>
    </row>
    <row r="33" spans="1:419" ht="15.75" thickBot="1">
      <c r="A33" t="s">
        <v>469</v>
      </c>
      <c r="B33" t="s">
        <v>470</v>
      </c>
      <c r="C33" t="s">
        <v>471</v>
      </c>
      <c r="D33" s="4" t="s">
        <v>472</v>
      </c>
      <c r="E33" t="s">
        <v>473</v>
      </c>
      <c r="F33" s="4" t="s">
        <v>474</v>
      </c>
      <c r="G33" t="s">
        <v>475</v>
      </c>
      <c r="H33" t="s">
        <v>476</v>
      </c>
      <c r="I33" t="s">
        <v>477</v>
      </c>
      <c r="J33" t="s">
        <v>478</v>
      </c>
      <c r="K33" s="3">
        <v>200</v>
      </c>
      <c r="AV33" t="s">
        <v>479</v>
      </c>
      <c r="AW33">
        <v>400</v>
      </c>
      <c r="AX33" t="s">
        <v>480</v>
      </c>
      <c r="AY33">
        <v>3</v>
      </c>
      <c r="AZ33" t="s">
        <v>481</v>
      </c>
      <c r="BA33">
        <v>2012</v>
      </c>
      <c r="BB33">
        <v>2015</v>
      </c>
      <c r="BC33" t="s">
        <v>480</v>
      </c>
      <c r="BD33" t="s">
        <v>523</v>
      </c>
      <c r="BE33" t="s">
        <v>524</v>
      </c>
      <c r="BF33" s="3" t="s">
        <v>484</v>
      </c>
      <c r="BG33" t="s">
        <v>485</v>
      </c>
      <c r="BH33" t="s">
        <v>480</v>
      </c>
      <c r="BI33" s="4" t="s">
        <v>486</v>
      </c>
      <c r="BJ33" s="9">
        <v>44000</v>
      </c>
      <c r="HK33" t="s">
        <v>525</v>
      </c>
      <c r="HL33" t="s">
        <v>526</v>
      </c>
      <c r="HM33" t="s">
        <v>527</v>
      </c>
      <c r="HO33" t="s">
        <v>480</v>
      </c>
      <c r="HP33">
        <v>1</v>
      </c>
      <c r="HQ33" t="s">
        <v>489</v>
      </c>
      <c r="HS33" s="4" t="s">
        <v>490</v>
      </c>
      <c r="HT33" t="s">
        <v>480</v>
      </c>
      <c r="HU33" t="s">
        <v>480</v>
      </c>
      <c r="IH33" t="s">
        <v>491</v>
      </c>
      <c r="II33" s="13" t="s">
        <v>492</v>
      </c>
      <c r="IJ33" s="38"/>
      <c r="IK33" s="38"/>
      <c r="JJ33" t="s">
        <v>493</v>
      </c>
      <c r="JK33" s="3" t="s">
        <v>494</v>
      </c>
      <c r="JL33" s="8" t="s">
        <v>495</v>
      </c>
      <c r="JM33" s="8" t="s">
        <v>496</v>
      </c>
      <c r="JN33" s="59" t="s">
        <v>497</v>
      </c>
      <c r="JO33" t="s">
        <v>498</v>
      </c>
      <c r="JV33" s="4"/>
      <c r="JW33" s="4"/>
      <c r="JX33" s="4"/>
      <c r="JY33" s="4"/>
      <c r="JZ33" s="4"/>
      <c r="KA33" s="4"/>
      <c r="KB33" s="4"/>
      <c r="KC33" s="4"/>
      <c r="KD33" s="4"/>
      <c r="KE33" s="4" t="s">
        <v>528</v>
      </c>
      <c r="KF33" s="13" t="s">
        <v>500</v>
      </c>
      <c r="KG33" s="13" t="s">
        <v>480</v>
      </c>
      <c r="KH33" t="s">
        <v>480</v>
      </c>
      <c r="KI33" t="s">
        <v>529</v>
      </c>
      <c r="KJ33" s="12" t="s">
        <v>530</v>
      </c>
      <c r="KL33" s="4"/>
      <c r="KN33" s="7" t="s">
        <v>649</v>
      </c>
      <c r="KO33" s="7"/>
      <c r="KP33" s="7"/>
      <c r="KQ33" s="13"/>
      <c r="KR33" s="7" t="s">
        <v>504</v>
      </c>
      <c r="KS33" s="7"/>
      <c r="KT33" s="7"/>
      <c r="KU33" s="13"/>
      <c r="KW33" s="13" t="s">
        <v>531</v>
      </c>
      <c r="LB33" s="13"/>
      <c r="LC33" s="4"/>
      <c r="LD33" s="13"/>
      <c r="LE33" s="13"/>
      <c r="LF33" s="13"/>
      <c r="LG33" s="13"/>
      <c r="LH33" s="13"/>
      <c r="LI33" s="4"/>
      <c r="LJ33" s="4"/>
      <c r="LK33" s="4"/>
      <c r="LL33" s="4"/>
      <c r="LM33" s="4"/>
      <c r="MY33" t="s">
        <v>509</v>
      </c>
      <c r="MZ33">
        <v>30</v>
      </c>
      <c r="NA33" t="s">
        <v>659</v>
      </c>
      <c r="NB33" s="4" t="s">
        <v>548</v>
      </c>
      <c r="NJ33" t="s">
        <v>659</v>
      </c>
      <c r="NK33" t="s">
        <v>659</v>
      </c>
      <c r="NL33" s="4" t="s">
        <v>660</v>
      </c>
      <c r="NM33" s="6" t="s">
        <v>508</v>
      </c>
      <c r="NU33" t="s">
        <v>655</v>
      </c>
      <c r="NV33" t="s">
        <v>518</v>
      </c>
      <c r="NW33">
        <v>2670</v>
      </c>
      <c r="NX33" t="s">
        <v>480</v>
      </c>
      <c r="NY33" t="s">
        <v>480</v>
      </c>
      <c r="OB33">
        <v>8</v>
      </c>
      <c r="OU33" t="s">
        <v>656</v>
      </c>
      <c r="OV33" t="s">
        <v>518</v>
      </c>
      <c r="OX33" s="79">
        <v>2012</v>
      </c>
      <c r="OY33" s="79">
        <v>2015</v>
      </c>
      <c r="PB33" s="3" t="s">
        <v>522</v>
      </c>
      <c r="PC33" s="74">
        <v>46094</v>
      </c>
    </row>
    <row r="34" spans="1:419" ht="14.65" customHeight="1" thickBot="1">
      <c r="A34" t="s">
        <v>469</v>
      </c>
      <c r="B34" t="s">
        <v>470</v>
      </c>
      <c r="C34" t="s">
        <v>471</v>
      </c>
      <c r="D34" s="4" t="s">
        <v>472</v>
      </c>
      <c r="E34" t="s">
        <v>473</v>
      </c>
      <c r="F34" s="4" t="s">
        <v>474</v>
      </c>
      <c r="G34" t="s">
        <v>475</v>
      </c>
      <c r="H34" t="s">
        <v>476</v>
      </c>
      <c r="I34" t="s">
        <v>477</v>
      </c>
      <c r="J34" t="s">
        <v>478</v>
      </c>
      <c r="K34" s="3">
        <v>200</v>
      </c>
      <c r="AV34" t="s">
        <v>479</v>
      </c>
      <c r="AW34">
        <v>400</v>
      </c>
      <c r="AX34" t="s">
        <v>480</v>
      </c>
      <c r="AY34">
        <v>3</v>
      </c>
      <c r="AZ34" t="s">
        <v>481</v>
      </c>
      <c r="BA34">
        <v>2012</v>
      </c>
      <c r="BB34">
        <v>2015</v>
      </c>
      <c r="BC34" t="s">
        <v>480</v>
      </c>
      <c r="BD34" t="s">
        <v>482</v>
      </c>
      <c r="BE34" t="s">
        <v>483</v>
      </c>
      <c r="BF34" s="3" t="s">
        <v>484</v>
      </c>
      <c r="BG34" t="s">
        <v>485</v>
      </c>
      <c r="BH34" t="s">
        <v>480</v>
      </c>
      <c r="BI34" s="4" t="s">
        <v>486</v>
      </c>
      <c r="BJ34" s="9">
        <v>44000</v>
      </c>
      <c r="HK34" t="s">
        <v>487</v>
      </c>
      <c r="HL34" t="s">
        <v>488</v>
      </c>
      <c r="HQ34" t="s">
        <v>489</v>
      </c>
      <c r="HS34" s="4" t="s">
        <v>490</v>
      </c>
      <c r="HT34" t="s">
        <v>480</v>
      </c>
      <c r="HU34" t="s">
        <v>480</v>
      </c>
      <c r="IH34" t="s">
        <v>491</v>
      </c>
      <c r="II34" s="13" t="s">
        <v>492</v>
      </c>
      <c r="IJ34" s="38"/>
      <c r="IK34" s="38"/>
      <c r="IP34" s="13"/>
      <c r="JJ34" t="s">
        <v>493</v>
      </c>
      <c r="JK34" s="3" t="s">
        <v>494</v>
      </c>
      <c r="JL34" s="8" t="s">
        <v>495</v>
      </c>
      <c r="JM34" s="8" t="s">
        <v>496</v>
      </c>
      <c r="JN34" s="59" t="s">
        <v>497</v>
      </c>
      <c r="JO34" t="s">
        <v>498</v>
      </c>
      <c r="JV34" s="4"/>
      <c r="JW34" s="4"/>
      <c r="JX34" s="4"/>
      <c r="JY34" s="4"/>
      <c r="JZ34" s="4"/>
      <c r="KA34" s="4"/>
      <c r="KB34" s="4"/>
      <c r="KC34" s="4"/>
      <c r="KD34" s="4"/>
      <c r="KE34" t="s">
        <v>499</v>
      </c>
      <c r="KF34" s="13" t="s">
        <v>500</v>
      </c>
      <c r="KG34" s="13" t="s">
        <v>480</v>
      </c>
      <c r="KH34" t="s">
        <v>480</v>
      </c>
      <c r="KI34" t="s">
        <v>499</v>
      </c>
      <c r="KJ34" t="s">
        <v>501</v>
      </c>
      <c r="KK34" t="s">
        <v>502</v>
      </c>
      <c r="KL34" s="4" t="s">
        <v>503</v>
      </c>
      <c r="KM34">
        <v>2.5</v>
      </c>
      <c r="KN34" s="7" t="s">
        <v>649</v>
      </c>
      <c r="KO34" s="7"/>
      <c r="KP34" s="7"/>
      <c r="KQ34" s="13"/>
      <c r="KR34" s="7" t="s">
        <v>504</v>
      </c>
      <c r="KS34" s="7"/>
      <c r="KT34" s="7"/>
      <c r="KU34" s="13"/>
      <c r="KV34" t="s">
        <v>505</v>
      </c>
      <c r="KW34" t="s">
        <v>506</v>
      </c>
      <c r="LB34" s="4" t="s">
        <v>480</v>
      </c>
      <c r="LC34" s="4"/>
      <c r="LD34" s="4" t="s">
        <v>480</v>
      </c>
      <c r="LE34" s="4"/>
      <c r="LF34" s="4" t="s">
        <v>480</v>
      </c>
      <c r="LG34" s="4"/>
      <c r="LH34" s="4" t="s">
        <v>480</v>
      </c>
      <c r="LI34" s="4"/>
      <c r="LJ34" t="s">
        <v>507</v>
      </c>
      <c r="LK34" s="4" t="s">
        <v>480</v>
      </c>
      <c r="LL34" s="4" t="s">
        <v>480</v>
      </c>
      <c r="LM34" s="4" t="s">
        <v>508</v>
      </c>
      <c r="LN34">
        <v>2500</v>
      </c>
      <c r="MY34" t="s">
        <v>509</v>
      </c>
      <c r="MZ34">
        <v>30</v>
      </c>
      <c r="NA34" t="s">
        <v>659</v>
      </c>
      <c r="NB34" s="4" t="s">
        <v>548</v>
      </c>
      <c r="NJ34" t="s">
        <v>659</v>
      </c>
      <c r="NK34" t="s">
        <v>659</v>
      </c>
      <c r="NL34" s="4" t="s">
        <v>660</v>
      </c>
      <c r="NM34" s="6" t="s">
        <v>508</v>
      </c>
      <c r="NU34" t="s">
        <v>657</v>
      </c>
      <c r="NV34" t="s">
        <v>518</v>
      </c>
      <c r="NW34">
        <v>2729</v>
      </c>
      <c r="NX34" t="s">
        <v>480</v>
      </c>
      <c r="NY34" t="s">
        <v>480</v>
      </c>
      <c r="OB34">
        <v>8</v>
      </c>
      <c r="OU34" t="s">
        <v>656</v>
      </c>
      <c r="OV34" t="s">
        <v>518</v>
      </c>
      <c r="OX34" s="79">
        <v>2012</v>
      </c>
      <c r="OY34" s="79">
        <v>2015</v>
      </c>
      <c r="OZ34" s="79"/>
      <c r="PB34" s="3" t="s">
        <v>522</v>
      </c>
      <c r="PC34" s="74">
        <v>46094</v>
      </c>
    </row>
    <row r="35" spans="1:419" ht="15.75" thickBot="1">
      <c r="A35" t="s">
        <v>469</v>
      </c>
      <c r="B35" t="s">
        <v>470</v>
      </c>
      <c r="C35" t="s">
        <v>471</v>
      </c>
      <c r="D35" s="4" t="s">
        <v>472</v>
      </c>
      <c r="E35" t="s">
        <v>473</v>
      </c>
      <c r="F35" s="4" t="s">
        <v>474</v>
      </c>
      <c r="G35" t="s">
        <v>475</v>
      </c>
      <c r="H35" t="s">
        <v>476</v>
      </c>
      <c r="I35" t="s">
        <v>477</v>
      </c>
      <c r="J35" t="s">
        <v>478</v>
      </c>
      <c r="K35" s="3">
        <v>200</v>
      </c>
      <c r="AV35" t="s">
        <v>479</v>
      </c>
      <c r="AW35">
        <v>400</v>
      </c>
      <c r="AX35" t="s">
        <v>480</v>
      </c>
      <c r="AY35">
        <v>3</v>
      </c>
      <c r="AZ35" t="s">
        <v>481</v>
      </c>
      <c r="BA35">
        <v>2012</v>
      </c>
      <c r="BB35">
        <v>2015</v>
      </c>
      <c r="BC35" t="s">
        <v>480</v>
      </c>
      <c r="BD35" t="s">
        <v>535</v>
      </c>
      <c r="BE35" t="s">
        <v>536</v>
      </c>
      <c r="BF35" s="3" t="s">
        <v>484</v>
      </c>
      <c r="BG35" t="s">
        <v>485</v>
      </c>
      <c r="BH35" t="s">
        <v>480</v>
      </c>
      <c r="BI35" s="4" t="s">
        <v>486</v>
      </c>
      <c r="BJ35" s="9">
        <v>44000</v>
      </c>
      <c r="BK35" t="s">
        <v>537</v>
      </c>
      <c r="BL35" t="s">
        <v>538</v>
      </c>
      <c r="BM35" t="s">
        <v>480</v>
      </c>
      <c r="BN35" s="4" t="s">
        <v>486</v>
      </c>
      <c r="BO35" s="9">
        <v>44444</v>
      </c>
      <c r="HK35" t="s">
        <v>487</v>
      </c>
      <c r="HL35" t="s">
        <v>488</v>
      </c>
      <c r="HQ35" t="s">
        <v>489</v>
      </c>
      <c r="HS35" s="4" t="s">
        <v>539</v>
      </c>
      <c r="HT35" t="s">
        <v>480</v>
      </c>
      <c r="HU35" t="s">
        <v>480</v>
      </c>
      <c r="IH35" t="s">
        <v>540</v>
      </c>
      <c r="II35" s="219" t="s">
        <v>541</v>
      </c>
      <c r="IJ35" s="37" t="s">
        <v>542</v>
      </c>
      <c r="IK35" s="37" t="s">
        <v>543</v>
      </c>
      <c r="IL35">
        <v>2012</v>
      </c>
      <c r="IM35" s="79" t="s">
        <v>480</v>
      </c>
      <c r="IN35" s="4" t="s">
        <v>544</v>
      </c>
      <c r="JJ35" t="s">
        <v>493</v>
      </c>
      <c r="JK35" s="3" t="s">
        <v>494</v>
      </c>
      <c r="JL35" s="8" t="s">
        <v>495</v>
      </c>
      <c r="JM35" s="8" t="s">
        <v>496</v>
      </c>
      <c r="JN35" s="59" t="s">
        <v>497</v>
      </c>
      <c r="JO35" t="s">
        <v>498</v>
      </c>
      <c r="JV35" s="4"/>
      <c r="JW35" s="4"/>
      <c r="JX35" s="4"/>
      <c r="JY35" s="4"/>
      <c r="JZ35" s="4"/>
      <c r="KA35" s="4"/>
      <c r="KB35" s="4"/>
      <c r="KC35" s="4"/>
      <c r="KD35" s="4"/>
      <c r="KE35" t="s">
        <v>499</v>
      </c>
      <c r="KF35" s="13" t="s">
        <v>500</v>
      </c>
      <c r="KG35" s="13" t="s">
        <v>480</v>
      </c>
      <c r="KH35" t="s">
        <v>480</v>
      </c>
      <c r="KI35" t="s">
        <v>499</v>
      </c>
      <c r="KJ35" t="s">
        <v>501</v>
      </c>
      <c r="KK35" t="s">
        <v>502</v>
      </c>
      <c r="KL35" s="4" t="s">
        <v>503</v>
      </c>
      <c r="KM35">
        <v>2.5</v>
      </c>
      <c r="KN35" s="7" t="s">
        <v>649</v>
      </c>
      <c r="KO35" s="7"/>
      <c r="KP35" s="7"/>
      <c r="KQ35" s="13"/>
      <c r="KR35" s="7" t="s">
        <v>545</v>
      </c>
      <c r="KS35" s="7" t="s">
        <v>546</v>
      </c>
      <c r="KT35" s="3" t="s">
        <v>480</v>
      </c>
      <c r="KU35" t="s">
        <v>480</v>
      </c>
      <c r="KV35" t="s">
        <v>505</v>
      </c>
      <c r="KW35" t="s">
        <v>506</v>
      </c>
      <c r="LB35" s="4" t="s">
        <v>480</v>
      </c>
      <c r="LC35" s="4"/>
      <c r="LD35" s="4" t="s">
        <v>480</v>
      </c>
      <c r="LE35" s="4"/>
      <c r="LF35" s="4" t="s">
        <v>480</v>
      </c>
      <c r="LG35" s="4"/>
      <c r="LH35" s="4" t="s">
        <v>480</v>
      </c>
      <c r="LI35" s="4"/>
      <c r="LJ35" t="s">
        <v>507</v>
      </c>
      <c r="LK35" s="4" t="s">
        <v>480</v>
      </c>
      <c r="LL35" s="4" t="s">
        <v>480</v>
      </c>
      <c r="LM35" s="4" t="s">
        <v>508</v>
      </c>
      <c r="LN35">
        <v>2500</v>
      </c>
      <c r="MY35" t="s">
        <v>509</v>
      </c>
      <c r="MZ35">
        <v>30</v>
      </c>
      <c r="NA35" t="s">
        <v>659</v>
      </c>
      <c r="NB35" s="4" t="s">
        <v>548</v>
      </c>
      <c r="NJ35" t="s">
        <v>659</v>
      </c>
      <c r="NK35" t="s">
        <v>659</v>
      </c>
      <c r="NL35" s="4" t="s">
        <v>660</v>
      </c>
      <c r="NM35" s="6" t="s">
        <v>508</v>
      </c>
      <c r="NV35" t="s">
        <v>518</v>
      </c>
      <c r="NW35">
        <v>2565</v>
      </c>
      <c r="NX35" t="s">
        <v>480</v>
      </c>
      <c r="NY35" t="s">
        <v>480</v>
      </c>
      <c r="OB35">
        <v>8</v>
      </c>
      <c r="OU35" t="s">
        <v>656</v>
      </c>
      <c r="OV35" t="s">
        <v>518</v>
      </c>
      <c r="OX35" s="79">
        <v>2012</v>
      </c>
      <c r="OY35" s="79">
        <v>2015</v>
      </c>
      <c r="OZ35" s="79"/>
      <c r="PB35" s="3" t="s">
        <v>522</v>
      </c>
      <c r="PC35" s="74">
        <v>46094</v>
      </c>
    </row>
    <row r="36" spans="1:419" ht="15.75" thickBot="1">
      <c r="A36" t="s">
        <v>469</v>
      </c>
      <c r="B36" t="s">
        <v>470</v>
      </c>
      <c r="C36" t="s">
        <v>471</v>
      </c>
      <c r="D36" s="4" t="s">
        <v>472</v>
      </c>
      <c r="E36" t="s">
        <v>473</v>
      </c>
      <c r="F36" s="4" t="s">
        <v>474</v>
      </c>
      <c r="G36" t="s">
        <v>475</v>
      </c>
      <c r="H36" t="s">
        <v>476</v>
      </c>
      <c r="I36" t="s">
        <v>477</v>
      </c>
      <c r="J36" t="s">
        <v>478</v>
      </c>
      <c r="K36" s="3">
        <v>200</v>
      </c>
      <c r="AV36" t="s">
        <v>479</v>
      </c>
      <c r="AW36">
        <v>400</v>
      </c>
      <c r="AX36" t="s">
        <v>480</v>
      </c>
      <c r="AY36">
        <v>3</v>
      </c>
      <c r="AZ36" t="s">
        <v>481</v>
      </c>
      <c r="BA36">
        <v>2012</v>
      </c>
      <c r="BB36">
        <v>2015</v>
      </c>
      <c r="BC36" t="s">
        <v>480</v>
      </c>
      <c r="BD36" t="s">
        <v>565</v>
      </c>
      <c r="BE36" t="s">
        <v>566</v>
      </c>
      <c r="BF36" s="3" t="s">
        <v>484</v>
      </c>
      <c r="BG36" t="s">
        <v>485</v>
      </c>
      <c r="BH36" t="s">
        <v>480</v>
      </c>
      <c r="BI36" s="4" t="s">
        <v>486</v>
      </c>
      <c r="BJ36" s="9">
        <v>44000</v>
      </c>
      <c r="BK36" t="s">
        <v>537</v>
      </c>
      <c r="BL36" t="s">
        <v>567</v>
      </c>
      <c r="BM36" t="s">
        <v>480</v>
      </c>
      <c r="BN36" s="4" t="s">
        <v>486</v>
      </c>
      <c r="BO36" s="9">
        <v>44444</v>
      </c>
      <c r="HK36" t="s">
        <v>487</v>
      </c>
      <c r="HL36" t="s">
        <v>488</v>
      </c>
      <c r="HQ36" t="s">
        <v>489</v>
      </c>
      <c r="HS36" s="4" t="s">
        <v>539</v>
      </c>
      <c r="HT36" t="s">
        <v>480</v>
      </c>
      <c r="HU36" t="s">
        <v>480</v>
      </c>
      <c r="IH36" t="s">
        <v>568</v>
      </c>
      <c r="II36" s="219" t="s">
        <v>541</v>
      </c>
      <c r="IJ36" s="37" t="s">
        <v>542</v>
      </c>
      <c r="IK36" s="37" t="s">
        <v>543</v>
      </c>
      <c r="IL36">
        <v>2012</v>
      </c>
      <c r="IM36" s="79" t="s">
        <v>480</v>
      </c>
      <c r="IN36" s="4" t="s">
        <v>544</v>
      </c>
      <c r="JJ36" t="s">
        <v>493</v>
      </c>
      <c r="JK36" s="3" t="s">
        <v>494</v>
      </c>
      <c r="JL36" s="8" t="s">
        <v>495</v>
      </c>
      <c r="JM36" s="8" t="s">
        <v>496</v>
      </c>
      <c r="JN36" s="59" t="s">
        <v>497</v>
      </c>
      <c r="JO36" t="s">
        <v>498</v>
      </c>
      <c r="JV36" s="4"/>
      <c r="JW36" s="4"/>
      <c r="JX36" s="4"/>
      <c r="JY36" s="4"/>
      <c r="JZ36" s="4"/>
      <c r="KA36" s="4"/>
      <c r="KB36" s="4"/>
      <c r="KC36" s="4"/>
      <c r="KD36" s="4"/>
      <c r="KE36" t="s">
        <v>499</v>
      </c>
      <c r="KF36" s="13" t="s">
        <v>500</v>
      </c>
      <c r="KG36" s="13" t="s">
        <v>480</v>
      </c>
      <c r="KH36" t="s">
        <v>480</v>
      </c>
      <c r="KI36" t="s">
        <v>499</v>
      </c>
      <c r="KJ36" t="s">
        <v>501</v>
      </c>
      <c r="KK36" t="s">
        <v>502</v>
      </c>
      <c r="KL36" s="4" t="s">
        <v>503</v>
      </c>
      <c r="KM36">
        <v>2.5</v>
      </c>
      <c r="KN36" s="7" t="s">
        <v>649</v>
      </c>
      <c r="KO36" s="7"/>
      <c r="KP36" s="7"/>
      <c r="KQ36" s="13"/>
      <c r="KR36" s="7" t="s">
        <v>545</v>
      </c>
      <c r="KS36" s="7" t="s">
        <v>546</v>
      </c>
      <c r="KT36" s="3" t="s">
        <v>480</v>
      </c>
      <c r="KU36" t="s">
        <v>480</v>
      </c>
      <c r="KV36" t="s">
        <v>505</v>
      </c>
      <c r="KW36" t="s">
        <v>506</v>
      </c>
      <c r="LB36" s="4" t="s">
        <v>480</v>
      </c>
      <c r="LC36" s="4"/>
      <c r="LD36" s="4" t="s">
        <v>480</v>
      </c>
      <c r="LE36" s="4"/>
      <c r="LF36" s="4" t="s">
        <v>480</v>
      </c>
      <c r="LG36" s="4"/>
      <c r="LH36" s="4" t="s">
        <v>480</v>
      </c>
      <c r="LI36" s="4"/>
      <c r="LJ36" t="s">
        <v>507</v>
      </c>
      <c r="LK36" s="4" t="s">
        <v>480</v>
      </c>
      <c r="LL36" s="4" t="s">
        <v>480</v>
      </c>
      <c r="LM36" s="4" t="s">
        <v>508</v>
      </c>
      <c r="LN36">
        <v>2500</v>
      </c>
      <c r="MY36" t="s">
        <v>509</v>
      </c>
      <c r="MZ36">
        <v>30</v>
      </c>
      <c r="NA36" t="s">
        <v>659</v>
      </c>
      <c r="NB36" s="4" t="s">
        <v>548</v>
      </c>
      <c r="NJ36" t="s">
        <v>659</v>
      </c>
      <c r="NK36" t="s">
        <v>659</v>
      </c>
      <c r="NL36" s="4" t="s">
        <v>660</v>
      </c>
      <c r="NM36" s="6" t="s">
        <v>508</v>
      </c>
      <c r="NV36" t="s">
        <v>518</v>
      </c>
      <c r="NW36">
        <v>2623</v>
      </c>
      <c r="NX36" t="s">
        <v>480</v>
      </c>
      <c r="NY36" t="s">
        <v>480</v>
      </c>
      <c r="OB36">
        <v>8</v>
      </c>
      <c r="OU36" t="s">
        <v>656</v>
      </c>
      <c r="OV36" t="s">
        <v>518</v>
      </c>
      <c r="OX36" s="79">
        <v>2012</v>
      </c>
      <c r="OY36" s="79">
        <v>2015</v>
      </c>
      <c r="OZ36" s="79"/>
      <c r="PB36" s="3" t="s">
        <v>522</v>
      </c>
      <c r="PC36" s="74">
        <v>46094</v>
      </c>
    </row>
    <row r="37" spans="1:419" ht="15.75" thickBot="1">
      <c r="A37" t="s">
        <v>469</v>
      </c>
      <c r="B37" t="s">
        <v>470</v>
      </c>
      <c r="C37" t="s">
        <v>471</v>
      </c>
      <c r="D37" s="4" t="s">
        <v>472</v>
      </c>
      <c r="E37" t="s">
        <v>473</v>
      </c>
      <c r="F37" s="4" t="s">
        <v>474</v>
      </c>
      <c r="G37" t="s">
        <v>475</v>
      </c>
      <c r="H37" t="s">
        <v>476</v>
      </c>
      <c r="I37" t="s">
        <v>477</v>
      </c>
      <c r="J37" t="s">
        <v>478</v>
      </c>
      <c r="K37" s="3">
        <v>200</v>
      </c>
      <c r="AV37" t="s">
        <v>479</v>
      </c>
      <c r="AW37">
        <v>200</v>
      </c>
      <c r="AX37" t="s">
        <v>480</v>
      </c>
      <c r="AY37">
        <v>1</v>
      </c>
      <c r="AZ37" t="s">
        <v>661</v>
      </c>
      <c r="BA37">
        <v>2014</v>
      </c>
      <c r="BB37">
        <v>2015</v>
      </c>
      <c r="BC37" t="s">
        <v>480</v>
      </c>
      <c r="BD37" t="s">
        <v>592</v>
      </c>
      <c r="BE37" t="s">
        <v>593</v>
      </c>
      <c r="BF37" s="3" t="s">
        <v>484</v>
      </c>
      <c r="BG37" t="s">
        <v>485</v>
      </c>
      <c r="BH37" t="s">
        <v>480</v>
      </c>
      <c r="BI37" s="4" t="s">
        <v>486</v>
      </c>
      <c r="BJ37" s="9">
        <v>44000</v>
      </c>
      <c r="HK37" t="s">
        <v>525</v>
      </c>
      <c r="HL37" t="s">
        <v>526</v>
      </c>
      <c r="HM37" t="s">
        <v>527</v>
      </c>
      <c r="HO37" t="s">
        <v>480</v>
      </c>
      <c r="HP37">
        <v>1</v>
      </c>
      <c r="HQ37" t="s">
        <v>489</v>
      </c>
      <c r="HS37" s="4" t="s">
        <v>490</v>
      </c>
      <c r="HT37" t="s">
        <v>480</v>
      </c>
      <c r="HU37" t="s">
        <v>480</v>
      </c>
      <c r="IH37" t="s">
        <v>491</v>
      </c>
      <c r="II37" s="13" t="s">
        <v>492</v>
      </c>
      <c r="IJ37" s="38"/>
      <c r="IK37" s="38"/>
      <c r="JJ37" t="s">
        <v>493</v>
      </c>
      <c r="JK37" s="46" t="s">
        <v>594</v>
      </c>
      <c r="JL37" s="8" t="s">
        <v>495</v>
      </c>
      <c r="JM37" s="8" t="s">
        <v>496</v>
      </c>
      <c r="JN37" s="59" t="s">
        <v>497</v>
      </c>
      <c r="JO37" t="s">
        <v>498</v>
      </c>
      <c r="JV37" s="4" t="s">
        <v>595</v>
      </c>
      <c r="JW37" s="4" t="s">
        <v>596</v>
      </c>
      <c r="JX37" s="4" t="s">
        <v>508</v>
      </c>
      <c r="JY37" s="4">
        <v>5000</v>
      </c>
      <c r="JZ37" s="4" t="s">
        <v>597</v>
      </c>
      <c r="KA37" s="4">
        <v>0.74</v>
      </c>
      <c r="KB37">
        <v>0.12</v>
      </c>
      <c r="KC37">
        <v>0.69</v>
      </c>
      <c r="KD37" s="4" t="s">
        <v>598</v>
      </c>
      <c r="KE37" s="4" t="s">
        <v>528</v>
      </c>
      <c r="KF37" s="13" t="s">
        <v>500</v>
      </c>
      <c r="KG37" s="13" t="s">
        <v>480</v>
      </c>
      <c r="KH37" t="s">
        <v>480</v>
      </c>
      <c r="KI37" t="s">
        <v>529</v>
      </c>
      <c r="KJ37" s="12" t="s">
        <v>530</v>
      </c>
      <c r="KL37" s="4"/>
      <c r="KN37" s="7" t="s">
        <v>649</v>
      </c>
      <c r="KO37" s="7"/>
      <c r="KP37" s="7"/>
      <c r="KQ37" s="13"/>
      <c r="KR37" s="7" t="s">
        <v>504</v>
      </c>
      <c r="KS37" s="7"/>
      <c r="KT37" s="7"/>
      <c r="KU37" s="13"/>
      <c r="KW37" s="13" t="s">
        <v>531</v>
      </c>
      <c r="LB37" s="13"/>
      <c r="LC37" s="4"/>
      <c r="LD37" s="13"/>
      <c r="LE37" s="13"/>
      <c r="LF37" s="13"/>
      <c r="LG37" s="13"/>
      <c r="LH37" s="13"/>
      <c r="LI37" s="4"/>
      <c r="LJ37" s="4"/>
      <c r="LK37" s="4"/>
      <c r="LL37" s="4"/>
      <c r="LM37" s="4"/>
      <c r="MY37" t="s">
        <v>509</v>
      </c>
      <c r="MZ37">
        <v>30</v>
      </c>
      <c r="NA37" t="s">
        <v>662</v>
      </c>
      <c r="NB37" t="s">
        <v>651</v>
      </c>
      <c r="NJ37" t="s">
        <v>652</v>
      </c>
      <c r="NK37" t="s">
        <v>653</v>
      </c>
      <c r="NL37" s="4" t="s">
        <v>654</v>
      </c>
      <c r="NM37" s="6" t="s">
        <v>508</v>
      </c>
      <c r="NU37" t="s">
        <v>663</v>
      </c>
      <c r="NV37" t="s">
        <v>518</v>
      </c>
      <c r="NW37">
        <v>3565</v>
      </c>
      <c r="NX37" t="s">
        <v>480</v>
      </c>
      <c r="NY37" t="s">
        <v>480</v>
      </c>
      <c r="OB37">
        <v>8</v>
      </c>
      <c r="OU37" t="s">
        <v>656</v>
      </c>
      <c r="OV37" t="s">
        <v>518</v>
      </c>
      <c r="OX37">
        <v>2014</v>
      </c>
      <c r="OY37">
        <v>2015</v>
      </c>
      <c r="PB37" s="3" t="s">
        <v>522</v>
      </c>
      <c r="PC37" s="74">
        <v>46094</v>
      </c>
    </row>
    <row r="38" spans="1:419" ht="15.75" thickBot="1">
      <c r="A38" t="s">
        <v>469</v>
      </c>
      <c r="B38" t="s">
        <v>470</v>
      </c>
      <c r="C38" t="s">
        <v>471</v>
      </c>
      <c r="D38" s="4" t="s">
        <v>472</v>
      </c>
      <c r="E38" t="s">
        <v>473</v>
      </c>
      <c r="F38" s="4" t="s">
        <v>474</v>
      </c>
      <c r="G38" t="s">
        <v>475</v>
      </c>
      <c r="H38" t="s">
        <v>476</v>
      </c>
      <c r="I38" t="s">
        <v>477</v>
      </c>
      <c r="J38" t="s">
        <v>478</v>
      </c>
      <c r="K38" s="3">
        <v>200</v>
      </c>
      <c r="AV38" t="s">
        <v>479</v>
      </c>
      <c r="AW38">
        <v>200</v>
      </c>
      <c r="AX38" t="s">
        <v>480</v>
      </c>
      <c r="AY38">
        <v>1</v>
      </c>
      <c r="AZ38" t="s">
        <v>661</v>
      </c>
      <c r="BA38">
        <v>2014</v>
      </c>
      <c r="BB38">
        <v>2015</v>
      </c>
      <c r="BC38" t="s">
        <v>480</v>
      </c>
      <c r="BD38" t="s">
        <v>601</v>
      </c>
      <c r="BE38" t="s">
        <v>602</v>
      </c>
      <c r="BF38" s="3" t="s">
        <v>484</v>
      </c>
      <c r="BG38" t="s">
        <v>485</v>
      </c>
      <c r="BH38" t="s">
        <v>480</v>
      </c>
      <c r="BI38" s="4" t="s">
        <v>486</v>
      </c>
      <c r="BJ38" s="9">
        <v>44000</v>
      </c>
      <c r="HK38" t="s">
        <v>487</v>
      </c>
      <c r="HL38" t="s">
        <v>488</v>
      </c>
      <c r="HQ38" t="s">
        <v>489</v>
      </c>
      <c r="HS38" s="4" t="s">
        <v>490</v>
      </c>
      <c r="HT38" t="s">
        <v>480</v>
      </c>
      <c r="HU38" t="s">
        <v>480</v>
      </c>
      <c r="IH38" t="s">
        <v>491</v>
      </c>
      <c r="II38" s="13" t="s">
        <v>492</v>
      </c>
      <c r="IJ38" s="38"/>
      <c r="IK38" s="38"/>
      <c r="IL38" s="79"/>
      <c r="IM38" s="79"/>
      <c r="IN38" s="4"/>
      <c r="IP38" s="13"/>
      <c r="JJ38" t="s">
        <v>493</v>
      </c>
      <c r="JK38" s="46" t="s">
        <v>594</v>
      </c>
      <c r="JL38" s="8" t="s">
        <v>495</v>
      </c>
      <c r="JM38" s="8" t="s">
        <v>496</v>
      </c>
      <c r="JN38" s="59" t="s">
        <v>497</v>
      </c>
      <c r="JO38" t="s">
        <v>498</v>
      </c>
      <c r="JV38" s="4" t="s">
        <v>595</v>
      </c>
      <c r="JW38" s="4" t="s">
        <v>596</v>
      </c>
      <c r="JX38" s="4" t="s">
        <v>508</v>
      </c>
      <c r="JY38" s="4">
        <v>5000</v>
      </c>
      <c r="JZ38" s="4" t="s">
        <v>597</v>
      </c>
      <c r="KA38" s="4">
        <v>0.74</v>
      </c>
      <c r="KB38">
        <v>0.12</v>
      </c>
      <c r="KC38">
        <v>0.69</v>
      </c>
      <c r="KD38" s="4" t="s">
        <v>598</v>
      </c>
      <c r="KE38" t="s">
        <v>499</v>
      </c>
      <c r="KF38" s="13" t="s">
        <v>500</v>
      </c>
      <c r="KG38" s="13" t="s">
        <v>480</v>
      </c>
      <c r="KH38" t="s">
        <v>480</v>
      </c>
      <c r="KI38" t="s">
        <v>499</v>
      </c>
      <c r="KJ38" t="s">
        <v>501</v>
      </c>
      <c r="KK38" t="s">
        <v>502</v>
      </c>
      <c r="KL38" s="4" t="s">
        <v>503</v>
      </c>
      <c r="KM38">
        <v>2.5</v>
      </c>
      <c r="KN38" s="7" t="s">
        <v>649</v>
      </c>
      <c r="KO38" s="7"/>
      <c r="KP38" s="7"/>
      <c r="KQ38" s="13"/>
      <c r="KR38" s="7" t="s">
        <v>504</v>
      </c>
      <c r="KS38" s="7"/>
      <c r="KT38" s="7"/>
      <c r="KU38" s="13"/>
      <c r="KV38" t="s">
        <v>505</v>
      </c>
      <c r="KW38" t="s">
        <v>506</v>
      </c>
      <c r="LB38" s="4" t="s">
        <v>480</v>
      </c>
      <c r="LC38" s="4"/>
      <c r="LD38" s="4" t="s">
        <v>480</v>
      </c>
      <c r="LE38" s="4"/>
      <c r="LF38" s="4" t="s">
        <v>480</v>
      </c>
      <c r="LG38" s="4"/>
      <c r="LH38" s="4" t="s">
        <v>480</v>
      </c>
      <c r="LI38" s="4"/>
      <c r="LJ38" t="s">
        <v>507</v>
      </c>
      <c r="LK38" s="4" t="s">
        <v>480</v>
      </c>
      <c r="LL38" s="4" t="s">
        <v>480</v>
      </c>
      <c r="LM38" s="4" t="s">
        <v>508</v>
      </c>
      <c r="LN38">
        <v>2500</v>
      </c>
      <c r="MY38" t="s">
        <v>509</v>
      </c>
      <c r="MZ38">
        <v>30</v>
      </c>
      <c r="NA38" t="s">
        <v>650</v>
      </c>
      <c r="NB38" t="s">
        <v>651</v>
      </c>
      <c r="NJ38" t="s">
        <v>652</v>
      </c>
      <c r="NK38" t="s">
        <v>653</v>
      </c>
      <c r="NL38" s="4" t="s">
        <v>654</v>
      </c>
      <c r="NM38" s="6" t="s">
        <v>508</v>
      </c>
      <c r="NU38" t="s">
        <v>664</v>
      </c>
      <c r="NV38" t="s">
        <v>518</v>
      </c>
      <c r="NW38">
        <v>4115</v>
      </c>
      <c r="NX38" t="s">
        <v>480</v>
      </c>
      <c r="NY38" t="s">
        <v>480</v>
      </c>
      <c r="OB38">
        <v>8</v>
      </c>
      <c r="OU38" t="s">
        <v>656</v>
      </c>
      <c r="OV38" t="s">
        <v>518</v>
      </c>
      <c r="OX38" s="79">
        <v>2014</v>
      </c>
      <c r="OY38" s="79">
        <v>2015</v>
      </c>
      <c r="OZ38" s="79"/>
      <c r="PB38" s="3" t="s">
        <v>522</v>
      </c>
      <c r="PC38" s="74">
        <v>46094</v>
      </c>
    </row>
    <row r="39" spans="1:419" ht="15.75" thickBot="1">
      <c r="A39" t="s">
        <v>469</v>
      </c>
      <c r="B39" t="s">
        <v>470</v>
      </c>
      <c r="C39" t="s">
        <v>471</v>
      </c>
      <c r="D39" s="4" t="s">
        <v>472</v>
      </c>
      <c r="E39" t="s">
        <v>473</v>
      </c>
      <c r="F39" s="4" t="s">
        <v>474</v>
      </c>
      <c r="G39" t="s">
        <v>475</v>
      </c>
      <c r="H39" t="s">
        <v>476</v>
      </c>
      <c r="I39" t="s">
        <v>477</v>
      </c>
      <c r="J39" t="s">
        <v>478</v>
      </c>
      <c r="K39" s="3">
        <v>200</v>
      </c>
      <c r="AV39" t="s">
        <v>479</v>
      </c>
      <c r="AW39">
        <v>200</v>
      </c>
      <c r="AX39" t="s">
        <v>480</v>
      </c>
      <c r="AY39">
        <v>1</v>
      </c>
      <c r="AZ39" t="s">
        <v>661</v>
      </c>
      <c r="BA39">
        <v>2014</v>
      </c>
      <c r="BB39">
        <v>2015</v>
      </c>
      <c r="BC39" t="s">
        <v>480</v>
      </c>
      <c r="BD39" t="s">
        <v>606</v>
      </c>
      <c r="BE39" t="s">
        <v>607</v>
      </c>
      <c r="BF39" s="3" t="s">
        <v>484</v>
      </c>
      <c r="BG39" t="s">
        <v>485</v>
      </c>
      <c r="BH39" t="s">
        <v>480</v>
      </c>
      <c r="BI39" s="4" t="s">
        <v>486</v>
      </c>
      <c r="BJ39" s="9">
        <v>44000</v>
      </c>
      <c r="BK39" t="s">
        <v>537</v>
      </c>
      <c r="BL39" t="s">
        <v>538</v>
      </c>
      <c r="BM39" t="s">
        <v>480</v>
      </c>
      <c r="BN39" s="4" t="s">
        <v>486</v>
      </c>
      <c r="BO39" s="9">
        <v>44444</v>
      </c>
      <c r="HK39" t="s">
        <v>487</v>
      </c>
      <c r="HL39" t="s">
        <v>488</v>
      </c>
      <c r="HQ39" t="s">
        <v>489</v>
      </c>
      <c r="HS39" s="4" t="s">
        <v>539</v>
      </c>
      <c r="HT39" t="s">
        <v>480</v>
      </c>
      <c r="HU39" t="s">
        <v>480</v>
      </c>
      <c r="IH39" t="s">
        <v>540</v>
      </c>
      <c r="II39" s="219" t="s">
        <v>541</v>
      </c>
      <c r="IJ39" s="37" t="s">
        <v>542</v>
      </c>
      <c r="IK39" s="37" t="s">
        <v>543</v>
      </c>
      <c r="IL39">
        <v>2012</v>
      </c>
      <c r="IM39" s="79" t="s">
        <v>480</v>
      </c>
      <c r="IN39" s="4" t="s">
        <v>544</v>
      </c>
      <c r="JJ39" t="s">
        <v>493</v>
      </c>
      <c r="JK39" s="46" t="s">
        <v>594</v>
      </c>
      <c r="JL39" s="8" t="s">
        <v>495</v>
      </c>
      <c r="JM39" s="8" t="s">
        <v>496</v>
      </c>
      <c r="JN39" s="59" t="s">
        <v>497</v>
      </c>
      <c r="JO39" t="s">
        <v>498</v>
      </c>
      <c r="JV39" s="4" t="s">
        <v>595</v>
      </c>
      <c r="JW39" s="4" t="s">
        <v>596</v>
      </c>
      <c r="JX39" s="4" t="s">
        <v>508</v>
      </c>
      <c r="JY39" s="4">
        <v>5000</v>
      </c>
      <c r="JZ39" s="4" t="s">
        <v>597</v>
      </c>
      <c r="KA39" s="4">
        <v>0.74</v>
      </c>
      <c r="KB39">
        <v>0.12</v>
      </c>
      <c r="KC39">
        <v>0.69</v>
      </c>
      <c r="KD39" s="4" t="s">
        <v>598</v>
      </c>
      <c r="KE39" t="s">
        <v>499</v>
      </c>
      <c r="KF39" s="13" t="s">
        <v>500</v>
      </c>
      <c r="KG39" s="13" t="s">
        <v>480</v>
      </c>
      <c r="KH39" t="s">
        <v>480</v>
      </c>
      <c r="KI39" t="s">
        <v>499</v>
      </c>
      <c r="KJ39" t="s">
        <v>501</v>
      </c>
      <c r="KK39" t="s">
        <v>502</v>
      </c>
      <c r="KL39" s="4" t="s">
        <v>503</v>
      </c>
      <c r="KM39">
        <v>2.5</v>
      </c>
      <c r="KN39" s="7" t="s">
        <v>649</v>
      </c>
      <c r="KO39" s="7"/>
      <c r="KP39" s="7"/>
      <c r="KQ39" s="13"/>
      <c r="KR39" s="7" t="s">
        <v>545</v>
      </c>
      <c r="KS39" s="7" t="s">
        <v>546</v>
      </c>
      <c r="KT39" s="3" t="s">
        <v>480</v>
      </c>
      <c r="KU39" t="s">
        <v>480</v>
      </c>
      <c r="KV39" t="s">
        <v>505</v>
      </c>
      <c r="KW39" t="s">
        <v>506</v>
      </c>
      <c r="LB39" s="4" t="s">
        <v>480</v>
      </c>
      <c r="LC39" s="4"/>
      <c r="LD39" s="4" t="s">
        <v>480</v>
      </c>
      <c r="LE39" s="4"/>
      <c r="LF39" s="4" t="s">
        <v>480</v>
      </c>
      <c r="LG39" s="4"/>
      <c r="LH39" s="4" t="s">
        <v>480</v>
      </c>
      <c r="LI39" s="4"/>
      <c r="LJ39" t="s">
        <v>507</v>
      </c>
      <c r="LK39" s="4" t="s">
        <v>480</v>
      </c>
      <c r="LL39" s="4" t="s">
        <v>480</v>
      </c>
      <c r="LM39" s="4" t="s">
        <v>508</v>
      </c>
      <c r="LN39">
        <v>2500</v>
      </c>
      <c r="MY39" t="s">
        <v>509</v>
      </c>
      <c r="MZ39">
        <v>30</v>
      </c>
      <c r="NA39" t="s">
        <v>658</v>
      </c>
      <c r="NB39" t="s">
        <v>651</v>
      </c>
      <c r="NJ39" t="s">
        <v>652</v>
      </c>
      <c r="NK39" t="s">
        <v>653</v>
      </c>
      <c r="NL39" s="4" t="s">
        <v>654</v>
      </c>
      <c r="NM39" s="6" t="s">
        <v>508</v>
      </c>
      <c r="NV39" t="s">
        <v>518</v>
      </c>
      <c r="NW39">
        <v>4820</v>
      </c>
      <c r="NX39" t="s">
        <v>480</v>
      </c>
      <c r="NY39" t="s">
        <v>480</v>
      </c>
      <c r="OB39">
        <v>8</v>
      </c>
      <c r="OU39" t="s">
        <v>656</v>
      </c>
      <c r="OV39" t="s">
        <v>518</v>
      </c>
      <c r="OX39" s="79">
        <v>2014</v>
      </c>
      <c r="OY39" s="79">
        <v>2015</v>
      </c>
      <c r="OZ39" s="79"/>
      <c r="PB39" s="3" t="s">
        <v>522</v>
      </c>
      <c r="PC39" s="74">
        <v>46094</v>
      </c>
    </row>
    <row r="40" spans="1:419" ht="15.75" thickBot="1">
      <c r="A40" t="s">
        <v>469</v>
      </c>
      <c r="B40" t="s">
        <v>470</v>
      </c>
      <c r="C40" t="s">
        <v>471</v>
      </c>
      <c r="D40" s="4" t="s">
        <v>472</v>
      </c>
      <c r="E40" t="s">
        <v>473</v>
      </c>
      <c r="F40" s="4" t="s">
        <v>474</v>
      </c>
      <c r="G40" t="s">
        <v>475</v>
      </c>
      <c r="H40" t="s">
        <v>476</v>
      </c>
      <c r="I40" t="s">
        <v>477</v>
      </c>
      <c r="J40" t="s">
        <v>478</v>
      </c>
      <c r="K40" s="3">
        <v>200</v>
      </c>
      <c r="AV40" t="s">
        <v>479</v>
      </c>
      <c r="AW40">
        <v>200</v>
      </c>
      <c r="AX40" t="s">
        <v>480</v>
      </c>
      <c r="AY40">
        <v>1</v>
      </c>
      <c r="AZ40" t="s">
        <v>661</v>
      </c>
      <c r="BA40">
        <v>2014</v>
      </c>
      <c r="BB40">
        <v>2015</v>
      </c>
      <c r="BC40" t="s">
        <v>480</v>
      </c>
      <c r="BD40" t="s">
        <v>610</v>
      </c>
      <c r="BE40" t="s">
        <v>611</v>
      </c>
      <c r="BF40" s="3" t="s">
        <v>484</v>
      </c>
      <c r="BG40" t="s">
        <v>485</v>
      </c>
      <c r="BH40" t="s">
        <v>480</v>
      </c>
      <c r="BI40" s="4" t="s">
        <v>486</v>
      </c>
      <c r="BJ40" s="9">
        <v>44000</v>
      </c>
      <c r="BK40" t="s">
        <v>537</v>
      </c>
      <c r="BL40" t="s">
        <v>567</v>
      </c>
      <c r="BM40" t="s">
        <v>480</v>
      </c>
      <c r="BN40" s="4" t="s">
        <v>486</v>
      </c>
      <c r="BO40" s="9">
        <v>44444</v>
      </c>
      <c r="HK40" t="s">
        <v>487</v>
      </c>
      <c r="HL40" t="s">
        <v>488</v>
      </c>
      <c r="HQ40" t="s">
        <v>489</v>
      </c>
      <c r="HS40" s="4" t="s">
        <v>539</v>
      </c>
      <c r="HT40" t="s">
        <v>480</v>
      </c>
      <c r="HU40" t="s">
        <v>480</v>
      </c>
      <c r="IH40" t="s">
        <v>568</v>
      </c>
      <c r="II40" s="219" t="s">
        <v>541</v>
      </c>
      <c r="IJ40" s="37" t="s">
        <v>542</v>
      </c>
      <c r="IK40" s="37" t="s">
        <v>543</v>
      </c>
      <c r="IL40">
        <v>2012</v>
      </c>
      <c r="IM40" s="2" t="s">
        <v>480</v>
      </c>
      <c r="IN40" s="4" t="s">
        <v>544</v>
      </c>
      <c r="JJ40" t="s">
        <v>493</v>
      </c>
      <c r="JK40" s="46" t="s">
        <v>594</v>
      </c>
      <c r="JL40" s="8" t="s">
        <v>495</v>
      </c>
      <c r="JM40" s="8" t="s">
        <v>496</v>
      </c>
      <c r="JN40" s="59" t="s">
        <v>497</v>
      </c>
      <c r="JO40" t="s">
        <v>498</v>
      </c>
      <c r="JV40" s="4" t="s">
        <v>595</v>
      </c>
      <c r="JW40" s="4" t="s">
        <v>596</v>
      </c>
      <c r="JX40" s="4" t="s">
        <v>508</v>
      </c>
      <c r="JY40" s="4">
        <v>5000</v>
      </c>
      <c r="JZ40" s="4" t="s">
        <v>597</v>
      </c>
      <c r="KA40" s="4">
        <v>0.74</v>
      </c>
      <c r="KB40">
        <v>0.12</v>
      </c>
      <c r="KC40">
        <v>0.69</v>
      </c>
      <c r="KD40" s="4" t="s">
        <v>598</v>
      </c>
      <c r="KE40" t="s">
        <v>499</v>
      </c>
      <c r="KF40" s="7" t="s">
        <v>500</v>
      </c>
      <c r="KG40" s="13" t="s">
        <v>480</v>
      </c>
      <c r="KH40" t="s">
        <v>480</v>
      </c>
      <c r="KI40" t="s">
        <v>499</v>
      </c>
      <c r="KJ40" t="s">
        <v>501</v>
      </c>
      <c r="KK40" t="s">
        <v>502</v>
      </c>
      <c r="KL40" s="4" t="s">
        <v>503</v>
      </c>
      <c r="KM40">
        <v>2.5</v>
      </c>
      <c r="KN40" s="7" t="s">
        <v>649</v>
      </c>
      <c r="KO40" s="7"/>
      <c r="KP40" s="7"/>
      <c r="KQ40" s="13"/>
      <c r="KR40" s="7" t="s">
        <v>545</v>
      </c>
      <c r="KS40" s="7" t="s">
        <v>546</v>
      </c>
      <c r="KT40" s="3" t="s">
        <v>480</v>
      </c>
      <c r="KU40" t="s">
        <v>480</v>
      </c>
      <c r="KV40" t="s">
        <v>505</v>
      </c>
      <c r="KW40" t="s">
        <v>506</v>
      </c>
      <c r="LB40" s="4" t="s">
        <v>480</v>
      </c>
      <c r="LC40" s="4"/>
      <c r="LD40" s="4" t="s">
        <v>480</v>
      </c>
      <c r="LE40" s="4"/>
      <c r="LF40" s="4" t="s">
        <v>480</v>
      </c>
      <c r="LG40" s="4"/>
      <c r="LH40" s="4" t="s">
        <v>480</v>
      </c>
      <c r="LI40" s="4"/>
      <c r="LJ40" t="s">
        <v>507</v>
      </c>
      <c r="LK40" s="4" t="s">
        <v>480</v>
      </c>
      <c r="LL40" s="4" t="s">
        <v>480</v>
      </c>
      <c r="LM40" s="4" t="s">
        <v>508</v>
      </c>
      <c r="LN40">
        <v>2500</v>
      </c>
      <c r="MY40" t="s">
        <v>509</v>
      </c>
      <c r="MZ40">
        <v>30</v>
      </c>
      <c r="NA40" t="s">
        <v>658</v>
      </c>
      <c r="NB40" t="s">
        <v>651</v>
      </c>
      <c r="NJ40" t="s">
        <v>652</v>
      </c>
      <c r="NK40" t="s">
        <v>653</v>
      </c>
      <c r="NL40" s="4" t="s">
        <v>654</v>
      </c>
      <c r="NM40" s="6" t="s">
        <v>508</v>
      </c>
      <c r="NV40" t="s">
        <v>518</v>
      </c>
      <c r="NW40">
        <v>4481</v>
      </c>
      <c r="NX40" t="s">
        <v>480</v>
      </c>
      <c r="NY40" t="s">
        <v>480</v>
      </c>
      <c r="OB40">
        <v>8</v>
      </c>
      <c r="OU40" t="s">
        <v>656</v>
      </c>
      <c r="OV40" t="s">
        <v>518</v>
      </c>
      <c r="OX40" s="79">
        <v>2014</v>
      </c>
      <c r="OY40" s="79">
        <v>2015</v>
      </c>
      <c r="OZ40" s="2"/>
      <c r="PB40" s="3" t="s">
        <v>522</v>
      </c>
      <c r="PC40" s="74">
        <v>46094</v>
      </c>
    </row>
    <row r="41" spans="1:419" ht="15.75" thickBot="1">
      <c r="A41" t="s">
        <v>469</v>
      </c>
      <c r="B41" t="s">
        <v>470</v>
      </c>
      <c r="C41" t="s">
        <v>471</v>
      </c>
      <c r="D41" s="4" t="s">
        <v>472</v>
      </c>
      <c r="E41" t="s">
        <v>473</v>
      </c>
      <c r="F41" s="4" t="s">
        <v>474</v>
      </c>
      <c r="G41" t="s">
        <v>475</v>
      </c>
      <c r="H41" t="s">
        <v>476</v>
      </c>
      <c r="I41" t="s">
        <v>477</v>
      </c>
      <c r="J41" t="s">
        <v>478</v>
      </c>
      <c r="K41" s="3">
        <v>200</v>
      </c>
      <c r="AV41" t="s">
        <v>479</v>
      </c>
      <c r="AW41">
        <v>200</v>
      </c>
      <c r="AX41" t="s">
        <v>480</v>
      </c>
      <c r="AY41">
        <v>1</v>
      </c>
      <c r="AZ41" t="s">
        <v>661</v>
      </c>
      <c r="BA41">
        <v>2014</v>
      </c>
      <c r="BB41">
        <v>2015</v>
      </c>
      <c r="BC41" t="s">
        <v>480</v>
      </c>
      <c r="BD41" t="s">
        <v>592</v>
      </c>
      <c r="BE41" t="s">
        <v>593</v>
      </c>
      <c r="BF41" s="3" t="s">
        <v>484</v>
      </c>
      <c r="BG41" t="s">
        <v>485</v>
      </c>
      <c r="BH41" t="s">
        <v>480</v>
      </c>
      <c r="BI41" s="4" t="s">
        <v>486</v>
      </c>
      <c r="BJ41" s="9">
        <v>44000</v>
      </c>
      <c r="HK41" t="s">
        <v>525</v>
      </c>
      <c r="HL41" t="s">
        <v>526</v>
      </c>
      <c r="HM41" t="s">
        <v>527</v>
      </c>
      <c r="HO41" t="s">
        <v>480</v>
      </c>
      <c r="HP41">
        <v>1</v>
      </c>
      <c r="HQ41" t="s">
        <v>489</v>
      </c>
      <c r="HS41" s="4" t="s">
        <v>490</v>
      </c>
      <c r="HT41" t="s">
        <v>480</v>
      </c>
      <c r="HU41" t="s">
        <v>480</v>
      </c>
      <c r="IH41" t="s">
        <v>491</v>
      </c>
      <c r="II41" s="13" t="s">
        <v>492</v>
      </c>
      <c r="IJ41" s="38"/>
      <c r="IK41" s="38"/>
      <c r="JJ41" t="s">
        <v>493</v>
      </c>
      <c r="JK41" s="46" t="s">
        <v>594</v>
      </c>
      <c r="JL41" s="8" t="s">
        <v>495</v>
      </c>
      <c r="JM41" s="8" t="s">
        <v>496</v>
      </c>
      <c r="JN41" s="59" t="s">
        <v>497</v>
      </c>
      <c r="JO41" t="s">
        <v>498</v>
      </c>
      <c r="JV41" s="4" t="s">
        <v>595</v>
      </c>
      <c r="JW41" s="4" t="s">
        <v>596</v>
      </c>
      <c r="JX41" s="4" t="s">
        <v>508</v>
      </c>
      <c r="JY41" s="4">
        <v>5000</v>
      </c>
      <c r="JZ41" s="4" t="s">
        <v>597</v>
      </c>
      <c r="KA41" s="4">
        <v>0.74</v>
      </c>
      <c r="KB41">
        <v>0.12</v>
      </c>
      <c r="KC41">
        <v>0.69</v>
      </c>
      <c r="KD41" s="4" t="s">
        <v>598</v>
      </c>
      <c r="KE41" s="4" t="s">
        <v>528</v>
      </c>
      <c r="KF41" s="13" t="s">
        <v>500</v>
      </c>
      <c r="KG41" s="13" t="s">
        <v>480</v>
      </c>
      <c r="KH41" t="s">
        <v>480</v>
      </c>
      <c r="KI41" t="s">
        <v>529</v>
      </c>
      <c r="KJ41" s="12" t="s">
        <v>530</v>
      </c>
      <c r="KL41" s="4"/>
      <c r="KN41" s="7" t="s">
        <v>649</v>
      </c>
      <c r="KQ41" s="13"/>
      <c r="KR41" s="13" t="s">
        <v>504</v>
      </c>
      <c r="KS41" s="7"/>
      <c r="KU41" s="13"/>
      <c r="KW41" s="13" t="s">
        <v>531</v>
      </c>
      <c r="LB41" s="13"/>
      <c r="LC41" s="4"/>
      <c r="LD41" s="13"/>
      <c r="LE41" s="13"/>
      <c r="LF41" s="13"/>
      <c r="LG41" s="13"/>
      <c r="LH41" s="13"/>
      <c r="LI41" s="4"/>
      <c r="LJ41" s="4"/>
      <c r="LK41" s="4"/>
      <c r="LL41" s="4"/>
      <c r="LM41" s="4"/>
      <c r="MY41" t="s">
        <v>509</v>
      </c>
      <c r="MZ41">
        <v>30</v>
      </c>
      <c r="NA41" t="s">
        <v>659</v>
      </c>
      <c r="NB41" s="4" t="s">
        <v>548</v>
      </c>
      <c r="NJ41" t="s">
        <v>652</v>
      </c>
      <c r="NK41" t="s">
        <v>653</v>
      </c>
      <c r="NL41" s="4" t="s">
        <v>660</v>
      </c>
      <c r="NM41" s="6" t="s">
        <v>508</v>
      </c>
      <c r="NU41" t="s">
        <v>663</v>
      </c>
      <c r="NV41" t="s">
        <v>518</v>
      </c>
      <c r="NW41">
        <v>2878</v>
      </c>
      <c r="NX41" t="s">
        <v>480</v>
      </c>
      <c r="NY41" t="s">
        <v>480</v>
      </c>
      <c r="OB41">
        <v>8</v>
      </c>
      <c r="OU41" t="s">
        <v>656</v>
      </c>
      <c r="OV41" t="s">
        <v>518</v>
      </c>
      <c r="OX41">
        <v>2014</v>
      </c>
      <c r="OY41">
        <v>2015</v>
      </c>
      <c r="PB41" s="3" t="s">
        <v>522</v>
      </c>
      <c r="PC41" s="74">
        <v>46094</v>
      </c>
    </row>
    <row r="42" spans="1:419" ht="15.75" thickBot="1">
      <c r="A42" t="s">
        <v>469</v>
      </c>
      <c r="B42" t="s">
        <v>470</v>
      </c>
      <c r="C42" t="s">
        <v>471</v>
      </c>
      <c r="D42" s="4" t="s">
        <v>472</v>
      </c>
      <c r="E42" t="s">
        <v>473</v>
      </c>
      <c r="F42" s="4" t="s">
        <v>474</v>
      </c>
      <c r="G42" t="s">
        <v>475</v>
      </c>
      <c r="H42" t="s">
        <v>476</v>
      </c>
      <c r="I42" t="s">
        <v>477</v>
      </c>
      <c r="J42" t="s">
        <v>478</v>
      </c>
      <c r="K42" s="3">
        <v>200</v>
      </c>
      <c r="AV42" t="s">
        <v>479</v>
      </c>
      <c r="AW42">
        <v>200</v>
      </c>
      <c r="AX42" t="s">
        <v>480</v>
      </c>
      <c r="AY42">
        <v>1</v>
      </c>
      <c r="AZ42" t="s">
        <v>661</v>
      </c>
      <c r="BA42">
        <v>2014</v>
      </c>
      <c r="BB42">
        <v>2015</v>
      </c>
      <c r="BC42" t="s">
        <v>480</v>
      </c>
      <c r="BD42" t="s">
        <v>601</v>
      </c>
      <c r="BE42" t="s">
        <v>602</v>
      </c>
      <c r="BF42" s="3" t="s">
        <v>484</v>
      </c>
      <c r="BG42" t="s">
        <v>485</v>
      </c>
      <c r="BH42" t="s">
        <v>480</v>
      </c>
      <c r="BI42" s="4" t="s">
        <v>486</v>
      </c>
      <c r="BJ42" s="9">
        <v>44000</v>
      </c>
      <c r="HK42" t="s">
        <v>487</v>
      </c>
      <c r="HL42" t="s">
        <v>488</v>
      </c>
      <c r="HQ42" t="s">
        <v>489</v>
      </c>
      <c r="HS42" s="4" t="s">
        <v>490</v>
      </c>
      <c r="HT42" t="s">
        <v>480</v>
      </c>
      <c r="HU42" t="s">
        <v>480</v>
      </c>
      <c r="IH42" t="s">
        <v>491</v>
      </c>
      <c r="II42" s="13" t="s">
        <v>492</v>
      </c>
      <c r="IJ42" s="38"/>
      <c r="IK42" s="38"/>
      <c r="IL42" s="79"/>
      <c r="IM42" s="79"/>
      <c r="IN42" s="4"/>
      <c r="IP42" s="13"/>
      <c r="JJ42" t="s">
        <v>493</v>
      </c>
      <c r="JK42" s="46" t="s">
        <v>594</v>
      </c>
      <c r="JL42" s="8" t="s">
        <v>495</v>
      </c>
      <c r="JM42" s="8" t="s">
        <v>496</v>
      </c>
      <c r="JN42" s="59" t="s">
        <v>497</v>
      </c>
      <c r="JO42" t="s">
        <v>498</v>
      </c>
      <c r="JV42" s="4" t="s">
        <v>595</v>
      </c>
      <c r="JW42" s="4" t="s">
        <v>596</v>
      </c>
      <c r="JX42" s="4" t="s">
        <v>508</v>
      </c>
      <c r="JY42" s="4">
        <v>5000</v>
      </c>
      <c r="JZ42" s="4" t="s">
        <v>597</v>
      </c>
      <c r="KA42" s="4">
        <v>0.74</v>
      </c>
      <c r="KB42">
        <v>0.12</v>
      </c>
      <c r="KC42">
        <v>0.69</v>
      </c>
      <c r="KD42" s="4" t="s">
        <v>598</v>
      </c>
      <c r="KE42" t="s">
        <v>499</v>
      </c>
      <c r="KF42" s="13" t="s">
        <v>500</v>
      </c>
      <c r="KG42" s="13" t="s">
        <v>480</v>
      </c>
      <c r="KH42" t="s">
        <v>480</v>
      </c>
      <c r="KI42" t="s">
        <v>499</v>
      </c>
      <c r="KJ42" t="s">
        <v>501</v>
      </c>
      <c r="KK42" t="s">
        <v>502</v>
      </c>
      <c r="KL42" s="4" t="s">
        <v>503</v>
      </c>
      <c r="KM42">
        <v>2.5</v>
      </c>
      <c r="KN42" s="7" t="s">
        <v>649</v>
      </c>
      <c r="KQ42" s="13"/>
      <c r="KR42" s="13" t="s">
        <v>504</v>
      </c>
      <c r="KS42" s="7"/>
      <c r="KU42" s="13"/>
      <c r="KV42" t="s">
        <v>505</v>
      </c>
      <c r="KW42" t="s">
        <v>506</v>
      </c>
      <c r="LB42" s="4" t="s">
        <v>480</v>
      </c>
      <c r="LC42" s="4"/>
      <c r="LD42" s="4" t="s">
        <v>480</v>
      </c>
      <c r="LE42" s="4"/>
      <c r="LF42" s="4" t="s">
        <v>480</v>
      </c>
      <c r="LG42" s="4"/>
      <c r="LH42" s="4" t="s">
        <v>480</v>
      </c>
      <c r="LI42" s="4"/>
      <c r="LJ42" t="s">
        <v>507</v>
      </c>
      <c r="LK42" s="4" t="s">
        <v>480</v>
      </c>
      <c r="LL42" s="4" t="s">
        <v>480</v>
      </c>
      <c r="LM42" s="4" t="s">
        <v>508</v>
      </c>
      <c r="LN42">
        <v>2500</v>
      </c>
      <c r="MY42" t="s">
        <v>509</v>
      </c>
      <c r="MZ42">
        <v>30</v>
      </c>
      <c r="NA42" t="s">
        <v>659</v>
      </c>
      <c r="NB42" s="4" t="s">
        <v>548</v>
      </c>
      <c r="NJ42" t="s">
        <v>652</v>
      </c>
      <c r="NK42" t="s">
        <v>653</v>
      </c>
      <c r="NL42" s="4" t="s">
        <v>660</v>
      </c>
      <c r="NM42" s="6" t="s">
        <v>508</v>
      </c>
      <c r="NU42" t="s">
        <v>664</v>
      </c>
      <c r="NV42" t="s">
        <v>518</v>
      </c>
      <c r="NW42">
        <v>2847</v>
      </c>
      <c r="NX42" t="s">
        <v>480</v>
      </c>
      <c r="NY42" t="s">
        <v>480</v>
      </c>
      <c r="OB42">
        <v>8</v>
      </c>
      <c r="OU42" t="s">
        <v>656</v>
      </c>
      <c r="OV42" t="s">
        <v>518</v>
      </c>
      <c r="OX42" s="79">
        <v>2014</v>
      </c>
      <c r="OY42" s="79">
        <v>2015</v>
      </c>
      <c r="OZ42" s="79"/>
      <c r="PB42" s="3" t="s">
        <v>522</v>
      </c>
      <c r="PC42" s="74">
        <v>46094</v>
      </c>
    </row>
    <row r="43" spans="1:419" ht="15.75" thickBot="1">
      <c r="A43" t="s">
        <v>469</v>
      </c>
      <c r="B43" t="s">
        <v>470</v>
      </c>
      <c r="C43" t="s">
        <v>471</v>
      </c>
      <c r="D43" s="4" t="s">
        <v>472</v>
      </c>
      <c r="E43" t="s">
        <v>473</v>
      </c>
      <c r="F43" s="4" t="s">
        <v>474</v>
      </c>
      <c r="G43" t="s">
        <v>475</v>
      </c>
      <c r="H43" t="s">
        <v>476</v>
      </c>
      <c r="I43" t="s">
        <v>477</v>
      </c>
      <c r="J43" t="s">
        <v>478</v>
      </c>
      <c r="K43" s="3">
        <v>200</v>
      </c>
      <c r="AV43" t="s">
        <v>479</v>
      </c>
      <c r="AW43">
        <v>200</v>
      </c>
      <c r="AX43" t="s">
        <v>480</v>
      </c>
      <c r="AY43">
        <v>1</v>
      </c>
      <c r="AZ43" t="s">
        <v>661</v>
      </c>
      <c r="BA43">
        <v>2014</v>
      </c>
      <c r="BB43">
        <v>2015</v>
      </c>
      <c r="BC43" t="s">
        <v>480</v>
      </c>
      <c r="BD43" t="s">
        <v>606</v>
      </c>
      <c r="BE43" t="s">
        <v>607</v>
      </c>
      <c r="BF43" s="3" t="s">
        <v>484</v>
      </c>
      <c r="BG43" t="s">
        <v>485</v>
      </c>
      <c r="BH43" t="s">
        <v>480</v>
      </c>
      <c r="BI43" s="4" t="s">
        <v>486</v>
      </c>
      <c r="BJ43" s="9">
        <v>44000</v>
      </c>
      <c r="BK43" t="s">
        <v>537</v>
      </c>
      <c r="BL43" t="s">
        <v>538</v>
      </c>
      <c r="BM43" t="s">
        <v>480</v>
      </c>
      <c r="BN43" s="4" t="s">
        <v>486</v>
      </c>
      <c r="BO43" s="9">
        <v>44444</v>
      </c>
      <c r="HK43" t="s">
        <v>487</v>
      </c>
      <c r="HL43" t="s">
        <v>488</v>
      </c>
      <c r="HQ43" t="s">
        <v>489</v>
      </c>
      <c r="HS43" s="4" t="s">
        <v>539</v>
      </c>
      <c r="HT43" t="s">
        <v>480</v>
      </c>
      <c r="HU43" t="s">
        <v>480</v>
      </c>
      <c r="IH43" t="s">
        <v>540</v>
      </c>
      <c r="II43" s="219" t="s">
        <v>541</v>
      </c>
      <c r="IJ43" s="37" t="s">
        <v>542</v>
      </c>
      <c r="IK43" s="37" t="s">
        <v>543</v>
      </c>
      <c r="IL43">
        <v>2012</v>
      </c>
      <c r="IM43" s="79" t="s">
        <v>480</v>
      </c>
      <c r="IN43" s="4" t="s">
        <v>544</v>
      </c>
      <c r="JJ43" t="s">
        <v>493</v>
      </c>
      <c r="JK43" s="46" t="s">
        <v>594</v>
      </c>
      <c r="JL43" s="8" t="s">
        <v>495</v>
      </c>
      <c r="JM43" s="8" t="s">
        <v>496</v>
      </c>
      <c r="JN43" s="59" t="s">
        <v>497</v>
      </c>
      <c r="JO43" t="s">
        <v>498</v>
      </c>
      <c r="JV43" s="4" t="s">
        <v>595</v>
      </c>
      <c r="JW43" s="4" t="s">
        <v>596</v>
      </c>
      <c r="JX43" s="4" t="s">
        <v>508</v>
      </c>
      <c r="JY43" s="4">
        <v>5000</v>
      </c>
      <c r="JZ43" s="4" t="s">
        <v>597</v>
      </c>
      <c r="KA43" s="4">
        <v>0.74</v>
      </c>
      <c r="KB43">
        <v>0.12</v>
      </c>
      <c r="KC43">
        <v>0.69</v>
      </c>
      <c r="KD43" s="4" t="s">
        <v>598</v>
      </c>
      <c r="KE43" t="s">
        <v>499</v>
      </c>
      <c r="KF43" s="13" t="s">
        <v>500</v>
      </c>
      <c r="KG43" s="13" t="s">
        <v>480</v>
      </c>
      <c r="KH43" t="s">
        <v>480</v>
      </c>
      <c r="KI43" t="s">
        <v>499</v>
      </c>
      <c r="KJ43" t="s">
        <v>501</v>
      </c>
      <c r="KK43" t="s">
        <v>502</v>
      </c>
      <c r="KL43" s="4" t="s">
        <v>503</v>
      </c>
      <c r="KM43">
        <v>2.5</v>
      </c>
      <c r="KN43" s="7" t="s">
        <v>649</v>
      </c>
      <c r="KQ43" s="13"/>
      <c r="KR43" s="11" t="s">
        <v>545</v>
      </c>
      <c r="KS43" s="7" t="s">
        <v>546</v>
      </c>
      <c r="KT43" s="3" t="s">
        <v>480</v>
      </c>
      <c r="KU43" t="s">
        <v>480</v>
      </c>
      <c r="KV43" t="s">
        <v>505</v>
      </c>
      <c r="KW43" t="s">
        <v>506</v>
      </c>
      <c r="LB43" s="4" t="s">
        <v>480</v>
      </c>
      <c r="LC43" s="4"/>
      <c r="LD43" s="4" t="s">
        <v>480</v>
      </c>
      <c r="LE43" s="4"/>
      <c r="LF43" s="4" t="s">
        <v>480</v>
      </c>
      <c r="LG43" s="4"/>
      <c r="LH43" s="4" t="s">
        <v>480</v>
      </c>
      <c r="LI43" s="4"/>
      <c r="LJ43" t="s">
        <v>507</v>
      </c>
      <c r="LK43" s="4" t="s">
        <v>480</v>
      </c>
      <c r="LL43" s="4" t="s">
        <v>480</v>
      </c>
      <c r="LM43" s="4" t="s">
        <v>508</v>
      </c>
      <c r="LN43">
        <v>2500</v>
      </c>
      <c r="MY43" t="s">
        <v>509</v>
      </c>
      <c r="MZ43">
        <v>30</v>
      </c>
      <c r="NA43" t="s">
        <v>659</v>
      </c>
      <c r="NB43" s="4" t="s">
        <v>548</v>
      </c>
      <c r="NJ43" t="s">
        <v>652</v>
      </c>
      <c r="NK43" t="s">
        <v>653</v>
      </c>
      <c r="NL43" s="4" t="s">
        <v>660</v>
      </c>
      <c r="NM43" s="6" t="s">
        <v>508</v>
      </c>
      <c r="NV43" t="s">
        <v>518</v>
      </c>
      <c r="NW43">
        <v>2280</v>
      </c>
      <c r="NX43" t="s">
        <v>480</v>
      </c>
      <c r="NY43" t="s">
        <v>480</v>
      </c>
      <c r="OB43">
        <v>8</v>
      </c>
      <c r="OU43" t="s">
        <v>656</v>
      </c>
      <c r="OV43" t="s">
        <v>518</v>
      </c>
      <c r="OX43" s="79">
        <v>2014</v>
      </c>
      <c r="OY43" s="79">
        <v>2015</v>
      </c>
      <c r="OZ43" s="79"/>
      <c r="PB43" s="3" t="s">
        <v>522</v>
      </c>
      <c r="PC43" s="74">
        <v>46094</v>
      </c>
    </row>
    <row r="44" spans="1:419" ht="15.75" thickBot="1">
      <c r="A44" t="s">
        <v>469</v>
      </c>
      <c r="B44" t="s">
        <v>470</v>
      </c>
      <c r="C44" t="s">
        <v>471</v>
      </c>
      <c r="D44" s="4" t="s">
        <v>472</v>
      </c>
      <c r="E44" t="s">
        <v>473</v>
      </c>
      <c r="F44" s="4" t="s">
        <v>474</v>
      </c>
      <c r="G44" t="s">
        <v>475</v>
      </c>
      <c r="H44" t="s">
        <v>476</v>
      </c>
      <c r="I44" t="s">
        <v>477</v>
      </c>
      <c r="J44" t="s">
        <v>478</v>
      </c>
      <c r="K44" s="3">
        <v>200</v>
      </c>
      <c r="AV44" t="s">
        <v>479</v>
      </c>
      <c r="AW44">
        <v>200</v>
      </c>
      <c r="AX44" t="s">
        <v>480</v>
      </c>
      <c r="AY44">
        <v>1</v>
      </c>
      <c r="AZ44" t="s">
        <v>661</v>
      </c>
      <c r="BA44">
        <v>2014</v>
      </c>
      <c r="BB44">
        <v>2015</v>
      </c>
      <c r="BC44" t="s">
        <v>480</v>
      </c>
      <c r="BD44" t="s">
        <v>610</v>
      </c>
      <c r="BE44" t="s">
        <v>611</v>
      </c>
      <c r="BF44" s="3" t="s">
        <v>484</v>
      </c>
      <c r="BG44" t="s">
        <v>485</v>
      </c>
      <c r="BH44" t="s">
        <v>480</v>
      </c>
      <c r="BI44" s="4" t="s">
        <v>486</v>
      </c>
      <c r="BJ44" s="9">
        <v>44000</v>
      </c>
      <c r="BK44" t="s">
        <v>537</v>
      </c>
      <c r="BL44" t="s">
        <v>567</v>
      </c>
      <c r="BM44" t="s">
        <v>480</v>
      </c>
      <c r="BN44" s="4" t="s">
        <v>486</v>
      </c>
      <c r="BO44" s="9">
        <v>44444</v>
      </c>
      <c r="HK44" t="s">
        <v>487</v>
      </c>
      <c r="HL44" t="s">
        <v>488</v>
      </c>
      <c r="HQ44" t="s">
        <v>489</v>
      </c>
      <c r="HS44" s="4" t="s">
        <v>539</v>
      </c>
      <c r="HT44" t="s">
        <v>480</v>
      </c>
      <c r="HU44" t="s">
        <v>480</v>
      </c>
      <c r="IH44" t="s">
        <v>568</v>
      </c>
      <c r="II44" s="219" t="s">
        <v>541</v>
      </c>
      <c r="IJ44" s="37" t="s">
        <v>542</v>
      </c>
      <c r="IK44" s="37" t="s">
        <v>543</v>
      </c>
      <c r="IL44">
        <v>2012</v>
      </c>
      <c r="IM44" s="2" t="s">
        <v>480</v>
      </c>
      <c r="IN44" s="4" t="s">
        <v>544</v>
      </c>
      <c r="JJ44" t="s">
        <v>493</v>
      </c>
      <c r="JK44" s="46" t="s">
        <v>594</v>
      </c>
      <c r="JL44" s="8" t="s">
        <v>495</v>
      </c>
      <c r="JM44" s="8" t="s">
        <v>496</v>
      </c>
      <c r="JN44" s="59" t="s">
        <v>497</v>
      </c>
      <c r="JO44" t="s">
        <v>498</v>
      </c>
      <c r="JV44" s="4" t="s">
        <v>595</v>
      </c>
      <c r="JW44" s="4" t="s">
        <v>596</v>
      </c>
      <c r="JX44" s="4" t="s">
        <v>508</v>
      </c>
      <c r="JY44" s="4">
        <v>5000</v>
      </c>
      <c r="JZ44" s="4" t="s">
        <v>597</v>
      </c>
      <c r="KA44" s="4">
        <v>0.74</v>
      </c>
      <c r="KB44">
        <v>0.12</v>
      </c>
      <c r="KC44">
        <v>0.69</v>
      </c>
      <c r="KD44" s="4" t="s">
        <v>598</v>
      </c>
      <c r="KE44" t="s">
        <v>499</v>
      </c>
      <c r="KF44" s="7" t="s">
        <v>500</v>
      </c>
      <c r="KG44" s="13" t="s">
        <v>480</v>
      </c>
      <c r="KH44" t="s">
        <v>480</v>
      </c>
      <c r="KI44" t="s">
        <v>499</v>
      </c>
      <c r="KJ44" t="s">
        <v>501</v>
      </c>
      <c r="KK44" t="s">
        <v>502</v>
      </c>
      <c r="KL44" s="4" t="s">
        <v>503</v>
      </c>
      <c r="KM44">
        <v>2.5</v>
      </c>
      <c r="KN44" s="7" t="s">
        <v>649</v>
      </c>
      <c r="KQ44" s="13"/>
      <c r="KR44" s="11" t="s">
        <v>545</v>
      </c>
      <c r="KS44" s="7" t="s">
        <v>546</v>
      </c>
      <c r="KT44" s="3" t="s">
        <v>480</v>
      </c>
      <c r="KU44" t="s">
        <v>480</v>
      </c>
      <c r="KV44" t="s">
        <v>505</v>
      </c>
      <c r="KW44" t="s">
        <v>506</v>
      </c>
      <c r="LB44" s="4" t="s">
        <v>480</v>
      </c>
      <c r="LC44" s="4"/>
      <c r="LD44" s="4" t="s">
        <v>480</v>
      </c>
      <c r="LE44" s="4"/>
      <c r="LF44" s="4" t="s">
        <v>480</v>
      </c>
      <c r="LG44" s="4"/>
      <c r="LH44" s="4" t="s">
        <v>480</v>
      </c>
      <c r="LI44" s="4"/>
      <c r="LJ44" t="s">
        <v>507</v>
      </c>
      <c r="LK44" s="4" t="s">
        <v>480</v>
      </c>
      <c r="LL44" s="4" t="s">
        <v>480</v>
      </c>
      <c r="LM44" s="4" t="s">
        <v>508</v>
      </c>
      <c r="LN44">
        <v>2500</v>
      </c>
      <c r="MY44" t="s">
        <v>509</v>
      </c>
      <c r="MZ44">
        <v>30</v>
      </c>
      <c r="NA44" t="s">
        <v>659</v>
      </c>
      <c r="NB44" s="4" t="s">
        <v>548</v>
      </c>
      <c r="NJ44" t="s">
        <v>652</v>
      </c>
      <c r="NK44" t="s">
        <v>653</v>
      </c>
      <c r="NL44" s="4" t="s">
        <v>660</v>
      </c>
      <c r="NM44" s="6" t="s">
        <v>508</v>
      </c>
      <c r="NV44" t="s">
        <v>518</v>
      </c>
      <c r="NW44">
        <v>2394</v>
      </c>
      <c r="NX44" t="s">
        <v>480</v>
      </c>
      <c r="NY44" t="s">
        <v>480</v>
      </c>
      <c r="OB44">
        <v>8</v>
      </c>
      <c r="OU44" t="s">
        <v>656</v>
      </c>
      <c r="OV44" t="s">
        <v>518</v>
      </c>
      <c r="OX44" s="79">
        <v>2014</v>
      </c>
      <c r="OY44" s="79">
        <v>2015</v>
      </c>
      <c r="OZ44" s="2"/>
      <c r="PB44" s="3" t="s">
        <v>522</v>
      </c>
      <c r="PC44" s="74">
        <v>46094</v>
      </c>
    </row>
    <row r="45" spans="1:419" ht="15.75" thickBot="1">
      <c r="A45" s="11" t="s">
        <v>665</v>
      </c>
      <c r="B45" t="s">
        <v>666</v>
      </c>
      <c r="C45" t="s">
        <v>667</v>
      </c>
      <c r="D45" s="4" t="s">
        <v>668</v>
      </c>
      <c r="E45" t="s">
        <v>669</v>
      </c>
      <c r="F45" s="88" t="s">
        <v>670</v>
      </c>
      <c r="G45" t="s">
        <v>475</v>
      </c>
      <c r="H45" t="s">
        <v>476</v>
      </c>
      <c r="I45" s="10">
        <v>0.1</v>
      </c>
      <c r="J45" s="10">
        <v>34.566667000000002</v>
      </c>
      <c r="K45">
        <v>150</v>
      </c>
      <c r="AV45" t="s">
        <v>671</v>
      </c>
      <c r="AW45">
        <v>100</v>
      </c>
      <c r="AX45" t="s">
        <v>480</v>
      </c>
      <c r="AY45">
        <v>4</v>
      </c>
      <c r="AZ45" t="s">
        <v>672</v>
      </c>
      <c r="BA45">
        <v>1994</v>
      </c>
      <c r="BB45">
        <v>1998</v>
      </c>
      <c r="BC45" t="s">
        <v>673</v>
      </c>
      <c r="BD45" s="10" t="s">
        <v>674</v>
      </c>
      <c r="BE45" t="s">
        <v>536</v>
      </c>
      <c r="BF45" s="3" t="s">
        <v>484</v>
      </c>
      <c r="BG45" t="s">
        <v>485</v>
      </c>
      <c r="BH45" t="s">
        <v>675</v>
      </c>
      <c r="BI45" s="4" t="s">
        <v>486</v>
      </c>
      <c r="BJ45" s="9">
        <v>53000</v>
      </c>
      <c r="ED45" t="s">
        <v>676</v>
      </c>
      <c r="EE45" s="4" t="s">
        <v>486</v>
      </c>
      <c r="EF45" s="9">
        <v>53000</v>
      </c>
      <c r="EG45" s="9"/>
      <c r="EH45" s="9"/>
      <c r="EI45" s="9"/>
      <c r="EJ45" s="9"/>
      <c r="EK45" s="9"/>
      <c r="EL45" s="9"/>
      <c r="EM45" s="9"/>
      <c r="EN45" s="9"/>
      <c r="EO45" s="9"/>
      <c r="EP45" s="9"/>
      <c r="EQ45" s="9"/>
      <c r="ER45" s="9"/>
      <c r="ES45" s="9"/>
      <c r="ET45" s="9"/>
      <c r="EU45" s="9"/>
      <c r="EV45" s="9"/>
      <c r="EW45" s="9"/>
      <c r="EX45" s="9"/>
      <c r="EY45" s="9"/>
      <c r="EZ45" s="9"/>
      <c r="FA45" s="9"/>
      <c r="FB45" s="9"/>
      <c r="FC45" s="9"/>
      <c r="FD45" s="9"/>
      <c r="FE45" s="9"/>
      <c r="FF45" s="9"/>
      <c r="FG45" s="9"/>
      <c r="FH45" s="9"/>
      <c r="FI45" s="9"/>
      <c r="FJ45" s="9"/>
      <c r="FK45" s="9"/>
      <c r="FL45" s="9"/>
      <c r="FM45" s="9"/>
      <c r="FN45" s="9"/>
      <c r="FO45" s="9"/>
      <c r="FP45" s="9"/>
      <c r="FQ45" s="9"/>
      <c r="FR45" s="9"/>
      <c r="FS45" s="9"/>
      <c r="FT45" s="9"/>
      <c r="FU45" s="9"/>
      <c r="FV45" s="9"/>
      <c r="FW45" s="9"/>
      <c r="FX45" s="9"/>
      <c r="FY45" s="9"/>
      <c r="FZ45" s="9"/>
      <c r="GA45" s="9"/>
      <c r="GB45" s="9"/>
      <c r="GC45" s="9"/>
      <c r="GD45" s="9"/>
      <c r="GE45" s="9"/>
      <c r="GF45" s="9"/>
      <c r="GG45" s="9"/>
      <c r="GH45" s="9"/>
      <c r="GI45" s="9"/>
      <c r="GJ45" s="9"/>
      <c r="GK45" s="9"/>
      <c r="GL45" s="9"/>
      <c r="GM45" s="9"/>
      <c r="GN45" s="9"/>
      <c r="GO45" s="9"/>
      <c r="GP45" s="9"/>
      <c r="GQ45" s="9"/>
      <c r="GR45" s="9"/>
      <c r="GS45" s="9"/>
      <c r="GT45" s="9"/>
      <c r="GU45" s="9"/>
      <c r="GV45" s="9"/>
      <c r="GW45" s="9"/>
      <c r="GX45" s="9"/>
      <c r="GY45" s="9"/>
      <c r="GZ45" s="9"/>
      <c r="HA45" s="9"/>
      <c r="HB45" s="9"/>
      <c r="HC45" s="9"/>
      <c r="HD45" s="9"/>
      <c r="HE45" s="9"/>
      <c r="HF45" s="9"/>
      <c r="HG45" s="9"/>
      <c r="HH45" s="9"/>
      <c r="HI45" s="9"/>
      <c r="HJ45" s="9"/>
      <c r="HQ45" t="s">
        <v>677</v>
      </c>
      <c r="HS45" s="4" t="s">
        <v>490</v>
      </c>
      <c r="HT45" s="50">
        <v>34335</v>
      </c>
      <c r="HU45" s="50">
        <v>36160</v>
      </c>
      <c r="HV45" s="50"/>
      <c r="HW45" s="50"/>
      <c r="IN45" s="4"/>
      <c r="IO45" t="s">
        <v>678</v>
      </c>
      <c r="IP45" s="12" t="s">
        <v>679</v>
      </c>
      <c r="IS45">
        <v>1995</v>
      </c>
      <c r="IT45">
        <v>1995.2</v>
      </c>
      <c r="IU45" s="4" t="s">
        <v>544</v>
      </c>
      <c r="IV45" t="s">
        <v>680</v>
      </c>
      <c r="IW45" s="12" t="s">
        <v>681</v>
      </c>
      <c r="IZ45">
        <v>0.5</v>
      </c>
      <c r="JA45" t="s">
        <v>480</v>
      </c>
      <c r="JB45" t="s">
        <v>480</v>
      </c>
      <c r="JC45" t="s">
        <v>480</v>
      </c>
      <c r="JD45" t="s">
        <v>480</v>
      </c>
      <c r="JE45" t="s">
        <v>480</v>
      </c>
      <c r="JF45" t="s">
        <v>480</v>
      </c>
      <c r="JG45" t="s">
        <v>480</v>
      </c>
      <c r="JH45" t="s">
        <v>480</v>
      </c>
      <c r="JI45" t="s">
        <v>480</v>
      </c>
      <c r="JK45" s="12" t="s">
        <v>682</v>
      </c>
      <c r="JP45" s="4"/>
      <c r="JV45" s="4"/>
      <c r="JW45" s="4"/>
      <c r="JX45" s="4"/>
      <c r="JY45" s="4"/>
      <c r="JZ45" s="4"/>
      <c r="KA45" s="4"/>
      <c r="KF45" s="7" t="s">
        <v>500</v>
      </c>
      <c r="KJ45" s="45" t="s">
        <v>683</v>
      </c>
      <c r="KK45" s="8" t="s">
        <v>562</v>
      </c>
      <c r="KL45" t="s">
        <v>480</v>
      </c>
      <c r="KM45" t="s">
        <v>480</v>
      </c>
      <c r="MY45" t="s">
        <v>684</v>
      </c>
      <c r="MZ45">
        <v>42</v>
      </c>
      <c r="NB45" t="s">
        <v>685</v>
      </c>
      <c r="NG45" t="s">
        <v>686</v>
      </c>
      <c r="NH45" t="s">
        <v>687</v>
      </c>
      <c r="NJ45" t="s">
        <v>688</v>
      </c>
      <c r="NL45" s="4" t="s">
        <v>689</v>
      </c>
      <c r="NM45" t="s">
        <v>690</v>
      </c>
      <c r="NV45" t="s">
        <v>518</v>
      </c>
      <c r="NW45">
        <v>54</v>
      </c>
      <c r="NX45" s="4" t="s">
        <v>520</v>
      </c>
      <c r="NY45">
        <v>6</v>
      </c>
      <c r="OB45">
        <v>4</v>
      </c>
      <c r="OU45" t="s">
        <v>691</v>
      </c>
      <c r="OW45">
        <v>1997</v>
      </c>
      <c r="OZ45" s="2" t="s">
        <v>692</v>
      </c>
      <c r="PB45" t="s">
        <v>522</v>
      </c>
      <c r="PC45" s="50">
        <v>46094</v>
      </c>
    </row>
    <row r="46" spans="1:419" ht="15.75" thickBot="1">
      <c r="A46" s="11" t="s">
        <v>665</v>
      </c>
      <c r="B46" t="s">
        <v>666</v>
      </c>
      <c r="C46" t="s">
        <v>667</v>
      </c>
      <c r="D46" s="4" t="s">
        <v>668</v>
      </c>
      <c r="E46" t="s">
        <v>669</v>
      </c>
      <c r="F46" s="88" t="s">
        <v>670</v>
      </c>
      <c r="G46" t="s">
        <v>475</v>
      </c>
      <c r="H46" t="s">
        <v>476</v>
      </c>
      <c r="I46" s="10">
        <v>0.1</v>
      </c>
      <c r="J46" s="10">
        <v>34.566667000000002</v>
      </c>
      <c r="K46">
        <v>150</v>
      </c>
      <c r="AV46" t="s">
        <v>671</v>
      </c>
      <c r="AW46">
        <v>100</v>
      </c>
      <c r="AX46" t="s">
        <v>480</v>
      </c>
      <c r="AY46">
        <v>4</v>
      </c>
      <c r="AZ46" t="s">
        <v>672</v>
      </c>
      <c r="BA46">
        <v>1994</v>
      </c>
      <c r="BB46">
        <v>1998</v>
      </c>
      <c r="BC46" t="s">
        <v>673</v>
      </c>
      <c r="BD46" s="10" t="s">
        <v>693</v>
      </c>
      <c r="BE46" t="s">
        <v>566</v>
      </c>
      <c r="BF46" s="3" t="s">
        <v>484</v>
      </c>
      <c r="BG46" t="s">
        <v>485</v>
      </c>
      <c r="BH46" t="s">
        <v>675</v>
      </c>
      <c r="BI46" s="4" t="s">
        <v>486</v>
      </c>
      <c r="BJ46" s="9">
        <v>53000</v>
      </c>
      <c r="ED46" t="s">
        <v>676</v>
      </c>
      <c r="EE46" s="4" t="s">
        <v>486</v>
      </c>
      <c r="EF46" s="9">
        <v>53000</v>
      </c>
      <c r="EG46" s="9"/>
      <c r="EH46" s="9"/>
      <c r="EI46" s="9"/>
      <c r="EJ46" s="9"/>
      <c r="EK46" s="9"/>
      <c r="EL46" s="9"/>
      <c r="EM46" s="9"/>
      <c r="EN46" s="9"/>
      <c r="EO46" s="9"/>
      <c r="EP46" s="9"/>
      <c r="EQ46" s="9"/>
      <c r="ER46" s="9"/>
      <c r="ES46" s="9"/>
      <c r="ET46" s="9"/>
      <c r="EU46" s="9"/>
      <c r="EV46" s="9"/>
      <c r="EW46" s="9"/>
      <c r="EX46" s="9"/>
      <c r="EY46" s="9"/>
      <c r="EZ46" s="9"/>
      <c r="FA46" s="9"/>
      <c r="FB46" s="9"/>
      <c r="FC46" s="9"/>
      <c r="FD46" s="9"/>
      <c r="FE46" s="9"/>
      <c r="FF46" s="9"/>
      <c r="FG46" s="9"/>
      <c r="FH46" s="9"/>
      <c r="FI46" s="9"/>
      <c r="FJ46" s="9"/>
      <c r="FK46" s="9"/>
      <c r="FL46" s="9"/>
      <c r="FM46" s="9"/>
      <c r="FN46" s="9"/>
      <c r="FO46" s="9"/>
      <c r="FP46" s="9"/>
      <c r="FQ46" s="9"/>
      <c r="FR46" s="9"/>
      <c r="FS46" s="9"/>
      <c r="FT46" s="9"/>
      <c r="FU46" s="9"/>
      <c r="FV46" s="9"/>
      <c r="FW46" s="9"/>
      <c r="FX46" s="9"/>
      <c r="FY46" s="9"/>
      <c r="FZ46" s="9"/>
      <c r="GA46" s="9"/>
      <c r="GB46" s="9"/>
      <c r="GC46" s="9"/>
      <c r="GD46" s="9"/>
      <c r="GE46" s="9"/>
      <c r="GF46" s="9"/>
      <c r="GG46" s="9"/>
      <c r="GH46" s="9"/>
      <c r="GI46" s="9"/>
      <c r="GJ46" s="9"/>
      <c r="GK46" s="9"/>
      <c r="GL46" s="9"/>
      <c r="GM46" s="9"/>
      <c r="GN46" s="9"/>
      <c r="GO46" s="9"/>
      <c r="GP46" s="9"/>
      <c r="GQ46" s="9"/>
      <c r="GR46" s="9"/>
      <c r="GS46" s="9"/>
      <c r="GT46" s="9"/>
      <c r="GU46" s="9"/>
      <c r="GV46" s="9"/>
      <c r="GW46" s="9"/>
      <c r="GX46" s="9"/>
      <c r="GY46" s="9"/>
      <c r="GZ46" s="9"/>
      <c r="HA46" s="9"/>
      <c r="HB46" s="9"/>
      <c r="HC46" s="9"/>
      <c r="HD46" s="9"/>
      <c r="HE46" s="9"/>
      <c r="HF46" s="9"/>
      <c r="HG46" s="9"/>
      <c r="HH46" s="9"/>
      <c r="HI46" s="9"/>
      <c r="HJ46" s="9"/>
      <c r="HQ46" t="s">
        <v>677</v>
      </c>
      <c r="HS46" s="4" t="s">
        <v>490</v>
      </c>
      <c r="HT46" s="50">
        <v>34335</v>
      </c>
      <c r="HU46" s="50">
        <v>36160</v>
      </c>
      <c r="HV46" s="50"/>
      <c r="HW46" s="50"/>
      <c r="IN46" s="4"/>
      <c r="IO46" t="s">
        <v>694</v>
      </c>
      <c r="IP46" s="12" t="s">
        <v>695</v>
      </c>
      <c r="IS46">
        <v>1994</v>
      </c>
      <c r="IT46">
        <v>1994.2</v>
      </c>
      <c r="IU46" s="4" t="s">
        <v>544</v>
      </c>
      <c r="IV46" t="s">
        <v>696</v>
      </c>
      <c r="IW46" s="12" t="s">
        <v>681</v>
      </c>
      <c r="IZ46">
        <v>0.5</v>
      </c>
      <c r="JA46" t="s">
        <v>480</v>
      </c>
      <c r="JB46" t="s">
        <v>480</v>
      </c>
      <c r="JC46" t="s">
        <v>480</v>
      </c>
      <c r="JD46" t="s">
        <v>480</v>
      </c>
      <c r="JE46" t="s">
        <v>480</v>
      </c>
      <c r="JF46" t="s">
        <v>480</v>
      </c>
      <c r="JG46" t="s">
        <v>480</v>
      </c>
      <c r="JH46" t="s">
        <v>480</v>
      </c>
      <c r="JI46" t="s">
        <v>480</v>
      </c>
      <c r="JK46" s="12" t="s">
        <v>682</v>
      </c>
      <c r="JP46" s="4"/>
      <c r="JV46" s="4"/>
      <c r="JW46" s="4"/>
      <c r="JX46" s="4"/>
      <c r="JY46" s="4"/>
      <c r="JZ46" s="4"/>
      <c r="KA46" s="4"/>
      <c r="KF46" s="7" t="s">
        <v>500</v>
      </c>
      <c r="KJ46" s="45" t="s">
        <v>683</v>
      </c>
      <c r="KK46" s="8" t="s">
        <v>562</v>
      </c>
      <c r="KL46" t="s">
        <v>480</v>
      </c>
      <c r="KM46" t="s">
        <v>480</v>
      </c>
      <c r="MY46" t="s">
        <v>684</v>
      </c>
      <c r="MZ46">
        <v>42</v>
      </c>
      <c r="NB46" t="s">
        <v>685</v>
      </c>
      <c r="NG46" t="s">
        <v>686</v>
      </c>
      <c r="NH46" t="s">
        <v>687</v>
      </c>
      <c r="NJ46" t="s">
        <v>688</v>
      </c>
      <c r="NL46" s="4" t="s">
        <v>689</v>
      </c>
      <c r="NM46" t="s">
        <v>690</v>
      </c>
      <c r="NV46" t="s">
        <v>518</v>
      </c>
      <c r="NW46">
        <v>41</v>
      </c>
      <c r="NX46" s="4" t="s">
        <v>520</v>
      </c>
      <c r="NY46">
        <v>12</v>
      </c>
      <c r="OB46">
        <v>4</v>
      </c>
      <c r="OU46" t="s">
        <v>691</v>
      </c>
      <c r="OW46">
        <v>1997</v>
      </c>
      <c r="OZ46" s="2" t="s">
        <v>692</v>
      </c>
      <c r="PB46" t="s">
        <v>522</v>
      </c>
      <c r="PC46" s="50">
        <v>46094</v>
      </c>
    </row>
    <row r="47" spans="1:419" ht="15.75" thickBot="1">
      <c r="A47" s="11" t="s">
        <v>665</v>
      </c>
      <c r="B47" t="s">
        <v>666</v>
      </c>
      <c r="C47" t="s">
        <v>667</v>
      </c>
      <c r="D47" s="4" t="s">
        <v>668</v>
      </c>
      <c r="E47" t="s">
        <v>669</v>
      </c>
      <c r="F47" s="88" t="s">
        <v>670</v>
      </c>
      <c r="G47" t="s">
        <v>475</v>
      </c>
      <c r="H47" t="s">
        <v>476</v>
      </c>
      <c r="I47" s="10">
        <v>0.1</v>
      </c>
      <c r="J47" s="10">
        <v>34.566667000000002</v>
      </c>
      <c r="K47">
        <v>150</v>
      </c>
      <c r="AV47" t="s">
        <v>671</v>
      </c>
      <c r="AW47">
        <v>100</v>
      </c>
      <c r="AX47" t="s">
        <v>480</v>
      </c>
      <c r="AY47">
        <v>4</v>
      </c>
      <c r="AZ47" t="s">
        <v>672</v>
      </c>
      <c r="BA47">
        <v>1994</v>
      </c>
      <c r="BB47">
        <v>1998</v>
      </c>
      <c r="BC47" t="s">
        <v>673</v>
      </c>
      <c r="BD47" s="10" t="s">
        <v>697</v>
      </c>
      <c r="BE47" t="s">
        <v>572</v>
      </c>
      <c r="BF47" s="3" t="s">
        <v>484</v>
      </c>
      <c r="BG47" t="s">
        <v>485</v>
      </c>
      <c r="BH47" t="s">
        <v>675</v>
      </c>
      <c r="BI47" s="4" t="s">
        <v>486</v>
      </c>
      <c r="BJ47" s="9">
        <v>53000</v>
      </c>
      <c r="EE47" s="4"/>
      <c r="EF47" s="9"/>
      <c r="EG47" s="9"/>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Q47" t="s">
        <v>677</v>
      </c>
      <c r="HS47" s="4" t="s">
        <v>490</v>
      </c>
      <c r="HT47" s="50">
        <v>34335</v>
      </c>
      <c r="HU47" s="50">
        <v>36160</v>
      </c>
      <c r="HV47" s="50"/>
      <c r="HW47" s="50"/>
      <c r="IO47" t="s">
        <v>698</v>
      </c>
      <c r="IP47" s="46" t="s">
        <v>699</v>
      </c>
      <c r="IS47">
        <v>1995</v>
      </c>
      <c r="IT47">
        <v>1995.2</v>
      </c>
      <c r="IU47" s="4" t="s">
        <v>544</v>
      </c>
      <c r="IV47" t="s">
        <v>700</v>
      </c>
      <c r="IW47" t="s">
        <v>492</v>
      </c>
      <c r="JA47">
        <v>0</v>
      </c>
      <c r="JB47">
        <v>0</v>
      </c>
      <c r="JC47">
        <v>0</v>
      </c>
      <c r="JD47">
        <v>0</v>
      </c>
      <c r="JE47">
        <v>0</v>
      </c>
      <c r="JF47">
        <v>0</v>
      </c>
      <c r="JG47">
        <v>0</v>
      </c>
      <c r="JH47">
        <v>0</v>
      </c>
      <c r="JI47">
        <v>0</v>
      </c>
      <c r="JK47" s="12" t="s">
        <v>682</v>
      </c>
      <c r="JP47" s="4"/>
      <c r="JV47" s="4"/>
      <c r="JW47" s="4"/>
      <c r="JX47" s="4"/>
      <c r="JY47" s="4"/>
      <c r="JZ47" s="4"/>
      <c r="KA47" s="4"/>
      <c r="KF47" s="7" t="s">
        <v>500</v>
      </c>
      <c r="KJ47" s="7" t="s">
        <v>649</v>
      </c>
      <c r="MY47" t="s">
        <v>684</v>
      </c>
      <c r="MZ47">
        <v>42</v>
      </c>
      <c r="NB47" t="s">
        <v>685</v>
      </c>
      <c r="NG47" t="s">
        <v>686</v>
      </c>
      <c r="NH47" t="s">
        <v>687</v>
      </c>
      <c r="NJ47" t="s">
        <v>688</v>
      </c>
      <c r="NL47" s="4" t="s">
        <v>689</v>
      </c>
      <c r="NM47" t="s">
        <v>690</v>
      </c>
      <c r="NV47" t="s">
        <v>518</v>
      </c>
      <c r="NW47">
        <v>30</v>
      </c>
      <c r="NX47" s="4" t="s">
        <v>520</v>
      </c>
      <c r="NY47">
        <v>3</v>
      </c>
      <c r="OB47">
        <v>4</v>
      </c>
      <c r="OU47" t="s">
        <v>691</v>
      </c>
      <c r="OW47">
        <v>1997</v>
      </c>
      <c r="OZ47" s="2" t="s">
        <v>692</v>
      </c>
      <c r="PB47" t="s">
        <v>522</v>
      </c>
      <c r="PC47" s="50">
        <v>46094</v>
      </c>
    </row>
    <row r="48" spans="1:419" ht="15.75" thickBot="1">
      <c r="A48" s="11" t="s">
        <v>665</v>
      </c>
      <c r="B48" t="s">
        <v>666</v>
      </c>
      <c r="C48" t="s">
        <v>667</v>
      </c>
      <c r="D48" s="4" t="s">
        <v>668</v>
      </c>
      <c r="E48" t="s">
        <v>669</v>
      </c>
      <c r="F48" s="88" t="s">
        <v>670</v>
      </c>
      <c r="G48" t="s">
        <v>475</v>
      </c>
      <c r="H48" t="s">
        <v>476</v>
      </c>
      <c r="I48" s="10">
        <v>0.1</v>
      </c>
      <c r="J48" s="10">
        <v>34.566667000000002</v>
      </c>
      <c r="K48">
        <v>150</v>
      </c>
      <c r="AV48" t="s">
        <v>671</v>
      </c>
      <c r="AW48">
        <v>100</v>
      </c>
      <c r="AX48" t="s">
        <v>480</v>
      </c>
      <c r="AY48">
        <v>4</v>
      </c>
      <c r="AZ48" t="s">
        <v>672</v>
      </c>
      <c r="BA48">
        <v>1994</v>
      </c>
      <c r="BB48">
        <v>1998</v>
      </c>
      <c r="BC48" t="s">
        <v>673</v>
      </c>
      <c r="BD48" s="10" t="s">
        <v>701</v>
      </c>
      <c r="BE48" t="s">
        <v>553</v>
      </c>
      <c r="BF48" s="3" t="s">
        <v>484</v>
      </c>
      <c r="BG48" t="s">
        <v>485</v>
      </c>
      <c r="BH48" t="s">
        <v>675</v>
      </c>
      <c r="BI48" s="4" t="s">
        <v>486</v>
      </c>
      <c r="BJ48" s="9">
        <v>53000</v>
      </c>
      <c r="EE48" s="4"/>
      <c r="EF48" s="9"/>
      <c r="EG48" s="9"/>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Q48" t="s">
        <v>677</v>
      </c>
      <c r="HS48" s="4" t="s">
        <v>490</v>
      </c>
      <c r="HT48" s="50">
        <v>34335</v>
      </c>
      <c r="HU48" s="50">
        <v>36160</v>
      </c>
      <c r="HV48" s="50"/>
      <c r="HW48" s="50"/>
      <c r="IO48" t="s">
        <v>702</v>
      </c>
      <c r="IP48" s="13" t="s">
        <v>703</v>
      </c>
      <c r="IS48">
        <v>1994</v>
      </c>
      <c r="IT48">
        <v>1994.2</v>
      </c>
      <c r="IU48" s="4" t="s">
        <v>544</v>
      </c>
      <c r="IV48" t="s">
        <v>700</v>
      </c>
      <c r="IW48" t="s">
        <v>492</v>
      </c>
      <c r="JA48">
        <v>0</v>
      </c>
      <c r="JB48">
        <v>0</v>
      </c>
      <c r="JC48">
        <v>0</v>
      </c>
      <c r="JD48">
        <v>0</v>
      </c>
      <c r="JE48">
        <v>0</v>
      </c>
      <c r="JF48">
        <v>0</v>
      </c>
      <c r="JG48">
        <v>0</v>
      </c>
      <c r="JH48">
        <v>0</v>
      </c>
      <c r="JI48">
        <v>0</v>
      </c>
      <c r="JK48" s="12" t="s">
        <v>682</v>
      </c>
      <c r="JP48" s="4"/>
      <c r="JV48" s="4"/>
      <c r="JW48" s="4"/>
      <c r="JX48" s="4"/>
      <c r="JY48" s="4"/>
      <c r="JZ48" s="4"/>
      <c r="KA48" s="4"/>
      <c r="KF48" s="7" t="s">
        <v>500</v>
      </c>
      <c r="KJ48" s="7" t="s">
        <v>649</v>
      </c>
      <c r="MY48" t="s">
        <v>684</v>
      </c>
      <c r="MZ48">
        <v>42</v>
      </c>
      <c r="NB48" t="s">
        <v>685</v>
      </c>
      <c r="NG48" t="s">
        <v>686</v>
      </c>
      <c r="NH48" t="s">
        <v>687</v>
      </c>
      <c r="NJ48" t="s">
        <v>688</v>
      </c>
      <c r="NL48" s="4" t="s">
        <v>689</v>
      </c>
      <c r="NM48" t="s">
        <v>690</v>
      </c>
      <c r="NV48" t="s">
        <v>518</v>
      </c>
      <c r="NW48">
        <v>32</v>
      </c>
      <c r="NX48" s="4" t="s">
        <v>520</v>
      </c>
      <c r="NY48">
        <v>4</v>
      </c>
      <c r="OB48">
        <v>4</v>
      </c>
      <c r="OU48" t="s">
        <v>691</v>
      </c>
      <c r="OW48">
        <v>1997</v>
      </c>
      <c r="OZ48" s="2" t="s">
        <v>692</v>
      </c>
      <c r="PB48" t="s">
        <v>522</v>
      </c>
      <c r="PC48" s="50">
        <v>46094</v>
      </c>
    </row>
    <row r="49" spans="1:419" ht="15.75" thickBot="1">
      <c r="A49" s="11" t="s">
        <v>665</v>
      </c>
      <c r="B49" t="s">
        <v>666</v>
      </c>
      <c r="C49" t="s">
        <v>667</v>
      </c>
      <c r="D49" s="4" t="s">
        <v>668</v>
      </c>
      <c r="E49" t="s">
        <v>669</v>
      </c>
      <c r="F49" s="88" t="s">
        <v>670</v>
      </c>
      <c r="G49" t="s">
        <v>475</v>
      </c>
      <c r="H49" t="s">
        <v>476</v>
      </c>
      <c r="I49" s="10">
        <v>0.1</v>
      </c>
      <c r="J49" s="10">
        <v>34.566667000000002</v>
      </c>
      <c r="K49">
        <v>150</v>
      </c>
      <c r="AV49" t="s">
        <v>671</v>
      </c>
      <c r="AW49">
        <v>100</v>
      </c>
      <c r="AX49" t="s">
        <v>480</v>
      </c>
      <c r="AY49">
        <v>4</v>
      </c>
      <c r="AZ49" t="s">
        <v>672</v>
      </c>
      <c r="BA49">
        <v>1994</v>
      </c>
      <c r="BB49">
        <v>1998</v>
      </c>
      <c r="BC49" t="s">
        <v>673</v>
      </c>
      <c r="BD49" s="10" t="s">
        <v>704</v>
      </c>
      <c r="BE49" t="s">
        <v>524</v>
      </c>
      <c r="BF49" s="3" t="s">
        <v>484</v>
      </c>
      <c r="BG49" t="s">
        <v>485</v>
      </c>
      <c r="BH49" t="s">
        <v>675</v>
      </c>
      <c r="BI49" s="4" t="s">
        <v>486</v>
      </c>
      <c r="BJ49" s="9">
        <v>53000</v>
      </c>
      <c r="HQ49" t="s">
        <v>677</v>
      </c>
      <c r="HS49" s="4" t="s">
        <v>490</v>
      </c>
      <c r="HT49" s="50">
        <v>34335</v>
      </c>
      <c r="HU49" s="50">
        <v>36160</v>
      </c>
      <c r="HV49" s="50"/>
      <c r="HW49" s="50"/>
      <c r="IO49" t="s">
        <v>700</v>
      </c>
      <c r="IP49" s="46" t="s">
        <v>492</v>
      </c>
      <c r="IU49" s="4" t="s">
        <v>544</v>
      </c>
      <c r="IV49" t="s">
        <v>700</v>
      </c>
      <c r="IW49" s="46" t="s">
        <v>492</v>
      </c>
      <c r="JA49">
        <v>0</v>
      </c>
      <c r="JB49">
        <v>0</v>
      </c>
      <c r="JC49">
        <v>0</v>
      </c>
      <c r="JD49">
        <v>0</v>
      </c>
      <c r="JE49">
        <v>0</v>
      </c>
      <c r="JF49">
        <v>0</v>
      </c>
      <c r="JG49">
        <v>0</v>
      </c>
      <c r="JH49">
        <v>0</v>
      </c>
      <c r="JI49">
        <v>0</v>
      </c>
      <c r="JK49" s="12" t="s">
        <v>682</v>
      </c>
      <c r="JP49" s="4"/>
      <c r="JV49" s="4"/>
      <c r="JW49" s="4"/>
      <c r="JX49" s="4"/>
      <c r="JY49" s="4"/>
      <c r="JZ49" s="4"/>
      <c r="KA49" s="4"/>
      <c r="KF49" s="7" t="s">
        <v>500</v>
      </c>
      <c r="KJ49" s="7" t="s">
        <v>649</v>
      </c>
      <c r="MY49" t="s">
        <v>684</v>
      </c>
      <c r="MZ49">
        <v>42</v>
      </c>
      <c r="NB49" t="s">
        <v>685</v>
      </c>
      <c r="NG49" t="s">
        <v>686</v>
      </c>
      <c r="NH49" t="s">
        <v>687</v>
      </c>
      <c r="NJ49" t="s">
        <v>688</v>
      </c>
      <c r="NL49" s="4" t="s">
        <v>689</v>
      </c>
      <c r="NM49" t="s">
        <v>690</v>
      </c>
      <c r="NU49" t="s">
        <v>517</v>
      </c>
      <c r="NV49" t="s">
        <v>518</v>
      </c>
      <c r="NW49">
        <v>39</v>
      </c>
      <c r="NX49" s="4" t="s">
        <v>520</v>
      </c>
      <c r="NY49">
        <v>9</v>
      </c>
      <c r="OB49">
        <v>4</v>
      </c>
      <c r="OU49" t="s">
        <v>691</v>
      </c>
      <c r="OW49">
        <v>1997</v>
      </c>
      <c r="OZ49" s="2" t="s">
        <v>692</v>
      </c>
      <c r="PB49" t="s">
        <v>522</v>
      </c>
      <c r="PC49" s="50">
        <v>46094</v>
      </c>
    </row>
    <row r="50" spans="1:419" ht="15.75" thickBot="1">
      <c r="A50" s="11" t="s">
        <v>665</v>
      </c>
      <c r="B50" t="s">
        <v>666</v>
      </c>
      <c r="C50" t="s">
        <v>667</v>
      </c>
      <c r="D50" s="4" t="s">
        <v>668</v>
      </c>
      <c r="E50" t="s">
        <v>669</v>
      </c>
      <c r="F50" s="88" t="s">
        <v>670</v>
      </c>
      <c r="G50" t="s">
        <v>475</v>
      </c>
      <c r="H50" t="s">
        <v>476</v>
      </c>
      <c r="I50" s="10">
        <v>0.1</v>
      </c>
      <c r="J50" s="10">
        <v>34.566667000000002</v>
      </c>
      <c r="K50">
        <v>150</v>
      </c>
      <c r="AV50" t="s">
        <v>671</v>
      </c>
      <c r="AW50">
        <v>100</v>
      </c>
      <c r="AX50" t="s">
        <v>480</v>
      </c>
      <c r="AY50">
        <v>4</v>
      </c>
      <c r="AZ50" t="s">
        <v>672</v>
      </c>
      <c r="BA50">
        <v>1994</v>
      </c>
      <c r="BB50">
        <v>1998</v>
      </c>
      <c r="BC50" t="s">
        <v>673</v>
      </c>
      <c r="BD50" s="10" t="s">
        <v>705</v>
      </c>
      <c r="BE50" t="s">
        <v>483</v>
      </c>
      <c r="BF50" s="3" t="s">
        <v>484</v>
      </c>
      <c r="BG50" t="s">
        <v>485</v>
      </c>
      <c r="BH50" t="s">
        <v>675</v>
      </c>
      <c r="BI50" s="4" t="s">
        <v>486</v>
      </c>
      <c r="BJ50" s="9">
        <v>53000</v>
      </c>
      <c r="HQ50" t="s">
        <v>677</v>
      </c>
      <c r="HS50" s="4" t="s">
        <v>490</v>
      </c>
      <c r="HT50" s="50">
        <v>34335</v>
      </c>
      <c r="HU50" s="50">
        <v>36160</v>
      </c>
      <c r="HV50" s="50"/>
      <c r="HW50" s="50"/>
      <c r="IO50" t="s">
        <v>706</v>
      </c>
      <c r="IP50" s="46" t="s">
        <v>492</v>
      </c>
      <c r="IU50" s="4" t="s">
        <v>544</v>
      </c>
      <c r="IV50" t="s">
        <v>707</v>
      </c>
      <c r="IW50" s="46" t="s">
        <v>492</v>
      </c>
      <c r="JA50">
        <v>0</v>
      </c>
      <c r="JB50">
        <v>0</v>
      </c>
      <c r="JC50">
        <v>0</v>
      </c>
      <c r="JD50">
        <v>0</v>
      </c>
      <c r="JE50">
        <v>0</v>
      </c>
      <c r="JF50">
        <v>0</v>
      </c>
      <c r="JG50">
        <v>0</v>
      </c>
      <c r="JH50">
        <v>0</v>
      </c>
      <c r="JI50">
        <v>0</v>
      </c>
      <c r="JJ50" t="s">
        <v>706</v>
      </c>
      <c r="JK50" t="s">
        <v>494</v>
      </c>
      <c r="JL50" s="8" t="s">
        <v>495</v>
      </c>
      <c r="JP50" s="4" t="s">
        <v>508</v>
      </c>
      <c r="JQ50">
        <v>60</v>
      </c>
      <c r="JT50">
        <v>60</v>
      </c>
      <c r="JV50" s="4"/>
      <c r="JW50" s="4"/>
      <c r="JX50" s="4"/>
      <c r="JY50" s="4"/>
      <c r="JZ50" s="4"/>
      <c r="KA50" s="4"/>
      <c r="KF50" s="7" t="s">
        <v>500</v>
      </c>
      <c r="KJ50" s="7" t="s">
        <v>649</v>
      </c>
      <c r="MY50" t="s">
        <v>684</v>
      </c>
      <c r="MZ50">
        <v>42</v>
      </c>
      <c r="NB50" t="s">
        <v>685</v>
      </c>
      <c r="NG50" t="s">
        <v>686</v>
      </c>
      <c r="NH50" t="s">
        <v>687</v>
      </c>
      <c r="NJ50" t="s">
        <v>688</v>
      </c>
      <c r="NL50" s="4" t="s">
        <v>689</v>
      </c>
      <c r="NM50" t="s">
        <v>690</v>
      </c>
      <c r="NU50" t="s">
        <v>708</v>
      </c>
      <c r="NV50" t="s">
        <v>518</v>
      </c>
      <c r="NW50">
        <v>14</v>
      </c>
      <c r="NX50" s="4" t="s">
        <v>520</v>
      </c>
      <c r="NY50">
        <v>5</v>
      </c>
      <c r="OB50">
        <v>4</v>
      </c>
      <c r="OU50" t="s">
        <v>691</v>
      </c>
      <c r="OW50">
        <v>1997</v>
      </c>
      <c r="OZ50" s="2" t="s">
        <v>692</v>
      </c>
      <c r="PB50" t="s">
        <v>522</v>
      </c>
      <c r="PC50" s="50">
        <v>46094</v>
      </c>
    </row>
    <row r="51" spans="1:419" ht="15.75" thickBot="1">
      <c r="A51" s="11" t="s">
        <v>665</v>
      </c>
      <c r="B51" t="s">
        <v>666</v>
      </c>
      <c r="C51" t="s">
        <v>667</v>
      </c>
      <c r="D51" s="4" t="s">
        <v>668</v>
      </c>
      <c r="E51" t="s">
        <v>669</v>
      </c>
      <c r="F51" s="88" t="s">
        <v>670</v>
      </c>
      <c r="G51" t="s">
        <v>475</v>
      </c>
      <c r="H51" t="s">
        <v>476</v>
      </c>
      <c r="I51" s="10">
        <v>0.1</v>
      </c>
      <c r="J51" s="10">
        <v>34.566667000000002</v>
      </c>
      <c r="K51">
        <v>150</v>
      </c>
      <c r="AV51" t="s">
        <v>671</v>
      </c>
      <c r="AW51">
        <v>100</v>
      </c>
      <c r="AX51" t="s">
        <v>480</v>
      </c>
      <c r="AY51">
        <v>4</v>
      </c>
      <c r="AZ51" t="s">
        <v>672</v>
      </c>
      <c r="BA51">
        <v>1994</v>
      </c>
      <c r="BB51">
        <v>1998</v>
      </c>
      <c r="BC51" t="s">
        <v>673</v>
      </c>
      <c r="BD51" s="10" t="s">
        <v>674</v>
      </c>
      <c r="BE51" t="s">
        <v>536</v>
      </c>
      <c r="BF51" s="3" t="s">
        <v>484</v>
      </c>
      <c r="BG51" t="s">
        <v>485</v>
      </c>
      <c r="BH51" t="s">
        <v>675</v>
      </c>
      <c r="BI51" s="4" t="s">
        <v>486</v>
      </c>
      <c r="BJ51" s="9">
        <v>53000</v>
      </c>
      <c r="ED51" t="s">
        <v>676</v>
      </c>
      <c r="EE51" s="4" t="s">
        <v>486</v>
      </c>
      <c r="EF51" s="9">
        <v>53000</v>
      </c>
      <c r="EG51" s="9"/>
      <c r="EH51" s="9"/>
      <c r="EI51" s="9"/>
      <c r="EJ51" s="9"/>
      <c r="EK51" s="9"/>
      <c r="EL51" s="9"/>
      <c r="EM51" s="9"/>
      <c r="EN51" s="9"/>
      <c r="EO51" s="9"/>
      <c r="EP51" s="9"/>
      <c r="EQ51" s="9"/>
      <c r="ER51" s="9"/>
      <c r="ES51" s="9"/>
      <c r="ET51" s="9"/>
      <c r="EU51" s="9"/>
      <c r="EV51" s="9"/>
      <c r="EW51" s="9"/>
      <c r="EX51" s="9"/>
      <c r="EY51" s="9"/>
      <c r="EZ51" s="9"/>
      <c r="FA51" s="9"/>
      <c r="FB51" s="9"/>
      <c r="FC51" s="9"/>
      <c r="FD51" s="9"/>
      <c r="FE51" s="9"/>
      <c r="FF51" s="9"/>
      <c r="FG51" s="9"/>
      <c r="FH51" s="9"/>
      <c r="FI51" s="9"/>
      <c r="FJ51" s="9"/>
      <c r="FK51" s="9"/>
      <c r="FL51" s="9"/>
      <c r="FM51" s="9"/>
      <c r="FN51" s="9"/>
      <c r="FO51" s="9"/>
      <c r="FP51" s="9"/>
      <c r="FQ51" s="9"/>
      <c r="FR51" s="9"/>
      <c r="FS51" s="9"/>
      <c r="FT51" s="9"/>
      <c r="FU51" s="9"/>
      <c r="FV51" s="9"/>
      <c r="FW51" s="9"/>
      <c r="FX51" s="9"/>
      <c r="FY51" s="9"/>
      <c r="FZ51" s="9"/>
      <c r="GA51" s="9"/>
      <c r="GB51" s="9"/>
      <c r="GC51" s="9"/>
      <c r="GD51" s="9"/>
      <c r="GE51" s="9"/>
      <c r="GF51" s="9"/>
      <c r="GG51" s="9"/>
      <c r="GH51" s="9"/>
      <c r="GI51" s="9"/>
      <c r="GJ51" s="9"/>
      <c r="GK51" s="9"/>
      <c r="GL51" s="9"/>
      <c r="GM51" s="9"/>
      <c r="GN51" s="9"/>
      <c r="GO51" s="9"/>
      <c r="GP51" s="9"/>
      <c r="GQ51" s="9"/>
      <c r="GR51" s="9"/>
      <c r="GS51" s="9"/>
      <c r="GT51" s="9"/>
      <c r="GU51" s="9"/>
      <c r="GV51" s="9"/>
      <c r="GW51" s="9"/>
      <c r="GX51" s="9"/>
      <c r="GY51" s="9"/>
      <c r="GZ51" s="9"/>
      <c r="HA51" s="9"/>
      <c r="HB51" s="9"/>
      <c r="HC51" s="9"/>
      <c r="HD51" s="9"/>
      <c r="HE51" s="9"/>
      <c r="HF51" s="9"/>
      <c r="HG51" s="9"/>
      <c r="HH51" s="9"/>
      <c r="HI51" s="9"/>
      <c r="HJ51" s="9"/>
      <c r="HQ51" t="s">
        <v>677</v>
      </c>
      <c r="HS51" s="4" t="s">
        <v>490</v>
      </c>
      <c r="HT51" s="50">
        <v>34335</v>
      </c>
      <c r="HU51" s="50">
        <v>36160</v>
      </c>
      <c r="HV51" s="50"/>
      <c r="HW51" s="50"/>
      <c r="IN51" s="4"/>
      <c r="IO51" t="s">
        <v>678</v>
      </c>
      <c r="IP51" s="12" t="s">
        <v>679</v>
      </c>
      <c r="IS51">
        <v>1995</v>
      </c>
      <c r="IT51">
        <v>1995.2</v>
      </c>
      <c r="IU51" s="4" t="s">
        <v>544</v>
      </c>
      <c r="IV51" t="s">
        <v>680</v>
      </c>
      <c r="IW51" s="12" t="s">
        <v>681</v>
      </c>
      <c r="IZ51">
        <v>0.5</v>
      </c>
      <c r="JA51" t="s">
        <v>480</v>
      </c>
      <c r="JB51" t="s">
        <v>480</v>
      </c>
      <c r="JC51" t="s">
        <v>480</v>
      </c>
      <c r="JD51" t="s">
        <v>480</v>
      </c>
      <c r="JE51" t="s">
        <v>480</v>
      </c>
      <c r="JF51" t="s">
        <v>480</v>
      </c>
      <c r="JG51" t="s">
        <v>480</v>
      </c>
      <c r="JH51" t="s">
        <v>480</v>
      </c>
      <c r="JI51" t="s">
        <v>480</v>
      </c>
      <c r="JK51" s="12" t="s">
        <v>682</v>
      </c>
      <c r="JP51" s="4"/>
      <c r="JV51" s="4"/>
      <c r="JW51" s="4"/>
      <c r="JX51" s="4"/>
      <c r="JY51" s="4"/>
      <c r="JZ51" s="4"/>
      <c r="KA51" s="4"/>
      <c r="KF51" s="7" t="s">
        <v>500</v>
      </c>
      <c r="KJ51" s="45" t="s">
        <v>683</v>
      </c>
      <c r="KK51" s="8" t="s">
        <v>562</v>
      </c>
      <c r="KL51" t="s">
        <v>480</v>
      </c>
      <c r="KM51" t="s">
        <v>480</v>
      </c>
      <c r="MY51" t="s">
        <v>684</v>
      </c>
      <c r="MZ51">
        <v>42</v>
      </c>
      <c r="NB51" t="s">
        <v>685</v>
      </c>
      <c r="NG51" t="s">
        <v>686</v>
      </c>
      <c r="NH51" t="s">
        <v>687</v>
      </c>
      <c r="NJ51" t="s">
        <v>688</v>
      </c>
      <c r="NL51" s="4" t="s">
        <v>689</v>
      </c>
      <c r="NM51" t="s">
        <v>690</v>
      </c>
      <c r="NV51" t="s">
        <v>518</v>
      </c>
      <c r="NW51">
        <v>18</v>
      </c>
      <c r="NX51" s="4" t="s">
        <v>520</v>
      </c>
      <c r="NY51">
        <v>5</v>
      </c>
      <c r="OB51">
        <v>4</v>
      </c>
      <c r="OU51" t="s">
        <v>691</v>
      </c>
      <c r="OW51">
        <v>1997</v>
      </c>
      <c r="OZ51" t="s">
        <v>709</v>
      </c>
      <c r="PB51" t="s">
        <v>522</v>
      </c>
      <c r="PC51" s="50">
        <v>46094</v>
      </c>
    </row>
    <row r="52" spans="1:419" ht="15.75" thickBot="1">
      <c r="A52" s="11" t="s">
        <v>665</v>
      </c>
      <c r="B52" t="s">
        <v>666</v>
      </c>
      <c r="C52" t="s">
        <v>667</v>
      </c>
      <c r="D52" s="4" t="s">
        <v>668</v>
      </c>
      <c r="E52" t="s">
        <v>669</v>
      </c>
      <c r="F52" s="88" t="s">
        <v>670</v>
      </c>
      <c r="G52" t="s">
        <v>475</v>
      </c>
      <c r="H52" t="s">
        <v>476</v>
      </c>
      <c r="I52" s="10">
        <v>0.1</v>
      </c>
      <c r="J52" s="10">
        <v>34.566667000000002</v>
      </c>
      <c r="K52">
        <v>150</v>
      </c>
      <c r="AV52" t="s">
        <v>671</v>
      </c>
      <c r="AW52">
        <v>100</v>
      </c>
      <c r="AX52" t="s">
        <v>480</v>
      </c>
      <c r="AY52">
        <v>4</v>
      </c>
      <c r="AZ52" t="s">
        <v>672</v>
      </c>
      <c r="BA52">
        <v>1994</v>
      </c>
      <c r="BB52">
        <v>1998</v>
      </c>
      <c r="BC52" t="s">
        <v>673</v>
      </c>
      <c r="BD52" s="10" t="s">
        <v>693</v>
      </c>
      <c r="BE52" t="s">
        <v>566</v>
      </c>
      <c r="BF52" s="3" t="s">
        <v>484</v>
      </c>
      <c r="BG52" t="s">
        <v>485</v>
      </c>
      <c r="BH52" t="s">
        <v>675</v>
      </c>
      <c r="BI52" s="4" t="s">
        <v>486</v>
      </c>
      <c r="BJ52" s="9">
        <v>53000</v>
      </c>
      <c r="ED52" t="s">
        <v>676</v>
      </c>
      <c r="EE52" s="4" t="s">
        <v>486</v>
      </c>
      <c r="EF52" s="9">
        <v>53000</v>
      </c>
      <c r="EG52" s="9"/>
      <c r="EH52" s="9"/>
      <c r="EI52" s="9"/>
      <c r="EJ52" s="9"/>
      <c r="EK52" s="9"/>
      <c r="EL52" s="9"/>
      <c r="EM52" s="9"/>
      <c r="EN52" s="9"/>
      <c r="EO52" s="9"/>
      <c r="EP52" s="9"/>
      <c r="EQ52" s="9"/>
      <c r="ER52" s="9"/>
      <c r="ES52" s="9"/>
      <c r="ET52" s="9"/>
      <c r="EU52" s="9"/>
      <c r="EV52" s="9"/>
      <c r="EW52" s="9"/>
      <c r="EX52" s="9"/>
      <c r="EY52" s="9"/>
      <c r="EZ52" s="9"/>
      <c r="FA52" s="9"/>
      <c r="FB52" s="9"/>
      <c r="FC52" s="9"/>
      <c r="FD52" s="9"/>
      <c r="FE52" s="9"/>
      <c r="FF52" s="9"/>
      <c r="FG52" s="9"/>
      <c r="FH52" s="9"/>
      <c r="FI52" s="9"/>
      <c r="FJ52" s="9"/>
      <c r="FK52" s="9"/>
      <c r="FL52" s="9"/>
      <c r="FM52" s="9"/>
      <c r="FN52" s="9"/>
      <c r="FO52" s="9"/>
      <c r="FP52" s="9"/>
      <c r="FQ52" s="9"/>
      <c r="FR52" s="9"/>
      <c r="FS52" s="9"/>
      <c r="FT52" s="9"/>
      <c r="FU52" s="9"/>
      <c r="FV52" s="9"/>
      <c r="FW52" s="9"/>
      <c r="FX52" s="9"/>
      <c r="FY52" s="9"/>
      <c r="FZ52" s="9"/>
      <c r="GA52" s="9"/>
      <c r="GB52" s="9"/>
      <c r="GC52" s="9"/>
      <c r="GD52" s="9"/>
      <c r="GE52" s="9"/>
      <c r="GF52" s="9"/>
      <c r="GG52" s="9"/>
      <c r="GH52" s="9"/>
      <c r="GI52" s="9"/>
      <c r="GJ52" s="9"/>
      <c r="GK52" s="9"/>
      <c r="GL52" s="9"/>
      <c r="GM52" s="9"/>
      <c r="GN52" s="9"/>
      <c r="GO52" s="9"/>
      <c r="GP52" s="9"/>
      <c r="GQ52" s="9"/>
      <c r="GR52" s="9"/>
      <c r="GS52" s="9"/>
      <c r="GT52" s="9"/>
      <c r="GU52" s="9"/>
      <c r="GV52" s="9"/>
      <c r="GW52" s="9"/>
      <c r="GX52" s="9"/>
      <c r="GY52" s="9"/>
      <c r="GZ52" s="9"/>
      <c r="HA52" s="9"/>
      <c r="HB52" s="9"/>
      <c r="HC52" s="9"/>
      <c r="HD52" s="9"/>
      <c r="HE52" s="9"/>
      <c r="HF52" s="9"/>
      <c r="HG52" s="9"/>
      <c r="HH52" s="9"/>
      <c r="HI52" s="9"/>
      <c r="HJ52" s="9"/>
      <c r="HQ52" t="s">
        <v>677</v>
      </c>
      <c r="HS52" s="4" t="s">
        <v>490</v>
      </c>
      <c r="HT52" s="50">
        <v>34335</v>
      </c>
      <c r="HU52" s="50">
        <v>36160</v>
      </c>
      <c r="HV52" s="50"/>
      <c r="HW52" s="50"/>
      <c r="IN52" s="4"/>
      <c r="IO52" t="s">
        <v>694</v>
      </c>
      <c r="IP52" s="12" t="s">
        <v>695</v>
      </c>
      <c r="IS52">
        <v>1994</v>
      </c>
      <c r="IT52">
        <v>1994.2</v>
      </c>
      <c r="IU52" s="4" t="s">
        <v>544</v>
      </c>
      <c r="IV52" t="s">
        <v>696</v>
      </c>
      <c r="IW52" s="12" t="s">
        <v>681</v>
      </c>
      <c r="IZ52">
        <v>0.5</v>
      </c>
      <c r="JA52" t="s">
        <v>480</v>
      </c>
      <c r="JB52" t="s">
        <v>480</v>
      </c>
      <c r="JC52" t="s">
        <v>480</v>
      </c>
      <c r="JD52" t="s">
        <v>480</v>
      </c>
      <c r="JE52" t="s">
        <v>480</v>
      </c>
      <c r="JF52" t="s">
        <v>480</v>
      </c>
      <c r="JG52" t="s">
        <v>480</v>
      </c>
      <c r="JH52" t="s">
        <v>480</v>
      </c>
      <c r="JI52" t="s">
        <v>480</v>
      </c>
      <c r="JK52" s="12" t="s">
        <v>682</v>
      </c>
      <c r="JP52" s="4"/>
      <c r="JV52" s="4"/>
      <c r="JW52" s="4"/>
      <c r="JX52" s="4"/>
      <c r="JY52" s="4"/>
      <c r="JZ52" s="4"/>
      <c r="KA52" s="4"/>
      <c r="KF52" s="7" t="s">
        <v>500</v>
      </c>
      <c r="KJ52" s="45" t="s">
        <v>683</v>
      </c>
      <c r="KK52" s="8" t="s">
        <v>562</v>
      </c>
      <c r="KL52" t="s">
        <v>480</v>
      </c>
      <c r="KM52" t="s">
        <v>480</v>
      </c>
      <c r="MY52" t="s">
        <v>684</v>
      </c>
      <c r="MZ52">
        <v>42</v>
      </c>
      <c r="NB52" t="s">
        <v>685</v>
      </c>
      <c r="NG52" t="s">
        <v>686</v>
      </c>
      <c r="NH52" t="s">
        <v>687</v>
      </c>
      <c r="NJ52" t="s">
        <v>688</v>
      </c>
      <c r="NL52" s="4" t="s">
        <v>689</v>
      </c>
      <c r="NM52" t="s">
        <v>690</v>
      </c>
      <c r="NV52" t="s">
        <v>518</v>
      </c>
      <c r="NW52">
        <v>12</v>
      </c>
      <c r="NX52" s="4" t="s">
        <v>520</v>
      </c>
      <c r="NY52">
        <v>2</v>
      </c>
      <c r="OB52">
        <v>4</v>
      </c>
      <c r="OU52" t="s">
        <v>691</v>
      </c>
      <c r="OW52">
        <v>1997</v>
      </c>
      <c r="OZ52" t="s">
        <v>709</v>
      </c>
      <c r="PB52" t="s">
        <v>522</v>
      </c>
      <c r="PC52" s="50">
        <v>46094</v>
      </c>
    </row>
    <row r="53" spans="1:419" ht="15.75" thickBot="1">
      <c r="A53" s="11" t="s">
        <v>665</v>
      </c>
      <c r="B53" t="s">
        <v>666</v>
      </c>
      <c r="C53" t="s">
        <v>667</v>
      </c>
      <c r="D53" s="4" t="s">
        <v>668</v>
      </c>
      <c r="E53" t="s">
        <v>669</v>
      </c>
      <c r="F53" s="88" t="s">
        <v>670</v>
      </c>
      <c r="G53" t="s">
        <v>475</v>
      </c>
      <c r="H53" t="s">
        <v>476</v>
      </c>
      <c r="I53" s="10">
        <v>0.1</v>
      </c>
      <c r="J53" s="10">
        <v>34.566667000000002</v>
      </c>
      <c r="K53">
        <v>150</v>
      </c>
      <c r="AV53" t="s">
        <v>671</v>
      </c>
      <c r="AW53">
        <v>100</v>
      </c>
      <c r="AX53" t="s">
        <v>480</v>
      </c>
      <c r="AY53">
        <v>4</v>
      </c>
      <c r="AZ53" t="s">
        <v>672</v>
      </c>
      <c r="BA53">
        <v>1994</v>
      </c>
      <c r="BB53">
        <v>1998</v>
      </c>
      <c r="BC53" t="s">
        <v>673</v>
      </c>
      <c r="BD53" s="10" t="s">
        <v>697</v>
      </c>
      <c r="BE53" t="s">
        <v>572</v>
      </c>
      <c r="BF53" s="3" t="s">
        <v>484</v>
      </c>
      <c r="BG53" t="s">
        <v>485</v>
      </c>
      <c r="BH53" t="s">
        <v>675</v>
      </c>
      <c r="BI53" s="4" t="s">
        <v>486</v>
      </c>
      <c r="BJ53" s="9">
        <v>53000</v>
      </c>
      <c r="EE53" s="4"/>
      <c r="EF53" s="9"/>
      <c r="EG53" s="9"/>
      <c r="EH53" s="9"/>
      <c r="EI53" s="9"/>
      <c r="EJ53" s="9"/>
      <c r="EK53" s="9"/>
      <c r="EL53" s="9"/>
      <c r="EM53" s="9"/>
      <c r="EN53" s="9"/>
      <c r="EO53" s="9"/>
      <c r="EP53" s="9"/>
      <c r="EQ53" s="9"/>
      <c r="ER53" s="9"/>
      <c r="ES53" s="9"/>
      <c r="ET53" s="9"/>
      <c r="EU53" s="9"/>
      <c r="EV53" s="9"/>
      <c r="EW53" s="9"/>
      <c r="EX53" s="9"/>
      <c r="EY53" s="9"/>
      <c r="EZ53" s="9"/>
      <c r="FA53" s="9"/>
      <c r="FB53" s="9"/>
      <c r="FC53" s="9"/>
      <c r="FD53" s="9"/>
      <c r="FE53" s="9"/>
      <c r="FF53" s="9"/>
      <c r="FG53" s="9"/>
      <c r="FH53" s="9"/>
      <c r="FI53" s="9"/>
      <c r="FJ53" s="9"/>
      <c r="FK53" s="9"/>
      <c r="FL53" s="9"/>
      <c r="FM53" s="9"/>
      <c r="FN53" s="9"/>
      <c r="FO53" s="9"/>
      <c r="FP53" s="9"/>
      <c r="FQ53" s="9"/>
      <c r="FR53" s="9"/>
      <c r="FS53" s="9"/>
      <c r="FT53" s="9"/>
      <c r="FU53" s="9"/>
      <c r="FV53" s="9"/>
      <c r="FW53" s="9"/>
      <c r="FX53" s="9"/>
      <c r="FY53" s="9"/>
      <c r="FZ53" s="9"/>
      <c r="GA53" s="9"/>
      <c r="GB53" s="9"/>
      <c r="GC53" s="9"/>
      <c r="GD53" s="9"/>
      <c r="GE53" s="9"/>
      <c r="GF53" s="9"/>
      <c r="GG53" s="9"/>
      <c r="GH53" s="9"/>
      <c r="GI53" s="9"/>
      <c r="GJ53" s="9"/>
      <c r="GK53" s="9"/>
      <c r="GL53" s="9"/>
      <c r="GM53" s="9"/>
      <c r="GN53" s="9"/>
      <c r="GO53" s="9"/>
      <c r="GP53" s="9"/>
      <c r="GQ53" s="9"/>
      <c r="GR53" s="9"/>
      <c r="GS53" s="9"/>
      <c r="GT53" s="9"/>
      <c r="GU53" s="9"/>
      <c r="GV53" s="9"/>
      <c r="GW53" s="9"/>
      <c r="GX53" s="9"/>
      <c r="GY53" s="9"/>
      <c r="GZ53" s="9"/>
      <c r="HA53" s="9"/>
      <c r="HB53" s="9"/>
      <c r="HC53" s="9"/>
      <c r="HD53" s="9"/>
      <c r="HE53" s="9"/>
      <c r="HF53" s="9"/>
      <c r="HG53" s="9"/>
      <c r="HH53" s="9"/>
      <c r="HI53" s="9"/>
      <c r="HJ53" s="9"/>
      <c r="HQ53" t="s">
        <v>677</v>
      </c>
      <c r="HS53" s="4" t="s">
        <v>490</v>
      </c>
      <c r="HT53" s="50">
        <v>34335</v>
      </c>
      <c r="HU53" s="50">
        <v>36160</v>
      </c>
      <c r="HV53" s="50"/>
      <c r="HW53" s="50"/>
      <c r="IO53" t="s">
        <v>698</v>
      </c>
      <c r="IP53" s="46" t="s">
        <v>699</v>
      </c>
      <c r="IS53">
        <v>1995</v>
      </c>
      <c r="IT53">
        <v>1995.2</v>
      </c>
      <c r="IU53" s="4" t="s">
        <v>544</v>
      </c>
      <c r="IV53" t="s">
        <v>700</v>
      </c>
      <c r="IW53" t="s">
        <v>492</v>
      </c>
      <c r="JA53">
        <v>0</v>
      </c>
      <c r="JB53">
        <v>0</v>
      </c>
      <c r="JC53">
        <v>0</v>
      </c>
      <c r="JD53">
        <v>0</v>
      </c>
      <c r="JE53">
        <v>0</v>
      </c>
      <c r="JF53">
        <v>0</v>
      </c>
      <c r="JG53">
        <v>0</v>
      </c>
      <c r="JH53">
        <v>0</v>
      </c>
      <c r="JI53">
        <v>0</v>
      </c>
      <c r="JK53" s="12" t="s">
        <v>682</v>
      </c>
      <c r="JP53" s="4"/>
      <c r="JV53" s="4"/>
      <c r="JW53" s="4"/>
      <c r="JX53" s="4"/>
      <c r="JY53" s="4"/>
      <c r="JZ53" s="4"/>
      <c r="KA53" s="4"/>
      <c r="KF53" s="7" t="s">
        <v>500</v>
      </c>
      <c r="KJ53" s="7" t="s">
        <v>649</v>
      </c>
      <c r="MY53" t="s">
        <v>684</v>
      </c>
      <c r="MZ53">
        <v>42</v>
      </c>
      <c r="NB53" t="s">
        <v>685</v>
      </c>
      <c r="NG53" t="s">
        <v>686</v>
      </c>
      <c r="NH53" t="s">
        <v>687</v>
      </c>
      <c r="NJ53" t="s">
        <v>688</v>
      </c>
      <c r="NL53" s="4" t="s">
        <v>689</v>
      </c>
      <c r="NM53" t="s">
        <v>690</v>
      </c>
      <c r="NV53" t="s">
        <v>518</v>
      </c>
      <c r="NW53">
        <v>14</v>
      </c>
      <c r="NX53" s="4" t="s">
        <v>520</v>
      </c>
      <c r="NY53">
        <v>5</v>
      </c>
      <c r="OB53">
        <v>4</v>
      </c>
      <c r="OU53" t="s">
        <v>691</v>
      </c>
      <c r="OW53">
        <v>1997</v>
      </c>
      <c r="OZ53" t="s">
        <v>709</v>
      </c>
      <c r="PB53" t="s">
        <v>522</v>
      </c>
      <c r="PC53" s="50">
        <v>46094</v>
      </c>
    </row>
    <row r="54" spans="1:419" ht="15.75" thickBot="1">
      <c r="A54" s="11" t="s">
        <v>665</v>
      </c>
      <c r="B54" t="s">
        <v>666</v>
      </c>
      <c r="C54" t="s">
        <v>667</v>
      </c>
      <c r="D54" s="4" t="s">
        <v>668</v>
      </c>
      <c r="E54" t="s">
        <v>669</v>
      </c>
      <c r="F54" s="88" t="s">
        <v>670</v>
      </c>
      <c r="G54" t="s">
        <v>475</v>
      </c>
      <c r="H54" t="s">
        <v>476</v>
      </c>
      <c r="I54" s="10">
        <v>0.1</v>
      </c>
      <c r="J54" s="10">
        <v>34.566667000000002</v>
      </c>
      <c r="K54">
        <v>150</v>
      </c>
      <c r="AV54" t="s">
        <v>671</v>
      </c>
      <c r="AW54">
        <v>100</v>
      </c>
      <c r="AX54" t="s">
        <v>480</v>
      </c>
      <c r="AY54">
        <v>4</v>
      </c>
      <c r="AZ54" t="s">
        <v>672</v>
      </c>
      <c r="BA54">
        <v>1994</v>
      </c>
      <c r="BB54">
        <v>1998</v>
      </c>
      <c r="BC54" t="s">
        <v>673</v>
      </c>
      <c r="BD54" s="10" t="s">
        <v>701</v>
      </c>
      <c r="BE54" t="s">
        <v>553</v>
      </c>
      <c r="BF54" s="3" t="s">
        <v>484</v>
      </c>
      <c r="BG54" t="s">
        <v>485</v>
      </c>
      <c r="BH54" t="s">
        <v>675</v>
      </c>
      <c r="BI54" s="4" t="s">
        <v>486</v>
      </c>
      <c r="BJ54" s="9">
        <v>53000</v>
      </c>
      <c r="EE54" s="4"/>
      <c r="EF54" s="9"/>
      <c r="EG54" s="9"/>
      <c r="EH54" s="9"/>
      <c r="EI54" s="9"/>
      <c r="EJ54" s="9"/>
      <c r="EK54" s="9"/>
      <c r="EL54" s="9"/>
      <c r="EM54" s="9"/>
      <c r="EN54" s="9"/>
      <c r="EO54" s="9"/>
      <c r="EP54" s="9"/>
      <c r="EQ54" s="9"/>
      <c r="ER54" s="9"/>
      <c r="ES54" s="9"/>
      <c r="ET54" s="9"/>
      <c r="EU54" s="9"/>
      <c r="EV54" s="9"/>
      <c r="EW54" s="9"/>
      <c r="EX54" s="9"/>
      <c r="EY54" s="9"/>
      <c r="EZ54" s="9"/>
      <c r="FA54" s="9"/>
      <c r="FB54" s="9"/>
      <c r="FC54" s="9"/>
      <c r="FD54" s="9"/>
      <c r="FE54" s="9"/>
      <c r="FF54" s="9"/>
      <c r="FG54" s="9"/>
      <c r="FH54" s="9"/>
      <c r="FI54" s="9"/>
      <c r="FJ54" s="9"/>
      <c r="FK54" s="9"/>
      <c r="FL54" s="9"/>
      <c r="FM54" s="9"/>
      <c r="FN54" s="9"/>
      <c r="FO54" s="9"/>
      <c r="FP54" s="9"/>
      <c r="FQ54" s="9"/>
      <c r="FR54" s="9"/>
      <c r="FS54" s="9"/>
      <c r="FT54" s="9"/>
      <c r="FU54" s="9"/>
      <c r="FV54" s="9"/>
      <c r="FW54" s="9"/>
      <c r="FX54" s="9"/>
      <c r="FY54" s="9"/>
      <c r="FZ54" s="9"/>
      <c r="GA54" s="9"/>
      <c r="GB54" s="9"/>
      <c r="GC54" s="9"/>
      <c r="GD54" s="9"/>
      <c r="GE54" s="9"/>
      <c r="GF54" s="9"/>
      <c r="GG54" s="9"/>
      <c r="GH54" s="9"/>
      <c r="GI54" s="9"/>
      <c r="GJ54" s="9"/>
      <c r="GK54" s="9"/>
      <c r="GL54" s="9"/>
      <c r="GM54" s="9"/>
      <c r="GN54" s="9"/>
      <c r="GO54" s="9"/>
      <c r="GP54" s="9"/>
      <c r="GQ54" s="9"/>
      <c r="GR54" s="9"/>
      <c r="GS54" s="9"/>
      <c r="GT54" s="9"/>
      <c r="GU54" s="9"/>
      <c r="GV54" s="9"/>
      <c r="GW54" s="9"/>
      <c r="GX54" s="9"/>
      <c r="GY54" s="9"/>
      <c r="GZ54" s="9"/>
      <c r="HA54" s="9"/>
      <c r="HB54" s="9"/>
      <c r="HC54" s="9"/>
      <c r="HD54" s="9"/>
      <c r="HE54" s="9"/>
      <c r="HF54" s="9"/>
      <c r="HG54" s="9"/>
      <c r="HH54" s="9"/>
      <c r="HI54" s="9"/>
      <c r="HJ54" s="9"/>
      <c r="HQ54" t="s">
        <v>677</v>
      </c>
      <c r="HS54" s="4" t="s">
        <v>490</v>
      </c>
      <c r="HT54" s="50">
        <v>34335</v>
      </c>
      <c r="HU54" s="50">
        <v>36160</v>
      </c>
      <c r="HV54" s="50"/>
      <c r="HW54" s="50"/>
      <c r="IO54" t="s">
        <v>702</v>
      </c>
      <c r="IP54" s="13" t="s">
        <v>703</v>
      </c>
      <c r="IS54">
        <v>1994</v>
      </c>
      <c r="IT54">
        <v>1994.2</v>
      </c>
      <c r="IU54" s="4" t="s">
        <v>544</v>
      </c>
      <c r="IV54" t="s">
        <v>700</v>
      </c>
      <c r="IW54" t="s">
        <v>492</v>
      </c>
      <c r="JA54">
        <v>0</v>
      </c>
      <c r="JB54">
        <v>0</v>
      </c>
      <c r="JC54">
        <v>0</v>
      </c>
      <c r="JD54">
        <v>0</v>
      </c>
      <c r="JE54">
        <v>0</v>
      </c>
      <c r="JF54">
        <v>0</v>
      </c>
      <c r="JG54">
        <v>0</v>
      </c>
      <c r="JH54">
        <v>0</v>
      </c>
      <c r="JI54">
        <v>0</v>
      </c>
      <c r="JK54" s="12" t="s">
        <v>682</v>
      </c>
      <c r="JP54" s="4"/>
      <c r="JV54" s="4"/>
      <c r="JW54" s="4"/>
      <c r="JX54" s="4"/>
      <c r="JY54" s="4"/>
      <c r="JZ54" s="4"/>
      <c r="KA54" s="4"/>
      <c r="KF54" s="7" t="s">
        <v>500</v>
      </c>
      <c r="KJ54" s="7" t="s">
        <v>649</v>
      </c>
      <c r="MY54" t="s">
        <v>684</v>
      </c>
      <c r="MZ54">
        <v>42</v>
      </c>
      <c r="NB54" t="s">
        <v>685</v>
      </c>
      <c r="NG54" t="s">
        <v>686</v>
      </c>
      <c r="NH54" t="s">
        <v>687</v>
      </c>
      <c r="NJ54" t="s">
        <v>688</v>
      </c>
      <c r="NL54" s="4" t="s">
        <v>689</v>
      </c>
      <c r="NM54" t="s">
        <v>690</v>
      </c>
      <c r="NV54" t="s">
        <v>518</v>
      </c>
      <c r="NW54">
        <v>10</v>
      </c>
      <c r="NX54" s="4" t="s">
        <v>520</v>
      </c>
      <c r="NY54">
        <v>3</v>
      </c>
      <c r="OB54">
        <v>4</v>
      </c>
      <c r="OU54" t="s">
        <v>691</v>
      </c>
      <c r="OW54">
        <v>1997</v>
      </c>
      <c r="OZ54" t="s">
        <v>709</v>
      </c>
      <c r="PB54" t="s">
        <v>522</v>
      </c>
      <c r="PC54" s="50">
        <v>46094</v>
      </c>
    </row>
    <row r="55" spans="1:419" ht="15.75" thickBot="1">
      <c r="A55" s="11" t="s">
        <v>665</v>
      </c>
      <c r="B55" t="s">
        <v>666</v>
      </c>
      <c r="C55" t="s">
        <v>667</v>
      </c>
      <c r="D55" s="4" t="s">
        <v>668</v>
      </c>
      <c r="E55" t="s">
        <v>669</v>
      </c>
      <c r="F55" s="88" t="s">
        <v>670</v>
      </c>
      <c r="G55" t="s">
        <v>475</v>
      </c>
      <c r="H55" t="s">
        <v>476</v>
      </c>
      <c r="I55" s="10">
        <v>0.1</v>
      </c>
      <c r="J55" s="10">
        <v>34.566667000000002</v>
      </c>
      <c r="K55">
        <v>150</v>
      </c>
      <c r="AV55" t="s">
        <v>671</v>
      </c>
      <c r="AW55">
        <v>100</v>
      </c>
      <c r="AX55" t="s">
        <v>480</v>
      </c>
      <c r="AY55">
        <v>4</v>
      </c>
      <c r="AZ55" t="s">
        <v>672</v>
      </c>
      <c r="BA55">
        <v>1994</v>
      </c>
      <c r="BB55">
        <v>1998</v>
      </c>
      <c r="BC55" t="s">
        <v>673</v>
      </c>
      <c r="BD55" s="10" t="s">
        <v>704</v>
      </c>
      <c r="BE55" t="s">
        <v>524</v>
      </c>
      <c r="BF55" s="3" t="s">
        <v>484</v>
      </c>
      <c r="BG55" t="s">
        <v>485</v>
      </c>
      <c r="BH55" t="s">
        <v>675</v>
      </c>
      <c r="BI55" s="4" t="s">
        <v>486</v>
      </c>
      <c r="BJ55" s="9">
        <v>53000</v>
      </c>
      <c r="HQ55" t="s">
        <v>677</v>
      </c>
      <c r="HS55" s="4" t="s">
        <v>490</v>
      </c>
      <c r="HT55" s="50">
        <v>34335</v>
      </c>
      <c r="HU55" s="50">
        <v>36160</v>
      </c>
      <c r="HV55" s="50"/>
      <c r="HW55" s="50"/>
      <c r="IO55" t="s">
        <v>700</v>
      </c>
      <c r="IP55" s="46" t="s">
        <v>492</v>
      </c>
      <c r="IU55" s="4" t="s">
        <v>544</v>
      </c>
      <c r="IV55" t="s">
        <v>700</v>
      </c>
      <c r="IW55" s="46" t="s">
        <v>492</v>
      </c>
      <c r="JA55">
        <v>0</v>
      </c>
      <c r="JB55">
        <v>0</v>
      </c>
      <c r="JC55">
        <v>0</v>
      </c>
      <c r="JD55">
        <v>0</v>
      </c>
      <c r="JE55">
        <v>0</v>
      </c>
      <c r="JF55">
        <v>0</v>
      </c>
      <c r="JG55">
        <v>0</v>
      </c>
      <c r="JH55">
        <v>0</v>
      </c>
      <c r="JI55">
        <v>0</v>
      </c>
      <c r="JK55" s="12" t="s">
        <v>682</v>
      </c>
      <c r="JP55" s="4"/>
      <c r="JV55" s="4"/>
      <c r="JW55" s="4"/>
      <c r="JX55" s="4"/>
      <c r="JY55" s="4"/>
      <c r="JZ55" s="4"/>
      <c r="KA55" s="4"/>
      <c r="KF55" s="7" t="s">
        <v>500</v>
      </c>
      <c r="KJ55" s="7" t="s">
        <v>649</v>
      </c>
      <c r="MY55" t="s">
        <v>684</v>
      </c>
      <c r="MZ55">
        <v>42</v>
      </c>
      <c r="NB55" t="s">
        <v>685</v>
      </c>
      <c r="NG55" t="s">
        <v>686</v>
      </c>
      <c r="NH55" t="s">
        <v>687</v>
      </c>
      <c r="NJ55" t="s">
        <v>688</v>
      </c>
      <c r="NL55" s="4" t="s">
        <v>689</v>
      </c>
      <c r="NM55" t="s">
        <v>690</v>
      </c>
      <c r="NU55" t="s">
        <v>517</v>
      </c>
      <c r="NV55" t="s">
        <v>518</v>
      </c>
      <c r="NW55">
        <v>12</v>
      </c>
      <c r="NX55" s="4" t="s">
        <v>520</v>
      </c>
      <c r="NY55">
        <v>4</v>
      </c>
      <c r="OB55">
        <v>4</v>
      </c>
      <c r="OU55" t="s">
        <v>691</v>
      </c>
      <c r="OW55">
        <v>1997</v>
      </c>
      <c r="OZ55" t="s">
        <v>709</v>
      </c>
      <c r="PB55" t="s">
        <v>522</v>
      </c>
      <c r="PC55" s="50">
        <v>46094</v>
      </c>
    </row>
    <row r="56" spans="1:419" ht="15.75" thickBot="1">
      <c r="A56" s="11" t="s">
        <v>665</v>
      </c>
      <c r="B56" t="s">
        <v>666</v>
      </c>
      <c r="C56" t="s">
        <v>667</v>
      </c>
      <c r="D56" s="4" t="s">
        <v>668</v>
      </c>
      <c r="E56" t="s">
        <v>669</v>
      </c>
      <c r="F56" s="88" t="s">
        <v>670</v>
      </c>
      <c r="G56" t="s">
        <v>475</v>
      </c>
      <c r="H56" t="s">
        <v>476</v>
      </c>
      <c r="I56" s="10">
        <v>0.1</v>
      </c>
      <c r="J56" s="10">
        <v>34.566667000000002</v>
      </c>
      <c r="K56">
        <v>150</v>
      </c>
      <c r="AV56" t="s">
        <v>671</v>
      </c>
      <c r="AW56">
        <v>100</v>
      </c>
      <c r="AX56" t="s">
        <v>480</v>
      </c>
      <c r="AY56">
        <v>4</v>
      </c>
      <c r="AZ56" t="s">
        <v>672</v>
      </c>
      <c r="BA56">
        <v>1994</v>
      </c>
      <c r="BB56">
        <v>1998</v>
      </c>
      <c r="BC56" t="s">
        <v>673</v>
      </c>
      <c r="BD56" s="10" t="s">
        <v>705</v>
      </c>
      <c r="BE56" t="s">
        <v>483</v>
      </c>
      <c r="BF56" s="3" t="s">
        <v>484</v>
      </c>
      <c r="BG56" t="s">
        <v>485</v>
      </c>
      <c r="BH56" t="s">
        <v>675</v>
      </c>
      <c r="BI56" s="4" t="s">
        <v>486</v>
      </c>
      <c r="BJ56" s="9">
        <v>53000</v>
      </c>
      <c r="HQ56" t="s">
        <v>677</v>
      </c>
      <c r="HS56" s="4" t="s">
        <v>490</v>
      </c>
      <c r="HT56" s="50">
        <v>34335</v>
      </c>
      <c r="HU56" s="50">
        <v>36160</v>
      </c>
      <c r="HV56" s="50"/>
      <c r="HW56" s="50"/>
      <c r="IO56" t="s">
        <v>706</v>
      </c>
      <c r="IP56" s="46" t="s">
        <v>492</v>
      </c>
      <c r="IU56" s="4" t="s">
        <v>544</v>
      </c>
      <c r="IV56" t="s">
        <v>707</v>
      </c>
      <c r="IW56" s="46" t="s">
        <v>492</v>
      </c>
      <c r="JA56">
        <v>0</v>
      </c>
      <c r="JB56">
        <v>0</v>
      </c>
      <c r="JC56">
        <v>0</v>
      </c>
      <c r="JD56">
        <v>0</v>
      </c>
      <c r="JE56">
        <v>0</v>
      </c>
      <c r="JF56">
        <v>0</v>
      </c>
      <c r="JG56">
        <v>0</v>
      </c>
      <c r="JH56">
        <v>0</v>
      </c>
      <c r="JI56">
        <v>0</v>
      </c>
      <c r="JJ56" t="s">
        <v>706</v>
      </c>
      <c r="JK56" t="s">
        <v>494</v>
      </c>
      <c r="JL56" s="8" t="s">
        <v>495</v>
      </c>
      <c r="JP56" s="4" t="s">
        <v>508</v>
      </c>
      <c r="JQ56">
        <v>60</v>
      </c>
      <c r="JT56">
        <v>60</v>
      </c>
      <c r="JV56" s="4"/>
      <c r="JW56" s="4"/>
      <c r="JX56" s="4"/>
      <c r="JY56" s="4"/>
      <c r="JZ56" s="4"/>
      <c r="KA56" s="4"/>
      <c r="KF56" s="7" t="s">
        <v>500</v>
      </c>
      <c r="KJ56" s="7" t="s">
        <v>649</v>
      </c>
      <c r="MY56" t="s">
        <v>684</v>
      </c>
      <c r="MZ56">
        <v>42</v>
      </c>
      <c r="NB56" t="s">
        <v>685</v>
      </c>
      <c r="NG56" t="s">
        <v>686</v>
      </c>
      <c r="NH56" t="s">
        <v>687</v>
      </c>
      <c r="NJ56" t="s">
        <v>688</v>
      </c>
      <c r="NL56" s="4" t="s">
        <v>689</v>
      </c>
      <c r="NM56" t="s">
        <v>690</v>
      </c>
      <c r="NU56" t="s">
        <v>708</v>
      </c>
      <c r="NV56" t="s">
        <v>518</v>
      </c>
      <c r="NW56">
        <v>5</v>
      </c>
      <c r="NX56" s="4" t="s">
        <v>520</v>
      </c>
      <c r="NY56">
        <v>3</v>
      </c>
      <c r="OB56">
        <v>4</v>
      </c>
      <c r="OU56" t="s">
        <v>691</v>
      </c>
      <c r="OW56">
        <v>1997</v>
      </c>
      <c r="OZ56" t="s">
        <v>709</v>
      </c>
      <c r="PB56" t="s">
        <v>522</v>
      </c>
      <c r="PC56" s="50">
        <v>46094</v>
      </c>
    </row>
    <row r="57" spans="1:419" ht="15.75" thickBot="1">
      <c r="A57" s="11" t="s">
        <v>665</v>
      </c>
      <c r="B57" t="s">
        <v>666</v>
      </c>
      <c r="C57" t="s">
        <v>667</v>
      </c>
      <c r="D57" s="4" t="s">
        <v>668</v>
      </c>
      <c r="E57" t="s">
        <v>669</v>
      </c>
      <c r="F57" s="88" t="s">
        <v>670</v>
      </c>
      <c r="G57" t="s">
        <v>475</v>
      </c>
      <c r="H57" t="s">
        <v>476</v>
      </c>
      <c r="I57" s="10">
        <v>0.1</v>
      </c>
      <c r="J57" s="10">
        <v>34.566667000000002</v>
      </c>
      <c r="K57">
        <v>150</v>
      </c>
      <c r="AV57" t="s">
        <v>671</v>
      </c>
      <c r="AW57">
        <v>100</v>
      </c>
      <c r="AX57" t="s">
        <v>480</v>
      </c>
      <c r="AY57">
        <v>4</v>
      </c>
      <c r="AZ57" t="s">
        <v>672</v>
      </c>
      <c r="BA57">
        <v>1994</v>
      </c>
      <c r="BB57">
        <v>1998</v>
      </c>
      <c r="BC57" t="s">
        <v>673</v>
      </c>
      <c r="BD57" s="10" t="s">
        <v>674</v>
      </c>
      <c r="BE57" t="s">
        <v>536</v>
      </c>
      <c r="BF57" s="3" t="s">
        <v>484</v>
      </c>
      <c r="BG57" t="s">
        <v>485</v>
      </c>
      <c r="BH57" t="s">
        <v>675</v>
      </c>
      <c r="BI57" s="4" t="s">
        <v>486</v>
      </c>
      <c r="BJ57" s="9">
        <v>53000</v>
      </c>
      <c r="ED57" t="s">
        <v>676</v>
      </c>
      <c r="EE57" s="4" t="s">
        <v>486</v>
      </c>
      <c r="EF57" s="9">
        <v>53000</v>
      </c>
      <c r="EG57" s="9"/>
      <c r="EH57" s="9"/>
      <c r="EI57" s="9"/>
      <c r="EJ57" s="9"/>
      <c r="EK57" s="9"/>
      <c r="EL57" s="9"/>
      <c r="EM57" s="9"/>
      <c r="EN57" s="9"/>
      <c r="EO57" s="9"/>
      <c r="EP57" s="9"/>
      <c r="EQ57" s="9"/>
      <c r="ER57" s="9"/>
      <c r="ES57" s="9"/>
      <c r="ET57" s="9"/>
      <c r="EU57" s="9"/>
      <c r="EV57" s="9"/>
      <c r="EW57" s="9"/>
      <c r="EX57" s="9"/>
      <c r="EY57" s="9"/>
      <c r="EZ57" s="9"/>
      <c r="FA57" s="9"/>
      <c r="FB57" s="9"/>
      <c r="FC57" s="9"/>
      <c r="FD57" s="9"/>
      <c r="FE57" s="9"/>
      <c r="FF57" s="9"/>
      <c r="FG57" s="9"/>
      <c r="FH57" s="9"/>
      <c r="FI57" s="9"/>
      <c r="FJ57" s="9"/>
      <c r="FK57" s="9"/>
      <c r="FL57" s="9"/>
      <c r="FM57" s="9"/>
      <c r="FN57" s="9"/>
      <c r="FO57" s="9"/>
      <c r="FP57" s="9"/>
      <c r="FQ57" s="9"/>
      <c r="FR57" s="9"/>
      <c r="FS57" s="9"/>
      <c r="FT57" s="9"/>
      <c r="FU57" s="9"/>
      <c r="FV57" s="9"/>
      <c r="FW57" s="9"/>
      <c r="FX57" s="9"/>
      <c r="FY57" s="9"/>
      <c r="FZ57" s="9"/>
      <c r="GA57" s="9"/>
      <c r="GB57" s="9"/>
      <c r="GC57" s="9"/>
      <c r="GD57" s="9"/>
      <c r="GE57" s="9"/>
      <c r="GF57" s="9"/>
      <c r="GG57" s="9"/>
      <c r="GH57" s="9"/>
      <c r="GI57" s="9"/>
      <c r="GJ57" s="9"/>
      <c r="GK57" s="9"/>
      <c r="GL57" s="9"/>
      <c r="GM57" s="9"/>
      <c r="GN57" s="9"/>
      <c r="GO57" s="9"/>
      <c r="GP57" s="9"/>
      <c r="GQ57" s="9"/>
      <c r="GR57" s="9"/>
      <c r="GS57" s="9"/>
      <c r="GT57" s="9"/>
      <c r="GU57" s="9"/>
      <c r="GV57" s="9"/>
      <c r="GW57" s="9"/>
      <c r="GX57" s="9"/>
      <c r="GY57" s="9"/>
      <c r="GZ57" s="9"/>
      <c r="HA57" s="9"/>
      <c r="HB57" s="9"/>
      <c r="HC57" s="9"/>
      <c r="HD57" s="9"/>
      <c r="HE57" s="9"/>
      <c r="HF57" s="9"/>
      <c r="HG57" s="9"/>
      <c r="HH57" s="9"/>
      <c r="HI57" s="9"/>
      <c r="HJ57" s="9"/>
      <c r="HQ57" t="s">
        <v>677</v>
      </c>
      <c r="HS57" s="4" t="s">
        <v>490</v>
      </c>
      <c r="HT57" s="50">
        <v>34335</v>
      </c>
      <c r="HU57" s="50">
        <v>36160</v>
      </c>
      <c r="HV57" s="50"/>
      <c r="HW57" s="50"/>
      <c r="IN57" s="4"/>
      <c r="IO57" t="s">
        <v>678</v>
      </c>
      <c r="IP57" s="12" t="s">
        <v>679</v>
      </c>
      <c r="IS57">
        <v>1995</v>
      </c>
      <c r="IT57">
        <v>1995.2</v>
      </c>
      <c r="IU57" s="4" t="s">
        <v>544</v>
      </c>
      <c r="IV57" t="s">
        <v>680</v>
      </c>
      <c r="IW57" s="12" t="s">
        <v>681</v>
      </c>
      <c r="IZ57">
        <v>0.5</v>
      </c>
      <c r="JA57" t="s">
        <v>480</v>
      </c>
      <c r="JB57" t="s">
        <v>480</v>
      </c>
      <c r="JC57" t="s">
        <v>480</v>
      </c>
      <c r="JD57" t="s">
        <v>480</v>
      </c>
      <c r="JE57" t="s">
        <v>480</v>
      </c>
      <c r="JF57" t="s">
        <v>480</v>
      </c>
      <c r="JG57" t="s">
        <v>480</v>
      </c>
      <c r="JH57" t="s">
        <v>480</v>
      </c>
      <c r="JI57" t="s">
        <v>480</v>
      </c>
      <c r="JK57" s="12" t="s">
        <v>682</v>
      </c>
      <c r="JP57" s="4"/>
      <c r="JV57" s="4"/>
      <c r="JW57" s="4"/>
      <c r="JX57" s="4"/>
      <c r="JY57" s="4"/>
      <c r="JZ57" s="4"/>
      <c r="KA57" s="4"/>
      <c r="KF57" s="7" t="s">
        <v>500</v>
      </c>
      <c r="KJ57" s="45" t="s">
        <v>683</v>
      </c>
      <c r="KK57" s="8" t="s">
        <v>562</v>
      </c>
      <c r="KL57" t="s">
        <v>480</v>
      </c>
      <c r="KM57" t="s">
        <v>480</v>
      </c>
      <c r="MY57" t="s">
        <v>684</v>
      </c>
      <c r="MZ57">
        <v>42</v>
      </c>
      <c r="NB57" t="s">
        <v>710</v>
      </c>
      <c r="NG57" t="s">
        <v>686</v>
      </c>
      <c r="NH57" t="s">
        <v>711</v>
      </c>
      <c r="NJ57" t="s">
        <v>712</v>
      </c>
      <c r="NL57" s="4" t="s">
        <v>689</v>
      </c>
      <c r="NM57" t="s">
        <v>713</v>
      </c>
      <c r="NN57">
        <v>0</v>
      </c>
      <c r="NO57">
        <v>15</v>
      </c>
      <c r="NV57" t="s">
        <v>518</v>
      </c>
      <c r="NW57">
        <v>48</v>
      </c>
      <c r="NX57" s="4" t="s">
        <v>520</v>
      </c>
      <c r="NY57" s="3">
        <v>24</v>
      </c>
      <c r="OB57">
        <v>4</v>
      </c>
      <c r="OU57" t="s">
        <v>714</v>
      </c>
      <c r="OW57">
        <v>1996</v>
      </c>
      <c r="OZ57" s="2" t="s">
        <v>692</v>
      </c>
      <c r="PB57" t="s">
        <v>522</v>
      </c>
      <c r="PC57" s="50">
        <v>46094</v>
      </c>
    </row>
    <row r="58" spans="1:419" ht="15.75" thickBot="1">
      <c r="A58" s="11" t="s">
        <v>665</v>
      </c>
      <c r="B58" t="s">
        <v>666</v>
      </c>
      <c r="C58" t="s">
        <v>667</v>
      </c>
      <c r="D58" s="4" t="s">
        <v>668</v>
      </c>
      <c r="E58" t="s">
        <v>669</v>
      </c>
      <c r="F58" s="88" t="s">
        <v>670</v>
      </c>
      <c r="G58" t="s">
        <v>475</v>
      </c>
      <c r="H58" t="s">
        <v>476</v>
      </c>
      <c r="I58" s="10">
        <v>0.1</v>
      </c>
      <c r="J58" s="10">
        <v>34.566667000000002</v>
      </c>
      <c r="K58">
        <v>150</v>
      </c>
      <c r="AV58" t="s">
        <v>671</v>
      </c>
      <c r="AW58">
        <v>100</v>
      </c>
      <c r="AX58" t="s">
        <v>480</v>
      </c>
      <c r="AY58">
        <v>4</v>
      </c>
      <c r="AZ58" t="s">
        <v>672</v>
      </c>
      <c r="BA58">
        <v>1994</v>
      </c>
      <c r="BB58">
        <v>1998</v>
      </c>
      <c r="BC58" t="s">
        <v>673</v>
      </c>
      <c r="BD58" s="10" t="s">
        <v>693</v>
      </c>
      <c r="BE58" t="s">
        <v>566</v>
      </c>
      <c r="BF58" s="3" t="s">
        <v>484</v>
      </c>
      <c r="BG58" t="s">
        <v>485</v>
      </c>
      <c r="BH58" t="s">
        <v>675</v>
      </c>
      <c r="BI58" s="4" t="s">
        <v>486</v>
      </c>
      <c r="BJ58" s="9">
        <v>53000</v>
      </c>
      <c r="ED58" t="s">
        <v>676</v>
      </c>
      <c r="EE58" s="4" t="s">
        <v>486</v>
      </c>
      <c r="EF58" s="9">
        <v>53000</v>
      </c>
      <c r="EG58" s="9"/>
      <c r="EH58" s="9"/>
      <c r="EI58" s="9"/>
      <c r="EJ58" s="9"/>
      <c r="EK58" s="9"/>
      <c r="EL58" s="9"/>
      <c r="EM58" s="9"/>
      <c r="EN58" s="9"/>
      <c r="EO58" s="9"/>
      <c r="EP58" s="9"/>
      <c r="EQ58" s="9"/>
      <c r="ER58" s="9"/>
      <c r="ES58" s="9"/>
      <c r="ET58" s="9"/>
      <c r="EU58" s="9"/>
      <c r="EV58" s="9"/>
      <c r="EW58" s="9"/>
      <c r="EX58" s="9"/>
      <c r="EY58" s="9"/>
      <c r="EZ58" s="9"/>
      <c r="FA58" s="9"/>
      <c r="FB58" s="9"/>
      <c r="FC58" s="9"/>
      <c r="FD58" s="9"/>
      <c r="FE58" s="9"/>
      <c r="FF58" s="9"/>
      <c r="FG58" s="9"/>
      <c r="FH58" s="9"/>
      <c r="FI58" s="9"/>
      <c r="FJ58" s="9"/>
      <c r="FK58" s="9"/>
      <c r="FL58" s="9"/>
      <c r="FM58" s="9"/>
      <c r="FN58" s="9"/>
      <c r="FO58" s="9"/>
      <c r="FP58" s="9"/>
      <c r="FQ58" s="9"/>
      <c r="FR58" s="9"/>
      <c r="FS58" s="9"/>
      <c r="FT58" s="9"/>
      <c r="FU58" s="9"/>
      <c r="FV58" s="9"/>
      <c r="FW58" s="9"/>
      <c r="FX58" s="9"/>
      <c r="FY58" s="9"/>
      <c r="FZ58" s="9"/>
      <c r="GA58" s="9"/>
      <c r="GB58" s="9"/>
      <c r="GC58" s="9"/>
      <c r="GD58" s="9"/>
      <c r="GE58" s="9"/>
      <c r="GF58" s="9"/>
      <c r="GG58" s="9"/>
      <c r="GH58" s="9"/>
      <c r="GI58" s="9"/>
      <c r="GJ58" s="9"/>
      <c r="GK58" s="9"/>
      <c r="GL58" s="9"/>
      <c r="GM58" s="9"/>
      <c r="GN58" s="9"/>
      <c r="GO58" s="9"/>
      <c r="GP58" s="9"/>
      <c r="GQ58" s="9"/>
      <c r="GR58" s="9"/>
      <c r="GS58" s="9"/>
      <c r="GT58" s="9"/>
      <c r="GU58" s="9"/>
      <c r="GV58" s="9"/>
      <c r="GW58" s="9"/>
      <c r="GX58" s="9"/>
      <c r="GY58" s="9"/>
      <c r="GZ58" s="9"/>
      <c r="HA58" s="9"/>
      <c r="HB58" s="9"/>
      <c r="HC58" s="9"/>
      <c r="HD58" s="9"/>
      <c r="HE58" s="9"/>
      <c r="HF58" s="9"/>
      <c r="HG58" s="9"/>
      <c r="HH58" s="9"/>
      <c r="HI58" s="9"/>
      <c r="HJ58" s="9"/>
      <c r="HQ58" t="s">
        <v>677</v>
      </c>
      <c r="HS58" s="4" t="s">
        <v>490</v>
      </c>
      <c r="HT58" s="50">
        <v>34335</v>
      </c>
      <c r="HU58" s="50">
        <v>36160</v>
      </c>
      <c r="HV58" s="50"/>
      <c r="HW58" s="50"/>
      <c r="IN58" s="4"/>
      <c r="IO58" t="s">
        <v>694</v>
      </c>
      <c r="IP58" s="12" t="s">
        <v>695</v>
      </c>
      <c r="IS58">
        <v>1994</v>
      </c>
      <c r="IT58">
        <v>1994.2</v>
      </c>
      <c r="IU58" s="4" t="s">
        <v>544</v>
      </c>
      <c r="IV58" t="s">
        <v>696</v>
      </c>
      <c r="IW58" s="12" t="s">
        <v>681</v>
      </c>
      <c r="IZ58">
        <v>0.5</v>
      </c>
      <c r="JA58" t="s">
        <v>480</v>
      </c>
      <c r="JB58" t="s">
        <v>480</v>
      </c>
      <c r="JC58" t="s">
        <v>480</v>
      </c>
      <c r="JD58" t="s">
        <v>480</v>
      </c>
      <c r="JE58" t="s">
        <v>480</v>
      </c>
      <c r="JF58" t="s">
        <v>480</v>
      </c>
      <c r="JG58" t="s">
        <v>480</v>
      </c>
      <c r="JH58" t="s">
        <v>480</v>
      </c>
      <c r="JI58" t="s">
        <v>480</v>
      </c>
      <c r="JK58" s="12" t="s">
        <v>682</v>
      </c>
      <c r="JP58" s="4"/>
      <c r="JV58" s="4"/>
      <c r="JW58" s="4"/>
      <c r="JX58" s="4"/>
      <c r="JY58" s="4"/>
      <c r="JZ58" s="4"/>
      <c r="KA58" s="4"/>
      <c r="KF58" s="7" t="s">
        <v>500</v>
      </c>
      <c r="KJ58" s="45" t="s">
        <v>683</v>
      </c>
      <c r="KK58" s="8" t="s">
        <v>562</v>
      </c>
      <c r="KL58" t="s">
        <v>480</v>
      </c>
      <c r="KM58" t="s">
        <v>480</v>
      </c>
      <c r="MY58" t="s">
        <v>684</v>
      </c>
      <c r="MZ58">
        <v>42</v>
      </c>
      <c r="NB58" t="s">
        <v>710</v>
      </c>
      <c r="NG58" t="s">
        <v>686</v>
      </c>
      <c r="NH58" t="s">
        <v>711</v>
      </c>
      <c r="NJ58" t="s">
        <v>712</v>
      </c>
      <c r="NL58" s="4" t="s">
        <v>689</v>
      </c>
      <c r="NM58" t="s">
        <v>713</v>
      </c>
      <c r="NN58">
        <v>0</v>
      </c>
      <c r="NO58">
        <v>15</v>
      </c>
      <c r="NV58" t="s">
        <v>518</v>
      </c>
      <c r="NW58">
        <v>63</v>
      </c>
      <c r="NX58" s="4" t="s">
        <v>520</v>
      </c>
      <c r="NY58" s="3">
        <v>16</v>
      </c>
      <c r="OB58">
        <v>4</v>
      </c>
      <c r="OU58" t="s">
        <v>714</v>
      </c>
      <c r="OW58">
        <v>1996</v>
      </c>
      <c r="OZ58" s="2" t="s">
        <v>692</v>
      </c>
      <c r="PB58" t="s">
        <v>522</v>
      </c>
      <c r="PC58" s="50">
        <v>46094</v>
      </c>
    </row>
    <row r="59" spans="1:419" ht="15.75" thickBot="1">
      <c r="A59" s="11" t="s">
        <v>665</v>
      </c>
      <c r="B59" t="s">
        <v>666</v>
      </c>
      <c r="C59" t="s">
        <v>667</v>
      </c>
      <c r="D59" s="4" t="s">
        <v>668</v>
      </c>
      <c r="E59" t="s">
        <v>669</v>
      </c>
      <c r="F59" s="88" t="s">
        <v>670</v>
      </c>
      <c r="G59" t="s">
        <v>475</v>
      </c>
      <c r="H59" t="s">
        <v>476</v>
      </c>
      <c r="I59" s="10">
        <v>0.1</v>
      </c>
      <c r="J59" s="10">
        <v>34.566667000000002</v>
      </c>
      <c r="K59">
        <v>150</v>
      </c>
      <c r="AV59" t="s">
        <v>671</v>
      </c>
      <c r="AW59">
        <v>100</v>
      </c>
      <c r="AX59" t="s">
        <v>480</v>
      </c>
      <c r="AY59">
        <v>4</v>
      </c>
      <c r="AZ59" t="s">
        <v>672</v>
      </c>
      <c r="BA59">
        <v>1994</v>
      </c>
      <c r="BB59">
        <v>1998</v>
      </c>
      <c r="BC59" t="s">
        <v>673</v>
      </c>
      <c r="BD59" s="10" t="s">
        <v>697</v>
      </c>
      <c r="BE59" t="s">
        <v>572</v>
      </c>
      <c r="BF59" s="3" t="s">
        <v>484</v>
      </c>
      <c r="BG59" t="s">
        <v>485</v>
      </c>
      <c r="BH59" t="s">
        <v>675</v>
      </c>
      <c r="BI59" s="4" t="s">
        <v>486</v>
      </c>
      <c r="BJ59" s="9">
        <v>53000</v>
      </c>
      <c r="EE59" s="4"/>
      <c r="EF59" s="9"/>
      <c r="EG59" s="9"/>
      <c r="EH59" s="9"/>
      <c r="EI59" s="9"/>
      <c r="EJ59" s="9"/>
      <c r="EK59" s="9"/>
      <c r="EL59" s="9"/>
      <c r="EM59" s="9"/>
      <c r="EN59" s="9"/>
      <c r="EO59" s="9"/>
      <c r="EP59" s="9"/>
      <c r="EQ59" s="9"/>
      <c r="ER59" s="9"/>
      <c r="ES59" s="9"/>
      <c r="ET59" s="9"/>
      <c r="EU59" s="9"/>
      <c r="EV59" s="9"/>
      <c r="EW59" s="9"/>
      <c r="EX59" s="9"/>
      <c r="EY59" s="9"/>
      <c r="EZ59" s="9"/>
      <c r="FA59" s="9"/>
      <c r="FB59" s="9"/>
      <c r="FC59" s="9"/>
      <c r="FD59" s="9"/>
      <c r="FE59" s="9"/>
      <c r="FF59" s="9"/>
      <c r="FG59" s="9"/>
      <c r="FH59" s="9"/>
      <c r="FI59" s="9"/>
      <c r="FJ59" s="9"/>
      <c r="FK59" s="9"/>
      <c r="FL59" s="9"/>
      <c r="FM59" s="9"/>
      <c r="FN59" s="9"/>
      <c r="FO59" s="9"/>
      <c r="FP59" s="9"/>
      <c r="FQ59" s="9"/>
      <c r="FR59" s="9"/>
      <c r="FS59" s="9"/>
      <c r="FT59" s="9"/>
      <c r="FU59" s="9"/>
      <c r="FV59" s="9"/>
      <c r="FW59" s="9"/>
      <c r="FX59" s="9"/>
      <c r="FY59" s="9"/>
      <c r="FZ59" s="9"/>
      <c r="GA59" s="9"/>
      <c r="GB59" s="9"/>
      <c r="GC59" s="9"/>
      <c r="GD59" s="9"/>
      <c r="GE59" s="9"/>
      <c r="GF59" s="9"/>
      <c r="GG59" s="9"/>
      <c r="GH59" s="9"/>
      <c r="GI59" s="9"/>
      <c r="GJ59" s="9"/>
      <c r="GK59" s="9"/>
      <c r="GL59" s="9"/>
      <c r="GM59" s="9"/>
      <c r="GN59" s="9"/>
      <c r="GO59" s="9"/>
      <c r="GP59" s="9"/>
      <c r="GQ59" s="9"/>
      <c r="GR59" s="9"/>
      <c r="GS59" s="9"/>
      <c r="GT59" s="9"/>
      <c r="GU59" s="9"/>
      <c r="GV59" s="9"/>
      <c r="GW59" s="9"/>
      <c r="GX59" s="9"/>
      <c r="GY59" s="9"/>
      <c r="GZ59" s="9"/>
      <c r="HA59" s="9"/>
      <c r="HB59" s="9"/>
      <c r="HC59" s="9"/>
      <c r="HD59" s="9"/>
      <c r="HE59" s="9"/>
      <c r="HF59" s="9"/>
      <c r="HG59" s="9"/>
      <c r="HH59" s="9"/>
      <c r="HI59" s="9"/>
      <c r="HJ59" s="9"/>
      <c r="HQ59" t="s">
        <v>677</v>
      </c>
      <c r="HS59" s="4" t="s">
        <v>490</v>
      </c>
      <c r="HT59" s="50">
        <v>34335</v>
      </c>
      <c r="HU59" s="50">
        <v>36160</v>
      </c>
      <c r="HV59" s="50"/>
      <c r="HW59" s="50"/>
      <c r="IO59" t="s">
        <v>698</v>
      </c>
      <c r="IP59" s="46" t="s">
        <v>699</v>
      </c>
      <c r="IS59">
        <v>1995</v>
      </c>
      <c r="IT59">
        <v>1995.2</v>
      </c>
      <c r="IU59" s="4" t="s">
        <v>544</v>
      </c>
      <c r="IV59" t="s">
        <v>700</v>
      </c>
      <c r="IW59" t="s">
        <v>492</v>
      </c>
      <c r="JA59">
        <v>0</v>
      </c>
      <c r="JB59">
        <v>0</v>
      </c>
      <c r="JC59">
        <v>0</v>
      </c>
      <c r="JD59">
        <v>0</v>
      </c>
      <c r="JE59">
        <v>0</v>
      </c>
      <c r="JF59">
        <v>0</v>
      </c>
      <c r="JG59">
        <v>0</v>
      </c>
      <c r="JH59">
        <v>0</v>
      </c>
      <c r="JI59">
        <v>0</v>
      </c>
      <c r="JK59" s="12" t="s">
        <v>682</v>
      </c>
      <c r="JP59" s="4"/>
      <c r="JV59" s="4"/>
      <c r="JW59" s="4"/>
      <c r="JX59" s="4"/>
      <c r="JY59" s="4"/>
      <c r="JZ59" s="4"/>
      <c r="KA59" s="4"/>
      <c r="KF59" s="7" t="s">
        <v>500</v>
      </c>
      <c r="KJ59" s="7" t="s">
        <v>649</v>
      </c>
      <c r="MY59" t="s">
        <v>684</v>
      </c>
      <c r="MZ59">
        <v>42</v>
      </c>
      <c r="NB59" t="s">
        <v>710</v>
      </c>
      <c r="NG59" t="s">
        <v>686</v>
      </c>
      <c r="NH59" t="s">
        <v>711</v>
      </c>
      <c r="NJ59" t="s">
        <v>712</v>
      </c>
      <c r="NL59" s="4" t="s">
        <v>689</v>
      </c>
      <c r="NM59" t="s">
        <v>713</v>
      </c>
      <c r="NN59">
        <v>0</v>
      </c>
      <c r="NO59">
        <v>15</v>
      </c>
      <c r="NV59" t="s">
        <v>518</v>
      </c>
      <c r="NW59" s="3">
        <v>34</v>
      </c>
      <c r="NX59" s="4" t="s">
        <v>520</v>
      </c>
      <c r="NY59" s="3">
        <v>7</v>
      </c>
      <c r="OB59">
        <v>4</v>
      </c>
      <c r="OU59" t="s">
        <v>714</v>
      </c>
      <c r="OW59">
        <v>1996</v>
      </c>
      <c r="OZ59" s="2" t="s">
        <v>692</v>
      </c>
      <c r="PB59" t="s">
        <v>522</v>
      </c>
      <c r="PC59" s="50">
        <v>46094</v>
      </c>
    </row>
    <row r="60" spans="1:419" ht="15.75" thickBot="1">
      <c r="A60" s="11" t="s">
        <v>665</v>
      </c>
      <c r="B60" t="s">
        <v>666</v>
      </c>
      <c r="C60" t="s">
        <v>667</v>
      </c>
      <c r="D60" s="4" t="s">
        <v>668</v>
      </c>
      <c r="E60" t="s">
        <v>669</v>
      </c>
      <c r="F60" s="88" t="s">
        <v>670</v>
      </c>
      <c r="G60" t="s">
        <v>475</v>
      </c>
      <c r="H60" t="s">
        <v>476</v>
      </c>
      <c r="I60" s="10">
        <v>0.1</v>
      </c>
      <c r="J60" s="10">
        <v>34.566667000000002</v>
      </c>
      <c r="K60">
        <v>150</v>
      </c>
      <c r="AV60" t="s">
        <v>671</v>
      </c>
      <c r="AW60">
        <v>100</v>
      </c>
      <c r="AX60" t="s">
        <v>480</v>
      </c>
      <c r="AY60">
        <v>4</v>
      </c>
      <c r="AZ60" t="s">
        <v>672</v>
      </c>
      <c r="BA60">
        <v>1994</v>
      </c>
      <c r="BB60">
        <v>1998</v>
      </c>
      <c r="BC60" t="s">
        <v>673</v>
      </c>
      <c r="BD60" s="10" t="s">
        <v>701</v>
      </c>
      <c r="BE60" t="s">
        <v>553</v>
      </c>
      <c r="BF60" s="3" t="s">
        <v>484</v>
      </c>
      <c r="BG60" t="s">
        <v>485</v>
      </c>
      <c r="BH60" t="s">
        <v>675</v>
      </c>
      <c r="BI60" s="4" t="s">
        <v>486</v>
      </c>
      <c r="BJ60" s="9">
        <v>53000</v>
      </c>
      <c r="EE60" s="4"/>
      <c r="EF60" s="9"/>
      <c r="EG60" s="9"/>
      <c r="EH60" s="9"/>
      <c r="EI60" s="9"/>
      <c r="EJ60" s="9"/>
      <c r="EK60" s="9"/>
      <c r="EL60" s="9"/>
      <c r="EM60" s="9"/>
      <c r="EN60" s="9"/>
      <c r="EO60" s="9"/>
      <c r="EP60" s="9"/>
      <c r="EQ60" s="9"/>
      <c r="ER60" s="9"/>
      <c r="ES60" s="9"/>
      <c r="ET60" s="9"/>
      <c r="EU60" s="9"/>
      <c r="EV60" s="9"/>
      <c r="EW60" s="9"/>
      <c r="EX60" s="9"/>
      <c r="EY60" s="9"/>
      <c r="EZ60" s="9"/>
      <c r="FA60" s="9"/>
      <c r="FB60" s="9"/>
      <c r="FC60" s="9"/>
      <c r="FD60" s="9"/>
      <c r="FE60" s="9"/>
      <c r="FF60" s="9"/>
      <c r="FG60" s="9"/>
      <c r="FH60" s="9"/>
      <c r="FI60" s="9"/>
      <c r="FJ60" s="9"/>
      <c r="FK60" s="9"/>
      <c r="FL60" s="9"/>
      <c r="FM60" s="9"/>
      <c r="FN60" s="9"/>
      <c r="FO60" s="9"/>
      <c r="FP60" s="9"/>
      <c r="FQ60" s="9"/>
      <c r="FR60" s="9"/>
      <c r="FS60" s="9"/>
      <c r="FT60" s="9"/>
      <c r="FU60" s="9"/>
      <c r="FV60" s="9"/>
      <c r="FW60" s="9"/>
      <c r="FX60" s="9"/>
      <c r="FY60" s="9"/>
      <c r="FZ60" s="9"/>
      <c r="GA60" s="9"/>
      <c r="GB60" s="9"/>
      <c r="GC60" s="9"/>
      <c r="GD60" s="9"/>
      <c r="GE60" s="9"/>
      <c r="GF60" s="9"/>
      <c r="GG60" s="9"/>
      <c r="GH60" s="9"/>
      <c r="GI60" s="9"/>
      <c r="GJ60" s="9"/>
      <c r="GK60" s="9"/>
      <c r="GL60" s="9"/>
      <c r="GM60" s="9"/>
      <c r="GN60" s="9"/>
      <c r="GO60" s="9"/>
      <c r="GP60" s="9"/>
      <c r="GQ60" s="9"/>
      <c r="GR60" s="9"/>
      <c r="GS60" s="9"/>
      <c r="GT60" s="9"/>
      <c r="GU60" s="9"/>
      <c r="GV60" s="9"/>
      <c r="GW60" s="9"/>
      <c r="GX60" s="9"/>
      <c r="GY60" s="9"/>
      <c r="GZ60" s="9"/>
      <c r="HA60" s="9"/>
      <c r="HB60" s="9"/>
      <c r="HC60" s="9"/>
      <c r="HD60" s="9"/>
      <c r="HE60" s="9"/>
      <c r="HF60" s="9"/>
      <c r="HG60" s="9"/>
      <c r="HH60" s="9"/>
      <c r="HI60" s="9"/>
      <c r="HJ60" s="9"/>
      <c r="HQ60" t="s">
        <v>677</v>
      </c>
      <c r="HS60" s="4" t="s">
        <v>490</v>
      </c>
      <c r="HT60" s="50">
        <v>34335</v>
      </c>
      <c r="HU60" s="50">
        <v>36160</v>
      </c>
      <c r="HV60" s="50"/>
      <c r="HW60" s="50"/>
      <c r="IO60" t="s">
        <v>702</v>
      </c>
      <c r="IP60" s="13" t="s">
        <v>703</v>
      </c>
      <c r="IS60">
        <v>1994</v>
      </c>
      <c r="IT60">
        <v>1994.2</v>
      </c>
      <c r="IU60" s="4" t="s">
        <v>544</v>
      </c>
      <c r="IV60" t="s">
        <v>700</v>
      </c>
      <c r="IW60" t="s">
        <v>492</v>
      </c>
      <c r="JA60">
        <v>0</v>
      </c>
      <c r="JB60">
        <v>0</v>
      </c>
      <c r="JC60">
        <v>0</v>
      </c>
      <c r="JD60">
        <v>0</v>
      </c>
      <c r="JE60">
        <v>0</v>
      </c>
      <c r="JF60">
        <v>0</v>
      </c>
      <c r="JG60">
        <v>0</v>
      </c>
      <c r="JH60">
        <v>0</v>
      </c>
      <c r="JI60">
        <v>0</v>
      </c>
      <c r="JK60" s="12" t="s">
        <v>682</v>
      </c>
      <c r="JP60" s="4"/>
      <c r="JV60" s="4"/>
      <c r="JW60" s="4"/>
      <c r="JX60" s="4"/>
      <c r="JY60" s="4"/>
      <c r="JZ60" s="4"/>
      <c r="KA60" s="4"/>
      <c r="KF60" s="7" t="s">
        <v>500</v>
      </c>
      <c r="KJ60" s="7" t="s">
        <v>649</v>
      </c>
      <c r="MY60" t="s">
        <v>684</v>
      </c>
      <c r="MZ60">
        <v>42</v>
      </c>
      <c r="NB60" t="s">
        <v>710</v>
      </c>
      <c r="NG60" t="s">
        <v>686</v>
      </c>
      <c r="NH60" t="s">
        <v>711</v>
      </c>
      <c r="NJ60" t="s">
        <v>712</v>
      </c>
      <c r="NL60" s="4" t="s">
        <v>689</v>
      </c>
      <c r="NM60" t="s">
        <v>713</v>
      </c>
      <c r="NN60">
        <v>0</v>
      </c>
      <c r="NO60">
        <v>15</v>
      </c>
      <c r="NV60" t="s">
        <v>518</v>
      </c>
      <c r="NW60" s="3">
        <v>146</v>
      </c>
      <c r="NX60" s="4" t="s">
        <v>520</v>
      </c>
      <c r="NY60" s="3">
        <v>80</v>
      </c>
      <c r="OB60">
        <v>4</v>
      </c>
      <c r="OU60" t="s">
        <v>714</v>
      </c>
      <c r="OW60">
        <v>1996</v>
      </c>
      <c r="OZ60" s="2" t="s">
        <v>692</v>
      </c>
      <c r="PB60" t="s">
        <v>522</v>
      </c>
      <c r="PC60" s="50">
        <v>46094</v>
      </c>
    </row>
    <row r="61" spans="1:419" ht="15.75" thickBot="1">
      <c r="A61" s="11" t="s">
        <v>665</v>
      </c>
      <c r="B61" t="s">
        <v>666</v>
      </c>
      <c r="C61" t="s">
        <v>667</v>
      </c>
      <c r="D61" s="4" t="s">
        <v>668</v>
      </c>
      <c r="E61" t="s">
        <v>669</v>
      </c>
      <c r="F61" s="88" t="s">
        <v>670</v>
      </c>
      <c r="G61" t="s">
        <v>475</v>
      </c>
      <c r="H61" t="s">
        <v>476</v>
      </c>
      <c r="I61" s="10">
        <v>0.1</v>
      </c>
      <c r="J61" s="10">
        <v>34.566667000000002</v>
      </c>
      <c r="K61">
        <v>150</v>
      </c>
      <c r="AV61" t="s">
        <v>671</v>
      </c>
      <c r="AW61">
        <v>100</v>
      </c>
      <c r="AX61" t="s">
        <v>480</v>
      </c>
      <c r="AY61">
        <v>4</v>
      </c>
      <c r="AZ61" t="s">
        <v>672</v>
      </c>
      <c r="BA61">
        <v>1994</v>
      </c>
      <c r="BB61">
        <v>1998</v>
      </c>
      <c r="BC61" t="s">
        <v>673</v>
      </c>
      <c r="BD61" s="10" t="s">
        <v>704</v>
      </c>
      <c r="BE61" t="s">
        <v>524</v>
      </c>
      <c r="BF61" s="3" t="s">
        <v>484</v>
      </c>
      <c r="BG61" t="s">
        <v>485</v>
      </c>
      <c r="BH61" t="s">
        <v>675</v>
      </c>
      <c r="BI61" s="4" t="s">
        <v>486</v>
      </c>
      <c r="BJ61" s="9">
        <v>53000</v>
      </c>
      <c r="HQ61" t="s">
        <v>677</v>
      </c>
      <c r="HS61" s="4" t="s">
        <v>490</v>
      </c>
      <c r="HT61" s="50">
        <v>34335</v>
      </c>
      <c r="HU61" s="50">
        <v>36160</v>
      </c>
      <c r="HV61" s="50"/>
      <c r="HW61" s="50"/>
      <c r="IO61" t="s">
        <v>700</v>
      </c>
      <c r="IP61" s="46" t="s">
        <v>492</v>
      </c>
      <c r="IU61" s="4" t="s">
        <v>544</v>
      </c>
      <c r="IV61" t="s">
        <v>700</v>
      </c>
      <c r="IW61" s="46" t="s">
        <v>492</v>
      </c>
      <c r="JA61">
        <v>0</v>
      </c>
      <c r="JB61">
        <v>0</v>
      </c>
      <c r="JC61">
        <v>0</v>
      </c>
      <c r="JD61">
        <v>0</v>
      </c>
      <c r="JE61">
        <v>0</v>
      </c>
      <c r="JF61">
        <v>0</v>
      </c>
      <c r="JG61">
        <v>0</v>
      </c>
      <c r="JH61">
        <v>0</v>
      </c>
      <c r="JI61">
        <v>0</v>
      </c>
      <c r="JK61" s="12" t="s">
        <v>682</v>
      </c>
      <c r="JP61" s="4"/>
      <c r="JV61" s="4"/>
      <c r="JW61" s="4"/>
      <c r="JX61" s="4"/>
      <c r="JY61" s="4"/>
      <c r="JZ61" s="4"/>
      <c r="KA61" s="4"/>
      <c r="KF61" s="7" t="s">
        <v>500</v>
      </c>
      <c r="KJ61" s="7" t="s">
        <v>649</v>
      </c>
      <c r="MY61" t="s">
        <v>684</v>
      </c>
      <c r="MZ61">
        <v>42</v>
      </c>
      <c r="NB61" t="s">
        <v>710</v>
      </c>
      <c r="NG61" t="s">
        <v>686</v>
      </c>
      <c r="NH61" t="s">
        <v>711</v>
      </c>
      <c r="NJ61" t="s">
        <v>712</v>
      </c>
      <c r="NL61" s="4" t="s">
        <v>689</v>
      </c>
      <c r="NM61" t="s">
        <v>713</v>
      </c>
      <c r="NN61">
        <v>0</v>
      </c>
      <c r="NO61">
        <v>15</v>
      </c>
      <c r="NU61" t="s">
        <v>517</v>
      </c>
      <c r="NV61" t="s">
        <v>518</v>
      </c>
      <c r="NW61" s="3">
        <v>50</v>
      </c>
      <c r="NX61" s="4" t="s">
        <v>520</v>
      </c>
      <c r="NY61" s="3">
        <v>20</v>
      </c>
      <c r="OB61">
        <v>4</v>
      </c>
      <c r="OU61" t="s">
        <v>714</v>
      </c>
      <c r="OW61">
        <v>1996</v>
      </c>
      <c r="OZ61" s="2" t="s">
        <v>692</v>
      </c>
      <c r="PB61" t="s">
        <v>522</v>
      </c>
      <c r="PC61" s="50">
        <v>46094</v>
      </c>
    </row>
    <row r="62" spans="1:419" ht="15.75" thickBot="1">
      <c r="A62" s="11" t="s">
        <v>665</v>
      </c>
      <c r="B62" t="s">
        <v>666</v>
      </c>
      <c r="C62" t="s">
        <v>667</v>
      </c>
      <c r="D62" s="4" t="s">
        <v>668</v>
      </c>
      <c r="E62" t="s">
        <v>669</v>
      </c>
      <c r="F62" s="88" t="s">
        <v>670</v>
      </c>
      <c r="G62" t="s">
        <v>475</v>
      </c>
      <c r="H62" t="s">
        <v>476</v>
      </c>
      <c r="I62" s="10">
        <v>0.1</v>
      </c>
      <c r="J62" s="10">
        <v>34.566667000000002</v>
      </c>
      <c r="K62">
        <v>150</v>
      </c>
      <c r="AV62" t="s">
        <v>671</v>
      </c>
      <c r="AW62">
        <v>100</v>
      </c>
      <c r="AX62" t="s">
        <v>480</v>
      </c>
      <c r="AY62">
        <v>4</v>
      </c>
      <c r="AZ62" t="s">
        <v>672</v>
      </c>
      <c r="BA62">
        <v>1994</v>
      </c>
      <c r="BB62">
        <v>1998</v>
      </c>
      <c r="BC62" t="s">
        <v>673</v>
      </c>
      <c r="BD62" s="10" t="s">
        <v>705</v>
      </c>
      <c r="BE62" t="s">
        <v>483</v>
      </c>
      <c r="BF62" s="3" t="s">
        <v>484</v>
      </c>
      <c r="BG62" t="s">
        <v>485</v>
      </c>
      <c r="BH62" t="s">
        <v>675</v>
      </c>
      <c r="BI62" s="4" t="s">
        <v>486</v>
      </c>
      <c r="BJ62" s="9">
        <v>53000</v>
      </c>
      <c r="HQ62" t="s">
        <v>677</v>
      </c>
      <c r="HS62" s="4" t="s">
        <v>490</v>
      </c>
      <c r="HT62" s="50">
        <v>34335</v>
      </c>
      <c r="HU62" s="50">
        <v>36160</v>
      </c>
      <c r="HV62" s="50"/>
      <c r="HW62" s="50"/>
      <c r="IO62" t="s">
        <v>706</v>
      </c>
      <c r="IP62" s="46" t="s">
        <v>492</v>
      </c>
      <c r="IU62" s="4" t="s">
        <v>544</v>
      </c>
      <c r="IV62" t="s">
        <v>707</v>
      </c>
      <c r="IW62" s="46" t="s">
        <v>492</v>
      </c>
      <c r="JA62">
        <v>0</v>
      </c>
      <c r="JB62">
        <v>0</v>
      </c>
      <c r="JC62">
        <v>0</v>
      </c>
      <c r="JD62">
        <v>0</v>
      </c>
      <c r="JE62">
        <v>0</v>
      </c>
      <c r="JF62">
        <v>0</v>
      </c>
      <c r="JG62">
        <v>0</v>
      </c>
      <c r="JH62">
        <v>0</v>
      </c>
      <c r="JI62">
        <v>0</v>
      </c>
      <c r="JJ62" t="s">
        <v>706</v>
      </c>
      <c r="JK62" t="s">
        <v>494</v>
      </c>
      <c r="JL62" s="8" t="s">
        <v>495</v>
      </c>
      <c r="JP62" s="4" t="s">
        <v>508</v>
      </c>
      <c r="JQ62">
        <v>60</v>
      </c>
      <c r="JT62">
        <v>60</v>
      </c>
      <c r="JV62" s="4"/>
      <c r="JW62" s="4"/>
      <c r="JX62" s="4"/>
      <c r="JY62" s="4"/>
      <c r="JZ62" s="4"/>
      <c r="KA62" s="4"/>
      <c r="KF62" s="7" t="s">
        <v>500</v>
      </c>
      <c r="KJ62" s="7" t="s">
        <v>649</v>
      </c>
      <c r="MY62" t="s">
        <v>684</v>
      </c>
      <c r="MZ62">
        <v>42</v>
      </c>
      <c r="NB62" t="s">
        <v>710</v>
      </c>
      <c r="NG62" t="s">
        <v>686</v>
      </c>
      <c r="NH62" t="s">
        <v>711</v>
      </c>
      <c r="NJ62" t="s">
        <v>712</v>
      </c>
      <c r="NL62" s="4" t="s">
        <v>689</v>
      </c>
      <c r="NM62" t="s">
        <v>713</v>
      </c>
      <c r="NN62">
        <v>0</v>
      </c>
      <c r="NO62">
        <v>15</v>
      </c>
      <c r="NU62" t="s">
        <v>708</v>
      </c>
      <c r="NV62" t="s">
        <v>518</v>
      </c>
      <c r="NW62" s="3">
        <v>94</v>
      </c>
      <c r="NX62" s="4" t="s">
        <v>520</v>
      </c>
      <c r="NY62" s="3">
        <v>69</v>
      </c>
      <c r="OB62">
        <v>4</v>
      </c>
      <c r="OU62" t="s">
        <v>714</v>
      </c>
      <c r="OW62">
        <v>1996</v>
      </c>
      <c r="OZ62" s="2" t="s">
        <v>692</v>
      </c>
      <c r="PB62" t="s">
        <v>522</v>
      </c>
      <c r="PC62" s="50">
        <v>46094</v>
      </c>
    </row>
    <row r="63" spans="1:419" ht="15.75" thickBot="1">
      <c r="A63" s="11" t="s">
        <v>665</v>
      </c>
      <c r="B63" t="s">
        <v>666</v>
      </c>
      <c r="C63" t="s">
        <v>667</v>
      </c>
      <c r="D63" s="4" t="s">
        <v>668</v>
      </c>
      <c r="E63" t="s">
        <v>669</v>
      </c>
      <c r="F63" s="88" t="s">
        <v>670</v>
      </c>
      <c r="G63" t="s">
        <v>475</v>
      </c>
      <c r="H63" t="s">
        <v>476</v>
      </c>
      <c r="I63" s="10">
        <v>0.1</v>
      </c>
      <c r="J63" s="10">
        <v>34.566667000000002</v>
      </c>
      <c r="K63">
        <v>150</v>
      </c>
      <c r="AV63" t="s">
        <v>671</v>
      </c>
      <c r="AW63">
        <v>100</v>
      </c>
      <c r="AX63" t="s">
        <v>480</v>
      </c>
      <c r="AY63">
        <v>4</v>
      </c>
      <c r="AZ63" t="s">
        <v>672</v>
      </c>
      <c r="BA63">
        <v>1994</v>
      </c>
      <c r="BB63">
        <v>1998</v>
      </c>
      <c r="BC63" t="s">
        <v>673</v>
      </c>
      <c r="BD63" s="10" t="s">
        <v>674</v>
      </c>
      <c r="BE63" t="s">
        <v>536</v>
      </c>
      <c r="BF63" s="3" t="s">
        <v>484</v>
      </c>
      <c r="BG63" t="s">
        <v>485</v>
      </c>
      <c r="BH63" t="s">
        <v>675</v>
      </c>
      <c r="BI63" s="4" t="s">
        <v>486</v>
      </c>
      <c r="BJ63" s="9">
        <v>53000</v>
      </c>
      <c r="ED63" t="s">
        <v>676</v>
      </c>
      <c r="EE63" s="4" t="s">
        <v>486</v>
      </c>
      <c r="EF63" s="9">
        <v>53000</v>
      </c>
      <c r="EG63" s="9"/>
      <c r="EH63" s="9"/>
      <c r="EI63" s="9"/>
      <c r="EJ63" s="9"/>
      <c r="EK63" s="9"/>
      <c r="EL63" s="9"/>
      <c r="EM63" s="9"/>
      <c r="EN63" s="9"/>
      <c r="EO63" s="9"/>
      <c r="EP63" s="9"/>
      <c r="EQ63" s="9"/>
      <c r="ER63" s="9"/>
      <c r="ES63" s="9"/>
      <c r="ET63" s="9"/>
      <c r="EU63" s="9"/>
      <c r="EV63" s="9"/>
      <c r="EW63" s="9"/>
      <c r="EX63" s="9"/>
      <c r="EY63" s="9"/>
      <c r="EZ63" s="9"/>
      <c r="FA63" s="9"/>
      <c r="FB63" s="9"/>
      <c r="FC63" s="9"/>
      <c r="FD63" s="9"/>
      <c r="FE63" s="9"/>
      <c r="FF63" s="9"/>
      <c r="FG63" s="9"/>
      <c r="FH63" s="9"/>
      <c r="FI63" s="9"/>
      <c r="FJ63" s="9"/>
      <c r="FK63" s="9"/>
      <c r="FL63" s="9"/>
      <c r="FM63" s="9"/>
      <c r="FN63" s="9"/>
      <c r="FO63" s="9"/>
      <c r="FP63" s="9"/>
      <c r="FQ63" s="9"/>
      <c r="FR63" s="9"/>
      <c r="FS63" s="9"/>
      <c r="FT63" s="9"/>
      <c r="FU63" s="9"/>
      <c r="FV63" s="9"/>
      <c r="FW63" s="9"/>
      <c r="FX63" s="9"/>
      <c r="FY63" s="9"/>
      <c r="FZ63" s="9"/>
      <c r="GA63" s="9"/>
      <c r="GB63" s="9"/>
      <c r="GC63" s="9"/>
      <c r="GD63" s="9"/>
      <c r="GE63" s="9"/>
      <c r="GF63" s="9"/>
      <c r="GG63" s="9"/>
      <c r="GH63" s="9"/>
      <c r="GI63" s="9"/>
      <c r="GJ63" s="9"/>
      <c r="GK63" s="9"/>
      <c r="GL63" s="9"/>
      <c r="GM63" s="9"/>
      <c r="GN63" s="9"/>
      <c r="GO63" s="9"/>
      <c r="GP63" s="9"/>
      <c r="GQ63" s="9"/>
      <c r="GR63" s="9"/>
      <c r="GS63" s="9"/>
      <c r="GT63" s="9"/>
      <c r="GU63" s="9"/>
      <c r="GV63" s="9"/>
      <c r="GW63" s="9"/>
      <c r="GX63" s="9"/>
      <c r="GY63" s="9"/>
      <c r="GZ63" s="9"/>
      <c r="HA63" s="9"/>
      <c r="HB63" s="9"/>
      <c r="HC63" s="9"/>
      <c r="HD63" s="9"/>
      <c r="HE63" s="9"/>
      <c r="HF63" s="9"/>
      <c r="HG63" s="9"/>
      <c r="HH63" s="9"/>
      <c r="HI63" s="9"/>
      <c r="HJ63" s="9"/>
      <c r="HQ63" t="s">
        <v>677</v>
      </c>
      <c r="HS63" s="4" t="s">
        <v>490</v>
      </c>
      <c r="HT63" s="50">
        <v>34335</v>
      </c>
      <c r="HU63" s="50">
        <v>36160</v>
      </c>
      <c r="HV63" s="50"/>
      <c r="HW63" s="50"/>
      <c r="IN63" s="4"/>
      <c r="IO63" t="s">
        <v>678</v>
      </c>
      <c r="IP63" s="12" t="s">
        <v>679</v>
      </c>
      <c r="IS63">
        <v>1995</v>
      </c>
      <c r="IT63">
        <v>1995.2</v>
      </c>
      <c r="IU63" s="4" t="s">
        <v>544</v>
      </c>
      <c r="IV63" t="s">
        <v>680</v>
      </c>
      <c r="IW63" s="12" t="s">
        <v>681</v>
      </c>
      <c r="IZ63">
        <v>0.5</v>
      </c>
      <c r="JA63" t="s">
        <v>480</v>
      </c>
      <c r="JB63" t="s">
        <v>480</v>
      </c>
      <c r="JC63" t="s">
        <v>480</v>
      </c>
      <c r="JD63" t="s">
        <v>480</v>
      </c>
      <c r="JE63" t="s">
        <v>480</v>
      </c>
      <c r="JF63" t="s">
        <v>480</v>
      </c>
      <c r="JG63" t="s">
        <v>480</v>
      </c>
      <c r="JH63" t="s">
        <v>480</v>
      </c>
      <c r="JI63" t="s">
        <v>480</v>
      </c>
      <c r="JK63" s="12" t="s">
        <v>682</v>
      </c>
      <c r="JP63" s="4"/>
      <c r="JV63" s="4"/>
      <c r="JW63" s="4"/>
      <c r="JX63" s="4"/>
      <c r="JY63" s="4"/>
      <c r="JZ63" s="4"/>
      <c r="KA63" s="4"/>
      <c r="KF63" s="7" t="s">
        <v>500</v>
      </c>
      <c r="KJ63" s="45" t="s">
        <v>683</v>
      </c>
      <c r="KK63" s="8" t="s">
        <v>562</v>
      </c>
      <c r="KL63" t="s">
        <v>480</v>
      </c>
      <c r="KM63" t="s">
        <v>480</v>
      </c>
      <c r="MY63" t="s">
        <v>684</v>
      </c>
      <c r="MZ63">
        <v>42</v>
      </c>
      <c r="NB63" t="s">
        <v>710</v>
      </c>
      <c r="NG63" t="s">
        <v>686</v>
      </c>
      <c r="NH63" t="s">
        <v>711</v>
      </c>
      <c r="NJ63" t="s">
        <v>712</v>
      </c>
      <c r="NL63" s="4" t="s">
        <v>689</v>
      </c>
      <c r="NM63" t="s">
        <v>713</v>
      </c>
      <c r="NN63">
        <v>0</v>
      </c>
      <c r="NO63">
        <v>15</v>
      </c>
      <c r="NV63" t="s">
        <v>518</v>
      </c>
      <c r="NW63" s="3">
        <v>55</v>
      </c>
      <c r="NX63" s="4" t="s">
        <v>520</v>
      </c>
      <c r="NY63" s="44">
        <v>21</v>
      </c>
      <c r="OB63">
        <v>4</v>
      </c>
      <c r="OU63" t="s">
        <v>715</v>
      </c>
      <c r="OW63">
        <v>1996</v>
      </c>
      <c r="OZ63" s="2" t="s">
        <v>709</v>
      </c>
      <c r="PB63" t="s">
        <v>522</v>
      </c>
      <c r="PC63" s="50">
        <v>46094</v>
      </c>
    </row>
    <row r="64" spans="1:419" ht="15.75" thickBot="1">
      <c r="A64" s="11" t="s">
        <v>665</v>
      </c>
      <c r="B64" t="s">
        <v>666</v>
      </c>
      <c r="C64" t="s">
        <v>667</v>
      </c>
      <c r="D64" s="4" t="s">
        <v>668</v>
      </c>
      <c r="E64" t="s">
        <v>669</v>
      </c>
      <c r="F64" s="88" t="s">
        <v>670</v>
      </c>
      <c r="G64" t="s">
        <v>475</v>
      </c>
      <c r="H64" t="s">
        <v>476</v>
      </c>
      <c r="I64" s="10">
        <v>0.1</v>
      </c>
      <c r="J64" s="10">
        <v>34.566667000000002</v>
      </c>
      <c r="K64">
        <v>150</v>
      </c>
      <c r="AV64" t="s">
        <v>671</v>
      </c>
      <c r="AW64">
        <v>100</v>
      </c>
      <c r="AX64" t="s">
        <v>480</v>
      </c>
      <c r="AY64">
        <v>4</v>
      </c>
      <c r="AZ64" t="s">
        <v>672</v>
      </c>
      <c r="BA64">
        <v>1994</v>
      </c>
      <c r="BB64">
        <v>1998</v>
      </c>
      <c r="BC64" t="s">
        <v>673</v>
      </c>
      <c r="BD64" s="10" t="s">
        <v>693</v>
      </c>
      <c r="BE64" t="s">
        <v>566</v>
      </c>
      <c r="BF64" s="3" t="s">
        <v>484</v>
      </c>
      <c r="BG64" t="s">
        <v>485</v>
      </c>
      <c r="BH64" t="s">
        <v>675</v>
      </c>
      <c r="BI64" s="4" t="s">
        <v>486</v>
      </c>
      <c r="BJ64" s="9">
        <v>53000</v>
      </c>
      <c r="ED64" t="s">
        <v>676</v>
      </c>
      <c r="EE64" s="4" t="s">
        <v>486</v>
      </c>
      <c r="EF64" s="9">
        <v>53000</v>
      </c>
      <c r="EG64" s="9"/>
      <c r="EH64" s="9"/>
      <c r="EI64" s="9"/>
      <c r="EJ64" s="9"/>
      <c r="EK64" s="9"/>
      <c r="EL64" s="9"/>
      <c r="EM64" s="9"/>
      <c r="EN64" s="9"/>
      <c r="EO64" s="9"/>
      <c r="EP64" s="9"/>
      <c r="EQ64" s="9"/>
      <c r="ER64" s="9"/>
      <c r="ES64" s="9"/>
      <c r="ET64" s="9"/>
      <c r="EU64" s="9"/>
      <c r="EV64" s="9"/>
      <c r="EW64" s="9"/>
      <c r="EX64" s="9"/>
      <c r="EY64" s="9"/>
      <c r="EZ64" s="9"/>
      <c r="FA64" s="9"/>
      <c r="FB64" s="9"/>
      <c r="FC64" s="9"/>
      <c r="FD64" s="9"/>
      <c r="FE64" s="9"/>
      <c r="FF64" s="9"/>
      <c r="FG64" s="9"/>
      <c r="FH64" s="9"/>
      <c r="FI64" s="9"/>
      <c r="FJ64" s="9"/>
      <c r="FK64" s="9"/>
      <c r="FL64" s="9"/>
      <c r="FM64" s="9"/>
      <c r="FN64" s="9"/>
      <c r="FO64" s="9"/>
      <c r="FP64" s="9"/>
      <c r="FQ64" s="9"/>
      <c r="FR64" s="9"/>
      <c r="FS64" s="9"/>
      <c r="FT64" s="9"/>
      <c r="FU64" s="9"/>
      <c r="FV64" s="9"/>
      <c r="FW64" s="9"/>
      <c r="FX64" s="9"/>
      <c r="FY64" s="9"/>
      <c r="FZ64" s="9"/>
      <c r="GA64" s="9"/>
      <c r="GB64" s="9"/>
      <c r="GC64" s="9"/>
      <c r="GD64" s="9"/>
      <c r="GE64" s="9"/>
      <c r="GF64" s="9"/>
      <c r="GG64" s="9"/>
      <c r="GH64" s="9"/>
      <c r="GI64" s="9"/>
      <c r="GJ64" s="9"/>
      <c r="GK64" s="9"/>
      <c r="GL64" s="9"/>
      <c r="GM64" s="9"/>
      <c r="GN64" s="9"/>
      <c r="GO64" s="9"/>
      <c r="GP64" s="9"/>
      <c r="GQ64" s="9"/>
      <c r="GR64" s="9"/>
      <c r="GS64" s="9"/>
      <c r="GT64" s="9"/>
      <c r="GU64" s="9"/>
      <c r="GV64" s="9"/>
      <c r="GW64" s="9"/>
      <c r="GX64" s="9"/>
      <c r="GY64" s="9"/>
      <c r="GZ64" s="9"/>
      <c r="HA64" s="9"/>
      <c r="HB64" s="9"/>
      <c r="HC64" s="9"/>
      <c r="HD64" s="9"/>
      <c r="HE64" s="9"/>
      <c r="HF64" s="9"/>
      <c r="HG64" s="9"/>
      <c r="HH64" s="9"/>
      <c r="HI64" s="9"/>
      <c r="HJ64" s="9"/>
      <c r="HQ64" t="s">
        <v>677</v>
      </c>
      <c r="HS64" s="4" t="s">
        <v>490</v>
      </c>
      <c r="HT64" s="50">
        <v>34335</v>
      </c>
      <c r="HU64" s="50">
        <v>36160</v>
      </c>
      <c r="HV64" s="50"/>
      <c r="HW64" s="50"/>
      <c r="IN64" s="4"/>
      <c r="IO64" t="s">
        <v>694</v>
      </c>
      <c r="IP64" s="12" t="s">
        <v>695</v>
      </c>
      <c r="IS64">
        <v>1994</v>
      </c>
      <c r="IT64">
        <v>1994.2</v>
      </c>
      <c r="IU64" s="4" t="s">
        <v>544</v>
      </c>
      <c r="IV64" t="s">
        <v>696</v>
      </c>
      <c r="IW64" s="12" t="s">
        <v>681</v>
      </c>
      <c r="IZ64">
        <v>0.5</v>
      </c>
      <c r="JA64" t="s">
        <v>480</v>
      </c>
      <c r="JB64" t="s">
        <v>480</v>
      </c>
      <c r="JC64" t="s">
        <v>480</v>
      </c>
      <c r="JD64" t="s">
        <v>480</v>
      </c>
      <c r="JE64" t="s">
        <v>480</v>
      </c>
      <c r="JF64" t="s">
        <v>480</v>
      </c>
      <c r="JG64" t="s">
        <v>480</v>
      </c>
      <c r="JH64" t="s">
        <v>480</v>
      </c>
      <c r="JI64" t="s">
        <v>480</v>
      </c>
      <c r="JK64" s="12" t="s">
        <v>682</v>
      </c>
      <c r="JP64" s="4"/>
      <c r="JV64" s="4"/>
      <c r="JW64" s="4"/>
      <c r="JX64" s="4"/>
      <c r="JY64" s="4"/>
      <c r="JZ64" s="4"/>
      <c r="KA64" s="4"/>
      <c r="KF64" s="7" t="s">
        <v>500</v>
      </c>
      <c r="KJ64" s="45" t="s">
        <v>683</v>
      </c>
      <c r="KK64" s="8" t="s">
        <v>562</v>
      </c>
      <c r="KL64" t="s">
        <v>480</v>
      </c>
      <c r="KM64" t="s">
        <v>480</v>
      </c>
      <c r="MY64" t="s">
        <v>684</v>
      </c>
      <c r="MZ64">
        <v>42</v>
      </c>
      <c r="NB64" t="s">
        <v>710</v>
      </c>
      <c r="NG64" t="s">
        <v>686</v>
      </c>
      <c r="NH64" t="s">
        <v>711</v>
      </c>
      <c r="NJ64" t="s">
        <v>712</v>
      </c>
      <c r="NL64" s="4" t="s">
        <v>689</v>
      </c>
      <c r="NM64" t="s">
        <v>713</v>
      </c>
      <c r="NN64">
        <v>0</v>
      </c>
      <c r="NO64">
        <v>15</v>
      </c>
      <c r="NV64" t="s">
        <v>518</v>
      </c>
      <c r="NW64" s="3">
        <v>111</v>
      </c>
      <c r="NX64" s="4" t="s">
        <v>520</v>
      </c>
      <c r="NY64" s="3">
        <v>59</v>
      </c>
      <c r="OB64">
        <v>4</v>
      </c>
      <c r="OU64" t="s">
        <v>715</v>
      </c>
      <c r="OW64">
        <v>1996</v>
      </c>
      <c r="OZ64" s="2" t="s">
        <v>709</v>
      </c>
      <c r="PB64" t="s">
        <v>522</v>
      </c>
      <c r="PC64" s="50">
        <v>46094</v>
      </c>
    </row>
    <row r="65" spans="1:419" ht="15.75" thickBot="1">
      <c r="A65" s="11" t="s">
        <v>665</v>
      </c>
      <c r="B65" t="s">
        <v>666</v>
      </c>
      <c r="C65" t="s">
        <v>667</v>
      </c>
      <c r="D65" s="4" t="s">
        <v>668</v>
      </c>
      <c r="E65" t="s">
        <v>669</v>
      </c>
      <c r="F65" s="88" t="s">
        <v>670</v>
      </c>
      <c r="G65" t="s">
        <v>475</v>
      </c>
      <c r="H65" t="s">
        <v>476</v>
      </c>
      <c r="I65" s="10">
        <v>0.1</v>
      </c>
      <c r="J65" s="10">
        <v>34.566667000000002</v>
      </c>
      <c r="K65">
        <v>150</v>
      </c>
      <c r="AV65" t="s">
        <v>671</v>
      </c>
      <c r="AW65">
        <v>100</v>
      </c>
      <c r="AX65" t="s">
        <v>480</v>
      </c>
      <c r="AY65">
        <v>4</v>
      </c>
      <c r="AZ65" t="s">
        <v>672</v>
      </c>
      <c r="BA65">
        <v>1994</v>
      </c>
      <c r="BB65">
        <v>1998</v>
      </c>
      <c r="BC65" t="s">
        <v>673</v>
      </c>
      <c r="BD65" s="10" t="s">
        <v>697</v>
      </c>
      <c r="BE65" t="s">
        <v>572</v>
      </c>
      <c r="BF65" s="3" t="s">
        <v>484</v>
      </c>
      <c r="BG65" t="s">
        <v>485</v>
      </c>
      <c r="BH65" t="s">
        <v>675</v>
      </c>
      <c r="BI65" s="4" t="s">
        <v>486</v>
      </c>
      <c r="BJ65" s="9">
        <v>53000</v>
      </c>
      <c r="EE65" s="4"/>
      <c r="EF65" s="9"/>
      <c r="EG65" s="9"/>
      <c r="EH65" s="9"/>
      <c r="EI65" s="9"/>
      <c r="EJ65" s="9"/>
      <c r="EK65" s="9"/>
      <c r="EL65" s="9"/>
      <c r="EM65" s="9"/>
      <c r="EN65" s="9"/>
      <c r="EO65" s="9"/>
      <c r="EP65" s="9"/>
      <c r="EQ65" s="9"/>
      <c r="ER65" s="9"/>
      <c r="ES65" s="9"/>
      <c r="ET65" s="9"/>
      <c r="EU65" s="9"/>
      <c r="EV65" s="9"/>
      <c r="EW65" s="9"/>
      <c r="EX65" s="9"/>
      <c r="EY65" s="9"/>
      <c r="EZ65" s="9"/>
      <c r="FA65" s="9"/>
      <c r="FB65" s="9"/>
      <c r="FC65" s="9"/>
      <c r="FD65" s="9"/>
      <c r="FE65" s="9"/>
      <c r="FF65" s="9"/>
      <c r="FG65" s="9"/>
      <c r="FH65" s="9"/>
      <c r="FI65" s="9"/>
      <c r="FJ65" s="9"/>
      <c r="FK65" s="9"/>
      <c r="FL65" s="9"/>
      <c r="FM65" s="9"/>
      <c r="FN65" s="9"/>
      <c r="FO65" s="9"/>
      <c r="FP65" s="9"/>
      <c r="FQ65" s="9"/>
      <c r="FR65" s="9"/>
      <c r="FS65" s="9"/>
      <c r="FT65" s="9"/>
      <c r="FU65" s="9"/>
      <c r="FV65" s="9"/>
      <c r="FW65" s="9"/>
      <c r="FX65" s="9"/>
      <c r="FY65" s="9"/>
      <c r="FZ65" s="9"/>
      <c r="GA65" s="9"/>
      <c r="GB65" s="9"/>
      <c r="GC65" s="9"/>
      <c r="GD65" s="9"/>
      <c r="GE65" s="9"/>
      <c r="GF65" s="9"/>
      <c r="GG65" s="9"/>
      <c r="GH65" s="9"/>
      <c r="GI65" s="9"/>
      <c r="GJ65" s="9"/>
      <c r="GK65" s="9"/>
      <c r="GL65" s="9"/>
      <c r="GM65" s="9"/>
      <c r="GN65" s="9"/>
      <c r="GO65" s="9"/>
      <c r="GP65" s="9"/>
      <c r="GQ65" s="9"/>
      <c r="GR65" s="9"/>
      <c r="GS65" s="9"/>
      <c r="GT65" s="9"/>
      <c r="GU65" s="9"/>
      <c r="GV65" s="9"/>
      <c r="GW65" s="9"/>
      <c r="GX65" s="9"/>
      <c r="GY65" s="9"/>
      <c r="GZ65" s="9"/>
      <c r="HA65" s="9"/>
      <c r="HB65" s="9"/>
      <c r="HC65" s="9"/>
      <c r="HD65" s="9"/>
      <c r="HE65" s="9"/>
      <c r="HF65" s="9"/>
      <c r="HG65" s="9"/>
      <c r="HH65" s="9"/>
      <c r="HI65" s="9"/>
      <c r="HJ65" s="9"/>
      <c r="HQ65" t="s">
        <v>677</v>
      </c>
      <c r="HS65" s="4" t="s">
        <v>490</v>
      </c>
      <c r="HT65" s="50">
        <v>34335</v>
      </c>
      <c r="HU65" s="50">
        <v>36160</v>
      </c>
      <c r="HV65" s="50"/>
      <c r="HW65" s="50"/>
      <c r="IO65" t="s">
        <v>698</v>
      </c>
      <c r="IP65" s="46" t="s">
        <v>699</v>
      </c>
      <c r="IS65">
        <v>1995</v>
      </c>
      <c r="IT65">
        <v>1995.2</v>
      </c>
      <c r="IU65" s="4" t="s">
        <v>544</v>
      </c>
      <c r="IV65" t="s">
        <v>700</v>
      </c>
      <c r="IW65" t="s">
        <v>492</v>
      </c>
      <c r="JA65">
        <v>0</v>
      </c>
      <c r="JB65">
        <v>0</v>
      </c>
      <c r="JC65">
        <v>0</v>
      </c>
      <c r="JD65">
        <v>0</v>
      </c>
      <c r="JE65">
        <v>0</v>
      </c>
      <c r="JF65">
        <v>0</v>
      </c>
      <c r="JG65">
        <v>0</v>
      </c>
      <c r="JH65">
        <v>0</v>
      </c>
      <c r="JI65">
        <v>0</v>
      </c>
      <c r="JK65" s="12" t="s">
        <v>682</v>
      </c>
      <c r="JP65" s="4"/>
      <c r="JV65" s="4"/>
      <c r="JW65" s="4"/>
      <c r="JX65" s="4"/>
      <c r="JY65" s="4"/>
      <c r="JZ65" s="4"/>
      <c r="KA65" s="4"/>
      <c r="KF65" s="7" t="s">
        <v>500</v>
      </c>
      <c r="KJ65" s="7" t="s">
        <v>649</v>
      </c>
      <c r="MY65" t="s">
        <v>684</v>
      </c>
      <c r="MZ65">
        <v>42</v>
      </c>
      <c r="NB65" t="s">
        <v>710</v>
      </c>
      <c r="NG65" t="s">
        <v>686</v>
      </c>
      <c r="NH65" t="s">
        <v>711</v>
      </c>
      <c r="NJ65" t="s">
        <v>712</v>
      </c>
      <c r="NL65" s="4" t="s">
        <v>689</v>
      </c>
      <c r="NM65" t="s">
        <v>713</v>
      </c>
      <c r="NN65">
        <v>0</v>
      </c>
      <c r="NO65">
        <v>15</v>
      </c>
      <c r="NV65" t="s">
        <v>518</v>
      </c>
      <c r="NW65" s="3">
        <v>99</v>
      </c>
      <c r="NX65" s="4" t="s">
        <v>520</v>
      </c>
      <c r="NY65" s="3">
        <v>34</v>
      </c>
      <c r="OB65">
        <v>4</v>
      </c>
      <c r="OU65" t="s">
        <v>715</v>
      </c>
      <c r="OW65">
        <v>1996</v>
      </c>
      <c r="OZ65" s="2" t="s">
        <v>709</v>
      </c>
      <c r="PB65" t="s">
        <v>522</v>
      </c>
      <c r="PC65" s="50">
        <v>46094</v>
      </c>
    </row>
    <row r="66" spans="1:419" ht="15.75" thickBot="1">
      <c r="A66" s="11" t="s">
        <v>665</v>
      </c>
      <c r="B66" t="s">
        <v>666</v>
      </c>
      <c r="C66" t="s">
        <v>667</v>
      </c>
      <c r="D66" s="4" t="s">
        <v>668</v>
      </c>
      <c r="E66" t="s">
        <v>669</v>
      </c>
      <c r="F66" s="88" t="s">
        <v>670</v>
      </c>
      <c r="G66" t="s">
        <v>475</v>
      </c>
      <c r="H66" t="s">
        <v>476</v>
      </c>
      <c r="I66" s="10">
        <v>0.1</v>
      </c>
      <c r="J66" s="10">
        <v>34.566667000000002</v>
      </c>
      <c r="K66">
        <v>150</v>
      </c>
      <c r="AV66" t="s">
        <v>671</v>
      </c>
      <c r="AW66">
        <v>100</v>
      </c>
      <c r="AX66" t="s">
        <v>480</v>
      </c>
      <c r="AY66">
        <v>4</v>
      </c>
      <c r="AZ66" t="s">
        <v>672</v>
      </c>
      <c r="BA66">
        <v>1994</v>
      </c>
      <c r="BB66">
        <v>1998</v>
      </c>
      <c r="BC66" t="s">
        <v>673</v>
      </c>
      <c r="BD66" s="10" t="s">
        <v>701</v>
      </c>
      <c r="BE66" t="s">
        <v>553</v>
      </c>
      <c r="BF66" s="3" t="s">
        <v>484</v>
      </c>
      <c r="BG66" t="s">
        <v>485</v>
      </c>
      <c r="BH66" t="s">
        <v>675</v>
      </c>
      <c r="BI66" s="4" t="s">
        <v>486</v>
      </c>
      <c r="BJ66" s="9">
        <v>53000</v>
      </c>
      <c r="EE66" s="4"/>
      <c r="EF66" s="9"/>
      <c r="EG66" s="9"/>
      <c r="EH66" s="9"/>
      <c r="EI66" s="9"/>
      <c r="EJ66" s="9"/>
      <c r="EK66" s="9"/>
      <c r="EL66" s="9"/>
      <c r="EM66" s="9"/>
      <c r="EN66" s="9"/>
      <c r="EO66" s="9"/>
      <c r="EP66" s="9"/>
      <c r="EQ66" s="9"/>
      <c r="ER66" s="9"/>
      <c r="ES66" s="9"/>
      <c r="ET66" s="9"/>
      <c r="EU66" s="9"/>
      <c r="EV66" s="9"/>
      <c r="EW66" s="9"/>
      <c r="EX66" s="9"/>
      <c r="EY66" s="9"/>
      <c r="EZ66" s="9"/>
      <c r="FA66" s="9"/>
      <c r="FB66" s="9"/>
      <c r="FC66" s="9"/>
      <c r="FD66" s="9"/>
      <c r="FE66" s="9"/>
      <c r="FF66" s="9"/>
      <c r="FG66" s="9"/>
      <c r="FH66" s="9"/>
      <c r="FI66" s="9"/>
      <c r="FJ66" s="9"/>
      <c r="FK66" s="9"/>
      <c r="FL66" s="9"/>
      <c r="FM66" s="9"/>
      <c r="FN66" s="9"/>
      <c r="FO66" s="9"/>
      <c r="FP66" s="9"/>
      <c r="FQ66" s="9"/>
      <c r="FR66" s="9"/>
      <c r="FS66" s="9"/>
      <c r="FT66" s="9"/>
      <c r="FU66" s="9"/>
      <c r="FV66" s="9"/>
      <c r="FW66" s="9"/>
      <c r="FX66" s="9"/>
      <c r="FY66" s="9"/>
      <c r="FZ66" s="9"/>
      <c r="GA66" s="9"/>
      <c r="GB66" s="9"/>
      <c r="GC66" s="9"/>
      <c r="GD66" s="9"/>
      <c r="GE66" s="9"/>
      <c r="GF66" s="9"/>
      <c r="GG66" s="9"/>
      <c r="GH66" s="9"/>
      <c r="GI66" s="9"/>
      <c r="GJ66" s="9"/>
      <c r="GK66" s="9"/>
      <c r="GL66" s="9"/>
      <c r="GM66" s="9"/>
      <c r="GN66" s="9"/>
      <c r="GO66" s="9"/>
      <c r="GP66" s="9"/>
      <c r="GQ66" s="9"/>
      <c r="GR66" s="9"/>
      <c r="GS66" s="9"/>
      <c r="GT66" s="9"/>
      <c r="GU66" s="9"/>
      <c r="GV66" s="9"/>
      <c r="GW66" s="9"/>
      <c r="GX66" s="9"/>
      <c r="GY66" s="9"/>
      <c r="GZ66" s="9"/>
      <c r="HA66" s="9"/>
      <c r="HB66" s="9"/>
      <c r="HC66" s="9"/>
      <c r="HD66" s="9"/>
      <c r="HE66" s="9"/>
      <c r="HF66" s="9"/>
      <c r="HG66" s="9"/>
      <c r="HH66" s="9"/>
      <c r="HI66" s="9"/>
      <c r="HJ66" s="9"/>
      <c r="HQ66" t="s">
        <v>677</v>
      </c>
      <c r="HS66" s="4" t="s">
        <v>490</v>
      </c>
      <c r="HT66" s="50">
        <v>34335</v>
      </c>
      <c r="HU66" s="50">
        <v>36160</v>
      </c>
      <c r="HV66" s="50"/>
      <c r="HW66" s="50"/>
      <c r="IO66" t="s">
        <v>702</v>
      </c>
      <c r="IP66" s="13" t="s">
        <v>703</v>
      </c>
      <c r="IS66">
        <v>1994</v>
      </c>
      <c r="IT66">
        <v>1994.2</v>
      </c>
      <c r="IU66" s="4" t="s">
        <v>544</v>
      </c>
      <c r="IV66" t="s">
        <v>700</v>
      </c>
      <c r="IW66" t="s">
        <v>492</v>
      </c>
      <c r="JA66">
        <v>0</v>
      </c>
      <c r="JB66">
        <v>0</v>
      </c>
      <c r="JC66">
        <v>0</v>
      </c>
      <c r="JD66">
        <v>0</v>
      </c>
      <c r="JE66">
        <v>0</v>
      </c>
      <c r="JF66">
        <v>0</v>
      </c>
      <c r="JG66">
        <v>0</v>
      </c>
      <c r="JH66">
        <v>0</v>
      </c>
      <c r="JI66">
        <v>0</v>
      </c>
      <c r="JK66" s="12" t="s">
        <v>682</v>
      </c>
      <c r="JP66" s="4"/>
      <c r="JV66" s="4"/>
      <c r="JW66" s="4"/>
      <c r="JX66" s="4"/>
      <c r="JY66" s="4"/>
      <c r="JZ66" s="4"/>
      <c r="KA66" s="4"/>
      <c r="KF66" s="7" t="s">
        <v>500</v>
      </c>
      <c r="KJ66" s="7" t="s">
        <v>649</v>
      </c>
      <c r="MY66" t="s">
        <v>684</v>
      </c>
      <c r="MZ66">
        <v>42</v>
      </c>
      <c r="NB66" t="s">
        <v>710</v>
      </c>
      <c r="NG66" t="s">
        <v>686</v>
      </c>
      <c r="NH66" t="s">
        <v>711</v>
      </c>
      <c r="NJ66" t="s">
        <v>712</v>
      </c>
      <c r="NL66" s="4" t="s">
        <v>689</v>
      </c>
      <c r="NM66" t="s">
        <v>713</v>
      </c>
      <c r="NN66">
        <v>0</v>
      </c>
      <c r="NO66">
        <v>15</v>
      </c>
      <c r="NV66" t="s">
        <v>518</v>
      </c>
      <c r="NW66" s="3">
        <v>125</v>
      </c>
      <c r="NX66" s="4" t="s">
        <v>520</v>
      </c>
      <c r="NY66" s="3">
        <v>26</v>
      </c>
      <c r="OB66">
        <v>4</v>
      </c>
      <c r="OU66" t="s">
        <v>715</v>
      </c>
      <c r="OW66">
        <v>1996</v>
      </c>
      <c r="OZ66" s="2" t="s">
        <v>709</v>
      </c>
      <c r="PB66" t="s">
        <v>522</v>
      </c>
      <c r="PC66" s="50">
        <v>46094</v>
      </c>
    </row>
    <row r="67" spans="1:419" ht="15.75" thickBot="1">
      <c r="A67" s="11" t="s">
        <v>665</v>
      </c>
      <c r="B67" t="s">
        <v>666</v>
      </c>
      <c r="C67" t="s">
        <v>667</v>
      </c>
      <c r="D67" s="4" t="s">
        <v>668</v>
      </c>
      <c r="E67" t="s">
        <v>669</v>
      </c>
      <c r="F67" s="88" t="s">
        <v>670</v>
      </c>
      <c r="G67" t="s">
        <v>475</v>
      </c>
      <c r="H67" t="s">
        <v>476</v>
      </c>
      <c r="I67" s="10">
        <v>0.1</v>
      </c>
      <c r="J67" s="10">
        <v>34.566667000000002</v>
      </c>
      <c r="K67">
        <v>150</v>
      </c>
      <c r="AV67" t="s">
        <v>671</v>
      </c>
      <c r="AW67">
        <v>100</v>
      </c>
      <c r="AX67" t="s">
        <v>480</v>
      </c>
      <c r="AY67">
        <v>4</v>
      </c>
      <c r="AZ67" t="s">
        <v>672</v>
      </c>
      <c r="BA67">
        <v>1994</v>
      </c>
      <c r="BB67">
        <v>1998</v>
      </c>
      <c r="BC67" t="s">
        <v>673</v>
      </c>
      <c r="BD67" s="10" t="s">
        <v>704</v>
      </c>
      <c r="BE67" t="s">
        <v>524</v>
      </c>
      <c r="BF67" s="3" t="s">
        <v>484</v>
      </c>
      <c r="BG67" t="s">
        <v>485</v>
      </c>
      <c r="BH67" t="s">
        <v>675</v>
      </c>
      <c r="BI67" s="4" t="s">
        <v>486</v>
      </c>
      <c r="BJ67" s="9">
        <v>53000</v>
      </c>
      <c r="HQ67" t="s">
        <v>677</v>
      </c>
      <c r="HS67" s="4" t="s">
        <v>490</v>
      </c>
      <c r="HT67" s="50">
        <v>34335</v>
      </c>
      <c r="HU67" s="50">
        <v>36160</v>
      </c>
      <c r="HV67" s="50"/>
      <c r="HW67" s="50"/>
      <c r="IO67" t="s">
        <v>700</v>
      </c>
      <c r="IP67" s="46" t="s">
        <v>492</v>
      </c>
      <c r="IU67" s="4" t="s">
        <v>544</v>
      </c>
      <c r="IV67" t="s">
        <v>700</v>
      </c>
      <c r="IW67" s="46" t="s">
        <v>492</v>
      </c>
      <c r="JA67">
        <v>0</v>
      </c>
      <c r="JB67">
        <v>0</v>
      </c>
      <c r="JC67">
        <v>0</v>
      </c>
      <c r="JD67">
        <v>0</v>
      </c>
      <c r="JE67">
        <v>0</v>
      </c>
      <c r="JF67">
        <v>0</v>
      </c>
      <c r="JG67">
        <v>0</v>
      </c>
      <c r="JH67">
        <v>0</v>
      </c>
      <c r="JI67">
        <v>0</v>
      </c>
      <c r="JK67" s="12" t="s">
        <v>682</v>
      </c>
      <c r="JP67" s="4"/>
      <c r="JV67" s="4"/>
      <c r="JW67" s="4"/>
      <c r="JX67" s="4"/>
      <c r="JY67" s="4"/>
      <c r="JZ67" s="4"/>
      <c r="KA67" s="4"/>
      <c r="KF67" s="7" t="s">
        <v>500</v>
      </c>
      <c r="KJ67" s="7" t="s">
        <v>649</v>
      </c>
      <c r="MY67" t="s">
        <v>684</v>
      </c>
      <c r="MZ67">
        <v>42</v>
      </c>
      <c r="NB67" t="s">
        <v>710</v>
      </c>
      <c r="NG67" t="s">
        <v>686</v>
      </c>
      <c r="NH67" t="s">
        <v>711</v>
      </c>
      <c r="NJ67" t="s">
        <v>712</v>
      </c>
      <c r="NL67" s="4" t="s">
        <v>689</v>
      </c>
      <c r="NM67" t="s">
        <v>713</v>
      </c>
      <c r="NN67">
        <v>0</v>
      </c>
      <c r="NO67">
        <v>15</v>
      </c>
      <c r="NU67" t="s">
        <v>517</v>
      </c>
      <c r="NV67" t="s">
        <v>518</v>
      </c>
      <c r="NW67" s="3">
        <v>57</v>
      </c>
      <c r="NX67" s="4" t="s">
        <v>520</v>
      </c>
      <c r="NY67" s="3">
        <v>7</v>
      </c>
      <c r="OB67">
        <v>4</v>
      </c>
      <c r="OU67" t="s">
        <v>715</v>
      </c>
      <c r="OW67">
        <v>1996</v>
      </c>
      <c r="OZ67" s="2" t="s">
        <v>709</v>
      </c>
      <c r="PB67" t="s">
        <v>522</v>
      </c>
      <c r="PC67" s="50">
        <v>46094</v>
      </c>
    </row>
    <row r="68" spans="1:419" ht="15.75" thickBot="1">
      <c r="A68" s="11" t="s">
        <v>665</v>
      </c>
      <c r="B68" t="s">
        <v>666</v>
      </c>
      <c r="C68" t="s">
        <v>667</v>
      </c>
      <c r="D68" s="4" t="s">
        <v>668</v>
      </c>
      <c r="E68" t="s">
        <v>669</v>
      </c>
      <c r="F68" s="88" t="s">
        <v>670</v>
      </c>
      <c r="G68" t="s">
        <v>475</v>
      </c>
      <c r="H68" t="s">
        <v>476</v>
      </c>
      <c r="I68" s="10">
        <v>0.1</v>
      </c>
      <c r="J68" s="10">
        <v>34.566667000000002</v>
      </c>
      <c r="K68">
        <v>150</v>
      </c>
      <c r="AV68" t="s">
        <v>671</v>
      </c>
      <c r="AW68">
        <v>100</v>
      </c>
      <c r="AX68" t="s">
        <v>480</v>
      </c>
      <c r="AY68">
        <v>4</v>
      </c>
      <c r="AZ68" t="s">
        <v>672</v>
      </c>
      <c r="BA68">
        <v>1994</v>
      </c>
      <c r="BB68">
        <v>1998</v>
      </c>
      <c r="BC68" t="s">
        <v>673</v>
      </c>
      <c r="BD68" s="10" t="s">
        <v>705</v>
      </c>
      <c r="BE68" t="s">
        <v>483</v>
      </c>
      <c r="BF68" s="3" t="s">
        <v>484</v>
      </c>
      <c r="BG68" t="s">
        <v>485</v>
      </c>
      <c r="BH68" t="s">
        <v>675</v>
      </c>
      <c r="BI68" s="4" t="s">
        <v>486</v>
      </c>
      <c r="BJ68" s="9">
        <v>53000</v>
      </c>
      <c r="HQ68" t="s">
        <v>677</v>
      </c>
      <c r="HS68" s="4" t="s">
        <v>490</v>
      </c>
      <c r="HT68" s="50">
        <v>34335</v>
      </c>
      <c r="HU68" s="50">
        <v>36160</v>
      </c>
      <c r="HV68" s="50"/>
      <c r="HW68" s="50"/>
      <c r="IO68" t="s">
        <v>706</v>
      </c>
      <c r="IP68" s="46" t="s">
        <v>492</v>
      </c>
      <c r="IU68" s="4" t="s">
        <v>544</v>
      </c>
      <c r="IV68" t="s">
        <v>707</v>
      </c>
      <c r="IW68" s="46" t="s">
        <v>492</v>
      </c>
      <c r="JA68">
        <v>0</v>
      </c>
      <c r="JB68">
        <v>0</v>
      </c>
      <c r="JC68">
        <v>0</v>
      </c>
      <c r="JD68">
        <v>0</v>
      </c>
      <c r="JE68">
        <v>0</v>
      </c>
      <c r="JF68">
        <v>0</v>
      </c>
      <c r="JG68">
        <v>0</v>
      </c>
      <c r="JH68">
        <v>0</v>
      </c>
      <c r="JI68">
        <v>0</v>
      </c>
      <c r="JJ68" t="s">
        <v>706</v>
      </c>
      <c r="JK68" t="s">
        <v>494</v>
      </c>
      <c r="JL68" s="8" t="s">
        <v>495</v>
      </c>
      <c r="JP68" s="4" t="s">
        <v>508</v>
      </c>
      <c r="JQ68">
        <v>60</v>
      </c>
      <c r="JT68">
        <v>60</v>
      </c>
      <c r="JV68" s="4"/>
      <c r="JW68" s="4"/>
      <c r="JX68" s="4"/>
      <c r="JY68" s="4"/>
      <c r="JZ68" s="4"/>
      <c r="KA68" s="4"/>
      <c r="KF68" s="7" t="s">
        <v>500</v>
      </c>
      <c r="KJ68" s="7" t="s">
        <v>649</v>
      </c>
      <c r="MY68" t="s">
        <v>684</v>
      </c>
      <c r="MZ68">
        <v>42</v>
      </c>
      <c r="NB68" t="s">
        <v>710</v>
      </c>
      <c r="NG68" t="s">
        <v>686</v>
      </c>
      <c r="NH68" t="s">
        <v>711</v>
      </c>
      <c r="NJ68" t="s">
        <v>712</v>
      </c>
      <c r="NL68" s="4" t="s">
        <v>689</v>
      </c>
      <c r="NM68" t="s">
        <v>713</v>
      </c>
      <c r="NN68">
        <v>0</v>
      </c>
      <c r="NO68">
        <v>15</v>
      </c>
      <c r="NU68" t="s">
        <v>708</v>
      </c>
      <c r="NV68" t="s">
        <v>518</v>
      </c>
      <c r="NW68" s="3">
        <v>37</v>
      </c>
      <c r="NX68" s="4" t="s">
        <v>520</v>
      </c>
      <c r="NY68" s="3">
        <v>10</v>
      </c>
      <c r="OB68">
        <v>4</v>
      </c>
      <c r="OU68" t="s">
        <v>715</v>
      </c>
      <c r="OW68">
        <v>1996</v>
      </c>
      <c r="OZ68" s="2" t="s">
        <v>709</v>
      </c>
      <c r="PB68" t="s">
        <v>522</v>
      </c>
      <c r="PC68" s="50">
        <v>46094</v>
      </c>
    </row>
    <row r="69" spans="1:419" ht="15.75" thickBot="1">
      <c r="A69" s="11" t="s">
        <v>665</v>
      </c>
      <c r="B69" t="s">
        <v>666</v>
      </c>
      <c r="C69" t="s">
        <v>667</v>
      </c>
      <c r="D69" s="4" t="s">
        <v>668</v>
      </c>
      <c r="E69" t="s">
        <v>669</v>
      </c>
      <c r="F69" s="88" t="s">
        <v>670</v>
      </c>
      <c r="G69" t="s">
        <v>475</v>
      </c>
      <c r="H69" t="s">
        <v>476</v>
      </c>
      <c r="I69" s="10">
        <v>0.1</v>
      </c>
      <c r="J69" s="10">
        <v>34.566667000000002</v>
      </c>
      <c r="K69">
        <v>150</v>
      </c>
      <c r="AV69" t="s">
        <v>671</v>
      </c>
      <c r="AW69">
        <v>100</v>
      </c>
      <c r="AX69" t="s">
        <v>480</v>
      </c>
      <c r="AY69">
        <v>4</v>
      </c>
      <c r="AZ69" t="s">
        <v>672</v>
      </c>
      <c r="BA69">
        <v>1994</v>
      </c>
      <c r="BB69">
        <v>1998</v>
      </c>
      <c r="BC69" t="s">
        <v>673</v>
      </c>
      <c r="BD69" s="10" t="s">
        <v>674</v>
      </c>
      <c r="BE69" t="s">
        <v>536</v>
      </c>
      <c r="BF69" s="3" t="s">
        <v>484</v>
      </c>
      <c r="BG69" t="s">
        <v>485</v>
      </c>
      <c r="BH69" t="s">
        <v>675</v>
      </c>
      <c r="BI69" s="4" t="s">
        <v>486</v>
      </c>
      <c r="BJ69" s="9">
        <v>53000</v>
      </c>
      <c r="ED69" t="s">
        <v>676</v>
      </c>
      <c r="EE69" s="4" t="s">
        <v>486</v>
      </c>
      <c r="EF69" s="9">
        <v>53000</v>
      </c>
      <c r="EG69" s="9"/>
      <c r="EH69" s="9"/>
      <c r="EI69" s="9"/>
      <c r="EJ69" s="9"/>
      <c r="EK69" s="9"/>
      <c r="EL69" s="9"/>
      <c r="EM69" s="9"/>
      <c r="EN69" s="9"/>
      <c r="EO69" s="9"/>
      <c r="EP69" s="9"/>
      <c r="EQ69" s="9"/>
      <c r="ER69" s="9"/>
      <c r="ES69" s="9"/>
      <c r="ET69" s="9"/>
      <c r="EU69" s="9"/>
      <c r="EV69" s="9"/>
      <c r="EW69" s="9"/>
      <c r="EX69" s="9"/>
      <c r="EY69" s="9"/>
      <c r="EZ69" s="9"/>
      <c r="FA69" s="9"/>
      <c r="FB69" s="9"/>
      <c r="FC69" s="9"/>
      <c r="FD69" s="9"/>
      <c r="FE69" s="9"/>
      <c r="FF69" s="9"/>
      <c r="FG69" s="9"/>
      <c r="FH69" s="9"/>
      <c r="FI69" s="9"/>
      <c r="FJ69" s="9"/>
      <c r="FK69" s="9"/>
      <c r="FL69" s="9"/>
      <c r="FM69" s="9"/>
      <c r="FN69" s="9"/>
      <c r="FO69" s="9"/>
      <c r="FP69" s="9"/>
      <c r="FQ69" s="9"/>
      <c r="FR69" s="9"/>
      <c r="FS69" s="9"/>
      <c r="FT69" s="9"/>
      <c r="FU69" s="9"/>
      <c r="FV69" s="9"/>
      <c r="FW69" s="9"/>
      <c r="FX69" s="9"/>
      <c r="FY69" s="9"/>
      <c r="FZ69" s="9"/>
      <c r="GA69" s="9"/>
      <c r="GB69" s="9"/>
      <c r="GC69" s="9"/>
      <c r="GD69" s="9"/>
      <c r="GE69" s="9"/>
      <c r="GF69" s="9"/>
      <c r="GG69" s="9"/>
      <c r="GH69" s="9"/>
      <c r="GI69" s="9"/>
      <c r="GJ69" s="9"/>
      <c r="GK69" s="9"/>
      <c r="GL69" s="9"/>
      <c r="GM69" s="9"/>
      <c r="GN69" s="9"/>
      <c r="GO69" s="9"/>
      <c r="GP69" s="9"/>
      <c r="GQ69" s="9"/>
      <c r="GR69" s="9"/>
      <c r="GS69" s="9"/>
      <c r="GT69" s="9"/>
      <c r="GU69" s="9"/>
      <c r="GV69" s="9"/>
      <c r="GW69" s="9"/>
      <c r="GX69" s="9"/>
      <c r="GY69" s="9"/>
      <c r="GZ69" s="9"/>
      <c r="HA69" s="9"/>
      <c r="HB69" s="9"/>
      <c r="HC69" s="9"/>
      <c r="HD69" s="9"/>
      <c r="HE69" s="9"/>
      <c r="HF69" s="9"/>
      <c r="HG69" s="9"/>
      <c r="HH69" s="9"/>
      <c r="HI69" s="9"/>
      <c r="HJ69" s="9"/>
      <c r="HQ69" t="s">
        <v>677</v>
      </c>
      <c r="HS69" s="4" t="s">
        <v>490</v>
      </c>
      <c r="HT69" s="50">
        <v>34335</v>
      </c>
      <c r="HU69" s="50">
        <v>36160</v>
      </c>
      <c r="HV69" s="50"/>
      <c r="HW69" s="50"/>
      <c r="IN69" s="4"/>
      <c r="IO69" t="s">
        <v>678</v>
      </c>
      <c r="IP69" s="12" t="s">
        <v>679</v>
      </c>
      <c r="IS69">
        <v>1995</v>
      </c>
      <c r="IT69">
        <v>1995.2</v>
      </c>
      <c r="IU69" s="4" t="s">
        <v>544</v>
      </c>
      <c r="IV69" t="s">
        <v>680</v>
      </c>
      <c r="IW69" s="12" t="s">
        <v>681</v>
      </c>
      <c r="IZ69">
        <v>0.5</v>
      </c>
      <c r="JA69" t="s">
        <v>480</v>
      </c>
      <c r="JB69" t="s">
        <v>480</v>
      </c>
      <c r="JC69" t="s">
        <v>480</v>
      </c>
      <c r="JD69" t="s">
        <v>480</v>
      </c>
      <c r="JE69" t="s">
        <v>480</v>
      </c>
      <c r="JF69" t="s">
        <v>480</v>
      </c>
      <c r="JG69" t="s">
        <v>480</v>
      </c>
      <c r="JH69" t="s">
        <v>480</v>
      </c>
      <c r="JI69" t="s">
        <v>480</v>
      </c>
      <c r="JK69" s="12" t="s">
        <v>682</v>
      </c>
      <c r="JP69" s="4"/>
      <c r="JV69" s="4"/>
      <c r="JW69" s="4"/>
      <c r="JX69" s="4"/>
      <c r="JY69" s="4"/>
      <c r="JZ69" s="4"/>
      <c r="KA69" s="4"/>
      <c r="KF69" s="7" t="s">
        <v>500</v>
      </c>
      <c r="KJ69" s="45" t="s">
        <v>683</v>
      </c>
      <c r="KK69" s="8" t="s">
        <v>562</v>
      </c>
      <c r="KL69" t="s">
        <v>480</v>
      </c>
      <c r="KM69" t="s">
        <v>480</v>
      </c>
      <c r="MY69" t="s">
        <v>684</v>
      </c>
      <c r="MZ69">
        <v>42</v>
      </c>
      <c r="NB69" t="s">
        <v>710</v>
      </c>
      <c r="NG69" t="s">
        <v>686</v>
      </c>
      <c r="NH69" t="s">
        <v>711</v>
      </c>
      <c r="NJ69" t="s">
        <v>712</v>
      </c>
      <c r="NL69" s="4" t="s">
        <v>689</v>
      </c>
      <c r="NM69" t="s">
        <v>713</v>
      </c>
      <c r="NN69">
        <v>15</v>
      </c>
      <c r="NO69">
        <v>30</v>
      </c>
      <c r="NV69" t="s">
        <v>518</v>
      </c>
      <c r="NW69" s="3">
        <v>41</v>
      </c>
      <c r="NX69" s="4" t="s">
        <v>520</v>
      </c>
      <c r="NY69" s="3">
        <v>6</v>
      </c>
      <c r="OB69">
        <v>4</v>
      </c>
      <c r="OU69" t="s">
        <v>716</v>
      </c>
      <c r="OW69">
        <v>1996</v>
      </c>
      <c r="OZ69" s="2" t="s">
        <v>692</v>
      </c>
      <c r="PB69" t="s">
        <v>522</v>
      </c>
      <c r="PC69" s="50">
        <v>46094</v>
      </c>
    </row>
    <row r="70" spans="1:419" ht="15.75" thickBot="1">
      <c r="A70" s="11" t="s">
        <v>665</v>
      </c>
      <c r="B70" t="s">
        <v>666</v>
      </c>
      <c r="C70" t="s">
        <v>667</v>
      </c>
      <c r="D70" s="4" t="s">
        <v>668</v>
      </c>
      <c r="E70" t="s">
        <v>669</v>
      </c>
      <c r="F70" s="88" t="s">
        <v>670</v>
      </c>
      <c r="G70" t="s">
        <v>475</v>
      </c>
      <c r="H70" t="s">
        <v>476</v>
      </c>
      <c r="I70" s="10">
        <v>0.1</v>
      </c>
      <c r="J70" s="10">
        <v>34.566667000000002</v>
      </c>
      <c r="K70">
        <v>150</v>
      </c>
      <c r="AV70" t="s">
        <v>671</v>
      </c>
      <c r="AW70">
        <v>100</v>
      </c>
      <c r="AX70" t="s">
        <v>480</v>
      </c>
      <c r="AY70">
        <v>4</v>
      </c>
      <c r="AZ70" t="s">
        <v>672</v>
      </c>
      <c r="BA70">
        <v>1994</v>
      </c>
      <c r="BB70">
        <v>1998</v>
      </c>
      <c r="BC70" t="s">
        <v>673</v>
      </c>
      <c r="BD70" s="10" t="s">
        <v>693</v>
      </c>
      <c r="BE70" t="s">
        <v>566</v>
      </c>
      <c r="BF70" s="3" t="s">
        <v>484</v>
      </c>
      <c r="BG70" t="s">
        <v>485</v>
      </c>
      <c r="BH70" t="s">
        <v>675</v>
      </c>
      <c r="BI70" s="4" t="s">
        <v>486</v>
      </c>
      <c r="BJ70" s="9">
        <v>53000</v>
      </c>
      <c r="ED70" t="s">
        <v>676</v>
      </c>
      <c r="EE70" s="4" t="s">
        <v>486</v>
      </c>
      <c r="EF70" s="9">
        <v>53000</v>
      </c>
      <c r="EG70" s="9"/>
      <c r="EH70" s="9"/>
      <c r="EI70" s="9"/>
      <c r="EJ70" s="9"/>
      <c r="EK70" s="9"/>
      <c r="EL70" s="9"/>
      <c r="EM70" s="9"/>
      <c r="EN70" s="9"/>
      <c r="EO70" s="9"/>
      <c r="EP70" s="9"/>
      <c r="EQ70" s="9"/>
      <c r="ER70" s="9"/>
      <c r="ES70" s="9"/>
      <c r="ET70" s="9"/>
      <c r="EU70" s="9"/>
      <c r="EV70" s="9"/>
      <c r="EW70" s="9"/>
      <c r="EX70" s="9"/>
      <c r="EY70" s="9"/>
      <c r="EZ70" s="9"/>
      <c r="FA70" s="9"/>
      <c r="FB70" s="9"/>
      <c r="FC70" s="9"/>
      <c r="FD70" s="9"/>
      <c r="FE70" s="9"/>
      <c r="FF70" s="9"/>
      <c r="FG70" s="9"/>
      <c r="FH70" s="9"/>
      <c r="FI70" s="9"/>
      <c r="FJ70" s="9"/>
      <c r="FK70" s="9"/>
      <c r="FL70" s="9"/>
      <c r="FM70" s="9"/>
      <c r="FN70" s="9"/>
      <c r="FO70" s="9"/>
      <c r="FP70" s="9"/>
      <c r="FQ70" s="9"/>
      <c r="FR70" s="9"/>
      <c r="FS70" s="9"/>
      <c r="FT70" s="9"/>
      <c r="FU70" s="9"/>
      <c r="FV70" s="9"/>
      <c r="FW70" s="9"/>
      <c r="FX70" s="9"/>
      <c r="FY70" s="9"/>
      <c r="FZ70" s="9"/>
      <c r="GA70" s="9"/>
      <c r="GB70" s="9"/>
      <c r="GC70" s="9"/>
      <c r="GD70" s="9"/>
      <c r="GE70" s="9"/>
      <c r="GF70" s="9"/>
      <c r="GG70" s="9"/>
      <c r="GH70" s="9"/>
      <c r="GI70" s="9"/>
      <c r="GJ70" s="9"/>
      <c r="GK70" s="9"/>
      <c r="GL70" s="9"/>
      <c r="GM70" s="9"/>
      <c r="GN70" s="9"/>
      <c r="GO70" s="9"/>
      <c r="GP70" s="9"/>
      <c r="GQ70" s="9"/>
      <c r="GR70" s="9"/>
      <c r="GS70" s="9"/>
      <c r="GT70" s="9"/>
      <c r="GU70" s="9"/>
      <c r="GV70" s="9"/>
      <c r="GW70" s="9"/>
      <c r="GX70" s="9"/>
      <c r="GY70" s="9"/>
      <c r="GZ70" s="9"/>
      <c r="HA70" s="9"/>
      <c r="HB70" s="9"/>
      <c r="HC70" s="9"/>
      <c r="HD70" s="9"/>
      <c r="HE70" s="9"/>
      <c r="HF70" s="9"/>
      <c r="HG70" s="9"/>
      <c r="HH70" s="9"/>
      <c r="HI70" s="9"/>
      <c r="HJ70" s="9"/>
      <c r="HQ70" t="s">
        <v>677</v>
      </c>
      <c r="HS70" s="4" t="s">
        <v>490</v>
      </c>
      <c r="HT70" s="50">
        <v>34335</v>
      </c>
      <c r="HU70" s="50">
        <v>36160</v>
      </c>
      <c r="HV70" s="50"/>
      <c r="HW70" s="50"/>
      <c r="IN70" s="4"/>
      <c r="IO70" t="s">
        <v>694</v>
      </c>
      <c r="IP70" s="12" t="s">
        <v>695</v>
      </c>
      <c r="IS70">
        <v>1994</v>
      </c>
      <c r="IT70">
        <v>1994.2</v>
      </c>
      <c r="IU70" s="4" t="s">
        <v>544</v>
      </c>
      <c r="IV70" t="s">
        <v>696</v>
      </c>
      <c r="IW70" s="12" t="s">
        <v>681</v>
      </c>
      <c r="IZ70">
        <v>0.5</v>
      </c>
      <c r="JA70" t="s">
        <v>480</v>
      </c>
      <c r="JB70" t="s">
        <v>480</v>
      </c>
      <c r="JC70" t="s">
        <v>480</v>
      </c>
      <c r="JD70" t="s">
        <v>480</v>
      </c>
      <c r="JE70" t="s">
        <v>480</v>
      </c>
      <c r="JF70" t="s">
        <v>480</v>
      </c>
      <c r="JG70" t="s">
        <v>480</v>
      </c>
      <c r="JH70" t="s">
        <v>480</v>
      </c>
      <c r="JI70" t="s">
        <v>480</v>
      </c>
      <c r="JK70" s="12" t="s">
        <v>682</v>
      </c>
      <c r="JP70" s="4"/>
      <c r="JV70" s="4"/>
      <c r="JW70" s="4"/>
      <c r="JX70" s="4"/>
      <c r="JY70" s="4"/>
      <c r="JZ70" s="4"/>
      <c r="KA70" s="4"/>
      <c r="KF70" s="7" t="s">
        <v>500</v>
      </c>
      <c r="KJ70" s="45" t="s">
        <v>683</v>
      </c>
      <c r="KK70" s="8" t="s">
        <v>562</v>
      </c>
      <c r="KL70" t="s">
        <v>480</v>
      </c>
      <c r="KM70" t="s">
        <v>480</v>
      </c>
      <c r="MY70" t="s">
        <v>684</v>
      </c>
      <c r="MZ70">
        <v>42</v>
      </c>
      <c r="NB70" t="s">
        <v>710</v>
      </c>
      <c r="NG70" t="s">
        <v>686</v>
      </c>
      <c r="NH70" t="s">
        <v>711</v>
      </c>
      <c r="NJ70" t="s">
        <v>712</v>
      </c>
      <c r="NL70" s="4" t="s">
        <v>689</v>
      </c>
      <c r="NM70" t="s">
        <v>713</v>
      </c>
      <c r="NN70">
        <v>15</v>
      </c>
      <c r="NO70">
        <v>30</v>
      </c>
      <c r="NV70" t="s">
        <v>518</v>
      </c>
      <c r="NW70" s="3">
        <v>16</v>
      </c>
      <c r="NX70" s="4" t="s">
        <v>520</v>
      </c>
      <c r="NY70" s="3">
        <v>4</v>
      </c>
      <c r="OB70">
        <v>4</v>
      </c>
      <c r="OU70" t="s">
        <v>716</v>
      </c>
      <c r="OW70">
        <v>1996</v>
      </c>
      <c r="OZ70" s="2" t="s">
        <v>692</v>
      </c>
      <c r="PB70" t="s">
        <v>522</v>
      </c>
      <c r="PC70" s="50">
        <v>46094</v>
      </c>
    </row>
    <row r="71" spans="1:419" ht="15.75" thickBot="1">
      <c r="A71" s="11" t="s">
        <v>665</v>
      </c>
      <c r="B71" t="s">
        <v>666</v>
      </c>
      <c r="C71" t="s">
        <v>667</v>
      </c>
      <c r="D71" s="4" t="s">
        <v>668</v>
      </c>
      <c r="E71" t="s">
        <v>669</v>
      </c>
      <c r="F71" s="88" t="s">
        <v>670</v>
      </c>
      <c r="G71" t="s">
        <v>475</v>
      </c>
      <c r="H71" t="s">
        <v>476</v>
      </c>
      <c r="I71" s="10">
        <v>0.1</v>
      </c>
      <c r="J71" s="10">
        <v>34.566667000000002</v>
      </c>
      <c r="K71">
        <v>150</v>
      </c>
      <c r="AV71" t="s">
        <v>671</v>
      </c>
      <c r="AW71">
        <v>100</v>
      </c>
      <c r="AX71" t="s">
        <v>480</v>
      </c>
      <c r="AY71">
        <v>4</v>
      </c>
      <c r="AZ71" t="s">
        <v>672</v>
      </c>
      <c r="BA71">
        <v>1994</v>
      </c>
      <c r="BB71">
        <v>1998</v>
      </c>
      <c r="BC71" t="s">
        <v>673</v>
      </c>
      <c r="BD71" s="10" t="s">
        <v>697</v>
      </c>
      <c r="BE71" t="s">
        <v>572</v>
      </c>
      <c r="BF71" s="3" t="s">
        <v>484</v>
      </c>
      <c r="BG71" t="s">
        <v>485</v>
      </c>
      <c r="BH71" t="s">
        <v>675</v>
      </c>
      <c r="BI71" s="4" t="s">
        <v>486</v>
      </c>
      <c r="BJ71" s="9">
        <v>53000</v>
      </c>
      <c r="EE71" s="4"/>
      <c r="EF71" s="9"/>
      <c r="EG71" s="9"/>
      <c r="EH71" s="9"/>
      <c r="EI71" s="9"/>
      <c r="EJ71" s="9"/>
      <c r="EK71" s="9"/>
      <c r="EL71" s="9"/>
      <c r="EM71" s="9"/>
      <c r="EN71" s="9"/>
      <c r="EO71" s="9"/>
      <c r="EP71" s="9"/>
      <c r="EQ71" s="9"/>
      <c r="ER71" s="9"/>
      <c r="ES71" s="9"/>
      <c r="ET71" s="9"/>
      <c r="EU71" s="9"/>
      <c r="EV71" s="9"/>
      <c r="EW71" s="9"/>
      <c r="EX71" s="9"/>
      <c r="EY71" s="9"/>
      <c r="EZ71" s="9"/>
      <c r="FA71" s="9"/>
      <c r="FB71" s="9"/>
      <c r="FC71" s="9"/>
      <c r="FD71" s="9"/>
      <c r="FE71" s="9"/>
      <c r="FF71" s="9"/>
      <c r="FG71" s="9"/>
      <c r="FH71" s="9"/>
      <c r="FI71" s="9"/>
      <c r="FJ71" s="9"/>
      <c r="FK71" s="9"/>
      <c r="FL71" s="9"/>
      <c r="FM71" s="9"/>
      <c r="FN71" s="9"/>
      <c r="FO71" s="9"/>
      <c r="FP71" s="9"/>
      <c r="FQ71" s="9"/>
      <c r="FR71" s="9"/>
      <c r="FS71" s="9"/>
      <c r="FT71" s="9"/>
      <c r="FU71" s="9"/>
      <c r="FV71" s="9"/>
      <c r="FW71" s="9"/>
      <c r="FX71" s="9"/>
      <c r="FY71" s="9"/>
      <c r="FZ71" s="9"/>
      <c r="GA71" s="9"/>
      <c r="GB71" s="9"/>
      <c r="GC71" s="9"/>
      <c r="GD71" s="9"/>
      <c r="GE71" s="9"/>
      <c r="GF71" s="9"/>
      <c r="GG71" s="9"/>
      <c r="GH71" s="9"/>
      <c r="GI71" s="9"/>
      <c r="GJ71" s="9"/>
      <c r="GK71" s="9"/>
      <c r="GL71" s="9"/>
      <c r="GM71" s="9"/>
      <c r="GN71" s="9"/>
      <c r="GO71" s="9"/>
      <c r="GP71" s="9"/>
      <c r="GQ71" s="9"/>
      <c r="GR71" s="9"/>
      <c r="GS71" s="9"/>
      <c r="GT71" s="9"/>
      <c r="GU71" s="9"/>
      <c r="GV71" s="9"/>
      <c r="GW71" s="9"/>
      <c r="GX71" s="9"/>
      <c r="GY71" s="9"/>
      <c r="GZ71" s="9"/>
      <c r="HA71" s="9"/>
      <c r="HB71" s="9"/>
      <c r="HC71" s="9"/>
      <c r="HD71" s="9"/>
      <c r="HE71" s="9"/>
      <c r="HF71" s="9"/>
      <c r="HG71" s="9"/>
      <c r="HH71" s="9"/>
      <c r="HI71" s="9"/>
      <c r="HJ71" s="9"/>
      <c r="HQ71" t="s">
        <v>677</v>
      </c>
      <c r="HS71" s="4" t="s">
        <v>490</v>
      </c>
      <c r="HT71" s="50">
        <v>34335</v>
      </c>
      <c r="HU71" s="50">
        <v>36160</v>
      </c>
      <c r="HV71" s="50"/>
      <c r="HW71" s="50"/>
      <c r="IO71" t="s">
        <v>698</v>
      </c>
      <c r="IP71" s="46" t="s">
        <v>699</v>
      </c>
      <c r="IS71">
        <v>1995</v>
      </c>
      <c r="IT71">
        <v>1995.2</v>
      </c>
      <c r="IU71" s="4" t="s">
        <v>544</v>
      </c>
      <c r="IV71" t="s">
        <v>700</v>
      </c>
      <c r="IW71" t="s">
        <v>492</v>
      </c>
      <c r="JA71">
        <v>0</v>
      </c>
      <c r="JB71">
        <v>0</v>
      </c>
      <c r="JC71">
        <v>0</v>
      </c>
      <c r="JD71">
        <v>0</v>
      </c>
      <c r="JE71">
        <v>0</v>
      </c>
      <c r="JF71">
        <v>0</v>
      </c>
      <c r="JG71">
        <v>0</v>
      </c>
      <c r="JH71">
        <v>0</v>
      </c>
      <c r="JI71">
        <v>0</v>
      </c>
      <c r="JK71" s="12" t="s">
        <v>682</v>
      </c>
      <c r="JP71" s="4"/>
      <c r="JV71" s="4"/>
      <c r="JW71" s="4"/>
      <c r="JX71" s="4"/>
      <c r="JY71" s="4"/>
      <c r="JZ71" s="4"/>
      <c r="KA71" s="4"/>
      <c r="KF71" s="7" t="s">
        <v>500</v>
      </c>
      <c r="KJ71" s="7" t="s">
        <v>649</v>
      </c>
      <c r="MY71" t="s">
        <v>684</v>
      </c>
      <c r="MZ71">
        <v>42</v>
      </c>
      <c r="NB71" t="s">
        <v>710</v>
      </c>
      <c r="NG71" t="s">
        <v>686</v>
      </c>
      <c r="NH71" t="s">
        <v>711</v>
      </c>
      <c r="NJ71" t="s">
        <v>712</v>
      </c>
      <c r="NL71" s="4" t="s">
        <v>689</v>
      </c>
      <c r="NM71" t="s">
        <v>713</v>
      </c>
      <c r="NN71">
        <v>15</v>
      </c>
      <c r="NO71">
        <v>30</v>
      </c>
      <c r="NV71" t="s">
        <v>518</v>
      </c>
      <c r="NW71" s="3">
        <v>31</v>
      </c>
      <c r="NX71" s="4" t="s">
        <v>520</v>
      </c>
      <c r="NY71" s="3">
        <v>15</v>
      </c>
      <c r="OB71">
        <v>4</v>
      </c>
      <c r="OU71" t="s">
        <v>716</v>
      </c>
      <c r="OW71">
        <v>1996</v>
      </c>
      <c r="OZ71" s="2" t="s">
        <v>692</v>
      </c>
      <c r="PB71" t="s">
        <v>522</v>
      </c>
      <c r="PC71" s="50">
        <v>46094</v>
      </c>
    </row>
    <row r="72" spans="1:419" ht="15.75" thickBot="1">
      <c r="A72" s="11" t="s">
        <v>665</v>
      </c>
      <c r="B72" t="s">
        <v>666</v>
      </c>
      <c r="C72" t="s">
        <v>667</v>
      </c>
      <c r="D72" s="4" t="s">
        <v>668</v>
      </c>
      <c r="E72" t="s">
        <v>669</v>
      </c>
      <c r="F72" s="88" t="s">
        <v>670</v>
      </c>
      <c r="G72" t="s">
        <v>475</v>
      </c>
      <c r="H72" t="s">
        <v>476</v>
      </c>
      <c r="I72" s="10">
        <v>0.1</v>
      </c>
      <c r="J72" s="10">
        <v>34.566667000000002</v>
      </c>
      <c r="K72">
        <v>150</v>
      </c>
      <c r="AV72" t="s">
        <v>671</v>
      </c>
      <c r="AW72">
        <v>100</v>
      </c>
      <c r="AX72" t="s">
        <v>480</v>
      </c>
      <c r="AY72">
        <v>4</v>
      </c>
      <c r="AZ72" t="s">
        <v>672</v>
      </c>
      <c r="BA72">
        <v>1994</v>
      </c>
      <c r="BB72">
        <v>1998</v>
      </c>
      <c r="BC72" t="s">
        <v>673</v>
      </c>
      <c r="BD72" s="10" t="s">
        <v>701</v>
      </c>
      <c r="BE72" t="s">
        <v>553</v>
      </c>
      <c r="BF72" s="3" t="s">
        <v>484</v>
      </c>
      <c r="BG72" t="s">
        <v>485</v>
      </c>
      <c r="BH72" t="s">
        <v>675</v>
      </c>
      <c r="BI72" s="4" t="s">
        <v>486</v>
      </c>
      <c r="BJ72" s="9">
        <v>53000</v>
      </c>
      <c r="EE72" s="4"/>
      <c r="EF72" s="9"/>
      <c r="EG72" s="9"/>
      <c r="EH72" s="9"/>
      <c r="EI72" s="9"/>
      <c r="EJ72" s="9"/>
      <c r="EK72" s="9"/>
      <c r="EL72" s="9"/>
      <c r="EM72" s="9"/>
      <c r="EN72" s="9"/>
      <c r="EO72" s="9"/>
      <c r="EP72" s="9"/>
      <c r="EQ72" s="9"/>
      <c r="ER72" s="9"/>
      <c r="ES72" s="9"/>
      <c r="ET72" s="9"/>
      <c r="EU72" s="9"/>
      <c r="EV72" s="9"/>
      <c r="EW72" s="9"/>
      <c r="EX72" s="9"/>
      <c r="EY72" s="9"/>
      <c r="EZ72" s="9"/>
      <c r="FA72" s="9"/>
      <c r="FB72" s="9"/>
      <c r="FC72" s="9"/>
      <c r="FD72" s="9"/>
      <c r="FE72" s="9"/>
      <c r="FF72" s="9"/>
      <c r="FG72" s="9"/>
      <c r="FH72" s="9"/>
      <c r="FI72" s="9"/>
      <c r="FJ72" s="9"/>
      <c r="FK72" s="9"/>
      <c r="FL72" s="9"/>
      <c r="FM72" s="9"/>
      <c r="FN72" s="9"/>
      <c r="FO72" s="9"/>
      <c r="FP72" s="9"/>
      <c r="FQ72" s="9"/>
      <c r="FR72" s="9"/>
      <c r="FS72" s="9"/>
      <c r="FT72" s="9"/>
      <c r="FU72" s="9"/>
      <c r="FV72" s="9"/>
      <c r="FW72" s="9"/>
      <c r="FX72" s="9"/>
      <c r="FY72" s="9"/>
      <c r="FZ72" s="9"/>
      <c r="GA72" s="9"/>
      <c r="GB72" s="9"/>
      <c r="GC72" s="9"/>
      <c r="GD72" s="9"/>
      <c r="GE72" s="9"/>
      <c r="GF72" s="9"/>
      <c r="GG72" s="9"/>
      <c r="GH72" s="9"/>
      <c r="GI72" s="9"/>
      <c r="GJ72" s="9"/>
      <c r="GK72" s="9"/>
      <c r="GL72" s="9"/>
      <c r="GM72" s="9"/>
      <c r="GN72" s="9"/>
      <c r="GO72" s="9"/>
      <c r="GP72" s="9"/>
      <c r="GQ72" s="9"/>
      <c r="GR72" s="9"/>
      <c r="GS72" s="9"/>
      <c r="GT72" s="9"/>
      <c r="GU72" s="9"/>
      <c r="GV72" s="9"/>
      <c r="GW72" s="9"/>
      <c r="GX72" s="9"/>
      <c r="GY72" s="9"/>
      <c r="GZ72" s="9"/>
      <c r="HA72" s="9"/>
      <c r="HB72" s="9"/>
      <c r="HC72" s="9"/>
      <c r="HD72" s="9"/>
      <c r="HE72" s="9"/>
      <c r="HF72" s="9"/>
      <c r="HG72" s="9"/>
      <c r="HH72" s="9"/>
      <c r="HI72" s="9"/>
      <c r="HJ72" s="9"/>
      <c r="HQ72" t="s">
        <v>677</v>
      </c>
      <c r="HS72" s="4" t="s">
        <v>490</v>
      </c>
      <c r="HT72" s="50">
        <v>34335</v>
      </c>
      <c r="HU72" s="50">
        <v>36160</v>
      </c>
      <c r="HV72" s="50"/>
      <c r="HW72" s="50"/>
      <c r="IO72" t="s">
        <v>702</v>
      </c>
      <c r="IP72" s="13" t="s">
        <v>703</v>
      </c>
      <c r="IS72">
        <v>1994</v>
      </c>
      <c r="IT72">
        <v>1994.2</v>
      </c>
      <c r="IU72" s="4" t="s">
        <v>544</v>
      </c>
      <c r="IV72" t="s">
        <v>700</v>
      </c>
      <c r="IW72" t="s">
        <v>492</v>
      </c>
      <c r="JA72">
        <v>0</v>
      </c>
      <c r="JB72">
        <v>0</v>
      </c>
      <c r="JC72">
        <v>0</v>
      </c>
      <c r="JD72">
        <v>0</v>
      </c>
      <c r="JE72">
        <v>0</v>
      </c>
      <c r="JF72">
        <v>0</v>
      </c>
      <c r="JG72">
        <v>0</v>
      </c>
      <c r="JH72">
        <v>0</v>
      </c>
      <c r="JI72">
        <v>0</v>
      </c>
      <c r="JK72" s="12" t="s">
        <v>682</v>
      </c>
      <c r="JP72" s="4"/>
      <c r="JV72" s="4"/>
      <c r="JW72" s="4"/>
      <c r="JX72" s="4"/>
      <c r="JY72" s="4"/>
      <c r="JZ72" s="4"/>
      <c r="KA72" s="4"/>
      <c r="KF72" s="7" t="s">
        <v>500</v>
      </c>
      <c r="KJ72" s="7" t="s">
        <v>649</v>
      </c>
      <c r="MY72" t="s">
        <v>684</v>
      </c>
      <c r="MZ72">
        <v>42</v>
      </c>
      <c r="NB72" t="s">
        <v>710</v>
      </c>
      <c r="NG72" t="s">
        <v>686</v>
      </c>
      <c r="NH72" t="s">
        <v>711</v>
      </c>
      <c r="NJ72" t="s">
        <v>712</v>
      </c>
      <c r="NL72" s="4" t="s">
        <v>689</v>
      </c>
      <c r="NM72" t="s">
        <v>713</v>
      </c>
      <c r="NN72">
        <v>15</v>
      </c>
      <c r="NO72">
        <v>30</v>
      </c>
      <c r="NV72" t="s">
        <v>518</v>
      </c>
      <c r="NW72" s="3">
        <v>58</v>
      </c>
      <c r="NX72" s="4" t="s">
        <v>520</v>
      </c>
      <c r="NY72" s="3">
        <v>17</v>
      </c>
      <c r="OB72">
        <v>4</v>
      </c>
      <c r="OU72" t="s">
        <v>716</v>
      </c>
      <c r="OW72">
        <v>1996</v>
      </c>
      <c r="OZ72" s="2" t="s">
        <v>692</v>
      </c>
      <c r="PB72" t="s">
        <v>522</v>
      </c>
      <c r="PC72" s="50">
        <v>46094</v>
      </c>
    </row>
    <row r="73" spans="1:419" ht="15.75" thickBot="1">
      <c r="A73" s="11" t="s">
        <v>665</v>
      </c>
      <c r="B73" t="s">
        <v>666</v>
      </c>
      <c r="C73" t="s">
        <v>667</v>
      </c>
      <c r="D73" s="4" t="s">
        <v>668</v>
      </c>
      <c r="E73" t="s">
        <v>669</v>
      </c>
      <c r="F73" s="88" t="s">
        <v>670</v>
      </c>
      <c r="G73" t="s">
        <v>475</v>
      </c>
      <c r="H73" t="s">
        <v>476</v>
      </c>
      <c r="I73" s="10">
        <v>0.1</v>
      </c>
      <c r="J73" s="10">
        <v>34.566667000000002</v>
      </c>
      <c r="K73">
        <v>150</v>
      </c>
      <c r="AV73" t="s">
        <v>671</v>
      </c>
      <c r="AW73">
        <v>100</v>
      </c>
      <c r="AX73" t="s">
        <v>480</v>
      </c>
      <c r="AY73">
        <v>4</v>
      </c>
      <c r="AZ73" t="s">
        <v>672</v>
      </c>
      <c r="BA73">
        <v>1994</v>
      </c>
      <c r="BB73">
        <v>1998</v>
      </c>
      <c r="BC73" t="s">
        <v>673</v>
      </c>
      <c r="BD73" s="10" t="s">
        <v>704</v>
      </c>
      <c r="BE73" t="s">
        <v>524</v>
      </c>
      <c r="BF73" s="3" t="s">
        <v>484</v>
      </c>
      <c r="BG73" t="s">
        <v>485</v>
      </c>
      <c r="BH73" t="s">
        <v>675</v>
      </c>
      <c r="BI73" s="4" t="s">
        <v>486</v>
      </c>
      <c r="BJ73" s="9">
        <v>53000</v>
      </c>
      <c r="HQ73" t="s">
        <v>677</v>
      </c>
      <c r="HS73" s="4" t="s">
        <v>490</v>
      </c>
      <c r="HT73" s="50">
        <v>34335</v>
      </c>
      <c r="HU73" s="50">
        <v>36160</v>
      </c>
      <c r="HV73" s="50"/>
      <c r="HW73" s="50"/>
      <c r="IO73" t="s">
        <v>700</v>
      </c>
      <c r="IP73" s="46" t="s">
        <v>492</v>
      </c>
      <c r="IU73" s="4" t="s">
        <v>544</v>
      </c>
      <c r="IV73" t="s">
        <v>700</v>
      </c>
      <c r="IW73" s="46" t="s">
        <v>492</v>
      </c>
      <c r="JA73">
        <v>0</v>
      </c>
      <c r="JB73">
        <v>0</v>
      </c>
      <c r="JC73">
        <v>0</v>
      </c>
      <c r="JD73">
        <v>0</v>
      </c>
      <c r="JE73">
        <v>0</v>
      </c>
      <c r="JF73">
        <v>0</v>
      </c>
      <c r="JG73">
        <v>0</v>
      </c>
      <c r="JH73">
        <v>0</v>
      </c>
      <c r="JI73">
        <v>0</v>
      </c>
      <c r="JK73" s="12" t="s">
        <v>682</v>
      </c>
      <c r="JP73" s="4"/>
      <c r="JV73" s="4"/>
      <c r="JW73" s="4"/>
      <c r="JX73" s="4"/>
      <c r="JY73" s="4"/>
      <c r="JZ73" s="4"/>
      <c r="KA73" s="4"/>
      <c r="KF73" s="7" t="s">
        <v>500</v>
      </c>
      <c r="KJ73" s="7" t="s">
        <v>649</v>
      </c>
      <c r="MY73" t="s">
        <v>684</v>
      </c>
      <c r="MZ73">
        <v>42</v>
      </c>
      <c r="NB73" t="s">
        <v>710</v>
      </c>
      <c r="NG73" t="s">
        <v>686</v>
      </c>
      <c r="NH73" t="s">
        <v>711</v>
      </c>
      <c r="NJ73" t="s">
        <v>712</v>
      </c>
      <c r="NL73" s="4" t="s">
        <v>689</v>
      </c>
      <c r="NM73" t="s">
        <v>713</v>
      </c>
      <c r="NN73">
        <v>15</v>
      </c>
      <c r="NO73">
        <v>30</v>
      </c>
      <c r="NU73" t="s">
        <v>517</v>
      </c>
      <c r="NV73" t="s">
        <v>518</v>
      </c>
      <c r="NW73" s="3">
        <v>38</v>
      </c>
      <c r="NX73" s="4" t="s">
        <v>520</v>
      </c>
      <c r="NY73" s="3">
        <v>2</v>
      </c>
      <c r="OB73">
        <v>4</v>
      </c>
      <c r="OU73" t="s">
        <v>716</v>
      </c>
      <c r="OW73">
        <v>1996</v>
      </c>
      <c r="OZ73" s="2" t="s">
        <v>692</v>
      </c>
      <c r="PB73" t="s">
        <v>522</v>
      </c>
      <c r="PC73" s="50">
        <v>46094</v>
      </c>
    </row>
    <row r="74" spans="1:419" ht="15.75" thickBot="1">
      <c r="A74" s="11" t="s">
        <v>665</v>
      </c>
      <c r="B74" t="s">
        <v>666</v>
      </c>
      <c r="C74" t="s">
        <v>667</v>
      </c>
      <c r="D74" s="4" t="s">
        <v>668</v>
      </c>
      <c r="E74" t="s">
        <v>669</v>
      </c>
      <c r="F74" s="88" t="s">
        <v>670</v>
      </c>
      <c r="G74" t="s">
        <v>475</v>
      </c>
      <c r="H74" t="s">
        <v>476</v>
      </c>
      <c r="I74" s="10">
        <v>0.1</v>
      </c>
      <c r="J74" s="10">
        <v>34.566667000000002</v>
      </c>
      <c r="K74">
        <v>150</v>
      </c>
      <c r="AV74" t="s">
        <v>671</v>
      </c>
      <c r="AW74">
        <v>100</v>
      </c>
      <c r="AX74" t="s">
        <v>480</v>
      </c>
      <c r="AY74">
        <v>4</v>
      </c>
      <c r="AZ74" t="s">
        <v>672</v>
      </c>
      <c r="BA74">
        <v>1994</v>
      </c>
      <c r="BB74">
        <v>1998</v>
      </c>
      <c r="BC74" t="s">
        <v>673</v>
      </c>
      <c r="BD74" s="10" t="s">
        <v>705</v>
      </c>
      <c r="BE74" t="s">
        <v>483</v>
      </c>
      <c r="BF74" s="3" t="s">
        <v>484</v>
      </c>
      <c r="BG74" t="s">
        <v>485</v>
      </c>
      <c r="BH74" t="s">
        <v>675</v>
      </c>
      <c r="BI74" s="4" t="s">
        <v>486</v>
      </c>
      <c r="BJ74" s="9">
        <v>53000</v>
      </c>
      <c r="HQ74" t="s">
        <v>677</v>
      </c>
      <c r="HS74" s="4" t="s">
        <v>490</v>
      </c>
      <c r="HT74" s="50">
        <v>34335</v>
      </c>
      <c r="HU74" s="50">
        <v>36160</v>
      </c>
      <c r="HV74" s="50"/>
      <c r="HW74" s="50"/>
      <c r="IO74" t="s">
        <v>706</v>
      </c>
      <c r="IP74" s="46" t="s">
        <v>492</v>
      </c>
      <c r="IU74" s="4" t="s">
        <v>544</v>
      </c>
      <c r="IV74" t="s">
        <v>707</v>
      </c>
      <c r="IW74" s="46" t="s">
        <v>492</v>
      </c>
      <c r="JA74">
        <v>0</v>
      </c>
      <c r="JB74">
        <v>0</v>
      </c>
      <c r="JC74">
        <v>0</v>
      </c>
      <c r="JD74">
        <v>0</v>
      </c>
      <c r="JE74">
        <v>0</v>
      </c>
      <c r="JF74">
        <v>0</v>
      </c>
      <c r="JG74">
        <v>0</v>
      </c>
      <c r="JH74">
        <v>0</v>
      </c>
      <c r="JI74">
        <v>0</v>
      </c>
      <c r="JJ74" t="s">
        <v>706</v>
      </c>
      <c r="JK74" t="s">
        <v>494</v>
      </c>
      <c r="JL74" s="8" t="s">
        <v>495</v>
      </c>
      <c r="JP74" s="4" t="s">
        <v>508</v>
      </c>
      <c r="JQ74">
        <v>60</v>
      </c>
      <c r="JT74">
        <v>60</v>
      </c>
      <c r="JV74" s="4"/>
      <c r="JW74" s="4"/>
      <c r="JX74" s="4"/>
      <c r="JY74" s="4"/>
      <c r="JZ74" s="4"/>
      <c r="KA74" s="4"/>
      <c r="KF74" s="7" t="s">
        <v>500</v>
      </c>
      <c r="KJ74" s="7" t="s">
        <v>649</v>
      </c>
      <c r="MY74" t="s">
        <v>684</v>
      </c>
      <c r="MZ74">
        <v>42</v>
      </c>
      <c r="NB74" t="s">
        <v>710</v>
      </c>
      <c r="NG74" t="s">
        <v>686</v>
      </c>
      <c r="NH74" t="s">
        <v>711</v>
      </c>
      <c r="NJ74" t="s">
        <v>712</v>
      </c>
      <c r="NL74" s="4" t="s">
        <v>689</v>
      </c>
      <c r="NM74" t="s">
        <v>713</v>
      </c>
      <c r="NN74">
        <v>15</v>
      </c>
      <c r="NO74">
        <v>30</v>
      </c>
      <c r="NU74" t="s">
        <v>708</v>
      </c>
      <c r="NV74" t="s">
        <v>518</v>
      </c>
      <c r="NW74" s="3">
        <v>26</v>
      </c>
      <c r="NX74" s="4" t="s">
        <v>520</v>
      </c>
      <c r="NY74" s="3">
        <v>6</v>
      </c>
      <c r="OB74">
        <v>4</v>
      </c>
      <c r="OU74" t="s">
        <v>716</v>
      </c>
      <c r="OW74">
        <v>1996</v>
      </c>
      <c r="OZ74" s="2" t="s">
        <v>692</v>
      </c>
      <c r="PB74" t="s">
        <v>522</v>
      </c>
      <c r="PC74" s="50">
        <v>46094</v>
      </c>
    </row>
    <row r="75" spans="1:419" ht="15.75" thickBot="1">
      <c r="A75" s="11" t="s">
        <v>665</v>
      </c>
      <c r="B75" t="s">
        <v>666</v>
      </c>
      <c r="C75" t="s">
        <v>667</v>
      </c>
      <c r="D75" s="4" t="s">
        <v>668</v>
      </c>
      <c r="E75" t="s">
        <v>669</v>
      </c>
      <c r="F75" s="88" t="s">
        <v>670</v>
      </c>
      <c r="G75" t="s">
        <v>475</v>
      </c>
      <c r="H75" t="s">
        <v>476</v>
      </c>
      <c r="I75" s="10">
        <v>0.1</v>
      </c>
      <c r="J75" s="10">
        <v>34.566667000000002</v>
      </c>
      <c r="K75">
        <v>150</v>
      </c>
      <c r="AV75" t="s">
        <v>671</v>
      </c>
      <c r="AW75">
        <v>100</v>
      </c>
      <c r="AX75" t="s">
        <v>480</v>
      </c>
      <c r="AY75">
        <v>4</v>
      </c>
      <c r="AZ75" t="s">
        <v>672</v>
      </c>
      <c r="BA75">
        <v>1994</v>
      </c>
      <c r="BB75">
        <v>1998</v>
      </c>
      <c r="BC75" t="s">
        <v>673</v>
      </c>
      <c r="BD75" s="10" t="s">
        <v>674</v>
      </c>
      <c r="BE75" t="s">
        <v>536</v>
      </c>
      <c r="BF75" s="3" t="s">
        <v>484</v>
      </c>
      <c r="BG75" t="s">
        <v>485</v>
      </c>
      <c r="BH75" t="s">
        <v>675</v>
      </c>
      <c r="BI75" s="4" t="s">
        <v>486</v>
      </c>
      <c r="BJ75" s="9">
        <v>53000</v>
      </c>
      <c r="ED75" t="s">
        <v>676</v>
      </c>
      <c r="EE75" s="4" t="s">
        <v>486</v>
      </c>
      <c r="EF75" s="9">
        <v>53000</v>
      </c>
      <c r="EG75" s="9"/>
      <c r="EH75" s="9"/>
      <c r="EI75" s="9"/>
      <c r="EJ75" s="9"/>
      <c r="EK75" s="9"/>
      <c r="EL75" s="9"/>
      <c r="EM75" s="9"/>
      <c r="EN75" s="9"/>
      <c r="EO75" s="9"/>
      <c r="EP75" s="9"/>
      <c r="EQ75" s="9"/>
      <c r="ER75" s="9"/>
      <c r="ES75" s="9"/>
      <c r="ET75" s="9"/>
      <c r="EU75" s="9"/>
      <c r="EV75" s="9"/>
      <c r="EW75" s="9"/>
      <c r="EX75" s="9"/>
      <c r="EY75" s="9"/>
      <c r="EZ75" s="9"/>
      <c r="FA75" s="9"/>
      <c r="FB75" s="9"/>
      <c r="FC75" s="9"/>
      <c r="FD75" s="9"/>
      <c r="FE75" s="9"/>
      <c r="FF75" s="9"/>
      <c r="FG75" s="9"/>
      <c r="FH75" s="9"/>
      <c r="FI75" s="9"/>
      <c r="FJ75" s="9"/>
      <c r="FK75" s="9"/>
      <c r="FL75" s="9"/>
      <c r="FM75" s="9"/>
      <c r="FN75" s="9"/>
      <c r="FO75" s="9"/>
      <c r="FP75" s="9"/>
      <c r="FQ75" s="9"/>
      <c r="FR75" s="9"/>
      <c r="FS75" s="9"/>
      <c r="FT75" s="9"/>
      <c r="FU75" s="9"/>
      <c r="FV75" s="9"/>
      <c r="FW75" s="9"/>
      <c r="FX75" s="9"/>
      <c r="FY75" s="9"/>
      <c r="FZ75" s="9"/>
      <c r="GA75" s="9"/>
      <c r="GB75" s="9"/>
      <c r="GC75" s="9"/>
      <c r="GD75" s="9"/>
      <c r="GE75" s="9"/>
      <c r="GF75" s="9"/>
      <c r="GG75" s="9"/>
      <c r="GH75" s="9"/>
      <c r="GI75" s="9"/>
      <c r="GJ75" s="9"/>
      <c r="GK75" s="9"/>
      <c r="GL75" s="9"/>
      <c r="GM75" s="9"/>
      <c r="GN75" s="9"/>
      <c r="GO75" s="9"/>
      <c r="GP75" s="9"/>
      <c r="GQ75" s="9"/>
      <c r="GR75" s="9"/>
      <c r="GS75" s="9"/>
      <c r="GT75" s="9"/>
      <c r="GU75" s="9"/>
      <c r="GV75" s="9"/>
      <c r="GW75" s="9"/>
      <c r="GX75" s="9"/>
      <c r="GY75" s="9"/>
      <c r="GZ75" s="9"/>
      <c r="HA75" s="9"/>
      <c r="HB75" s="9"/>
      <c r="HC75" s="9"/>
      <c r="HD75" s="9"/>
      <c r="HE75" s="9"/>
      <c r="HF75" s="9"/>
      <c r="HG75" s="9"/>
      <c r="HH75" s="9"/>
      <c r="HI75" s="9"/>
      <c r="HJ75" s="9"/>
      <c r="HQ75" t="s">
        <v>677</v>
      </c>
      <c r="HS75" s="4" t="s">
        <v>490</v>
      </c>
      <c r="HT75" s="50">
        <v>34335</v>
      </c>
      <c r="HU75" s="50">
        <v>36160</v>
      </c>
      <c r="HV75" s="50"/>
      <c r="HW75" s="50"/>
      <c r="IN75" s="4"/>
      <c r="IO75" t="s">
        <v>678</v>
      </c>
      <c r="IP75" s="12" t="s">
        <v>679</v>
      </c>
      <c r="IS75">
        <v>1995</v>
      </c>
      <c r="IT75">
        <v>1995.2</v>
      </c>
      <c r="IU75" s="4" t="s">
        <v>544</v>
      </c>
      <c r="IV75" t="s">
        <v>680</v>
      </c>
      <c r="IW75" s="12" t="s">
        <v>681</v>
      </c>
      <c r="IZ75">
        <v>0.5</v>
      </c>
      <c r="JA75" t="s">
        <v>480</v>
      </c>
      <c r="JB75" t="s">
        <v>480</v>
      </c>
      <c r="JC75" t="s">
        <v>480</v>
      </c>
      <c r="JD75" t="s">
        <v>480</v>
      </c>
      <c r="JE75" t="s">
        <v>480</v>
      </c>
      <c r="JF75" t="s">
        <v>480</v>
      </c>
      <c r="JG75" t="s">
        <v>480</v>
      </c>
      <c r="JH75" t="s">
        <v>480</v>
      </c>
      <c r="JI75" t="s">
        <v>480</v>
      </c>
      <c r="JK75" s="12" t="s">
        <v>682</v>
      </c>
      <c r="JP75" s="4"/>
      <c r="JV75" s="4"/>
      <c r="JW75" s="4"/>
      <c r="JX75" s="4"/>
      <c r="JY75" s="4"/>
      <c r="JZ75" s="4"/>
      <c r="KA75" s="4"/>
      <c r="KF75" s="7" t="s">
        <v>500</v>
      </c>
      <c r="KJ75" s="45" t="s">
        <v>683</v>
      </c>
      <c r="KK75" s="8" t="s">
        <v>562</v>
      </c>
      <c r="KL75" t="s">
        <v>480</v>
      </c>
      <c r="KM75" t="s">
        <v>480</v>
      </c>
      <c r="MY75" t="s">
        <v>684</v>
      </c>
      <c r="MZ75">
        <v>42</v>
      </c>
      <c r="NB75" t="s">
        <v>710</v>
      </c>
      <c r="NG75" t="s">
        <v>686</v>
      </c>
      <c r="NH75" t="s">
        <v>711</v>
      </c>
      <c r="NJ75" t="s">
        <v>712</v>
      </c>
      <c r="NL75" s="4" t="s">
        <v>689</v>
      </c>
      <c r="NM75" t="s">
        <v>713</v>
      </c>
      <c r="NN75">
        <v>15</v>
      </c>
      <c r="NO75">
        <v>30</v>
      </c>
      <c r="NV75" t="s">
        <v>518</v>
      </c>
      <c r="NW75" s="3">
        <v>64</v>
      </c>
      <c r="NX75" s="4" t="s">
        <v>520</v>
      </c>
      <c r="NY75" s="3">
        <v>16</v>
      </c>
      <c r="OB75">
        <v>4</v>
      </c>
      <c r="OU75" t="s">
        <v>717</v>
      </c>
      <c r="OW75">
        <v>1996</v>
      </c>
      <c r="OZ75" s="2" t="s">
        <v>709</v>
      </c>
      <c r="PB75" t="s">
        <v>522</v>
      </c>
      <c r="PC75" s="50">
        <v>46094</v>
      </c>
    </row>
    <row r="76" spans="1:419" ht="15.75" thickBot="1">
      <c r="A76" s="11" t="s">
        <v>665</v>
      </c>
      <c r="B76" t="s">
        <v>666</v>
      </c>
      <c r="C76" t="s">
        <v>667</v>
      </c>
      <c r="D76" s="4" t="s">
        <v>668</v>
      </c>
      <c r="E76" t="s">
        <v>669</v>
      </c>
      <c r="F76" s="88" t="s">
        <v>670</v>
      </c>
      <c r="G76" t="s">
        <v>475</v>
      </c>
      <c r="H76" t="s">
        <v>476</v>
      </c>
      <c r="I76" s="10">
        <v>0.1</v>
      </c>
      <c r="J76" s="10">
        <v>34.566667000000002</v>
      </c>
      <c r="K76">
        <v>150</v>
      </c>
      <c r="AV76" t="s">
        <v>671</v>
      </c>
      <c r="AW76">
        <v>100</v>
      </c>
      <c r="AX76" t="s">
        <v>480</v>
      </c>
      <c r="AY76">
        <v>4</v>
      </c>
      <c r="AZ76" t="s">
        <v>672</v>
      </c>
      <c r="BA76">
        <v>1994</v>
      </c>
      <c r="BB76">
        <v>1998</v>
      </c>
      <c r="BC76" t="s">
        <v>673</v>
      </c>
      <c r="BD76" s="10" t="s">
        <v>693</v>
      </c>
      <c r="BE76" t="s">
        <v>566</v>
      </c>
      <c r="BF76" s="3" t="s">
        <v>484</v>
      </c>
      <c r="BG76" t="s">
        <v>485</v>
      </c>
      <c r="BH76" t="s">
        <v>675</v>
      </c>
      <c r="BI76" s="4" t="s">
        <v>486</v>
      </c>
      <c r="BJ76" s="9">
        <v>53000</v>
      </c>
      <c r="ED76" t="s">
        <v>676</v>
      </c>
      <c r="EE76" s="4" t="s">
        <v>486</v>
      </c>
      <c r="EF76" s="9">
        <v>53000</v>
      </c>
      <c r="EG76" s="9"/>
      <c r="EH76" s="9"/>
      <c r="EI76" s="9"/>
      <c r="EJ76" s="9"/>
      <c r="EK76" s="9"/>
      <c r="EL76" s="9"/>
      <c r="EM76" s="9"/>
      <c r="EN76" s="9"/>
      <c r="EO76" s="9"/>
      <c r="EP76" s="9"/>
      <c r="EQ76" s="9"/>
      <c r="ER76" s="9"/>
      <c r="ES76" s="9"/>
      <c r="ET76" s="9"/>
      <c r="EU76" s="9"/>
      <c r="EV76" s="9"/>
      <c r="EW76" s="9"/>
      <c r="EX76" s="9"/>
      <c r="EY76" s="9"/>
      <c r="EZ76" s="9"/>
      <c r="FA76" s="9"/>
      <c r="FB76" s="9"/>
      <c r="FC76" s="9"/>
      <c r="FD76" s="9"/>
      <c r="FE76" s="9"/>
      <c r="FF76" s="9"/>
      <c r="FG76" s="9"/>
      <c r="FH76" s="9"/>
      <c r="FI76" s="9"/>
      <c r="FJ76" s="9"/>
      <c r="FK76" s="9"/>
      <c r="FL76" s="9"/>
      <c r="FM76" s="9"/>
      <c r="FN76" s="9"/>
      <c r="FO76" s="9"/>
      <c r="FP76" s="9"/>
      <c r="FQ76" s="9"/>
      <c r="FR76" s="9"/>
      <c r="FS76" s="9"/>
      <c r="FT76" s="9"/>
      <c r="FU76" s="9"/>
      <c r="FV76" s="9"/>
      <c r="FW76" s="9"/>
      <c r="FX76" s="9"/>
      <c r="FY76" s="9"/>
      <c r="FZ76" s="9"/>
      <c r="GA76" s="9"/>
      <c r="GB76" s="9"/>
      <c r="GC76" s="9"/>
      <c r="GD76" s="9"/>
      <c r="GE76" s="9"/>
      <c r="GF76" s="9"/>
      <c r="GG76" s="9"/>
      <c r="GH76" s="9"/>
      <c r="GI76" s="9"/>
      <c r="GJ76" s="9"/>
      <c r="GK76" s="9"/>
      <c r="GL76" s="9"/>
      <c r="GM76" s="9"/>
      <c r="GN76" s="9"/>
      <c r="GO76" s="9"/>
      <c r="GP76" s="9"/>
      <c r="GQ76" s="9"/>
      <c r="GR76" s="9"/>
      <c r="GS76" s="9"/>
      <c r="GT76" s="9"/>
      <c r="GU76" s="9"/>
      <c r="GV76" s="9"/>
      <c r="GW76" s="9"/>
      <c r="GX76" s="9"/>
      <c r="GY76" s="9"/>
      <c r="GZ76" s="9"/>
      <c r="HA76" s="9"/>
      <c r="HB76" s="9"/>
      <c r="HC76" s="9"/>
      <c r="HD76" s="9"/>
      <c r="HE76" s="9"/>
      <c r="HF76" s="9"/>
      <c r="HG76" s="9"/>
      <c r="HH76" s="9"/>
      <c r="HI76" s="9"/>
      <c r="HJ76" s="9"/>
      <c r="HQ76" t="s">
        <v>677</v>
      </c>
      <c r="HS76" s="4" t="s">
        <v>490</v>
      </c>
      <c r="HT76" s="50">
        <v>34335</v>
      </c>
      <c r="HU76" s="50">
        <v>36160</v>
      </c>
      <c r="HV76" s="50"/>
      <c r="HW76" s="50"/>
      <c r="IN76" s="4"/>
      <c r="IO76" t="s">
        <v>694</v>
      </c>
      <c r="IP76" s="12" t="s">
        <v>695</v>
      </c>
      <c r="IS76">
        <v>1994</v>
      </c>
      <c r="IT76">
        <v>1994.2</v>
      </c>
      <c r="IU76" s="4" t="s">
        <v>544</v>
      </c>
      <c r="IV76" t="s">
        <v>696</v>
      </c>
      <c r="IW76" s="12" t="s">
        <v>681</v>
      </c>
      <c r="IZ76">
        <v>0.5</v>
      </c>
      <c r="JA76" t="s">
        <v>480</v>
      </c>
      <c r="JB76" t="s">
        <v>480</v>
      </c>
      <c r="JC76" t="s">
        <v>480</v>
      </c>
      <c r="JD76" t="s">
        <v>480</v>
      </c>
      <c r="JE76" t="s">
        <v>480</v>
      </c>
      <c r="JF76" t="s">
        <v>480</v>
      </c>
      <c r="JG76" t="s">
        <v>480</v>
      </c>
      <c r="JH76" t="s">
        <v>480</v>
      </c>
      <c r="JI76" t="s">
        <v>480</v>
      </c>
      <c r="JK76" s="12" t="s">
        <v>682</v>
      </c>
      <c r="JP76" s="4"/>
      <c r="JV76" s="4"/>
      <c r="JW76" s="4"/>
      <c r="JX76" s="4"/>
      <c r="JY76" s="4"/>
      <c r="JZ76" s="4"/>
      <c r="KA76" s="4"/>
      <c r="KF76" s="7" t="s">
        <v>500</v>
      </c>
      <c r="KJ76" s="45" t="s">
        <v>683</v>
      </c>
      <c r="KK76" s="8" t="s">
        <v>562</v>
      </c>
      <c r="KL76" t="s">
        <v>480</v>
      </c>
      <c r="KM76" t="s">
        <v>480</v>
      </c>
      <c r="MY76" t="s">
        <v>684</v>
      </c>
      <c r="MZ76">
        <v>42</v>
      </c>
      <c r="NB76" t="s">
        <v>710</v>
      </c>
      <c r="NG76" t="s">
        <v>686</v>
      </c>
      <c r="NH76" t="s">
        <v>711</v>
      </c>
      <c r="NJ76" t="s">
        <v>712</v>
      </c>
      <c r="NL76" s="4" t="s">
        <v>689</v>
      </c>
      <c r="NM76" t="s">
        <v>713</v>
      </c>
      <c r="NN76">
        <v>15</v>
      </c>
      <c r="NO76">
        <v>30</v>
      </c>
      <c r="NV76" t="s">
        <v>518</v>
      </c>
      <c r="NW76" s="3">
        <v>67</v>
      </c>
      <c r="NX76" s="4" t="s">
        <v>520</v>
      </c>
      <c r="NY76" s="3">
        <v>29</v>
      </c>
      <c r="OB76">
        <v>4</v>
      </c>
      <c r="OU76" t="s">
        <v>717</v>
      </c>
      <c r="OW76">
        <v>1996</v>
      </c>
      <c r="OZ76" s="2" t="s">
        <v>709</v>
      </c>
      <c r="PB76" t="s">
        <v>522</v>
      </c>
      <c r="PC76" s="50">
        <v>46094</v>
      </c>
    </row>
    <row r="77" spans="1:419" ht="15.75" thickBot="1">
      <c r="A77" s="11" t="s">
        <v>665</v>
      </c>
      <c r="B77" t="s">
        <v>666</v>
      </c>
      <c r="C77" t="s">
        <v>667</v>
      </c>
      <c r="D77" s="4" t="s">
        <v>668</v>
      </c>
      <c r="E77" t="s">
        <v>669</v>
      </c>
      <c r="F77" s="88" t="s">
        <v>670</v>
      </c>
      <c r="G77" t="s">
        <v>475</v>
      </c>
      <c r="H77" t="s">
        <v>476</v>
      </c>
      <c r="I77" s="10">
        <v>0.1</v>
      </c>
      <c r="J77" s="10">
        <v>34.566667000000002</v>
      </c>
      <c r="K77">
        <v>150</v>
      </c>
      <c r="AV77" t="s">
        <v>671</v>
      </c>
      <c r="AW77">
        <v>100</v>
      </c>
      <c r="AX77" t="s">
        <v>480</v>
      </c>
      <c r="AY77">
        <v>4</v>
      </c>
      <c r="AZ77" t="s">
        <v>672</v>
      </c>
      <c r="BA77">
        <v>1994</v>
      </c>
      <c r="BB77">
        <v>1998</v>
      </c>
      <c r="BC77" t="s">
        <v>673</v>
      </c>
      <c r="BD77" s="10" t="s">
        <v>697</v>
      </c>
      <c r="BE77" t="s">
        <v>572</v>
      </c>
      <c r="BF77" s="3" t="s">
        <v>484</v>
      </c>
      <c r="BG77" t="s">
        <v>485</v>
      </c>
      <c r="BH77" t="s">
        <v>675</v>
      </c>
      <c r="BI77" s="4" t="s">
        <v>486</v>
      </c>
      <c r="BJ77" s="9">
        <v>53000</v>
      </c>
      <c r="EE77" s="4"/>
      <c r="EF77" s="9"/>
      <c r="EG77" s="9"/>
      <c r="EH77" s="9"/>
      <c r="EI77" s="9"/>
      <c r="EJ77" s="9"/>
      <c r="EK77" s="9"/>
      <c r="EL77" s="9"/>
      <c r="EM77" s="9"/>
      <c r="EN77" s="9"/>
      <c r="EO77" s="9"/>
      <c r="EP77" s="9"/>
      <c r="EQ77" s="9"/>
      <c r="ER77" s="9"/>
      <c r="ES77" s="9"/>
      <c r="ET77" s="9"/>
      <c r="EU77" s="9"/>
      <c r="EV77" s="9"/>
      <c r="EW77" s="9"/>
      <c r="EX77" s="9"/>
      <c r="EY77" s="9"/>
      <c r="EZ77" s="9"/>
      <c r="FA77" s="9"/>
      <c r="FB77" s="9"/>
      <c r="FC77" s="9"/>
      <c r="FD77" s="9"/>
      <c r="FE77" s="9"/>
      <c r="FF77" s="9"/>
      <c r="FG77" s="9"/>
      <c r="FH77" s="9"/>
      <c r="FI77" s="9"/>
      <c r="FJ77" s="9"/>
      <c r="FK77" s="9"/>
      <c r="FL77" s="9"/>
      <c r="FM77" s="9"/>
      <c r="FN77" s="9"/>
      <c r="FO77" s="9"/>
      <c r="FP77" s="9"/>
      <c r="FQ77" s="9"/>
      <c r="FR77" s="9"/>
      <c r="FS77" s="9"/>
      <c r="FT77" s="9"/>
      <c r="FU77" s="9"/>
      <c r="FV77" s="9"/>
      <c r="FW77" s="9"/>
      <c r="FX77" s="9"/>
      <c r="FY77" s="9"/>
      <c r="FZ77" s="9"/>
      <c r="GA77" s="9"/>
      <c r="GB77" s="9"/>
      <c r="GC77" s="9"/>
      <c r="GD77" s="9"/>
      <c r="GE77" s="9"/>
      <c r="GF77" s="9"/>
      <c r="GG77" s="9"/>
      <c r="GH77" s="9"/>
      <c r="GI77" s="9"/>
      <c r="GJ77" s="9"/>
      <c r="GK77" s="9"/>
      <c r="GL77" s="9"/>
      <c r="GM77" s="9"/>
      <c r="GN77" s="9"/>
      <c r="GO77" s="9"/>
      <c r="GP77" s="9"/>
      <c r="GQ77" s="9"/>
      <c r="GR77" s="9"/>
      <c r="GS77" s="9"/>
      <c r="GT77" s="9"/>
      <c r="GU77" s="9"/>
      <c r="GV77" s="9"/>
      <c r="GW77" s="9"/>
      <c r="GX77" s="9"/>
      <c r="GY77" s="9"/>
      <c r="GZ77" s="9"/>
      <c r="HA77" s="9"/>
      <c r="HB77" s="9"/>
      <c r="HC77" s="9"/>
      <c r="HD77" s="9"/>
      <c r="HE77" s="9"/>
      <c r="HF77" s="9"/>
      <c r="HG77" s="9"/>
      <c r="HH77" s="9"/>
      <c r="HI77" s="9"/>
      <c r="HJ77" s="9"/>
      <c r="HQ77" t="s">
        <v>677</v>
      </c>
      <c r="HS77" s="4" t="s">
        <v>490</v>
      </c>
      <c r="HT77" s="50">
        <v>34335</v>
      </c>
      <c r="HU77" s="50">
        <v>36160</v>
      </c>
      <c r="HV77" s="50"/>
      <c r="HW77" s="50"/>
      <c r="IO77" t="s">
        <v>698</v>
      </c>
      <c r="IP77" s="46" t="s">
        <v>699</v>
      </c>
      <c r="IS77">
        <v>1995</v>
      </c>
      <c r="IT77">
        <v>1995.2</v>
      </c>
      <c r="IU77" s="4" t="s">
        <v>544</v>
      </c>
      <c r="IV77" t="s">
        <v>700</v>
      </c>
      <c r="IW77" t="s">
        <v>492</v>
      </c>
      <c r="JA77">
        <v>0</v>
      </c>
      <c r="JB77">
        <v>0</v>
      </c>
      <c r="JC77">
        <v>0</v>
      </c>
      <c r="JD77">
        <v>0</v>
      </c>
      <c r="JE77">
        <v>0</v>
      </c>
      <c r="JF77">
        <v>0</v>
      </c>
      <c r="JG77">
        <v>0</v>
      </c>
      <c r="JH77">
        <v>0</v>
      </c>
      <c r="JI77">
        <v>0</v>
      </c>
      <c r="JK77" s="12" t="s">
        <v>682</v>
      </c>
      <c r="JP77" s="4"/>
      <c r="JV77" s="4"/>
      <c r="JW77" s="4"/>
      <c r="JX77" s="4"/>
      <c r="JY77" s="4"/>
      <c r="JZ77" s="4"/>
      <c r="KA77" s="4"/>
      <c r="KF77" s="7" t="s">
        <v>500</v>
      </c>
      <c r="KJ77" s="7" t="s">
        <v>649</v>
      </c>
      <c r="MY77" t="s">
        <v>684</v>
      </c>
      <c r="MZ77">
        <v>42</v>
      </c>
      <c r="NB77" t="s">
        <v>710</v>
      </c>
      <c r="NG77" t="s">
        <v>686</v>
      </c>
      <c r="NH77" t="s">
        <v>711</v>
      </c>
      <c r="NJ77" t="s">
        <v>712</v>
      </c>
      <c r="NL77" s="4" t="s">
        <v>689</v>
      </c>
      <c r="NM77" t="s">
        <v>713</v>
      </c>
      <c r="NN77">
        <v>15</v>
      </c>
      <c r="NO77">
        <v>30</v>
      </c>
      <c r="NV77" t="s">
        <v>518</v>
      </c>
      <c r="NW77" s="3">
        <v>61</v>
      </c>
      <c r="NX77" s="4" t="s">
        <v>520</v>
      </c>
      <c r="NY77" s="3">
        <v>19</v>
      </c>
      <c r="OB77">
        <v>4</v>
      </c>
      <c r="OU77" t="s">
        <v>717</v>
      </c>
      <c r="OW77">
        <v>1996</v>
      </c>
      <c r="OZ77" s="2" t="s">
        <v>709</v>
      </c>
      <c r="PB77" t="s">
        <v>522</v>
      </c>
      <c r="PC77" s="50">
        <v>46094</v>
      </c>
    </row>
    <row r="78" spans="1:419" ht="15.75" thickBot="1">
      <c r="A78" s="11" t="s">
        <v>665</v>
      </c>
      <c r="B78" t="s">
        <v>666</v>
      </c>
      <c r="C78" t="s">
        <v>667</v>
      </c>
      <c r="D78" s="4" t="s">
        <v>668</v>
      </c>
      <c r="E78" t="s">
        <v>669</v>
      </c>
      <c r="F78" s="88" t="s">
        <v>670</v>
      </c>
      <c r="G78" t="s">
        <v>475</v>
      </c>
      <c r="H78" t="s">
        <v>476</v>
      </c>
      <c r="I78" s="10">
        <v>0.1</v>
      </c>
      <c r="J78" s="10">
        <v>34.566667000000002</v>
      </c>
      <c r="K78">
        <v>150</v>
      </c>
      <c r="AV78" t="s">
        <v>671</v>
      </c>
      <c r="AW78">
        <v>100</v>
      </c>
      <c r="AX78" t="s">
        <v>480</v>
      </c>
      <c r="AY78">
        <v>4</v>
      </c>
      <c r="AZ78" t="s">
        <v>672</v>
      </c>
      <c r="BA78">
        <v>1994</v>
      </c>
      <c r="BB78">
        <v>1998</v>
      </c>
      <c r="BC78" t="s">
        <v>673</v>
      </c>
      <c r="BD78" s="10" t="s">
        <v>701</v>
      </c>
      <c r="BE78" t="s">
        <v>553</v>
      </c>
      <c r="BF78" s="3" t="s">
        <v>484</v>
      </c>
      <c r="BG78" t="s">
        <v>485</v>
      </c>
      <c r="BH78" t="s">
        <v>675</v>
      </c>
      <c r="BI78" s="4" t="s">
        <v>486</v>
      </c>
      <c r="BJ78" s="9">
        <v>53000</v>
      </c>
      <c r="EE78" s="4"/>
      <c r="EF78" s="9"/>
      <c r="EG78" s="9"/>
      <c r="EH78" s="9"/>
      <c r="EI78" s="9"/>
      <c r="EJ78" s="9"/>
      <c r="EK78" s="9"/>
      <c r="EL78" s="9"/>
      <c r="EM78" s="9"/>
      <c r="EN78" s="9"/>
      <c r="EO78" s="9"/>
      <c r="EP78" s="9"/>
      <c r="EQ78" s="9"/>
      <c r="ER78" s="9"/>
      <c r="ES78" s="9"/>
      <c r="ET78" s="9"/>
      <c r="EU78" s="9"/>
      <c r="EV78" s="9"/>
      <c r="EW78" s="9"/>
      <c r="EX78" s="9"/>
      <c r="EY78" s="9"/>
      <c r="EZ78" s="9"/>
      <c r="FA78" s="9"/>
      <c r="FB78" s="9"/>
      <c r="FC78" s="9"/>
      <c r="FD78" s="9"/>
      <c r="FE78" s="9"/>
      <c r="FF78" s="9"/>
      <c r="FG78" s="9"/>
      <c r="FH78" s="9"/>
      <c r="FI78" s="9"/>
      <c r="FJ78" s="9"/>
      <c r="FK78" s="9"/>
      <c r="FL78" s="9"/>
      <c r="FM78" s="9"/>
      <c r="FN78" s="9"/>
      <c r="FO78" s="9"/>
      <c r="FP78" s="9"/>
      <c r="FQ78" s="9"/>
      <c r="FR78" s="9"/>
      <c r="FS78" s="9"/>
      <c r="FT78" s="9"/>
      <c r="FU78" s="9"/>
      <c r="FV78" s="9"/>
      <c r="FW78" s="9"/>
      <c r="FX78" s="9"/>
      <c r="FY78" s="9"/>
      <c r="FZ78" s="9"/>
      <c r="GA78" s="9"/>
      <c r="GB78" s="9"/>
      <c r="GC78" s="9"/>
      <c r="GD78" s="9"/>
      <c r="GE78" s="9"/>
      <c r="GF78" s="9"/>
      <c r="GG78" s="9"/>
      <c r="GH78" s="9"/>
      <c r="GI78" s="9"/>
      <c r="GJ78" s="9"/>
      <c r="GK78" s="9"/>
      <c r="GL78" s="9"/>
      <c r="GM78" s="9"/>
      <c r="GN78" s="9"/>
      <c r="GO78" s="9"/>
      <c r="GP78" s="9"/>
      <c r="GQ78" s="9"/>
      <c r="GR78" s="9"/>
      <c r="GS78" s="9"/>
      <c r="GT78" s="9"/>
      <c r="GU78" s="9"/>
      <c r="GV78" s="9"/>
      <c r="GW78" s="9"/>
      <c r="GX78" s="9"/>
      <c r="GY78" s="9"/>
      <c r="GZ78" s="9"/>
      <c r="HA78" s="9"/>
      <c r="HB78" s="9"/>
      <c r="HC78" s="9"/>
      <c r="HD78" s="9"/>
      <c r="HE78" s="9"/>
      <c r="HF78" s="9"/>
      <c r="HG78" s="9"/>
      <c r="HH78" s="9"/>
      <c r="HI78" s="9"/>
      <c r="HJ78" s="9"/>
      <c r="HQ78" t="s">
        <v>677</v>
      </c>
      <c r="HS78" s="4" t="s">
        <v>490</v>
      </c>
      <c r="HT78" s="50">
        <v>34335</v>
      </c>
      <c r="HU78" s="50">
        <v>36160</v>
      </c>
      <c r="HV78" s="50"/>
      <c r="HW78" s="50"/>
      <c r="IO78" t="s">
        <v>702</v>
      </c>
      <c r="IP78" s="13" t="s">
        <v>703</v>
      </c>
      <c r="IS78">
        <v>1994</v>
      </c>
      <c r="IT78">
        <v>1994.2</v>
      </c>
      <c r="IU78" s="4" t="s">
        <v>544</v>
      </c>
      <c r="IV78" t="s">
        <v>700</v>
      </c>
      <c r="IW78" t="s">
        <v>492</v>
      </c>
      <c r="JA78">
        <v>0</v>
      </c>
      <c r="JB78">
        <v>0</v>
      </c>
      <c r="JC78">
        <v>0</v>
      </c>
      <c r="JD78">
        <v>0</v>
      </c>
      <c r="JE78">
        <v>0</v>
      </c>
      <c r="JF78">
        <v>0</v>
      </c>
      <c r="JG78">
        <v>0</v>
      </c>
      <c r="JH78">
        <v>0</v>
      </c>
      <c r="JI78">
        <v>0</v>
      </c>
      <c r="JK78" s="12" t="s">
        <v>682</v>
      </c>
      <c r="JP78" s="4"/>
      <c r="JV78" s="4"/>
      <c r="JW78" s="4"/>
      <c r="JX78" s="4"/>
      <c r="JY78" s="4"/>
      <c r="JZ78" s="4"/>
      <c r="KA78" s="4"/>
      <c r="KF78" s="7" t="s">
        <v>500</v>
      </c>
      <c r="KJ78" s="7" t="s">
        <v>649</v>
      </c>
      <c r="MY78" t="s">
        <v>684</v>
      </c>
      <c r="MZ78">
        <v>42</v>
      </c>
      <c r="NB78" t="s">
        <v>710</v>
      </c>
      <c r="NG78" t="s">
        <v>686</v>
      </c>
      <c r="NH78" t="s">
        <v>711</v>
      </c>
      <c r="NJ78" t="s">
        <v>712</v>
      </c>
      <c r="NL78" s="4" t="s">
        <v>689</v>
      </c>
      <c r="NM78" t="s">
        <v>713</v>
      </c>
      <c r="NN78">
        <v>15</v>
      </c>
      <c r="NO78">
        <v>30</v>
      </c>
      <c r="NV78" t="s">
        <v>518</v>
      </c>
      <c r="NW78" s="3">
        <v>119</v>
      </c>
      <c r="NX78" s="4" t="s">
        <v>520</v>
      </c>
      <c r="NY78" s="3">
        <v>61</v>
      </c>
      <c r="OB78">
        <v>4</v>
      </c>
      <c r="OU78" t="s">
        <v>717</v>
      </c>
      <c r="OW78">
        <v>1996</v>
      </c>
      <c r="OZ78" s="2" t="s">
        <v>709</v>
      </c>
      <c r="PB78" t="s">
        <v>522</v>
      </c>
      <c r="PC78" s="50">
        <v>46094</v>
      </c>
    </row>
    <row r="79" spans="1:419" ht="15.75" thickBot="1">
      <c r="A79" s="11" t="s">
        <v>665</v>
      </c>
      <c r="B79" t="s">
        <v>666</v>
      </c>
      <c r="C79" t="s">
        <v>667</v>
      </c>
      <c r="D79" s="4" t="s">
        <v>668</v>
      </c>
      <c r="E79" t="s">
        <v>669</v>
      </c>
      <c r="F79" s="88" t="s">
        <v>670</v>
      </c>
      <c r="G79" t="s">
        <v>475</v>
      </c>
      <c r="H79" t="s">
        <v>476</v>
      </c>
      <c r="I79" s="10">
        <v>0.1</v>
      </c>
      <c r="J79" s="10">
        <v>34.566667000000002</v>
      </c>
      <c r="K79">
        <v>150</v>
      </c>
      <c r="AV79" t="s">
        <v>671</v>
      </c>
      <c r="AW79">
        <v>100</v>
      </c>
      <c r="AX79" t="s">
        <v>480</v>
      </c>
      <c r="AY79">
        <v>4</v>
      </c>
      <c r="AZ79" t="s">
        <v>672</v>
      </c>
      <c r="BA79">
        <v>1994</v>
      </c>
      <c r="BB79">
        <v>1998</v>
      </c>
      <c r="BC79" t="s">
        <v>673</v>
      </c>
      <c r="BD79" s="10" t="s">
        <v>704</v>
      </c>
      <c r="BE79" t="s">
        <v>524</v>
      </c>
      <c r="BF79" s="3" t="s">
        <v>484</v>
      </c>
      <c r="BG79" t="s">
        <v>485</v>
      </c>
      <c r="BH79" t="s">
        <v>675</v>
      </c>
      <c r="BI79" s="4" t="s">
        <v>486</v>
      </c>
      <c r="BJ79" s="9">
        <v>53000</v>
      </c>
      <c r="HQ79" t="s">
        <v>677</v>
      </c>
      <c r="HS79" s="4" t="s">
        <v>490</v>
      </c>
      <c r="HT79" s="50">
        <v>34335</v>
      </c>
      <c r="HU79" s="50">
        <v>36160</v>
      </c>
      <c r="HV79" s="50"/>
      <c r="HW79" s="50"/>
      <c r="IO79" t="s">
        <v>700</v>
      </c>
      <c r="IP79" s="46" t="s">
        <v>492</v>
      </c>
      <c r="IU79" s="4" t="s">
        <v>544</v>
      </c>
      <c r="IV79" t="s">
        <v>700</v>
      </c>
      <c r="IW79" s="46" t="s">
        <v>492</v>
      </c>
      <c r="JA79">
        <v>0</v>
      </c>
      <c r="JB79">
        <v>0</v>
      </c>
      <c r="JC79">
        <v>0</v>
      </c>
      <c r="JD79">
        <v>0</v>
      </c>
      <c r="JE79">
        <v>0</v>
      </c>
      <c r="JF79">
        <v>0</v>
      </c>
      <c r="JG79">
        <v>0</v>
      </c>
      <c r="JH79">
        <v>0</v>
      </c>
      <c r="JI79">
        <v>0</v>
      </c>
      <c r="JK79" s="12" t="s">
        <v>682</v>
      </c>
      <c r="JP79" s="4"/>
      <c r="JV79" s="4"/>
      <c r="JW79" s="4"/>
      <c r="JX79" s="4"/>
      <c r="JY79" s="4"/>
      <c r="JZ79" s="4"/>
      <c r="KA79" s="4"/>
      <c r="KF79" s="7" t="s">
        <v>500</v>
      </c>
      <c r="KJ79" s="7" t="s">
        <v>649</v>
      </c>
      <c r="MY79" t="s">
        <v>684</v>
      </c>
      <c r="MZ79">
        <v>42</v>
      </c>
      <c r="NB79" t="s">
        <v>710</v>
      </c>
      <c r="NG79" t="s">
        <v>686</v>
      </c>
      <c r="NH79" t="s">
        <v>711</v>
      </c>
      <c r="NJ79" t="s">
        <v>712</v>
      </c>
      <c r="NL79" s="4" t="s">
        <v>689</v>
      </c>
      <c r="NM79" t="s">
        <v>713</v>
      </c>
      <c r="NN79">
        <v>15</v>
      </c>
      <c r="NO79">
        <v>30</v>
      </c>
      <c r="NU79" t="s">
        <v>517</v>
      </c>
      <c r="NV79" t="s">
        <v>518</v>
      </c>
      <c r="NW79" s="3">
        <v>70</v>
      </c>
      <c r="NX79" s="4" t="s">
        <v>520</v>
      </c>
      <c r="NY79" s="3">
        <v>21</v>
      </c>
      <c r="OB79">
        <v>4</v>
      </c>
      <c r="OU79" t="s">
        <v>717</v>
      </c>
      <c r="OW79">
        <v>1996</v>
      </c>
      <c r="OZ79" s="2" t="s">
        <v>709</v>
      </c>
      <c r="PB79" t="s">
        <v>522</v>
      </c>
      <c r="PC79" s="50">
        <v>46094</v>
      </c>
    </row>
    <row r="80" spans="1:419" ht="15.75" thickBot="1">
      <c r="A80" s="11" t="s">
        <v>665</v>
      </c>
      <c r="B80" t="s">
        <v>666</v>
      </c>
      <c r="C80" t="s">
        <v>667</v>
      </c>
      <c r="D80" s="4" t="s">
        <v>668</v>
      </c>
      <c r="E80" t="s">
        <v>669</v>
      </c>
      <c r="F80" s="88" t="s">
        <v>670</v>
      </c>
      <c r="G80" t="s">
        <v>475</v>
      </c>
      <c r="H80" t="s">
        <v>476</v>
      </c>
      <c r="I80" s="10">
        <v>0.1</v>
      </c>
      <c r="J80" s="10">
        <v>34.566667000000002</v>
      </c>
      <c r="K80">
        <v>150</v>
      </c>
      <c r="AV80" t="s">
        <v>671</v>
      </c>
      <c r="AW80">
        <v>100</v>
      </c>
      <c r="AX80" t="s">
        <v>480</v>
      </c>
      <c r="AY80">
        <v>4</v>
      </c>
      <c r="AZ80" t="s">
        <v>672</v>
      </c>
      <c r="BA80">
        <v>1994</v>
      </c>
      <c r="BB80">
        <v>1998</v>
      </c>
      <c r="BC80" t="s">
        <v>673</v>
      </c>
      <c r="BD80" s="10" t="s">
        <v>705</v>
      </c>
      <c r="BE80" t="s">
        <v>483</v>
      </c>
      <c r="BF80" s="3" t="s">
        <v>484</v>
      </c>
      <c r="BG80" t="s">
        <v>485</v>
      </c>
      <c r="BH80" t="s">
        <v>675</v>
      </c>
      <c r="BI80" s="4" t="s">
        <v>486</v>
      </c>
      <c r="BJ80" s="9">
        <v>53000</v>
      </c>
      <c r="HQ80" t="s">
        <v>677</v>
      </c>
      <c r="HS80" s="4" t="s">
        <v>490</v>
      </c>
      <c r="HT80" s="50">
        <v>34335</v>
      </c>
      <c r="HU80" s="50">
        <v>36160</v>
      </c>
      <c r="HV80" s="50"/>
      <c r="HW80" s="50"/>
      <c r="IO80" t="s">
        <v>706</v>
      </c>
      <c r="IP80" s="46" t="s">
        <v>492</v>
      </c>
      <c r="IU80" s="4" t="s">
        <v>544</v>
      </c>
      <c r="IV80" t="s">
        <v>707</v>
      </c>
      <c r="IW80" s="46" t="s">
        <v>492</v>
      </c>
      <c r="JA80">
        <v>0</v>
      </c>
      <c r="JB80">
        <v>0</v>
      </c>
      <c r="JC80">
        <v>0</v>
      </c>
      <c r="JD80">
        <v>0</v>
      </c>
      <c r="JE80">
        <v>0</v>
      </c>
      <c r="JF80">
        <v>0</v>
      </c>
      <c r="JG80">
        <v>0</v>
      </c>
      <c r="JH80">
        <v>0</v>
      </c>
      <c r="JI80">
        <v>0</v>
      </c>
      <c r="JJ80" t="s">
        <v>706</v>
      </c>
      <c r="JK80" t="s">
        <v>494</v>
      </c>
      <c r="JL80" s="8" t="s">
        <v>495</v>
      </c>
      <c r="JP80" s="4" t="s">
        <v>508</v>
      </c>
      <c r="JQ80">
        <v>60</v>
      </c>
      <c r="JT80">
        <v>60</v>
      </c>
      <c r="JV80" s="4"/>
      <c r="JW80" s="4"/>
      <c r="JX80" s="4"/>
      <c r="JY80" s="4"/>
      <c r="JZ80" s="4"/>
      <c r="KA80" s="4"/>
      <c r="KF80" s="7" t="s">
        <v>500</v>
      </c>
      <c r="KJ80" s="7" t="s">
        <v>649</v>
      </c>
      <c r="MY80" t="s">
        <v>684</v>
      </c>
      <c r="MZ80">
        <v>42</v>
      </c>
      <c r="NB80" t="s">
        <v>710</v>
      </c>
      <c r="NG80" t="s">
        <v>686</v>
      </c>
      <c r="NH80" t="s">
        <v>711</v>
      </c>
      <c r="NJ80" t="s">
        <v>712</v>
      </c>
      <c r="NL80" s="4" t="s">
        <v>689</v>
      </c>
      <c r="NM80" t="s">
        <v>713</v>
      </c>
      <c r="NN80">
        <v>15</v>
      </c>
      <c r="NO80">
        <v>30</v>
      </c>
      <c r="NU80" t="s">
        <v>708</v>
      </c>
      <c r="NV80" t="s">
        <v>518</v>
      </c>
      <c r="NW80" s="3">
        <v>57</v>
      </c>
      <c r="NX80" s="4" t="s">
        <v>520</v>
      </c>
      <c r="NY80" s="3">
        <v>26</v>
      </c>
      <c r="OB80">
        <v>4</v>
      </c>
      <c r="OU80" t="s">
        <v>717</v>
      </c>
      <c r="OW80">
        <v>1996</v>
      </c>
      <c r="OZ80" s="2" t="s">
        <v>709</v>
      </c>
      <c r="PB80" t="s">
        <v>522</v>
      </c>
      <c r="PC80" s="50">
        <v>46094</v>
      </c>
    </row>
    <row r="81" spans="1:419" ht="15.75" thickBot="1">
      <c r="A81" s="11" t="s">
        <v>665</v>
      </c>
      <c r="B81" t="s">
        <v>666</v>
      </c>
      <c r="C81" t="s">
        <v>667</v>
      </c>
      <c r="D81" s="4" t="s">
        <v>668</v>
      </c>
      <c r="E81" t="s">
        <v>669</v>
      </c>
      <c r="F81" s="88" t="s">
        <v>670</v>
      </c>
      <c r="G81" t="s">
        <v>475</v>
      </c>
      <c r="H81" t="s">
        <v>476</v>
      </c>
      <c r="I81" s="10">
        <v>0.1</v>
      </c>
      <c r="J81" s="10">
        <v>34.566667000000002</v>
      </c>
      <c r="K81">
        <v>150</v>
      </c>
      <c r="AV81" t="s">
        <v>671</v>
      </c>
      <c r="AW81">
        <v>100</v>
      </c>
      <c r="AX81" t="s">
        <v>480</v>
      </c>
      <c r="AY81">
        <v>4</v>
      </c>
      <c r="AZ81" t="s">
        <v>672</v>
      </c>
      <c r="BA81">
        <v>1994</v>
      </c>
      <c r="BB81">
        <v>1998</v>
      </c>
      <c r="BC81" t="s">
        <v>673</v>
      </c>
      <c r="BD81" s="10" t="s">
        <v>674</v>
      </c>
      <c r="BE81" t="s">
        <v>536</v>
      </c>
      <c r="BF81" s="3" t="s">
        <v>484</v>
      </c>
      <c r="BG81" t="s">
        <v>485</v>
      </c>
      <c r="BH81" t="s">
        <v>675</v>
      </c>
      <c r="BI81" s="4" t="s">
        <v>486</v>
      </c>
      <c r="BJ81" s="9">
        <v>53000</v>
      </c>
      <c r="ED81" t="s">
        <v>676</v>
      </c>
      <c r="EE81" s="4" t="s">
        <v>486</v>
      </c>
      <c r="EF81" s="9">
        <v>53000</v>
      </c>
      <c r="EG81" s="9"/>
      <c r="EH81" s="9"/>
      <c r="EI81" s="9"/>
      <c r="EJ81" s="9"/>
      <c r="EK81" s="9"/>
      <c r="EL81" s="9"/>
      <c r="EM81" s="9"/>
      <c r="EN81" s="9"/>
      <c r="EO81" s="9"/>
      <c r="EP81" s="9"/>
      <c r="EQ81" s="9"/>
      <c r="ER81" s="9"/>
      <c r="ES81" s="9"/>
      <c r="ET81" s="9"/>
      <c r="EU81" s="9"/>
      <c r="EV81" s="9"/>
      <c r="EW81" s="9"/>
      <c r="EX81" s="9"/>
      <c r="EY81" s="9"/>
      <c r="EZ81" s="9"/>
      <c r="FA81" s="9"/>
      <c r="FB81" s="9"/>
      <c r="FC81" s="9"/>
      <c r="FD81" s="9"/>
      <c r="FE81" s="9"/>
      <c r="FF81" s="9"/>
      <c r="FG81" s="9"/>
      <c r="FH81" s="9"/>
      <c r="FI81" s="9"/>
      <c r="FJ81" s="9"/>
      <c r="FK81" s="9"/>
      <c r="FL81" s="9"/>
      <c r="FM81" s="9"/>
      <c r="FN81" s="9"/>
      <c r="FO81" s="9"/>
      <c r="FP81" s="9"/>
      <c r="FQ81" s="9"/>
      <c r="FR81" s="9"/>
      <c r="FS81" s="9"/>
      <c r="FT81" s="9"/>
      <c r="FU81" s="9"/>
      <c r="FV81" s="9"/>
      <c r="FW81" s="9"/>
      <c r="FX81" s="9"/>
      <c r="FY81" s="9"/>
      <c r="FZ81" s="9"/>
      <c r="GA81" s="9"/>
      <c r="GB81" s="9"/>
      <c r="GC81" s="9"/>
      <c r="GD81" s="9"/>
      <c r="GE81" s="9"/>
      <c r="GF81" s="9"/>
      <c r="GG81" s="9"/>
      <c r="GH81" s="9"/>
      <c r="GI81" s="9"/>
      <c r="GJ81" s="9"/>
      <c r="GK81" s="9"/>
      <c r="GL81" s="9"/>
      <c r="GM81" s="9"/>
      <c r="GN81" s="9"/>
      <c r="GO81" s="9"/>
      <c r="GP81" s="9"/>
      <c r="GQ81" s="9"/>
      <c r="GR81" s="9"/>
      <c r="GS81" s="9"/>
      <c r="GT81" s="9"/>
      <c r="GU81" s="9"/>
      <c r="GV81" s="9"/>
      <c r="GW81" s="9"/>
      <c r="GX81" s="9"/>
      <c r="GY81" s="9"/>
      <c r="GZ81" s="9"/>
      <c r="HA81" s="9"/>
      <c r="HB81" s="9"/>
      <c r="HC81" s="9"/>
      <c r="HD81" s="9"/>
      <c r="HE81" s="9"/>
      <c r="HF81" s="9"/>
      <c r="HG81" s="9"/>
      <c r="HH81" s="9"/>
      <c r="HI81" s="9"/>
      <c r="HJ81" s="9"/>
      <c r="HQ81" t="s">
        <v>677</v>
      </c>
      <c r="HS81" s="4" t="s">
        <v>490</v>
      </c>
      <c r="HT81" s="50">
        <v>34335</v>
      </c>
      <c r="HU81" s="50">
        <v>36160</v>
      </c>
      <c r="HV81" s="50"/>
      <c r="HW81" s="50"/>
      <c r="IN81" s="4"/>
      <c r="IO81" t="s">
        <v>678</v>
      </c>
      <c r="IP81" s="12" t="s">
        <v>679</v>
      </c>
      <c r="IS81">
        <v>1995</v>
      </c>
      <c r="IT81">
        <v>1995.2</v>
      </c>
      <c r="IU81" s="4" t="s">
        <v>544</v>
      </c>
      <c r="IV81" t="s">
        <v>680</v>
      </c>
      <c r="IW81" s="12" t="s">
        <v>681</v>
      </c>
      <c r="IZ81">
        <v>0.5</v>
      </c>
      <c r="JA81" t="s">
        <v>480</v>
      </c>
      <c r="JB81" t="s">
        <v>480</v>
      </c>
      <c r="JC81" t="s">
        <v>480</v>
      </c>
      <c r="JD81" t="s">
        <v>480</v>
      </c>
      <c r="JE81" t="s">
        <v>480</v>
      </c>
      <c r="JF81" t="s">
        <v>480</v>
      </c>
      <c r="JG81" t="s">
        <v>480</v>
      </c>
      <c r="JH81" t="s">
        <v>480</v>
      </c>
      <c r="JI81" t="s">
        <v>480</v>
      </c>
      <c r="JK81" s="12" t="s">
        <v>682</v>
      </c>
      <c r="JP81" s="4"/>
      <c r="JV81" s="4"/>
      <c r="JW81" s="4"/>
      <c r="JX81" s="4"/>
      <c r="JY81" s="4"/>
      <c r="JZ81" s="4"/>
      <c r="KA81" s="4"/>
      <c r="KF81" s="7" t="s">
        <v>500</v>
      </c>
      <c r="KJ81" s="45" t="s">
        <v>683</v>
      </c>
      <c r="KK81" s="8" t="s">
        <v>562</v>
      </c>
      <c r="KL81" t="s">
        <v>480</v>
      </c>
      <c r="KM81" t="s">
        <v>480</v>
      </c>
      <c r="MY81" t="s">
        <v>684</v>
      </c>
      <c r="MZ81">
        <v>42</v>
      </c>
      <c r="NB81" s="4" t="s">
        <v>548</v>
      </c>
      <c r="NJ81" t="s">
        <v>718</v>
      </c>
      <c r="NL81" s="4" t="s">
        <v>660</v>
      </c>
      <c r="NM81" s="6" t="s">
        <v>719</v>
      </c>
      <c r="NV81" t="s">
        <v>518</v>
      </c>
      <c r="NW81" s="5" t="s">
        <v>720</v>
      </c>
      <c r="NX81" s="4" t="s">
        <v>520</v>
      </c>
      <c r="NY81" s="3">
        <v>0.27362216468398071</v>
      </c>
      <c r="OB81">
        <v>4</v>
      </c>
      <c r="OU81" t="s">
        <v>721</v>
      </c>
      <c r="OW81">
        <v>1996</v>
      </c>
      <c r="OZ81" s="2" t="s">
        <v>692</v>
      </c>
      <c r="PB81" t="s">
        <v>522</v>
      </c>
      <c r="PC81" s="50">
        <v>46094</v>
      </c>
    </row>
    <row r="82" spans="1:419" ht="15.75" thickBot="1">
      <c r="A82" s="11" t="s">
        <v>665</v>
      </c>
      <c r="B82" t="s">
        <v>666</v>
      </c>
      <c r="C82" t="s">
        <v>667</v>
      </c>
      <c r="D82" s="4" t="s">
        <v>668</v>
      </c>
      <c r="E82" t="s">
        <v>669</v>
      </c>
      <c r="F82" s="88" t="s">
        <v>670</v>
      </c>
      <c r="G82" t="s">
        <v>475</v>
      </c>
      <c r="H82" t="s">
        <v>476</v>
      </c>
      <c r="I82" s="10">
        <v>0.1</v>
      </c>
      <c r="J82" s="10">
        <v>34.566667000000002</v>
      </c>
      <c r="K82">
        <v>150</v>
      </c>
      <c r="AV82" t="s">
        <v>671</v>
      </c>
      <c r="AW82">
        <v>100</v>
      </c>
      <c r="AX82" t="s">
        <v>480</v>
      </c>
      <c r="AY82">
        <v>4</v>
      </c>
      <c r="AZ82" t="s">
        <v>672</v>
      </c>
      <c r="BA82">
        <v>1994</v>
      </c>
      <c r="BB82">
        <v>1998</v>
      </c>
      <c r="BC82" t="s">
        <v>673</v>
      </c>
      <c r="BD82" s="10" t="s">
        <v>693</v>
      </c>
      <c r="BE82" t="s">
        <v>566</v>
      </c>
      <c r="BF82" s="3" t="s">
        <v>484</v>
      </c>
      <c r="BG82" t="s">
        <v>485</v>
      </c>
      <c r="BH82" t="s">
        <v>675</v>
      </c>
      <c r="BI82" s="4" t="s">
        <v>486</v>
      </c>
      <c r="BJ82" s="9">
        <v>53000</v>
      </c>
      <c r="ED82" t="s">
        <v>676</v>
      </c>
      <c r="EE82" s="4" t="s">
        <v>486</v>
      </c>
      <c r="EF82" s="9">
        <v>53000</v>
      </c>
      <c r="EG82" s="9"/>
      <c r="EH82" s="9"/>
      <c r="EI82" s="9"/>
      <c r="EJ82" s="9"/>
      <c r="EK82" s="9"/>
      <c r="EL82" s="9"/>
      <c r="EM82" s="9"/>
      <c r="EN82" s="9"/>
      <c r="EO82" s="9"/>
      <c r="EP82" s="9"/>
      <c r="EQ82" s="9"/>
      <c r="ER82" s="9"/>
      <c r="ES82" s="9"/>
      <c r="ET82" s="9"/>
      <c r="EU82" s="9"/>
      <c r="EV82" s="9"/>
      <c r="EW82" s="9"/>
      <c r="EX82" s="9"/>
      <c r="EY82" s="9"/>
      <c r="EZ82" s="9"/>
      <c r="FA82" s="9"/>
      <c r="FB82" s="9"/>
      <c r="FC82" s="9"/>
      <c r="FD82" s="9"/>
      <c r="FE82" s="9"/>
      <c r="FF82" s="9"/>
      <c r="FG82" s="9"/>
      <c r="FH82" s="9"/>
      <c r="FI82" s="9"/>
      <c r="FJ82" s="9"/>
      <c r="FK82" s="9"/>
      <c r="FL82" s="9"/>
      <c r="FM82" s="9"/>
      <c r="FN82" s="9"/>
      <c r="FO82" s="9"/>
      <c r="FP82" s="9"/>
      <c r="FQ82" s="9"/>
      <c r="FR82" s="9"/>
      <c r="FS82" s="9"/>
      <c r="FT82" s="9"/>
      <c r="FU82" s="9"/>
      <c r="FV82" s="9"/>
      <c r="FW82" s="9"/>
      <c r="FX82" s="9"/>
      <c r="FY82" s="9"/>
      <c r="FZ82" s="9"/>
      <c r="GA82" s="9"/>
      <c r="GB82" s="9"/>
      <c r="GC82" s="9"/>
      <c r="GD82" s="9"/>
      <c r="GE82" s="9"/>
      <c r="GF82" s="9"/>
      <c r="GG82" s="9"/>
      <c r="GH82" s="9"/>
      <c r="GI82" s="9"/>
      <c r="GJ82" s="9"/>
      <c r="GK82" s="9"/>
      <c r="GL82" s="9"/>
      <c r="GM82" s="9"/>
      <c r="GN82" s="9"/>
      <c r="GO82" s="9"/>
      <c r="GP82" s="9"/>
      <c r="GQ82" s="9"/>
      <c r="GR82" s="9"/>
      <c r="GS82" s="9"/>
      <c r="GT82" s="9"/>
      <c r="GU82" s="9"/>
      <c r="GV82" s="9"/>
      <c r="GW82" s="9"/>
      <c r="GX82" s="9"/>
      <c r="GY82" s="9"/>
      <c r="GZ82" s="9"/>
      <c r="HA82" s="9"/>
      <c r="HB82" s="9"/>
      <c r="HC82" s="9"/>
      <c r="HD82" s="9"/>
      <c r="HE82" s="9"/>
      <c r="HF82" s="9"/>
      <c r="HG82" s="9"/>
      <c r="HH82" s="9"/>
      <c r="HI82" s="9"/>
      <c r="HJ82" s="9"/>
      <c r="HQ82" t="s">
        <v>677</v>
      </c>
      <c r="HS82" s="4" t="s">
        <v>490</v>
      </c>
      <c r="HT82" s="50">
        <v>34335</v>
      </c>
      <c r="HU82" s="50">
        <v>36160</v>
      </c>
      <c r="HV82" s="50"/>
      <c r="HW82" s="50"/>
      <c r="IN82" s="4"/>
      <c r="IO82" t="s">
        <v>694</v>
      </c>
      <c r="IP82" s="12" t="s">
        <v>695</v>
      </c>
      <c r="IS82">
        <v>1994</v>
      </c>
      <c r="IT82">
        <v>1994.2</v>
      </c>
      <c r="IU82" s="4" t="s">
        <v>544</v>
      </c>
      <c r="IV82" t="s">
        <v>696</v>
      </c>
      <c r="IW82" s="12" t="s">
        <v>681</v>
      </c>
      <c r="IZ82">
        <v>0.5</v>
      </c>
      <c r="JA82" t="s">
        <v>480</v>
      </c>
      <c r="JB82" t="s">
        <v>480</v>
      </c>
      <c r="JC82" t="s">
        <v>480</v>
      </c>
      <c r="JD82" t="s">
        <v>480</v>
      </c>
      <c r="JE82" t="s">
        <v>480</v>
      </c>
      <c r="JF82" t="s">
        <v>480</v>
      </c>
      <c r="JG82" t="s">
        <v>480</v>
      </c>
      <c r="JH82" t="s">
        <v>480</v>
      </c>
      <c r="JI82" t="s">
        <v>480</v>
      </c>
      <c r="JK82" s="12" t="s">
        <v>682</v>
      </c>
      <c r="JP82" s="4"/>
      <c r="JV82" s="4"/>
      <c r="JW82" s="4"/>
      <c r="JX82" s="4"/>
      <c r="JY82" s="4"/>
      <c r="JZ82" s="4"/>
      <c r="KA82" s="4"/>
      <c r="KF82" s="7" t="s">
        <v>500</v>
      </c>
      <c r="KJ82" s="45" t="s">
        <v>683</v>
      </c>
      <c r="KK82" s="8" t="s">
        <v>562</v>
      </c>
      <c r="KL82" t="s">
        <v>480</v>
      </c>
      <c r="KM82" t="s">
        <v>480</v>
      </c>
      <c r="MY82" t="s">
        <v>684</v>
      </c>
      <c r="MZ82">
        <v>42</v>
      </c>
      <c r="NB82" s="4" t="s">
        <v>548</v>
      </c>
      <c r="NJ82" t="s">
        <v>718</v>
      </c>
      <c r="NL82" s="4" t="s">
        <v>660</v>
      </c>
      <c r="NM82" s="6" t="s">
        <v>719</v>
      </c>
      <c r="NV82" t="s">
        <v>518</v>
      </c>
      <c r="NW82" s="5" t="s">
        <v>722</v>
      </c>
      <c r="NX82" s="4" t="s">
        <v>520</v>
      </c>
      <c r="NY82" s="3">
        <v>0.27362216468397982</v>
      </c>
      <c r="OB82">
        <v>4</v>
      </c>
      <c r="OU82" t="s">
        <v>721</v>
      </c>
      <c r="OW82">
        <v>1996</v>
      </c>
      <c r="OZ82" s="2" t="s">
        <v>692</v>
      </c>
      <c r="PB82" t="s">
        <v>522</v>
      </c>
      <c r="PC82" s="50">
        <v>46094</v>
      </c>
    </row>
    <row r="83" spans="1:419" ht="15.75" thickBot="1">
      <c r="A83" s="11" t="s">
        <v>665</v>
      </c>
      <c r="B83" t="s">
        <v>666</v>
      </c>
      <c r="C83" t="s">
        <v>667</v>
      </c>
      <c r="D83" s="4" t="s">
        <v>668</v>
      </c>
      <c r="E83" t="s">
        <v>669</v>
      </c>
      <c r="F83" s="88" t="s">
        <v>670</v>
      </c>
      <c r="G83" t="s">
        <v>475</v>
      </c>
      <c r="H83" t="s">
        <v>476</v>
      </c>
      <c r="I83" s="10">
        <v>0.1</v>
      </c>
      <c r="J83" s="10">
        <v>34.566667000000002</v>
      </c>
      <c r="K83">
        <v>150</v>
      </c>
      <c r="AV83" t="s">
        <v>671</v>
      </c>
      <c r="AW83">
        <v>100</v>
      </c>
      <c r="AX83" t="s">
        <v>480</v>
      </c>
      <c r="AY83">
        <v>4</v>
      </c>
      <c r="AZ83" t="s">
        <v>672</v>
      </c>
      <c r="BA83">
        <v>1994</v>
      </c>
      <c r="BB83">
        <v>1998</v>
      </c>
      <c r="BC83" t="s">
        <v>673</v>
      </c>
      <c r="BD83" s="10" t="s">
        <v>697</v>
      </c>
      <c r="BE83" t="s">
        <v>572</v>
      </c>
      <c r="BF83" s="3" t="s">
        <v>484</v>
      </c>
      <c r="BG83" t="s">
        <v>485</v>
      </c>
      <c r="BH83" t="s">
        <v>675</v>
      </c>
      <c r="BI83" s="4" t="s">
        <v>486</v>
      </c>
      <c r="BJ83" s="9">
        <v>53000</v>
      </c>
      <c r="EE83" s="4"/>
      <c r="EF83" s="9"/>
      <c r="EG83" s="9"/>
      <c r="EH83" s="9"/>
      <c r="EI83" s="9"/>
      <c r="EJ83" s="9"/>
      <c r="EK83" s="9"/>
      <c r="EL83" s="9"/>
      <c r="EM83" s="9"/>
      <c r="EN83" s="9"/>
      <c r="EO83" s="9"/>
      <c r="EP83" s="9"/>
      <c r="EQ83" s="9"/>
      <c r="ER83" s="9"/>
      <c r="ES83" s="9"/>
      <c r="ET83" s="9"/>
      <c r="EU83" s="9"/>
      <c r="EV83" s="9"/>
      <c r="EW83" s="9"/>
      <c r="EX83" s="9"/>
      <c r="EY83" s="9"/>
      <c r="EZ83" s="9"/>
      <c r="FA83" s="9"/>
      <c r="FB83" s="9"/>
      <c r="FC83" s="9"/>
      <c r="FD83" s="9"/>
      <c r="FE83" s="9"/>
      <c r="FF83" s="9"/>
      <c r="FG83" s="9"/>
      <c r="FH83" s="9"/>
      <c r="FI83" s="9"/>
      <c r="FJ83" s="9"/>
      <c r="FK83" s="9"/>
      <c r="FL83" s="9"/>
      <c r="FM83" s="9"/>
      <c r="FN83" s="9"/>
      <c r="FO83" s="9"/>
      <c r="FP83" s="9"/>
      <c r="FQ83" s="9"/>
      <c r="FR83" s="9"/>
      <c r="FS83" s="9"/>
      <c r="FT83" s="9"/>
      <c r="FU83" s="9"/>
      <c r="FV83" s="9"/>
      <c r="FW83" s="9"/>
      <c r="FX83" s="9"/>
      <c r="FY83" s="9"/>
      <c r="FZ83" s="9"/>
      <c r="GA83" s="9"/>
      <c r="GB83" s="9"/>
      <c r="GC83" s="9"/>
      <c r="GD83" s="9"/>
      <c r="GE83" s="9"/>
      <c r="GF83" s="9"/>
      <c r="GG83" s="9"/>
      <c r="GH83" s="9"/>
      <c r="GI83" s="9"/>
      <c r="GJ83" s="9"/>
      <c r="GK83" s="9"/>
      <c r="GL83" s="9"/>
      <c r="GM83" s="9"/>
      <c r="GN83" s="9"/>
      <c r="GO83" s="9"/>
      <c r="GP83" s="9"/>
      <c r="GQ83" s="9"/>
      <c r="GR83" s="9"/>
      <c r="GS83" s="9"/>
      <c r="GT83" s="9"/>
      <c r="GU83" s="9"/>
      <c r="GV83" s="9"/>
      <c r="GW83" s="9"/>
      <c r="GX83" s="9"/>
      <c r="GY83" s="9"/>
      <c r="GZ83" s="9"/>
      <c r="HA83" s="9"/>
      <c r="HB83" s="9"/>
      <c r="HC83" s="9"/>
      <c r="HD83" s="9"/>
      <c r="HE83" s="9"/>
      <c r="HF83" s="9"/>
      <c r="HG83" s="9"/>
      <c r="HH83" s="9"/>
      <c r="HI83" s="9"/>
      <c r="HJ83" s="9"/>
      <c r="HQ83" t="s">
        <v>677</v>
      </c>
      <c r="HS83" s="4" t="s">
        <v>490</v>
      </c>
      <c r="HT83" s="50">
        <v>34335</v>
      </c>
      <c r="HU83" s="50">
        <v>36160</v>
      </c>
      <c r="HV83" s="50"/>
      <c r="HW83" s="50"/>
      <c r="IO83" t="s">
        <v>698</v>
      </c>
      <c r="IP83" s="46" t="s">
        <v>699</v>
      </c>
      <c r="IS83">
        <v>1995</v>
      </c>
      <c r="IT83">
        <v>1995.2</v>
      </c>
      <c r="IU83" s="4" t="s">
        <v>544</v>
      </c>
      <c r="IV83" t="s">
        <v>700</v>
      </c>
      <c r="IW83" t="s">
        <v>492</v>
      </c>
      <c r="JA83">
        <v>0</v>
      </c>
      <c r="JB83">
        <v>0</v>
      </c>
      <c r="JC83">
        <v>0</v>
      </c>
      <c r="JD83">
        <v>0</v>
      </c>
      <c r="JE83">
        <v>0</v>
      </c>
      <c r="JF83">
        <v>0</v>
      </c>
      <c r="JG83">
        <v>0</v>
      </c>
      <c r="JH83">
        <v>0</v>
      </c>
      <c r="JI83">
        <v>0</v>
      </c>
      <c r="JK83" s="12" t="s">
        <v>682</v>
      </c>
      <c r="JP83" s="4"/>
      <c r="JV83" s="4"/>
      <c r="JW83" s="4"/>
      <c r="JX83" s="4"/>
      <c r="JY83" s="4"/>
      <c r="JZ83" s="4"/>
      <c r="KA83" s="4"/>
      <c r="KF83" s="7" t="s">
        <v>500</v>
      </c>
      <c r="KJ83" s="7" t="s">
        <v>649</v>
      </c>
      <c r="MY83" t="s">
        <v>684</v>
      </c>
      <c r="MZ83">
        <v>42</v>
      </c>
      <c r="NB83" s="4" t="s">
        <v>548</v>
      </c>
      <c r="NJ83" t="s">
        <v>718</v>
      </c>
      <c r="NL83" s="4" t="s">
        <v>660</v>
      </c>
      <c r="NM83" s="6" t="s">
        <v>719</v>
      </c>
      <c r="NV83" t="s">
        <v>518</v>
      </c>
      <c r="NW83" s="5" t="s">
        <v>723</v>
      </c>
      <c r="NX83" s="4" t="s">
        <v>520</v>
      </c>
      <c r="NY83" s="3">
        <v>0.25400613299288022</v>
      </c>
      <c r="OB83">
        <v>4</v>
      </c>
      <c r="OU83" t="s">
        <v>721</v>
      </c>
      <c r="OW83">
        <v>1996</v>
      </c>
      <c r="OZ83" s="2" t="s">
        <v>692</v>
      </c>
      <c r="PB83" t="s">
        <v>522</v>
      </c>
      <c r="PC83" s="50">
        <v>46094</v>
      </c>
    </row>
    <row r="84" spans="1:419" ht="15.6" customHeight="1" thickBot="1">
      <c r="A84" s="11" t="s">
        <v>665</v>
      </c>
      <c r="B84" t="s">
        <v>666</v>
      </c>
      <c r="C84" t="s">
        <v>667</v>
      </c>
      <c r="D84" s="4" t="s">
        <v>668</v>
      </c>
      <c r="E84" t="s">
        <v>669</v>
      </c>
      <c r="F84" s="88" t="s">
        <v>670</v>
      </c>
      <c r="G84" t="s">
        <v>475</v>
      </c>
      <c r="H84" t="s">
        <v>476</v>
      </c>
      <c r="I84" s="10">
        <v>0.1</v>
      </c>
      <c r="J84" s="10">
        <v>34.566667000000002</v>
      </c>
      <c r="K84">
        <v>150</v>
      </c>
      <c r="AV84" t="s">
        <v>671</v>
      </c>
      <c r="AW84">
        <v>100</v>
      </c>
      <c r="AX84" t="s">
        <v>480</v>
      </c>
      <c r="AY84">
        <v>4</v>
      </c>
      <c r="AZ84" t="s">
        <v>672</v>
      </c>
      <c r="BA84">
        <v>1994</v>
      </c>
      <c r="BB84">
        <v>1998</v>
      </c>
      <c r="BC84" t="s">
        <v>673</v>
      </c>
      <c r="BD84" s="10" t="s">
        <v>701</v>
      </c>
      <c r="BE84" t="s">
        <v>553</v>
      </c>
      <c r="BF84" s="3" t="s">
        <v>484</v>
      </c>
      <c r="BG84" t="s">
        <v>485</v>
      </c>
      <c r="BH84" t="s">
        <v>675</v>
      </c>
      <c r="BI84" s="4" t="s">
        <v>486</v>
      </c>
      <c r="BJ84" s="9">
        <v>53000</v>
      </c>
      <c r="EE84" s="4"/>
      <c r="EF84" s="9"/>
      <c r="EG84" s="9"/>
      <c r="EH84" s="9"/>
      <c r="EI84" s="9"/>
      <c r="EJ84" s="9"/>
      <c r="EK84" s="9"/>
      <c r="EL84" s="9"/>
      <c r="EM84" s="9"/>
      <c r="EN84" s="9"/>
      <c r="EO84" s="9"/>
      <c r="EP84" s="9"/>
      <c r="EQ84" s="9"/>
      <c r="ER84" s="9"/>
      <c r="ES84" s="9"/>
      <c r="ET84" s="9"/>
      <c r="EU84" s="9"/>
      <c r="EV84" s="9"/>
      <c r="EW84" s="9"/>
      <c r="EX84" s="9"/>
      <c r="EY84" s="9"/>
      <c r="EZ84" s="9"/>
      <c r="FA84" s="9"/>
      <c r="FB84" s="9"/>
      <c r="FC84" s="9"/>
      <c r="FD84" s="9"/>
      <c r="FE84" s="9"/>
      <c r="FF84" s="9"/>
      <c r="FG84" s="9"/>
      <c r="FH84" s="9"/>
      <c r="FI84" s="9"/>
      <c r="FJ84" s="9"/>
      <c r="FK84" s="9"/>
      <c r="FL84" s="9"/>
      <c r="FM84" s="9"/>
      <c r="FN84" s="9"/>
      <c r="FO84" s="9"/>
      <c r="FP84" s="9"/>
      <c r="FQ84" s="9"/>
      <c r="FR84" s="9"/>
      <c r="FS84" s="9"/>
      <c r="FT84" s="9"/>
      <c r="FU84" s="9"/>
      <c r="FV84" s="9"/>
      <c r="FW84" s="9"/>
      <c r="FX84" s="9"/>
      <c r="FY84" s="9"/>
      <c r="FZ84" s="9"/>
      <c r="GA84" s="9"/>
      <c r="GB84" s="9"/>
      <c r="GC84" s="9"/>
      <c r="GD84" s="9"/>
      <c r="GE84" s="9"/>
      <c r="GF84" s="9"/>
      <c r="GG84" s="9"/>
      <c r="GH84" s="9"/>
      <c r="GI84" s="9"/>
      <c r="GJ84" s="9"/>
      <c r="GK84" s="9"/>
      <c r="GL84" s="9"/>
      <c r="GM84" s="9"/>
      <c r="GN84" s="9"/>
      <c r="GO84" s="9"/>
      <c r="GP84" s="9"/>
      <c r="GQ84" s="9"/>
      <c r="GR84" s="9"/>
      <c r="GS84" s="9"/>
      <c r="GT84" s="9"/>
      <c r="GU84" s="9"/>
      <c r="GV84" s="9"/>
      <c r="GW84" s="9"/>
      <c r="GX84" s="9"/>
      <c r="GY84" s="9"/>
      <c r="GZ84" s="9"/>
      <c r="HA84" s="9"/>
      <c r="HB84" s="9"/>
      <c r="HC84" s="9"/>
      <c r="HD84" s="9"/>
      <c r="HE84" s="9"/>
      <c r="HF84" s="9"/>
      <c r="HG84" s="9"/>
      <c r="HH84" s="9"/>
      <c r="HI84" s="9"/>
      <c r="HJ84" s="9"/>
      <c r="HQ84" t="s">
        <v>677</v>
      </c>
      <c r="HS84" s="4" t="s">
        <v>490</v>
      </c>
      <c r="HT84" s="50">
        <v>34335</v>
      </c>
      <c r="HU84" s="50">
        <v>36160</v>
      </c>
      <c r="HV84" s="50"/>
      <c r="HW84" s="50"/>
      <c r="IO84" t="s">
        <v>702</v>
      </c>
      <c r="IP84" s="13" t="s">
        <v>703</v>
      </c>
      <c r="IS84">
        <v>1994</v>
      </c>
      <c r="IT84">
        <v>1994.2</v>
      </c>
      <c r="IU84" s="4" t="s">
        <v>544</v>
      </c>
      <c r="IV84" t="s">
        <v>700</v>
      </c>
      <c r="IW84" t="s">
        <v>492</v>
      </c>
      <c r="JA84">
        <v>0</v>
      </c>
      <c r="JB84">
        <v>0</v>
      </c>
      <c r="JC84">
        <v>0</v>
      </c>
      <c r="JD84">
        <v>0</v>
      </c>
      <c r="JE84">
        <v>0</v>
      </c>
      <c r="JF84">
        <v>0</v>
      </c>
      <c r="JG84">
        <v>0</v>
      </c>
      <c r="JH84">
        <v>0</v>
      </c>
      <c r="JI84">
        <v>0</v>
      </c>
      <c r="JK84" s="12" t="s">
        <v>682</v>
      </c>
      <c r="JP84" s="4"/>
      <c r="JV84" s="4"/>
      <c r="JW84" s="4"/>
      <c r="JX84" s="4"/>
      <c r="JY84" s="4"/>
      <c r="JZ84" s="4"/>
      <c r="KA84" s="4"/>
      <c r="KF84" s="7" t="s">
        <v>500</v>
      </c>
      <c r="KJ84" s="7" t="s">
        <v>649</v>
      </c>
      <c r="MY84" t="s">
        <v>684</v>
      </c>
      <c r="MZ84">
        <v>42</v>
      </c>
      <c r="NB84" s="4" t="s">
        <v>548</v>
      </c>
      <c r="NJ84" t="s">
        <v>718</v>
      </c>
      <c r="NL84" s="4" t="s">
        <v>660</v>
      </c>
      <c r="NM84" s="6" t="s">
        <v>719</v>
      </c>
      <c r="NV84" t="s">
        <v>518</v>
      </c>
      <c r="NW84" s="5" t="s">
        <v>724</v>
      </c>
      <c r="NX84" s="4" t="s">
        <v>520</v>
      </c>
      <c r="NY84" s="3">
        <v>0.29316660501855019</v>
      </c>
      <c r="OB84">
        <v>4</v>
      </c>
      <c r="OU84" t="s">
        <v>721</v>
      </c>
      <c r="OW84">
        <v>1996</v>
      </c>
      <c r="OZ84" s="2" t="s">
        <v>692</v>
      </c>
      <c r="PB84" t="s">
        <v>522</v>
      </c>
      <c r="PC84" s="50">
        <v>46094</v>
      </c>
    </row>
    <row r="85" spans="1:419" ht="15.75" thickBot="1">
      <c r="A85" s="11" t="s">
        <v>665</v>
      </c>
      <c r="B85" t="s">
        <v>666</v>
      </c>
      <c r="C85" t="s">
        <v>667</v>
      </c>
      <c r="D85" s="4" t="s">
        <v>668</v>
      </c>
      <c r="E85" t="s">
        <v>669</v>
      </c>
      <c r="F85" s="88" t="s">
        <v>670</v>
      </c>
      <c r="G85" t="s">
        <v>475</v>
      </c>
      <c r="H85" t="s">
        <v>476</v>
      </c>
      <c r="I85" s="10">
        <v>0.1</v>
      </c>
      <c r="J85" s="10">
        <v>34.566667000000002</v>
      </c>
      <c r="K85">
        <v>150</v>
      </c>
      <c r="AV85" t="s">
        <v>671</v>
      </c>
      <c r="AW85">
        <v>100</v>
      </c>
      <c r="AX85" t="s">
        <v>480</v>
      </c>
      <c r="AY85">
        <v>4</v>
      </c>
      <c r="AZ85" t="s">
        <v>672</v>
      </c>
      <c r="BA85">
        <v>1994</v>
      </c>
      <c r="BB85">
        <v>1998</v>
      </c>
      <c r="BC85" t="s">
        <v>673</v>
      </c>
      <c r="BD85" s="10" t="s">
        <v>704</v>
      </c>
      <c r="BE85" t="s">
        <v>524</v>
      </c>
      <c r="BF85" s="3" t="s">
        <v>484</v>
      </c>
      <c r="BG85" t="s">
        <v>485</v>
      </c>
      <c r="BH85" t="s">
        <v>675</v>
      </c>
      <c r="BI85" s="4" t="s">
        <v>486</v>
      </c>
      <c r="BJ85" s="9">
        <v>53000</v>
      </c>
      <c r="HQ85" t="s">
        <v>677</v>
      </c>
      <c r="HS85" s="4" t="s">
        <v>490</v>
      </c>
      <c r="HT85" s="50">
        <v>34335</v>
      </c>
      <c r="HU85" s="50">
        <v>36160</v>
      </c>
      <c r="HV85" s="50"/>
      <c r="HW85" s="50"/>
      <c r="IO85" t="s">
        <v>700</v>
      </c>
      <c r="IP85" s="46" t="s">
        <v>492</v>
      </c>
      <c r="IU85" s="4" t="s">
        <v>544</v>
      </c>
      <c r="IV85" t="s">
        <v>700</v>
      </c>
      <c r="IW85" s="46" t="s">
        <v>492</v>
      </c>
      <c r="JA85">
        <v>0</v>
      </c>
      <c r="JB85">
        <v>0</v>
      </c>
      <c r="JC85">
        <v>0</v>
      </c>
      <c r="JD85">
        <v>0</v>
      </c>
      <c r="JE85">
        <v>0</v>
      </c>
      <c r="JF85">
        <v>0</v>
      </c>
      <c r="JG85">
        <v>0</v>
      </c>
      <c r="JH85">
        <v>0</v>
      </c>
      <c r="JI85">
        <v>0</v>
      </c>
      <c r="JK85" s="12" t="s">
        <v>682</v>
      </c>
      <c r="JP85" s="4"/>
      <c r="JV85" s="4"/>
      <c r="JW85" s="4"/>
      <c r="JX85" s="4"/>
      <c r="JY85" s="4"/>
      <c r="JZ85" s="4"/>
      <c r="KA85" s="4"/>
      <c r="KF85" s="7" t="s">
        <v>500</v>
      </c>
      <c r="KJ85" s="7" t="s">
        <v>649</v>
      </c>
      <c r="MY85" t="s">
        <v>684</v>
      </c>
      <c r="MZ85">
        <v>42</v>
      </c>
      <c r="NB85" s="4" t="s">
        <v>548</v>
      </c>
      <c r="NJ85" t="s">
        <v>718</v>
      </c>
      <c r="NL85" s="4" t="s">
        <v>660</v>
      </c>
      <c r="NM85" s="6" t="s">
        <v>719</v>
      </c>
      <c r="NU85" t="s">
        <v>517</v>
      </c>
      <c r="NV85" t="s">
        <v>518</v>
      </c>
      <c r="NW85" s="5" t="s">
        <v>725</v>
      </c>
      <c r="NX85" s="4" t="s">
        <v>520</v>
      </c>
      <c r="NY85" s="3">
        <v>0.23439010130176996</v>
      </c>
      <c r="OB85">
        <v>4</v>
      </c>
      <c r="OU85" t="s">
        <v>721</v>
      </c>
      <c r="OW85">
        <v>1996</v>
      </c>
      <c r="OZ85" s="2" t="s">
        <v>692</v>
      </c>
      <c r="PB85" t="s">
        <v>522</v>
      </c>
      <c r="PC85" s="50">
        <v>46094</v>
      </c>
    </row>
    <row r="86" spans="1:419" ht="15.75" thickBot="1">
      <c r="A86" s="11" t="s">
        <v>665</v>
      </c>
      <c r="B86" t="s">
        <v>666</v>
      </c>
      <c r="C86" t="s">
        <v>667</v>
      </c>
      <c r="D86" s="4" t="s">
        <v>668</v>
      </c>
      <c r="E86" t="s">
        <v>669</v>
      </c>
      <c r="F86" s="88" t="s">
        <v>670</v>
      </c>
      <c r="G86" t="s">
        <v>475</v>
      </c>
      <c r="H86" t="s">
        <v>476</v>
      </c>
      <c r="I86" s="10">
        <v>0.1</v>
      </c>
      <c r="J86" s="10">
        <v>34.566667000000002</v>
      </c>
      <c r="K86">
        <v>150</v>
      </c>
      <c r="AV86" t="s">
        <v>671</v>
      </c>
      <c r="AW86">
        <v>100</v>
      </c>
      <c r="AX86" t="s">
        <v>480</v>
      </c>
      <c r="AY86">
        <v>4</v>
      </c>
      <c r="AZ86" t="s">
        <v>672</v>
      </c>
      <c r="BA86">
        <v>1994</v>
      </c>
      <c r="BB86">
        <v>1998</v>
      </c>
      <c r="BC86" t="s">
        <v>673</v>
      </c>
      <c r="BD86" s="10" t="s">
        <v>705</v>
      </c>
      <c r="BE86" t="s">
        <v>483</v>
      </c>
      <c r="BF86" s="3" t="s">
        <v>484</v>
      </c>
      <c r="BG86" t="s">
        <v>485</v>
      </c>
      <c r="BH86" t="s">
        <v>675</v>
      </c>
      <c r="BI86" s="4" t="s">
        <v>486</v>
      </c>
      <c r="BJ86" s="9">
        <v>53000</v>
      </c>
      <c r="HQ86" t="s">
        <v>677</v>
      </c>
      <c r="HS86" s="4" t="s">
        <v>490</v>
      </c>
      <c r="HT86" s="50">
        <v>34335</v>
      </c>
      <c r="HU86" s="50">
        <v>36160</v>
      </c>
      <c r="HV86" s="50"/>
      <c r="HW86" s="50"/>
      <c r="IO86" t="s">
        <v>706</v>
      </c>
      <c r="IP86" s="46" t="s">
        <v>492</v>
      </c>
      <c r="IU86" s="4" t="s">
        <v>544</v>
      </c>
      <c r="IV86" t="s">
        <v>707</v>
      </c>
      <c r="IW86" s="46" t="s">
        <v>492</v>
      </c>
      <c r="JA86">
        <v>0</v>
      </c>
      <c r="JB86">
        <v>0</v>
      </c>
      <c r="JC86">
        <v>0</v>
      </c>
      <c r="JD86">
        <v>0</v>
      </c>
      <c r="JE86">
        <v>0</v>
      </c>
      <c r="JF86">
        <v>0</v>
      </c>
      <c r="JG86">
        <v>0</v>
      </c>
      <c r="JH86">
        <v>0</v>
      </c>
      <c r="JI86">
        <v>0</v>
      </c>
      <c r="JJ86" t="s">
        <v>706</v>
      </c>
      <c r="JK86" t="s">
        <v>494</v>
      </c>
      <c r="JL86" s="8" t="s">
        <v>495</v>
      </c>
      <c r="JP86" s="4" t="s">
        <v>508</v>
      </c>
      <c r="JQ86">
        <v>60</v>
      </c>
      <c r="JT86">
        <v>60</v>
      </c>
      <c r="JV86" s="4"/>
      <c r="JW86" s="4"/>
      <c r="JX86" s="4"/>
      <c r="JY86" s="4"/>
      <c r="JZ86" s="4"/>
      <c r="KA86" s="4"/>
      <c r="KF86" s="7" t="s">
        <v>500</v>
      </c>
      <c r="KJ86" s="7" t="s">
        <v>649</v>
      </c>
      <c r="MY86" t="s">
        <v>684</v>
      </c>
      <c r="MZ86">
        <v>42</v>
      </c>
      <c r="NB86" s="4" t="s">
        <v>548</v>
      </c>
      <c r="NJ86" t="s">
        <v>718</v>
      </c>
      <c r="NL86" s="4" t="s">
        <v>660</v>
      </c>
      <c r="NM86" s="6" t="s">
        <v>719</v>
      </c>
      <c r="NU86" t="s">
        <v>708</v>
      </c>
      <c r="NV86" t="s">
        <v>518</v>
      </c>
      <c r="NW86" s="5" t="s">
        <v>726</v>
      </c>
      <c r="NX86" s="4" t="s">
        <v>520</v>
      </c>
      <c r="NY86" s="3">
        <v>0.15628393132001994</v>
      </c>
      <c r="OB86">
        <v>4</v>
      </c>
      <c r="OU86" t="s">
        <v>721</v>
      </c>
      <c r="OW86">
        <v>1996</v>
      </c>
      <c r="OZ86" s="2" t="s">
        <v>692</v>
      </c>
      <c r="PB86" t="s">
        <v>522</v>
      </c>
      <c r="PC86" s="50">
        <v>46094</v>
      </c>
    </row>
    <row r="87" spans="1:419" ht="15.75" thickBot="1">
      <c r="A87" s="11" t="s">
        <v>665</v>
      </c>
      <c r="B87" t="s">
        <v>666</v>
      </c>
      <c r="C87" t="s">
        <v>667</v>
      </c>
      <c r="D87" s="4" t="s">
        <v>668</v>
      </c>
      <c r="E87" t="s">
        <v>669</v>
      </c>
      <c r="F87" s="88" t="s">
        <v>670</v>
      </c>
      <c r="G87" t="s">
        <v>475</v>
      </c>
      <c r="H87" t="s">
        <v>476</v>
      </c>
      <c r="I87" s="10">
        <v>0.1</v>
      </c>
      <c r="J87" s="10">
        <v>34.566667000000002</v>
      </c>
      <c r="K87">
        <v>150</v>
      </c>
      <c r="AV87" t="s">
        <v>671</v>
      </c>
      <c r="AW87">
        <v>100</v>
      </c>
      <c r="AX87" t="s">
        <v>480</v>
      </c>
      <c r="AY87">
        <v>4</v>
      </c>
      <c r="AZ87" t="s">
        <v>672</v>
      </c>
      <c r="BA87">
        <v>1994</v>
      </c>
      <c r="BB87">
        <v>1998</v>
      </c>
      <c r="BC87" t="s">
        <v>673</v>
      </c>
      <c r="BD87" s="10" t="s">
        <v>674</v>
      </c>
      <c r="BE87" t="s">
        <v>536</v>
      </c>
      <c r="BF87" s="3" t="s">
        <v>484</v>
      </c>
      <c r="BG87" t="s">
        <v>485</v>
      </c>
      <c r="BH87" t="s">
        <v>675</v>
      </c>
      <c r="BI87" s="4" t="s">
        <v>486</v>
      </c>
      <c r="BJ87" s="9">
        <v>53000</v>
      </c>
      <c r="ED87" t="s">
        <v>676</v>
      </c>
      <c r="EE87" s="4" t="s">
        <v>486</v>
      </c>
      <c r="EF87" s="9">
        <v>53000</v>
      </c>
      <c r="EG87" s="9"/>
      <c r="EH87" s="9"/>
      <c r="EI87" s="9"/>
      <c r="EJ87" s="9"/>
      <c r="EK87" s="9"/>
      <c r="EL87" s="9"/>
      <c r="EM87" s="9"/>
      <c r="EN87" s="9"/>
      <c r="EO87" s="9"/>
      <c r="EP87" s="9"/>
      <c r="EQ87" s="9"/>
      <c r="ER87" s="9"/>
      <c r="ES87" s="9"/>
      <c r="ET87" s="9"/>
      <c r="EU87" s="9"/>
      <c r="EV87" s="9"/>
      <c r="EW87" s="9"/>
      <c r="EX87" s="9"/>
      <c r="EY87" s="9"/>
      <c r="EZ87" s="9"/>
      <c r="FA87" s="9"/>
      <c r="FB87" s="9"/>
      <c r="FC87" s="9"/>
      <c r="FD87" s="9"/>
      <c r="FE87" s="9"/>
      <c r="FF87" s="9"/>
      <c r="FG87" s="9"/>
      <c r="FH87" s="9"/>
      <c r="FI87" s="9"/>
      <c r="FJ87" s="9"/>
      <c r="FK87" s="9"/>
      <c r="FL87" s="9"/>
      <c r="FM87" s="9"/>
      <c r="FN87" s="9"/>
      <c r="FO87" s="9"/>
      <c r="FP87" s="9"/>
      <c r="FQ87" s="9"/>
      <c r="FR87" s="9"/>
      <c r="FS87" s="9"/>
      <c r="FT87" s="9"/>
      <c r="FU87" s="9"/>
      <c r="FV87" s="9"/>
      <c r="FW87" s="9"/>
      <c r="FX87" s="9"/>
      <c r="FY87" s="9"/>
      <c r="FZ87" s="9"/>
      <c r="GA87" s="9"/>
      <c r="GB87" s="9"/>
      <c r="GC87" s="9"/>
      <c r="GD87" s="9"/>
      <c r="GE87" s="9"/>
      <c r="GF87" s="9"/>
      <c r="GG87" s="9"/>
      <c r="GH87" s="9"/>
      <c r="GI87" s="9"/>
      <c r="GJ87" s="9"/>
      <c r="GK87" s="9"/>
      <c r="GL87" s="9"/>
      <c r="GM87" s="9"/>
      <c r="GN87" s="9"/>
      <c r="GO87" s="9"/>
      <c r="GP87" s="9"/>
      <c r="GQ87" s="9"/>
      <c r="GR87" s="9"/>
      <c r="GS87" s="9"/>
      <c r="GT87" s="9"/>
      <c r="GU87" s="9"/>
      <c r="GV87" s="9"/>
      <c r="GW87" s="9"/>
      <c r="GX87" s="9"/>
      <c r="GY87" s="9"/>
      <c r="GZ87" s="9"/>
      <c r="HA87" s="9"/>
      <c r="HB87" s="9"/>
      <c r="HC87" s="9"/>
      <c r="HD87" s="9"/>
      <c r="HE87" s="9"/>
      <c r="HF87" s="9"/>
      <c r="HG87" s="9"/>
      <c r="HH87" s="9"/>
      <c r="HI87" s="9"/>
      <c r="HJ87" s="9"/>
      <c r="HQ87" t="s">
        <v>677</v>
      </c>
      <c r="HS87" s="4" t="s">
        <v>490</v>
      </c>
      <c r="HT87" s="50">
        <v>34335</v>
      </c>
      <c r="HU87" s="50">
        <v>36160</v>
      </c>
      <c r="HV87" s="50"/>
      <c r="HW87" s="50"/>
      <c r="IN87" s="4"/>
      <c r="IO87" t="s">
        <v>678</v>
      </c>
      <c r="IP87" s="12" t="s">
        <v>679</v>
      </c>
      <c r="IS87">
        <v>1995</v>
      </c>
      <c r="IT87">
        <v>1995.2</v>
      </c>
      <c r="IU87" s="4" t="s">
        <v>544</v>
      </c>
      <c r="IV87" t="s">
        <v>680</v>
      </c>
      <c r="IW87" s="12" t="s">
        <v>681</v>
      </c>
      <c r="IZ87">
        <v>0.5</v>
      </c>
      <c r="JA87" t="s">
        <v>480</v>
      </c>
      <c r="JB87" t="s">
        <v>480</v>
      </c>
      <c r="JC87" t="s">
        <v>480</v>
      </c>
      <c r="JD87" t="s">
        <v>480</v>
      </c>
      <c r="JE87" t="s">
        <v>480</v>
      </c>
      <c r="JF87" t="s">
        <v>480</v>
      </c>
      <c r="JG87" t="s">
        <v>480</v>
      </c>
      <c r="JH87" t="s">
        <v>480</v>
      </c>
      <c r="JI87" t="s">
        <v>480</v>
      </c>
      <c r="JK87" s="12" t="s">
        <v>682</v>
      </c>
      <c r="JP87" s="4"/>
      <c r="JV87" s="4"/>
      <c r="JW87" s="4"/>
      <c r="JX87" s="4"/>
      <c r="JY87" s="4"/>
      <c r="JZ87" s="4"/>
      <c r="KA87" s="4"/>
      <c r="KF87" s="7" t="s">
        <v>500</v>
      </c>
      <c r="KJ87" s="45" t="s">
        <v>683</v>
      </c>
      <c r="KK87" s="8" t="s">
        <v>562</v>
      </c>
      <c r="KL87" t="s">
        <v>480</v>
      </c>
      <c r="KM87" t="s">
        <v>480</v>
      </c>
      <c r="MY87" t="s">
        <v>684</v>
      </c>
      <c r="MZ87">
        <v>42</v>
      </c>
      <c r="NB87" s="4" t="s">
        <v>548</v>
      </c>
      <c r="NJ87" t="s">
        <v>718</v>
      </c>
      <c r="NL87" s="4" t="s">
        <v>660</v>
      </c>
      <c r="NM87" s="6" t="s">
        <v>719</v>
      </c>
      <c r="NV87" t="s">
        <v>518</v>
      </c>
      <c r="NW87" s="5" t="s">
        <v>727</v>
      </c>
      <c r="NX87" s="4" t="s">
        <v>520</v>
      </c>
      <c r="NY87" s="3">
        <v>0.48868259972078976</v>
      </c>
      <c r="OB87">
        <v>4</v>
      </c>
      <c r="OU87" t="s">
        <v>728</v>
      </c>
      <c r="OW87">
        <v>1997</v>
      </c>
      <c r="OZ87" s="2" t="s">
        <v>692</v>
      </c>
      <c r="PB87" t="s">
        <v>522</v>
      </c>
      <c r="PC87" s="50">
        <v>46094</v>
      </c>
    </row>
    <row r="88" spans="1:419" ht="15.75" thickBot="1">
      <c r="A88" s="11" t="s">
        <v>665</v>
      </c>
      <c r="B88" t="s">
        <v>666</v>
      </c>
      <c r="C88" t="s">
        <v>667</v>
      </c>
      <c r="D88" s="4" t="s">
        <v>668</v>
      </c>
      <c r="E88" t="s">
        <v>669</v>
      </c>
      <c r="F88" s="88" t="s">
        <v>670</v>
      </c>
      <c r="G88" t="s">
        <v>475</v>
      </c>
      <c r="H88" t="s">
        <v>476</v>
      </c>
      <c r="I88" s="10">
        <v>0.1</v>
      </c>
      <c r="J88" s="10">
        <v>34.566667000000002</v>
      </c>
      <c r="K88">
        <v>150</v>
      </c>
      <c r="AV88" t="s">
        <v>671</v>
      </c>
      <c r="AW88">
        <v>100</v>
      </c>
      <c r="AX88" t="s">
        <v>480</v>
      </c>
      <c r="AY88">
        <v>4</v>
      </c>
      <c r="AZ88" t="s">
        <v>672</v>
      </c>
      <c r="BA88">
        <v>1994</v>
      </c>
      <c r="BB88">
        <v>1998</v>
      </c>
      <c r="BC88" t="s">
        <v>673</v>
      </c>
      <c r="BD88" s="10" t="s">
        <v>693</v>
      </c>
      <c r="BE88" t="s">
        <v>566</v>
      </c>
      <c r="BF88" s="3" t="s">
        <v>484</v>
      </c>
      <c r="BG88" t="s">
        <v>485</v>
      </c>
      <c r="BH88" t="s">
        <v>675</v>
      </c>
      <c r="BI88" s="4" t="s">
        <v>486</v>
      </c>
      <c r="BJ88" s="9">
        <v>53000</v>
      </c>
      <c r="ED88" t="s">
        <v>676</v>
      </c>
      <c r="EE88" s="4" t="s">
        <v>486</v>
      </c>
      <c r="EF88" s="9">
        <v>53000</v>
      </c>
      <c r="EG88" s="9"/>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Q88" t="s">
        <v>677</v>
      </c>
      <c r="HS88" s="4" t="s">
        <v>490</v>
      </c>
      <c r="HT88" s="50">
        <v>34335</v>
      </c>
      <c r="HU88" s="50">
        <v>36160</v>
      </c>
      <c r="HV88" s="50"/>
      <c r="HW88" s="50"/>
      <c r="IN88" s="4"/>
      <c r="IO88" t="s">
        <v>694</v>
      </c>
      <c r="IP88" s="12" t="s">
        <v>695</v>
      </c>
      <c r="IS88">
        <v>1994</v>
      </c>
      <c r="IT88">
        <v>1994.2</v>
      </c>
      <c r="IU88" s="4" t="s">
        <v>544</v>
      </c>
      <c r="IV88" t="s">
        <v>696</v>
      </c>
      <c r="IW88" s="12" t="s">
        <v>681</v>
      </c>
      <c r="IZ88">
        <v>0.5</v>
      </c>
      <c r="JA88" t="s">
        <v>480</v>
      </c>
      <c r="JB88" t="s">
        <v>480</v>
      </c>
      <c r="JC88" t="s">
        <v>480</v>
      </c>
      <c r="JD88" t="s">
        <v>480</v>
      </c>
      <c r="JE88" t="s">
        <v>480</v>
      </c>
      <c r="JF88" t="s">
        <v>480</v>
      </c>
      <c r="JG88" t="s">
        <v>480</v>
      </c>
      <c r="JH88" t="s">
        <v>480</v>
      </c>
      <c r="JI88" t="s">
        <v>480</v>
      </c>
      <c r="JK88" s="12" t="s">
        <v>682</v>
      </c>
      <c r="JP88" s="4"/>
      <c r="JV88" s="4"/>
      <c r="JW88" s="4"/>
      <c r="JX88" s="4"/>
      <c r="JY88" s="4"/>
      <c r="JZ88" s="4"/>
      <c r="KA88" s="4"/>
      <c r="KF88" s="7" t="s">
        <v>500</v>
      </c>
      <c r="KJ88" s="45" t="s">
        <v>683</v>
      </c>
      <c r="KK88" s="8" t="s">
        <v>562</v>
      </c>
      <c r="KL88" t="s">
        <v>480</v>
      </c>
      <c r="KM88" t="s">
        <v>480</v>
      </c>
      <c r="MY88" t="s">
        <v>684</v>
      </c>
      <c r="MZ88">
        <v>42</v>
      </c>
      <c r="NB88" s="4" t="s">
        <v>548</v>
      </c>
      <c r="NJ88" t="s">
        <v>718</v>
      </c>
      <c r="NL88" s="4" t="s">
        <v>660</v>
      </c>
      <c r="NM88" s="6" t="s">
        <v>719</v>
      </c>
      <c r="NV88" t="s">
        <v>518</v>
      </c>
      <c r="NW88" s="5" t="s">
        <v>729</v>
      </c>
      <c r="NX88" s="4" t="s">
        <v>520</v>
      </c>
      <c r="NY88" s="3">
        <v>0.25393454163634033</v>
      </c>
      <c r="OB88">
        <v>4</v>
      </c>
      <c r="OU88" t="s">
        <v>728</v>
      </c>
      <c r="OW88">
        <v>1997</v>
      </c>
      <c r="OZ88" s="2" t="s">
        <v>692</v>
      </c>
      <c r="PB88" t="s">
        <v>522</v>
      </c>
      <c r="PC88" s="50">
        <v>46094</v>
      </c>
    </row>
    <row r="89" spans="1:419" ht="15.75" thickBot="1">
      <c r="A89" s="11" t="s">
        <v>665</v>
      </c>
      <c r="B89" t="s">
        <v>666</v>
      </c>
      <c r="C89" t="s">
        <v>667</v>
      </c>
      <c r="D89" s="4" t="s">
        <v>668</v>
      </c>
      <c r="E89" t="s">
        <v>669</v>
      </c>
      <c r="F89" s="88" t="s">
        <v>670</v>
      </c>
      <c r="G89" t="s">
        <v>475</v>
      </c>
      <c r="H89" t="s">
        <v>476</v>
      </c>
      <c r="I89" s="10">
        <v>0.1</v>
      </c>
      <c r="J89" s="10">
        <v>34.566667000000002</v>
      </c>
      <c r="K89">
        <v>150</v>
      </c>
      <c r="AV89" t="s">
        <v>671</v>
      </c>
      <c r="AW89">
        <v>100</v>
      </c>
      <c r="AX89" t="s">
        <v>480</v>
      </c>
      <c r="AY89">
        <v>4</v>
      </c>
      <c r="AZ89" t="s">
        <v>672</v>
      </c>
      <c r="BA89">
        <v>1994</v>
      </c>
      <c r="BB89">
        <v>1998</v>
      </c>
      <c r="BC89" t="s">
        <v>673</v>
      </c>
      <c r="BD89" s="10" t="s">
        <v>697</v>
      </c>
      <c r="BE89" t="s">
        <v>572</v>
      </c>
      <c r="BF89" s="3" t="s">
        <v>484</v>
      </c>
      <c r="BG89" t="s">
        <v>485</v>
      </c>
      <c r="BH89" t="s">
        <v>675</v>
      </c>
      <c r="BI89" s="4" t="s">
        <v>486</v>
      </c>
      <c r="BJ89" s="9">
        <v>53000</v>
      </c>
      <c r="EE89" s="4"/>
      <c r="EF89" s="9"/>
      <c r="EG89" s="9"/>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Q89" t="s">
        <v>677</v>
      </c>
      <c r="HS89" s="4" t="s">
        <v>490</v>
      </c>
      <c r="HT89" s="50">
        <v>34335</v>
      </c>
      <c r="HU89" s="50">
        <v>36160</v>
      </c>
      <c r="HV89" s="50"/>
      <c r="HW89" s="50"/>
      <c r="IO89" t="s">
        <v>698</v>
      </c>
      <c r="IP89" s="46" t="s">
        <v>699</v>
      </c>
      <c r="IS89">
        <v>1995</v>
      </c>
      <c r="IT89">
        <v>1995.2</v>
      </c>
      <c r="IU89" s="4" t="s">
        <v>544</v>
      </c>
      <c r="IV89" t="s">
        <v>700</v>
      </c>
      <c r="IW89" t="s">
        <v>492</v>
      </c>
      <c r="JA89">
        <v>0</v>
      </c>
      <c r="JB89">
        <v>0</v>
      </c>
      <c r="JC89">
        <v>0</v>
      </c>
      <c r="JD89">
        <v>0</v>
      </c>
      <c r="JE89">
        <v>0</v>
      </c>
      <c r="JF89">
        <v>0</v>
      </c>
      <c r="JG89">
        <v>0</v>
      </c>
      <c r="JH89">
        <v>0</v>
      </c>
      <c r="JI89">
        <v>0</v>
      </c>
      <c r="JK89" s="12" t="s">
        <v>682</v>
      </c>
      <c r="JP89" s="4"/>
      <c r="JV89" s="4"/>
      <c r="JW89" s="4"/>
      <c r="JX89" s="4"/>
      <c r="JY89" s="4"/>
      <c r="JZ89" s="4"/>
      <c r="KA89" s="4"/>
      <c r="KF89" s="7" t="s">
        <v>500</v>
      </c>
      <c r="KJ89" s="7" t="s">
        <v>649</v>
      </c>
      <c r="MY89" t="s">
        <v>684</v>
      </c>
      <c r="MZ89">
        <v>42</v>
      </c>
      <c r="NB89" s="4" t="s">
        <v>548</v>
      </c>
      <c r="NJ89" t="s">
        <v>718</v>
      </c>
      <c r="NL89" s="4" t="s">
        <v>660</v>
      </c>
      <c r="NM89" s="6" t="s">
        <v>719</v>
      </c>
      <c r="NV89" t="s">
        <v>518</v>
      </c>
      <c r="NW89" s="5" t="s">
        <v>730</v>
      </c>
      <c r="NX89" s="4" t="s">
        <v>520</v>
      </c>
      <c r="NY89" s="3">
        <v>0.29323819637508963</v>
      </c>
      <c r="OB89">
        <v>4</v>
      </c>
      <c r="OU89" t="s">
        <v>728</v>
      </c>
      <c r="OW89">
        <v>1997</v>
      </c>
      <c r="OZ89" s="2" t="s">
        <v>692</v>
      </c>
      <c r="PB89" t="s">
        <v>522</v>
      </c>
      <c r="PC89" s="50">
        <v>46094</v>
      </c>
    </row>
    <row r="90" spans="1:419" ht="15.75" thickBot="1">
      <c r="A90" s="11" t="s">
        <v>665</v>
      </c>
      <c r="B90" t="s">
        <v>666</v>
      </c>
      <c r="C90" t="s">
        <v>667</v>
      </c>
      <c r="D90" s="4" t="s">
        <v>668</v>
      </c>
      <c r="E90" t="s">
        <v>669</v>
      </c>
      <c r="F90" s="88" t="s">
        <v>670</v>
      </c>
      <c r="G90" t="s">
        <v>475</v>
      </c>
      <c r="H90" t="s">
        <v>476</v>
      </c>
      <c r="I90" s="10">
        <v>0.1</v>
      </c>
      <c r="J90" s="10">
        <v>34.566667000000002</v>
      </c>
      <c r="K90">
        <v>150</v>
      </c>
      <c r="AV90" t="s">
        <v>671</v>
      </c>
      <c r="AW90">
        <v>100</v>
      </c>
      <c r="AX90" t="s">
        <v>480</v>
      </c>
      <c r="AY90">
        <v>4</v>
      </c>
      <c r="AZ90" t="s">
        <v>672</v>
      </c>
      <c r="BA90">
        <v>1994</v>
      </c>
      <c r="BB90">
        <v>1998</v>
      </c>
      <c r="BC90" t="s">
        <v>673</v>
      </c>
      <c r="BD90" s="10" t="s">
        <v>701</v>
      </c>
      <c r="BE90" t="s">
        <v>553</v>
      </c>
      <c r="BF90" s="3" t="s">
        <v>484</v>
      </c>
      <c r="BG90" t="s">
        <v>485</v>
      </c>
      <c r="BH90" t="s">
        <v>675</v>
      </c>
      <c r="BI90" s="4" t="s">
        <v>486</v>
      </c>
      <c r="BJ90" s="9">
        <v>53000</v>
      </c>
      <c r="EE90" s="4"/>
      <c r="EF90" s="9"/>
      <c r="EG90" s="9"/>
      <c r="EH90" s="9"/>
      <c r="EI90" s="9"/>
      <c r="EJ90" s="9"/>
      <c r="EK90" s="9"/>
      <c r="EL90" s="9"/>
      <c r="EM90" s="9"/>
      <c r="EN90" s="9"/>
      <c r="EO90" s="9"/>
      <c r="EP90" s="9"/>
      <c r="EQ90" s="9"/>
      <c r="ER90" s="9"/>
      <c r="ES90" s="9"/>
      <c r="ET90" s="9"/>
      <c r="EU90" s="9"/>
      <c r="EV90" s="9"/>
      <c r="EW90" s="9"/>
      <c r="EX90" s="9"/>
      <c r="EY90" s="9"/>
      <c r="EZ90" s="9"/>
      <c r="FA90" s="9"/>
      <c r="FB90" s="9"/>
      <c r="FC90" s="9"/>
      <c r="FD90" s="9"/>
      <c r="FE90" s="9"/>
      <c r="FF90" s="9"/>
      <c r="FG90" s="9"/>
      <c r="FH90" s="9"/>
      <c r="FI90" s="9"/>
      <c r="FJ90" s="9"/>
      <c r="FK90" s="9"/>
      <c r="FL90" s="9"/>
      <c r="FM90" s="9"/>
      <c r="FN90" s="9"/>
      <c r="FO90" s="9"/>
      <c r="FP90" s="9"/>
      <c r="FQ90" s="9"/>
      <c r="FR90" s="9"/>
      <c r="FS90" s="9"/>
      <c r="FT90" s="9"/>
      <c r="FU90" s="9"/>
      <c r="FV90" s="9"/>
      <c r="FW90" s="9"/>
      <c r="FX90" s="9"/>
      <c r="FY90" s="9"/>
      <c r="FZ90" s="9"/>
      <c r="GA90" s="9"/>
      <c r="GB90" s="9"/>
      <c r="GC90" s="9"/>
      <c r="GD90" s="9"/>
      <c r="GE90" s="9"/>
      <c r="GF90" s="9"/>
      <c r="GG90" s="9"/>
      <c r="GH90" s="9"/>
      <c r="GI90" s="9"/>
      <c r="GJ90" s="9"/>
      <c r="GK90" s="9"/>
      <c r="GL90" s="9"/>
      <c r="GM90" s="9"/>
      <c r="GN90" s="9"/>
      <c r="GO90" s="9"/>
      <c r="GP90" s="9"/>
      <c r="GQ90" s="9"/>
      <c r="GR90" s="9"/>
      <c r="GS90" s="9"/>
      <c r="GT90" s="9"/>
      <c r="GU90" s="9"/>
      <c r="GV90" s="9"/>
      <c r="GW90" s="9"/>
      <c r="GX90" s="9"/>
      <c r="GY90" s="9"/>
      <c r="GZ90" s="9"/>
      <c r="HA90" s="9"/>
      <c r="HB90" s="9"/>
      <c r="HC90" s="9"/>
      <c r="HD90" s="9"/>
      <c r="HE90" s="9"/>
      <c r="HF90" s="9"/>
      <c r="HG90" s="9"/>
      <c r="HH90" s="9"/>
      <c r="HI90" s="9"/>
      <c r="HJ90" s="9"/>
      <c r="HQ90" t="s">
        <v>677</v>
      </c>
      <c r="HS90" s="4" t="s">
        <v>490</v>
      </c>
      <c r="HT90" s="50">
        <v>34335</v>
      </c>
      <c r="HU90" s="50">
        <v>36160</v>
      </c>
      <c r="HV90" s="50"/>
      <c r="HW90" s="50"/>
      <c r="IO90" t="s">
        <v>702</v>
      </c>
      <c r="IP90" s="13" t="s">
        <v>703</v>
      </c>
      <c r="IS90">
        <v>1994</v>
      </c>
      <c r="IT90">
        <v>1994.2</v>
      </c>
      <c r="IU90" s="4" t="s">
        <v>544</v>
      </c>
      <c r="IV90" t="s">
        <v>700</v>
      </c>
      <c r="IW90" t="s">
        <v>492</v>
      </c>
      <c r="JA90">
        <v>0</v>
      </c>
      <c r="JB90">
        <v>0</v>
      </c>
      <c r="JC90">
        <v>0</v>
      </c>
      <c r="JD90">
        <v>0</v>
      </c>
      <c r="JE90">
        <v>0</v>
      </c>
      <c r="JF90">
        <v>0</v>
      </c>
      <c r="JG90">
        <v>0</v>
      </c>
      <c r="JH90">
        <v>0</v>
      </c>
      <c r="JI90">
        <v>0</v>
      </c>
      <c r="JK90" s="12" t="s">
        <v>682</v>
      </c>
      <c r="JP90" s="4"/>
      <c r="JV90" s="4"/>
      <c r="JW90" s="4"/>
      <c r="JX90" s="4"/>
      <c r="JY90" s="4"/>
      <c r="JZ90" s="4"/>
      <c r="KA90" s="4"/>
      <c r="KF90" s="7" t="s">
        <v>500</v>
      </c>
      <c r="KJ90" s="7" t="s">
        <v>649</v>
      </c>
      <c r="MY90" t="s">
        <v>684</v>
      </c>
      <c r="MZ90">
        <v>42</v>
      </c>
      <c r="NB90" s="4" t="s">
        <v>548</v>
      </c>
      <c r="NJ90" t="s">
        <v>718</v>
      </c>
      <c r="NL90" s="4" t="s">
        <v>660</v>
      </c>
      <c r="NM90" s="6" t="s">
        <v>719</v>
      </c>
      <c r="NV90" t="s">
        <v>518</v>
      </c>
      <c r="NW90" s="5" t="s">
        <v>731</v>
      </c>
      <c r="NX90" s="4" t="s">
        <v>520</v>
      </c>
      <c r="NY90" s="3">
        <v>0.44973690176473013</v>
      </c>
      <c r="OB90">
        <v>4</v>
      </c>
      <c r="OU90" t="s">
        <v>728</v>
      </c>
      <c r="OW90">
        <v>1997</v>
      </c>
      <c r="OZ90" s="2" t="s">
        <v>692</v>
      </c>
      <c r="PB90" t="s">
        <v>522</v>
      </c>
      <c r="PC90" s="50">
        <v>46094</v>
      </c>
    </row>
    <row r="91" spans="1:419" ht="15.75" thickBot="1">
      <c r="A91" s="11" t="s">
        <v>665</v>
      </c>
      <c r="B91" t="s">
        <v>666</v>
      </c>
      <c r="C91" t="s">
        <v>667</v>
      </c>
      <c r="D91" s="4" t="s">
        <v>668</v>
      </c>
      <c r="E91" t="s">
        <v>669</v>
      </c>
      <c r="F91" s="88" t="s">
        <v>670</v>
      </c>
      <c r="G91" t="s">
        <v>475</v>
      </c>
      <c r="H91" t="s">
        <v>476</v>
      </c>
      <c r="I91" s="10">
        <v>0.1</v>
      </c>
      <c r="J91" s="10">
        <v>34.566667000000002</v>
      </c>
      <c r="K91">
        <v>150</v>
      </c>
      <c r="AV91" t="s">
        <v>671</v>
      </c>
      <c r="AW91">
        <v>100</v>
      </c>
      <c r="AX91" t="s">
        <v>480</v>
      </c>
      <c r="AY91">
        <v>4</v>
      </c>
      <c r="AZ91" t="s">
        <v>672</v>
      </c>
      <c r="BA91">
        <v>1994</v>
      </c>
      <c r="BB91">
        <v>1998</v>
      </c>
      <c r="BC91" t="s">
        <v>673</v>
      </c>
      <c r="BD91" s="10" t="s">
        <v>704</v>
      </c>
      <c r="BE91" t="s">
        <v>524</v>
      </c>
      <c r="BF91" s="3" t="s">
        <v>484</v>
      </c>
      <c r="BG91" t="s">
        <v>485</v>
      </c>
      <c r="BH91" t="s">
        <v>675</v>
      </c>
      <c r="BI91" s="4" t="s">
        <v>486</v>
      </c>
      <c r="BJ91" s="9">
        <v>53000</v>
      </c>
      <c r="HQ91" t="s">
        <v>677</v>
      </c>
      <c r="HS91" s="4" t="s">
        <v>490</v>
      </c>
      <c r="HT91" s="50">
        <v>34335</v>
      </c>
      <c r="HU91" s="50">
        <v>36160</v>
      </c>
      <c r="HV91" s="50"/>
      <c r="HW91" s="50"/>
      <c r="IO91" t="s">
        <v>700</v>
      </c>
      <c r="IP91" s="46" t="s">
        <v>492</v>
      </c>
      <c r="IU91" s="4" t="s">
        <v>544</v>
      </c>
      <c r="IV91" t="s">
        <v>700</v>
      </c>
      <c r="IW91" s="46" t="s">
        <v>492</v>
      </c>
      <c r="JA91">
        <v>0</v>
      </c>
      <c r="JB91">
        <v>0</v>
      </c>
      <c r="JC91">
        <v>0</v>
      </c>
      <c r="JD91">
        <v>0</v>
      </c>
      <c r="JE91">
        <v>0</v>
      </c>
      <c r="JF91">
        <v>0</v>
      </c>
      <c r="JG91">
        <v>0</v>
      </c>
      <c r="JH91">
        <v>0</v>
      </c>
      <c r="JI91">
        <v>0</v>
      </c>
      <c r="JK91" s="12" t="s">
        <v>682</v>
      </c>
      <c r="JP91" s="4"/>
      <c r="JV91" s="4"/>
      <c r="JW91" s="4"/>
      <c r="JX91" s="4"/>
      <c r="JY91" s="4"/>
      <c r="JZ91" s="4"/>
      <c r="KA91" s="4"/>
      <c r="KF91" s="7" t="s">
        <v>500</v>
      </c>
      <c r="KJ91" s="7" t="s">
        <v>649</v>
      </c>
      <c r="MY91" t="s">
        <v>684</v>
      </c>
      <c r="MZ91">
        <v>42</v>
      </c>
      <c r="NB91" s="4" t="s">
        <v>548</v>
      </c>
      <c r="NJ91" t="s">
        <v>718</v>
      </c>
      <c r="NL91" s="4" t="s">
        <v>660</v>
      </c>
      <c r="NM91" s="6" t="s">
        <v>719</v>
      </c>
      <c r="NU91" t="s">
        <v>517</v>
      </c>
      <c r="NV91" t="s">
        <v>518</v>
      </c>
      <c r="NW91" s="5" t="s">
        <v>732</v>
      </c>
      <c r="NX91" s="4" t="s">
        <v>520</v>
      </c>
      <c r="NY91" s="3">
        <v>0.15621233996348982</v>
      </c>
      <c r="OB91">
        <v>4</v>
      </c>
      <c r="OU91" t="s">
        <v>728</v>
      </c>
      <c r="OW91">
        <v>1997</v>
      </c>
      <c r="OZ91" s="2" t="s">
        <v>692</v>
      </c>
      <c r="PB91" t="s">
        <v>522</v>
      </c>
      <c r="PC91" s="50">
        <v>46094</v>
      </c>
    </row>
    <row r="92" spans="1:419" ht="15.75" thickBot="1">
      <c r="A92" s="11" t="s">
        <v>665</v>
      </c>
      <c r="B92" t="s">
        <v>666</v>
      </c>
      <c r="C92" t="s">
        <v>667</v>
      </c>
      <c r="D92" s="4" t="s">
        <v>668</v>
      </c>
      <c r="E92" t="s">
        <v>669</v>
      </c>
      <c r="F92" s="88" t="s">
        <v>670</v>
      </c>
      <c r="G92" t="s">
        <v>475</v>
      </c>
      <c r="H92" t="s">
        <v>476</v>
      </c>
      <c r="I92" s="10">
        <v>0.1</v>
      </c>
      <c r="J92" s="10">
        <v>34.566667000000002</v>
      </c>
      <c r="K92">
        <v>150</v>
      </c>
      <c r="AV92" t="s">
        <v>671</v>
      </c>
      <c r="AW92">
        <v>100</v>
      </c>
      <c r="AX92" t="s">
        <v>480</v>
      </c>
      <c r="AY92">
        <v>4</v>
      </c>
      <c r="AZ92" t="s">
        <v>672</v>
      </c>
      <c r="BA92">
        <v>1994</v>
      </c>
      <c r="BB92">
        <v>1998</v>
      </c>
      <c r="BC92" t="s">
        <v>673</v>
      </c>
      <c r="BD92" s="10" t="s">
        <v>705</v>
      </c>
      <c r="BE92" t="s">
        <v>483</v>
      </c>
      <c r="BF92" s="3" t="s">
        <v>484</v>
      </c>
      <c r="BG92" t="s">
        <v>485</v>
      </c>
      <c r="BH92" t="s">
        <v>675</v>
      </c>
      <c r="BI92" s="4" t="s">
        <v>486</v>
      </c>
      <c r="BJ92" s="9">
        <v>53000</v>
      </c>
      <c r="HQ92" t="s">
        <v>677</v>
      </c>
      <c r="HS92" s="4" t="s">
        <v>490</v>
      </c>
      <c r="HT92" s="50">
        <v>34335</v>
      </c>
      <c r="HU92" s="50">
        <v>36160</v>
      </c>
      <c r="HV92" s="50"/>
      <c r="HW92" s="50"/>
      <c r="IO92" t="s">
        <v>706</v>
      </c>
      <c r="IP92" s="46" t="s">
        <v>492</v>
      </c>
      <c r="IU92" s="4" t="s">
        <v>544</v>
      </c>
      <c r="IV92" t="s">
        <v>707</v>
      </c>
      <c r="IW92" s="46" t="s">
        <v>492</v>
      </c>
      <c r="JA92">
        <v>0</v>
      </c>
      <c r="JB92">
        <v>0</v>
      </c>
      <c r="JC92">
        <v>0</v>
      </c>
      <c r="JD92">
        <v>0</v>
      </c>
      <c r="JE92">
        <v>0</v>
      </c>
      <c r="JF92">
        <v>0</v>
      </c>
      <c r="JG92">
        <v>0</v>
      </c>
      <c r="JH92">
        <v>0</v>
      </c>
      <c r="JI92">
        <v>0</v>
      </c>
      <c r="JJ92" t="s">
        <v>706</v>
      </c>
      <c r="JK92" t="s">
        <v>494</v>
      </c>
      <c r="JL92" s="8" t="s">
        <v>495</v>
      </c>
      <c r="JP92" s="4" t="s">
        <v>508</v>
      </c>
      <c r="JQ92">
        <v>60</v>
      </c>
      <c r="JT92">
        <v>60</v>
      </c>
      <c r="JV92" s="4"/>
      <c r="JW92" s="4"/>
      <c r="JX92" s="4"/>
      <c r="JY92" s="4"/>
      <c r="JZ92" s="4"/>
      <c r="KA92" s="4"/>
      <c r="KF92" s="7" t="s">
        <v>500</v>
      </c>
      <c r="KJ92" s="7" t="s">
        <v>649</v>
      </c>
      <c r="MY92" t="s">
        <v>684</v>
      </c>
      <c r="MZ92">
        <v>42</v>
      </c>
      <c r="NB92" s="4" t="s">
        <v>548</v>
      </c>
      <c r="NJ92" t="s">
        <v>718</v>
      </c>
      <c r="NL92" s="4" t="s">
        <v>660</v>
      </c>
      <c r="NM92" s="6" t="s">
        <v>719</v>
      </c>
      <c r="NU92" t="s">
        <v>708</v>
      </c>
      <c r="NV92" t="s">
        <v>518</v>
      </c>
      <c r="NW92" s="5" t="s">
        <v>733</v>
      </c>
      <c r="NX92" s="4" t="s">
        <v>520</v>
      </c>
      <c r="NY92" s="3">
        <v>0.19544440334570012</v>
      </c>
      <c r="OB92">
        <v>4</v>
      </c>
      <c r="OU92" t="s">
        <v>728</v>
      </c>
      <c r="OW92">
        <v>1997</v>
      </c>
      <c r="OZ92" s="2" t="s">
        <v>692</v>
      </c>
      <c r="PB92" t="s">
        <v>522</v>
      </c>
      <c r="PC92" s="50">
        <v>46094</v>
      </c>
    </row>
    <row r="93" spans="1:419" ht="15.75" thickBot="1">
      <c r="A93" s="11" t="s">
        <v>665</v>
      </c>
      <c r="B93" t="s">
        <v>666</v>
      </c>
      <c r="C93" t="s">
        <v>667</v>
      </c>
      <c r="D93" s="4" t="s">
        <v>668</v>
      </c>
      <c r="E93" t="s">
        <v>669</v>
      </c>
      <c r="F93" s="88" t="s">
        <v>670</v>
      </c>
      <c r="G93" t="s">
        <v>475</v>
      </c>
      <c r="H93" t="s">
        <v>476</v>
      </c>
      <c r="I93" s="10">
        <v>0.1</v>
      </c>
      <c r="J93" s="10">
        <v>34.566667000000002</v>
      </c>
      <c r="K93">
        <v>150</v>
      </c>
      <c r="AV93" t="s">
        <v>671</v>
      </c>
      <c r="AW93">
        <v>100</v>
      </c>
      <c r="AX93" t="s">
        <v>480</v>
      </c>
      <c r="AY93">
        <v>4</v>
      </c>
      <c r="AZ93" t="s">
        <v>672</v>
      </c>
      <c r="BA93">
        <v>1994</v>
      </c>
      <c r="BB93">
        <v>1998</v>
      </c>
      <c r="BC93" t="s">
        <v>673</v>
      </c>
      <c r="BD93" s="10" t="s">
        <v>674</v>
      </c>
      <c r="BE93" t="s">
        <v>536</v>
      </c>
      <c r="BF93" s="3" t="s">
        <v>484</v>
      </c>
      <c r="BG93" t="s">
        <v>485</v>
      </c>
      <c r="BH93" t="s">
        <v>675</v>
      </c>
      <c r="BI93" s="4" t="s">
        <v>486</v>
      </c>
      <c r="BJ93" s="9">
        <v>53000</v>
      </c>
      <c r="ED93" t="s">
        <v>676</v>
      </c>
      <c r="EE93" s="4" t="s">
        <v>486</v>
      </c>
      <c r="EF93" s="9">
        <v>53000</v>
      </c>
      <c r="EG93" s="9"/>
      <c r="EH93" s="9"/>
      <c r="EI93" s="9"/>
      <c r="EJ93" s="9"/>
      <c r="EK93" s="9"/>
      <c r="EL93" s="9"/>
      <c r="EM93" s="9"/>
      <c r="EN93" s="9"/>
      <c r="EO93" s="9"/>
      <c r="EP93" s="9"/>
      <c r="EQ93" s="9"/>
      <c r="ER93" s="9"/>
      <c r="ES93" s="9"/>
      <c r="ET93" s="9"/>
      <c r="EU93" s="9"/>
      <c r="EV93" s="9"/>
      <c r="EW93" s="9"/>
      <c r="EX93" s="9"/>
      <c r="EY93" s="9"/>
      <c r="EZ93" s="9"/>
      <c r="FA93" s="9"/>
      <c r="FB93" s="9"/>
      <c r="FC93" s="9"/>
      <c r="FD93" s="9"/>
      <c r="FE93" s="9"/>
      <c r="FF93" s="9"/>
      <c r="FG93" s="9"/>
      <c r="FH93" s="9"/>
      <c r="FI93" s="9"/>
      <c r="FJ93" s="9"/>
      <c r="FK93" s="9"/>
      <c r="FL93" s="9"/>
      <c r="FM93" s="9"/>
      <c r="FN93" s="9"/>
      <c r="FO93" s="9"/>
      <c r="FP93" s="9"/>
      <c r="FQ93" s="9"/>
      <c r="FR93" s="9"/>
      <c r="FS93" s="9"/>
      <c r="FT93" s="9"/>
      <c r="FU93" s="9"/>
      <c r="FV93" s="9"/>
      <c r="FW93" s="9"/>
      <c r="FX93" s="9"/>
      <c r="FY93" s="9"/>
      <c r="FZ93" s="9"/>
      <c r="GA93" s="9"/>
      <c r="GB93" s="9"/>
      <c r="GC93" s="9"/>
      <c r="GD93" s="9"/>
      <c r="GE93" s="9"/>
      <c r="GF93" s="9"/>
      <c r="GG93" s="9"/>
      <c r="GH93" s="9"/>
      <c r="GI93" s="9"/>
      <c r="GJ93" s="9"/>
      <c r="GK93" s="9"/>
      <c r="GL93" s="9"/>
      <c r="GM93" s="9"/>
      <c r="GN93" s="9"/>
      <c r="GO93" s="9"/>
      <c r="GP93" s="9"/>
      <c r="GQ93" s="9"/>
      <c r="GR93" s="9"/>
      <c r="GS93" s="9"/>
      <c r="GT93" s="9"/>
      <c r="GU93" s="9"/>
      <c r="GV93" s="9"/>
      <c r="GW93" s="9"/>
      <c r="GX93" s="9"/>
      <c r="GY93" s="9"/>
      <c r="GZ93" s="9"/>
      <c r="HA93" s="9"/>
      <c r="HB93" s="9"/>
      <c r="HC93" s="9"/>
      <c r="HD93" s="9"/>
      <c r="HE93" s="9"/>
      <c r="HF93" s="9"/>
      <c r="HG93" s="9"/>
      <c r="HH93" s="9"/>
      <c r="HI93" s="9"/>
      <c r="HJ93" s="9"/>
      <c r="HQ93" t="s">
        <v>677</v>
      </c>
      <c r="HS93" s="4" t="s">
        <v>490</v>
      </c>
      <c r="HT93" s="50">
        <v>34335</v>
      </c>
      <c r="HU93" s="50">
        <v>36160</v>
      </c>
      <c r="HV93" s="50"/>
      <c r="HW93" s="50"/>
      <c r="IN93" s="4"/>
      <c r="IO93" t="s">
        <v>678</v>
      </c>
      <c r="IP93" s="12" t="s">
        <v>679</v>
      </c>
      <c r="IS93">
        <v>1995</v>
      </c>
      <c r="IT93">
        <v>1995.2</v>
      </c>
      <c r="IU93" s="4" t="s">
        <v>544</v>
      </c>
      <c r="IV93" t="s">
        <v>680</v>
      </c>
      <c r="IW93" s="12" t="s">
        <v>681</v>
      </c>
      <c r="IZ93">
        <v>0.5</v>
      </c>
      <c r="JA93" t="s">
        <v>480</v>
      </c>
      <c r="JB93" t="s">
        <v>480</v>
      </c>
      <c r="JC93" t="s">
        <v>480</v>
      </c>
      <c r="JD93" t="s">
        <v>480</v>
      </c>
      <c r="JE93" t="s">
        <v>480</v>
      </c>
      <c r="JF93" t="s">
        <v>480</v>
      </c>
      <c r="JG93" t="s">
        <v>480</v>
      </c>
      <c r="JH93" t="s">
        <v>480</v>
      </c>
      <c r="JI93" t="s">
        <v>480</v>
      </c>
      <c r="JK93" s="12" t="s">
        <v>682</v>
      </c>
      <c r="JP93" s="4"/>
      <c r="JV93" s="4"/>
      <c r="JW93" s="4"/>
      <c r="JX93" s="4"/>
      <c r="JY93" s="4"/>
      <c r="JZ93" s="4"/>
      <c r="KA93" s="4"/>
      <c r="KF93" s="7" t="s">
        <v>500</v>
      </c>
      <c r="KJ93" s="45" t="s">
        <v>683</v>
      </c>
      <c r="KK93" s="8" t="s">
        <v>562</v>
      </c>
      <c r="KL93" t="s">
        <v>480</v>
      </c>
      <c r="KM93" t="s">
        <v>480</v>
      </c>
      <c r="MY93" t="s">
        <v>684</v>
      </c>
      <c r="MZ93">
        <v>42</v>
      </c>
      <c r="NB93" s="4" t="s">
        <v>548</v>
      </c>
      <c r="NJ93" t="s">
        <v>718</v>
      </c>
      <c r="NL93" s="4" t="s">
        <v>660</v>
      </c>
      <c r="NM93" s="6" t="s">
        <v>719</v>
      </c>
      <c r="NV93" t="s">
        <v>518</v>
      </c>
      <c r="NW93" s="5" t="s">
        <v>734</v>
      </c>
      <c r="NX93" s="4" t="s">
        <v>520</v>
      </c>
      <c r="NY93" s="3">
        <v>0.17582837165459986</v>
      </c>
      <c r="OB93">
        <v>4</v>
      </c>
      <c r="OU93" t="s">
        <v>735</v>
      </c>
      <c r="OW93">
        <v>1998</v>
      </c>
      <c r="OZ93" s="2" t="s">
        <v>692</v>
      </c>
      <c r="PB93" t="s">
        <v>522</v>
      </c>
      <c r="PC93" s="50">
        <v>46094</v>
      </c>
    </row>
    <row r="94" spans="1:419" ht="15.75" thickBot="1">
      <c r="A94" s="11" t="s">
        <v>665</v>
      </c>
      <c r="B94" t="s">
        <v>666</v>
      </c>
      <c r="C94" t="s">
        <v>667</v>
      </c>
      <c r="D94" s="4" t="s">
        <v>668</v>
      </c>
      <c r="E94" t="s">
        <v>669</v>
      </c>
      <c r="F94" s="88" t="s">
        <v>670</v>
      </c>
      <c r="G94" t="s">
        <v>475</v>
      </c>
      <c r="H94" t="s">
        <v>476</v>
      </c>
      <c r="I94" s="10">
        <v>0.1</v>
      </c>
      <c r="J94" s="10">
        <v>34.566667000000002</v>
      </c>
      <c r="K94">
        <v>150</v>
      </c>
      <c r="AV94" t="s">
        <v>671</v>
      </c>
      <c r="AW94">
        <v>100</v>
      </c>
      <c r="AX94" t="s">
        <v>480</v>
      </c>
      <c r="AY94">
        <v>4</v>
      </c>
      <c r="AZ94" t="s">
        <v>672</v>
      </c>
      <c r="BA94">
        <v>1994</v>
      </c>
      <c r="BB94">
        <v>1998</v>
      </c>
      <c r="BC94" t="s">
        <v>673</v>
      </c>
      <c r="BD94" s="10" t="s">
        <v>693</v>
      </c>
      <c r="BE94" t="s">
        <v>566</v>
      </c>
      <c r="BF94" s="3" t="s">
        <v>484</v>
      </c>
      <c r="BG94" t="s">
        <v>485</v>
      </c>
      <c r="BH94" t="s">
        <v>675</v>
      </c>
      <c r="BI94" s="4" t="s">
        <v>486</v>
      </c>
      <c r="BJ94" s="9">
        <v>53000</v>
      </c>
      <c r="ED94" t="s">
        <v>676</v>
      </c>
      <c r="EE94" s="4" t="s">
        <v>486</v>
      </c>
      <c r="EF94" s="9">
        <v>53000</v>
      </c>
      <c r="EG94" s="9"/>
      <c r="EH94" s="9"/>
      <c r="EI94" s="9"/>
      <c r="EJ94" s="9"/>
      <c r="EK94" s="9"/>
      <c r="EL94" s="9"/>
      <c r="EM94" s="9"/>
      <c r="EN94" s="9"/>
      <c r="EO94" s="9"/>
      <c r="EP94" s="9"/>
      <c r="EQ94" s="9"/>
      <c r="ER94" s="9"/>
      <c r="ES94" s="9"/>
      <c r="ET94" s="9"/>
      <c r="EU94" s="9"/>
      <c r="EV94" s="9"/>
      <c r="EW94" s="9"/>
      <c r="EX94" s="9"/>
      <c r="EY94" s="9"/>
      <c r="EZ94" s="9"/>
      <c r="FA94" s="9"/>
      <c r="FB94" s="9"/>
      <c r="FC94" s="9"/>
      <c r="FD94" s="9"/>
      <c r="FE94" s="9"/>
      <c r="FF94" s="9"/>
      <c r="FG94" s="9"/>
      <c r="FH94" s="9"/>
      <c r="FI94" s="9"/>
      <c r="FJ94" s="9"/>
      <c r="FK94" s="9"/>
      <c r="FL94" s="9"/>
      <c r="FM94" s="9"/>
      <c r="FN94" s="9"/>
      <c r="FO94" s="9"/>
      <c r="FP94" s="9"/>
      <c r="FQ94" s="9"/>
      <c r="FR94" s="9"/>
      <c r="FS94" s="9"/>
      <c r="FT94" s="9"/>
      <c r="FU94" s="9"/>
      <c r="FV94" s="9"/>
      <c r="FW94" s="9"/>
      <c r="FX94" s="9"/>
      <c r="FY94" s="9"/>
      <c r="FZ94" s="9"/>
      <c r="GA94" s="9"/>
      <c r="GB94" s="9"/>
      <c r="GC94" s="9"/>
      <c r="GD94" s="9"/>
      <c r="GE94" s="9"/>
      <c r="GF94" s="9"/>
      <c r="GG94" s="9"/>
      <c r="GH94" s="9"/>
      <c r="GI94" s="9"/>
      <c r="GJ94" s="9"/>
      <c r="GK94" s="9"/>
      <c r="GL94" s="9"/>
      <c r="GM94" s="9"/>
      <c r="GN94" s="9"/>
      <c r="GO94" s="9"/>
      <c r="GP94" s="9"/>
      <c r="GQ94" s="9"/>
      <c r="GR94" s="9"/>
      <c r="GS94" s="9"/>
      <c r="GT94" s="9"/>
      <c r="GU94" s="9"/>
      <c r="GV94" s="9"/>
      <c r="GW94" s="9"/>
      <c r="GX94" s="9"/>
      <c r="GY94" s="9"/>
      <c r="GZ94" s="9"/>
      <c r="HA94" s="9"/>
      <c r="HB94" s="9"/>
      <c r="HC94" s="9"/>
      <c r="HD94" s="9"/>
      <c r="HE94" s="9"/>
      <c r="HF94" s="9"/>
      <c r="HG94" s="9"/>
      <c r="HH94" s="9"/>
      <c r="HI94" s="9"/>
      <c r="HJ94" s="9"/>
      <c r="HQ94" t="s">
        <v>677</v>
      </c>
      <c r="HS94" s="4" t="s">
        <v>490</v>
      </c>
      <c r="HT94" s="50">
        <v>34335</v>
      </c>
      <c r="HU94" s="50">
        <v>36160</v>
      </c>
      <c r="HV94" s="50"/>
      <c r="HW94" s="50"/>
      <c r="IN94" s="4"/>
      <c r="IO94" t="s">
        <v>694</v>
      </c>
      <c r="IP94" s="12" t="s">
        <v>695</v>
      </c>
      <c r="IS94">
        <v>1994</v>
      </c>
      <c r="IT94">
        <v>1994.2</v>
      </c>
      <c r="IU94" s="4" t="s">
        <v>544</v>
      </c>
      <c r="IV94" t="s">
        <v>696</v>
      </c>
      <c r="IW94" s="12" t="s">
        <v>681</v>
      </c>
      <c r="IZ94">
        <v>0.5</v>
      </c>
      <c r="JA94" t="s">
        <v>480</v>
      </c>
      <c r="JB94" t="s">
        <v>480</v>
      </c>
      <c r="JC94" t="s">
        <v>480</v>
      </c>
      <c r="JD94" t="s">
        <v>480</v>
      </c>
      <c r="JE94" t="s">
        <v>480</v>
      </c>
      <c r="JF94" t="s">
        <v>480</v>
      </c>
      <c r="JG94" t="s">
        <v>480</v>
      </c>
      <c r="JH94" t="s">
        <v>480</v>
      </c>
      <c r="JI94" t="s">
        <v>480</v>
      </c>
      <c r="JK94" s="12" t="s">
        <v>682</v>
      </c>
      <c r="JP94" s="4"/>
      <c r="JV94" s="4"/>
      <c r="JW94" s="4"/>
      <c r="JX94" s="4"/>
      <c r="JY94" s="4"/>
      <c r="JZ94" s="4"/>
      <c r="KA94" s="4"/>
      <c r="KF94" s="7" t="s">
        <v>500</v>
      </c>
      <c r="KJ94" s="45" t="s">
        <v>683</v>
      </c>
      <c r="KK94" s="8" t="s">
        <v>562</v>
      </c>
      <c r="KL94" t="s">
        <v>480</v>
      </c>
      <c r="KM94" t="s">
        <v>480</v>
      </c>
      <c r="MY94" t="s">
        <v>684</v>
      </c>
      <c r="MZ94">
        <v>42</v>
      </c>
      <c r="NB94" s="4" t="s">
        <v>548</v>
      </c>
      <c r="NJ94" t="s">
        <v>718</v>
      </c>
      <c r="NL94" s="4" t="s">
        <v>660</v>
      </c>
      <c r="NM94" s="6" t="s">
        <v>719</v>
      </c>
      <c r="NV94" t="s">
        <v>518</v>
      </c>
      <c r="NW94" s="5" t="s">
        <v>736</v>
      </c>
      <c r="NX94" s="4" t="s">
        <v>520</v>
      </c>
      <c r="NY94" s="3">
        <v>0.11733823336394988</v>
      </c>
      <c r="OB94">
        <v>4</v>
      </c>
      <c r="OU94" t="s">
        <v>735</v>
      </c>
      <c r="OW94">
        <v>1998</v>
      </c>
      <c r="OZ94" s="2" t="s">
        <v>692</v>
      </c>
      <c r="PB94" t="s">
        <v>522</v>
      </c>
      <c r="PC94" s="50">
        <v>46094</v>
      </c>
    </row>
    <row r="95" spans="1:419" ht="15.75" thickBot="1">
      <c r="A95" s="11" t="s">
        <v>665</v>
      </c>
      <c r="B95" t="s">
        <v>666</v>
      </c>
      <c r="C95" t="s">
        <v>667</v>
      </c>
      <c r="D95" s="4" t="s">
        <v>668</v>
      </c>
      <c r="E95" t="s">
        <v>669</v>
      </c>
      <c r="F95" s="88" t="s">
        <v>670</v>
      </c>
      <c r="G95" t="s">
        <v>475</v>
      </c>
      <c r="H95" t="s">
        <v>476</v>
      </c>
      <c r="I95" s="10">
        <v>0.1</v>
      </c>
      <c r="J95" s="10">
        <v>34.566667000000002</v>
      </c>
      <c r="K95">
        <v>150</v>
      </c>
      <c r="AV95" t="s">
        <v>671</v>
      </c>
      <c r="AW95">
        <v>100</v>
      </c>
      <c r="AX95" t="s">
        <v>480</v>
      </c>
      <c r="AY95">
        <v>4</v>
      </c>
      <c r="AZ95" t="s">
        <v>672</v>
      </c>
      <c r="BA95">
        <v>1994</v>
      </c>
      <c r="BB95">
        <v>1998</v>
      </c>
      <c r="BC95" t="s">
        <v>673</v>
      </c>
      <c r="BD95" s="10" t="s">
        <v>697</v>
      </c>
      <c r="BE95" t="s">
        <v>572</v>
      </c>
      <c r="BF95" s="3" t="s">
        <v>484</v>
      </c>
      <c r="BG95" t="s">
        <v>485</v>
      </c>
      <c r="BH95" t="s">
        <v>675</v>
      </c>
      <c r="BI95" s="4" t="s">
        <v>486</v>
      </c>
      <c r="BJ95" s="9">
        <v>53000</v>
      </c>
      <c r="EE95" s="4"/>
      <c r="EF95" s="9"/>
      <c r="EG95" s="9"/>
      <c r="EH95" s="9"/>
      <c r="EI95" s="9"/>
      <c r="EJ95" s="9"/>
      <c r="EK95" s="9"/>
      <c r="EL95" s="9"/>
      <c r="EM95" s="9"/>
      <c r="EN95" s="9"/>
      <c r="EO95" s="9"/>
      <c r="EP95" s="9"/>
      <c r="EQ95" s="9"/>
      <c r="ER95" s="9"/>
      <c r="ES95" s="9"/>
      <c r="ET95" s="9"/>
      <c r="EU95" s="9"/>
      <c r="EV95" s="9"/>
      <c r="EW95" s="9"/>
      <c r="EX95" s="9"/>
      <c r="EY95" s="9"/>
      <c r="EZ95" s="9"/>
      <c r="FA95" s="9"/>
      <c r="FB95" s="9"/>
      <c r="FC95" s="9"/>
      <c r="FD95" s="9"/>
      <c r="FE95" s="9"/>
      <c r="FF95" s="9"/>
      <c r="FG95" s="9"/>
      <c r="FH95" s="9"/>
      <c r="FI95" s="9"/>
      <c r="FJ95" s="9"/>
      <c r="FK95" s="9"/>
      <c r="FL95" s="9"/>
      <c r="FM95" s="9"/>
      <c r="FN95" s="9"/>
      <c r="FO95" s="9"/>
      <c r="FP95" s="9"/>
      <c r="FQ95" s="9"/>
      <c r="FR95" s="9"/>
      <c r="FS95" s="9"/>
      <c r="FT95" s="9"/>
      <c r="FU95" s="9"/>
      <c r="FV95" s="9"/>
      <c r="FW95" s="9"/>
      <c r="FX95" s="9"/>
      <c r="FY95" s="9"/>
      <c r="FZ95" s="9"/>
      <c r="GA95" s="9"/>
      <c r="GB95" s="9"/>
      <c r="GC95" s="9"/>
      <c r="GD95" s="9"/>
      <c r="GE95" s="9"/>
      <c r="GF95" s="9"/>
      <c r="GG95" s="9"/>
      <c r="GH95" s="9"/>
      <c r="GI95" s="9"/>
      <c r="GJ95" s="9"/>
      <c r="GK95" s="9"/>
      <c r="GL95" s="9"/>
      <c r="GM95" s="9"/>
      <c r="GN95" s="9"/>
      <c r="GO95" s="9"/>
      <c r="GP95" s="9"/>
      <c r="GQ95" s="9"/>
      <c r="GR95" s="9"/>
      <c r="GS95" s="9"/>
      <c r="GT95" s="9"/>
      <c r="GU95" s="9"/>
      <c r="GV95" s="9"/>
      <c r="GW95" s="9"/>
      <c r="GX95" s="9"/>
      <c r="GY95" s="9"/>
      <c r="GZ95" s="9"/>
      <c r="HA95" s="9"/>
      <c r="HB95" s="9"/>
      <c r="HC95" s="9"/>
      <c r="HD95" s="9"/>
      <c r="HE95" s="9"/>
      <c r="HF95" s="9"/>
      <c r="HG95" s="9"/>
      <c r="HH95" s="9"/>
      <c r="HI95" s="9"/>
      <c r="HJ95" s="9"/>
      <c r="HQ95" t="s">
        <v>677</v>
      </c>
      <c r="HS95" s="4" t="s">
        <v>490</v>
      </c>
      <c r="HT95" s="50">
        <v>34335</v>
      </c>
      <c r="HU95" s="50">
        <v>36160</v>
      </c>
      <c r="HV95" s="50"/>
      <c r="HW95" s="50"/>
      <c r="IO95" t="s">
        <v>698</v>
      </c>
      <c r="IP95" s="46" t="s">
        <v>699</v>
      </c>
      <c r="IS95">
        <v>1995</v>
      </c>
      <c r="IT95">
        <v>1995.2</v>
      </c>
      <c r="IU95" s="4" t="s">
        <v>544</v>
      </c>
      <c r="IV95" t="s">
        <v>700</v>
      </c>
      <c r="IW95" t="s">
        <v>492</v>
      </c>
      <c r="JA95">
        <v>0</v>
      </c>
      <c r="JB95">
        <v>0</v>
      </c>
      <c r="JC95">
        <v>0</v>
      </c>
      <c r="JD95">
        <v>0</v>
      </c>
      <c r="JE95">
        <v>0</v>
      </c>
      <c r="JF95">
        <v>0</v>
      </c>
      <c r="JG95">
        <v>0</v>
      </c>
      <c r="JH95">
        <v>0</v>
      </c>
      <c r="JI95">
        <v>0</v>
      </c>
      <c r="JK95" s="12" t="s">
        <v>682</v>
      </c>
      <c r="JP95" s="4"/>
      <c r="JV95" s="4"/>
      <c r="JW95" s="4"/>
      <c r="JX95" s="4"/>
      <c r="JY95" s="4"/>
      <c r="JZ95" s="4"/>
      <c r="KA95" s="4"/>
      <c r="KF95" s="7" t="s">
        <v>500</v>
      </c>
      <c r="KJ95" s="7" t="s">
        <v>649</v>
      </c>
      <c r="MY95" t="s">
        <v>684</v>
      </c>
      <c r="MZ95">
        <v>42</v>
      </c>
      <c r="NB95" s="4" t="s">
        <v>548</v>
      </c>
      <c r="NJ95" t="s">
        <v>718</v>
      </c>
      <c r="NL95" s="4" t="s">
        <v>660</v>
      </c>
      <c r="NM95" s="6" t="s">
        <v>719</v>
      </c>
      <c r="NV95" t="s">
        <v>518</v>
      </c>
      <c r="NW95" s="5" t="s">
        <v>737</v>
      </c>
      <c r="NX95" s="4" t="s">
        <v>520</v>
      </c>
      <c r="NY95" s="3">
        <v>0.25414931570594979</v>
      </c>
      <c r="OB95">
        <v>4</v>
      </c>
      <c r="OU95" t="s">
        <v>735</v>
      </c>
      <c r="OW95">
        <v>1998</v>
      </c>
      <c r="OZ95" s="2" t="s">
        <v>692</v>
      </c>
      <c r="PB95" t="s">
        <v>522</v>
      </c>
      <c r="PC95" s="50">
        <v>46094</v>
      </c>
    </row>
    <row r="96" spans="1:419" ht="15.75" thickBot="1">
      <c r="A96" s="11" t="s">
        <v>665</v>
      </c>
      <c r="B96" t="s">
        <v>666</v>
      </c>
      <c r="C96" t="s">
        <v>667</v>
      </c>
      <c r="D96" s="4" t="s">
        <v>668</v>
      </c>
      <c r="E96" t="s">
        <v>669</v>
      </c>
      <c r="F96" s="88" t="s">
        <v>670</v>
      </c>
      <c r="G96" t="s">
        <v>475</v>
      </c>
      <c r="H96" t="s">
        <v>476</v>
      </c>
      <c r="I96" s="10">
        <v>0.1</v>
      </c>
      <c r="J96" s="10">
        <v>34.566667000000002</v>
      </c>
      <c r="K96">
        <v>150</v>
      </c>
      <c r="AV96" t="s">
        <v>671</v>
      </c>
      <c r="AW96">
        <v>100</v>
      </c>
      <c r="AX96" t="s">
        <v>480</v>
      </c>
      <c r="AY96">
        <v>4</v>
      </c>
      <c r="AZ96" t="s">
        <v>672</v>
      </c>
      <c r="BA96">
        <v>1994</v>
      </c>
      <c r="BB96">
        <v>1998</v>
      </c>
      <c r="BC96" t="s">
        <v>673</v>
      </c>
      <c r="BD96" s="10" t="s">
        <v>701</v>
      </c>
      <c r="BE96" t="s">
        <v>553</v>
      </c>
      <c r="BF96" s="3" t="s">
        <v>484</v>
      </c>
      <c r="BG96" t="s">
        <v>485</v>
      </c>
      <c r="BH96" t="s">
        <v>675</v>
      </c>
      <c r="BI96" s="4" t="s">
        <v>486</v>
      </c>
      <c r="BJ96" s="9">
        <v>53000</v>
      </c>
      <c r="EE96" s="4"/>
      <c r="EF96" s="9"/>
      <c r="EG96" s="9"/>
      <c r="EH96" s="9"/>
      <c r="EI96" s="9"/>
      <c r="EJ96" s="9"/>
      <c r="EK96" s="9"/>
      <c r="EL96" s="9"/>
      <c r="EM96" s="9"/>
      <c r="EN96" s="9"/>
      <c r="EO96" s="9"/>
      <c r="EP96" s="9"/>
      <c r="EQ96" s="9"/>
      <c r="ER96" s="9"/>
      <c r="ES96" s="9"/>
      <c r="ET96" s="9"/>
      <c r="EU96" s="9"/>
      <c r="EV96" s="9"/>
      <c r="EW96" s="9"/>
      <c r="EX96" s="9"/>
      <c r="EY96" s="9"/>
      <c r="EZ96" s="9"/>
      <c r="FA96" s="9"/>
      <c r="FB96" s="9"/>
      <c r="FC96" s="9"/>
      <c r="FD96" s="9"/>
      <c r="FE96" s="9"/>
      <c r="FF96" s="9"/>
      <c r="FG96" s="9"/>
      <c r="FH96" s="9"/>
      <c r="FI96" s="9"/>
      <c r="FJ96" s="9"/>
      <c r="FK96" s="9"/>
      <c r="FL96" s="9"/>
      <c r="FM96" s="9"/>
      <c r="FN96" s="9"/>
      <c r="FO96" s="9"/>
      <c r="FP96" s="9"/>
      <c r="FQ96" s="9"/>
      <c r="FR96" s="9"/>
      <c r="FS96" s="9"/>
      <c r="FT96" s="9"/>
      <c r="FU96" s="9"/>
      <c r="FV96" s="9"/>
      <c r="FW96" s="9"/>
      <c r="FX96" s="9"/>
      <c r="FY96" s="9"/>
      <c r="FZ96" s="9"/>
      <c r="GA96" s="9"/>
      <c r="GB96" s="9"/>
      <c r="GC96" s="9"/>
      <c r="GD96" s="9"/>
      <c r="GE96" s="9"/>
      <c r="GF96" s="9"/>
      <c r="GG96" s="9"/>
      <c r="GH96" s="9"/>
      <c r="GI96" s="9"/>
      <c r="GJ96" s="9"/>
      <c r="GK96" s="9"/>
      <c r="GL96" s="9"/>
      <c r="GM96" s="9"/>
      <c r="GN96" s="9"/>
      <c r="GO96" s="9"/>
      <c r="GP96" s="9"/>
      <c r="GQ96" s="9"/>
      <c r="GR96" s="9"/>
      <c r="GS96" s="9"/>
      <c r="GT96" s="9"/>
      <c r="GU96" s="9"/>
      <c r="GV96" s="9"/>
      <c r="GW96" s="9"/>
      <c r="GX96" s="9"/>
      <c r="GY96" s="9"/>
      <c r="GZ96" s="9"/>
      <c r="HA96" s="9"/>
      <c r="HB96" s="9"/>
      <c r="HC96" s="9"/>
      <c r="HD96" s="9"/>
      <c r="HE96" s="9"/>
      <c r="HF96" s="9"/>
      <c r="HG96" s="9"/>
      <c r="HH96" s="9"/>
      <c r="HI96" s="9"/>
      <c r="HJ96" s="9"/>
      <c r="HQ96" t="s">
        <v>677</v>
      </c>
      <c r="HS96" s="4" t="s">
        <v>490</v>
      </c>
      <c r="HT96" s="50">
        <v>34335</v>
      </c>
      <c r="HU96" s="50">
        <v>36160</v>
      </c>
      <c r="HV96" s="50"/>
      <c r="HW96" s="50"/>
      <c r="IO96" t="s">
        <v>702</v>
      </c>
      <c r="IP96" s="13" t="s">
        <v>703</v>
      </c>
      <c r="IS96">
        <v>1994</v>
      </c>
      <c r="IT96">
        <v>1994.2</v>
      </c>
      <c r="IU96" s="4" t="s">
        <v>544</v>
      </c>
      <c r="IV96" t="s">
        <v>700</v>
      </c>
      <c r="IW96" t="s">
        <v>492</v>
      </c>
      <c r="JA96">
        <v>0</v>
      </c>
      <c r="JB96">
        <v>0</v>
      </c>
      <c r="JC96">
        <v>0</v>
      </c>
      <c r="JD96">
        <v>0</v>
      </c>
      <c r="JE96">
        <v>0</v>
      </c>
      <c r="JF96">
        <v>0</v>
      </c>
      <c r="JG96">
        <v>0</v>
      </c>
      <c r="JH96">
        <v>0</v>
      </c>
      <c r="JI96">
        <v>0</v>
      </c>
      <c r="JK96" s="12" t="s">
        <v>682</v>
      </c>
      <c r="JP96" s="4"/>
      <c r="JV96" s="4"/>
      <c r="JW96" s="4"/>
      <c r="JX96" s="4"/>
      <c r="JY96" s="4"/>
      <c r="JZ96" s="4"/>
      <c r="KA96" s="4"/>
      <c r="KF96" s="7" t="s">
        <v>500</v>
      </c>
      <c r="KJ96" s="7" t="s">
        <v>649</v>
      </c>
      <c r="MY96" t="s">
        <v>684</v>
      </c>
      <c r="MZ96">
        <v>42</v>
      </c>
      <c r="NB96" s="4" t="s">
        <v>548</v>
      </c>
      <c r="NJ96" t="s">
        <v>718</v>
      </c>
      <c r="NL96" s="4" t="s">
        <v>660</v>
      </c>
      <c r="NM96" s="6" t="s">
        <v>719</v>
      </c>
      <c r="NV96" t="s">
        <v>518</v>
      </c>
      <c r="NW96" s="5" t="s">
        <v>738</v>
      </c>
      <c r="NX96" s="4" t="s">
        <v>520</v>
      </c>
      <c r="NY96" s="3">
        <v>0.3320407116180899</v>
      </c>
      <c r="OB96">
        <v>4</v>
      </c>
      <c r="OU96" t="s">
        <v>735</v>
      </c>
      <c r="OW96">
        <v>1998</v>
      </c>
      <c r="OZ96" s="2" t="s">
        <v>692</v>
      </c>
      <c r="PB96" t="s">
        <v>522</v>
      </c>
      <c r="PC96" s="50">
        <v>46094</v>
      </c>
    </row>
    <row r="97" spans="1:419" ht="15.75" thickBot="1">
      <c r="A97" s="11" t="s">
        <v>665</v>
      </c>
      <c r="B97" t="s">
        <v>666</v>
      </c>
      <c r="C97" t="s">
        <v>667</v>
      </c>
      <c r="D97" s="4" t="s">
        <v>668</v>
      </c>
      <c r="E97" t="s">
        <v>669</v>
      </c>
      <c r="F97" s="88" t="s">
        <v>670</v>
      </c>
      <c r="G97" t="s">
        <v>475</v>
      </c>
      <c r="H97" t="s">
        <v>476</v>
      </c>
      <c r="I97" s="10">
        <v>0.1</v>
      </c>
      <c r="J97" s="10">
        <v>34.566667000000002</v>
      </c>
      <c r="K97">
        <v>150</v>
      </c>
      <c r="AV97" t="s">
        <v>671</v>
      </c>
      <c r="AW97">
        <v>100</v>
      </c>
      <c r="AX97" t="s">
        <v>480</v>
      </c>
      <c r="AY97">
        <v>4</v>
      </c>
      <c r="AZ97" t="s">
        <v>672</v>
      </c>
      <c r="BA97">
        <v>1994</v>
      </c>
      <c r="BB97">
        <v>1998</v>
      </c>
      <c r="BC97" t="s">
        <v>673</v>
      </c>
      <c r="BD97" s="10" t="s">
        <v>704</v>
      </c>
      <c r="BE97" t="s">
        <v>524</v>
      </c>
      <c r="BF97" s="3" t="s">
        <v>484</v>
      </c>
      <c r="BG97" t="s">
        <v>485</v>
      </c>
      <c r="BH97" t="s">
        <v>675</v>
      </c>
      <c r="BI97" s="4" t="s">
        <v>486</v>
      </c>
      <c r="BJ97" s="9">
        <v>53000</v>
      </c>
      <c r="HQ97" t="s">
        <v>677</v>
      </c>
      <c r="HS97" s="4" t="s">
        <v>490</v>
      </c>
      <c r="HT97" s="50">
        <v>34335</v>
      </c>
      <c r="HU97" s="50">
        <v>36160</v>
      </c>
      <c r="HV97" s="50"/>
      <c r="HW97" s="50"/>
      <c r="IO97" t="s">
        <v>700</v>
      </c>
      <c r="IP97" s="46" t="s">
        <v>492</v>
      </c>
      <c r="IU97" s="4" t="s">
        <v>544</v>
      </c>
      <c r="IV97" t="s">
        <v>700</v>
      </c>
      <c r="IW97" s="46" t="s">
        <v>492</v>
      </c>
      <c r="JA97">
        <v>0</v>
      </c>
      <c r="JB97">
        <v>0</v>
      </c>
      <c r="JC97">
        <v>0</v>
      </c>
      <c r="JD97">
        <v>0</v>
      </c>
      <c r="JE97">
        <v>0</v>
      </c>
      <c r="JF97">
        <v>0</v>
      </c>
      <c r="JG97">
        <v>0</v>
      </c>
      <c r="JH97">
        <v>0</v>
      </c>
      <c r="JI97">
        <v>0</v>
      </c>
      <c r="JK97" s="12" t="s">
        <v>682</v>
      </c>
      <c r="JP97" s="4"/>
      <c r="JV97" s="4"/>
      <c r="JW97" s="4"/>
      <c r="JX97" s="4"/>
      <c r="JY97" s="4"/>
      <c r="JZ97" s="4"/>
      <c r="KA97" s="4"/>
      <c r="KF97" s="7" t="s">
        <v>500</v>
      </c>
      <c r="KJ97" s="7" t="s">
        <v>649</v>
      </c>
      <c r="MY97" t="s">
        <v>684</v>
      </c>
      <c r="MZ97">
        <v>42</v>
      </c>
      <c r="NB97" s="4" t="s">
        <v>548</v>
      </c>
      <c r="NJ97" t="s">
        <v>718</v>
      </c>
      <c r="NL97" s="4" t="s">
        <v>660</v>
      </c>
      <c r="NM97" s="6" t="s">
        <v>719</v>
      </c>
      <c r="NU97" t="s">
        <v>517</v>
      </c>
      <c r="NV97" t="s">
        <v>518</v>
      </c>
      <c r="NW97" s="5" t="s">
        <v>739</v>
      </c>
      <c r="NX97" s="4" t="s">
        <v>520</v>
      </c>
      <c r="NY97" s="3">
        <v>0.19558758605877991</v>
      </c>
      <c r="OB97">
        <v>4</v>
      </c>
      <c r="OU97" t="s">
        <v>735</v>
      </c>
      <c r="OW97">
        <v>1998</v>
      </c>
      <c r="OZ97" s="2" t="s">
        <v>692</v>
      </c>
      <c r="PB97" t="s">
        <v>522</v>
      </c>
      <c r="PC97" s="50">
        <v>46094</v>
      </c>
    </row>
    <row r="98" spans="1:419" ht="15.75" thickBot="1">
      <c r="A98" s="11" t="s">
        <v>665</v>
      </c>
      <c r="B98" t="s">
        <v>666</v>
      </c>
      <c r="C98" t="s">
        <v>667</v>
      </c>
      <c r="D98" s="4" t="s">
        <v>668</v>
      </c>
      <c r="E98" t="s">
        <v>669</v>
      </c>
      <c r="F98" s="88" t="s">
        <v>670</v>
      </c>
      <c r="G98" t="s">
        <v>475</v>
      </c>
      <c r="H98" t="s">
        <v>476</v>
      </c>
      <c r="I98" s="10">
        <v>0.1</v>
      </c>
      <c r="J98" s="10">
        <v>34.566667000000002</v>
      </c>
      <c r="K98">
        <v>150</v>
      </c>
      <c r="AV98" t="s">
        <v>671</v>
      </c>
      <c r="AW98">
        <v>100</v>
      </c>
      <c r="AX98" t="s">
        <v>480</v>
      </c>
      <c r="AY98">
        <v>4</v>
      </c>
      <c r="AZ98" t="s">
        <v>672</v>
      </c>
      <c r="BA98">
        <v>1994</v>
      </c>
      <c r="BB98">
        <v>1998</v>
      </c>
      <c r="BC98" t="s">
        <v>673</v>
      </c>
      <c r="BD98" s="10" t="s">
        <v>705</v>
      </c>
      <c r="BE98" t="s">
        <v>483</v>
      </c>
      <c r="BF98" s="3" t="s">
        <v>484</v>
      </c>
      <c r="BG98" t="s">
        <v>485</v>
      </c>
      <c r="BH98" t="s">
        <v>675</v>
      </c>
      <c r="BI98" s="4" t="s">
        <v>486</v>
      </c>
      <c r="BJ98" s="9">
        <v>53000</v>
      </c>
      <c r="HQ98" t="s">
        <v>677</v>
      </c>
      <c r="HS98" s="4" t="s">
        <v>490</v>
      </c>
      <c r="HT98" s="50">
        <v>34335</v>
      </c>
      <c r="HU98" s="50">
        <v>36160</v>
      </c>
      <c r="HV98" s="50"/>
      <c r="HW98" s="50"/>
      <c r="IO98" t="s">
        <v>706</v>
      </c>
      <c r="IP98" s="46" t="s">
        <v>492</v>
      </c>
      <c r="IU98" s="4" t="s">
        <v>544</v>
      </c>
      <c r="IV98" t="s">
        <v>707</v>
      </c>
      <c r="IW98" s="46" t="s">
        <v>492</v>
      </c>
      <c r="JA98">
        <v>0</v>
      </c>
      <c r="JB98">
        <v>0</v>
      </c>
      <c r="JC98">
        <v>0</v>
      </c>
      <c r="JD98">
        <v>0</v>
      </c>
      <c r="JE98">
        <v>0</v>
      </c>
      <c r="JF98">
        <v>0</v>
      </c>
      <c r="JG98">
        <v>0</v>
      </c>
      <c r="JH98">
        <v>0</v>
      </c>
      <c r="JI98">
        <v>0</v>
      </c>
      <c r="JJ98" t="s">
        <v>706</v>
      </c>
      <c r="JK98" t="s">
        <v>494</v>
      </c>
      <c r="JL98" s="8" t="s">
        <v>495</v>
      </c>
      <c r="JP98" s="4" t="s">
        <v>508</v>
      </c>
      <c r="JQ98">
        <v>60</v>
      </c>
      <c r="JT98">
        <v>60</v>
      </c>
      <c r="JV98" s="4"/>
      <c r="JW98" s="4"/>
      <c r="JX98" s="4"/>
      <c r="JY98" s="4"/>
      <c r="JZ98" s="4"/>
      <c r="KA98" s="4"/>
      <c r="KF98" s="7" t="s">
        <v>500</v>
      </c>
      <c r="KJ98" s="7" t="s">
        <v>649</v>
      </c>
      <c r="MY98" t="s">
        <v>684</v>
      </c>
      <c r="MZ98">
        <v>42</v>
      </c>
      <c r="NB98" s="4" t="s">
        <v>548</v>
      </c>
      <c r="NJ98" t="s">
        <v>718</v>
      </c>
      <c r="NL98" s="4" t="s">
        <v>660</v>
      </c>
      <c r="NM98" s="6" t="s">
        <v>719</v>
      </c>
      <c r="NU98" t="s">
        <v>708</v>
      </c>
      <c r="NV98" t="s">
        <v>518</v>
      </c>
      <c r="NW98" s="5" t="s">
        <v>740</v>
      </c>
      <c r="NX98" s="4" t="s">
        <v>520</v>
      </c>
      <c r="NY98" s="3">
        <v>9.7793793029389953E-2</v>
      </c>
      <c r="OB98">
        <v>4</v>
      </c>
      <c r="OU98" t="s">
        <v>735</v>
      </c>
      <c r="OW98">
        <v>1998</v>
      </c>
      <c r="OZ98" s="2" t="s">
        <v>692</v>
      </c>
      <c r="PB98" t="s">
        <v>522</v>
      </c>
      <c r="PC98" s="50">
        <v>46094</v>
      </c>
    </row>
    <row r="99" spans="1:419" ht="15.75" thickBot="1">
      <c r="A99" s="11" t="s">
        <v>665</v>
      </c>
      <c r="B99" t="s">
        <v>666</v>
      </c>
      <c r="C99" t="s">
        <v>667</v>
      </c>
      <c r="D99" s="4" t="s">
        <v>668</v>
      </c>
      <c r="E99" t="s">
        <v>669</v>
      </c>
      <c r="F99" s="88" t="s">
        <v>670</v>
      </c>
      <c r="G99" t="s">
        <v>475</v>
      </c>
      <c r="H99" t="s">
        <v>476</v>
      </c>
      <c r="I99" s="10">
        <v>0.1</v>
      </c>
      <c r="J99" s="10">
        <v>34.566667000000002</v>
      </c>
      <c r="K99">
        <v>150</v>
      </c>
      <c r="AV99" t="s">
        <v>671</v>
      </c>
      <c r="AW99">
        <v>100</v>
      </c>
      <c r="AX99" t="s">
        <v>480</v>
      </c>
      <c r="AY99">
        <v>4</v>
      </c>
      <c r="AZ99" t="s">
        <v>672</v>
      </c>
      <c r="BA99">
        <v>1994</v>
      </c>
      <c r="BB99">
        <v>1998</v>
      </c>
      <c r="BC99" t="s">
        <v>673</v>
      </c>
      <c r="BD99" s="10" t="s">
        <v>674</v>
      </c>
      <c r="BE99" t="s">
        <v>536</v>
      </c>
      <c r="BF99" s="3" t="s">
        <v>484</v>
      </c>
      <c r="BG99" t="s">
        <v>485</v>
      </c>
      <c r="BH99" t="s">
        <v>675</v>
      </c>
      <c r="BI99" s="4" t="s">
        <v>486</v>
      </c>
      <c r="BJ99" s="9">
        <v>53000</v>
      </c>
      <c r="ED99" t="s">
        <v>676</v>
      </c>
      <c r="EE99" s="4" t="s">
        <v>486</v>
      </c>
      <c r="EF99" s="9">
        <v>53000</v>
      </c>
      <c r="EG99" s="9"/>
      <c r="EH99" s="9"/>
      <c r="EI99" s="9"/>
      <c r="EJ99" s="9"/>
      <c r="EK99" s="9"/>
      <c r="EL99" s="9"/>
      <c r="EM99" s="9"/>
      <c r="EN99" s="9"/>
      <c r="EO99" s="9"/>
      <c r="EP99" s="9"/>
      <c r="EQ99" s="9"/>
      <c r="ER99" s="9"/>
      <c r="ES99" s="9"/>
      <c r="ET99" s="9"/>
      <c r="EU99" s="9"/>
      <c r="EV99" s="9"/>
      <c r="EW99" s="9"/>
      <c r="EX99" s="9"/>
      <c r="EY99" s="9"/>
      <c r="EZ99" s="9"/>
      <c r="FA99" s="9"/>
      <c r="FB99" s="9"/>
      <c r="FC99" s="9"/>
      <c r="FD99" s="9"/>
      <c r="FE99" s="9"/>
      <c r="FF99" s="9"/>
      <c r="FG99" s="9"/>
      <c r="FH99" s="9"/>
      <c r="FI99" s="9"/>
      <c r="FJ99" s="9"/>
      <c r="FK99" s="9"/>
      <c r="FL99" s="9"/>
      <c r="FM99" s="9"/>
      <c r="FN99" s="9"/>
      <c r="FO99" s="9"/>
      <c r="FP99" s="9"/>
      <c r="FQ99" s="9"/>
      <c r="FR99" s="9"/>
      <c r="FS99" s="9"/>
      <c r="FT99" s="9"/>
      <c r="FU99" s="9"/>
      <c r="FV99" s="9"/>
      <c r="FW99" s="9"/>
      <c r="FX99" s="9"/>
      <c r="FY99" s="9"/>
      <c r="FZ99" s="9"/>
      <c r="GA99" s="9"/>
      <c r="GB99" s="9"/>
      <c r="GC99" s="9"/>
      <c r="GD99" s="9"/>
      <c r="GE99" s="9"/>
      <c r="GF99" s="9"/>
      <c r="GG99" s="9"/>
      <c r="GH99" s="9"/>
      <c r="GI99" s="9"/>
      <c r="GJ99" s="9"/>
      <c r="GK99" s="9"/>
      <c r="GL99" s="9"/>
      <c r="GM99" s="9"/>
      <c r="GN99" s="9"/>
      <c r="GO99" s="9"/>
      <c r="GP99" s="9"/>
      <c r="GQ99" s="9"/>
      <c r="GR99" s="9"/>
      <c r="GS99" s="9"/>
      <c r="GT99" s="9"/>
      <c r="GU99" s="9"/>
      <c r="GV99" s="9"/>
      <c r="GW99" s="9"/>
      <c r="GX99" s="9"/>
      <c r="GY99" s="9"/>
      <c r="GZ99" s="9"/>
      <c r="HA99" s="9"/>
      <c r="HB99" s="9"/>
      <c r="HC99" s="9"/>
      <c r="HD99" s="9"/>
      <c r="HE99" s="9"/>
      <c r="HF99" s="9"/>
      <c r="HG99" s="9"/>
      <c r="HH99" s="9"/>
      <c r="HI99" s="9"/>
      <c r="HJ99" s="9"/>
      <c r="HQ99" t="s">
        <v>677</v>
      </c>
      <c r="HS99" s="4" t="s">
        <v>490</v>
      </c>
      <c r="HT99" s="50">
        <v>34335</v>
      </c>
      <c r="HU99" s="50">
        <v>36160</v>
      </c>
      <c r="HV99" s="50"/>
      <c r="HW99" s="50"/>
      <c r="IN99" s="4"/>
      <c r="IO99" t="s">
        <v>678</v>
      </c>
      <c r="IP99" s="12" t="s">
        <v>679</v>
      </c>
      <c r="IS99">
        <v>1995</v>
      </c>
      <c r="IT99">
        <v>1995.2</v>
      </c>
      <c r="IU99" s="4" t="s">
        <v>544</v>
      </c>
      <c r="IV99" t="s">
        <v>680</v>
      </c>
      <c r="IW99" s="12" t="s">
        <v>681</v>
      </c>
      <c r="IZ99">
        <v>0.5</v>
      </c>
      <c r="JA99" t="s">
        <v>480</v>
      </c>
      <c r="JB99" t="s">
        <v>480</v>
      </c>
      <c r="JC99" t="s">
        <v>480</v>
      </c>
      <c r="JD99" t="s">
        <v>480</v>
      </c>
      <c r="JE99" t="s">
        <v>480</v>
      </c>
      <c r="JF99" t="s">
        <v>480</v>
      </c>
      <c r="JG99" t="s">
        <v>480</v>
      </c>
      <c r="JH99" t="s">
        <v>480</v>
      </c>
      <c r="JI99" t="s">
        <v>480</v>
      </c>
      <c r="JK99" s="12" t="s">
        <v>682</v>
      </c>
      <c r="JP99" s="4"/>
      <c r="JV99" s="4"/>
      <c r="JW99" s="4"/>
      <c r="JX99" s="4"/>
      <c r="JY99" s="4"/>
      <c r="JZ99" s="4"/>
      <c r="KA99" s="4"/>
      <c r="KF99" s="7" t="s">
        <v>500</v>
      </c>
      <c r="KJ99" s="45" t="s">
        <v>683</v>
      </c>
      <c r="KK99" s="8" t="s">
        <v>562</v>
      </c>
      <c r="KL99" t="s">
        <v>480</v>
      </c>
      <c r="KM99" t="s">
        <v>480</v>
      </c>
      <c r="MY99" t="s">
        <v>684</v>
      </c>
      <c r="MZ99">
        <v>42</v>
      </c>
      <c r="NB99" s="4" t="s">
        <v>548</v>
      </c>
      <c r="NJ99" t="s">
        <v>718</v>
      </c>
      <c r="NL99" s="4" t="s">
        <v>660</v>
      </c>
      <c r="NM99" s="6" t="s">
        <v>719</v>
      </c>
      <c r="NV99" t="s">
        <v>518</v>
      </c>
      <c r="NW99" s="5" t="s">
        <v>741</v>
      </c>
      <c r="NX99" s="4" t="s">
        <v>520</v>
      </c>
      <c r="NY99" s="3">
        <v>0.4952380952380997</v>
      </c>
      <c r="OB99">
        <v>4</v>
      </c>
      <c r="OU99" t="s">
        <v>742</v>
      </c>
      <c r="OW99">
        <v>1996</v>
      </c>
      <c r="OZ99" s="2" t="s">
        <v>709</v>
      </c>
      <c r="PB99" t="s">
        <v>522</v>
      </c>
      <c r="PC99" s="50">
        <v>46094</v>
      </c>
    </row>
    <row r="100" spans="1:419" ht="15.75" thickBot="1">
      <c r="A100" s="11" t="s">
        <v>665</v>
      </c>
      <c r="B100" t="s">
        <v>666</v>
      </c>
      <c r="C100" t="s">
        <v>667</v>
      </c>
      <c r="D100" s="4" t="s">
        <v>668</v>
      </c>
      <c r="E100" t="s">
        <v>669</v>
      </c>
      <c r="F100" s="88" t="s">
        <v>670</v>
      </c>
      <c r="G100" t="s">
        <v>475</v>
      </c>
      <c r="H100" t="s">
        <v>476</v>
      </c>
      <c r="I100" s="10">
        <v>0.1</v>
      </c>
      <c r="J100" s="10">
        <v>34.566667000000002</v>
      </c>
      <c r="K100">
        <v>150</v>
      </c>
      <c r="AV100" t="s">
        <v>671</v>
      </c>
      <c r="AW100">
        <v>100</v>
      </c>
      <c r="AX100" t="s">
        <v>480</v>
      </c>
      <c r="AY100">
        <v>4</v>
      </c>
      <c r="AZ100" t="s">
        <v>672</v>
      </c>
      <c r="BA100">
        <v>1994</v>
      </c>
      <c r="BB100">
        <v>1998</v>
      </c>
      <c r="BC100" t="s">
        <v>673</v>
      </c>
      <c r="BD100" s="10" t="s">
        <v>693</v>
      </c>
      <c r="BE100" t="s">
        <v>566</v>
      </c>
      <c r="BF100" s="3" t="s">
        <v>484</v>
      </c>
      <c r="BG100" t="s">
        <v>485</v>
      </c>
      <c r="BH100" t="s">
        <v>675</v>
      </c>
      <c r="BI100" s="4" t="s">
        <v>486</v>
      </c>
      <c r="BJ100" s="9">
        <v>53000</v>
      </c>
      <c r="ED100" t="s">
        <v>676</v>
      </c>
      <c r="EE100" s="4" t="s">
        <v>486</v>
      </c>
      <c r="EF100" s="9">
        <v>53000</v>
      </c>
      <c r="EG100" s="9"/>
      <c r="EH100" s="9"/>
      <c r="EI100" s="9"/>
      <c r="EJ100" s="9"/>
      <c r="EK100" s="9"/>
      <c r="EL100" s="9"/>
      <c r="EM100" s="9"/>
      <c r="EN100" s="9"/>
      <c r="EO100" s="9"/>
      <c r="EP100" s="9"/>
      <c r="EQ100" s="9"/>
      <c r="ER100" s="9"/>
      <c r="ES100" s="9"/>
      <c r="ET100" s="9"/>
      <c r="EU100" s="9"/>
      <c r="EV100" s="9"/>
      <c r="EW100" s="9"/>
      <c r="EX100" s="9"/>
      <c r="EY100" s="9"/>
      <c r="EZ100" s="9"/>
      <c r="FA100" s="9"/>
      <c r="FB100" s="9"/>
      <c r="FC100" s="9"/>
      <c r="FD100" s="9"/>
      <c r="FE100" s="9"/>
      <c r="FF100" s="9"/>
      <c r="FG100" s="9"/>
      <c r="FH100" s="9"/>
      <c r="FI100" s="9"/>
      <c r="FJ100" s="9"/>
      <c r="FK100" s="9"/>
      <c r="FL100" s="9"/>
      <c r="FM100" s="9"/>
      <c r="FN100" s="9"/>
      <c r="FO100" s="9"/>
      <c r="FP100" s="9"/>
      <c r="FQ100" s="9"/>
      <c r="FR100" s="9"/>
      <c r="FS100" s="9"/>
      <c r="FT100" s="9"/>
      <c r="FU100" s="9"/>
      <c r="FV100" s="9"/>
      <c r="FW100" s="9"/>
      <c r="FX100" s="9"/>
      <c r="FY100" s="9"/>
      <c r="FZ100" s="9"/>
      <c r="GA100" s="9"/>
      <c r="GB100" s="9"/>
      <c r="GC100" s="9"/>
      <c r="GD100" s="9"/>
      <c r="GE100" s="9"/>
      <c r="GF100" s="9"/>
      <c r="GG100" s="9"/>
      <c r="GH100" s="9"/>
      <c r="GI100" s="9"/>
      <c r="GJ100" s="9"/>
      <c r="GK100" s="9"/>
      <c r="GL100" s="9"/>
      <c r="GM100" s="9"/>
      <c r="GN100" s="9"/>
      <c r="GO100" s="9"/>
      <c r="GP100" s="9"/>
      <c r="GQ100" s="9"/>
      <c r="GR100" s="9"/>
      <c r="GS100" s="9"/>
      <c r="GT100" s="9"/>
      <c r="GU100" s="9"/>
      <c r="GV100" s="9"/>
      <c r="GW100" s="9"/>
      <c r="GX100" s="9"/>
      <c r="GY100" s="9"/>
      <c r="GZ100" s="9"/>
      <c r="HA100" s="9"/>
      <c r="HB100" s="9"/>
      <c r="HC100" s="9"/>
      <c r="HD100" s="9"/>
      <c r="HE100" s="9"/>
      <c r="HF100" s="9"/>
      <c r="HG100" s="9"/>
      <c r="HH100" s="9"/>
      <c r="HI100" s="9"/>
      <c r="HJ100" s="9"/>
      <c r="HQ100" t="s">
        <v>677</v>
      </c>
      <c r="HS100" s="4" t="s">
        <v>490</v>
      </c>
      <c r="HT100" s="50">
        <v>34335</v>
      </c>
      <c r="HU100" s="50">
        <v>36160</v>
      </c>
      <c r="HV100" s="50"/>
      <c r="HW100" s="50"/>
      <c r="IN100" s="4"/>
      <c r="IO100" t="s">
        <v>694</v>
      </c>
      <c r="IP100" s="12" t="s">
        <v>695</v>
      </c>
      <c r="IS100">
        <v>1994</v>
      </c>
      <c r="IT100">
        <v>1994.2</v>
      </c>
      <c r="IU100" s="4" t="s">
        <v>544</v>
      </c>
      <c r="IV100" t="s">
        <v>696</v>
      </c>
      <c r="IW100" s="12" t="s">
        <v>681</v>
      </c>
      <c r="IZ100">
        <v>0.5</v>
      </c>
      <c r="JA100" t="s">
        <v>480</v>
      </c>
      <c r="JB100" t="s">
        <v>480</v>
      </c>
      <c r="JC100" t="s">
        <v>480</v>
      </c>
      <c r="JD100" t="s">
        <v>480</v>
      </c>
      <c r="JE100" t="s">
        <v>480</v>
      </c>
      <c r="JF100" t="s">
        <v>480</v>
      </c>
      <c r="JG100" t="s">
        <v>480</v>
      </c>
      <c r="JH100" t="s">
        <v>480</v>
      </c>
      <c r="JI100" t="s">
        <v>480</v>
      </c>
      <c r="JK100" s="12" t="s">
        <v>682</v>
      </c>
      <c r="JP100" s="4"/>
      <c r="JV100" s="4"/>
      <c r="JW100" s="4"/>
      <c r="JX100" s="4"/>
      <c r="JY100" s="4"/>
      <c r="JZ100" s="4"/>
      <c r="KA100" s="4"/>
      <c r="KF100" s="7" t="s">
        <v>500</v>
      </c>
      <c r="KJ100" s="45" t="s">
        <v>683</v>
      </c>
      <c r="KK100" s="8" t="s">
        <v>562</v>
      </c>
      <c r="KL100" t="s">
        <v>480</v>
      </c>
      <c r="KM100" t="s">
        <v>480</v>
      </c>
      <c r="MY100" t="s">
        <v>684</v>
      </c>
      <c r="MZ100">
        <v>42</v>
      </c>
      <c r="NB100" s="4" t="s">
        <v>548</v>
      </c>
      <c r="NJ100" t="s">
        <v>718</v>
      </c>
      <c r="NL100" s="4" t="s">
        <v>660</v>
      </c>
      <c r="NM100" s="6" t="s">
        <v>719</v>
      </c>
      <c r="NV100" t="s">
        <v>518</v>
      </c>
      <c r="NW100" s="5" t="s">
        <v>743</v>
      </c>
      <c r="NX100" s="4" t="s">
        <v>520</v>
      </c>
      <c r="NY100" s="3">
        <v>0.19047619047619002</v>
      </c>
      <c r="OB100">
        <v>4</v>
      </c>
      <c r="OU100" t="s">
        <v>742</v>
      </c>
      <c r="OW100">
        <v>1996</v>
      </c>
      <c r="OZ100" s="2" t="s">
        <v>709</v>
      </c>
      <c r="PB100" t="s">
        <v>522</v>
      </c>
      <c r="PC100" s="50">
        <v>46094</v>
      </c>
    </row>
    <row r="101" spans="1:419" ht="15.75" thickBot="1">
      <c r="A101" s="11" t="s">
        <v>665</v>
      </c>
      <c r="B101" t="s">
        <v>666</v>
      </c>
      <c r="C101" t="s">
        <v>667</v>
      </c>
      <c r="D101" s="4" t="s">
        <v>668</v>
      </c>
      <c r="E101" t="s">
        <v>669</v>
      </c>
      <c r="F101" s="88" t="s">
        <v>670</v>
      </c>
      <c r="G101" t="s">
        <v>475</v>
      </c>
      <c r="H101" t="s">
        <v>476</v>
      </c>
      <c r="I101" s="10">
        <v>0.1</v>
      </c>
      <c r="J101" s="10">
        <v>34.566667000000002</v>
      </c>
      <c r="K101">
        <v>150</v>
      </c>
      <c r="AV101" t="s">
        <v>671</v>
      </c>
      <c r="AW101">
        <v>100</v>
      </c>
      <c r="AX101" t="s">
        <v>480</v>
      </c>
      <c r="AY101">
        <v>4</v>
      </c>
      <c r="AZ101" t="s">
        <v>672</v>
      </c>
      <c r="BA101">
        <v>1994</v>
      </c>
      <c r="BB101">
        <v>1998</v>
      </c>
      <c r="BC101" t="s">
        <v>673</v>
      </c>
      <c r="BD101" s="10" t="s">
        <v>697</v>
      </c>
      <c r="BE101" t="s">
        <v>572</v>
      </c>
      <c r="BF101" s="3" t="s">
        <v>484</v>
      </c>
      <c r="BG101" t="s">
        <v>485</v>
      </c>
      <c r="BH101" t="s">
        <v>675</v>
      </c>
      <c r="BI101" s="4" t="s">
        <v>486</v>
      </c>
      <c r="BJ101" s="9">
        <v>53000</v>
      </c>
      <c r="EE101" s="4"/>
      <c r="EF101" s="9"/>
      <c r="EG101" s="9"/>
      <c r="EH101" s="9"/>
      <c r="EI101" s="9"/>
      <c r="EJ101" s="9"/>
      <c r="EK101" s="9"/>
      <c r="EL101" s="9"/>
      <c r="EM101" s="9"/>
      <c r="EN101" s="9"/>
      <c r="EO101" s="9"/>
      <c r="EP101" s="9"/>
      <c r="EQ101" s="9"/>
      <c r="ER101" s="9"/>
      <c r="ES101" s="9"/>
      <c r="ET101" s="9"/>
      <c r="EU101" s="9"/>
      <c r="EV101" s="9"/>
      <c r="EW101" s="9"/>
      <c r="EX101" s="9"/>
      <c r="EY101" s="9"/>
      <c r="EZ101" s="9"/>
      <c r="FA101" s="9"/>
      <c r="FB101" s="9"/>
      <c r="FC101" s="9"/>
      <c r="FD101" s="9"/>
      <c r="FE101" s="9"/>
      <c r="FF101" s="9"/>
      <c r="FG101" s="9"/>
      <c r="FH101" s="9"/>
      <c r="FI101" s="9"/>
      <c r="FJ101" s="9"/>
      <c r="FK101" s="9"/>
      <c r="FL101" s="9"/>
      <c r="FM101" s="9"/>
      <c r="FN101" s="9"/>
      <c r="FO101" s="9"/>
      <c r="FP101" s="9"/>
      <c r="FQ101" s="9"/>
      <c r="FR101" s="9"/>
      <c r="FS101" s="9"/>
      <c r="FT101" s="9"/>
      <c r="FU101" s="9"/>
      <c r="FV101" s="9"/>
      <c r="FW101" s="9"/>
      <c r="FX101" s="9"/>
      <c r="FY101" s="9"/>
      <c r="FZ101" s="9"/>
      <c r="GA101" s="9"/>
      <c r="GB101" s="9"/>
      <c r="GC101" s="9"/>
      <c r="GD101" s="9"/>
      <c r="GE101" s="9"/>
      <c r="GF101" s="9"/>
      <c r="GG101" s="9"/>
      <c r="GH101" s="9"/>
      <c r="GI101" s="9"/>
      <c r="GJ101" s="9"/>
      <c r="GK101" s="9"/>
      <c r="GL101" s="9"/>
      <c r="GM101" s="9"/>
      <c r="GN101" s="9"/>
      <c r="GO101" s="9"/>
      <c r="GP101" s="9"/>
      <c r="GQ101" s="9"/>
      <c r="GR101" s="9"/>
      <c r="GS101" s="9"/>
      <c r="GT101" s="9"/>
      <c r="GU101" s="9"/>
      <c r="GV101" s="9"/>
      <c r="GW101" s="9"/>
      <c r="GX101" s="9"/>
      <c r="GY101" s="9"/>
      <c r="GZ101" s="9"/>
      <c r="HA101" s="9"/>
      <c r="HB101" s="9"/>
      <c r="HC101" s="9"/>
      <c r="HD101" s="9"/>
      <c r="HE101" s="9"/>
      <c r="HF101" s="9"/>
      <c r="HG101" s="9"/>
      <c r="HH101" s="9"/>
      <c r="HI101" s="9"/>
      <c r="HJ101" s="9"/>
      <c r="HQ101" t="s">
        <v>677</v>
      </c>
      <c r="HS101" s="4" t="s">
        <v>490</v>
      </c>
      <c r="HT101" s="50">
        <v>34335</v>
      </c>
      <c r="HU101" s="50">
        <v>36160</v>
      </c>
      <c r="HV101" s="50"/>
      <c r="HW101" s="50"/>
      <c r="IO101" t="s">
        <v>698</v>
      </c>
      <c r="IP101" s="46" t="s">
        <v>699</v>
      </c>
      <c r="IS101">
        <v>1995</v>
      </c>
      <c r="IT101">
        <v>1995.2</v>
      </c>
      <c r="IU101" s="4" t="s">
        <v>544</v>
      </c>
      <c r="IV101" t="s">
        <v>700</v>
      </c>
      <c r="IW101" t="s">
        <v>492</v>
      </c>
      <c r="JA101">
        <v>0</v>
      </c>
      <c r="JB101">
        <v>0</v>
      </c>
      <c r="JC101">
        <v>0</v>
      </c>
      <c r="JD101">
        <v>0</v>
      </c>
      <c r="JE101">
        <v>0</v>
      </c>
      <c r="JF101">
        <v>0</v>
      </c>
      <c r="JG101">
        <v>0</v>
      </c>
      <c r="JH101">
        <v>0</v>
      </c>
      <c r="JI101">
        <v>0</v>
      </c>
      <c r="JK101" s="12" t="s">
        <v>682</v>
      </c>
      <c r="JP101" s="4"/>
      <c r="JV101" s="4"/>
      <c r="JW101" s="4"/>
      <c r="JX101" s="4"/>
      <c r="JY101" s="4"/>
      <c r="JZ101" s="4"/>
      <c r="KA101" s="4"/>
      <c r="KF101" s="7" t="s">
        <v>500</v>
      </c>
      <c r="KJ101" s="7" t="s">
        <v>649</v>
      </c>
      <c r="MY101" t="s">
        <v>684</v>
      </c>
      <c r="MZ101">
        <v>42</v>
      </c>
      <c r="NB101" s="4" t="s">
        <v>548</v>
      </c>
      <c r="NJ101" t="s">
        <v>718</v>
      </c>
      <c r="NL101" s="4" t="s">
        <v>660</v>
      </c>
      <c r="NM101" s="6" t="s">
        <v>719</v>
      </c>
      <c r="NV101" t="s">
        <v>518</v>
      </c>
      <c r="NW101" s="5" t="s">
        <v>744</v>
      </c>
      <c r="NX101" s="4" t="s">
        <v>520</v>
      </c>
      <c r="NY101" s="3">
        <v>0.20952380952380989</v>
      </c>
      <c r="OB101">
        <v>4</v>
      </c>
      <c r="OU101" t="s">
        <v>742</v>
      </c>
      <c r="OW101">
        <v>1996</v>
      </c>
      <c r="OZ101" s="2" t="s">
        <v>709</v>
      </c>
      <c r="PB101" t="s">
        <v>522</v>
      </c>
      <c r="PC101" s="50">
        <v>46094</v>
      </c>
    </row>
    <row r="102" spans="1:419" ht="15.75" thickBot="1">
      <c r="A102" s="11" t="s">
        <v>665</v>
      </c>
      <c r="B102" t="s">
        <v>666</v>
      </c>
      <c r="C102" t="s">
        <v>667</v>
      </c>
      <c r="D102" s="4" t="s">
        <v>668</v>
      </c>
      <c r="E102" t="s">
        <v>669</v>
      </c>
      <c r="F102" s="88" t="s">
        <v>670</v>
      </c>
      <c r="G102" t="s">
        <v>475</v>
      </c>
      <c r="H102" t="s">
        <v>476</v>
      </c>
      <c r="I102" s="10">
        <v>0.1</v>
      </c>
      <c r="J102" s="10">
        <v>34.566667000000002</v>
      </c>
      <c r="K102">
        <v>150</v>
      </c>
      <c r="AV102" t="s">
        <v>671</v>
      </c>
      <c r="AW102">
        <v>100</v>
      </c>
      <c r="AX102" t="s">
        <v>480</v>
      </c>
      <c r="AY102">
        <v>4</v>
      </c>
      <c r="AZ102" t="s">
        <v>672</v>
      </c>
      <c r="BA102">
        <v>1994</v>
      </c>
      <c r="BB102">
        <v>1998</v>
      </c>
      <c r="BC102" t="s">
        <v>673</v>
      </c>
      <c r="BD102" s="10" t="s">
        <v>701</v>
      </c>
      <c r="BE102" t="s">
        <v>553</v>
      </c>
      <c r="BF102" s="3" t="s">
        <v>484</v>
      </c>
      <c r="BG102" t="s">
        <v>485</v>
      </c>
      <c r="BH102" t="s">
        <v>675</v>
      </c>
      <c r="BI102" s="4" t="s">
        <v>486</v>
      </c>
      <c r="BJ102" s="9">
        <v>53000</v>
      </c>
      <c r="EE102" s="4"/>
      <c r="EF102" s="9"/>
      <c r="EG102" s="9"/>
      <c r="EH102" s="9"/>
      <c r="EI102" s="9"/>
      <c r="EJ102" s="9"/>
      <c r="EK102" s="9"/>
      <c r="EL102" s="9"/>
      <c r="EM102" s="9"/>
      <c r="EN102" s="9"/>
      <c r="EO102" s="9"/>
      <c r="EP102" s="9"/>
      <c r="EQ102" s="9"/>
      <c r="ER102" s="9"/>
      <c r="ES102" s="9"/>
      <c r="ET102" s="9"/>
      <c r="EU102" s="9"/>
      <c r="EV102" s="9"/>
      <c r="EW102" s="9"/>
      <c r="EX102" s="9"/>
      <c r="EY102" s="9"/>
      <c r="EZ102" s="9"/>
      <c r="FA102" s="9"/>
      <c r="FB102" s="9"/>
      <c r="FC102" s="9"/>
      <c r="FD102" s="9"/>
      <c r="FE102" s="9"/>
      <c r="FF102" s="9"/>
      <c r="FG102" s="9"/>
      <c r="FH102" s="9"/>
      <c r="FI102" s="9"/>
      <c r="FJ102" s="9"/>
      <c r="FK102" s="9"/>
      <c r="FL102" s="9"/>
      <c r="FM102" s="9"/>
      <c r="FN102" s="9"/>
      <c r="FO102" s="9"/>
      <c r="FP102" s="9"/>
      <c r="FQ102" s="9"/>
      <c r="FR102" s="9"/>
      <c r="FS102" s="9"/>
      <c r="FT102" s="9"/>
      <c r="FU102" s="9"/>
      <c r="FV102" s="9"/>
      <c r="FW102" s="9"/>
      <c r="FX102" s="9"/>
      <c r="FY102" s="9"/>
      <c r="FZ102" s="9"/>
      <c r="GA102" s="9"/>
      <c r="GB102" s="9"/>
      <c r="GC102" s="9"/>
      <c r="GD102" s="9"/>
      <c r="GE102" s="9"/>
      <c r="GF102" s="9"/>
      <c r="GG102" s="9"/>
      <c r="GH102" s="9"/>
      <c r="GI102" s="9"/>
      <c r="GJ102" s="9"/>
      <c r="GK102" s="9"/>
      <c r="GL102" s="9"/>
      <c r="GM102" s="9"/>
      <c r="GN102" s="9"/>
      <c r="GO102" s="9"/>
      <c r="GP102" s="9"/>
      <c r="GQ102" s="9"/>
      <c r="GR102" s="9"/>
      <c r="GS102" s="9"/>
      <c r="GT102" s="9"/>
      <c r="GU102" s="9"/>
      <c r="GV102" s="9"/>
      <c r="GW102" s="9"/>
      <c r="GX102" s="9"/>
      <c r="GY102" s="9"/>
      <c r="GZ102" s="9"/>
      <c r="HA102" s="9"/>
      <c r="HB102" s="9"/>
      <c r="HC102" s="9"/>
      <c r="HD102" s="9"/>
      <c r="HE102" s="9"/>
      <c r="HF102" s="9"/>
      <c r="HG102" s="9"/>
      <c r="HH102" s="9"/>
      <c r="HI102" s="9"/>
      <c r="HJ102" s="9"/>
      <c r="HQ102" t="s">
        <v>677</v>
      </c>
      <c r="HS102" s="4" t="s">
        <v>490</v>
      </c>
      <c r="HT102" s="50">
        <v>34335</v>
      </c>
      <c r="HU102" s="50">
        <v>36160</v>
      </c>
      <c r="HV102" s="50"/>
      <c r="HW102" s="50"/>
      <c r="IO102" t="s">
        <v>702</v>
      </c>
      <c r="IP102" s="13" t="s">
        <v>703</v>
      </c>
      <c r="IS102">
        <v>1994</v>
      </c>
      <c r="IT102">
        <v>1994.2</v>
      </c>
      <c r="IU102" s="4" t="s">
        <v>544</v>
      </c>
      <c r="IV102" t="s">
        <v>700</v>
      </c>
      <c r="IW102" t="s">
        <v>492</v>
      </c>
      <c r="JA102">
        <v>0</v>
      </c>
      <c r="JB102">
        <v>0</v>
      </c>
      <c r="JC102">
        <v>0</v>
      </c>
      <c r="JD102">
        <v>0</v>
      </c>
      <c r="JE102">
        <v>0</v>
      </c>
      <c r="JF102">
        <v>0</v>
      </c>
      <c r="JG102">
        <v>0</v>
      </c>
      <c r="JH102">
        <v>0</v>
      </c>
      <c r="JI102">
        <v>0</v>
      </c>
      <c r="JK102" s="12" t="s">
        <v>682</v>
      </c>
      <c r="JP102" s="4"/>
      <c r="JV102" s="4"/>
      <c r="JW102" s="4"/>
      <c r="JX102" s="4"/>
      <c r="JY102" s="4"/>
      <c r="JZ102" s="4"/>
      <c r="KA102" s="4"/>
      <c r="KF102" s="7" t="s">
        <v>500</v>
      </c>
      <c r="KJ102" s="7" t="s">
        <v>649</v>
      </c>
      <c r="MY102" t="s">
        <v>684</v>
      </c>
      <c r="MZ102">
        <v>42</v>
      </c>
      <c r="NB102" s="4" t="s">
        <v>548</v>
      </c>
      <c r="NJ102" t="s">
        <v>718</v>
      </c>
      <c r="NL102" s="4" t="s">
        <v>660</v>
      </c>
      <c r="NM102" s="6" t="s">
        <v>719</v>
      </c>
      <c r="NV102" t="s">
        <v>518</v>
      </c>
      <c r="NW102" s="5" t="s">
        <v>745</v>
      </c>
      <c r="NX102" s="4" t="s">
        <v>520</v>
      </c>
      <c r="NY102" s="3">
        <v>0.19047619047620001</v>
      </c>
      <c r="OB102">
        <v>4</v>
      </c>
      <c r="OU102" t="s">
        <v>742</v>
      </c>
      <c r="OW102">
        <v>1996</v>
      </c>
      <c r="OZ102" s="2" t="s">
        <v>709</v>
      </c>
      <c r="PB102" t="s">
        <v>522</v>
      </c>
      <c r="PC102" s="50">
        <v>46094</v>
      </c>
    </row>
    <row r="103" spans="1:419" ht="15.75" thickBot="1">
      <c r="A103" s="11" t="s">
        <v>665</v>
      </c>
      <c r="B103" t="s">
        <v>666</v>
      </c>
      <c r="C103" t="s">
        <v>667</v>
      </c>
      <c r="D103" s="4" t="s">
        <v>668</v>
      </c>
      <c r="E103" t="s">
        <v>669</v>
      </c>
      <c r="F103" s="88" t="s">
        <v>670</v>
      </c>
      <c r="G103" t="s">
        <v>475</v>
      </c>
      <c r="H103" t="s">
        <v>476</v>
      </c>
      <c r="I103" s="10">
        <v>0.1</v>
      </c>
      <c r="J103" s="10">
        <v>34.566667000000002</v>
      </c>
      <c r="K103">
        <v>150</v>
      </c>
      <c r="AV103" t="s">
        <v>671</v>
      </c>
      <c r="AW103">
        <v>100</v>
      </c>
      <c r="AX103" t="s">
        <v>480</v>
      </c>
      <c r="AY103">
        <v>4</v>
      </c>
      <c r="AZ103" t="s">
        <v>672</v>
      </c>
      <c r="BA103">
        <v>1994</v>
      </c>
      <c r="BB103">
        <v>1998</v>
      </c>
      <c r="BC103" t="s">
        <v>673</v>
      </c>
      <c r="BD103" s="10" t="s">
        <v>704</v>
      </c>
      <c r="BE103" t="s">
        <v>524</v>
      </c>
      <c r="BF103" s="3" t="s">
        <v>484</v>
      </c>
      <c r="BG103" t="s">
        <v>485</v>
      </c>
      <c r="BH103" t="s">
        <v>675</v>
      </c>
      <c r="BI103" s="4" t="s">
        <v>486</v>
      </c>
      <c r="BJ103" s="9">
        <v>53000</v>
      </c>
      <c r="HQ103" t="s">
        <v>677</v>
      </c>
      <c r="HS103" s="4" t="s">
        <v>490</v>
      </c>
      <c r="HT103" s="50">
        <v>34335</v>
      </c>
      <c r="HU103" s="50">
        <v>36160</v>
      </c>
      <c r="HV103" s="50"/>
      <c r="HW103" s="50"/>
      <c r="IO103" t="s">
        <v>700</v>
      </c>
      <c r="IP103" s="46" t="s">
        <v>492</v>
      </c>
      <c r="IU103" s="4" t="s">
        <v>544</v>
      </c>
      <c r="IV103" t="s">
        <v>700</v>
      </c>
      <c r="IW103" s="46" t="s">
        <v>492</v>
      </c>
      <c r="JA103">
        <v>0</v>
      </c>
      <c r="JB103">
        <v>0</v>
      </c>
      <c r="JC103">
        <v>0</v>
      </c>
      <c r="JD103">
        <v>0</v>
      </c>
      <c r="JE103">
        <v>0</v>
      </c>
      <c r="JF103">
        <v>0</v>
      </c>
      <c r="JG103">
        <v>0</v>
      </c>
      <c r="JH103">
        <v>0</v>
      </c>
      <c r="JI103">
        <v>0</v>
      </c>
      <c r="JK103" s="12" t="s">
        <v>682</v>
      </c>
      <c r="JP103" s="4"/>
      <c r="JV103" s="4"/>
      <c r="JW103" s="4"/>
      <c r="JX103" s="4"/>
      <c r="JY103" s="4"/>
      <c r="JZ103" s="4"/>
      <c r="KA103" s="4"/>
      <c r="KF103" s="7" t="s">
        <v>500</v>
      </c>
      <c r="KJ103" s="7" t="s">
        <v>649</v>
      </c>
      <c r="MY103" t="s">
        <v>684</v>
      </c>
      <c r="MZ103">
        <v>42</v>
      </c>
      <c r="NB103" s="4" t="s">
        <v>548</v>
      </c>
      <c r="NJ103" t="s">
        <v>718</v>
      </c>
      <c r="NL103" s="4" t="s">
        <v>660</v>
      </c>
      <c r="NM103" s="6" t="s">
        <v>719</v>
      </c>
      <c r="NU103" t="s">
        <v>517</v>
      </c>
      <c r="NV103" t="s">
        <v>518</v>
      </c>
      <c r="NW103" s="5" t="s">
        <v>746</v>
      </c>
      <c r="NX103" s="4" t="s">
        <v>520</v>
      </c>
      <c r="NY103" s="3">
        <v>5.7142857142850056E-2</v>
      </c>
      <c r="OB103">
        <v>4</v>
      </c>
      <c r="OU103" t="s">
        <v>742</v>
      </c>
      <c r="OW103">
        <v>1996</v>
      </c>
      <c r="OZ103" s="2" t="s">
        <v>709</v>
      </c>
      <c r="PB103" t="s">
        <v>522</v>
      </c>
      <c r="PC103" s="50">
        <v>46094</v>
      </c>
    </row>
    <row r="104" spans="1:419" ht="15.75" thickBot="1">
      <c r="A104" s="11" t="s">
        <v>665</v>
      </c>
      <c r="B104" t="s">
        <v>666</v>
      </c>
      <c r="C104" t="s">
        <v>667</v>
      </c>
      <c r="D104" s="4" t="s">
        <v>668</v>
      </c>
      <c r="E104" t="s">
        <v>669</v>
      </c>
      <c r="F104" s="88" t="s">
        <v>670</v>
      </c>
      <c r="G104" t="s">
        <v>475</v>
      </c>
      <c r="H104" t="s">
        <v>476</v>
      </c>
      <c r="I104" s="10">
        <v>0.1</v>
      </c>
      <c r="J104" s="10">
        <v>34.566667000000002</v>
      </c>
      <c r="K104">
        <v>150</v>
      </c>
      <c r="AV104" t="s">
        <v>671</v>
      </c>
      <c r="AW104">
        <v>100</v>
      </c>
      <c r="AX104" t="s">
        <v>480</v>
      </c>
      <c r="AY104">
        <v>4</v>
      </c>
      <c r="AZ104" t="s">
        <v>672</v>
      </c>
      <c r="BA104">
        <v>1994</v>
      </c>
      <c r="BB104">
        <v>1998</v>
      </c>
      <c r="BC104" t="s">
        <v>673</v>
      </c>
      <c r="BD104" s="10" t="s">
        <v>705</v>
      </c>
      <c r="BE104" t="s">
        <v>483</v>
      </c>
      <c r="BF104" s="3" t="s">
        <v>484</v>
      </c>
      <c r="BG104" t="s">
        <v>485</v>
      </c>
      <c r="BH104" t="s">
        <v>675</v>
      </c>
      <c r="BI104" s="4" t="s">
        <v>486</v>
      </c>
      <c r="BJ104" s="9">
        <v>53000</v>
      </c>
      <c r="HQ104" t="s">
        <v>677</v>
      </c>
      <c r="HS104" s="4" t="s">
        <v>490</v>
      </c>
      <c r="HT104" s="50">
        <v>34335</v>
      </c>
      <c r="HU104" s="50">
        <v>36160</v>
      </c>
      <c r="HV104" s="50"/>
      <c r="HW104" s="50"/>
      <c r="IO104" t="s">
        <v>706</v>
      </c>
      <c r="IP104" s="46" t="s">
        <v>492</v>
      </c>
      <c r="IU104" s="4" t="s">
        <v>544</v>
      </c>
      <c r="IV104" t="s">
        <v>707</v>
      </c>
      <c r="IW104" s="46" t="s">
        <v>492</v>
      </c>
      <c r="JA104">
        <v>0</v>
      </c>
      <c r="JB104">
        <v>0</v>
      </c>
      <c r="JC104">
        <v>0</v>
      </c>
      <c r="JD104">
        <v>0</v>
      </c>
      <c r="JE104">
        <v>0</v>
      </c>
      <c r="JF104">
        <v>0</v>
      </c>
      <c r="JG104">
        <v>0</v>
      </c>
      <c r="JH104">
        <v>0</v>
      </c>
      <c r="JI104">
        <v>0</v>
      </c>
      <c r="JJ104" t="s">
        <v>706</v>
      </c>
      <c r="JK104" t="s">
        <v>494</v>
      </c>
      <c r="JL104" s="8" t="s">
        <v>495</v>
      </c>
      <c r="JP104" s="4" t="s">
        <v>508</v>
      </c>
      <c r="JQ104">
        <v>60</v>
      </c>
      <c r="JT104">
        <v>60</v>
      </c>
      <c r="JV104" s="4"/>
      <c r="JW104" s="4"/>
      <c r="JX104" s="4"/>
      <c r="JY104" s="4"/>
      <c r="JZ104" s="4"/>
      <c r="KA104" s="4"/>
      <c r="KF104" s="7" t="s">
        <v>500</v>
      </c>
      <c r="KJ104" s="7" t="s">
        <v>649</v>
      </c>
      <c r="KK104" s="7"/>
      <c r="MY104" t="s">
        <v>684</v>
      </c>
      <c r="MZ104">
        <v>42</v>
      </c>
      <c r="NB104" s="4" t="s">
        <v>548</v>
      </c>
      <c r="NJ104" t="s">
        <v>718</v>
      </c>
      <c r="NL104" s="4" t="s">
        <v>660</v>
      </c>
      <c r="NM104" s="6" t="s">
        <v>719</v>
      </c>
      <c r="NU104" t="s">
        <v>708</v>
      </c>
      <c r="NV104" t="s">
        <v>518</v>
      </c>
      <c r="NW104" s="5" t="s">
        <v>745</v>
      </c>
      <c r="NX104" s="4" t="s">
        <v>520</v>
      </c>
      <c r="NY104" s="3">
        <v>0.17142857142857992</v>
      </c>
      <c r="OB104">
        <v>4</v>
      </c>
      <c r="OU104" t="s">
        <v>742</v>
      </c>
      <c r="OW104">
        <v>1996</v>
      </c>
      <c r="OZ104" s="2" t="s">
        <v>709</v>
      </c>
      <c r="PB104" t="s">
        <v>522</v>
      </c>
      <c r="PC104" s="50">
        <v>46094</v>
      </c>
    </row>
    <row r="105" spans="1:419" ht="15.75" thickBot="1">
      <c r="A105" s="11" t="s">
        <v>665</v>
      </c>
      <c r="B105" t="s">
        <v>666</v>
      </c>
      <c r="C105" t="s">
        <v>667</v>
      </c>
      <c r="D105" s="4" t="s">
        <v>668</v>
      </c>
      <c r="E105" t="s">
        <v>669</v>
      </c>
      <c r="F105" s="88" t="s">
        <v>670</v>
      </c>
      <c r="G105" t="s">
        <v>475</v>
      </c>
      <c r="H105" t="s">
        <v>476</v>
      </c>
      <c r="I105" s="10">
        <v>0.1</v>
      </c>
      <c r="J105" s="10">
        <v>34.566667000000002</v>
      </c>
      <c r="K105">
        <v>150</v>
      </c>
      <c r="AV105" t="s">
        <v>671</v>
      </c>
      <c r="AW105">
        <v>100</v>
      </c>
      <c r="AX105" t="s">
        <v>480</v>
      </c>
      <c r="AY105">
        <v>4</v>
      </c>
      <c r="AZ105" t="s">
        <v>672</v>
      </c>
      <c r="BA105">
        <v>1994</v>
      </c>
      <c r="BB105">
        <v>1998</v>
      </c>
      <c r="BC105" t="s">
        <v>673</v>
      </c>
      <c r="BD105" s="10" t="s">
        <v>674</v>
      </c>
      <c r="BE105" t="s">
        <v>536</v>
      </c>
      <c r="BF105" s="3" t="s">
        <v>484</v>
      </c>
      <c r="BG105" t="s">
        <v>485</v>
      </c>
      <c r="BH105" t="s">
        <v>675</v>
      </c>
      <c r="BI105" s="4" t="s">
        <v>486</v>
      </c>
      <c r="BJ105" s="9">
        <v>53000</v>
      </c>
      <c r="ED105" t="s">
        <v>676</v>
      </c>
      <c r="EE105" s="4" t="s">
        <v>486</v>
      </c>
      <c r="EF105" s="9">
        <v>53000</v>
      </c>
      <c r="EG105" s="9"/>
      <c r="EH105" s="9"/>
      <c r="EI105" s="9"/>
      <c r="EJ105" s="9"/>
      <c r="EK105" s="9"/>
      <c r="EL105" s="9"/>
      <c r="EM105" s="9"/>
      <c r="EN105" s="9"/>
      <c r="EO105" s="9"/>
      <c r="EP105" s="9"/>
      <c r="EQ105" s="9"/>
      <c r="ER105" s="9"/>
      <c r="ES105" s="9"/>
      <c r="ET105" s="9"/>
      <c r="EU105" s="9"/>
      <c r="EV105" s="9"/>
      <c r="EW105" s="9"/>
      <c r="EX105" s="9"/>
      <c r="EY105" s="9"/>
      <c r="EZ105" s="9"/>
      <c r="FA105" s="9"/>
      <c r="FB105" s="9"/>
      <c r="FC105" s="9"/>
      <c r="FD105" s="9"/>
      <c r="FE105" s="9"/>
      <c r="FF105" s="9"/>
      <c r="FG105" s="9"/>
      <c r="FH105" s="9"/>
      <c r="FI105" s="9"/>
      <c r="FJ105" s="9"/>
      <c r="FK105" s="9"/>
      <c r="FL105" s="9"/>
      <c r="FM105" s="9"/>
      <c r="FN105" s="9"/>
      <c r="FO105" s="9"/>
      <c r="FP105" s="9"/>
      <c r="FQ105" s="9"/>
      <c r="FR105" s="9"/>
      <c r="FS105" s="9"/>
      <c r="FT105" s="9"/>
      <c r="FU105" s="9"/>
      <c r="FV105" s="9"/>
      <c r="FW105" s="9"/>
      <c r="FX105" s="9"/>
      <c r="FY105" s="9"/>
      <c r="FZ105" s="9"/>
      <c r="GA105" s="9"/>
      <c r="GB105" s="9"/>
      <c r="GC105" s="9"/>
      <c r="GD105" s="9"/>
      <c r="GE105" s="9"/>
      <c r="GF105" s="9"/>
      <c r="GG105" s="9"/>
      <c r="GH105" s="9"/>
      <c r="GI105" s="9"/>
      <c r="GJ105" s="9"/>
      <c r="GK105" s="9"/>
      <c r="GL105" s="9"/>
      <c r="GM105" s="9"/>
      <c r="GN105" s="9"/>
      <c r="GO105" s="9"/>
      <c r="GP105" s="9"/>
      <c r="GQ105" s="9"/>
      <c r="GR105" s="9"/>
      <c r="GS105" s="9"/>
      <c r="GT105" s="9"/>
      <c r="GU105" s="9"/>
      <c r="GV105" s="9"/>
      <c r="GW105" s="9"/>
      <c r="GX105" s="9"/>
      <c r="GY105" s="9"/>
      <c r="GZ105" s="9"/>
      <c r="HA105" s="9"/>
      <c r="HB105" s="9"/>
      <c r="HC105" s="9"/>
      <c r="HD105" s="9"/>
      <c r="HE105" s="9"/>
      <c r="HF105" s="9"/>
      <c r="HG105" s="9"/>
      <c r="HH105" s="9"/>
      <c r="HI105" s="9"/>
      <c r="HJ105" s="9"/>
      <c r="HQ105" t="s">
        <v>677</v>
      </c>
      <c r="HS105" s="4" t="s">
        <v>490</v>
      </c>
      <c r="HT105" s="50">
        <v>34335</v>
      </c>
      <c r="HU105" s="50">
        <v>36160</v>
      </c>
      <c r="HV105" s="50"/>
      <c r="HW105" s="50"/>
      <c r="IN105" s="4"/>
      <c r="IO105" t="s">
        <v>678</v>
      </c>
      <c r="IP105" s="12" t="s">
        <v>679</v>
      </c>
      <c r="IS105">
        <v>1995</v>
      </c>
      <c r="IT105">
        <v>1995.2</v>
      </c>
      <c r="IU105" s="4" t="s">
        <v>544</v>
      </c>
      <c r="IV105" t="s">
        <v>680</v>
      </c>
      <c r="IW105" s="12" t="s">
        <v>681</v>
      </c>
      <c r="IZ105">
        <v>0.5</v>
      </c>
      <c r="JA105" t="s">
        <v>480</v>
      </c>
      <c r="JB105" t="s">
        <v>480</v>
      </c>
      <c r="JC105" t="s">
        <v>480</v>
      </c>
      <c r="JD105" t="s">
        <v>480</v>
      </c>
      <c r="JE105" t="s">
        <v>480</v>
      </c>
      <c r="JF105" t="s">
        <v>480</v>
      </c>
      <c r="JG105" t="s">
        <v>480</v>
      </c>
      <c r="JH105" t="s">
        <v>480</v>
      </c>
      <c r="JI105" t="s">
        <v>480</v>
      </c>
      <c r="JK105" s="12" t="s">
        <v>682</v>
      </c>
      <c r="JP105" s="4"/>
      <c r="JV105" s="4"/>
      <c r="JW105" s="4"/>
      <c r="JX105" s="4"/>
      <c r="JY105" s="4"/>
      <c r="JZ105" s="4"/>
      <c r="KA105" s="4"/>
      <c r="KF105" s="7" t="s">
        <v>500</v>
      </c>
      <c r="KJ105" s="7" t="s">
        <v>683</v>
      </c>
      <c r="KK105" s="7" t="s">
        <v>562</v>
      </c>
      <c r="KL105" t="s">
        <v>480</v>
      </c>
      <c r="KM105" t="s">
        <v>480</v>
      </c>
      <c r="MY105" t="s">
        <v>684</v>
      </c>
      <c r="MZ105">
        <v>42</v>
      </c>
      <c r="NB105" s="4" t="s">
        <v>548</v>
      </c>
      <c r="NJ105" t="s">
        <v>718</v>
      </c>
      <c r="NL105" s="4" t="s">
        <v>660</v>
      </c>
      <c r="NM105" s="6" t="s">
        <v>719</v>
      </c>
      <c r="NV105" t="s">
        <v>518</v>
      </c>
      <c r="NW105" s="5" t="s">
        <v>747</v>
      </c>
      <c r="NX105" s="4" t="s">
        <v>520</v>
      </c>
      <c r="NY105" s="3">
        <v>0.15238095238094984</v>
      </c>
      <c r="OB105">
        <v>4</v>
      </c>
      <c r="OU105" t="s">
        <v>748</v>
      </c>
      <c r="OW105">
        <v>1997</v>
      </c>
      <c r="OZ105" s="2" t="s">
        <v>709</v>
      </c>
      <c r="PB105" t="s">
        <v>522</v>
      </c>
      <c r="PC105" s="50">
        <v>46094</v>
      </c>
    </row>
    <row r="106" spans="1:419" ht="15.75" thickBot="1">
      <c r="A106" s="11" t="s">
        <v>665</v>
      </c>
      <c r="B106" t="s">
        <v>666</v>
      </c>
      <c r="C106" t="s">
        <v>667</v>
      </c>
      <c r="D106" s="4" t="s">
        <v>668</v>
      </c>
      <c r="E106" t="s">
        <v>669</v>
      </c>
      <c r="F106" s="88" t="s">
        <v>670</v>
      </c>
      <c r="G106" t="s">
        <v>475</v>
      </c>
      <c r="H106" t="s">
        <v>476</v>
      </c>
      <c r="I106" s="10">
        <v>0.1</v>
      </c>
      <c r="J106" s="10">
        <v>34.566667000000002</v>
      </c>
      <c r="K106">
        <v>150</v>
      </c>
      <c r="AV106" t="s">
        <v>671</v>
      </c>
      <c r="AW106">
        <v>100</v>
      </c>
      <c r="AX106" t="s">
        <v>480</v>
      </c>
      <c r="AY106">
        <v>4</v>
      </c>
      <c r="AZ106" t="s">
        <v>672</v>
      </c>
      <c r="BA106">
        <v>1994</v>
      </c>
      <c r="BB106">
        <v>1998</v>
      </c>
      <c r="BC106" t="s">
        <v>673</v>
      </c>
      <c r="BD106" s="10" t="s">
        <v>693</v>
      </c>
      <c r="BE106" t="s">
        <v>566</v>
      </c>
      <c r="BF106" s="3" t="s">
        <v>484</v>
      </c>
      <c r="BG106" t="s">
        <v>485</v>
      </c>
      <c r="BH106" t="s">
        <v>675</v>
      </c>
      <c r="BI106" s="4" t="s">
        <v>486</v>
      </c>
      <c r="BJ106" s="9">
        <v>53000</v>
      </c>
      <c r="ED106" t="s">
        <v>676</v>
      </c>
      <c r="EE106" s="4" t="s">
        <v>486</v>
      </c>
      <c r="EF106" s="9">
        <v>53000</v>
      </c>
      <c r="EG106" s="9"/>
      <c r="EH106" s="9"/>
      <c r="EI106" s="9"/>
      <c r="EJ106" s="9"/>
      <c r="EK106" s="9"/>
      <c r="EL106" s="9"/>
      <c r="EM106" s="9"/>
      <c r="EN106" s="9"/>
      <c r="EO106" s="9"/>
      <c r="EP106" s="9"/>
      <c r="EQ106" s="9"/>
      <c r="ER106" s="9"/>
      <c r="ES106" s="9"/>
      <c r="ET106" s="9"/>
      <c r="EU106" s="9"/>
      <c r="EV106" s="9"/>
      <c r="EW106" s="9"/>
      <c r="EX106" s="9"/>
      <c r="EY106" s="9"/>
      <c r="EZ106" s="9"/>
      <c r="FA106" s="9"/>
      <c r="FB106" s="9"/>
      <c r="FC106" s="9"/>
      <c r="FD106" s="9"/>
      <c r="FE106" s="9"/>
      <c r="FF106" s="9"/>
      <c r="FG106" s="9"/>
      <c r="FH106" s="9"/>
      <c r="FI106" s="9"/>
      <c r="FJ106" s="9"/>
      <c r="FK106" s="9"/>
      <c r="FL106" s="9"/>
      <c r="FM106" s="9"/>
      <c r="FN106" s="9"/>
      <c r="FO106" s="9"/>
      <c r="FP106" s="9"/>
      <c r="FQ106" s="9"/>
      <c r="FR106" s="9"/>
      <c r="FS106" s="9"/>
      <c r="FT106" s="9"/>
      <c r="FU106" s="9"/>
      <c r="FV106" s="9"/>
      <c r="FW106" s="9"/>
      <c r="FX106" s="9"/>
      <c r="FY106" s="9"/>
      <c r="FZ106" s="9"/>
      <c r="GA106" s="9"/>
      <c r="GB106" s="9"/>
      <c r="GC106" s="9"/>
      <c r="GD106" s="9"/>
      <c r="GE106" s="9"/>
      <c r="GF106" s="9"/>
      <c r="GG106" s="9"/>
      <c r="GH106" s="9"/>
      <c r="GI106" s="9"/>
      <c r="GJ106" s="9"/>
      <c r="GK106" s="9"/>
      <c r="GL106" s="9"/>
      <c r="GM106" s="9"/>
      <c r="GN106" s="9"/>
      <c r="GO106" s="9"/>
      <c r="GP106" s="9"/>
      <c r="GQ106" s="9"/>
      <c r="GR106" s="9"/>
      <c r="GS106" s="9"/>
      <c r="GT106" s="9"/>
      <c r="GU106" s="9"/>
      <c r="GV106" s="9"/>
      <c r="GW106" s="9"/>
      <c r="GX106" s="9"/>
      <c r="GY106" s="9"/>
      <c r="GZ106" s="9"/>
      <c r="HA106" s="9"/>
      <c r="HB106" s="9"/>
      <c r="HC106" s="9"/>
      <c r="HD106" s="9"/>
      <c r="HE106" s="9"/>
      <c r="HF106" s="9"/>
      <c r="HG106" s="9"/>
      <c r="HH106" s="9"/>
      <c r="HI106" s="9"/>
      <c r="HJ106" s="9"/>
      <c r="HQ106" t="s">
        <v>677</v>
      </c>
      <c r="HS106" s="4" t="s">
        <v>490</v>
      </c>
      <c r="HT106" s="50">
        <v>34335</v>
      </c>
      <c r="HU106" s="50">
        <v>36160</v>
      </c>
      <c r="HV106" s="50"/>
      <c r="HW106" s="50"/>
      <c r="IN106" s="4"/>
      <c r="IO106" t="s">
        <v>694</v>
      </c>
      <c r="IP106" s="12" t="s">
        <v>695</v>
      </c>
      <c r="IS106">
        <v>1994</v>
      </c>
      <c r="IT106">
        <v>1994.2</v>
      </c>
      <c r="IU106" s="4" t="s">
        <v>544</v>
      </c>
      <c r="IV106" t="s">
        <v>696</v>
      </c>
      <c r="IW106" s="12" t="s">
        <v>681</v>
      </c>
      <c r="IZ106">
        <v>0.5</v>
      </c>
      <c r="JA106" t="s">
        <v>480</v>
      </c>
      <c r="JB106" t="s">
        <v>480</v>
      </c>
      <c r="JC106" t="s">
        <v>480</v>
      </c>
      <c r="JD106" t="s">
        <v>480</v>
      </c>
      <c r="JE106" t="s">
        <v>480</v>
      </c>
      <c r="JF106" t="s">
        <v>480</v>
      </c>
      <c r="JG106" t="s">
        <v>480</v>
      </c>
      <c r="JH106" t="s">
        <v>480</v>
      </c>
      <c r="JI106" t="s">
        <v>480</v>
      </c>
      <c r="JK106" s="12" t="s">
        <v>682</v>
      </c>
      <c r="JP106" s="4"/>
      <c r="JV106" s="4"/>
      <c r="JW106" s="4"/>
      <c r="JX106" s="4"/>
      <c r="JY106" s="4"/>
      <c r="JZ106" s="4"/>
      <c r="KA106" s="4"/>
      <c r="KF106" s="7" t="s">
        <v>500</v>
      </c>
      <c r="KJ106" s="7" t="s">
        <v>683</v>
      </c>
      <c r="KK106" s="7" t="s">
        <v>562</v>
      </c>
      <c r="KL106" t="s">
        <v>480</v>
      </c>
      <c r="KM106" t="s">
        <v>480</v>
      </c>
      <c r="MY106" t="s">
        <v>684</v>
      </c>
      <c r="MZ106">
        <v>42</v>
      </c>
      <c r="NB106" s="4" t="s">
        <v>548</v>
      </c>
      <c r="NJ106" t="s">
        <v>718</v>
      </c>
      <c r="NL106" s="4" t="s">
        <v>660</v>
      </c>
      <c r="NM106" s="6" t="s">
        <v>719</v>
      </c>
      <c r="NV106" t="s">
        <v>518</v>
      </c>
      <c r="NW106" s="5" t="s">
        <v>749</v>
      </c>
      <c r="NX106" s="4" t="s">
        <v>520</v>
      </c>
      <c r="NY106" s="3">
        <v>0.11428571428571399</v>
      </c>
      <c r="OB106">
        <v>4</v>
      </c>
      <c r="OU106" t="s">
        <v>748</v>
      </c>
      <c r="OW106">
        <v>1997</v>
      </c>
      <c r="OZ106" s="2" t="s">
        <v>709</v>
      </c>
      <c r="PB106" t="s">
        <v>522</v>
      </c>
      <c r="PC106" s="50">
        <v>46094</v>
      </c>
    </row>
    <row r="107" spans="1:419" ht="15.75" thickBot="1">
      <c r="A107" s="11" t="s">
        <v>665</v>
      </c>
      <c r="B107" t="s">
        <v>666</v>
      </c>
      <c r="C107" t="s">
        <v>667</v>
      </c>
      <c r="D107" s="4" t="s">
        <v>668</v>
      </c>
      <c r="E107" t="s">
        <v>669</v>
      </c>
      <c r="F107" s="88" t="s">
        <v>670</v>
      </c>
      <c r="G107" t="s">
        <v>475</v>
      </c>
      <c r="H107" t="s">
        <v>476</v>
      </c>
      <c r="I107" s="10">
        <v>0.1</v>
      </c>
      <c r="J107" s="10">
        <v>34.566667000000002</v>
      </c>
      <c r="K107">
        <v>150</v>
      </c>
      <c r="AV107" t="s">
        <v>671</v>
      </c>
      <c r="AW107">
        <v>100</v>
      </c>
      <c r="AX107" t="s">
        <v>480</v>
      </c>
      <c r="AY107">
        <v>4</v>
      </c>
      <c r="AZ107" t="s">
        <v>672</v>
      </c>
      <c r="BA107">
        <v>1994</v>
      </c>
      <c r="BB107">
        <v>1998</v>
      </c>
      <c r="BC107" t="s">
        <v>673</v>
      </c>
      <c r="BD107" s="10" t="s">
        <v>697</v>
      </c>
      <c r="BE107" t="s">
        <v>572</v>
      </c>
      <c r="BF107" s="3" t="s">
        <v>484</v>
      </c>
      <c r="BG107" t="s">
        <v>485</v>
      </c>
      <c r="BH107" t="s">
        <v>675</v>
      </c>
      <c r="BI107" s="4" t="s">
        <v>486</v>
      </c>
      <c r="BJ107" s="9">
        <v>53000</v>
      </c>
      <c r="EE107" s="4"/>
      <c r="EF107" s="9"/>
      <c r="EG107" s="9"/>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Q107" t="s">
        <v>677</v>
      </c>
      <c r="HS107" s="4" t="s">
        <v>490</v>
      </c>
      <c r="HT107" s="50">
        <v>34335</v>
      </c>
      <c r="HU107" s="50">
        <v>36160</v>
      </c>
      <c r="HV107" s="50"/>
      <c r="HW107" s="50"/>
      <c r="IO107" t="s">
        <v>698</v>
      </c>
      <c r="IP107" s="46" t="s">
        <v>699</v>
      </c>
      <c r="IS107">
        <v>1995</v>
      </c>
      <c r="IT107">
        <v>1995.2</v>
      </c>
      <c r="IU107" s="4" t="s">
        <v>544</v>
      </c>
      <c r="IV107" t="s">
        <v>700</v>
      </c>
      <c r="IW107" t="s">
        <v>492</v>
      </c>
      <c r="JA107">
        <v>0</v>
      </c>
      <c r="JB107">
        <v>0</v>
      </c>
      <c r="JC107">
        <v>0</v>
      </c>
      <c r="JD107">
        <v>0</v>
      </c>
      <c r="JE107">
        <v>0</v>
      </c>
      <c r="JF107">
        <v>0</v>
      </c>
      <c r="JG107">
        <v>0</v>
      </c>
      <c r="JH107">
        <v>0</v>
      </c>
      <c r="JI107">
        <v>0</v>
      </c>
      <c r="JK107" s="12" t="s">
        <v>682</v>
      </c>
      <c r="JP107" s="4"/>
      <c r="JV107" s="4"/>
      <c r="JW107" s="4"/>
      <c r="JX107" s="4"/>
      <c r="JY107" s="4"/>
      <c r="JZ107" s="4"/>
      <c r="KA107" s="4"/>
      <c r="KF107" s="7" t="s">
        <v>500</v>
      </c>
      <c r="KJ107" s="7" t="s">
        <v>649</v>
      </c>
      <c r="KK107" s="7"/>
      <c r="MY107" t="s">
        <v>684</v>
      </c>
      <c r="MZ107">
        <v>42</v>
      </c>
      <c r="NB107" s="4" t="s">
        <v>548</v>
      </c>
      <c r="NJ107" t="s">
        <v>718</v>
      </c>
      <c r="NL107" s="4" t="s">
        <v>660</v>
      </c>
      <c r="NM107" s="6" t="s">
        <v>719</v>
      </c>
      <c r="NV107" t="s">
        <v>518</v>
      </c>
      <c r="NW107" s="5" t="s">
        <v>750</v>
      </c>
      <c r="NX107" s="4" t="s">
        <v>520</v>
      </c>
      <c r="NY107" s="3">
        <v>0.17142857142857093</v>
      </c>
      <c r="OB107">
        <v>4</v>
      </c>
      <c r="OU107" t="s">
        <v>748</v>
      </c>
      <c r="OW107">
        <v>1997</v>
      </c>
      <c r="OZ107" s="2" t="s">
        <v>709</v>
      </c>
      <c r="PB107" t="s">
        <v>522</v>
      </c>
      <c r="PC107" s="50">
        <v>46094</v>
      </c>
    </row>
    <row r="108" spans="1:419" ht="15.75" thickBot="1">
      <c r="A108" s="11" t="s">
        <v>665</v>
      </c>
      <c r="B108" t="s">
        <v>666</v>
      </c>
      <c r="C108" t="s">
        <v>667</v>
      </c>
      <c r="D108" s="4" t="s">
        <v>668</v>
      </c>
      <c r="E108" t="s">
        <v>669</v>
      </c>
      <c r="F108" s="88" t="s">
        <v>670</v>
      </c>
      <c r="G108" t="s">
        <v>475</v>
      </c>
      <c r="H108" t="s">
        <v>476</v>
      </c>
      <c r="I108" s="10">
        <v>0.1</v>
      </c>
      <c r="J108" s="10">
        <v>34.566667000000002</v>
      </c>
      <c r="K108">
        <v>150</v>
      </c>
      <c r="AV108" t="s">
        <v>671</v>
      </c>
      <c r="AW108">
        <v>100</v>
      </c>
      <c r="AX108" t="s">
        <v>480</v>
      </c>
      <c r="AY108">
        <v>4</v>
      </c>
      <c r="AZ108" t="s">
        <v>672</v>
      </c>
      <c r="BA108">
        <v>1994</v>
      </c>
      <c r="BB108">
        <v>1998</v>
      </c>
      <c r="BC108" t="s">
        <v>673</v>
      </c>
      <c r="BD108" s="10" t="s">
        <v>701</v>
      </c>
      <c r="BE108" t="s">
        <v>553</v>
      </c>
      <c r="BF108" s="3" t="s">
        <v>484</v>
      </c>
      <c r="BG108" t="s">
        <v>485</v>
      </c>
      <c r="BH108" t="s">
        <v>675</v>
      </c>
      <c r="BI108" s="4" t="s">
        <v>486</v>
      </c>
      <c r="BJ108" s="9">
        <v>53000</v>
      </c>
      <c r="EE108" s="4"/>
      <c r="EF108" s="9"/>
      <c r="EG108" s="9"/>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Q108" t="s">
        <v>677</v>
      </c>
      <c r="HS108" s="4" t="s">
        <v>490</v>
      </c>
      <c r="HT108" s="50">
        <v>34335</v>
      </c>
      <c r="HU108" s="50">
        <v>36160</v>
      </c>
      <c r="HV108" s="50"/>
      <c r="HW108" s="50"/>
      <c r="IO108" t="s">
        <v>702</v>
      </c>
      <c r="IP108" s="13" t="s">
        <v>703</v>
      </c>
      <c r="IS108">
        <v>1994</v>
      </c>
      <c r="IT108">
        <v>1994.2</v>
      </c>
      <c r="IU108" s="4" t="s">
        <v>544</v>
      </c>
      <c r="IV108" t="s">
        <v>700</v>
      </c>
      <c r="IW108" t="s">
        <v>492</v>
      </c>
      <c r="JA108">
        <v>0</v>
      </c>
      <c r="JB108">
        <v>0</v>
      </c>
      <c r="JC108">
        <v>0</v>
      </c>
      <c r="JD108">
        <v>0</v>
      </c>
      <c r="JE108">
        <v>0</v>
      </c>
      <c r="JF108">
        <v>0</v>
      </c>
      <c r="JG108">
        <v>0</v>
      </c>
      <c r="JH108">
        <v>0</v>
      </c>
      <c r="JI108">
        <v>0</v>
      </c>
      <c r="JK108" s="12" t="s">
        <v>682</v>
      </c>
      <c r="JP108" s="4"/>
      <c r="JV108" s="4"/>
      <c r="JW108" s="4"/>
      <c r="JX108" s="4"/>
      <c r="JY108" s="4"/>
      <c r="JZ108" s="4"/>
      <c r="KA108" s="4"/>
      <c r="KF108" s="7" t="s">
        <v>500</v>
      </c>
      <c r="KJ108" s="7" t="s">
        <v>649</v>
      </c>
      <c r="KK108" s="7"/>
      <c r="MY108" t="s">
        <v>684</v>
      </c>
      <c r="MZ108">
        <v>42</v>
      </c>
      <c r="NB108" s="4" t="s">
        <v>548</v>
      </c>
      <c r="NJ108" t="s">
        <v>718</v>
      </c>
      <c r="NL108" s="4" t="s">
        <v>660</v>
      </c>
      <c r="NM108" s="6" t="s">
        <v>719</v>
      </c>
      <c r="NV108" t="s">
        <v>518</v>
      </c>
      <c r="NW108" s="5" t="s">
        <v>751</v>
      </c>
      <c r="NX108" s="4" t="s">
        <v>520</v>
      </c>
      <c r="NY108" s="3">
        <v>0.15238095238094995</v>
      </c>
      <c r="OB108">
        <v>4</v>
      </c>
      <c r="OU108" t="s">
        <v>748</v>
      </c>
      <c r="OW108">
        <v>1997</v>
      </c>
      <c r="OZ108" s="2" t="s">
        <v>709</v>
      </c>
      <c r="PB108" t="s">
        <v>522</v>
      </c>
      <c r="PC108" s="50">
        <v>46094</v>
      </c>
    </row>
    <row r="109" spans="1:419" ht="15.75" thickBot="1">
      <c r="A109" s="11" t="s">
        <v>665</v>
      </c>
      <c r="B109" t="s">
        <v>666</v>
      </c>
      <c r="C109" t="s">
        <v>667</v>
      </c>
      <c r="D109" s="4" t="s">
        <v>668</v>
      </c>
      <c r="E109" t="s">
        <v>669</v>
      </c>
      <c r="F109" s="88" t="s">
        <v>670</v>
      </c>
      <c r="G109" t="s">
        <v>475</v>
      </c>
      <c r="H109" t="s">
        <v>476</v>
      </c>
      <c r="I109" s="10">
        <v>0.1</v>
      </c>
      <c r="J109" s="10">
        <v>34.566667000000002</v>
      </c>
      <c r="K109">
        <v>150</v>
      </c>
      <c r="AV109" t="s">
        <v>671</v>
      </c>
      <c r="AW109">
        <v>100</v>
      </c>
      <c r="AX109" t="s">
        <v>480</v>
      </c>
      <c r="AY109">
        <v>4</v>
      </c>
      <c r="AZ109" t="s">
        <v>672</v>
      </c>
      <c r="BA109">
        <v>1994</v>
      </c>
      <c r="BB109">
        <v>1998</v>
      </c>
      <c r="BC109" t="s">
        <v>673</v>
      </c>
      <c r="BD109" s="10" t="s">
        <v>704</v>
      </c>
      <c r="BE109" t="s">
        <v>524</v>
      </c>
      <c r="BF109" s="3" t="s">
        <v>484</v>
      </c>
      <c r="BG109" t="s">
        <v>485</v>
      </c>
      <c r="BH109" t="s">
        <v>675</v>
      </c>
      <c r="BI109" s="4" t="s">
        <v>486</v>
      </c>
      <c r="BJ109" s="9">
        <v>53000</v>
      </c>
      <c r="HQ109" t="s">
        <v>677</v>
      </c>
      <c r="HS109" s="4" t="s">
        <v>490</v>
      </c>
      <c r="HT109" s="50">
        <v>34335</v>
      </c>
      <c r="HU109" s="50">
        <v>36160</v>
      </c>
      <c r="HV109" s="50"/>
      <c r="HW109" s="50"/>
      <c r="IO109" t="s">
        <v>700</v>
      </c>
      <c r="IP109" s="46" t="s">
        <v>492</v>
      </c>
      <c r="IU109" s="4" t="s">
        <v>544</v>
      </c>
      <c r="IV109" t="s">
        <v>700</v>
      </c>
      <c r="IW109" s="46" t="s">
        <v>492</v>
      </c>
      <c r="JA109">
        <v>0</v>
      </c>
      <c r="JB109">
        <v>0</v>
      </c>
      <c r="JC109">
        <v>0</v>
      </c>
      <c r="JD109">
        <v>0</v>
      </c>
      <c r="JE109">
        <v>0</v>
      </c>
      <c r="JF109">
        <v>0</v>
      </c>
      <c r="JG109">
        <v>0</v>
      </c>
      <c r="JH109">
        <v>0</v>
      </c>
      <c r="JI109">
        <v>0</v>
      </c>
      <c r="JK109" s="12" t="s">
        <v>682</v>
      </c>
      <c r="JP109" s="4"/>
      <c r="JV109" s="4"/>
      <c r="JW109" s="4"/>
      <c r="JX109" s="4"/>
      <c r="JY109" s="4"/>
      <c r="JZ109" s="4"/>
      <c r="KA109" s="4"/>
      <c r="KF109" s="7" t="s">
        <v>500</v>
      </c>
      <c r="KJ109" s="7" t="s">
        <v>649</v>
      </c>
      <c r="KK109" s="7"/>
      <c r="MY109" t="s">
        <v>684</v>
      </c>
      <c r="MZ109">
        <v>42</v>
      </c>
      <c r="NB109" s="4" t="s">
        <v>548</v>
      </c>
      <c r="NJ109" t="s">
        <v>718</v>
      </c>
      <c r="NL109" s="4" t="s">
        <v>660</v>
      </c>
      <c r="NM109" s="6" t="s">
        <v>719</v>
      </c>
      <c r="NU109" t="s">
        <v>517</v>
      </c>
      <c r="NV109" t="s">
        <v>518</v>
      </c>
      <c r="NW109" s="5" t="s">
        <v>752</v>
      </c>
      <c r="NX109" s="4" t="s">
        <v>520</v>
      </c>
      <c r="NY109" s="3">
        <v>0.20952380952380201</v>
      </c>
      <c r="OB109">
        <v>4</v>
      </c>
      <c r="OU109" t="s">
        <v>748</v>
      </c>
      <c r="OW109">
        <v>1997</v>
      </c>
      <c r="OZ109" s="2" t="s">
        <v>709</v>
      </c>
      <c r="PB109" t="s">
        <v>522</v>
      </c>
      <c r="PC109" s="50">
        <v>46094</v>
      </c>
    </row>
    <row r="110" spans="1:419" ht="15.75" thickBot="1">
      <c r="A110" s="11" t="s">
        <v>665</v>
      </c>
      <c r="B110" t="s">
        <v>666</v>
      </c>
      <c r="C110" t="s">
        <v>667</v>
      </c>
      <c r="D110" s="4" t="s">
        <v>668</v>
      </c>
      <c r="E110" t="s">
        <v>669</v>
      </c>
      <c r="F110" s="88" t="s">
        <v>670</v>
      </c>
      <c r="G110" t="s">
        <v>475</v>
      </c>
      <c r="H110" t="s">
        <v>476</v>
      </c>
      <c r="I110" s="10">
        <v>0.1</v>
      </c>
      <c r="J110" s="10">
        <v>34.566667000000002</v>
      </c>
      <c r="K110">
        <v>150</v>
      </c>
      <c r="AV110" t="s">
        <v>671</v>
      </c>
      <c r="AW110">
        <v>100</v>
      </c>
      <c r="AX110" t="s">
        <v>480</v>
      </c>
      <c r="AY110">
        <v>4</v>
      </c>
      <c r="AZ110" t="s">
        <v>672</v>
      </c>
      <c r="BA110">
        <v>1994</v>
      </c>
      <c r="BB110">
        <v>1998</v>
      </c>
      <c r="BC110" t="s">
        <v>673</v>
      </c>
      <c r="BD110" s="10" t="s">
        <v>705</v>
      </c>
      <c r="BE110" t="s">
        <v>483</v>
      </c>
      <c r="BF110" s="3" t="s">
        <v>484</v>
      </c>
      <c r="BG110" t="s">
        <v>485</v>
      </c>
      <c r="BH110" t="s">
        <v>675</v>
      </c>
      <c r="BI110" s="4" t="s">
        <v>486</v>
      </c>
      <c r="BJ110" s="9">
        <v>53000</v>
      </c>
      <c r="HQ110" t="s">
        <v>677</v>
      </c>
      <c r="HS110" s="4" t="s">
        <v>490</v>
      </c>
      <c r="HT110" s="50">
        <v>34335</v>
      </c>
      <c r="HU110" s="50">
        <v>36160</v>
      </c>
      <c r="HV110" s="50"/>
      <c r="HW110" s="50"/>
      <c r="IO110" t="s">
        <v>706</v>
      </c>
      <c r="IP110" s="46" t="s">
        <v>492</v>
      </c>
      <c r="IU110" s="4" t="s">
        <v>544</v>
      </c>
      <c r="IV110" t="s">
        <v>707</v>
      </c>
      <c r="IW110" s="46" t="s">
        <v>492</v>
      </c>
      <c r="JA110">
        <v>0</v>
      </c>
      <c r="JB110">
        <v>0</v>
      </c>
      <c r="JC110">
        <v>0</v>
      </c>
      <c r="JD110">
        <v>0</v>
      </c>
      <c r="JE110">
        <v>0</v>
      </c>
      <c r="JF110">
        <v>0</v>
      </c>
      <c r="JG110">
        <v>0</v>
      </c>
      <c r="JH110">
        <v>0</v>
      </c>
      <c r="JI110">
        <v>0</v>
      </c>
      <c r="JJ110" t="s">
        <v>706</v>
      </c>
      <c r="JK110" t="s">
        <v>494</v>
      </c>
      <c r="JL110" s="8" t="s">
        <v>495</v>
      </c>
      <c r="JP110" s="4" t="s">
        <v>508</v>
      </c>
      <c r="JQ110">
        <v>60</v>
      </c>
      <c r="JT110">
        <v>60</v>
      </c>
      <c r="JV110" s="4"/>
      <c r="JW110" s="4"/>
      <c r="JX110" s="4"/>
      <c r="JY110" s="4"/>
      <c r="JZ110" s="4"/>
      <c r="KA110" s="4"/>
      <c r="KF110" s="7" t="s">
        <v>500</v>
      </c>
      <c r="KJ110" s="7" t="s">
        <v>649</v>
      </c>
      <c r="KK110" s="7"/>
      <c r="MY110" t="s">
        <v>684</v>
      </c>
      <c r="MZ110">
        <v>42</v>
      </c>
      <c r="NB110" s="4" t="s">
        <v>548</v>
      </c>
      <c r="NJ110" t="s">
        <v>718</v>
      </c>
      <c r="NL110" s="4" t="s">
        <v>660</v>
      </c>
      <c r="NM110" s="6" t="s">
        <v>719</v>
      </c>
      <c r="NU110" t="s">
        <v>708</v>
      </c>
      <c r="NV110" t="s">
        <v>518</v>
      </c>
      <c r="NW110" s="5" t="s">
        <v>753</v>
      </c>
      <c r="NX110" s="4" t="s">
        <v>520</v>
      </c>
      <c r="NY110" s="3">
        <v>0.15238095238095006</v>
      </c>
      <c r="OB110">
        <v>4</v>
      </c>
      <c r="OU110" t="s">
        <v>748</v>
      </c>
      <c r="OW110">
        <v>1997</v>
      </c>
      <c r="OZ110" s="2" t="s">
        <v>709</v>
      </c>
      <c r="PB110" t="s">
        <v>522</v>
      </c>
      <c r="PC110" s="50">
        <v>46094</v>
      </c>
    </row>
    <row r="111" spans="1:419" ht="15.75" thickBot="1">
      <c r="A111" s="11" t="s">
        <v>665</v>
      </c>
      <c r="B111" t="s">
        <v>666</v>
      </c>
      <c r="C111" t="s">
        <v>667</v>
      </c>
      <c r="D111" s="4" t="s">
        <v>668</v>
      </c>
      <c r="E111" t="s">
        <v>669</v>
      </c>
      <c r="F111" s="88" t="s">
        <v>670</v>
      </c>
      <c r="G111" t="s">
        <v>475</v>
      </c>
      <c r="H111" t="s">
        <v>476</v>
      </c>
      <c r="I111" s="10">
        <v>0.1</v>
      </c>
      <c r="J111" s="10">
        <v>34.566667000000002</v>
      </c>
      <c r="K111">
        <v>150</v>
      </c>
      <c r="AV111" t="s">
        <v>671</v>
      </c>
      <c r="AW111">
        <v>100</v>
      </c>
      <c r="AX111" t="s">
        <v>480</v>
      </c>
      <c r="AY111">
        <v>4</v>
      </c>
      <c r="AZ111" t="s">
        <v>672</v>
      </c>
      <c r="BA111">
        <v>1994</v>
      </c>
      <c r="BB111">
        <v>1998</v>
      </c>
      <c r="BC111" t="s">
        <v>673</v>
      </c>
      <c r="BD111" s="10" t="s">
        <v>674</v>
      </c>
      <c r="BE111" t="s">
        <v>536</v>
      </c>
      <c r="BF111" s="3" t="s">
        <v>484</v>
      </c>
      <c r="BG111" t="s">
        <v>485</v>
      </c>
      <c r="BH111" t="s">
        <v>675</v>
      </c>
      <c r="BI111" s="4" t="s">
        <v>486</v>
      </c>
      <c r="BJ111" s="9">
        <v>53000</v>
      </c>
      <c r="ED111" t="s">
        <v>676</v>
      </c>
      <c r="EE111" s="4" t="s">
        <v>486</v>
      </c>
      <c r="EF111" s="9">
        <v>53000</v>
      </c>
      <c r="EG111" s="9"/>
      <c r="EH111" s="9"/>
      <c r="EI111" s="9"/>
      <c r="EJ111" s="9"/>
      <c r="EK111" s="9"/>
      <c r="EL111" s="9"/>
      <c r="EM111" s="9"/>
      <c r="EN111" s="9"/>
      <c r="EO111" s="9"/>
      <c r="EP111" s="9"/>
      <c r="EQ111" s="9"/>
      <c r="ER111" s="9"/>
      <c r="ES111" s="9"/>
      <c r="ET111" s="9"/>
      <c r="EU111" s="9"/>
      <c r="EV111" s="9"/>
      <c r="EW111" s="9"/>
      <c r="EX111" s="9"/>
      <c r="EY111" s="9"/>
      <c r="EZ111" s="9"/>
      <c r="FA111" s="9"/>
      <c r="FB111" s="9"/>
      <c r="FC111" s="9"/>
      <c r="FD111" s="9"/>
      <c r="FE111" s="9"/>
      <c r="FF111" s="9"/>
      <c r="FG111" s="9"/>
      <c r="FH111" s="9"/>
      <c r="FI111" s="9"/>
      <c r="FJ111" s="9"/>
      <c r="FK111" s="9"/>
      <c r="FL111" s="9"/>
      <c r="FM111" s="9"/>
      <c r="FN111" s="9"/>
      <c r="FO111" s="9"/>
      <c r="FP111" s="9"/>
      <c r="FQ111" s="9"/>
      <c r="FR111" s="9"/>
      <c r="FS111" s="9"/>
      <c r="FT111" s="9"/>
      <c r="FU111" s="9"/>
      <c r="FV111" s="9"/>
      <c r="FW111" s="9"/>
      <c r="FX111" s="9"/>
      <c r="FY111" s="9"/>
      <c r="FZ111" s="9"/>
      <c r="GA111" s="9"/>
      <c r="GB111" s="9"/>
      <c r="GC111" s="9"/>
      <c r="GD111" s="9"/>
      <c r="GE111" s="9"/>
      <c r="GF111" s="9"/>
      <c r="GG111" s="9"/>
      <c r="GH111" s="9"/>
      <c r="GI111" s="9"/>
      <c r="GJ111" s="9"/>
      <c r="GK111" s="9"/>
      <c r="GL111" s="9"/>
      <c r="GM111" s="9"/>
      <c r="GN111" s="9"/>
      <c r="GO111" s="9"/>
      <c r="GP111" s="9"/>
      <c r="GQ111" s="9"/>
      <c r="GR111" s="9"/>
      <c r="GS111" s="9"/>
      <c r="GT111" s="9"/>
      <c r="GU111" s="9"/>
      <c r="GV111" s="9"/>
      <c r="GW111" s="9"/>
      <c r="GX111" s="9"/>
      <c r="GY111" s="9"/>
      <c r="GZ111" s="9"/>
      <c r="HA111" s="9"/>
      <c r="HB111" s="9"/>
      <c r="HC111" s="9"/>
      <c r="HD111" s="9"/>
      <c r="HE111" s="9"/>
      <c r="HF111" s="9"/>
      <c r="HG111" s="9"/>
      <c r="HH111" s="9"/>
      <c r="HI111" s="9"/>
      <c r="HJ111" s="9"/>
      <c r="HQ111" t="s">
        <v>677</v>
      </c>
      <c r="HS111" s="4" t="s">
        <v>490</v>
      </c>
      <c r="HT111" s="50">
        <v>34335</v>
      </c>
      <c r="HU111" s="50">
        <v>36160</v>
      </c>
      <c r="HV111" s="50"/>
      <c r="HW111" s="50"/>
      <c r="IN111" s="4"/>
      <c r="IO111" t="s">
        <v>678</v>
      </c>
      <c r="IP111" s="12" t="s">
        <v>679</v>
      </c>
      <c r="IS111">
        <v>1995</v>
      </c>
      <c r="IT111">
        <v>1995.2</v>
      </c>
      <c r="IU111" s="4" t="s">
        <v>544</v>
      </c>
      <c r="IV111" t="s">
        <v>680</v>
      </c>
      <c r="IW111" s="12" t="s">
        <v>681</v>
      </c>
      <c r="IZ111">
        <v>0.5</v>
      </c>
      <c r="JA111" t="s">
        <v>480</v>
      </c>
      <c r="JB111" t="s">
        <v>480</v>
      </c>
      <c r="JC111" t="s">
        <v>480</v>
      </c>
      <c r="JD111" t="s">
        <v>480</v>
      </c>
      <c r="JE111" t="s">
        <v>480</v>
      </c>
      <c r="JF111" t="s">
        <v>480</v>
      </c>
      <c r="JG111" t="s">
        <v>480</v>
      </c>
      <c r="JH111" t="s">
        <v>480</v>
      </c>
      <c r="JI111" t="s">
        <v>480</v>
      </c>
      <c r="JK111" s="12" t="s">
        <v>682</v>
      </c>
      <c r="JP111" s="4"/>
      <c r="JV111" s="4"/>
      <c r="JW111" s="4"/>
      <c r="JX111" s="4"/>
      <c r="JY111" s="4"/>
      <c r="JZ111" s="4"/>
      <c r="KA111" s="4"/>
      <c r="KF111" s="7" t="s">
        <v>500</v>
      </c>
      <c r="KJ111" s="7" t="s">
        <v>683</v>
      </c>
      <c r="KK111" s="7" t="s">
        <v>562</v>
      </c>
      <c r="KL111" t="s">
        <v>480</v>
      </c>
      <c r="KM111" t="s">
        <v>480</v>
      </c>
      <c r="MY111" t="s">
        <v>684</v>
      </c>
      <c r="MZ111">
        <v>42</v>
      </c>
      <c r="NB111" s="4" t="s">
        <v>754</v>
      </c>
      <c r="NJ111" t="s">
        <v>755</v>
      </c>
      <c r="NL111" s="4" t="s">
        <v>654</v>
      </c>
      <c r="NM111" s="6" t="s">
        <v>719</v>
      </c>
      <c r="NV111" t="s">
        <v>518</v>
      </c>
      <c r="NW111" s="5" t="s">
        <v>756</v>
      </c>
      <c r="NX111" s="4" t="s">
        <v>520</v>
      </c>
      <c r="NY111" s="3">
        <v>0.1080981327487569</v>
      </c>
      <c r="OB111">
        <v>4</v>
      </c>
      <c r="OU111" t="s">
        <v>757</v>
      </c>
      <c r="OW111">
        <v>1996</v>
      </c>
      <c r="OZ111" s="2" t="s">
        <v>692</v>
      </c>
      <c r="PB111" t="s">
        <v>522</v>
      </c>
      <c r="PC111" s="50">
        <v>46094</v>
      </c>
    </row>
    <row r="112" spans="1:419" ht="15.75" thickBot="1">
      <c r="A112" s="11" t="s">
        <v>665</v>
      </c>
      <c r="B112" t="s">
        <v>666</v>
      </c>
      <c r="C112" t="s">
        <v>667</v>
      </c>
      <c r="D112" s="4" t="s">
        <v>668</v>
      </c>
      <c r="E112" t="s">
        <v>669</v>
      </c>
      <c r="F112" s="88" t="s">
        <v>670</v>
      </c>
      <c r="G112" t="s">
        <v>475</v>
      </c>
      <c r="H112" t="s">
        <v>476</v>
      </c>
      <c r="I112" s="10">
        <v>0.1</v>
      </c>
      <c r="J112" s="10">
        <v>34.566667000000002</v>
      </c>
      <c r="K112">
        <v>150</v>
      </c>
      <c r="AV112" t="s">
        <v>671</v>
      </c>
      <c r="AW112">
        <v>100</v>
      </c>
      <c r="AX112" t="s">
        <v>480</v>
      </c>
      <c r="AY112">
        <v>4</v>
      </c>
      <c r="AZ112" t="s">
        <v>672</v>
      </c>
      <c r="BA112">
        <v>1994</v>
      </c>
      <c r="BB112">
        <v>1998</v>
      </c>
      <c r="BC112" t="s">
        <v>673</v>
      </c>
      <c r="BD112" s="10" t="s">
        <v>693</v>
      </c>
      <c r="BE112" t="s">
        <v>566</v>
      </c>
      <c r="BF112" s="3" t="s">
        <v>484</v>
      </c>
      <c r="BG112" t="s">
        <v>485</v>
      </c>
      <c r="BH112" t="s">
        <v>675</v>
      </c>
      <c r="BI112" s="4" t="s">
        <v>486</v>
      </c>
      <c r="BJ112" s="9">
        <v>53000</v>
      </c>
      <c r="ED112" t="s">
        <v>676</v>
      </c>
      <c r="EE112" s="4" t="s">
        <v>486</v>
      </c>
      <c r="EF112" s="9">
        <v>53000</v>
      </c>
      <c r="EG112" s="9"/>
      <c r="EH112" s="9"/>
      <c r="EI112" s="9"/>
      <c r="EJ112" s="9"/>
      <c r="EK112" s="9"/>
      <c r="EL112" s="9"/>
      <c r="EM112" s="9"/>
      <c r="EN112" s="9"/>
      <c r="EO112" s="9"/>
      <c r="EP112" s="9"/>
      <c r="EQ112" s="9"/>
      <c r="ER112" s="9"/>
      <c r="ES112" s="9"/>
      <c r="ET112" s="9"/>
      <c r="EU112" s="9"/>
      <c r="EV112" s="9"/>
      <c r="EW112" s="9"/>
      <c r="EX112" s="9"/>
      <c r="EY112" s="9"/>
      <c r="EZ112" s="9"/>
      <c r="FA112" s="9"/>
      <c r="FB112" s="9"/>
      <c r="FC112" s="9"/>
      <c r="FD112" s="9"/>
      <c r="FE112" s="9"/>
      <c r="FF112" s="9"/>
      <c r="FG112" s="9"/>
      <c r="FH112" s="9"/>
      <c r="FI112" s="9"/>
      <c r="FJ112" s="9"/>
      <c r="FK112" s="9"/>
      <c r="FL112" s="9"/>
      <c r="FM112" s="9"/>
      <c r="FN112" s="9"/>
      <c r="FO112" s="9"/>
      <c r="FP112" s="9"/>
      <c r="FQ112" s="9"/>
      <c r="FR112" s="9"/>
      <c r="FS112" s="9"/>
      <c r="FT112" s="9"/>
      <c r="FU112" s="9"/>
      <c r="FV112" s="9"/>
      <c r="FW112" s="9"/>
      <c r="FX112" s="9"/>
      <c r="FY112" s="9"/>
      <c r="FZ112" s="9"/>
      <c r="GA112" s="9"/>
      <c r="GB112" s="9"/>
      <c r="GC112" s="9"/>
      <c r="GD112" s="9"/>
      <c r="GE112" s="9"/>
      <c r="GF112" s="9"/>
      <c r="GG112" s="9"/>
      <c r="GH112" s="9"/>
      <c r="GI112" s="9"/>
      <c r="GJ112" s="9"/>
      <c r="GK112" s="9"/>
      <c r="GL112" s="9"/>
      <c r="GM112" s="9"/>
      <c r="GN112" s="9"/>
      <c r="GO112" s="9"/>
      <c r="GP112" s="9"/>
      <c r="GQ112" s="9"/>
      <c r="GR112" s="9"/>
      <c r="GS112" s="9"/>
      <c r="GT112" s="9"/>
      <c r="GU112" s="9"/>
      <c r="GV112" s="9"/>
      <c r="GW112" s="9"/>
      <c r="GX112" s="9"/>
      <c r="GY112" s="9"/>
      <c r="GZ112" s="9"/>
      <c r="HA112" s="9"/>
      <c r="HB112" s="9"/>
      <c r="HC112" s="9"/>
      <c r="HD112" s="9"/>
      <c r="HE112" s="9"/>
      <c r="HF112" s="9"/>
      <c r="HG112" s="9"/>
      <c r="HH112" s="9"/>
      <c r="HI112" s="9"/>
      <c r="HJ112" s="9"/>
      <c r="HQ112" t="s">
        <v>677</v>
      </c>
      <c r="HS112" s="4" t="s">
        <v>490</v>
      </c>
      <c r="HT112" s="50">
        <v>34335</v>
      </c>
      <c r="HU112" s="50">
        <v>36160</v>
      </c>
      <c r="HV112" s="50"/>
      <c r="HW112" s="50"/>
      <c r="IN112" s="4"/>
      <c r="IO112" t="s">
        <v>694</v>
      </c>
      <c r="IP112" s="12" t="s">
        <v>695</v>
      </c>
      <c r="IS112">
        <v>1994</v>
      </c>
      <c r="IT112">
        <v>1994.2</v>
      </c>
      <c r="IU112" s="4" t="s">
        <v>544</v>
      </c>
      <c r="IV112" t="s">
        <v>696</v>
      </c>
      <c r="IW112" s="12" t="s">
        <v>681</v>
      </c>
      <c r="IZ112">
        <v>0.5</v>
      </c>
      <c r="JA112" t="s">
        <v>480</v>
      </c>
      <c r="JB112" t="s">
        <v>480</v>
      </c>
      <c r="JC112" t="s">
        <v>480</v>
      </c>
      <c r="JD112" t="s">
        <v>480</v>
      </c>
      <c r="JE112" t="s">
        <v>480</v>
      </c>
      <c r="JF112" t="s">
        <v>480</v>
      </c>
      <c r="JG112" t="s">
        <v>480</v>
      </c>
      <c r="JH112" t="s">
        <v>480</v>
      </c>
      <c r="JI112" t="s">
        <v>480</v>
      </c>
      <c r="JK112" s="12" t="s">
        <v>682</v>
      </c>
      <c r="JP112" s="4"/>
      <c r="JV112" s="4"/>
      <c r="JW112" s="4"/>
      <c r="JX112" s="4"/>
      <c r="JY112" s="4"/>
      <c r="JZ112" s="4"/>
      <c r="KA112" s="4"/>
      <c r="KF112" s="7" t="s">
        <v>500</v>
      </c>
      <c r="KJ112" s="7" t="s">
        <v>683</v>
      </c>
      <c r="KK112" s="7" t="s">
        <v>562</v>
      </c>
      <c r="KL112" t="s">
        <v>480</v>
      </c>
      <c r="KM112" t="s">
        <v>480</v>
      </c>
      <c r="MY112" t="s">
        <v>684</v>
      </c>
      <c r="MZ112">
        <v>42</v>
      </c>
      <c r="NB112" s="4" t="s">
        <v>754</v>
      </c>
      <c r="NJ112" t="s">
        <v>755</v>
      </c>
      <c r="NL112" s="4" t="s">
        <v>654</v>
      </c>
      <c r="NM112" s="6" t="s">
        <v>719</v>
      </c>
      <c r="NV112" t="s">
        <v>518</v>
      </c>
      <c r="NW112" s="5" t="s">
        <v>758</v>
      </c>
      <c r="NX112" s="4" t="s">
        <v>520</v>
      </c>
      <c r="NY112" s="3">
        <v>3.6025254587040978E-2</v>
      </c>
      <c r="OB112">
        <v>4</v>
      </c>
      <c r="OU112" t="s">
        <v>757</v>
      </c>
      <c r="OW112">
        <v>1996</v>
      </c>
      <c r="OZ112" s="2" t="s">
        <v>692</v>
      </c>
      <c r="PB112" t="s">
        <v>522</v>
      </c>
      <c r="PC112" s="50">
        <v>46094</v>
      </c>
    </row>
    <row r="113" spans="1:419" ht="15.75" thickBot="1">
      <c r="A113" s="11" t="s">
        <v>665</v>
      </c>
      <c r="B113" t="s">
        <v>666</v>
      </c>
      <c r="C113" t="s">
        <v>667</v>
      </c>
      <c r="D113" s="4" t="s">
        <v>668</v>
      </c>
      <c r="E113" t="s">
        <v>669</v>
      </c>
      <c r="F113" s="88" t="s">
        <v>670</v>
      </c>
      <c r="G113" t="s">
        <v>475</v>
      </c>
      <c r="H113" t="s">
        <v>476</v>
      </c>
      <c r="I113" s="10">
        <v>0.1</v>
      </c>
      <c r="J113" s="10">
        <v>34.566667000000002</v>
      </c>
      <c r="K113">
        <v>150</v>
      </c>
      <c r="AV113" t="s">
        <v>671</v>
      </c>
      <c r="AW113">
        <v>100</v>
      </c>
      <c r="AX113" t="s">
        <v>480</v>
      </c>
      <c r="AY113">
        <v>4</v>
      </c>
      <c r="AZ113" t="s">
        <v>672</v>
      </c>
      <c r="BA113">
        <v>1994</v>
      </c>
      <c r="BB113">
        <v>1998</v>
      </c>
      <c r="BC113" t="s">
        <v>673</v>
      </c>
      <c r="BD113" s="10" t="s">
        <v>697</v>
      </c>
      <c r="BE113" t="s">
        <v>572</v>
      </c>
      <c r="BF113" s="3" t="s">
        <v>484</v>
      </c>
      <c r="BG113" t="s">
        <v>485</v>
      </c>
      <c r="BH113" t="s">
        <v>675</v>
      </c>
      <c r="BI113" s="4" t="s">
        <v>486</v>
      </c>
      <c r="BJ113" s="9">
        <v>53000</v>
      </c>
      <c r="EE113" s="4"/>
      <c r="EF113" s="9"/>
      <c r="EG113" s="9"/>
      <c r="EH113" s="9"/>
      <c r="EI113" s="9"/>
      <c r="EJ113" s="9"/>
      <c r="EK113" s="9"/>
      <c r="EL113" s="9"/>
      <c r="EM113" s="9"/>
      <c r="EN113" s="9"/>
      <c r="EO113" s="9"/>
      <c r="EP113" s="9"/>
      <c r="EQ113" s="9"/>
      <c r="ER113" s="9"/>
      <c r="ES113" s="9"/>
      <c r="ET113" s="9"/>
      <c r="EU113" s="9"/>
      <c r="EV113" s="9"/>
      <c r="EW113" s="9"/>
      <c r="EX113" s="9"/>
      <c r="EY113" s="9"/>
      <c r="EZ113" s="9"/>
      <c r="FA113" s="9"/>
      <c r="FB113" s="9"/>
      <c r="FC113" s="9"/>
      <c r="FD113" s="9"/>
      <c r="FE113" s="9"/>
      <c r="FF113" s="9"/>
      <c r="FG113" s="9"/>
      <c r="FH113" s="9"/>
      <c r="FI113" s="9"/>
      <c r="FJ113" s="9"/>
      <c r="FK113" s="9"/>
      <c r="FL113" s="9"/>
      <c r="FM113" s="9"/>
      <c r="FN113" s="9"/>
      <c r="FO113" s="9"/>
      <c r="FP113" s="9"/>
      <c r="FQ113" s="9"/>
      <c r="FR113" s="9"/>
      <c r="FS113" s="9"/>
      <c r="FT113" s="9"/>
      <c r="FU113" s="9"/>
      <c r="FV113" s="9"/>
      <c r="FW113" s="9"/>
      <c r="FX113" s="9"/>
      <c r="FY113" s="9"/>
      <c r="FZ113" s="9"/>
      <c r="GA113" s="9"/>
      <c r="GB113" s="9"/>
      <c r="GC113" s="9"/>
      <c r="GD113" s="9"/>
      <c r="GE113" s="9"/>
      <c r="GF113" s="9"/>
      <c r="GG113" s="9"/>
      <c r="GH113" s="9"/>
      <c r="GI113" s="9"/>
      <c r="GJ113" s="9"/>
      <c r="GK113" s="9"/>
      <c r="GL113" s="9"/>
      <c r="GM113" s="9"/>
      <c r="GN113" s="9"/>
      <c r="GO113" s="9"/>
      <c r="GP113" s="9"/>
      <c r="GQ113" s="9"/>
      <c r="GR113" s="9"/>
      <c r="GS113" s="9"/>
      <c r="GT113" s="9"/>
      <c r="GU113" s="9"/>
      <c r="GV113" s="9"/>
      <c r="GW113" s="9"/>
      <c r="GX113" s="9"/>
      <c r="GY113" s="9"/>
      <c r="GZ113" s="9"/>
      <c r="HA113" s="9"/>
      <c r="HB113" s="9"/>
      <c r="HC113" s="9"/>
      <c r="HD113" s="9"/>
      <c r="HE113" s="9"/>
      <c r="HF113" s="9"/>
      <c r="HG113" s="9"/>
      <c r="HH113" s="9"/>
      <c r="HI113" s="9"/>
      <c r="HJ113" s="9"/>
      <c r="HQ113" t="s">
        <v>677</v>
      </c>
      <c r="HS113" s="4" t="s">
        <v>490</v>
      </c>
      <c r="HT113" s="50">
        <v>34335</v>
      </c>
      <c r="HU113" s="50">
        <v>36160</v>
      </c>
      <c r="HV113" s="50"/>
      <c r="HW113" s="50"/>
      <c r="IO113" t="s">
        <v>698</v>
      </c>
      <c r="IP113" s="46" t="s">
        <v>699</v>
      </c>
      <c r="IS113">
        <v>1995</v>
      </c>
      <c r="IT113">
        <v>1995.2</v>
      </c>
      <c r="IU113" s="4" t="s">
        <v>544</v>
      </c>
      <c r="IV113" t="s">
        <v>700</v>
      </c>
      <c r="IW113" t="s">
        <v>492</v>
      </c>
      <c r="JA113">
        <v>0</v>
      </c>
      <c r="JB113">
        <v>0</v>
      </c>
      <c r="JC113">
        <v>0</v>
      </c>
      <c r="JD113">
        <v>0</v>
      </c>
      <c r="JE113">
        <v>0</v>
      </c>
      <c r="JF113">
        <v>0</v>
      </c>
      <c r="JG113">
        <v>0</v>
      </c>
      <c r="JH113">
        <v>0</v>
      </c>
      <c r="JI113">
        <v>0</v>
      </c>
      <c r="JK113" s="12" t="s">
        <v>682</v>
      </c>
      <c r="JP113" s="4"/>
      <c r="JV113" s="4"/>
      <c r="JW113" s="4"/>
      <c r="JX113" s="4"/>
      <c r="JY113" s="4"/>
      <c r="JZ113" s="4"/>
      <c r="KA113" s="4"/>
      <c r="KF113" s="7" t="s">
        <v>500</v>
      </c>
      <c r="KJ113" s="7" t="s">
        <v>649</v>
      </c>
      <c r="KK113" s="7"/>
      <c r="MY113" t="s">
        <v>684</v>
      </c>
      <c r="MZ113">
        <v>42</v>
      </c>
      <c r="NB113" s="4" t="s">
        <v>754</v>
      </c>
      <c r="NJ113" t="s">
        <v>755</v>
      </c>
      <c r="NL113" s="4" t="s">
        <v>654</v>
      </c>
      <c r="NM113" s="6" t="s">
        <v>719</v>
      </c>
      <c r="NV113" t="s">
        <v>518</v>
      </c>
      <c r="NW113" s="5" t="s">
        <v>759</v>
      </c>
      <c r="NX113" s="4" t="s">
        <v>520</v>
      </c>
      <c r="NY113" s="3">
        <v>3.9061844658564993E-2</v>
      </c>
      <c r="OB113">
        <v>4</v>
      </c>
      <c r="OU113" t="s">
        <v>757</v>
      </c>
      <c r="OW113">
        <v>1996</v>
      </c>
      <c r="OZ113" s="2" t="s">
        <v>692</v>
      </c>
      <c r="PB113" t="s">
        <v>522</v>
      </c>
      <c r="PC113" s="50">
        <v>46094</v>
      </c>
    </row>
    <row r="114" spans="1:419" ht="15.75" thickBot="1">
      <c r="A114" s="11" t="s">
        <v>665</v>
      </c>
      <c r="B114" t="s">
        <v>666</v>
      </c>
      <c r="C114" t="s">
        <v>667</v>
      </c>
      <c r="D114" s="4" t="s">
        <v>668</v>
      </c>
      <c r="E114" t="s">
        <v>669</v>
      </c>
      <c r="F114" s="88" t="s">
        <v>670</v>
      </c>
      <c r="G114" t="s">
        <v>475</v>
      </c>
      <c r="H114" t="s">
        <v>476</v>
      </c>
      <c r="I114" s="10">
        <v>0.1</v>
      </c>
      <c r="J114" s="10">
        <v>34.566667000000002</v>
      </c>
      <c r="K114">
        <v>150</v>
      </c>
      <c r="AV114" t="s">
        <v>671</v>
      </c>
      <c r="AW114">
        <v>100</v>
      </c>
      <c r="AX114" t="s">
        <v>480</v>
      </c>
      <c r="AY114">
        <v>4</v>
      </c>
      <c r="AZ114" t="s">
        <v>672</v>
      </c>
      <c r="BA114">
        <v>1994</v>
      </c>
      <c r="BB114">
        <v>1998</v>
      </c>
      <c r="BC114" t="s">
        <v>673</v>
      </c>
      <c r="BD114" s="10" t="s">
        <v>701</v>
      </c>
      <c r="BE114" t="s">
        <v>553</v>
      </c>
      <c r="BF114" s="3" t="s">
        <v>484</v>
      </c>
      <c r="BG114" t="s">
        <v>485</v>
      </c>
      <c r="BH114" t="s">
        <v>675</v>
      </c>
      <c r="BI114" s="4" t="s">
        <v>486</v>
      </c>
      <c r="BJ114" s="9">
        <v>53000</v>
      </c>
      <c r="EE114" s="4"/>
      <c r="EF114" s="9"/>
      <c r="EG114" s="9"/>
      <c r="EH114" s="9"/>
      <c r="EI114" s="9"/>
      <c r="EJ114" s="9"/>
      <c r="EK114" s="9"/>
      <c r="EL114" s="9"/>
      <c r="EM114" s="9"/>
      <c r="EN114" s="9"/>
      <c r="EO114" s="9"/>
      <c r="EP114" s="9"/>
      <c r="EQ114" s="9"/>
      <c r="ER114" s="9"/>
      <c r="ES114" s="9"/>
      <c r="ET114" s="9"/>
      <c r="EU114" s="9"/>
      <c r="EV114" s="9"/>
      <c r="EW114" s="9"/>
      <c r="EX114" s="9"/>
      <c r="EY114" s="9"/>
      <c r="EZ114" s="9"/>
      <c r="FA114" s="9"/>
      <c r="FB114" s="9"/>
      <c r="FC114" s="9"/>
      <c r="FD114" s="9"/>
      <c r="FE114" s="9"/>
      <c r="FF114" s="9"/>
      <c r="FG114" s="9"/>
      <c r="FH114" s="9"/>
      <c r="FI114" s="9"/>
      <c r="FJ114" s="9"/>
      <c r="FK114" s="9"/>
      <c r="FL114" s="9"/>
      <c r="FM114" s="9"/>
      <c r="FN114" s="9"/>
      <c r="FO114" s="9"/>
      <c r="FP114" s="9"/>
      <c r="FQ114" s="9"/>
      <c r="FR114" s="9"/>
      <c r="FS114" s="9"/>
      <c r="FT114" s="9"/>
      <c r="FU114" s="9"/>
      <c r="FV114" s="9"/>
      <c r="FW114" s="9"/>
      <c r="FX114" s="9"/>
      <c r="FY114" s="9"/>
      <c r="FZ114" s="9"/>
      <c r="GA114" s="9"/>
      <c r="GB114" s="9"/>
      <c r="GC114" s="9"/>
      <c r="GD114" s="9"/>
      <c r="GE114" s="9"/>
      <c r="GF114" s="9"/>
      <c r="GG114" s="9"/>
      <c r="GH114" s="9"/>
      <c r="GI114" s="9"/>
      <c r="GJ114" s="9"/>
      <c r="GK114" s="9"/>
      <c r="GL114" s="9"/>
      <c r="GM114" s="9"/>
      <c r="GN114" s="9"/>
      <c r="GO114" s="9"/>
      <c r="GP114" s="9"/>
      <c r="GQ114" s="9"/>
      <c r="GR114" s="9"/>
      <c r="GS114" s="9"/>
      <c r="GT114" s="9"/>
      <c r="GU114" s="9"/>
      <c r="GV114" s="9"/>
      <c r="GW114" s="9"/>
      <c r="GX114" s="9"/>
      <c r="GY114" s="9"/>
      <c r="GZ114" s="9"/>
      <c r="HA114" s="9"/>
      <c r="HB114" s="9"/>
      <c r="HC114" s="9"/>
      <c r="HD114" s="9"/>
      <c r="HE114" s="9"/>
      <c r="HF114" s="9"/>
      <c r="HG114" s="9"/>
      <c r="HH114" s="9"/>
      <c r="HI114" s="9"/>
      <c r="HJ114" s="9"/>
      <c r="HQ114" t="s">
        <v>677</v>
      </c>
      <c r="HS114" s="4" t="s">
        <v>490</v>
      </c>
      <c r="HT114" s="50">
        <v>34335</v>
      </c>
      <c r="HU114" s="50">
        <v>36160</v>
      </c>
      <c r="HV114" s="50"/>
      <c r="HW114" s="50"/>
      <c r="IO114" t="s">
        <v>702</v>
      </c>
      <c r="IP114" s="13" t="s">
        <v>703</v>
      </c>
      <c r="IS114">
        <v>1994</v>
      </c>
      <c r="IT114">
        <v>1994.2</v>
      </c>
      <c r="IU114" s="4" t="s">
        <v>544</v>
      </c>
      <c r="IV114" t="s">
        <v>700</v>
      </c>
      <c r="IW114" t="s">
        <v>492</v>
      </c>
      <c r="JA114">
        <v>0</v>
      </c>
      <c r="JB114">
        <v>0</v>
      </c>
      <c r="JC114">
        <v>0</v>
      </c>
      <c r="JD114">
        <v>0</v>
      </c>
      <c r="JE114">
        <v>0</v>
      </c>
      <c r="JF114">
        <v>0</v>
      </c>
      <c r="JG114">
        <v>0</v>
      </c>
      <c r="JH114">
        <v>0</v>
      </c>
      <c r="JI114">
        <v>0</v>
      </c>
      <c r="JK114" s="12" t="s">
        <v>682</v>
      </c>
      <c r="JP114" s="4"/>
      <c r="JV114" s="4"/>
      <c r="JW114" s="4"/>
      <c r="JX114" s="4"/>
      <c r="JY114" s="4"/>
      <c r="JZ114" s="4"/>
      <c r="KA114" s="4"/>
      <c r="KF114" s="7" t="s">
        <v>500</v>
      </c>
      <c r="KJ114" s="7" t="s">
        <v>649</v>
      </c>
      <c r="KK114" s="7"/>
      <c r="MY114" t="s">
        <v>684</v>
      </c>
      <c r="MZ114">
        <v>42</v>
      </c>
      <c r="NB114" s="4" t="s">
        <v>754</v>
      </c>
      <c r="NJ114" t="s">
        <v>755</v>
      </c>
      <c r="NL114" s="4" t="s">
        <v>654</v>
      </c>
      <c r="NM114" s="6" t="s">
        <v>719</v>
      </c>
      <c r="NV114" t="s">
        <v>518</v>
      </c>
      <c r="NW114" s="5" t="s">
        <v>760</v>
      </c>
      <c r="NX114" s="4" t="s">
        <v>520</v>
      </c>
      <c r="NY114" s="3">
        <v>6.3086137379137985E-2</v>
      </c>
      <c r="OB114">
        <v>4</v>
      </c>
      <c r="OU114" t="s">
        <v>757</v>
      </c>
      <c r="OW114">
        <v>1996</v>
      </c>
      <c r="OZ114" s="2" t="s">
        <v>692</v>
      </c>
      <c r="PB114" t="s">
        <v>522</v>
      </c>
      <c r="PC114" s="50">
        <v>46094</v>
      </c>
    </row>
    <row r="115" spans="1:419" ht="15.75" thickBot="1">
      <c r="A115" s="11" t="s">
        <v>665</v>
      </c>
      <c r="B115" t="s">
        <v>666</v>
      </c>
      <c r="C115" t="s">
        <v>667</v>
      </c>
      <c r="D115" s="4" t="s">
        <v>668</v>
      </c>
      <c r="E115" t="s">
        <v>669</v>
      </c>
      <c r="F115" s="88" t="s">
        <v>670</v>
      </c>
      <c r="G115" t="s">
        <v>475</v>
      </c>
      <c r="H115" t="s">
        <v>476</v>
      </c>
      <c r="I115" s="10">
        <v>0.1</v>
      </c>
      <c r="J115" s="10">
        <v>34.566667000000002</v>
      </c>
      <c r="K115">
        <v>150</v>
      </c>
      <c r="AV115" t="s">
        <v>671</v>
      </c>
      <c r="AW115">
        <v>100</v>
      </c>
      <c r="AX115" t="s">
        <v>480</v>
      </c>
      <c r="AY115">
        <v>4</v>
      </c>
      <c r="AZ115" t="s">
        <v>672</v>
      </c>
      <c r="BA115">
        <v>1994</v>
      </c>
      <c r="BB115">
        <v>1998</v>
      </c>
      <c r="BC115" t="s">
        <v>673</v>
      </c>
      <c r="BD115" s="10" t="s">
        <v>704</v>
      </c>
      <c r="BE115" t="s">
        <v>524</v>
      </c>
      <c r="BF115" s="3" t="s">
        <v>484</v>
      </c>
      <c r="BG115" t="s">
        <v>485</v>
      </c>
      <c r="BH115" t="s">
        <v>675</v>
      </c>
      <c r="BI115" s="4" t="s">
        <v>486</v>
      </c>
      <c r="BJ115" s="9">
        <v>53000</v>
      </c>
      <c r="HQ115" t="s">
        <v>677</v>
      </c>
      <c r="HS115" s="4" t="s">
        <v>490</v>
      </c>
      <c r="HT115" s="50">
        <v>34335</v>
      </c>
      <c r="HU115" s="50">
        <v>36160</v>
      </c>
      <c r="HV115" s="50"/>
      <c r="HW115" s="50"/>
      <c r="IO115" t="s">
        <v>700</v>
      </c>
      <c r="IP115" s="46" t="s">
        <v>492</v>
      </c>
      <c r="IU115" s="4" t="s">
        <v>544</v>
      </c>
      <c r="IV115" t="s">
        <v>700</v>
      </c>
      <c r="IW115" s="46" t="s">
        <v>492</v>
      </c>
      <c r="JA115">
        <v>0</v>
      </c>
      <c r="JB115">
        <v>0</v>
      </c>
      <c r="JC115">
        <v>0</v>
      </c>
      <c r="JD115">
        <v>0</v>
      </c>
      <c r="JE115">
        <v>0</v>
      </c>
      <c r="JF115">
        <v>0</v>
      </c>
      <c r="JG115">
        <v>0</v>
      </c>
      <c r="JH115">
        <v>0</v>
      </c>
      <c r="JI115">
        <v>0</v>
      </c>
      <c r="JK115" s="12" t="s">
        <v>682</v>
      </c>
      <c r="JP115" s="4"/>
      <c r="JV115" s="4"/>
      <c r="JW115" s="4"/>
      <c r="JX115" s="4"/>
      <c r="JY115" s="4"/>
      <c r="JZ115" s="4"/>
      <c r="KA115" s="4"/>
      <c r="KF115" s="7" t="s">
        <v>500</v>
      </c>
      <c r="KJ115" s="7" t="s">
        <v>649</v>
      </c>
      <c r="KK115" s="7"/>
      <c r="MY115" t="s">
        <v>684</v>
      </c>
      <c r="MZ115">
        <v>42</v>
      </c>
      <c r="NB115" s="4" t="s">
        <v>754</v>
      </c>
      <c r="NJ115" t="s">
        <v>755</v>
      </c>
      <c r="NL115" s="4" t="s">
        <v>654</v>
      </c>
      <c r="NM115" s="6" t="s">
        <v>719</v>
      </c>
      <c r="NU115" t="s">
        <v>517</v>
      </c>
      <c r="NV115" t="s">
        <v>518</v>
      </c>
      <c r="NW115" s="5" t="s">
        <v>761</v>
      </c>
      <c r="NX115" s="4" t="s">
        <v>520</v>
      </c>
      <c r="NY115" s="3">
        <v>3.601407009322305E-2</v>
      </c>
      <c r="OB115">
        <v>4</v>
      </c>
      <c r="OU115" t="s">
        <v>757</v>
      </c>
      <c r="OW115">
        <v>1996</v>
      </c>
      <c r="OZ115" s="2" t="s">
        <v>692</v>
      </c>
      <c r="PB115" t="s">
        <v>522</v>
      </c>
      <c r="PC115" s="50">
        <v>46094</v>
      </c>
    </row>
    <row r="116" spans="1:419" ht="15.75" thickBot="1">
      <c r="A116" s="11" t="s">
        <v>665</v>
      </c>
      <c r="B116" t="s">
        <v>666</v>
      </c>
      <c r="C116" t="s">
        <v>667</v>
      </c>
      <c r="D116" s="4" t="s">
        <v>668</v>
      </c>
      <c r="E116" t="s">
        <v>669</v>
      </c>
      <c r="F116" s="88" t="s">
        <v>670</v>
      </c>
      <c r="G116" t="s">
        <v>475</v>
      </c>
      <c r="H116" t="s">
        <v>476</v>
      </c>
      <c r="I116" s="10">
        <v>0.1</v>
      </c>
      <c r="J116" s="10">
        <v>34.566667000000002</v>
      </c>
      <c r="K116">
        <v>150</v>
      </c>
      <c r="AV116" t="s">
        <v>671</v>
      </c>
      <c r="AW116">
        <v>100</v>
      </c>
      <c r="AX116" t="s">
        <v>480</v>
      </c>
      <c r="AY116">
        <v>4</v>
      </c>
      <c r="AZ116" t="s">
        <v>672</v>
      </c>
      <c r="BA116">
        <v>1994</v>
      </c>
      <c r="BB116">
        <v>1998</v>
      </c>
      <c r="BC116" t="s">
        <v>673</v>
      </c>
      <c r="BD116" s="10" t="s">
        <v>705</v>
      </c>
      <c r="BE116" t="s">
        <v>483</v>
      </c>
      <c r="BF116" s="3" t="s">
        <v>484</v>
      </c>
      <c r="BG116" t="s">
        <v>485</v>
      </c>
      <c r="BH116" t="s">
        <v>675</v>
      </c>
      <c r="BI116" s="4" t="s">
        <v>486</v>
      </c>
      <c r="BJ116" s="9">
        <v>53000</v>
      </c>
      <c r="HQ116" t="s">
        <v>677</v>
      </c>
      <c r="HS116" s="4" t="s">
        <v>490</v>
      </c>
      <c r="HT116" s="50">
        <v>34335</v>
      </c>
      <c r="HU116" s="50">
        <v>36160</v>
      </c>
      <c r="HV116" s="50"/>
      <c r="HW116" s="50"/>
      <c r="IO116" t="s">
        <v>706</v>
      </c>
      <c r="IP116" s="46" t="s">
        <v>492</v>
      </c>
      <c r="IU116" s="4" t="s">
        <v>544</v>
      </c>
      <c r="IV116" t="s">
        <v>707</v>
      </c>
      <c r="IW116" s="46" t="s">
        <v>492</v>
      </c>
      <c r="JA116">
        <v>0</v>
      </c>
      <c r="JB116">
        <v>0</v>
      </c>
      <c r="JC116">
        <v>0</v>
      </c>
      <c r="JD116">
        <v>0</v>
      </c>
      <c r="JE116">
        <v>0</v>
      </c>
      <c r="JF116">
        <v>0</v>
      </c>
      <c r="JG116">
        <v>0</v>
      </c>
      <c r="JH116">
        <v>0</v>
      </c>
      <c r="JI116">
        <v>0</v>
      </c>
      <c r="JJ116" t="s">
        <v>706</v>
      </c>
      <c r="JK116" t="s">
        <v>494</v>
      </c>
      <c r="JL116" s="8" t="s">
        <v>495</v>
      </c>
      <c r="JP116" s="4" t="s">
        <v>508</v>
      </c>
      <c r="JQ116">
        <v>60</v>
      </c>
      <c r="JT116">
        <v>60</v>
      </c>
      <c r="JV116" s="4"/>
      <c r="JW116" s="4"/>
      <c r="JX116" s="4"/>
      <c r="JY116" s="4"/>
      <c r="JZ116" s="4"/>
      <c r="KA116" s="4"/>
      <c r="KF116" s="7" t="s">
        <v>500</v>
      </c>
      <c r="KJ116" s="7" t="s">
        <v>649</v>
      </c>
      <c r="KK116" s="7"/>
      <c r="MY116" t="s">
        <v>684</v>
      </c>
      <c r="MZ116">
        <v>42</v>
      </c>
      <c r="NB116" s="4" t="s">
        <v>754</v>
      </c>
      <c r="NJ116" t="s">
        <v>755</v>
      </c>
      <c r="NL116" s="4" t="s">
        <v>654</v>
      </c>
      <c r="NM116" s="6" t="s">
        <v>719</v>
      </c>
      <c r="NU116" t="s">
        <v>708</v>
      </c>
      <c r="NV116" t="s">
        <v>518</v>
      </c>
      <c r="NW116" s="5" t="s">
        <v>762</v>
      </c>
      <c r="NX116" s="4" t="s">
        <v>520</v>
      </c>
      <c r="NY116" s="3">
        <v>3.0019181406897966E-2</v>
      </c>
      <c r="OB116">
        <v>4</v>
      </c>
      <c r="OU116" t="s">
        <v>757</v>
      </c>
      <c r="OW116">
        <v>1996</v>
      </c>
      <c r="OZ116" s="2" t="s">
        <v>692</v>
      </c>
      <c r="PB116" t="s">
        <v>522</v>
      </c>
      <c r="PC116" s="50">
        <v>46094</v>
      </c>
    </row>
    <row r="117" spans="1:419" ht="15.75" thickBot="1">
      <c r="A117" s="11" t="s">
        <v>665</v>
      </c>
      <c r="B117" t="s">
        <v>666</v>
      </c>
      <c r="C117" t="s">
        <v>667</v>
      </c>
      <c r="D117" s="4" t="s">
        <v>668</v>
      </c>
      <c r="E117" t="s">
        <v>669</v>
      </c>
      <c r="F117" s="88" t="s">
        <v>670</v>
      </c>
      <c r="G117" t="s">
        <v>475</v>
      </c>
      <c r="H117" t="s">
        <v>476</v>
      </c>
      <c r="I117" s="10">
        <v>0.1</v>
      </c>
      <c r="J117" s="10">
        <v>34.566667000000002</v>
      </c>
      <c r="K117">
        <v>150</v>
      </c>
      <c r="AV117" t="s">
        <v>671</v>
      </c>
      <c r="AW117">
        <v>100</v>
      </c>
      <c r="AX117" t="s">
        <v>480</v>
      </c>
      <c r="AY117">
        <v>4</v>
      </c>
      <c r="AZ117" t="s">
        <v>672</v>
      </c>
      <c r="BA117">
        <v>1994</v>
      </c>
      <c r="BB117">
        <v>1998</v>
      </c>
      <c r="BC117" t="s">
        <v>673</v>
      </c>
      <c r="BD117" s="10" t="s">
        <v>674</v>
      </c>
      <c r="BE117" t="s">
        <v>536</v>
      </c>
      <c r="BF117" s="3" t="s">
        <v>484</v>
      </c>
      <c r="BG117" t="s">
        <v>485</v>
      </c>
      <c r="BH117" t="s">
        <v>675</v>
      </c>
      <c r="BI117" s="4" t="s">
        <v>486</v>
      </c>
      <c r="BJ117" s="9">
        <v>53000</v>
      </c>
      <c r="ED117" t="s">
        <v>676</v>
      </c>
      <c r="EE117" s="4" t="s">
        <v>486</v>
      </c>
      <c r="EF117" s="9">
        <v>53000</v>
      </c>
      <c r="EG117" s="9"/>
      <c r="EH117" s="9"/>
      <c r="EI117" s="9"/>
      <c r="EJ117" s="9"/>
      <c r="EK117" s="9"/>
      <c r="EL117" s="9"/>
      <c r="EM117" s="9"/>
      <c r="EN117" s="9"/>
      <c r="EO117" s="9"/>
      <c r="EP117" s="9"/>
      <c r="EQ117" s="9"/>
      <c r="ER117" s="9"/>
      <c r="ES117" s="9"/>
      <c r="ET117" s="9"/>
      <c r="EU117" s="9"/>
      <c r="EV117" s="9"/>
      <c r="EW117" s="9"/>
      <c r="EX117" s="9"/>
      <c r="EY117" s="9"/>
      <c r="EZ117" s="9"/>
      <c r="FA117" s="9"/>
      <c r="FB117" s="9"/>
      <c r="FC117" s="9"/>
      <c r="FD117" s="9"/>
      <c r="FE117" s="9"/>
      <c r="FF117" s="9"/>
      <c r="FG117" s="9"/>
      <c r="FH117" s="9"/>
      <c r="FI117" s="9"/>
      <c r="FJ117" s="9"/>
      <c r="FK117" s="9"/>
      <c r="FL117" s="9"/>
      <c r="FM117" s="9"/>
      <c r="FN117" s="9"/>
      <c r="FO117" s="9"/>
      <c r="FP117" s="9"/>
      <c r="FQ117" s="9"/>
      <c r="FR117" s="9"/>
      <c r="FS117" s="9"/>
      <c r="FT117" s="9"/>
      <c r="FU117" s="9"/>
      <c r="FV117" s="9"/>
      <c r="FW117" s="9"/>
      <c r="FX117" s="9"/>
      <c r="FY117" s="9"/>
      <c r="FZ117" s="9"/>
      <c r="GA117" s="9"/>
      <c r="GB117" s="9"/>
      <c r="GC117" s="9"/>
      <c r="GD117" s="9"/>
      <c r="GE117" s="9"/>
      <c r="GF117" s="9"/>
      <c r="GG117" s="9"/>
      <c r="GH117" s="9"/>
      <c r="GI117" s="9"/>
      <c r="GJ117" s="9"/>
      <c r="GK117" s="9"/>
      <c r="GL117" s="9"/>
      <c r="GM117" s="9"/>
      <c r="GN117" s="9"/>
      <c r="GO117" s="9"/>
      <c r="GP117" s="9"/>
      <c r="GQ117" s="9"/>
      <c r="GR117" s="9"/>
      <c r="GS117" s="9"/>
      <c r="GT117" s="9"/>
      <c r="GU117" s="9"/>
      <c r="GV117" s="9"/>
      <c r="GW117" s="9"/>
      <c r="GX117" s="9"/>
      <c r="GY117" s="9"/>
      <c r="GZ117" s="9"/>
      <c r="HA117" s="9"/>
      <c r="HB117" s="9"/>
      <c r="HC117" s="9"/>
      <c r="HD117" s="9"/>
      <c r="HE117" s="9"/>
      <c r="HF117" s="9"/>
      <c r="HG117" s="9"/>
      <c r="HH117" s="9"/>
      <c r="HI117" s="9"/>
      <c r="HJ117" s="9"/>
      <c r="HQ117" t="s">
        <v>677</v>
      </c>
      <c r="HS117" s="4" t="s">
        <v>490</v>
      </c>
      <c r="HT117" s="50">
        <v>34335</v>
      </c>
      <c r="HU117" s="50">
        <v>36160</v>
      </c>
      <c r="HV117" s="50"/>
      <c r="HW117" s="50"/>
      <c r="IN117" s="4"/>
      <c r="IO117" t="s">
        <v>678</v>
      </c>
      <c r="IP117" s="12" t="s">
        <v>679</v>
      </c>
      <c r="IS117">
        <v>1995</v>
      </c>
      <c r="IT117">
        <v>1995.2</v>
      </c>
      <c r="IU117" s="4" t="s">
        <v>544</v>
      </c>
      <c r="IV117" t="s">
        <v>680</v>
      </c>
      <c r="IW117" s="12" t="s">
        <v>681</v>
      </c>
      <c r="IZ117">
        <v>0.5</v>
      </c>
      <c r="JA117" t="s">
        <v>480</v>
      </c>
      <c r="JB117" t="s">
        <v>480</v>
      </c>
      <c r="JC117" t="s">
        <v>480</v>
      </c>
      <c r="JD117" t="s">
        <v>480</v>
      </c>
      <c r="JE117" t="s">
        <v>480</v>
      </c>
      <c r="JF117" t="s">
        <v>480</v>
      </c>
      <c r="JG117" t="s">
        <v>480</v>
      </c>
      <c r="JH117" t="s">
        <v>480</v>
      </c>
      <c r="JI117" t="s">
        <v>480</v>
      </c>
      <c r="JK117" s="12" t="s">
        <v>682</v>
      </c>
      <c r="JP117" s="4"/>
      <c r="JV117" s="4"/>
      <c r="JW117" s="4"/>
      <c r="JX117" s="4"/>
      <c r="JY117" s="4"/>
      <c r="JZ117" s="4"/>
      <c r="KA117" s="4"/>
      <c r="KF117" s="7" t="s">
        <v>500</v>
      </c>
      <c r="KJ117" s="7" t="s">
        <v>683</v>
      </c>
      <c r="KK117" s="7" t="s">
        <v>562</v>
      </c>
      <c r="KL117" t="s">
        <v>480</v>
      </c>
      <c r="KM117" t="s">
        <v>480</v>
      </c>
      <c r="MY117" t="s">
        <v>684</v>
      </c>
      <c r="MZ117">
        <v>42</v>
      </c>
      <c r="NB117" s="4" t="s">
        <v>754</v>
      </c>
      <c r="NJ117" t="s">
        <v>755</v>
      </c>
      <c r="NL117" s="4" t="s">
        <v>654</v>
      </c>
      <c r="NM117" s="6" t="s">
        <v>719</v>
      </c>
      <c r="NV117" t="s">
        <v>518</v>
      </c>
      <c r="NW117" s="5" t="s">
        <v>763</v>
      </c>
      <c r="NX117" s="4" t="s">
        <v>520</v>
      </c>
      <c r="NY117" s="3">
        <v>7.2095247149352004E-2</v>
      </c>
      <c r="OB117">
        <v>4</v>
      </c>
      <c r="OU117" t="s">
        <v>764</v>
      </c>
      <c r="OW117">
        <v>1997</v>
      </c>
      <c r="OZ117" s="2" t="s">
        <v>692</v>
      </c>
      <c r="PB117" t="s">
        <v>522</v>
      </c>
      <c r="PC117" s="50">
        <v>46094</v>
      </c>
    </row>
    <row r="118" spans="1:419" ht="15.75" thickBot="1">
      <c r="A118" s="11" t="s">
        <v>665</v>
      </c>
      <c r="B118" t="s">
        <v>666</v>
      </c>
      <c r="C118" t="s">
        <v>667</v>
      </c>
      <c r="D118" s="4" t="s">
        <v>668</v>
      </c>
      <c r="E118" t="s">
        <v>669</v>
      </c>
      <c r="F118" s="88" t="s">
        <v>670</v>
      </c>
      <c r="G118" t="s">
        <v>475</v>
      </c>
      <c r="H118" t="s">
        <v>476</v>
      </c>
      <c r="I118" s="10">
        <v>0.1</v>
      </c>
      <c r="J118" s="10">
        <v>34.566667000000002</v>
      </c>
      <c r="K118">
        <v>150</v>
      </c>
      <c r="AV118" t="s">
        <v>671</v>
      </c>
      <c r="AW118">
        <v>100</v>
      </c>
      <c r="AX118" t="s">
        <v>480</v>
      </c>
      <c r="AY118">
        <v>4</v>
      </c>
      <c r="AZ118" t="s">
        <v>672</v>
      </c>
      <c r="BA118">
        <v>1994</v>
      </c>
      <c r="BB118">
        <v>1998</v>
      </c>
      <c r="BC118" t="s">
        <v>673</v>
      </c>
      <c r="BD118" s="10" t="s">
        <v>693</v>
      </c>
      <c r="BE118" t="s">
        <v>566</v>
      </c>
      <c r="BF118" s="3" t="s">
        <v>484</v>
      </c>
      <c r="BG118" t="s">
        <v>485</v>
      </c>
      <c r="BH118" t="s">
        <v>675</v>
      </c>
      <c r="BI118" s="4" t="s">
        <v>486</v>
      </c>
      <c r="BJ118" s="9">
        <v>53000</v>
      </c>
      <c r="ED118" t="s">
        <v>676</v>
      </c>
      <c r="EE118" s="4" t="s">
        <v>486</v>
      </c>
      <c r="EF118" s="9">
        <v>53000</v>
      </c>
      <c r="EG118" s="9"/>
      <c r="EH118" s="9"/>
      <c r="EI118" s="9"/>
      <c r="EJ118" s="9"/>
      <c r="EK118" s="9"/>
      <c r="EL118" s="9"/>
      <c r="EM118" s="9"/>
      <c r="EN118" s="9"/>
      <c r="EO118" s="9"/>
      <c r="EP118" s="9"/>
      <c r="EQ118" s="9"/>
      <c r="ER118" s="9"/>
      <c r="ES118" s="9"/>
      <c r="ET118" s="9"/>
      <c r="EU118" s="9"/>
      <c r="EV118" s="9"/>
      <c r="EW118" s="9"/>
      <c r="EX118" s="9"/>
      <c r="EY118" s="9"/>
      <c r="EZ118" s="9"/>
      <c r="FA118" s="9"/>
      <c r="FB118" s="9"/>
      <c r="FC118" s="9"/>
      <c r="FD118" s="9"/>
      <c r="FE118" s="9"/>
      <c r="FF118" s="9"/>
      <c r="FG118" s="9"/>
      <c r="FH118" s="9"/>
      <c r="FI118" s="9"/>
      <c r="FJ118" s="9"/>
      <c r="FK118" s="9"/>
      <c r="FL118" s="9"/>
      <c r="FM118" s="9"/>
      <c r="FN118" s="9"/>
      <c r="FO118" s="9"/>
      <c r="FP118" s="9"/>
      <c r="FQ118" s="9"/>
      <c r="FR118" s="9"/>
      <c r="FS118" s="9"/>
      <c r="FT118" s="9"/>
      <c r="FU118" s="9"/>
      <c r="FV118" s="9"/>
      <c r="FW118" s="9"/>
      <c r="FX118" s="9"/>
      <c r="FY118" s="9"/>
      <c r="FZ118" s="9"/>
      <c r="GA118" s="9"/>
      <c r="GB118" s="9"/>
      <c r="GC118" s="9"/>
      <c r="GD118" s="9"/>
      <c r="GE118" s="9"/>
      <c r="GF118" s="9"/>
      <c r="GG118" s="9"/>
      <c r="GH118" s="9"/>
      <c r="GI118" s="9"/>
      <c r="GJ118" s="9"/>
      <c r="GK118" s="9"/>
      <c r="GL118" s="9"/>
      <c r="GM118" s="9"/>
      <c r="GN118" s="9"/>
      <c r="GO118" s="9"/>
      <c r="GP118" s="9"/>
      <c r="GQ118" s="9"/>
      <c r="GR118" s="9"/>
      <c r="GS118" s="9"/>
      <c r="GT118" s="9"/>
      <c r="GU118" s="9"/>
      <c r="GV118" s="9"/>
      <c r="GW118" s="9"/>
      <c r="GX118" s="9"/>
      <c r="GY118" s="9"/>
      <c r="GZ118" s="9"/>
      <c r="HA118" s="9"/>
      <c r="HB118" s="9"/>
      <c r="HC118" s="9"/>
      <c r="HD118" s="9"/>
      <c r="HE118" s="9"/>
      <c r="HF118" s="9"/>
      <c r="HG118" s="9"/>
      <c r="HH118" s="9"/>
      <c r="HI118" s="9"/>
      <c r="HJ118" s="9"/>
      <c r="HQ118" t="s">
        <v>677</v>
      </c>
      <c r="HS118" s="4" t="s">
        <v>490</v>
      </c>
      <c r="HT118" s="50">
        <v>34335</v>
      </c>
      <c r="HU118" s="50">
        <v>36160</v>
      </c>
      <c r="HV118" s="50"/>
      <c r="HW118" s="50"/>
      <c r="IN118" s="4"/>
      <c r="IO118" t="s">
        <v>694</v>
      </c>
      <c r="IP118" s="12" t="s">
        <v>695</v>
      </c>
      <c r="IS118">
        <v>1994</v>
      </c>
      <c r="IT118">
        <v>1994.2</v>
      </c>
      <c r="IU118" s="4" t="s">
        <v>544</v>
      </c>
      <c r="IV118" t="s">
        <v>696</v>
      </c>
      <c r="IW118" s="12" t="s">
        <v>681</v>
      </c>
      <c r="IZ118">
        <v>0.5</v>
      </c>
      <c r="JA118" t="s">
        <v>480</v>
      </c>
      <c r="JB118" t="s">
        <v>480</v>
      </c>
      <c r="JC118" t="s">
        <v>480</v>
      </c>
      <c r="JD118" t="s">
        <v>480</v>
      </c>
      <c r="JE118" t="s">
        <v>480</v>
      </c>
      <c r="JF118" t="s">
        <v>480</v>
      </c>
      <c r="JG118" t="s">
        <v>480</v>
      </c>
      <c r="JH118" t="s">
        <v>480</v>
      </c>
      <c r="JI118" t="s">
        <v>480</v>
      </c>
      <c r="JK118" s="12" t="s">
        <v>682</v>
      </c>
      <c r="JP118" s="4"/>
      <c r="JV118" s="4"/>
      <c r="JW118" s="4"/>
      <c r="JX118" s="4"/>
      <c r="JY118" s="4"/>
      <c r="JZ118" s="4"/>
      <c r="KA118" s="4"/>
      <c r="KF118" s="7" t="s">
        <v>500</v>
      </c>
      <c r="KJ118" s="7" t="s">
        <v>683</v>
      </c>
      <c r="KK118" s="7" t="s">
        <v>562</v>
      </c>
      <c r="KL118" t="s">
        <v>480</v>
      </c>
      <c r="KM118" t="s">
        <v>480</v>
      </c>
      <c r="MY118" t="s">
        <v>684</v>
      </c>
      <c r="MZ118">
        <v>42</v>
      </c>
      <c r="NB118" s="4" t="s">
        <v>754</v>
      </c>
      <c r="NJ118" t="s">
        <v>755</v>
      </c>
      <c r="NL118" s="4" t="s">
        <v>654</v>
      </c>
      <c r="NM118" s="6" t="s">
        <v>719</v>
      </c>
      <c r="NV118" t="s">
        <v>518</v>
      </c>
      <c r="NW118">
        <v>0.44946566080785599</v>
      </c>
      <c r="NX118" s="4" t="s">
        <v>520</v>
      </c>
      <c r="NY118" s="3">
        <v>3.3011033503150988E-2</v>
      </c>
      <c r="OB118">
        <v>4</v>
      </c>
      <c r="OU118" t="s">
        <v>764</v>
      </c>
      <c r="OW118">
        <v>1997</v>
      </c>
      <c r="OZ118" s="2" t="s">
        <v>692</v>
      </c>
      <c r="PB118" t="s">
        <v>522</v>
      </c>
      <c r="PC118" s="50">
        <v>46094</v>
      </c>
    </row>
    <row r="119" spans="1:419" ht="15.75" thickBot="1">
      <c r="A119" s="11" t="s">
        <v>665</v>
      </c>
      <c r="B119" t="s">
        <v>666</v>
      </c>
      <c r="C119" t="s">
        <v>667</v>
      </c>
      <c r="D119" s="4" t="s">
        <v>668</v>
      </c>
      <c r="E119" t="s">
        <v>669</v>
      </c>
      <c r="F119" s="88" t="s">
        <v>670</v>
      </c>
      <c r="G119" t="s">
        <v>475</v>
      </c>
      <c r="H119" t="s">
        <v>476</v>
      </c>
      <c r="I119" s="10">
        <v>0.1</v>
      </c>
      <c r="J119" s="10">
        <v>34.566667000000002</v>
      </c>
      <c r="K119">
        <v>150</v>
      </c>
      <c r="AV119" t="s">
        <v>671</v>
      </c>
      <c r="AW119">
        <v>100</v>
      </c>
      <c r="AX119" t="s">
        <v>480</v>
      </c>
      <c r="AY119">
        <v>4</v>
      </c>
      <c r="AZ119" t="s">
        <v>672</v>
      </c>
      <c r="BA119">
        <v>1994</v>
      </c>
      <c r="BB119">
        <v>1998</v>
      </c>
      <c r="BC119" t="s">
        <v>673</v>
      </c>
      <c r="BD119" s="10" t="s">
        <v>697</v>
      </c>
      <c r="BE119" t="s">
        <v>572</v>
      </c>
      <c r="BF119" s="3" t="s">
        <v>484</v>
      </c>
      <c r="BG119" t="s">
        <v>485</v>
      </c>
      <c r="BH119" t="s">
        <v>675</v>
      </c>
      <c r="BI119" s="4" t="s">
        <v>486</v>
      </c>
      <c r="BJ119" s="9">
        <v>53000</v>
      </c>
      <c r="EE119" s="4"/>
      <c r="EF119" s="9"/>
      <c r="EG119" s="9"/>
      <c r="EH119" s="9"/>
      <c r="EI119" s="9"/>
      <c r="EJ119" s="9"/>
      <c r="EK119" s="9"/>
      <c r="EL119" s="9"/>
      <c r="EM119" s="9"/>
      <c r="EN119" s="9"/>
      <c r="EO119" s="9"/>
      <c r="EP119" s="9"/>
      <c r="EQ119" s="9"/>
      <c r="ER119" s="9"/>
      <c r="ES119" s="9"/>
      <c r="ET119" s="9"/>
      <c r="EU119" s="9"/>
      <c r="EV119" s="9"/>
      <c r="EW119" s="9"/>
      <c r="EX119" s="9"/>
      <c r="EY119" s="9"/>
      <c r="EZ119" s="9"/>
      <c r="FA119" s="9"/>
      <c r="FB119" s="9"/>
      <c r="FC119" s="9"/>
      <c r="FD119" s="9"/>
      <c r="FE119" s="9"/>
      <c r="FF119" s="9"/>
      <c r="FG119" s="9"/>
      <c r="FH119" s="9"/>
      <c r="FI119" s="9"/>
      <c r="FJ119" s="9"/>
      <c r="FK119" s="9"/>
      <c r="FL119" s="9"/>
      <c r="FM119" s="9"/>
      <c r="FN119" s="9"/>
      <c r="FO119" s="9"/>
      <c r="FP119" s="9"/>
      <c r="FQ119" s="9"/>
      <c r="FR119" s="9"/>
      <c r="FS119" s="9"/>
      <c r="FT119" s="9"/>
      <c r="FU119" s="9"/>
      <c r="FV119" s="9"/>
      <c r="FW119" s="9"/>
      <c r="FX119" s="9"/>
      <c r="FY119" s="9"/>
      <c r="FZ119" s="9"/>
      <c r="GA119" s="9"/>
      <c r="GB119" s="9"/>
      <c r="GC119" s="9"/>
      <c r="GD119" s="9"/>
      <c r="GE119" s="9"/>
      <c r="GF119" s="9"/>
      <c r="GG119" s="9"/>
      <c r="GH119" s="9"/>
      <c r="GI119" s="9"/>
      <c r="GJ119" s="9"/>
      <c r="GK119" s="9"/>
      <c r="GL119" s="9"/>
      <c r="GM119" s="9"/>
      <c r="GN119" s="9"/>
      <c r="GO119" s="9"/>
      <c r="GP119" s="9"/>
      <c r="GQ119" s="9"/>
      <c r="GR119" s="9"/>
      <c r="GS119" s="9"/>
      <c r="GT119" s="9"/>
      <c r="GU119" s="9"/>
      <c r="GV119" s="9"/>
      <c r="GW119" s="9"/>
      <c r="GX119" s="9"/>
      <c r="GY119" s="9"/>
      <c r="GZ119" s="9"/>
      <c r="HA119" s="9"/>
      <c r="HB119" s="9"/>
      <c r="HC119" s="9"/>
      <c r="HD119" s="9"/>
      <c r="HE119" s="9"/>
      <c r="HF119" s="9"/>
      <c r="HG119" s="9"/>
      <c r="HH119" s="9"/>
      <c r="HI119" s="9"/>
      <c r="HJ119" s="9"/>
      <c r="HQ119" t="s">
        <v>677</v>
      </c>
      <c r="HS119" s="4" t="s">
        <v>490</v>
      </c>
      <c r="HT119" s="50">
        <v>34335</v>
      </c>
      <c r="HU119" s="50">
        <v>36160</v>
      </c>
      <c r="HV119" s="50"/>
      <c r="HW119" s="50"/>
      <c r="IO119" t="s">
        <v>698</v>
      </c>
      <c r="IP119" s="46" t="s">
        <v>699</v>
      </c>
      <c r="IS119">
        <v>1995</v>
      </c>
      <c r="IT119">
        <v>1995.2</v>
      </c>
      <c r="IU119" s="4" t="s">
        <v>544</v>
      </c>
      <c r="IV119" t="s">
        <v>700</v>
      </c>
      <c r="IW119" t="s">
        <v>492</v>
      </c>
      <c r="JA119">
        <v>0</v>
      </c>
      <c r="JB119">
        <v>0</v>
      </c>
      <c r="JC119">
        <v>0</v>
      </c>
      <c r="JD119">
        <v>0</v>
      </c>
      <c r="JE119">
        <v>0</v>
      </c>
      <c r="JF119">
        <v>0</v>
      </c>
      <c r="JG119">
        <v>0</v>
      </c>
      <c r="JH119">
        <v>0</v>
      </c>
      <c r="JI119">
        <v>0</v>
      </c>
      <c r="JK119" s="12" t="s">
        <v>682</v>
      </c>
      <c r="JP119" s="4"/>
      <c r="JV119" s="4"/>
      <c r="JW119" s="4"/>
      <c r="JX119" s="4"/>
      <c r="JY119" s="4"/>
      <c r="JZ119" s="4"/>
      <c r="KA119" s="4"/>
      <c r="KF119" s="7" t="s">
        <v>500</v>
      </c>
      <c r="KJ119" s="7" t="s">
        <v>649</v>
      </c>
      <c r="KK119" s="7"/>
      <c r="MY119" t="s">
        <v>684</v>
      </c>
      <c r="MZ119">
        <v>42</v>
      </c>
      <c r="NB119" s="4" t="s">
        <v>754</v>
      </c>
      <c r="NJ119" t="s">
        <v>755</v>
      </c>
      <c r="NL119" s="4" t="s">
        <v>654</v>
      </c>
      <c r="NM119" s="6" t="s">
        <v>719</v>
      </c>
      <c r="NV119" t="s">
        <v>518</v>
      </c>
      <c r="NW119" s="5" t="s">
        <v>765</v>
      </c>
      <c r="NX119" s="4" t="s">
        <v>520</v>
      </c>
      <c r="NY119" s="3">
        <v>5.7057695211359005E-2</v>
      </c>
      <c r="OB119">
        <v>4</v>
      </c>
      <c r="OU119" t="s">
        <v>764</v>
      </c>
      <c r="OW119">
        <v>1997</v>
      </c>
      <c r="OZ119" s="2" t="s">
        <v>692</v>
      </c>
      <c r="PB119" t="s">
        <v>522</v>
      </c>
      <c r="PC119" s="50">
        <v>46094</v>
      </c>
    </row>
    <row r="120" spans="1:419" ht="15.75" thickBot="1">
      <c r="A120" s="11" t="s">
        <v>665</v>
      </c>
      <c r="B120" t="s">
        <v>666</v>
      </c>
      <c r="C120" t="s">
        <v>667</v>
      </c>
      <c r="D120" s="4" t="s">
        <v>668</v>
      </c>
      <c r="E120" t="s">
        <v>669</v>
      </c>
      <c r="F120" s="88" t="s">
        <v>670</v>
      </c>
      <c r="G120" t="s">
        <v>475</v>
      </c>
      <c r="H120" t="s">
        <v>476</v>
      </c>
      <c r="I120" s="10">
        <v>0.1</v>
      </c>
      <c r="J120" s="10">
        <v>34.566667000000002</v>
      </c>
      <c r="K120">
        <v>150</v>
      </c>
      <c r="AV120" t="s">
        <v>671</v>
      </c>
      <c r="AW120">
        <v>100</v>
      </c>
      <c r="AX120" t="s">
        <v>480</v>
      </c>
      <c r="AY120">
        <v>4</v>
      </c>
      <c r="AZ120" t="s">
        <v>672</v>
      </c>
      <c r="BA120">
        <v>1994</v>
      </c>
      <c r="BB120">
        <v>1998</v>
      </c>
      <c r="BC120" t="s">
        <v>673</v>
      </c>
      <c r="BD120" s="10" t="s">
        <v>701</v>
      </c>
      <c r="BE120" t="s">
        <v>553</v>
      </c>
      <c r="BF120" s="3" t="s">
        <v>484</v>
      </c>
      <c r="BG120" t="s">
        <v>485</v>
      </c>
      <c r="BH120" t="s">
        <v>675</v>
      </c>
      <c r="BI120" s="4" t="s">
        <v>486</v>
      </c>
      <c r="BJ120" s="9">
        <v>53000</v>
      </c>
      <c r="EE120" s="4"/>
      <c r="EF120" s="9"/>
      <c r="EG120" s="9"/>
      <c r="EH120" s="9"/>
      <c r="EI120" s="9"/>
      <c r="EJ120" s="9"/>
      <c r="EK120" s="9"/>
      <c r="EL120" s="9"/>
      <c r="EM120" s="9"/>
      <c r="EN120" s="9"/>
      <c r="EO120" s="9"/>
      <c r="EP120" s="9"/>
      <c r="EQ120" s="9"/>
      <c r="ER120" s="9"/>
      <c r="ES120" s="9"/>
      <c r="ET120" s="9"/>
      <c r="EU120" s="9"/>
      <c r="EV120" s="9"/>
      <c r="EW120" s="9"/>
      <c r="EX120" s="9"/>
      <c r="EY120" s="9"/>
      <c r="EZ120" s="9"/>
      <c r="FA120" s="9"/>
      <c r="FB120" s="9"/>
      <c r="FC120" s="9"/>
      <c r="FD120" s="9"/>
      <c r="FE120" s="9"/>
      <c r="FF120" s="9"/>
      <c r="FG120" s="9"/>
      <c r="FH120" s="9"/>
      <c r="FI120" s="9"/>
      <c r="FJ120" s="9"/>
      <c r="FK120" s="9"/>
      <c r="FL120" s="9"/>
      <c r="FM120" s="9"/>
      <c r="FN120" s="9"/>
      <c r="FO120" s="9"/>
      <c r="FP120" s="9"/>
      <c r="FQ120" s="9"/>
      <c r="FR120" s="9"/>
      <c r="FS120" s="9"/>
      <c r="FT120" s="9"/>
      <c r="FU120" s="9"/>
      <c r="FV120" s="9"/>
      <c r="FW120" s="9"/>
      <c r="FX120" s="9"/>
      <c r="FY120" s="9"/>
      <c r="FZ120" s="9"/>
      <c r="GA120" s="9"/>
      <c r="GB120" s="9"/>
      <c r="GC120" s="9"/>
      <c r="GD120" s="9"/>
      <c r="GE120" s="9"/>
      <c r="GF120" s="9"/>
      <c r="GG120" s="9"/>
      <c r="GH120" s="9"/>
      <c r="GI120" s="9"/>
      <c r="GJ120" s="9"/>
      <c r="GK120" s="9"/>
      <c r="GL120" s="9"/>
      <c r="GM120" s="9"/>
      <c r="GN120" s="9"/>
      <c r="GO120" s="9"/>
      <c r="GP120" s="9"/>
      <c r="GQ120" s="9"/>
      <c r="GR120" s="9"/>
      <c r="GS120" s="9"/>
      <c r="GT120" s="9"/>
      <c r="GU120" s="9"/>
      <c r="GV120" s="9"/>
      <c r="GW120" s="9"/>
      <c r="GX120" s="9"/>
      <c r="GY120" s="9"/>
      <c r="GZ120" s="9"/>
      <c r="HA120" s="9"/>
      <c r="HB120" s="9"/>
      <c r="HC120" s="9"/>
      <c r="HD120" s="9"/>
      <c r="HE120" s="9"/>
      <c r="HF120" s="9"/>
      <c r="HG120" s="9"/>
      <c r="HH120" s="9"/>
      <c r="HI120" s="9"/>
      <c r="HJ120" s="9"/>
      <c r="HQ120" t="s">
        <v>677</v>
      </c>
      <c r="HS120" s="4" t="s">
        <v>490</v>
      </c>
      <c r="HT120" s="50">
        <v>34335</v>
      </c>
      <c r="HU120" s="50">
        <v>36160</v>
      </c>
      <c r="HV120" s="50"/>
      <c r="HW120" s="50"/>
      <c r="IO120" t="s">
        <v>702</v>
      </c>
      <c r="IP120" s="13" t="s">
        <v>703</v>
      </c>
      <c r="IS120">
        <v>1994</v>
      </c>
      <c r="IT120">
        <v>1994.2</v>
      </c>
      <c r="IU120" s="4" t="s">
        <v>544</v>
      </c>
      <c r="IV120" t="s">
        <v>700</v>
      </c>
      <c r="IW120" t="s">
        <v>492</v>
      </c>
      <c r="JA120">
        <v>0</v>
      </c>
      <c r="JB120">
        <v>0</v>
      </c>
      <c r="JC120">
        <v>0</v>
      </c>
      <c r="JD120">
        <v>0</v>
      </c>
      <c r="JE120">
        <v>0</v>
      </c>
      <c r="JF120">
        <v>0</v>
      </c>
      <c r="JG120">
        <v>0</v>
      </c>
      <c r="JH120">
        <v>0</v>
      </c>
      <c r="JI120">
        <v>0</v>
      </c>
      <c r="JK120" s="12" t="s">
        <v>682</v>
      </c>
      <c r="JP120" s="4"/>
      <c r="JV120" s="4"/>
      <c r="JW120" s="4"/>
      <c r="JX120" s="4"/>
      <c r="JY120" s="4"/>
      <c r="JZ120" s="4"/>
      <c r="KA120" s="4"/>
      <c r="KF120" s="7" t="s">
        <v>500</v>
      </c>
      <c r="KJ120" s="7" t="s">
        <v>649</v>
      </c>
      <c r="KK120" s="7"/>
      <c r="MY120" t="s">
        <v>684</v>
      </c>
      <c r="MZ120">
        <v>42</v>
      </c>
      <c r="NB120" s="4" t="s">
        <v>754</v>
      </c>
      <c r="NJ120" t="s">
        <v>755</v>
      </c>
      <c r="NL120" s="4" t="s">
        <v>654</v>
      </c>
      <c r="NM120" s="6" t="s">
        <v>719</v>
      </c>
      <c r="NV120" t="s">
        <v>518</v>
      </c>
      <c r="NW120" s="5" t="s">
        <v>766</v>
      </c>
      <c r="NX120" s="4" t="s">
        <v>520</v>
      </c>
      <c r="NY120" s="3">
        <v>8.4073840028185021E-2</v>
      </c>
      <c r="OB120">
        <v>4</v>
      </c>
      <c r="OU120" t="s">
        <v>764</v>
      </c>
      <c r="OW120">
        <v>1997</v>
      </c>
      <c r="OZ120" s="2" t="s">
        <v>692</v>
      </c>
      <c r="PB120" t="s">
        <v>522</v>
      </c>
      <c r="PC120" s="50">
        <v>46094</v>
      </c>
    </row>
    <row r="121" spans="1:419" ht="15.75" thickBot="1">
      <c r="A121" s="11" t="s">
        <v>665</v>
      </c>
      <c r="B121" t="s">
        <v>666</v>
      </c>
      <c r="C121" t="s">
        <v>667</v>
      </c>
      <c r="D121" s="4" t="s">
        <v>668</v>
      </c>
      <c r="E121" t="s">
        <v>669</v>
      </c>
      <c r="F121" s="88" t="s">
        <v>670</v>
      </c>
      <c r="G121" t="s">
        <v>475</v>
      </c>
      <c r="H121" t="s">
        <v>476</v>
      </c>
      <c r="I121" s="10">
        <v>0.1</v>
      </c>
      <c r="J121" s="10">
        <v>34.566667000000002</v>
      </c>
      <c r="K121">
        <v>150</v>
      </c>
      <c r="AV121" t="s">
        <v>671</v>
      </c>
      <c r="AW121">
        <v>100</v>
      </c>
      <c r="AX121" t="s">
        <v>480</v>
      </c>
      <c r="AY121">
        <v>4</v>
      </c>
      <c r="AZ121" t="s">
        <v>672</v>
      </c>
      <c r="BA121">
        <v>1994</v>
      </c>
      <c r="BB121">
        <v>1998</v>
      </c>
      <c r="BC121" t="s">
        <v>673</v>
      </c>
      <c r="BD121" s="10" t="s">
        <v>704</v>
      </c>
      <c r="BE121" t="s">
        <v>524</v>
      </c>
      <c r="BF121" s="3" t="s">
        <v>484</v>
      </c>
      <c r="BG121" t="s">
        <v>485</v>
      </c>
      <c r="BH121" t="s">
        <v>675</v>
      </c>
      <c r="BI121" s="4" t="s">
        <v>486</v>
      </c>
      <c r="BJ121" s="9">
        <v>53000</v>
      </c>
      <c r="HQ121" t="s">
        <v>677</v>
      </c>
      <c r="HS121" s="4" t="s">
        <v>490</v>
      </c>
      <c r="HT121" s="50">
        <v>34335</v>
      </c>
      <c r="HU121" s="50">
        <v>36160</v>
      </c>
      <c r="HV121" s="50"/>
      <c r="HW121" s="50"/>
      <c r="IO121" t="s">
        <v>700</v>
      </c>
      <c r="IP121" s="46" t="s">
        <v>492</v>
      </c>
      <c r="IU121" s="4" t="s">
        <v>544</v>
      </c>
      <c r="IV121" t="s">
        <v>700</v>
      </c>
      <c r="IW121" s="46" t="s">
        <v>492</v>
      </c>
      <c r="JA121">
        <v>0</v>
      </c>
      <c r="JB121">
        <v>0</v>
      </c>
      <c r="JC121">
        <v>0</v>
      </c>
      <c r="JD121">
        <v>0</v>
      </c>
      <c r="JE121">
        <v>0</v>
      </c>
      <c r="JF121">
        <v>0</v>
      </c>
      <c r="JG121">
        <v>0</v>
      </c>
      <c r="JH121">
        <v>0</v>
      </c>
      <c r="JI121">
        <v>0</v>
      </c>
      <c r="JK121" s="12" t="s">
        <v>682</v>
      </c>
      <c r="JP121" s="4"/>
      <c r="JV121" s="4"/>
      <c r="JW121" s="4"/>
      <c r="JX121" s="4"/>
      <c r="JY121" s="4"/>
      <c r="JZ121" s="4"/>
      <c r="KA121" s="4"/>
      <c r="KF121" s="7" t="s">
        <v>500</v>
      </c>
      <c r="KJ121" s="7" t="s">
        <v>649</v>
      </c>
      <c r="KK121" s="7"/>
      <c r="MY121" t="s">
        <v>684</v>
      </c>
      <c r="MZ121">
        <v>42</v>
      </c>
      <c r="NB121" s="4" t="s">
        <v>754</v>
      </c>
      <c r="NJ121" t="s">
        <v>755</v>
      </c>
      <c r="NL121" s="4" t="s">
        <v>654</v>
      </c>
      <c r="NM121" s="6" t="s">
        <v>719</v>
      </c>
      <c r="NU121" t="s">
        <v>517</v>
      </c>
      <c r="NV121" t="s">
        <v>518</v>
      </c>
      <c r="NW121" s="5" t="s">
        <v>767</v>
      </c>
      <c r="NX121" s="4" t="s">
        <v>520</v>
      </c>
      <c r="NY121" s="3">
        <v>4.8093323416414979E-2</v>
      </c>
      <c r="OB121">
        <v>4</v>
      </c>
      <c r="OU121" t="s">
        <v>764</v>
      </c>
      <c r="OW121">
        <v>1997</v>
      </c>
      <c r="OZ121" s="2" t="s">
        <v>692</v>
      </c>
      <c r="PB121" t="s">
        <v>522</v>
      </c>
      <c r="PC121" s="50">
        <v>46094</v>
      </c>
    </row>
    <row r="122" spans="1:419" ht="15.75" thickBot="1">
      <c r="A122" s="11" t="s">
        <v>665</v>
      </c>
      <c r="B122" t="s">
        <v>666</v>
      </c>
      <c r="C122" t="s">
        <v>667</v>
      </c>
      <c r="D122" s="4" t="s">
        <v>668</v>
      </c>
      <c r="E122" t="s">
        <v>669</v>
      </c>
      <c r="F122" s="88" t="s">
        <v>670</v>
      </c>
      <c r="G122" t="s">
        <v>475</v>
      </c>
      <c r="H122" t="s">
        <v>476</v>
      </c>
      <c r="I122" s="10">
        <v>0.1</v>
      </c>
      <c r="J122" s="10">
        <v>34.566667000000002</v>
      </c>
      <c r="K122">
        <v>150</v>
      </c>
      <c r="AV122" t="s">
        <v>671</v>
      </c>
      <c r="AW122">
        <v>100</v>
      </c>
      <c r="AX122" t="s">
        <v>480</v>
      </c>
      <c r="AY122">
        <v>4</v>
      </c>
      <c r="AZ122" t="s">
        <v>672</v>
      </c>
      <c r="BA122">
        <v>1994</v>
      </c>
      <c r="BB122">
        <v>1998</v>
      </c>
      <c r="BC122" t="s">
        <v>673</v>
      </c>
      <c r="BD122" s="10" t="s">
        <v>705</v>
      </c>
      <c r="BE122" t="s">
        <v>483</v>
      </c>
      <c r="BF122" s="3" t="s">
        <v>484</v>
      </c>
      <c r="BG122" t="s">
        <v>485</v>
      </c>
      <c r="BH122" t="s">
        <v>675</v>
      </c>
      <c r="BI122" s="4" t="s">
        <v>486</v>
      </c>
      <c r="BJ122" s="9">
        <v>53000</v>
      </c>
      <c r="HQ122" t="s">
        <v>677</v>
      </c>
      <c r="HS122" s="4" t="s">
        <v>490</v>
      </c>
      <c r="HT122" s="50">
        <v>34335</v>
      </c>
      <c r="HU122" s="50">
        <v>36160</v>
      </c>
      <c r="HV122" s="50"/>
      <c r="HW122" s="50"/>
      <c r="IO122" t="s">
        <v>706</v>
      </c>
      <c r="IP122" s="46" t="s">
        <v>492</v>
      </c>
      <c r="IU122" s="4" t="s">
        <v>544</v>
      </c>
      <c r="IV122" t="s">
        <v>707</v>
      </c>
      <c r="IW122" s="46" t="s">
        <v>492</v>
      </c>
      <c r="JA122">
        <v>0</v>
      </c>
      <c r="JB122">
        <v>0</v>
      </c>
      <c r="JC122">
        <v>0</v>
      </c>
      <c r="JD122">
        <v>0</v>
      </c>
      <c r="JE122">
        <v>0</v>
      </c>
      <c r="JF122">
        <v>0</v>
      </c>
      <c r="JG122">
        <v>0</v>
      </c>
      <c r="JH122">
        <v>0</v>
      </c>
      <c r="JI122">
        <v>0</v>
      </c>
      <c r="JJ122" t="s">
        <v>706</v>
      </c>
      <c r="JK122" t="s">
        <v>494</v>
      </c>
      <c r="JL122" s="8" t="s">
        <v>495</v>
      </c>
      <c r="JP122" s="4" t="s">
        <v>508</v>
      </c>
      <c r="JQ122">
        <v>60</v>
      </c>
      <c r="JT122">
        <v>60</v>
      </c>
      <c r="JV122" s="4"/>
      <c r="JW122" s="4"/>
      <c r="JX122" s="4"/>
      <c r="JY122" s="4"/>
      <c r="JZ122" s="4"/>
      <c r="KA122" s="4"/>
      <c r="KF122" s="7" t="s">
        <v>500</v>
      </c>
      <c r="KJ122" s="7" t="s">
        <v>649</v>
      </c>
      <c r="KK122" s="7"/>
      <c r="MY122" t="s">
        <v>684</v>
      </c>
      <c r="MZ122">
        <v>42</v>
      </c>
      <c r="NB122" s="4" t="s">
        <v>754</v>
      </c>
      <c r="NJ122" t="s">
        <v>755</v>
      </c>
      <c r="NL122" s="4" t="s">
        <v>654</v>
      </c>
      <c r="NM122" s="6" t="s">
        <v>719</v>
      </c>
      <c r="NU122" t="s">
        <v>708</v>
      </c>
      <c r="NV122" t="s">
        <v>518</v>
      </c>
      <c r="NW122" s="5" t="s">
        <v>768</v>
      </c>
      <c r="NX122" s="4" t="s">
        <v>520</v>
      </c>
      <c r="NY122" s="3">
        <v>2.1021256130499988E-2</v>
      </c>
      <c r="OB122">
        <v>4</v>
      </c>
      <c r="OU122" t="s">
        <v>764</v>
      </c>
      <c r="OW122">
        <v>1997</v>
      </c>
      <c r="OZ122" s="2" t="s">
        <v>692</v>
      </c>
      <c r="PB122" t="s">
        <v>522</v>
      </c>
      <c r="PC122" s="50">
        <v>46094</v>
      </c>
    </row>
    <row r="123" spans="1:419" ht="15.75" thickBot="1">
      <c r="A123" s="11" t="s">
        <v>665</v>
      </c>
      <c r="B123" t="s">
        <v>666</v>
      </c>
      <c r="C123" t="s">
        <v>667</v>
      </c>
      <c r="D123" s="4" t="s">
        <v>668</v>
      </c>
      <c r="E123" t="s">
        <v>669</v>
      </c>
      <c r="F123" s="88" t="s">
        <v>670</v>
      </c>
      <c r="G123" t="s">
        <v>475</v>
      </c>
      <c r="H123" t="s">
        <v>476</v>
      </c>
      <c r="I123" s="10">
        <v>0.1</v>
      </c>
      <c r="J123" s="10">
        <v>34.566667000000002</v>
      </c>
      <c r="K123">
        <v>150</v>
      </c>
      <c r="AV123" t="s">
        <v>671</v>
      </c>
      <c r="AW123">
        <v>100</v>
      </c>
      <c r="AX123" t="s">
        <v>480</v>
      </c>
      <c r="AY123">
        <v>4</v>
      </c>
      <c r="AZ123" t="s">
        <v>672</v>
      </c>
      <c r="BA123">
        <v>1994</v>
      </c>
      <c r="BB123">
        <v>1998</v>
      </c>
      <c r="BC123" t="s">
        <v>673</v>
      </c>
      <c r="BD123" s="10" t="s">
        <v>674</v>
      </c>
      <c r="BE123" t="s">
        <v>536</v>
      </c>
      <c r="BF123" s="3" t="s">
        <v>484</v>
      </c>
      <c r="BG123" t="s">
        <v>485</v>
      </c>
      <c r="BH123" t="s">
        <v>675</v>
      </c>
      <c r="BI123" s="4" t="s">
        <v>486</v>
      </c>
      <c r="BJ123" s="9">
        <v>53000</v>
      </c>
      <c r="ED123" t="s">
        <v>676</v>
      </c>
      <c r="EE123" s="4" t="s">
        <v>486</v>
      </c>
      <c r="EF123" s="9">
        <v>53000</v>
      </c>
      <c r="EG123" s="9"/>
      <c r="EH123" s="9"/>
      <c r="EI123" s="9"/>
      <c r="EJ123" s="9"/>
      <c r="EK123" s="9"/>
      <c r="EL123" s="9"/>
      <c r="EM123" s="9"/>
      <c r="EN123" s="9"/>
      <c r="EO123" s="9"/>
      <c r="EP123" s="9"/>
      <c r="EQ123" s="9"/>
      <c r="ER123" s="9"/>
      <c r="ES123" s="9"/>
      <c r="ET123" s="9"/>
      <c r="EU123" s="9"/>
      <c r="EV123" s="9"/>
      <c r="EW123" s="9"/>
      <c r="EX123" s="9"/>
      <c r="EY123" s="9"/>
      <c r="EZ123" s="9"/>
      <c r="FA123" s="9"/>
      <c r="FB123" s="9"/>
      <c r="FC123" s="9"/>
      <c r="FD123" s="9"/>
      <c r="FE123" s="9"/>
      <c r="FF123" s="9"/>
      <c r="FG123" s="9"/>
      <c r="FH123" s="9"/>
      <c r="FI123" s="9"/>
      <c r="FJ123" s="9"/>
      <c r="FK123" s="9"/>
      <c r="FL123" s="9"/>
      <c r="FM123" s="9"/>
      <c r="FN123" s="9"/>
      <c r="FO123" s="9"/>
      <c r="FP123" s="9"/>
      <c r="FQ123" s="9"/>
      <c r="FR123" s="9"/>
      <c r="FS123" s="9"/>
      <c r="FT123" s="9"/>
      <c r="FU123" s="9"/>
      <c r="FV123" s="9"/>
      <c r="FW123" s="9"/>
      <c r="FX123" s="9"/>
      <c r="FY123" s="9"/>
      <c r="FZ123" s="9"/>
      <c r="GA123" s="9"/>
      <c r="GB123" s="9"/>
      <c r="GC123" s="9"/>
      <c r="GD123" s="9"/>
      <c r="GE123" s="9"/>
      <c r="GF123" s="9"/>
      <c r="GG123" s="9"/>
      <c r="GH123" s="9"/>
      <c r="GI123" s="9"/>
      <c r="GJ123" s="9"/>
      <c r="GK123" s="9"/>
      <c r="GL123" s="9"/>
      <c r="GM123" s="9"/>
      <c r="GN123" s="9"/>
      <c r="GO123" s="9"/>
      <c r="GP123" s="9"/>
      <c r="GQ123" s="9"/>
      <c r="GR123" s="9"/>
      <c r="GS123" s="9"/>
      <c r="GT123" s="9"/>
      <c r="GU123" s="9"/>
      <c r="GV123" s="9"/>
      <c r="GW123" s="9"/>
      <c r="GX123" s="9"/>
      <c r="GY123" s="9"/>
      <c r="GZ123" s="9"/>
      <c r="HA123" s="9"/>
      <c r="HB123" s="9"/>
      <c r="HC123" s="9"/>
      <c r="HD123" s="9"/>
      <c r="HE123" s="9"/>
      <c r="HF123" s="9"/>
      <c r="HG123" s="9"/>
      <c r="HH123" s="9"/>
      <c r="HI123" s="9"/>
      <c r="HJ123" s="9"/>
      <c r="HQ123" t="s">
        <v>677</v>
      </c>
      <c r="HS123" s="4" t="s">
        <v>490</v>
      </c>
      <c r="HT123" s="50">
        <v>34335</v>
      </c>
      <c r="HU123" s="50">
        <v>36160</v>
      </c>
      <c r="HV123" s="50"/>
      <c r="HW123" s="50"/>
      <c r="IN123" s="4"/>
      <c r="IO123" t="s">
        <v>678</v>
      </c>
      <c r="IP123" s="12" t="s">
        <v>679</v>
      </c>
      <c r="IS123">
        <v>1995</v>
      </c>
      <c r="IT123">
        <v>1995.2</v>
      </c>
      <c r="IU123" s="4" t="s">
        <v>544</v>
      </c>
      <c r="IV123" t="s">
        <v>680</v>
      </c>
      <c r="IW123" s="12" t="s">
        <v>681</v>
      </c>
      <c r="IZ123">
        <v>0.5</v>
      </c>
      <c r="JA123" t="s">
        <v>480</v>
      </c>
      <c r="JB123" t="s">
        <v>480</v>
      </c>
      <c r="JC123" t="s">
        <v>480</v>
      </c>
      <c r="JD123" t="s">
        <v>480</v>
      </c>
      <c r="JE123" t="s">
        <v>480</v>
      </c>
      <c r="JF123" t="s">
        <v>480</v>
      </c>
      <c r="JG123" t="s">
        <v>480</v>
      </c>
      <c r="JH123" t="s">
        <v>480</v>
      </c>
      <c r="JI123" t="s">
        <v>480</v>
      </c>
      <c r="JK123" s="12" t="s">
        <v>682</v>
      </c>
      <c r="JP123" s="4"/>
      <c r="JV123" s="4"/>
      <c r="JW123" s="4"/>
      <c r="JX123" s="4"/>
      <c r="JY123" s="4"/>
      <c r="JZ123" s="4"/>
      <c r="KA123" s="4"/>
      <c r="KF123" s="7" t="s">
        <v>500</v>
      </c>
      <c r="KJ123" s="7" t="s">
        <v>683</v>
      </c>
      <c r="KK123" s="7" t="s">
        <v>562</v>
      </c>
      <c r="KL123" t="s">
        <v>480</v>
      </c>
      <c r="KM123" t="s">
        <v>480</v>
      </c>
      <c r="MY123" t="s">
        <v>684</v>
      </c>
      <c r="MZ123">
        <v>42</v>
      </c>
      <c r="NB123" s="4" t="s">
        <v>754</v>
      </c>
      <c r="NJ123" t="s">
        <v>755</v>
      </c>
      <c r="NL123" s="4" t="s">
        <v>654</v>
      </c>
      <c r="NM123" s="6" t="s">
        <v>719</v>
      </c>
      <c r="NV123" t="s">
        <v>518</v>
      </c>
      <c r="NW123" s="5" t="s">
        <v>769</v>
      </c>
      <c r="NX123" s="4" t="s">
        <v>520</v>
      </c>
      <c r="NY123" s="3">
        <v>6.0038362813794988E-2</v>
      </c>
      <c r="OB123">
        <v>4</v>
      </c>
      <c r="OU123" t="s">
        <v>770</v>
      </c>
      <c r="OW123">
        <v>1998</v>
      </c>
      <c r="OZ123" s="2" t="s">
        <v>692</v>
      </c>
      <c r="PB123" t="s">
        <v>522</v>
      </c>
      <c r="PC123" s="50">
        <v>46094</v>
      </c>
    </row>
    <row r="124" spans="1:419" ht="15.75" thickBot="1">
      <c r="A124" s="11" t="s">
        <v>665</v>
      </c>
      <c r="B124" t="s">
        <v>666</v>
      </c>
      <c r="C124" t="s">
        <v>667</v>
      </c>
      <c r="D124" s="4" t="s">
        <v>668</v>
      </c>
      <c r="E124" t="s">
        <v>669</v>
      </c>
      <c r="F124" s="88" t="s">
        <v>670</v>
      </c>
      <c r="G124" t="s">
        <v>475</v>
      </c>
      <c r="H124" t="s">
        <v>476</v>
      </c>
      <c r="I124" s="10">
        <v>0.1</v>
      </c>
      <c r="J124" s="10">
        <v>34.566667000000002</v>
      </c>
      <c r="K124">
        <v>150</v>
      </c>
      <c r="AV124" t="s">
        <v>671</v>
      </c>
      <c r="AW124">
        <v>100</v>
      </c>
      <c r="AX124" t="s">
        <v>480</v>
      </c>
      <c r="AY124">
        <v>4</v>
      </c>
      <c r="AZ124" t="s">
        <v>672</v>
      </c>
      <c r="BA124">
        <v>1994</v>
      </c>
      <c r="BB124">
        <v>1998</v>
      </c>
      <c r="BC124" t="s">
        <v>673</v>
      </c>
      <c r="BD124" s="10" t="s">
        <v>693</v>
      </c>
      <c r="BE124" t="s">
        <v>566</v>
      </c>
      <c r="BF124" s="3" t="s">
        <v>484</v>
      </c>
      <c r="BG124" t="s">
        <v>485</v>
      </c>
      <c r="BH124" t="s">
        <v>675</v>
      </c>
      <c r="BI124" s="4" t="s">
        <v>486</v>
      </c>
      <c r="BJ124" s="9">
        <v>53000</v>
      </c>
      <c r="ED124" t="s">
        <v>676</v>
      </c>
      <c r="EE124" s="4" t="s">
        <v>486</v>
      </c>
      <c r="EF124" s="9">
        <v>53000</v>
      </c>
      <c r="EG124" s="9"/>
      <c r="EH124" s="9"/>
      <c r="EI124" s="9"/>
      <c r="EJ124" s="9"/>
      <c r="EK124" s="9"/>
      <c r="EL124" s="9"/>
      <c r="EM124" s="9"/>
      <c r="EN124" s="9"/>
      <c r="EO124" s="9"/>
      <c r="EP124" s="9"/>
      <c r="EQ124" s="9"/>
      <c r="ER124" s="9"/>
      <c r="ES124" s="9"/>
      <c r="ET124" s="9"/>
      <c r="EU124" s="9"/>
      <c r="EV124" s="9"/>
      <c r="EW124" s="9"/>
      <c r="EX124" s="9"/>
      <c r="EY124" s="9"/>
      <c r="EZ124" s="9"/>
      <c r="FA124" s="9"/>
      <c r="FB124" s="9"/>
      <c r="FC124" s="9"/>
      <c r="FD124" s="9"/>
      <c r="FE124" s="9"/>
      <c r="FF124" s="9"/>
      <c r="FG124" s="9"/>
      <c r="FH124" s="9"/>
      <c r="FI124" s="9"/>
      <c r="FJ124" s="9"/>
      <c r="FK124" s="9"/>
      <c r="FL124" s="9"/>
      <c r="FM124" s="9"/>
      <c r="FN124" s="9"/>
      <c r="FO124" s="9"/>
      <c r="FP124" s="9"/>
      <c r="FQ124" s="9"/>
      <c r="FR124" s="9"/>
      <c r="FS124" s="9"/>
      <c r="FT124" s="9"/>
      <c r="FU124" s="9"/>
      <c r="FV124" s="9"/>
      <c r="FW124" s="9"/>
      <c r="FX124" s="9"/>
      <c r="FY124" s="9"/>
      <c r="FZ124" s="9"/>
      <c r="GA124" s="9"/>
      <c r="GB124" s="9"/>
      <c r="GC124" s="9"/>
      <c r="GD124" s="9"/>
      <c r="GE124" s="9"/>
      <c r="GF124" s="9"/>
      <c r="GG124" s="9"/>
      <c r="GH124" s="9"/>
      <c r="GI124" s="9"/>
      <c r="GJ124" s="9"/>
      <c r="GK124" s="9"/>
      <c r="GL124" s="9"/>
      <c r="GM124" s="9"/>
      <c r="GN124" s="9"/>
      <c r="GO124" s="9"/>
      <c r="GP124" s="9"/>
      <c r="GQ124" s="9"/>
      <c r="GR124" s="9"/>
      <c r="GS124" s="9"/>
      <c r="GT124" s="9"/>
      <c r="GU124" s="9"/>
      <c r="GV124" s="9"/>
      <c r="GW124" s="9"/>
      <c r="GX124" s="9"/>
      <c r="GY124" s="9"/>
      <c r="GZ124" s="9"/>
      <c r="HA124" s="9"/>
      <c r="HB124" s="9"/>
      <c r="HC124" s="9"/>
      <c r="HD124" s="9"/>
      <c r="HE124" s="9"/>
      <c r="HF124" s="9"/>
      <c r="HG124" s="9"/>
      <c r="HH124" s="9"/>
      <c r="HI124" s="9"/>
      <c r="HJ124" s="9"/>
      <c r="HQ124" t="s">
        <v>677</v>
      </c>
      <c r="HS124" s="4" t="s">
        <v>490</v>
      </c>
      <c r="HT124" s="50">
        <v>34335</v>
      </c>
      <c r="HU124" s="50">
        <v>36160</v>
      </c>
      <c r="HV124" s="50"/>
      <c r="HW124" s="50"/>
      <c r="IN124" s="4"/>
      <c r="IO124" t="s">
        <v>694</v>
      </c>
      <c r="IP124" s="12" t="s">
        <v>695</v>
      </c>
      <c r="IS124">
        <v>1994</v>
      </c>
      <c r="IT124">
        <v>1994.2</v>
      </c>
      <c r="IU124" s="4" t="s">
        <v>544</v>
      </c>
      <c r="IV124" t="s">
        <v>696</v>
      </c>
      <c r="IW124" s="12" t="s">
        <v>681</v>
      </c>
      <c r="IZ124">
        <v>0.5</v>
      </c>
      <c r="JA124" t="s">
        <v>480</v>
      </c>
      <c r="JB124" t="s">
        <v>480</v>
      </c>
      <c r="JC124" t="s">
        <v>480</v>
      </c>
      <c r="JD124" t="s">
        <v>480</v>
      </c>
      <c r="JE124" t="s">
        <v>480</v>
      </c>
      <c r="JF124" t="s">
        <v>480</v>
      </c>
      <c r="JG124" t="s">
        <v>480</v>
      </c>
      <c r="JH124" t="s">
        <v>480</v>
      </c>
      <c r="JI124" t="s">
        <v>480</v>
      </c>
      <c r="JK124" s="12" t="s">
        <v>682</v>
      </c>
      <c r="JP124" s="4"/>
      <c r="JV124" s="4"/>
      <c r="JW124" s="4"/>
      <c r="JX124" s="4"/>
      <c r="JY124" s="4"/>
      <c r="JZ124" s="4"/>
      <c r="KA124" s="4"/>
      <c r="KF124" s="7" t="s">
        <v>500</v>
      </c>
      <c r="KJ124" s="7" t="s">
        <v>683</v>
      </c>
      <c r="KK124" s="7" t="s">
        <v>562</v>
      </c>
      <c r="KL124" t="s">
        <v>480</v>
      </c>
      <c r="KM124" t="s">
        <v>480</v>
      </c>
      <c r="MY124" t="s">
        <v>684</v>
      </c>
      <c r="MZ124">
        <v>42</v>
      </c>
      <c r="NB124" s="4" t="s">
        <v>754</v>
      </c>
      <c r="NJ124" t="s">
        <v>755</v>
      </c>
      <c r="NL124" s="4" t="s">
        <v>654</v>
      </c>
      <c r="NM124" s="6" t="s">
        <v>719</v>
      </c>
      <c r="NV124" t="s">
        <v>518</v>
      </c>
      <c r="NW124" s="5" t="s">
        <v>771</v>
      </c>
      <c r="NX124" s="4" t="s">
        <v>520</v>
      </c>
      <c r="NY124" s="3">
        <v>3.000799691307901E-2</v>
      </c>
      <c r="OB124">
        <v>4</v>
      </c>
      <c r="OU124" t="s">
        <v>770</v>
      </c>
      <c r="OW124">
        <v>1998</v>
      </c>
      <c r="OZ124" s="2" t="s">
        <v>692</v>
      </c>
      <c r="PB124" t="s">
        <v>522</v>
      </c>
      <c r="PC124" s="50">
        <v>46094</v>
      </c>
    </row>
    <row r="125" spans="1:419" ht="15.75" thickBot="1">
      <c r="A125" s="11" t="s">
        <v>665</v>
      </c>
      <c r="B125" t="s">
        <v>666</v>
      </c>
      <c r="C125" t="s">
        <v>667</v>
      </c>
      <c r="D125" s="4" t="s">
        <v>668</v>
      </c>
      <c r="E125" t="s">
        <v>669</v>
      </c>
      <c r="F125" s="88" t="s">
        <v>670</v>
      </c>
      <c r="G125" t="s">
        <v>475</v>
      </c>
      <c r="H125" t="s">
        <v>476</v>
      </c>
      <c r="I125" s="10">
        <v>0.1</v>
      </c>
      <c r="J125" s="10">
        <v>34.566667000000002</v>
      </c>
      <c r="K125">
        <v>150</v>
      </c>
      <c r="AV125" t="s">
        <v>671</v>
      </c>
      <c r="AW125">
        <v>100</v>
      </c>
      <c r="AX125" t="s">
        <v>480</v>
      </c>
      <c r="AY125">
        <v>4</v>
      </c>
      <c r="AZ125" t="s">
        <v>672</v>
      </c>
      <c r="BA125">
        <v>1994</v>
      </c>
      <c r="BB125">
        <v>1998</v>
      </c>
      <c r="BC125" t="s">
        <v>673</v>
      </c>
      <c r="BD125" s="10" t="s">
        <v>697</v>
      </c>
      <c r="BE125" t="s">
        <v>572</v>
      </c>
      <c r="BF125" s="3" t="s">
        <v>484</v>
      </c>
      <c r="BG125" t="s">
        <v>485</v>
      </c>
      <c r="BH125" t="s">
        <v>675</v>
      </c>
      <c r="BI125" s="4" t="s">
        <v>486</v>
      </c>
      <c r="BJ125" s="9">
        <v>53000</v>
      </c>
      <c r="EE125" s="4"/>
      <c r="EF125" s="9"/>
      <c r="EG125" s="9"/>
      <c r="EH125" s="9"/>
      <c r="EI125" s="9"/>
      <c r="EJ125" s="9"/>
      <c r="EK125" s="9"/>
      <c r="EL125" s="9"/>
      <c r="EM125" s="9"/>
      <c r="EN125" s="9"/>
      <c r="EO125" s="9"/>
      <c r="EP125" s="9"/>
      <c r="EQ125" s="9"/>
      <c r="ER125" s="9"/>
      <c r="ES125" s="9"/>
      <c r="ET125" s="9"/>
      <c r="EU125" s="9"/>
      <c r="EV125" s="9"/>
      <c r="EW125" s="9"/>
      <c r="EX125" s="9"/>
      <c r="EY125" s="9"/>
      <c r="EZ125" s="9"/>
      <c r="FA125" s="9"/>
      <c r="FB125" s="9"/>
      <c r="FC125" s="9"/>
      <c r="FD125" s="9"/>
      <c r="FE125" s="9"/>
      <c r="FF125" s="9"/>
      <c r="FG125" s="9"/>
      <c r="FH125" s="9"/>
      <c r="FI125" s="9"/>
      <c r="FJ125" s="9"/>
      <c r="FK125" s="9"/>
      <c r="FL125" s="9"/>
      <c r="FM125" s="9"/>
      <c r="FN125" s="9"/>
      <c r="FO125" s="9"/>
      <c r="FP125" s="9"/>
      <c r="FQ125" s="9"/>
      <c r="FR125" s="9"/>
      <c r="FS125" s="9"/>
      <c r="FT125" s="9"/>
      <c r="FU125" s="9"/>
      <c r="FV125" s="9"/>
      <c r="FW125" s="9"/>
      <c r="FX125" s="9"/>
      <c r="FY125" s="9"/>
      <c r="FZ125" s="9"/>
      <c r="GA125" s="9"/>
      <c r="GB125" s="9"/>
      <c r="GC125" s="9"/>
      <c r="GD125" s="9"/>
      <c r="GE125" s="9"/>
      <c r="GF125" s="9"/>
      <c r="GG125" s="9"/>
      <c r="GH125" s="9"/>
      <c r="GI125" s="9"/>
      <c r="GJ125" s="9"/>
      <c r="GK125" s="9"/>
      <c r="GL125" s="9"/>
      <c r="GM125" s="9"/>
      <c r="GN125" s="9"/>
      <c r="GO125" s="9"/>
      <c r="GP125" s="9"/>
      <c r="GQ125" s="9"/>
      <c r="GR125" s="9"/>
      <c r="GS125" s="9"/>
      <c r="GT125" s="9"/>
      <c r="GU125" s="9"/>
      <c r="GV125" s="9"/>
      <c r="GW125" s="9"/>
      <c r="GX125" s="9"/>
      <c r="GY125" s="9"/>
      <c r="GZ125" s="9"/>
      <c r="HA125" s="9"/>
      <c r="HB125" s="9"/>
      <c r="HC125" s="9"/>
      <c r="HD125" s="9"/>
      <c r="HE125" s="9"/>
      <c r="HF125" s="9"/>
      <c r="HG125" s="9"/>
      <c r="HH125" s="9"/>
      <c r="HI125" s="9"/>
      <c r="HJ125" s="9"/>
      <c r="HQ125" t="s">
        <v>677</v>
      </c>
      <c r="HS125" s="4" t="s">
        <v>490</v>
      </c>
      <c r="HT125" s="50">
        <v>34335</v>
      </c>
      <c r="HU125" s="50">
        <v>36160</v>
      </c>
      <c r="HV125" s="50"/>
      <c r="HW125" s="50"/>
      <c r="IO125" t="s">
        <v>698</v>
      </c>
      <c r="IP125" s="46" t="s">
        <v>699</v>
      </c>
      <c r="IS125">
        <v>1995</v>
      </c>
      <c r="IT125">
        <v>1995.2</v>
      </c>
      <c r="IU125" s="4" t="s">
        <v>544</v>
      </c>
      <c r="IV125" t="s">
        <v>700</v>
      </c>
      <c r="IW125" t="s">
        <v>492</v>
      </c>
      <c r="JA125">
        <v>0</v>
      </c>
      <c r="JB125">
        <v>0</v>
      </c>
      <c r="JC125">
        <v>0</v>
      </c>
      <c r="JD125">
        <v>0</v>
      </c>
      <c r="JE125">
        <v>0</v>
      </c>
      <c r="JF125">
        <v>0</v>
      </c>
      <c r="JG125">
        <v>0</v>
      </c>
      <c r="JH125">
        <v>0</v>
      </c>
      <c r="JI125">
        <v>0</v>
      </c>
      <c r="JK125" s="12" t="s">
        <v>682</v>
      </c>
      <c r="JP125" s="4"/>
      <c r="JV125" s="4"/>
      <c r="JW125" s="4"/>
      <c r="JX125" s="4"/>
      <c r="JY125" s="4"/>
      <c r="JZ125" s="4"/>
      <c r="KA125" s="4"/>
      <c r="KF125" s="7" t="s">
        <v>500</v>
      </c>
      <c r="KJ125" s="7" t="s">
        <v>649</v>
      </c>
      <c r="KK125" s="7"/>
      <c r="MY125" t="s">
        <v>684</v>
      </c>
      <c r="MZ125">
        <v>42</v>
      </c>
      <c r="NB125" s="4" t="s">
        <v>754</v>
      </c>
      <c r="NJ125" t="s">
        <v>755</v>
      </c>
      <c r="NL125" s="4" t="s">
        <v>654</v>
      </c>
      <c r="NM125" s="6" t="s">
        <v>719</v>
      </c>
      <c r="NV125" t="s">
        <v>518</v>
      </c>
      <c r="NW125" s="5" t="s">
        <v>772</v>
      </c>
      <c r="NX125" s="4" t="s">
        <v>520</v>
      </c>
      <c r="NY125" s="3">
        <v>4.2076065742454982E-2</v>
      </c>
      <c r="OB125">
        <v>4</v>
      </c>
      <c r="OU125" t="s">
        <v>770</v>
      </c>
      <c r="OW125">
        <v>1998</v>
      </c>
      <c r="OZ125" s="2" t="s">
        <v>692</v>
      </c>
      <c r="PB125" t="s">
        <v>522</v>
      </c>
      <c r="PC125" s="50">
        <v>46094</v>
      </c>
    </row>
    <row r="126" spans="1:419" ht="15.75" thickBot="1">
      <c r="A126" s="11" t="s">
        <v>665</v>
      </c>
      <c r="B126" t="s">
        <v>666</v>
      </c>
      <c r="C126" t="s">
        <v>667</v>
      </c>
      <c r="D126" s="4" t="s">
        <v>668</v>
      </c>
      <c r="E126" t="s">
        <v>669</v>
      </c>
      <c r="F126" s="88" t="s">
        <v>670</v>
      </c>
      <c r="G126" t="s">
        <v>475</v>
      </c>
      <c r="H126" t="s">
        <v>476</v>
      </c>
      <c r="I126" s="10">
        <v>0.1</v>
      </c>
      <c r="J126" s="10">
        <v>34.566667000000002</v>
      </c>
      <c r="K126">
        <v>150</v>
      </c>
      <c r="AV126" t="s">
        <v>671</v>
      </c>
      <c r="AW126">
        <v>100</v>
      </c>
      <c r="AX126" t="s">
        <v>480</v>
      </c>
      <c r="AY126">
        <v>4</v>
      </c>
      <c r="AZ126" t="s">
        <v>672</v>
      </c>
      <c r="BA126">
        <v>1994</v>
      </c>
      <c r="BB126">
        <v>1998</v>
      </c>
      <c r="BC126" t="s">
        <v>673</v>
      </c>
      <c r="BD126" s="10" t="s">
        <v>701</v>
      </c>
      <c r="BE126" t="s">
        <v>553</v>
      </c>
      <c r="BF126" s="3" t="s">
        <v>484</v>
      </c>
      <c r="BG126" t="s">
        <v>485</v>
      </c>
      <c r="BH126" t="s">
        <v>675</v>
      </c>
      <c r="BI126" s="4" t="s">
        <v>486</v>
      </c>
      <c r="BJ126" s="9">
        <v>53000</v>
      </c>
      <c r="EE126" s="4"/>
      <c r="EF126" s="9"/>
      <c r="EG126" s="9"/>
      <c r="EH126" s="9"/>
      <c r="EI126" s="9"/>
      <c r="EJ126" s="9"/>
      <c r="EK126" s="9"/>
      <c r="EL126" s="9"/>
      <c r="EM126" s="9"/>
      <c r="EN126" s="9"/>
      <c r="EO126" s="9"/>
      <c r="EP126" s="9"/>
      <c r="EQ126" s="9"/>
      <c r="ER126" s="9"/>
      <c r="ES126" s="9"/>
      <c r="ET126" s="9"/>
      <c r="EU126" s="9"/>
      <c r="EV126" s="9"/>
      <c r="EW126" s="9"/>
      <c r="EX126" s="9"/>
      <c r="EY126" s="9"/>
      <c r="EZ126" s="9"/>
      <c r="FA126" s="9"/>
      <c r="FB126" s="9"/>
      <c r="FC126" s="9"/>
      <c r="FD126" s="9"/>
      <c r="FE126" s="9"/>
      <c r="FF126" s="9"/>
      <c r="FG126" s="9"/>
      <c r="FH126" s="9"/>
      <c r="FI126" s="9"/>
      <c r="FJ126" s="9"/>
      <c r="FK126" s="9"/>
      <c r="FL126" s="9"/>
      <c r="FM126" s="9"/>
      <c r="FN126" s="9"/>
      <c r="FO126" s="9"/>
      <c r="FP126" s="9"/>
      <c r="FQ126" s="9"/>
      <c r="FR126" s="9"/>
      <c r="FS126" s="9"/>
      <c r="FT126" s="9"/>
      <c r="FU126" s="9"/>
      <c r="FV126" s="9"/>
      <c r="FW126" s="9"/>
      <c r="FX126" s="9"/>
      <c r="FY126" s="9"/>
      <c r="FZ126" s="9"/>
      <c r="GA126" s="9"/>
      <c r="GB126" s="9"/>
      <c r="GC126" s="9"/>
      <c r="GD126" s="9"/>
      <c r="GE126" s="9"/>
      <c r="GF126" s="9"/>
      <c r="GG126" s="9"/>
      <c r="GH126" s="9"/>
      <c r="GI126" s="9"/>
      <c r="GJ126" s="9"/>
      <c r="GK126" s="9"/>
      <c r="GL126" s="9"/>
      <c r="GM126" s="9"/>
      <c r="GN126" s="9"/>
      <c r="GO126" s="9"/>
      <c r="GP126" s="9"/>
      <c r="GQ126" s="9"/>
      <c r="GR126" s="9"/>
      <c r="GS126" s="9"/>
      <c r="GT126" s="9"/>
      <c r="GU126" s="9"/>
      <c r="GV126" s="9"/>
      <c r="GW126" s="9"/>
      <c r="GX126" s="9"/>
      <c r="GY126" s="9"/>
      <c r="GZ126" s="9"/>
      <c r="HA126" s="9"/>
      <c r="HB126" s="9"/>
      <c r="HC126" s="9"/>
      <c r="HD126" s="9"/>
      <c r="HE126" s="9"/>
      <c r="HF126" s="9"/>
      <c r="HG126" s="9"/>
      <c r="HH126" s="9"/>
      <c r="HI126" s="9"/>
      <c r="HJ126" s="9"/>
      <c r="HQ126" t="s">
        <v>677</v>
      </c>
      <c r="HS126" s="4" t="s">
        <v>490</v>
      </c>
      <c r="HT126" s="50">
        <v>34335</v>
      </c>
      <c r="HU126" s="50">
        <v>36160</v>
      </c>
      <c r="HV126" s="50"/>
      <c r="HW126" s="50"/>
      <c r="IO126" t="s">
        <v>702</v>
      </c>
      <c r="IP126" s="13" t="s">
        <v>703</v>
      </c>
      <c r="IS126">
        <v>1994</v>
      </c>
      <c r="IT126">
        <v>1994.2</v>
      </c>
      <c r="IU126" s="4" t="s">
        <v>544</v>
      </c>
      <c r="IV126" t="s">
        <v>700</v>
      </c>
      <c r="IW126" t="s">
        <v>492</v>
      </c>
      <c r="JA126">
        <v>0</v>
      </c>
      <c r="JB126">
        <v>0</v>
      </c>
      <c r="JC126">
        <v>0</v>
      </c>
      <c r="JD126">
        <v>0</v>
      </c>
      <c r="JE126">
        <v>0</v>
      </c>
      <c r="JF126">
        <v>0</v>
      </c>
      <c r="JG126">
        <v>0</v>
      </c>
      <c r="JH126">
        <v>0</v>
      </c>
      <c r="JI126">
        <v>0</v>
      </c>
      <c r="JK126" s="12" t="s">
        <v>682</v>
      </c>
      <c r="JP126" s="4"/>
      <c r="JV126" s="4"/>
      <c r="JW126" s="4"/>
      <c r="JX126" s="4"/>
      <c r="JY126" s="4"/>
      <c r="JZ126" s="4"/>
      <c r="KA126" s="4"/>
      <c r="KF126" s="7" t="s">
        <v>500</v>
      </c>
      <c r="KJ126" s="7" t="s">
        <v>649</v>
      </c>
      <c r="KK126" s="7"/>
      <c r="MY126" t="s">
        <v>684</v>
      </c>
      <c r="MZ126">
        <v>42</v>
      </c>
      <c r="NB126" s="4" t="s">
        <v>754</v>
      </c>
      <c r="NJ126" t="s">
        <v>755</v>
      </c>
      <c r="NL126" s="4" t="s">
        <v>654</v>
      </c>
      <c r="NM126" s="6" t="s">
        <v>719</v>
      </c>
      <c r="NV126" t="s">
        <v>518</v>
      </c>
      <c r="NW126" s="5" t="s">
        <v>773</v>
      </c>
      <c r="NX126" s="4" t="s">
        <v>520</v>
      </c>
      <c r="NY126" s="3">
        <v>6.306376839150199E-2</v>
      </c>
      <c r="OB126">
        <v>4</v>
      </c>
      <c r="OU126" t="s">
        <v>770</v>
      </c>
      <c r="OW126">
        <v>1998</v>
      </c>
      <c r="OZ126" s="2" t="s">
        <v>692</v>
      </c>
      <c r="PB126" t="s">
        <v>522</v>
      </c>
      <c r="PC126" s="50">
        <v>46094</v>
      </c>
    </row>
    <row r="127" spans="1:419" ht="15.75" thickBot="1">
      <c r="A127" s="11" t="s">
        <v>665</v>
      </c>
      <c r="B127" t="s">
        <v>666</v>
      </c>
      <c r="C127" t="s">
        <v>667</v>
      </c>
      <c r="D127" s="4" t="s">
        <v>668</v>
      </c>
      <c r="E127" t="s">
        <v>669</v>
      </c>
      <c r="F127" s="88" t="s">
        <v>670</v>
      </c>
      <c r="G127" t="s">
        <v>475</v>
      </c>
      <c r="H127" t="s">
        <v>476</v>
      </c>
      <c r="I127" s="10">
        <v>0.1</v>
      </c>
      <c r="J127" s="10">
        <v>34.566667000000002</v>
      </c>
      <c r="K127">
        <v>150</v>
      </c>
      <c r="AV127" t="s">
        <v>671</v>
      </c>
      <c r="AW127">
        <v>100</v>
      </c>
      <c r="AX127" t="s">
        <v>480</v>
      </c>
      <c r="AY127">
        <v>4</v>
      </c>
      <c r="AZ127" t="s">
        <v>672</v>
      </c>
      <c r="BA127">
        <v>1994</v>
      </c>
      <c r="BB127">
        <v>1998</v>
      </c>
      <c r="BC127" t="s">
        <v>673</v>
      </c>
      <c r="BD127" s="10" t="s">
        <v>704</v>
      </c>
      <c r="BE127" t="s">
        <v>524</v>
      </c>
      <c r="BF127" s="3" t="s">
        <v>484</v>
      </c>
      <c r="BG127" t="s">
        <v>485</v>
      </c>
      <c r="BH127" t="s">
        <v>675</v>
      </c>
      <c r="BI127" s="4" t="s">
        <v>486</v>
      </c>
      <c r="BJ127" s="9">
        <v>53000</v>
      </c>
      <c r="HQ127" t="s">
        <v>677</v>
      </c>
      <c r="HS127" s="4" t="s">
        <v>490</v>
      </c>
      <c r="HT127" s="50">
        <v>34335</v>
      </c>
      <c r="HU127" s="50">
        <v>36160</v>
      </c>
      <c r="HV127" s="50"/>
      <c r="HW127" s="50"/>
      <c r="IO127" t="s">
        <v>700</v>
      </c>
      <c r="IP127" s="46" t="s">
        <v>492</v>
      </c>
      <c r="IU127" s="4" t="s">
        <v>544</v>
      </c>
      <c r="IV127" t="s">
        <v>700</v>
      </c>
      <c r="IW127" s="46" t="s">
        <v>492</v>
      </c>
      <c r="JA127">
        <v>0</v>
      </c>
      <c r="JB127">
        <v>0</v>
      </c>
      <c r="JC127">
        <v>0</v>
      </c>
      <c r="JD127">
        <v>0</v>
      </c>
      <c r="JE127">
        <v>0</v>
      </c>
      <c r="JF127">
        <v>0</v>
      </c>
      <c r="JG127">
        <v>0</v>
      </c>
      <c r="JH127">
        <v>0</v>
      </c>
      <c r="JI127">
        <v>0</v>
      </c>
      <c r="JK127" s="12" t="s">
        <v>682</v>
      </c>
      <c r="JP127" s="4"/>
      <c r="JV127" s="4"/>
      <c r="JW127" s="4"/>
      <c r="JX127" s="4"/>
      <c r="JY127" s="4"/>
      <c r="JZ127" s="4"/>
      <c r="KA127" s="4"/>
      <c r="KF127" s="7" t="s">
        <v>500</v>
      </c>
      <c r="KJ127" s="7" t="s">
        <v>649</v>
      </c>
      <c r="KK127" s="7"/>
      <c r="MY127" t="s">
        <v>684</v>
      </c>
      <c r="MZ127">
        <v>42</v>
      </c>
      <c r="NB127" s="4" t="s">
        <v>754</v>
      </c>
      <c r="NJ127" t="s">
        <v>755</v>
      </c>
      <c r="NL127" s="4" t="s">
        <v>654</v>
      </c>
      <c r="NM127" s="6" t="s">
        <v>719</v>
      </c>
      <c r="NU127" t="s">
        <v>517</v>
      </c>
      <c r="NV127" t="s">
        <v>518</v>
      </c>
      <c r="NW127" s="5" t="s">
        <v>774</v>
      </c>
      <c r="NX127" s="4" t="s">
        <v>520</v>
      </c>
      <c r="NY127" s="3">
        <v>5.7068879705177045E-2</v>
      </c>
      <c r="OB127">
        <v>4</v>
      </c>
      <c r="OU127" t="s">
        <v>770</v>
      </c>
      <c r="OW127">
        <v>1998</v>
      </c>
      <c r="OZ127" s="2" t="s">
        <v>692</v>
      </c>
      <c r="PB127" t="s">
        <v>522</v>
      </c>
      <c r="PC127" s="50">
        <v>46094</v>
      </c>
    </row>
    <row r="128" spans="1:419" ht="15.75" thickBot="1">
      <c r="A128" s="11" t="s">
        <v>665</v>
      </c>
      <c r="B128" t="s">
        <v>666</v>
      </c>
      <c r="C128" t="s">
        <v>667</v>
      </c>
      <c r="D128" s="4" t="s">
        <v>668</v>
      </c>
      <c r="E128" t="s">
        <v>669</v>
      </c>
      <c r="F128" s="88" t="s">
        <v>670</v>
      </c>
      <c r="G128" t="s">
        <v>475</v>
      </c>
      <c r="H128" t="s">
        <v>476</v>
      </c>
      <c r="I128" s="10">
        <v>0.1</v>
      </c>
      <c r="J128" s="10">
        <v>34.566667000000002</v>
      </c>
      <c r="K128">
        <v>150</v>
      </c>
      <c r="AV128" t="s">
        <v>671</v>
      </c>
      <c r="AW128">
        <v>100</v>
      </c>
      <c r="AX128" t="s">
        <v>480</v>
      </c>
      <c r="AY128">
        <v>4</v>
      </c>
      <c r="AZ128" t="s">
        <v>672</v>
      </c>
      <c r="BA128">
        <v>1994</v>
      </c>
      <c r="BB128">
        <v>1998</v>
      </c>
      <c r="BC128" t="s">
        <v>673</v>
      </c>
      <c r="BD128" s="10" t="s">
        <v>705</v>
      </c>
      <c r="BE128" t="s">
        <v>483</v>
      </c>
      <c r="BF128" s="3" t="s">
        <v>484</v>
      </c>
      <c r="BG128" t="s">
        <v>485</v>
      </c>
      <c r="BH128" t="s">
        <v>675</v>
      </c>
      <c r="BI128" s="4" t="s">
        <v>486</v>
      </c>
      <c r="BJ128" s="9">
        <v>53000</v>
      </c>
      <c r="HQ128" t="s">
        <v>677</v>
      </c>
      <c r="HS128" s="4" t="s">
        <v>490</v>
      </c>
      <c r="HT128" s="50">
        <v>34335</v>
      </c>
      <c r="HU128" s="50">
        <v>36160</v>
      </c>
      <c r="HV128" s="50"/>
      <c r="HW128" s="50"/>
      <c r="IO128" t="s">
        <v>706</v>
      </c>
      <c r="IP128" s="46" t="s">
        <v>492</v>
      </c>
      <c r="IU128" s="4" t="s">
        <v>544</v>
      </c>
      <c r="IV128" t="s">
        <v>707</v>
      </c>
      <c r="IW128" s="46" t="s">
        <v>492</v>
      </c>
      <c r="JA128">
        <v>0</v>
      </c>
      <c r="JB128">
        <v>0</v>
      </c>
      <c r="JC128">
        <v>0</v>
      </c>
      <c r="JD128">
        <v>0</v>
      </c>
      <c r="JE128">
        <v>0</v>
      </c>
      <c r="JF128">
        <v>0</v>
      </c>
      <c r="JG128">
        <v>0</v>
      </c>
      <c r="JH128">
        <v>0</v>
      </c>
      <c r="JI128">
        <v>0</v>
      </c>
      <c r="JJ128" t="s">
        <v>706</v>
      </c>
      <c r="JK128" t="s">
        <v>494</v>
      </c>
      <c r="JL128" s="8" t="s">
        <v>495</v>
      </c>
      <c r="JP128" s="4" t="s">
        <v>508</v>
      </c>
      <c r="JQ128">
        <v>60</v>
      </c>
      <c r="JT128">
        <v>60</v>
      </c>
      <c r="JV128" s="4"/>
      <c r="JW128" s="4"/>
      <c r="JX128" s="4"/>
      <c r="JY128" s="4"/>
      <c r="JZ128" s="4"/>
      <c r="KA128" s="4"/>
      <c r="KF128" s="7" t="s">
        <v>500</v>
      </c>
      <c r="KJ128" s="7" t="s">
        <v>649</v>
      </c>
      <c r="KK128" s="7"/>
      <c r="MY128" t="s">
        <v>684</v>
      </c>
      <c r="MZ128">
        <v>42</v>
      </c>
      <c r="NB128" s="4" t="s">
        <v>754</v>
      </c>
      <c r="NJ128" t="s">
        <v>755</v>
      </c>
      <c r="NL128" s="4" t="s">
        <v>654</v>
      </c>
      <c r="NM128" s="6" t="s">
        <v>719</v>
      </c>
      <c r="NU128" t="s">
        <v>708</v>
      </c>
      <c r="NV128" t="s">
        <v>518</v>
      </c>
      <c r="NW128" s="5" t="s">
        <v>775</v>
      </c>
      <c r="NX128" s="4" t="s">
        <v>520</v>
      </c>
      <c r="NY128" s="3">
        <v>7.2050509174081068E-2</v>
      </c>
      <c r="OB128">
        <v>4</v>
      </c>
      <c r="OU128" t="s">
        <v>770</v>
      </c>
      <c r="OW128">
        <v>1998</v>
      </c>
      <c r="OZ128" s="2" t="s">
        <v>692</v>
      </c>
      <c r="PB128" t="s">
        <v>522</v>
      </c>
      <c r="PC128" s="50">
        <v>46094</v>
      </c>
    </row>
    <row r="129" spans="1:419" ht="15.75" thickBot="1">
      <c r="A129" s="11" t="s">
        <v>665</v>
      </c>
      <c r="B129" t="s">
        <v>666</v>
      </c>
      <c r="C129" t="s">
        <v>667</v>
      </c>
      <c r="D129" s="4" t="s">
        <v>668</v>
      </c>
      <c r="E129" t="s">
        <v>669</v>
      </c>
      <c r="F129" s="88" t="s">
        <v>670</v>
      </c>
      <c r="G129" t="s">
        <v>475</v>
      </c>
      <c r="H129" t="s">
        <v>476</v>
      </c>
      <c r="I129" s="10">
        <v>0.1</v>
      </c>
      <c r="J129" s="10">
        <v>34.566667000000002</v>
      </c>
      <c r="K129">
        <v>150</v>
      </c>
      <c r="AV129" t="s">
        <v>671</v>
      </c>
      <c r="AW129">
        <v>100</v>
      </c>
      <c r="AX129" t="s">
        <v>480</v>
      </c>
      <c r="AY129">
        <v>4</v>
      </c>
      <c r="AZ129" t="s">
        <v>672</v>
      </c>
      <c r="BA129">
        <v>1994</v>
      </c>
      <c r="BB129">
        <v>1998</v>
      </c>
      <c r="BC129" t="s">
        <v>673</v>
      </c>
      <c r="BD129" s="10" t="s">
        <v>674</v>
      </c>
      <c r="BE129" t="s">
        <v>536</v>
      </c>
      <c r="BF129" s="3" t="s">
        <v>484</v>
      </c>
      <c r="BG129" t="s">
        <v>485</v>
      </c>
      <c r="BH129" t="s">
        <v>675</v>
      </c>
      <c r="BI129" s="4" t="s">
        <v>486</v>
      </c>
      <c r="BJ129" s="9">
        <v>53000</v>
      </c>
      <c r="ED129" t="s">
        <v>676</v>
      </c>
      <c r="EE129" s="4" t="s">
        <v>486</v>
      </c>
      <c r="EF129" s="9">
        <v>53000</v>
      </c>
      <c r="EG129" s="9"/>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Q129" t="s">
        <v>677</v>
      </c>
      <c r="HS129" s="4" t="s">
        <v>490</v>
      </c>
      <c r="HT129" s="50">
        <v>34335</v>
      </c>
      <c r="HU129" s="50">
        <v>36160</v>
      </c>
      <c r="HV129" s="50"/>
      <c r="HW129" s="50"/>
      <c r="IN129" s="4"/>
      <c r="IO129" t="s">
        <v>678</v>
      </c>
      <c r="IP129" s="12" t="s">
        <v>679</v>
      </c>
      <c r="IS129">
        <v>1995</v>
      </c>
      <c r="IT129">
        <v>1995.2</v>
      </c>
      <c r="IU129" s="4" t="s">
        <v>544</v>
      </c>
      <c r="IV129" t="s">
        <v>680</v>
      </c>
      <c r="IW129" s="12" t="s">
        <v>681</v>
      </c>
      <c r="IZ129">
        <v>0.5</v>
      </c>
      <c r="JA129" t="s">
        <v>480</v>
      </c>
      <c r="JB129" t="s">
        <v>480</v>
      </c>
      <c r="JC129" t="s">
        <v>480</v>
      </c>
      <c r="JD129" t="s">
        <v>480</v>
      </c>
      <c r="JE129" t="s">
        <v>480</v>
      </c>
      <c r="JF129" t="s">
        <v>480</v>
      </c>
      <c r="JG129" t="s">
        <v>480</v>
      </c>
      <c r="JH129" t="s">
        <v>480</v>
      </c>
      <c r="JI129" t="s">
        <v>480</v>
      </c>
      <c r="JK129" s="12" t="s">
        <v>682</v>
      </c>
      <c r="JP129" s="4"/>
      <c r="JV129" s="4"/>
      <c r="JW129" s="4"/>
      <c r="JX129" s="4"/>
      <c r="JY129" s="4"/>
      <c r="JZ129" s="4"/>
      <c r="KA129" s="4"/>
      <c r="KF129" s="7" t="s">
        <v>500</v>
      </c>
      <c r="KJ129" s="7" t="s">
        <v>683</v>
      </c>
      <c r="KK129" s="7" t="s">
        <v>562</v>
      </c>
      <c r="KL129" t="s">
        <v>480</v>
      </c>
      <c r="KM129" t="s">
        <v>480</v>
      </c>
      <c r="MY129" t="s">
        <v>684</v>
      </c>
      <c r="MZ129">
        <v>42</v>
      </c>
      <c r="NB129" s="4" t="s">
        <v>754</v>
      </c>
      <c r="NJ129" t="s">
        <v>755</v>
      </c>
      <c r="NL129" s="4" t="s">
        <v>654</v>
      </c>
      <c r="NM129" s="6" t="s">
        <v>719</v>
      </c>
      <c r="NV129" t="s">
        <v>518</v>
      </c>
      <c r="NW129" s="5" t="s">
        <v>776</v>
      </c>
      <c r="NX129" s="4" t="s">
        <v>520</v>
      </c>
      <c r="NY129" s="3">
        <v>5.7576404974476025E-2</v>
      </c>
      <c r="OB129">
        <v>4</v>
      </c>
      <c r="OU129" t="s">
        <v>777</v>
      </c>
      <c r="OW129">
        <v>1996</v>
      </c>
      <c r="OZ129" s="2" t="s">
        <v>709</v>
      </c>
      <c r="PB129" t="s">
        <v>522</v>
      </c>
      <c r="PC129" s="50">
        <v>46094</v>
      </c>
    </row>
    <row r="130" spans="1:419" ht="15.75" thickBot="1">
      <c r="A130" s="11" t="s">
        <v>665</v>
      </c>
      <c r="B130" t="s">
        <v>666</v>
      </c>
      <c r="C130" t="s">
        <v>667</v>
      </c>
      <c r="D130" s="4" t="s">
        <v>668</v>
      </c>
      <c r="E130" t="s">
        <v>669</v>
      </c>
      <c r="F130" s="88" t="s">
        <v>670</v>
      </c>
      <c r="G130" t="s">
        <v>475</v>
      </c>
      <c r="H130" t="s">
        <v>476</v>
      </c>
      <c r="I130" s="10">
        <v>0.1</v>
      </c>
      <c r="J130" s="10">
        <v>34.566667000000002</v>
      </c>
      <c r="K130">
        <v>150</v>
      </c>
      <c r="AV130" t="s">
        <v>671</v>
      </c>
      <c r="AW130">
        <v>100</v>
      </c>
      <c r="AX130" t="s">
        <v>480</v>
      </c>
      <c r="AY130">
        <v>4</v>
      </c>
      <c r="AZ130" t="s">
        <v>672</v>
      </c>
      <c r="BA130">
        <v>1994</v>
      </c>
      <c r="BB130">
        <v>1998</v>
      </c>
      <c r="BC130" t="s">
        <v>673</v>
      </c>
      <c r="BD130" s="10" t="s">
        <v>693</v>
      </c>
      <c r="BE130" t="s">
        <v>566</v>
      </c>
      <c r="BF130" s="3" t="s">
        <v>484</v>
      </c>
      <c r="BG130" t="s">
        <v>485</v>
      </c>
      <c r="BH130" t="s">
        <v>675</v>
      </c>
      <c r="BI130" s="4" t="s">
        <v>486</v>
      </c>
      <c r="BJ130" s="9">
        <v>53000</v>
      </c>
      <c r="ED130" t="s">
        <v>676</v>
      </c>
      <c r="EE130" s="4" t="s">
        <v>486</v>
      </c>
      <c r="EF130" s="9">
        <v>53000</v>
      </c>
      <c r="EG130" s="9"/>
      <c r="EH130" s="9"/>
      <c r="EI130" s="9"/>
      <c r="EJ130" s="9"/>
      <c r="EK130" s="9"/>
      <c r="EL130" s="9"/>
      <c r="EM130" s="9"/>
      <c r="EN130" s="9"/>
      <c r="EO130" s="9"/>
      <c r="EP130" s="9"/>
      <c r="EQ130" s="9"/>
      <c r="ER130" s="9"/>
      <c r="ES130" s="9"/>
      <c r="ET130" s="9"/>
      <c r="EU130" s="9"/>
      <c r="EV130" s="9"/>
      <c r="EW130" s="9"/>
      <c r="EX130" s="9"/>
      <c r="EY130" s="9"/>
      <c r="EZ130" s="9"/>
      <c r="FA130" s="9"/>
      <c r="FB130" s="9"/>
      <c r="FC130" s="9"/>
      <c r="FD130" s="9"/>
      <c r="FE130" s="9"/>
      <c r="FF130" s="9"/>
      <c r="FG130" s="9"/>
      <c r="FH130" s="9"/>
      <c r="FI130" s="9"/>
      <c r="FJ130" s="9"/>
      <c r="FK130" s="9"/>
      <c r="FL130" s="9"/>
      <c r="FM130" s="9"/>
      <c r="FN130" s="9"/>
      <c r="FO130" s="9"/>
      <c r="FP130" s="9"/>
      <c r="FQ130" s="9"/>
      <c r="FR130" s="9"/>
      <c r="FS130" s="9"/>
      <c r="FT130" s="9"/>
      <c r="FU130" s="9"/>
      <c r="FV130" s="9"/>
      <c r="FW130" s="9"/>
      <c r="FX130" s="9"/>
      <c r="FY130" s="9"/>
      <c r="FZ130" s="9"/>
      <c r="GA130" s="9"/>
      <c r="GB130" s="9"/>
      <c r="GC130" s="9"/>
      <c r="GD130" s="9"/>
      <c r="GE130" s="9"/>
      <c r="GF130" s="9"/>
      <c r="GG130" s="9"/>
      <c r="GH130" s="9"/>
      <c r="GI130" s="9"/>
      <c r="GJ130" s="9"/>
      <c r="GK130" s="9"/>
      <c r="GL130" s="9"/>
      <c r="GM130" s="9"/>
      <c r="GN130" s="9"/>
      <c r="GO130" s="9"/>
      <c r="GP130" s="9"/>
      <c r="GQ130" s="9"/>
      <c r="GR130" s="9"/>
      <c r="GS130" s="9"/>
      <c r="GT130" s="9"/>
      <c r="GU130" s="9"/>
      <c r="GV130" s="9"/>
      <c r="GW130" s="9"/>
      <c r="GX130" s="9"/>
      <c r="GY130" s="9"/>
      <c r="GZ130" s="9"/>
      <c r="HA130" s="9"/>
      <c r="HB130" s="9"/>
      <c r="HC130" s="9"/>
      <c r="HD130" s="9"/>
      <c r="HE130" s="9"/>
      <c r="HF130" s="9"/>
      <c r="HG130" s="9"/>
      <c r="HH130" s="9"/>
      <c r="HI130" s="9"/>
      <c r="HJ130" s="9"/>
      <c r="HQ130" t="s">
        <v>677</v>
      </c>
      <c r="HS130" s="4" t="s">
        <v>490</v>
      </c>
      <c r="HT130" s="50">
        <v>34335</v>
      </c>
      <c r="HU130" s="50">
        <v>36160</v>
      </c>
      <c r="HV130" s="50"/>
      <c r="HW130" s="50"/>
      <c r="IN130" s="4"/>
      <c r="IO130" t="s">
        <v>694</v>
      </c>
      <c r="IP130" s="12" t="s">
        <v>695</v>
      </c>
      <c r="IS130">
        <v>1994</v>
      </c>
      <c r="IT130">
        <v>1994.2</v>
      </c>
      <c r="IU130" s="4" t="s">
        <v>544</v>
      </c>
      <c r="IV130" t="s">
        <v>696</v>
      </c>
      <c r="IW130" s="12" t="s">
        <v>681</v>
      </c>
      <c r="IZ130">
        <v>0.5</v>
      </c>
      <c r="JA130" t="s">
        <v>480</v>
      </c>
      <c r="JB130" t="s">
        <v>480</v>
      </c>
      <c r="JC130" t="s">
        <v>480</v>
      </c>
      <c r="JD130" t="s">
        <v>480</v>
      </c>
      <c r="JE130" t="s">
        <v>480</v>
      </c>
      <c r="JF130" t="s">
        <v>480</v>
      </c>
      <c r="JG130" t="s">
        <v>480</v>
      </c>
      <c r="JH130" t="s">
        <v>480</v>
      </c>
      <c r="JI130" t="s">
        <v>480</v>
      </c>
      <c r="JK130" s="12" t="s">
        <v>682</v>
      </c>
      <c r="JP130" s="4"/>
      <c r="JV130" s="4"/>
      <c r="JW130" s="4"/>
      <c r="JX130" s="4"/>
      <c r="JY130" s="4"/>
      <c r="JZ130" s="4"/>
      <c r="KA130" s="4"/>
      <c r="KF130" s="7" t="s">
        <v>500</v>
      </c>
      <c r="KJ130" s="7" t="s">
        <v>683</v>
      </c>
      <c r="KK130" s="7" t="s">
        <v>562</v>
      </c>
      <c r="KL130" t="s">
        <v>480</v>
      </c>
      <c r="KM130" t="s">
        <v>480</v>
      </c>
      <c r="MY130" t="s">
        <v>684</v>
      </c>
      <c r="MZ130">
        <v>42</v>
      </c>
      <c r="NB130" s="4" t="s">
        <v>754</v>
      </c>
      <c r="NJ130" t="s">
        <v>755</v>
      </c>
      <c r="NL130" s="4" t="s">
        <v>654</v>
      </c>
      <c r="NM130" s="6" t="s">
        <v>719</v>
      </c>
      <c r="NV130" t="s">
        <v>518</v>
      </c>
      <c r="NW130" s="5" t="s">
        <v>778</v>
      </c>
      <c r="NX130" s="4" t="s">
        <v>520</v>
      </c>
      <c r="NY130" s="3">
        <v>3.9428115231519956E-2</v>
      </c>
      <c r="OB130">
        <v>4</v>
      </c>
      <c r="OU130" t="s">
        <v>777</v>
      </c>
      <c r="OW130">
        <v>1996</v>
      </c>
      <c r="OZ130" s="2" t="s">
        <v>709</v>
      </c>
      <c r="PB130" t="s">
        <v>522</v>
      </c>
      <c r="PC130" s="50">
        <v>46094</v>
      </c>
    </row>
    <row r="131" spans="1:419" ht="15.75" thickBot="1">
      <c r="A131" s="11" t="s">
        <v>665</v>
      </c>
      <c r="B131" t="s">
        <v>666</v>
      </c>
      <c r="C131" t="s">
        <v>667</v>
      </c>
      <c r="D131" s="4" t="s">
        <v>668</v>
      </c>
      <c r="E131" t="s">
        <v>669</v>
      </c>
      <c r="F131" s="88" t="s">
        <v>670</v>
      </c>
      <c r="G131" t="s">
        <v>475</v>
      </c>
      <c r="H131" t="s">
        <v>476</v>
      </c>
      <c r="I131" s="10">
        <v>0.1</v>
      </c>
      <c r="J131" s="10">
        <v>34.566667000000002</v>
      </c>
      <c r="K131">
        <v>150</v>
      </c>
      <c r="AV131" t="s">
        <v>671</v>
      </c>
      <c r="AW131">
        <v>100</v>
      </c>
      <c r="AX131" t="s">
        <v>480</v>
      </c>
      <c r="AY131">
        <v>4</v>
      </c>
      <c r="AZ131" t="s">
        <v>672</v>
      </c>
      <c r="BA131">
        <v>1994</v>
      </c>
      <c r="BB131">
        <v>1998</v>
      </c>
      <c r="BC131" t="s">
        <v>673</v>
      </c>
      <c r="BD131" s="10" t="s">
        <v>697</v>
      </c>
      <c r="BE131" t="s">
        <v>572</v>
      </c>
      <c r="BF131" s="3" t="s">
        <v>484</v>
      </c>
      <c r="BG131" t="s">
        <v>485</v>
      </c>
      <c r="BH131" t="s">
        <v>675</v>
      </c>
      <c r="BI131" s="4" t="s">
        <v>486</v>
      </c>
      <c r="BJ131" s="9">
        <v>53000</v>
      </c>
      <c r="EE131" s="4"/>
      <c r="EF131" s="9"/>
      <c r="EG131" s="9"/>
      <c r="EH131" s="9"/>
      <c r="EI131" s="9"/>
      <c r="EJ131" s="9"/>
      <c r="EK131" s="9"/>
      <c r="EL131" s="9"/>
      <c r="EM131" s="9"/>
      <c r="EN131" s="9"/>
      <c r="EO131" s="9"/>
      <c r="EP131" s="9"/>
      <c r="EQ131" s="9"/>
      <c r="ER131" s="9"/>
      <c r="ES131" s="9"/>
      <c r="ET131" s="9"/>
      <c r="EU131" s="9"/>
      <c r="EV131" s="9"/>
      <c r="EW131" s="9"/>
      <c r="EX131" s="9"/>
      <c r="EY131" s="9"/>
      <c r="EZ131" s="9"/>
      <c r="FA131" s="9"/>
      <c r="FB131" s="9"/>
      <c r="FC131" s="9"/>
      <c r="FD131" s="9"/>
      <c r="FE131" s="9"/>
      <c r="FF131" s="9"/>
      <c r="FG131" s="9"/>
      <c r="FH131" s="9"/>
      <c r="FI131" s="9"/>
      <c r="FJ131" s="9"/>
      <c r="FK131" s="9"/>
      <c r="FL131" s="9"/>
      <c r="FM131" s="9"/>
      <c r="FN131" s="9"/>
      <c r="FO131" s="9"/>
      <c r="FP131" s="9"/>
      <c r="FQ131" s="9"/>
      <c r="FR131" s="9"/>
      <c r="FS131" s="9"/>
      <c r="FT131" s="9"/>
      <c r="FU131" s="9"/>
      <c r="FV131" s="9"/>
      <c r="FW131" s="9"/>
      <c r="FX131" s="9"/>
      <c r="FY131" s="9"/>
      <c r="FZ131" s="9"/>
      <c r="GA131" s="9"/>
      <c r="GB131" s="9"/>
      <c r="GC131" s="9"/>
      <c r="GD131" s="9"/>
      <c r="GE131" s="9"/>
      <c r="GF131" s="9"/>
      <c r="GG131" s="9"/>
      <c r="GH131" s="9"/>
      <c r="GI131" s="9"/>
      <c r="GJ131" s="9"/>
      <c r="GK131" s="9"/>
      <c r="GL131" s="9"/>
      <c r="GM131" s="9"/>
      <c r="GN131" s="9"/>
      <c r="GO131" s="9"/>
      <c r="GP131" s="9"/>
      <c r="GQ131" s="9"/>
      <c r="GR131" s="9"/>
      <c r="GS131" s="9"/>
      <c r="GT131" s="9"/>
      <c r="GU131" s="9"/>
      <c r="GV131" s="9"/>
      <c r="GW131" s="9"/>
      <c r="GX131" s="9"/>
      <c r="GY131" s="9"/>
      <c r="GZ131" s="9"/>
      <c r="HA131" s="9"/>
      <c r="HB131" s="9"/>
      <c r="HC131" s="9"/>
      <c r="HD131" s="9"/>
      <c r="HE131" s="9"/>
      <c r="HF131" s="9"/>
      <c r="HG131" s="9"/>
      <c r="HH131" s="9"/>
      <c r="HI131" s="9"/>
      <c r="HJ131" s="9"/>
      <c r="HQ131" t="s">
        <v>677</v>
      </c>
      <c r="HS131" s="4" t="s">
        <v>490</v>
      </c>
      <c r="HT131" s="50">
        <v>34335</v>
      </c>
      <c r="HU131" s="50">
        <v>36160</v>
      </c>
      <c r="HV131" s="50"/>
      <c r="HW131" s="50"/>
      <c r="IO131" t="s">
        <v>698</v>
      </c>
      <c r="IP131" s="46" t="s">
        <v>699</v>
      </c>
      <c r="IS131">
        <v>1995</v>
      </c>
      <c r="IT131">
        <v>1995.2</v>
      </c>
      <c r="IU131" s="4" t="s">
        <v>544</v>
      </c>
      <c r="IV131" t="s">
        <v>700</v>
      </c>
      <c r="IW131" t="s">
        <v>492</v>
      </c>
      <c r="JA131">
        <v>0</v>
      </c>
      <c r="JB131">
        <v>0</v>
      </c>
      <c r="JC131">
        <v>0</v>
      </c>
      <c r="JD131">
        <v>0</v>
      </c>
      <c r="JE131">
        <v>0</v>
      </c>
      <c r="JF131">
        <v>0</v>
      </c>
      <c r="JG131">
        <v>0</v>
      </c>
      <c r="JH131">
        <v>0</v>
      </c>
      <c r="JI131">
        <v>0</v>
      </c>
      <c r="JK131" s="12" t="s">
        <v>682</v>
      </c>
      <c r="JP131" s="4"/>
      <c r="JV131" s="4"/>
      <c r="JW131" s="4"/>
      <c r="JX131" s="4"/>
      <c r="JY131" s="4"/>
      <c r="JZ131" s="4"/>
      <c r="KA131" s="4"/>
      <c r="KF131" s="7" t="s">
        <v>500</v>
      </c>
      <c r="KJ131" s="7" t="s">
        <v>649</v>
      </c>
      <c r="KK131" s="7"/>
      <c r="MY131" t="s">
        <v>684</v>
      </c>
      <c r="MZ131">
        <v>42</v>
      </c>
      <c r="NB131" s="4" t="s">
        <v>754</v>
      </c>
      <c r="NJ131" t="s">
        <v>755</v>
      </c>
      <c r="NL131" s="4" t="s">
        <v>654</v>
      </c>
      <c r="NM131" s="6" t="s">
        <v>719</v>
      </c>
      <c r="NV131" t="s">
        <v>518</v>
      </c>
      <c r="NW131" s="5" t="s">
        <v>779</v>
      </c>
      <c r="NX131" s="4" t="s">
        <v>520</v>
      </c>
      <c r="NY131" s="3">
        <v>2.7306766815840988E-2</v>
      </c>
      <c r="OB131">
        <v>4</v>
      </c>
      <c r="OU131" t="s">
        <v>777</v>
      </c>
      <c r="OW131">
        <v>1996</v>
      </c>
      <c r="OZ131" s="2" t="s">
        <v>709</v>
      </c>
      <c r="PB131" t="s">
        <v>522</v>
      </c>
      <c r="PC131" s="50">
        <v>46094</v>
      </c>
    </row>
    <row r="132" spans="1:419" ht="15.75" thickBot="1">
      <c r="A132" s="11" t="s">
        <v>665</v>
      </c>
      <c r="B132" t="s">
        <v>666</v>
      </c>
      <c r="C132" t="s">
        <v>667</v>
      </c>
      <c r="D132" s="4" t="s">
        <v>668</v>
      </c>
      <c r="E132" t="s">
        <v>669</v>
      </c>
      <c r="F132" s="88" t="s">
        <v>670</v>
      </c>
      <c r="G132" t="s">
        <v>475</v>
      </c>
      <c r="H132" t="s">
        <v>476</v>
      </c>
      <c r="I132" s="10">
        <v>0.1</v>
      </c>
      <c r="J132" s="10">
        <v>34.566667000000002</v>
      </c>
      <c r="K132">
        <v>150</v>
      </c>
      <c r="AV132" t="s">
        <v>671</v>
      </c>
      <c r="AW132">
        <v>100</v>
      </c>
      <c r="AX132" t="s">
        <v>480</v>
      </c>
      <c r="AY132">
        <v>4</v>
      </c>
      <c r="AZ132" t="s">
        <v>672</v>
      </c>
      <c r="BA132">
        <v>1994</v>
      </c>
      <c r="BB132">
        <v>1998</v>
      </c>
      <c r="BC132" t="s">
        <v>673</v>
      </c>
      <c r="BD132" s="10" t="s">
        <v>701</v>
      </c>
      <c r="BE132" t="s">
        <v>553</v>
      </c>
      <c r="BF132" s="3" t="s">
        <v>484</v>
      </c>
      <c r="BG132" t="s">
        <v>485</v>
      </c>
      <c r="BH132" t="s">
        <v>675</v>
      </c>
      <c r="BI132" s="4" t="s">
        <v>486</v>
      </c>
      <c r="BJ132" s="9">
        <v>53000</v>
      </c>
      <c r="EE132" s="4"/>
      <c r="EF132" s="9"/>
      <c r="EG132" s="9"/>
      <c r="EH132" s="9"/>
      <c r="EI132" s="9"/>
      <c r="EJ132" s="9"/>
      <c r="EK132" s="9"/>
      <c r="EL132" s="9"/>
      <c r="EM132" s="9"/>
      <c r="EN132" s="9"/>
      <c r="EO132" s="9"/>
      <c r="EP132" s="9"/>
      <c r="EQ132" s="9"/>
      <c r="ER132" s="9"/>
      <c r="ES132" s="9"/>
      <c r="ET132" s="9"/>
      <c r="EU132" s="9"/>
      <c r="EV132" s="9"/>
      <c r="EW132" s="9"/>
      <c r="EX132" s="9"/>
      <c r="EY132" s="9"/>
      <c r="EZ132" s="9"/>
      <c r="FA132" s="9"/>
      <c r="FB132" s="9"/>
      <c r="FC132" s="9"/>
      <c r="FD132" s="9"/>
      <c r="FE132" s="9"/>
      <c r="FF132" s="9"/>
      <c r="FG132" s="9"/>
      <c r="FH132" s="9"/>
      <c r="FI132" s="9"/>
      <c r="FJ132" s="9"/>
      <c r="FK132" s="9"/>
      <c r="FL132" s="9"/>
      <c r="FM132" s="9"/>
      <c r="FN132" s="9"/>
      <c r="FO132" s="9"/>
      <c r="FP132" s="9"/>
      <c r="FQ132" s="9"/>
      <c r="FR132" s="9"/>
      <c r="FS132" s="9"/>
      <c r="FT132" s="9"/>
      <c r="FU132" s="9"/>
      <c r="FV132" s="9"/>
      <c r="FW132" s="9"/>
      <c r="FX132" s="9"/>
      <c r="FY132" s="9"/>
      <c r="FZ132" s="9"/>
      <c r="GA132" s="9"/>
      <c r="GB132" s="9"/>
      <c r="GC132" s="9"/>
      <c r="GD132" s="9"/>
      <c r="GE132" s="9"/>
      <c r="GF132" s="9"/>
      <c r="GG132" s="9"/>
      <c r="GH132" s="9"/>
      <c r="GI132" s="9"/>
      <c r="GJ132" s="9"/>
      <c r="GK132" s="9"/>
      <c r="GL132" s="9"/>
      <c r="GM132" s="9"/>
      <c r="GN132" s="9"/>
      <c r="GO132" s="9"/>
      <c r="GP132" s="9"/>
      <c r="GQ132" s="9"/>
      <c r="GR132" s="9"/>
      <c r="GS132" s="9"/>
      <c r="GT132" s="9"/>
      <c r="GU132" s="9"/>
      <c r="GV132" s="9"/>
      <c r="GW132" s="9"/>
      <c r="GX132" s="9"/>
      <c r="GY132" s="9"/>
      <c r="GZ132" s="9"/>
      <c r="HA132" s="9"/>
      <c r="HB132" s="9"/>
      <c r="HC132" s="9"/>
      <c r="HD132" s="9"/>
      <c r="HE132" s="9"/>
      <c r="HF132" s="9"/>
      <c r="HG132" s="9"/>
      <c r="HH132" s="9"/>
      <c r="HI132" s="9"/>
      <c r="HJ132" s="9"/>
      <c r="HQ132" t="s">
        <v>677</v>
      </c>
      <c r="HS132" s="4" t="s">
        <v>490</v>
      </c>
      <c r="HT132" s="50">
        <v>34335</v>
      </c>
      <c r="HU132" s="50">
        <v>36160</v>
      </c>
      <c r="HV132" s="50"/>
      <c r="HW132" s="50"/>
      <c r="IO132" t="s">
        <v>702</v>
      </c>
      <c r="IP132" s="13" t="s">
        <v>703</v>
      </c>
      <c r="IS132">
        <v>1994</v>
      </c>
      <c r="IT132">
        <v>1994.2</v>
      </c>
      <c r="IU132" s="4" t="s">
        <v>544</v>
      </c>
      <c r="IV132" t="s">
        <v>700</v>
      </c>
      <c r="IW132" t="s">
        <v>492</v>
      </c>
      <c r="JA132">
        <v>0</v>
      </c>
      <c r="JB132">
        <v>0</v>
      </c>
      <c r="JC132">
        <v>0</v>
      </c>
      <c r="JD132">
        <v>0</v>
      </c>
      <c r="JE132">
        <v>0</v>
      </c>
      <c r="JF132">
        <v>0</v>
      </c>
      <c r="JG132">
        <v>0</v>
      </c>
      <c r="JH132">
        <v>0</v>
      </c>
      <c r="JI132">
        <v>0</v>
      </c>
      <c r="JK132" s="12" t="s">
        <v>682</v>
      </c>
      <c r="JP132" s="4"/>
      <c r="JV132" s="4"/>
      <c r="JW132" s="4"/>
      <c r="JX132" s="4"/>
      <c r="JY132" s="4"/>
      <c r="JZ132" s="4"/>
      <c r="KA132" s="4"/>
      <c r="KF132" s="7" t="s">
        <v>500</v>
      </c>
      <c r="KJ132" s="7" t="s">
        <v>649</v>
      </c>
      <c r="KK132" s="7"/>
      <c r="MY132" t="s">
        <v>684</v>
      </c>
      <c r="MZ132">
        <v>42</v>
      </c>
      <c r="NB132" s="4" t="s">
        <v>754</v>
      </c>
      <c r="NJ132" t="s">
        <v>755</v>
      </c>
      <c r="NL132" s="4" t="s">
        <v>654</v>
      </c>
      <c r="NM132" s="6" t="s">
        <v>719</v>
      </c>
      <c r="NV132" t="s">
        <v>518</v>
      </c>
      <c r="NW132" s="5" t="s">
        <v>780</v>
      </c>
      <c r="NX132" s="4" t="s">
        <v>520</v>
      </c>
      <c r="NY132" s="3">
        <v>4.5488789439359967E-2</v>
      </c>
      <c r="OB132">
        <v>4</v>
      </c>
      <c r="OU132" t="s">
        <v>777</v>
      </c>
      <c r="OW132">
        <v>1996</v>
      </c>
      <c r="OZ132" s="2" t="s">
        <v>709</v>
      </c>
      <c r="PB132" t="s">
        <v>522</v>
      </c>
      <c r="PC132" s="50">
        <v>46094</v>
      </c>
    </row>
    <row r="133" spans="1:419" ht="15.75" thickBot="1">
      <c r="A133" s="11" t="s">
        <v>665</v>
      </c>
      <c r="B133" t="s">
        <v>666</v>
      </c>
      <c r="C133" t="s">
        <v>667</v>
      </c>
      <c r="D133" s="4" t="s">
        <v>668</v>
      </c>
      <c r="E133" t="s">
        <v>669</v>
      </c>
      <c r="F133" s="88" t="s">
        <v>670</v>
      </c>
      <c r="G133" t="s">
        <v>475</v>
      </c>
      <c r="H133" t="s">
        <v>476</v>
      </c>
      <c r="I133" s="10">
        <v>0.1</v>
      </c>
      <c r="J133" s="10">
        <v>34.566667000000002</v>
      </c>
      <c r="K133">
        <v>150</v>
      </c>
      <c r="AV133" t="s">
        <v>671</v>
      </c>
      <c r="AW133">
        <v>100</v>
      </c>
      <c r="AX133" t="s">
        <v>480</v>
      </c>
      <c r="AY133">
        <v>4</v>
      </c>
      <c r="AZ133" t="s">
        <v>672</v>
      </c>
      <c r="BA133">
        <v>1994</v>
      </c>
      <c r="BB133">
        <v>1998</v>
      </c>
      <c r="BC133" t="s">
        <v>673</v>
      </c>
      <c r="BD133" s="10" t="s">
        <v>704</v>
      </c>
      <c r="BE133" t="s">
        <v>524</v>
      </c>
      <c r="BF133" s="3" t="s">
        <v>484</v>
      </c>
      <c r="BG133" t="s">
        <v>485</v>
      </c>
      <c r="BH133" t="s">
        <v>675</v>
      </c>
      <c r="BI133" s="4" t="s">
        <v>486</v>
      </c>
      <c r="BJ133" s="9">
        <v>53000</v>
      </c>
      <c r="HQ133" t="s">
        <v>677</v>
      </c>
      <c r="HS133" s="4" t="s">
        <v>490</v>
      </c>
      <c r="HT133" s="50">
        <v>34335</v>
      </c>
      <c r="HU133" s="50">
        <v>36160</v>
      </c>
      <c r="HV133" s="50"/>
      <c r="HW133" s="50"/>
      <c r="IO133" t="s">
        <v>700</v>
      </c>
      <c r="IP133" s="46" t="s">
        <v>492</v>
      </c>
      <c r="IU133" s="4" t="s">
        <v>544</v>
      </c>
      <c r="IV133" t="s">
        <v>700</v>
      </c>
      <c r="IW133" s="46" t="s">
        <v>492</v>
      </c>
      <c r="JA133">
        <v>0</v>
      </c>
      <c r="JB133">
        <v>0</v>
      </c>
      <c r="JC133">
        <v>0</v>
      </c>
      <c r="JD133">
        <v>0</v>
      </c>
      <c r="JE133">
        <v>0</v>
      </c>
      <c r="JF133">
        <v>0</v>
      </c>
      <c r="JG133">
        <v>0</v>
      </c>
      <c r="JH133">
        <v>0</v>
      </c>
      <c r="JI133">
        <v>0</v>
      </c>
      <c r="JK133" s="12" t="s">
        <v>682</v>
      </c>
      <c r="JP133" s="4"/>
      <c r="JV133" s="4"/>
      <c r="JW133" s="4"/>
      <c r="JX133" s="4"/>
      <c r="JY133" s="4"/>
      <c r="JZ133" s="4"/>
      <c r="KA133" s="4"/>
      <c r="KF133" s="7" t="s">
        <v>500</v>
      </c>
      <c r="KJ133" s="7" t="s">
        <v>649</v>
      </c>
      <c r="KK133" s="7"/>
      <c r="MY133" t="s">
        <v>684</v>
      </c>
      <c r="MZ133">
        <v>42</v>
      </c>
      <c r="NB133" s="4" t="s">
        <v>754</v>
      </c>
      <c r="NJ133" t="s">
        <v>755</v>
      </c>
      <c r="NL133" s="4" t="s">
        <v>654</v>
      </c>
      <c r="NM133" s="6" t="s">
        <v>719</v>
      </c>
      <c r="NU133" t="s">
        <v>517</v>
      </c>
      <c r="NV133" t="s">
        <v>518</v>
      </c>
      <c r="NW133" s="5" t="s">
        <v>781</v>
      </c>
      <c r="NX133" s="4" t="s">
        <v>520</v>
      </c>
      <c r="NY133" s="3">
        <v>1.8170778329998E-2</v>
      </c>
      <c r="OB133">
        <v>4</v>
      </c>
      <c r="OU133" t="s">
        <v>777</v>
      </c>
      <c r="OW133">
        <v>1996</v>
      </c>
      <c r="OZ133" s="2" t="s">
        <v>709</v>
      </c>
      <c r="PB133" t="s">
        <v>522</v>
      </c>
      <c r="PC133" s="50">
        <v>46094</v>
      </c>
    </row>
    <row r="134" spans="1:419" ht="15.75" thickBot="1">
      <c r="A134" s="11" t="s">
        <v>665</v>
      </c>
      <c r="B134" t="s">
        <v>666</v>
      </c>
      <c r="C134" t="s">
        <v>667</v>
      </c>
      <c r="D134" s="4" t="s">
        <v>668</v>
      </c>
      <c r="E134" t="s">
        <v>669</v>
      </c>
      <c r="F134" s="88" t="s">
        <v>670</v>
      </c>
      <c r="G134" t="s">
        <v>475</v>
      </c>
      <c r="H134" t="s">
        <v>476</v>
      </c>
      <c r="I134" s="10">
        <v>0.1</v>
      </c>
      <c r="J134" s="10">
        <v>34.566667000000002</v>
      </c>
      <c r="K134">
        <v>150</v>
      </c>
      <c r="AV134" t="s">
        <v>671</v>
      </c>
      <c r="AW134">
        <v>100</v>
      </c>
      <c r="AX134" t="s">
        <v>480</v>
      </c>
      <c r="AY134">
        <v>4</v>
      </c>
      <c r="AZ134" t="s">
        <v>672</v>
      </c>
      <c r="BA134">
        <v>1994</v>
      </c>
      <c r="BB134">
        <v>1998</v>
      </c>
      <c r="BC134" t="s">
        <v>673</v>
      </c>
      <c r="BD134" s="10" t="s">
        <v>705</v>
      </c>
      <c r="BE134" t="s">
        <v>483</v>
      </c>
      <c r="BF134" s="3" t="s">
        <v>484</v>
      </c>
      <c r="BG134" t="s">
        <v>485</v>
      </c>
      <c r="BH134" t="s">
        <v>675</v>
      </c>
      <c r="BI134" s="4" t="s">
        <v>486</v>
      </c>
      <c r="BJ134" s="9">
        <v>53000</v>
      </c>
      <c r="HQ134" t="s">
        <v>677</v>
      </c>
      <c r="HS134" s="4" t="s">
        <v>490</v>
      </c>
      <c r="HT134" s="50">
        <v>34335</v>
      </c>
      <c r="HU134" s="50">
        <v>36160</v>
      </c>
      <c r="HV134" s="50"/>
      <c r="HW134" s="50"/>
      <c r="IO134" t="s">
        <v>706</v>
      </c>
      <c r="IP134" s="46" t="s">
        <v>492</v>
      </c>
      <c r="IU134" s="4" t="s">
        <v>544</v>
      </c>
      <c r="IV134" t="s">
        <v>707</v>
      </c>
      <c r="IW134" s="46" t="s">
        <v>492</v>
      </c>
      <c r="JA134">
        <v>0</v>
      </c>
      <c r="JB134">
        <v>0</v>
      </c>
      <c r="JC134">
        <v>0</v>
      </c>
      <c r="JD134">
        <v>0</v>
      </c>
      <c r="JE134">
        <v>0</v>
      </c>
      <c r="JF134">
        <v>0</v>
      </c>
      <c r="JG134">
        <v>0</v>
      </c>
      <c r="JH134">
        <v>0</v>
      </c>
      <c r="JI134">
        <v>0</v>
      </c>
      <c r="JJ134" t="s">
        <v>706</v>
      </c>
      <c r="JK134" t="s">
        <v>494</v>
      </c>
      <c r="JL134" s="8" t="s">
        <v>495</v>
      </c>
      <c r="JP134" s="4" t="s">
        <v>508</v>
      </c>
      <c r="JQ134">
        <v>60</v>
      </c>
      <c r="JT134">
        <v>60</v>
      </c>
      <c r="JV134" s="4"/>
      <c r="JW134" s="4"/>
      <c r="JX134" s="4"/>
      <c r="JY134" s="4"/>
      <c r="JZ134" s="4"/>
      <c r="KA134" s="4"/>
      <c r="KF134" s="7" t="s">
        <v>500</v>
      </c>
      <c r="KJ134" s="7" t="s">
        <v>649</v>
      </c>
      <c r="KK134" s="7"/>
      <c r="MY134" t="s">
        <v>684</v>
      </c>
      <c r="MZ134">
        <v>42</v>
      </c>
      <c r="NB134" s="4" t="s">
        <v>754</v>
      </c>
      <c r="NJ134" t="s">
        <v>755</v>
      </c>
      <c r="NL134" s="4" t="s">
        <v>654</v>
      </c>
      <c r="NM134" s="6" t="s">
        <v>719</v>
      </c>
      <c r="NU134" t="s">
        <v>708</v>
      </c>
      <c r="NV134" t="s">
        <v>518</v>
      </c>
      <c r="NW134">
        <v>0.28012346234286101</v>
      </c>
      <c r="NX134" s="4" t="s">
        <v>520</v>
      </c>
      <c r="NY134" s="3">
        <v>2.7228056761192998E-2</v>
      </c>
      <c r="OB134">
        <v>4</v>
      </c>
      <c r="OU134" t="s">
        <v>777</v>
      </c>
      <c r="OW134">
        <v>1996</v>
      </c>
      <c r="OZ134" s="2" t="s">
        <v>709</v>
      </c>
      <c r="PB134" t="s">
        <v>522</v>
      </c>
      <c r="PC134" s="50">
        <v>46094</v>
      </c>
    </row>
    <row r="135" spans="1:419" ht="15.75" thickBot="1">
      <c r="A135" s="11" t="s">
        <v>665</v>
      </c>
      <c r="B135" t="s">
        <v>666</v>
      </c>
      <c r="C135" t="s">
        <v>667</v>
      </c>
      <c r="D135" s="4" t="s">
        <v>668</v>
      </c>
      <c r="E135" t="s">
        <v>669</v>
      </c>
      <c r="F135" s="88" t="s">
        <v>670</v>
      </c>
      <c r="G135" t="s">
        <v>475</v>
      </c>
      <c r="H135" t="s">
        <v>476</v>
      </c>
      <c r="I135" s="10">
        <v>0.1</v>
      </c>
      <c r="J135" s="10">
        <v>34.566667000000002</v>
      </c>
      <c r="K135">
        <v>150</v>
      </c>
      <c r="AV135" t="s">
        <v>671</v>
      </c>
      <c r="AW135">
        <v>100</v>
      </c>
      <c r="AX135" t="s">
        <v>480</v>
      </c>
      <c r="AY135">
        <v>4</v>
      </c>
      <c r="AZ135" t="s">
        <v>672</v>
      </c>
      <c r="BA135">
        <v>1994</v>
      </c>
      <c r="BB135">
        <v>1998</v>
      </c>
      <c r="BC135" t="s">
        <v>673</v>
      </c>
      <c r="BD135" s="10" t="s">
        <v>674</v>
      </c>
      <c r="BE135" t="s">
        <v>536</v>
      </c>
      <c r="BF135" s="3" t="s">
        <v>484</v>
      </c>
      <c r="BG135" t="s">
        <v>485</v>
      </c>
      <c r="BH135" t="s">
        <v>675</v>
      </c>
      <c r="BI135" s="4" t="s">
        <v>486</v>
      </c>
      <c r="BJ135" s="9">
        <v>53000</v>
      </c>
      <c r="ED135" t="s">
        <v>676</v>
      </c>
      <c r="EE135" s="4" t="s">
        <v>486</v>
      </c>
      <c r="EF135" s="9">
        <v>53000</v>
      </c>
      <c r="EG135" s="9"/>
      <c r="EH135" s="9"/>
      <c r="EI135" s="9"/>
      <c r="EJ135" s="9"/>
      <c r="EK135" s="9"/>
      <c r="EL135" s="9"/>
      <c r="EM135" s="9"/>
      <c r="EN135" s="9"/>
      <c r="EO135" s="9"/>
      <c r="EP135" s="9"/>
      <c r="EQ135" s="9"/>
      <c r="ER135" s="9"/>
      <c r="ES135" s="9"/>
      <c r="ET135" s="9"/>
      <c r="EU135" s="9"/>
      <c r="EV135" s="9"/>
      <c r="EW135" s="9"/>
      <c r="EX135" s="9"/>
      <c r="EY135" s="9"/>
      <c r="EZ135" s="9"/>
      <c r="FA135" s="9"/>
      <c r="FB135" s="9"/>
      <c r="FC135" s="9"/>
      <c r="FD135" s="9"/>
      <c r="FE135" s="9"/>
      <c r="FF135" s="9"/>
      <c r="FG135" s="9"/>
      <c r="FH135" s="9"/>
      <c r="FI135" s="9"/>
      <c r="FJ135" s="9"/>
      <c r="FK135" s="9"/>
      <c r="FL135" s="9"/>
      <c r="FM135" s="9"/>
      <c r="FN135" s="9"/>
      <c r="FO135" s="9"/>
      <c r="FP135" s="9"/>
      <c r="FQ135" s="9"/>
      <c r="FR135" s="9"/>
      <c r="FS135" s="9"/>
      <c r="FT135" s="9"/>
      <c r="FU135" s="9"/>
      <c r="FV135" s="9"/>
      <c r="FW135" s="9"/>
      <c r="FX135" s="9"/>
      <c r="FY135" s="9"/>
      <c r="FZ135" s="9"/>
      <c r="GA135" s="9"/>
      <c r="GB135" s="9"/>
      <c r="GC135" s="9"/>
      <c r="GD135" s="9"/>
      <c r="GE135" s="9"/>
      <c r="GF135" s="9"/>
      <c r="GG135" s="9"/>
      <c r="GH135" s="9"/>
      <c r="GI135" s="9"/>
      <c r="GJ135" s="9"/>
      <c r="GK135" s="9"/>
      <c r="GL135" s="9"/>
      <c r="GM135" s="9"/>
      <c r="GN135" s="9"/>
      <c r="GO135" s="9"/>
      <c r="GP135" s="9"/>
      <c r="GQ135" s="9"/>
      <c r="GR135" s="9"/>
      <c r="GS135" s="9"/>
      <c r="GT135" s="9"/>
      <c r="GU135" s="9"/>
      <c r="GV135" s="9"/>
      <c r="GW135" s="9"/>
      <c r="GX135" s="9"/>
      <c r="GY135" s="9"/>
      <c r="GZ135" s="9"/>
      <c r="HA135" s="9"/>
      <c r="HB135" s="9"/>
      <c r="HC135" s="9"/>
      <c r="HD135" s="9"/>
      <c r="HE135" s="9"/>
      <c r="HF135" s="9"/>
      <c r="HG135" s="9"/>
      <c r="HH135" s="9"/>
      <c r="HI135" s="9"/>
      <c r="HJ135" s="9"/>
      <c r="HQ135" t="s">
        <v>677</v>
      </c>
      <c r="HS135" s="4" t="s">
        <v>490</v>
      </c>
      <c r="HT135" s="50">
        <v>34335</v>
      </c>
      <c r="HU135" s="50">
        <v>36160</v>
      </c>
      <c r="HV135" s="50"/>
      <c r="HW135" s="50"/>
      <c r="IN135" s="4"/>
      <c r="IO135" t="s">
        <v>678</v>
      </c>
      <c r="IP135" s="12" t="s">
        <v>679</v>
      </c>
      <c r="IS135">
        <v>1995</v>
      </c>
      <c r="IT135">
        <v>1995.2</v>
      </c>
      <c r="IU135" s="4" t="s">
        <v>544</v>
      </c>
      <c r="IV135" t="s">
        <v>680</v>
      </c>
      <c r="IW135" s="12" t="s">
        <v>681</v>
      </c>
      <c r="IZ135">
        <v>0.5</v>
      </c>
      <c r="JA135" t="s">
        <v>480</v>
      </c>
      <c r="JB135" t="s">
        <v>480</v>
      </c>
      <c r="JC135" t="s">
        <v>480</v>
      </c>
      <c r="JD135" t="s">
        <v>480</v>
      </c>
      <c r="JE135" t="s">
        <v>480</v>
      </c>
      <c r="JF135" t="s">
        <v>480</v>
      </c>
      <c r="JG135" t="s">
        <v>480</v>
      </c>
      <c r="JH135" t="s">
        <v>480</v>
      </c>
      <c r="JI135" t="s">
        <v>480</v>
      </c>
      <c r="JK135" s="12" t="s">
        <v>682</v>
      </c>
      <c r="JP135" s="4"/>
      <c r="JV135" s="4"/>
      <c r="JW135" s="4"/>
      <c r="JX135" s="4"/>
      <c r="JY135" s="4"/>
      <c r="JZ135" s="4"/>
      <c r="KA135" s="4"/>
      <c r="KF135" s="7" t="s">
        <v>500</v>
      </c>
      <c r="KJ135" s="7" t="s">
        <v>683</v>
      </c>
      <c r="KK135" s="7" t="s">
        <v>562</v>
      </c>
      <c r="KL135" t="s">
        <v>480</v>
      </c>
      <c r="KM135" t="s">
        <v>480</v>
      </c>
      <c r="MY135" t="s">
        <v>684</v>
      </c>
      <c r="MZ135">
        <v>42</v>
      </c>
      <c r="NB135" s="4" t="s">
        <v>754</v>
      </c>
      <c r="NJ135" t="s">
        <v>755</v>
      </c>
      <c r="NL135" s="4" t="s">
        <v>654</v>
      </c>
      <c r="NM135" s="6" t="s">
        <v>719</v>
      </c>
      <c r="NV135" t="s">
        <v>518</v>
      </c>
      <c r="NW135" s="5" t="s">
        <v>782</v>
      </c>
      <c r="NX135" s="4" t="s">
        <v>520</v>
      </c>
      <c r="NY135" s="3">
        <v>2.1189871140396999E-2</v>
      </c>
      <c r="OB135">
        <v>4</v>
      </c>
      <c r="OU135" t="s">
        <v>783</v>
      </c>
      <c r="OW135">
        <v>1997</v>
      </c>
      <c r="OZ135" s="2" t="s">
        <v>709</v>
      </c>
      <c r="PB135" t="s">
        <v>522</v>
      </c>
      <c r="PC135" s="50">
        <v>46094</v>
      </c>
    </row>
    <row r="136" spans="1:419" ht="15.75" thickBot="1">
      <c r="A136" s="11" t="s">
        <v>665</v>
      </c>
      <c r="B136" t="s">
        <v>666</v>
      </c>
      <c r="C136" t="s">
        <v>667</v>
      </c>
      <c r="D136" s="4" t="s">
        <v>668</v>
      </c>
      <c r="E136" t="s">
        <v>669</v>
      </c>
      <c r="F136" s="88" t="s">
        <v>670</v>
      </c>
      <c r="G136" t="s">
        <v>475</v>
      </c>
      <c r="H136" t="s">
        <v>476</v>
      </c>
      <c r="I136" s="10">
        <v>0.1</v>
      </c>
      <c r="J136" s="10">
        <v>34.566667000000002</v>
      </c>
      <c r="K136">
        <v>150</v>
      </c>
      <c r="AV136" t="s">
        <v>671</v>
      </c>
      <c r="AW136">
        <v>100</v>
      </c>
      <c r="AX136" t="s">
        <v>480</v>
      </c>
      <c r="AY136">
        <v>4</v>
      </c>
      <c r="AZ136" t="s">
        <v>672</v>
      </c>
      <c r="BA136">
        <v>1994</v>
      </c>
      <c r="BB136">
        <v>1998</v>
      </c>
      <c r="BC136" t="s">
        <v>673</v>
      </c>
      <c r="BD136" s="10" t="s">
        <v>693</v>
      </c>
      <c r="BE136" t="s">
        <v>566</v>
      </c>
      <c r="BF136" s="3" t="s">
        <v>484</v>
      </c>
      <c r="BG136" t="s">
        <v>485</v>
      </c>
      <c r="BH136" t="s">
        <v>675</v>
      </c>
      <c r="BI136" s="4" t="s">
        <v>486</v>
      </c>
      <c r="BJ136" s="9">
        <v>53000</v>
      </c>
      <c r="ED136" t="s">
        <v>676</v>
      </c>
      <c r="EE136" s="4" t="s">
        <v>486</v>
      </c>
      <c r="EF136" s="9">
        <v>53000</v>
      </c>
      <c r="EG136" s="9"/>
      <c r="EH136" s="9"/>
      <c r="EI136" s="9"/>
      <c r="EJ136" s="9"/>
      <c r="EK136" s="9"/>
      <c r="EL136" s="9"/>
      <c r="EM136" s="9"/>
      <c r="EN136" s="9"/>
      <c r="EO136" s="9"/>
      <c r="EP136" s="9"/>
      <c r="EQ136" s="9"/>
      <c r="ER136" s="9"/>
      <c r="ES136" s="9"/>
      <c r="ET136" s="9"/>
      <c r="EU136" s="9"/>
      <c r="EV136" s="9"/>
      <c r="EW136" s="9"/>
      <c r="EX136" s="9"/>
      <c r="EY136" s="9"/>
      <c r="EZ136" s="9"/>
      <c r="FA136" s="9"/>
      <c r="FB136" s="9"/>
      <c r="FC136" s="9"/>
      <c r="FD136" s="9"/>
      <c r="FE136" s="9"/>
      <c r="FF136" s="9"/>
      <c r="FG136" s="9"/>
      <c r="FH136" s="9"/>
      <c r="FI136" s="9"/>
      <c r="FJ136" s="9"/>
      <c r="FK136" s="9"/>
      <c r="FL136" s="9"/>
      <c r="FM136" s="9"/>
      <c r="FN136" s="9"/>
      <c r="FO136" s="9"/>
      <c r="FP136" s="9"/>
      <c r="FQ136" s="9"/>
      <c r="FR136" s="9"/>
      <c r="FS136" s="9"/>
      <c r="FT136" s="9"/>
      <c r="FU136" s="9"/>
      <c r="FV136" s="9"/>
      <c r="FW136" s="9"/>
      <c r="FX136" s="9"/>
      <c r="FY136" s="9"/>
      <c r="FZ136" s="9"/>
      <c r="GA136" s="9"/>
      <c r="GB136" s="9"/>
      <c r="GC136" s="9"/>
      <c r="GD136" s="9"/>
      <c r="GE136" s="9"/>
      <c r="GF136" s="9"/>
      <c r="GG136" s="9"/>
      <c r="GH136" s="9"/>
      <c r="GI136" s="9"/>
      <c r="GJ136" s="9"/>
      <c r="GK136" s="9"/>
      <c r="GL136" s="9"/>
      <c r="GM136" s="9"/>
      <c r="GN136" s="9"/>
      <c r="GO136" s="9"/>
      <c r="GP136" s="9"/>
      <c r="GQ136" s="9"/>
      <c r="GR136" s="9"/>
      <c r="GS136" s="9"/>
      <c r="GT136" s="9"/>
      <c r="GU136" s="9"/>
      <c r="GV136" s="9"/>
      <c r="GW136" s="9"/>
      <c r="GX136" s="9"/>
      <c r="GY136" s="9"/>
      <c r="GZ136" s="9"/>
      <c r="HA136" s="9"/>
      <c r="HB136" s="9"/>
      <c r="HC136" s="9"/>
      <c r="HD136" s="9"/>
      <c r="HE136" s="9"/>
      <c r="HF136" s="9"/>
      <c r="HG136" s="9"/>
      <c r="HH136" s="9"/>
      <c r="HI136" s="9"/>
      <c r="HJ136" s="9"/>
      <c r="HQ136" t="s">
        <v>677</v>
      </c>
      <c r="HS136" s="4" t="s">
        <v>490</v>
      </c>
      <c r="HT136" s="50">
        <v>34335</v>
      </c>
      <c r="HU136" s="50">
        <v>36160</v>
      </c>
      <c r="HV136" s="50"/>
      <c r="HW136" s="50"/>
      <c r="IN136" s="4"/>
      <c r="IO136" t="s">
        <v>694</v>
      </c>
      <c r="IP136" s="12" t="s">
        <v>695</v>
      </c>
      <c r="IS136">
        <v>1994</v>
      </c>
      <c r="IT136">
        <v>1994.2</v>
      </c>
      <c r="IU136" s="4" t="s">
        <v>544</v>
      </c>
      <c r="IV136" t="s">
        <v>696</v>
      </c>
      <c r="IW136" s="12" t="s">
        <v>681</v>
      </c>
      <c r="IZ136">
        <v>0.5</v>
      </c>
      <c r="JA136" t="s">
        <v>480</v>
      </c>
      <c r="JB136" t="s">
        <v>480</v>
      </c>
      <c r="JC136" t="s">
        <v>480</v>
      </c>
      <c r="JD136" t="s">
        <v>480</v>
      </c>
      <c r="JE136" t="s">
        <v>480</v>
      </c>
      <c r="JF136" t="s">
        <v>480</v>
      </c>
      <c r="JG136" t="s">
        <v>480</v>
      </c>
      <c r="JH136" t="s">
        <v>480</v>
      </c>
      <c r="JI136" t="s">
        <v>480</v>
      </c>
      <c r="JK136" s="12" t="s">
        <v>682</v>
      </c>
      <c r="JP136" s="4"/>
      <c r="JV136" s="4"/>
      <c r="JW136" s="4"/>
      <c r="JX136" s="4"/>
      <c r="JY136" s="4"/>
      <c r="JZ136" s="4"/>
      <c r="KA136" s="4"/>
      <c r="KF136" s="7" t="s">
        <v>500</v>
      </c>
      <c r="KJ136" s="7" t="s">
        <v>683</v>
      </c>
      <c r="KK136" s="7" t="s">
        <v>562</v>
      </c>
      <c r="KL136" t="s">
        <v>480</v>
      </c>
      <c r="KM136" t="s">
        <v>480</v>
      </c>
      <c r="MY136" t="s">
        <v>684</v>
      </c>
      <c r="MZ136">
        <v>42</v>
      </c>
      <c r="NB136" s="4" t="s">
        <v>754</v>
      </c>
      <c r="NJ136" t="s">
        <v>755</v>
      </c>
      <c r="NL136" s="4" t="s">
        <v>654</v>
      </c>
      <c r="NM136" s="6" t="s">
        <v>719</v>
      </c>
      <c r="NV136" t="s">
        <v>518</v>
      </c>
      <c r="NW136" s="5" t="s">
        <v>784</v>
      </c>
      <c r="NX136" s="4" t="s">
        <v>520</v>
      </c>
      <c r="NY136" s="3">
        <v>2.4242696831358018E-2</v>
      </c>
      <c r="OB136">
        <v>4</v>
      </c>
      <c r="OU136" t="s">
        <v>783</v>
      </c>
      <c r="OW136">
        <v>1997</v>
      </c>
      <c r="OZ136" s="2" t="s">
        <v>709</v>
      </c>
      <c r="PB136" t="s">
        <v>522</v>
      </c>
      <c r="PC136" s="50">
        <v>46094</v>
      </c>
    </row>
    <row r="137" spans="1:419" ht="15.75" thickBot="1">
      <c r="A137" s="11" t="s">
        <v>665</v>
      </c>
      <c r="B137" t="s">
        <v>666</v>
      </c>
      <c r="C137" t="s">
        <v>667</v>
      </c>
      <c r="D137" s="4" t="s">
        <v>668</v>
      </c>
      <c r="E137" t="s">
        <v>669</v>
      </c>
      <c r="F137" s="88" t="s">
        <v>670</v>
      </c>
      <c r="G137" t="s">
        <v>475</v>
      </c>
      <c r="H137" t="s">
        <v>476</v>
      </c>
      <c r="I137" s="10">
        <v>0.1</v>
      </c>
      <c r="J137" s="10">
        <v>34.566667000000002</v>
      </c>
      <c r="K137">
        <v>150</v>
      </c>
      <c r="AV137" t="s">
        <v>671</v>
      </c>
      <c r="AW137">
        <v>100</v>
      </c>
      <c r="AX137" t="s">
        <v>480</v>
      </c>
      <c r="AY137">
        <v>4</v>
      </c>
      <c r="AZ137" t="s">
        <v>672</v>
      </c>
      <c r="BA137">
        <v>1994</v>
      </c>
      <c r="BB137">
        <v>1998</v>
      </c>
      <c r="BC137" t="s">
        <v>673</v>
      </c>
      <c r="BD137" s="10" t="s">
        <v>697</v>
      </c>
      <c r="BE137" t="s">
        <v>572</v>
      </c>
      <c r="BF137" s="3" t="s">
        <v>484</v>
      </c>
      <c r="BG137" t="s">
        <v>485</v>
      </c>
      <c r="BH137" t="s">
        <v>675</v>
      </c>
      <c r="BI137" s="4" t="s">
        <v>486</v>
      </c>
      <c r="BJ137" s="9">
        <v>53000</v>
      </c>
      <c r="EE137" s="4"/>
      <c r="EF137" s="9"/>
      <c r="EG137" s="9"/>
      <c r="EH137" s="9"/>
      <c r="EI137" s="9"/>
      <c r="EJ137" s="9"/>
      <c r="EK137" s="9"/>
      <c r="EL137" s="9"/>
      <c r="EM137" s="9"/>
      <c r="EN137" s="9"/>
      <c r="EO137" s="9"/>
      <c r="EP137" s="9"/>
      <c r="EQ137" s="9"/>
      <c r="ER137" s="9"/>
      <c r="ES137" s="9"/>
      <c r="ET137" s="9"/>
      <c r="EU137" s="9"/>
      <c r="EV137" s="9"/>
      <c r="EW137" s="9"/>
      <c r="EX137" s="9"/>
      <c r="EY137" s="9"/>
      <c r="EZ137" s="9"/>
      <c r="FA137" s="9"/>
      <c r="FB137" s="9"/>
      <c r="FC137" s="9"/>
      <c r="FD137" s="9"/>
      <c r="FE137" s="9"/>
      <c r="FF137" s="9"/>
      <c r="FG137" s="9"/>
      <c r="FH137" s="9"/>
      <c r="FI137" s="9"/>
      <c r="FJ137" s="9"/>
      <c r="FK137" s="9"/>
      <c r="FL137" s="9"/>
      <c r="FM137" s="9"/>
      <c r="FN137" s="9"/>
      <c r="FO137" s="9"/>
      <c r="FP137" s="9"/>
      <c r="FQ137" s="9"/>
      <c r="FR137" s="9"/>
      <c r="FS137" s="9"/>
      <c r="FT137" s="9"/>
      <c r="FU137" s="9"/>
      <c r="FV137" s="9"/>
      <c r="FW137" s="9"/>
      <c r="FX137" s="9"/>
      <c r="FY137" s="9"/>
      <c r="FZ137" s="9"/>
      <c r="GA137" s="9"/>
      <c r="GB137" s="9"/>
      <c r="GC137" s="9"/>
      <c r="GD137" s="9"/>
      <c r="GE137" s="9"/>
      <c r="GF137" s="9"/>
      <c r="GG137" s="9"/>
      <c r="GH137" s="9"/>
      <c r="GI137" s="9"/>
      <c r="GJ137" s="9"/>
      <c r="GK137" s="9"/>
      <c r="GL137" s="9"/>
      <c r="GM137" s="9"/>
      <c r="GN137" s="9"/>
      <c r="GO137" s="9"/>
      <c r="GP137" s="9"/>
      <c r="GQ137" s="9"/>
      <c r="GR137" s="9"/>
      <c r="GS137" s="9"/>
      <c r="GT137" s="9"/>
      <c r="GU137" s="9"/>
      <c r="GV137" s="9"/>
      <c r="GW137" s="9"/>
      <c r="GX137" s="9"/>
      <c r="GY137" s="9"/>
      <c r="GZ137" s="9"/>
      <c r="HA137" s="9"/>
      <c r="HB137" s="9"/>
      <c r="HC137" s="9"/>
      <c r="HD137" s="9"/>
      <c r="HE137" s="9"/>
      <c r="HF137" s="9"/>
      <c r="HG137" s="9"/>
      <c r="HH137" s="9"/>
      <c r="HI137" s="9"/>
      <c r="HJ137" s="9"/>
      <c r="HQ137" t="s">
        <v>677</v>
      </c>
      <c r="HS137" s="4" t="s">
        <v>490</v>
      </c>
      <c r="HT137" s="50">
        <v>34335</v>
      </c>
      <c r="HU137" s="50">
        <v>36160</v>
      </c>
      <c r="HV137" s="50"/>
      <c r="HW137" s="50"/>
      <c r="IO137" t="s">
        <v>698</v>
      </c>
      <c r="IP137" s="46" t="s">
        <v>699</v>
      </c>
      <c r="IS137">
        <v>1995</v>
      </c>
      <c r="IT137">
        <v>1995.2</v>
      </c>
      <c r="IU137" s="4" t="s">
        <v>544</v>
      </c>
      <c r="IV137" t="s">
        <v>700</v>
      </c>
      <c r="IW137" t="s">
        <v>492</v>
      </c>
      <c r="JA137">
        <v>0</v>
      </c>
      <c r="JB137">
        <v>0</v>
      </c>
      <c r="JC137">
        <v>0</v>
      </c>
      <c r="JD137">
        <v>0</v>
      </c>
      <c r="JE137">
        <v>0</v>
      </c>
      <c r="JF137">
        <v>0</v>
      </c>
      <c r="JG137">
        <v>0</v>
      </c>
      <c r="JH137">
        <v>0</v>
      </c>
      <c r="JI137">
        <v>0</v>
      </c>
      <c r="JK137" s="12" t="s">
        <v>682</v>
      </c>
      <c r="JP137" s="4"/>
      <c r="JV137" s="4"/>
      <c r="JW137" s="4"/>
      <c r="JX137" s="4"/>
      <c r="JY137" s="4"/>
      <c r="JZ137" s="4"/>
      <c r="KA137" s="4"/>
      <c r="KF137" s="7" t="s">
        <v>500</v>
      </c>
      <c r="KJ137" s="7" t="s">
        <v>649</v>
      </c>
      <c r="KK137" s="7"/>
      <c r="MY137" t="s">
        <v>684</v>
      </c>
      <c r="MZ137">
        <v>42</v>
      </c>
      <c r="NB137" s="4" t="s">
        <v>754</v>
      </c>
      <c r="NJ137" t="s">
        <v>755</v>
      </c>
      <c r="NL137" s="4" t="s">
        <v>654</v>
      </c>
      <c r="NM137" s="6" t="s">
        <v>719</v>
      </c>
      <c r="NV137" t="s">
        <v>518</v>
      </c>
      <c r="NW137" s="5" t="s">
        <v>785</v>
      </c>
      <c r="NX137" s="4" t="s">
        <v>520</v>
      </c>
      <c r="NY137" s="3">
        <v>3.0303371039197002E-2</v>
      </c>
      <c r="OB137">
        <v>4</v>
      </c>
      <c r="OU137" t="s">
        <v>783</v>
      </c>
      <c r="OW137">
        <v>1997</v>
      </c>
      <c r="OZ137" s="2" t="s">
        <v>709</v>
      </c>
      <c r="PB137" t="s">
        <v>522</v>
      </c>
      <c r="PC137" s="50">
        <v>46094</v>
      </c>
    </row>
    <row r="138" spans="1:419" ht="15.75" thickBot="1">
      <c r="A138" s="11" t="s">
        <v>665</v>
      </c>
      <c r="B138" t="s">
        <v>666</v>
      </c>
      <c r="C138" t="s">
        <v>667</v>
      </c>
      <c r="D138" s="4" t="s">
        <v>668</v>
      </c>
      <c r="E138" t="s">
        <v>669</v>
      </c>
      <c r="F138" s="88" t="s">
        <v>670</v>
      </c>
      <c r="G138" t="s">
        <v>475</v>
      </c>
      <c r="H138" t="s">
        <v>476</v>
      </c>
      <c r="I138" s="10">
        <v>0.1</v>
      </c>
      <c r="J138" s="10">
        <v>34.566667000000002</v>
      </c>
      <c r="K138">
        <v>150</v>
      </c>
      <c r="AV138" t="s">
        <v>671</v>
      </c>
      <c r="AW138">
        <v>100</v>
      </c>
      <c r="AX138" t="s">
        <v>480</v>
      </c>
      <c r="AY138">
        <v>4</v>
      </c>
      <c r="AZ138" t="s">
        <v>672</v>
      </c>
      <c r="BA138">
        <v>1994</v>
      </c>
      <c r="BB138">
        <v>1998</v>
      </c>
      <c r="BC138" t="s">
        <v>673</v>
      </c>
      <c r="BD138" s="10" t="s">
        <v>701</v>
      </c>
      <c r="BE138" t="s">
        <v>553</v>
      </c>
      <c r="BF138" s="3" t="s">
        <v>484</v>
      </c>
      <c r="BG138" t="s">
        <v>485</v>
      </c>
      <c r="BH138" t="s">
        <v>675</v>
      </c>
      <c r="BI138" s="4" t="s">
        <v>486</v>
      </c>
      <c r="BJ138" s="9">
        <v>53000</v>
      </c>
      <c r="EE138" s="4"/>
      <c r="EF138" s="9"/>
      <c r="EG138" s="9"/>
      <c r="EH138" s="9"/>
      <c r="EI138" s="9"/>
      <c r="EJ138" s="9"/>
      <c r="EK138" s="9"/>
      <c r="EL138" s="9"/>
      <c r="EM138" s="9"/>
      <c r="EN138" s="9"/>
      <c r="EO138" s="9"/>
      <c r="EP138" s="9"/>
      <c r="EQ138" s="9"/>
      <c r="ER138" s="9"/>
      <c r="ES138" s="9"/>
      <c r="ET138" s="9"/>
      <c r="EU138" s="9"/>
      <c r="EV138" s="9"/>
      <c r="EW138" s="9"/>
      <c r="EX138" s="9"/>
      <c r="EY138" s="9"/>
      <c r="EZ138" s="9"/>
      <c r="FA138" s="9"/>
      <c r="FB138" s="9"/>
      <c r="FC138" s="9"/>
      <c r="FD138" s="9"/>
      <c r="FE138" s="9"/>
      <c r="FF138" s="9"/>
      <c r="FG138" s="9"/>
      <c r="FH138" s="9"/>
      <c r="FI138" s="9"/>
      <c r="FJ138" s="9"/>
      <c r="FK138" s="9"/>
      <c r="FL138" s="9"/>
      <c r="FM138" s="9"/>
      <c r="FN138" s="9"/>
      <c r="FO138" s="9"/>
      <c r="FP138" s="9"/>
      <c r="FQ138" s="9"/>
      <c r="FR138" s="9"/>
      <c r="FS138" s="9"/>
      <c r="FT138" s="9"/>
      <c r="FU138" s="9"/>
      <c r="FV138" s="9"/>
      <c r="FW138" s="9"/>
      <c r="FX138" s="9"/>
      <c r="FY138" s="9"/>
      <c r="FZ138" s="9"/>
      <c r="GA138" s="9"/>
      <c r="GB138" s="9"/>
      <c r="GC138" s="9"/>
      <c r="GD138" s="9"/>
      <c r="GE138" s="9"/>
      <c r="GF138" s="9"/>
      <c r="GG138" s="9"/>
      <c r="GH138" s="9"/>
      <c r="GI138" s="9"/>
      <c r="GJ138" s="9"/>
      <c r="GK138" s="9"/>
      <c r="GL138" s="9"/>
      <c r="GM138" s="9"/>
      <c r="GN138" s="9"/>
      <c r="GO138" s="9"/>
      <c r="GP138" s="9"/>
      <c r="GQ138" s="9"/>
      <c r="GR138" s="9"/>
      <c r="GS138" s="9"/>
      <c r="GT138" s="9"/>
      <c r="GU138" s="9"/>
      <c r="GV138" s="9"/>
      <c r="GW138" s="9"/>
      <c r="GX138" s="9"/>
      <c r="GY138" s="9"/>
      <c r="GZ138" s="9"/>
      <c r="HA138" s="9"/>
      <c r="HB138" s="9"/>
      <c r="HC138" s="9"/>
      <c r="HD138" s="9"/>
      <c r="HE138" s="9"/>
      <c r="HF138" s="9"/>
      <c r="HG138" s="9"/>
      <c r="HH138" s="9"/>
      <c r="HI138" s="9"/>
      <c r="HJ138" s="9"/>
      <c r="HQ138" t="s">
        <v>677</v>
      </c>
      <c r="HS138" s="4" t="s">
        <v>490</v>
      </c>
      <c r="HT138" s="50">
        <v>34335</v>
      </c>
      <c r="HU138" s="50">
        <v>36160</v>
      </c>
      <c r="HV138" s="50"/>
      <c r="HW138" s="50"/>
      <c r="IO138" t="s">
        <v>702</v>
      </c>
      <c r="IP138" s="13" t="s">
        <v>703</v>
      </c>
      <c r="IS138">
        <v>1994</v>
      </c>
      <c r="IT138">
        <v>1994.2</v>
      </c>
      <c r="IU138" s="4" t="s">
        <v>544</v>
      </c>
      <c r="IV138" t="s">
        <v>700</v>
      </c>
      <c r="IW138" t="s">
        <v>492</v>
      </c>
      <c r="JA138">
        <v>0</v>
      </c>
      <c r="JB138">
        <v>0</v>
      </c>
      <c r="JC138">
        <v>0</v>
      </c>
      <c r="JD138">
        <v>0</v>
      </c>
      <c r="JE138">
        <v>0</v>
      </c>
      <c r="JF138">
        <v>0</v>
      </c>
      <c r="JG138">
        <v>0</v>
      </c>
      <c r="JH138">
        <v>0</v>
      </c>
      <c r="JI138">
        <v>0</v>
      </c>
      <c r="JK138" s="12" t="s">
        <v>682</v>
      </c>
      <c r="JP138" s="4"/>
      <c r="JV138" s="4"/>
      <c r="JW138" s="4"/>
      <c r="JX138" s="4"/>
      <c r="JY138" s="4"/>
      <c r="JZ138" s="4"/>
      <c r="KA138" s="4"/>
      <c r="KF138" s="7" t="s">
        <v>500</v>
      </c>
      <c r="KJ138" s="7" t="s">
        <v>649</v>
      </c>
      <c r="KK138" s="7"/>
      <c r="MY138" t="s">
        <v>684</v>
      </c>
      <c r="MZ138">
        <v>42</v>
      </c>
      <c r="NB138" s="4" t="s">
        <v>754</v>
      </c>
      <c r="NJ138" t="s">
        <v>755</v>
      </c>
      <c r="NL138" s="4" t="s">
        <v>654</v>
      </c>
      <c r="NM138" s="6" t="s">
        <v>719</v>
      </c>
      <c r="NV138" t="s">
        <v>518</v>
      </c>
      <c r="NW138" s="5" t="s">
        <v>786</v>
      </c>
      <c r="NX138" s="4" t="s">
        <v>520</v>
      </c>
      <c r="NY138" s="3">
        <v>2.7318011109362994E-2</v>
      </c>
      <c r="OB138">
        <v>4</v>
      </c>
      <c r="OU138" t="s">
        <v>783</v>
      </c>
      <c r="OW138">
        <v>1997</v>
      </c>
      <c r="OZ138" s="2" t="s">
        <v>709</v>
      </c>
      <c r="PB138" t="s">
        <v>522</v>
      </c>
      <c r="PC138" s="50">
        <v>46094</v>
      </c>
    </row>
    <row r="139" spans="1:419" ht="15.75" thickBot="1">
      <c r="A139" s="11" t="s">
        <v>665</v>
      </c>
      <c r="B139" t="s">
        <v>666</v>
      </c>
      <c r="C139" t="s">
        <v>667</v>
      </c>
      <c r="D139" s="4" t="s">
        <v>668</v>
      </c>
      <c r="E139" t="s">
        <v>669</v>
      </c>
      <c r="F139" s="88" t="s">
        <v>670</v>
      </c>
      <c r="G139" t="s">
        <v>475</v>
      </c>
      <c r="H139" t="s">
        <v>476</v>
      </c>
      <c r="I139" s="10">
        <v>0.1</v>
      </c>
      <c r="J139" s="10">
        <v>34.566667000000002</v>
      </c>
      <c r="K139">
        <v>150</v>
      </c>
      <c r="AV139" t="s">
        <v>671</v>
      </c>
      <c r="AW139">
        <v>100</v>
      </c>
      <c r="AX139" t="s">
        <v>480</v>
      </c>
      <c r="AY139">
        <v>4</v>
      </c>
      <c r="AZ139" t="s">
        <v>672</v>
      </c>
      <c r="BA139">
        <v>1994</v>
      </c>
      <c r="BB139">
        <v>1998</v>
      </c>
      <c r="BC139" t="s">
        <v>673</v>
      </c>
      <c r="BD139" s="10" t="s">
        <v>704</v>
      </c>
      <c r="BE139" t="s">
        <v>524</v>
      </c>
      <c r="BF139" s="3" t="s">
        <v>484</v>
      </c>
      <c r="BG139" t="s">
        <v>485</v>
      </c>
      <c r="BH139" t="s">
        <v>675</v>
      </c>
      <c r="BI139" s="4" t="s">
        <v>486</v>
      </c>
      <c r="BJ139" s="9">
        <v>53000</v>
      </c>
      <c r="HQ139" t="s">
        <v>677</v>
      </c>
      <c r="HS139" s="4" t="s">
        <v>490</v>
      </c>
      <c r="HT139" s="50">
        <v>34335</v>
      </c>
      <c r="HU139" s="50">
        <v>36160</v>
      </c>
      <c r="HV139" s="50"/>
      <c r="HW139" s="50"/>
      <c r="IO139" t="s">
        <v>700</v>
      </c>
      <c r="IP139" s="46" t="s">
        <v>492</v>
      </c>
      <c r="IU139" s="4" t="s">
        <v>544</v>
      </c>
      <c r="IV139" t="s">
        <v>700</v>
      </c>
      <c r="IW139" s="46" t="s">
        <v>492</v>
      </c>
      <c r="JA139">
        <v>0</v>
      </c>
      <c r="JB139">
        <v>0</v>
      </c>
      <c r="JC139">
        <v>0</v>
      </c>
      <c r="JD139">
        <v>0</v>
      </c>
      <c r="JE139">
        <v>0</v>
      </c>
      <c r="JF139">
        <v>0</v>
      </c>
      <c r="JG139">
        <v>0</v>
      </c>
      <c r="JH139">
        <v>0</v>
      </c>
      <c r="JI139">
        <v>0</v>
      </c>
      <c r="JK139" s="12" t="s">
        <v>682</v>
      </c>
      <c r="JP139" s="4"/>
      <c r="JV139" s="4"/>
      <c r="JW139" s="4"/>
      <c r="JX139" s="4"/>
      <c r="JY139" s="4"/>
      <c r="JZ139" s="4"/>
      <c r="KA139" s="4"/>
      <c r="KF139" s="7" t="s">
        <v>500</v>
      </c>
      <c r="KJ139" s="7" t="s">
        <v>649</v>
      </c>
      <c r="KK139" s="7"/>
      <c r="MY139" t="s">
        <v>684</v>
      </c>
      <c r="MZ139">
        <v>42</v>
      </c>
      <c r="NB139" s="4" t="s">
        <v>754</v>
      </c>
      <c r="NJ139" t="s">
        <v>755</v>
      </c>
      <c r="NL139" s="4" t="s">
        <v>654</v>
      </c>
      <c r="NM139" s="6" t="s">
        <v>719</v>
      </c>
      <c r="NU139" t="s">
        <v>517</v>
      </c>
      <c r="NV139" t="s">
        <v>518</v>
      </c>
      <c r="NW139" s="5" t="s">
        <v>787</v>
      </c>
      <c r="NX139" s="4" t="s">
        <v>520</v>
      </c>
      <c r="NY139" s="3">
        <v>4.2435963748398003E-2</v>
      </c>
      <c r="OB139">
        <v>4</v>
      </c>
      <c r="OU139" t="s">
        <v>783</v>
      </c>
      <c r="OW139">
        <v>1997</v>
      </c>
      <c r="OZ139" s="2" t="s">
        <v>709</v>
      </c>
      <c r="PB139" t="s">
        <v>522</v>
      </c>
      <c r="PC139" s="50">
        <v>46094</v>
      </c>
    </row>
    <row r="140" spans="1:419" ht="15.75" thickBot="1">
      <c r="A140" s="11" t="s">
        <v>665</v>
      </c>
      <c r="B140" t="s">
        <v>666</v>
      </c>
      <c r="C140" t="s">
        <v>667</v>
      </c>
      <c r="D140" s="4" t="s">
        <v>668</v>
      </c>
      <c r="E140" t="s">
        <v>669</v>
      </c>
      <c r="F140" s="88" t="s">
        <v>670</v>
      </c>
      <c r="G140" t="s">
        <v>475</v>
      </c>
      <c r="H140" t="s">
        <v>476</v>
      </c>
      <c r="I140" s="10">
        <v>0.1</v>
      </c>
      <c r="J140" s="10">
        <v>34.566667000000002</v>
      </c>
      <c r="K140">
        <v>150</v>
      </c>
      <c r="AV140" t="s">
        <v>671</v>
      </c>
      <c r="AW140">
        <v>100</v>
      </c>
      <c r="AX140" t="s">
        <v>480</v>
      </c>
      <c r="AY140">
        <v>4</v>
      </c>
      <c r="AZ140" t="s">
        <v>672</v>
      </c>
      <c r="BA140">
        <v>1994</v>
      </c>
      <c r="BB140">
        <v>1998</v>
      </c>
      <c r="BC140" t="s">
        <v>673</v>
      </c>
      <c r="BD140" s="10" t="s">
        <v>705</v>
      </c>
      <c r="BE140" t="s">
        <v>483</v>
      </c>
      <c r="BF140" s="3" t="s">
        <v>484</v>
      </c>
      <c r="BG140" t="s">
        <v>485</v>
      </c>
      <c r="BH140" t="s">
        <v>675</v>
      </c>
      <c r="BI140" s="4" t="s">
        <v>486</v>
      </c>
      <c r="BJ140" s="9">
        <v>53000</v>
      </c>
      <c r="HQ140" t="s">
        <v>677</v>
      </c>
      <c r="HS140" s="4" t="s">
        <v>490</v>
      </c>
      <c r="HT140" s="50">
        <v>34335</v>
      </c>
      <c r="HU140" s="50">
        <v>36160</v>
      </c>
      <c r="HV140" s="50"/>
      <c r="HW140" s="50"/>
      <c r="IO140" t="s">
        <v>706</v>
      </c>
      <c r="IP140" s="46" t="s">
        <v>492</v>
      </c>
      <c r="IU140" s="4" t="s">
        <v>544</v>
      </c>
      <c r="IV140" t="s">
        <v>707</v>
      </c>
      <c r="IW140" s="46" t="s">
        <v>492</v>
      </c>
      <c r="JA140">
        <v>0</v>
      </c>
      <c r="JB140">
        <v>0</v>
      </c>
      <c r="JC140">
        <v>0</v>
      </c>
      <c r="JD140">
        <v>0</v>
      </c>
      <c r="JE140">
        <v>0</v>
      </c>
      <c r="JF140">
        <v>0</v>
      </c>
      <c r="JG140">
        <v>0</v>
      </c>
      <c r="JH140">
        <v>0</v>
      </c>
      <c r="JI140">
        <v>0</v>
      </c>
      <c r="JJ140" t="s">
        <v>706</v>
      </c>
      <c r="JK140" t="s">
        <v>494</v>
      </c>
      <c r="JL140" s="8" t="s">
        <v>495</v>
      </c>
      <c r="JP140" s="4" t="s">
        <v>508</v>
      </c>
      <c r="JQ140">
        <v>60</v>
      </c>
      <c r="JT140">
        <v>60</v>
      </c>
      <c r="JV140" s="4"/>
      <c r="JW140" s="4"/>
      <c r="JX140" s="4"/>
      <c r="JY140" s="4"/>
      <c r="JZ140" s="4"/>
      <c r="KA140" s="4"/>
      <c r="KF140" s="7" t="s">
        <v>500</v>
      </c>
      <c r="KJ140" s="7" t="s">
        <v>649</v>
      </c>
      <c r="KK140" s="7"/>
      <c r="MY140" t="s">
        <v>684</v>
      </c>
      <c r="MZ140">
        <v>42</v>
      </c>
      <c r="NB140" s="4" t="s">
        <v>754</v>
      </c>
      <c r="NJ140" t="s">
        <v>755</v>
      </c>
      <c r="NL140" s="4" t="s">
        <v>654</v>
      </c>
      <c r="NM140" s="6" t="s">
        <v>719</v>
      </c>
      <c r="NU140" t="s">
        <v>708</v>
      </c>
      <c r="NV140" t="s">
        <v>518</v>
      </c>
      <c r="NW140" s="5" t="s">
        <v>788</v>
      </c>
      <c r="NX140" s="4" t="s">
        <v>520</v>
      </c>
      <c r="NY140" s="3">
        <v>3.0325859626239016E-2</v>
      </c>
      <c r="OB140">
        <v>4</v>
      </c>
      <c r="OU140" t="s">
        <v>783</v>
      </c>
      <c r="OW140">
        <v>1997</v>
      </c>
      <c r="OZ140" s="2" t="s">
        <v>709</v>
      </c>
      <c r="PB140" t="s">
        <v>522</v>
      </c>
      <c r="PC140" s="50">
        <v>46094</v>
      </c>
    </row>
    <row r="141" spans="1:419" ht="15.75" thickBot="1">
      <c r="A141" s="11" t="s">
        <v>665</v>
      </c>
      <c r="B141" t="s">
        <v>666</v>
      </c>
      <c r="C141" t="s">
        <v>667</v>
      </c>
      <c r="D141" s="4" t="s">
        <v>668</v>
      </c>
      <c r="E141" t="s">
        <v>669</v>
      </c>
      <c r="F141" s="88" t="s">
        <v>670</v>
      </c>
      <c r="G141" t="s">
        <v>475</v>
      </c>
      <c r="H141" t="s">
        <v>476</v>
      </c>
      <c r="I141" s="10">
        <v>0.1</v>
      </c>
      <c r="J141" s="10">
        <v>34.566667000000002</v>
      </c>
      <c r="K141">
        <v>150</v>
      </c>
      <c r="AV141" t="s">
        <v>671</v>
      </c>
      <c r="AW141">
        <v>100</v>
      </c>
      <c r="AX141" t="s">
        <v>480</v>
      </c>
      <c r="AY141">
        <v>4</v>
      </c>
      <c r="AZ141" t="s">
        <v>672</v>
      </c>
      <c r="BA141">
        <v>1994</v>
      </c>
      <c r="BB141">
        <v>1998</v>
      </c>
      <c r="BC141" t="s">
        <v>673</v>
      </c>
      <c r="BD141" s="10" t="s">
        <v>674</v>
      </c>
      <c r="BE141" t="s">
        <v>536</v>
      </c>
      <c r="BF141" s="3" t="s">
        <v>484</v>
      </c>
      <c r="BG141" t="s">
        <v>485</v>
      </c>
      <c r="BH141" t="s">
        <v>675</v>
      </c>
      <c r="BI141" s="4" t="s">
        <v>486</v>
      </c>
      <c r="BJ141" s="9">
        <v>53000</v>
      </c>
      <c r="ED141" t="s">
        <v>676</v>
      </c>
      <c r="EE141" s="4" t="s">
        <v>486</v>
      </c>
      <c r="EF141" s="9">
        <v>53000</v>
      </c>
      <c r="EG141" s="9"/>
      <c r="EH141" s="9"/>
      <c r="EI141" s="9"/>
      <c r="EJ141" s="9"/>
      <c r="EK141" s="9"/>
      <c r="EL141" s="9"/>
      <c r="EM141" s="9"/>
      <c r="EN141" s="9"/>
      <c r="EO141" s="9"/>
      <c r="EP141" s="9"/>
      <c r="EQ141" s="9"/>
      <c r="ER141" s="9"/>
      <c r="ES141" s="9"/>
      <c r="ET141" s="9"/>
      <c r="EU141" s="9"/>
      <c r="EV141" s="9"/>
      <c r="EW141" s="9"/>
      <c r="EX141" s="9"/>
      <c r="EY141" s="9"/>
      <c r="EZ141" s="9"/>
      <c r="FA141" s="9"/>
      <c r="FB141" s="9"/>
      <c r="FC141" s="9"/>
      <c r="FD141" s="9"/>
      <c r="FE141" s="9"/>
      <c r="FF141" s="9"/>
      <c r="FG141" s="9"/>
      <c r="FH141" s="9"/>
      <c r="FI141" s="9"/>
      <c r="FJ141" s="9"/>
      <c r="FK141" s="9"/>
      <c r="FL141" s="9"/>
      <c r="FM141" s="9"/>
      <c r="FN141" s="9"/>
      <c r="FO141" s="9"/>
      <c r="FP141" s="9"/>
      <c r="FQ141" s="9"/>
      <c r="FR141" s="9"/>
      <c r="FS141" s="9"/>
      <c r="FT141" s="9"/>
      <c r="FU141" s="9"/>
      <c r="FV141" s="9"/>
      <c r="FW141" s="9"/>
      <c r="FX141" s="9"/>
      <c r="FY141" s="9"/>
      <c r="FZ141" s="9"/>
      <c r="GA141" s="9"/>
      <c r="GB141" s="9"/>
      <c r="GC141" s="9"/>
      <c r="GD141" s="9"/>
      <c r="GE141" s="9"/>
      <c r="GF141" s="9"/>
      <c r="GG141" s="9"/>
      <c r="GH141" s="9"/>
      <c r="GI141" s="9"/>
      <c r="GJ141" s="9"/>
      <c r="GK141" s="9"/>
      <c r="GL141" s="9"/>
      <c r="GM141" s="9"/>
      <c r="GN141" s="9"/>
      <c r="GO141" s="9"/>
      <c r="GP141" s="9"/>
      <c r="GQ141" s="9"/>
      <c r="GR141" s="9"/>
      <c r="GS141" s="9"/>
      <c r="GT141" s="9"/>
      <c r="GU141" s="9"/>
      <c r="GV141" s="9"/>
      <c r="GW141" s="9"/>
      <c r="GX141" s="9"/>
      <c r="GY141" s="9"/>
      <c r="GZ141" s="9"/>
      <c r="HA141" s="9"/>
      <c r="HB141" s="9"/>
      <c r="HC141" s="9"/>
      <c r="HD141" s="9"/>
      <c r="HE141" s="9"/>
      <c r="HF141" s="9"/>
      <c r="HG141" s="9"/>
      <c r="HH141" s="9"/>
      <c r="HI141" s="9"/>
      <c r="HJ141" s="9"/>
      <c r="HQ141" t="s">
        <v>677</v>
      </c>
      <c r="HS141" s="4" t="s">
        <v>490</v>
      </c>
      <c r="HT141" s="50">
        <v>34335</v>
      </c>
      <c r="HU141" s="50">
        <v>36160</v>
      </c>
      <c r="HV141" s="50"/>
      <c r="HW141" s="50"/>
      <c r="IN141" s="4"/>
      <c r="IO141" t="s">
        <v>678</v>
      </c>
      <c r="IP141" s="12" t="s">
        <v>679</v>
      </c>
      <c r="IS141">
        <v>1995</v>
      </c>
      <c r="IT141">
        <v>1995.2</v>
      </c>
      <c r="IU141" s="4" t="s">
        <v>544</v>
      </c>
      <c r="IV141" t="s">
        <v>680</v>
      </c>
      <c r="IW141" s="12" t="s">
        <v>681</v>
      </c>
      <c r="IZ141">
        <v>0.5</v>
      </c>
      <c r="JA141" t="s">
        <v>480</v>
      </c>
      <c r="JB141" t="s">
        <v>480</v>
      </c>
      <c r="JC141" t="s">
        <v>480</v>
      </c>
      <c r="JD141" t="s">
        <v>480</v>
      </c>
      <c r="JE141" t="s">
        <v>480</v>
      </c>
      <c r="JF141" t="s">
        <v>480</v>
      </c>
      <c r="JG141" t="s">
        <v>480</v>
      </c>
      <c r="JH141" t="s">
        <v>480</v>
      </c>
      <c r="JI141" t="s">
        <v>480</v>
      </c>
      <c r="JK141" s="12" t="s">
        <v>682</v>
      </c>
      <c r="JP141" s="4"/>
      <c r="JV141" s="4"/>
      <c r="JW141" s="4"/>
      <c r="JX141" s="4"/>
      <c r="JY141" s="4"/>
      <c r="JZ141" s="4"/>
      <c r="KA141" s="4"/>
      <c r="KF141" s="7" t="s">
        <v>500</v>
      </c>
      <c r="KJ141" s="7" t="s">
        <v>683</v>
      </c>
      <c r="KK141" s="7" t="s">
        <v>562</v>
      </c>
      <c r="KL141" t="s">
        <v>480</v>
      </c>
      <c r="KM141" t="s">
        <v>480</v>
      </c>
      <c r="MY141" t="s">
        <v>684</v>
      </c>
      <c r="MZ141">
        <v>42</v>
      </c>
      <c r="NB141" s="4" t="s">
        <v>789</v>
      </c>
      <c r="NJ141" t="s">
        <v>790</v>
      </c>
      <c r="NL141" s="4" t="s">
        <v>654</v>
      </c>
      <c r="NM141" s="6" t="s">
        <v>719</v>
      </c>
      <c r="NV141" t="s">
        <v>518</v>
      </c>
      <c r="NW141" s="5" t="s">
        <v>791</v>
      </c>
      <c r="NX141" s="4" t="s">
        <v>520</v>
      </c>
      <c r="NY141" s="3">
        <v>0.27494262741666997</v>
      </c>
      <c r="OB141">
        <v>4</v>
      </c>
      <c r="OU141" t="s">
        <v>792</v>
      </c>
      <c r="OW141">
        <v>1996</v>
      </c>
      <c r="OZ141" s="2" t="s">
        <v>692</v>
      </c>
      <c r="PB141" t="s">
        <v>522</v>
      </c>
      <c r="PC141" s="50">
        <v>46094</v>
      </c>
    </row>
    <row r="142" spans="1:419" ht="15.75" thickBot="1">
      <c r="A142" s="11" t="s">
        <v>665</v>
      </c>
      <c r="B142" t="s">
        <v>666</v>
      </c>
      <c r="C142" t="s">
        <v>667</v>
      </c>
      <c r="D142" s="4" t="s">
        <v>668</v>
      </c>
      <c r="E142" t="s">
        <v>669</v>
      </c>
      <c r="F142" s="88" t="s">
        <v>670</v>
      </c>
      <c r="G142" t="s">
        <v>475</v>
      </c>
      <c r="H142" t="s">
        <v>476</v>
      </c>
      <c r="I142" s="10">
        <v>0.1</v>
      </c>
      <c r="J142" s="10">
        <v>34.566667000000002</v>
      </c>
      <c r="K142">
        <v>150</v>
      </c>
      <c r="AV142" t="s">
        <v>671</v>
      </c>
      <c r="AW142">
        <v>100</v>
      </c>
      <c r="AX142" t="s">
        <v>480</v>
      </c>
      <c r="AY142">
        <v>4</v>
      </c>
      <c r="AZ142" t="s">
        <v>672</v>
      </c>
      <c r="BA142">
        <v>1994</v>
      </c>
      <c r="BB142">
        <v>1998</v>
      </c>
      <c r="BC142" t="s">
        <v>673</v>
      </c>
      <c r="BD142" s="10" t="s">
        <v>693</v>
      </c>
      <c r="BE142" t="s">
        <v>566</v>
      </c>
      <c r="BF142" s="3" t="s">
        <v>484</v>
      </c>
      <c r="BG142" t="s">
        <v>485</v>
      </c>
      <c r="BH142" t="s">
        <v>675</v>
      </c>
      <c r="BI142" s="4" t="s">
        <v>486</v>
      </c>
      <c r="BJ142" s="9">
        <v>53000</v>
      </c>
      <c r="ED142" t="s">
        <v>676</v>
      </c>
      <c r="EE142" s="4" t="s">
        <v>486</v>
      </c>
      <c r="EF142" s="9">
        <v>53000</v>
      </c>
      <c r="EG142" s="9"/>
      <c r="EH142" s="9"/>
      <c r="EI142" s="9"/>
      <c r="EJ142" s="9"/>
      <c r="EK142" s="9"/>
      <c r="EL142" s="9"/>
      <c r="EM142" s="9"/>
      <c r="EN142" s="9"/>
      <c r="EO142" s="9"/>
      <c r="EP142" s="9"/>
      <c r="EQ142" s="9"/>
      <c r="ER142" s="9"/>
      <c r="ES142" s="9"/>
      <c r="ET142" s="9"/>
      <c r="EU142" s="9"/>
      <c r="EV142" s="9"/>
      <c r="EW142" s="9"/>
      <c r="EX142" s="9"/>
      <c r="EY142" s="9"/>
      <c r="EZ142" s="9"/>
      <c r="FA142" s="9"/>
      <c r="FB142" s="9"/>
      <c r="FC142" s="9"/>
      <c r="FD142" s="9"/>
      <c r="FE142" s="9"/>
      <c r="FF142" s="9"/>
      <c r="FG142" s="9"/>
      <c r="FH142" s="9"/>
      <c r="FI142" s="9"/>
      <c r="FJ142" s="9"/>
      <c r="FK142" s="9"/>
      <c r="FL142" s="9"/>
      <c r="FM142" s="9"/>
      <c r="FN142" s="9"/>
      <c r="FO142" s="9"/>
      <c r="FP142" s="9"/>
      <c r="FQ142" s="9"/>
      <c r="FR142" s="9"/>
      <c r="FS142" s="9"/>
      <c r="FT142" s="9"/>
      <c r="FU142" s="9"/>
      <c r="FV142" s="9"/>
      <c r="FW142" s="9"/>
      <c r="FX142" s="9"/>
      <c r="FY142" s="9"/>
      <c r="FZ142" s="9"/>
      <c r="GA142" s="9"/>
      <c r="GB142" s="9"/>
      <c r="GC142" s="9"/>
      <c r="GD142" s="9"/>
      <c r="GE142" s="9"/>
      <c r="GF142" s="9"/>
      <c r="GG142" s="9"/>
      <c r="GH142" s="9"/>
      <c r="GI142" s="9"/>
      <c r="GJ142" s="9"/>
      <c r="GK142" s="9"/>
      <c r="GL142" s="9"/>
      <c r="GM142" s="9"/>
      <c r="GN142" s="9"/>
      <c r="GO142" s="9"/>
      <c r="GP142" s="9"/>
      <c r="GQ142" s="9"/>
      <c r="GR142" s="9"/>
      <c r="GS142" s="9"/>
      <c r="GT142" s="9"/>
      <c r="GU142" s="9"/>
      <c r="GV142" s="9"/>
      <c r="GW142" s="9"/>
      <c r="GX142" s="9"/>
      <c r="GY142" s="9"/>
      <c r="GZ142" s="9"/>
      <c r="HA142" s="9"/>
      <c r="HB142" s="9"/>
      <c r="HC142" s="9"/>
      <c r="HD142" s="9"/>
      <c r="HE142" s="9"/>
      <c r="HF142" s="9"/>
      <c r="HG142" s="9"/>
      <c r="HH142" s="9"/>
      <c r="HI142" s="9"/>
      <c r="HJ142" s="9"/>
      <c r="HQ142" t="s">
        <v>677</v>
      </c>
      <c r="HS142" s="4" t="s">
        <v>490</v>
      </c>
      <c r="HT142" s="50">
        <v>34335</v>
      </c>
      <c r="HU142" s="50">
        <v>36160</v>
      </c>
      <c r="HV142" s="50"/>
      <c r="HW142" s="50"/>
      <c r="IN142" s="4"/>
      <c r="IO142" t="s">
        <v>694</v>
      </c>
      <c r="IP142" s="12" t="s">
        <v>695</v>
      </c>
      <c r="IS142">
        <v>1994</v>
      </c>
      <c r="IT142">
        <v>1994.2</v>
      </c>
      <c r="IU142" s="4" t="s">
        <v>544</v>
      </c>
      <c r="IV142" t="s">
        <v>696</v>
      </c>
      <c r="IW142" s="12" t="s">
        <v>681</v>
      </c>
      <c r="IZ142">
        <v>0.5</v>
      </c>
      <c r="JA142" t="s">
        <v>480</v>
      </c>
      <c r="JB142" t="s">
        <v>480</v>
      </c>
      <c r="JC142" t="s">
        <v>480</v>
      </c>
      <c r="JD142" t="s">
        <v>480</v>
      </c>
      <c r="JE142" t="s">
        <v>480</v>
      </c>
      <c r="JF142" t="s">
        <v>480</v>
      </c>
      <c r="JG142" t="s">
        <v>480</v>
      </c>
      <c r="JH142" t="s">
        <v>480</v>
      </c>
      <c r="JI142" t="s">
        <v>480</v>
      </c>
      <c r="JK142" s="12" t="s">
        <v>682</v>
      </c>
      <c r="JP142" s="4"/>
      <c r="JV142" s="4"/>
      <c r="JW142" s="4"/>
      <c r="JX142" s="4"/>
      <c r="JY142" s="4"/>
      <c r="JZ142" s="4"/>
      <c r="KA142" s="4"/>
      <c r="KF142" s="7" t="s">
        <v>500</v>
      </c>
      <c r="KJ142" s="7" t="s">
        <v>683</v>
      </c>
      <c r="KK142" s="7" t="s">
        <v>562</v>
      </c>
      <c r="KL142" t="s">
        <v>480</v>
      </c>
      <c r="KM142" t="s">
        <v>480</v>
      </c>
      <c r="MY142" t="s">
        <v>684</v>
      </c>
      <c r="MZ142">
        <v>42</v>
      </c>
      <c r="NB142" s="4" t="s">
        <v>789</v>
      </c>
      <c r="NJ142" t="s">
        <v>790</v>
      </c>
      <c r="NL142" s="4" t="s">
        <v>654</v>
      </c>
      <c r="NM142" s="6" t="s">
        <v>719</v>
      </c>
      <c r="NV142" t="s">
        <v>518</v>
      </c>
      <c r="NW142" s="5" t="s">
        <v>793</v>
      </c>
      <c r="NX142" s="4" t="s">
        <v>520</v>
      </c>
      <c r="NY142" s="3">
        <v>0.29593796606625</v>
      </c>
      <c r="OB142">
        <v>4</v>
      </c>
      <c r="OU142" t="s">
        <v>792</v>
      </c>
      <c r="OW142">
        <v>1996</v>
      </c>
      <c r="OZ142" s="2" t="s">
        <v>692</v>
      </c>
      <c r="PB142" t="s">
        <v>522</v>
      </c>
      <c r="PC142" s="50">
        <v>46094</v>
      </c>
    </row>
    <row r="143" spans="1:419" ht="15.75" thickBot="1">
      <c r="A143" s="11" t="s">
        <v>665</v>
      </c>
      <c r="B143" t="s">
        <v>666</v>
      </c>
      <c r="C143" t="s">
        <v>667</v>
      </c>
      <c r="D143" s="4" t="s">
        <v>668</v>
      </c>
      <c r="E143" t="s">
        <v>669</v>
      </c>
      <c r="F143" s="88" t="s">
        <v>670</v>
      </c>
      <c r="G143" t="s">
        <v>475</v>
      </c>
      <c r="H143" t="s">
        <v>476</v>
      </c>
      <c r="I143" s="10">
        <v>0.1</v>
      </c>
      <c r="J143" s="10">
        <v>34.566667000000002</v>
      </c>
      <c r="K143">
        <v>150</v>
      </c>
      <c r="AV143" t="s">
        <v>671</v>
      </c>
      <c r="AW143">
        <v>100</v>
      </c>
      <c r="AX143" t="s">
        <v>480</v>
      </c>
      <c r="AY143">
        <v>4</v>
      </c>
      <c r="AZ143" t="s">
        <v>672</v>
      </c>
      <c r="BA143">
        <v>1994</v>
      </c>
      <c r="BB143">
        <v>1998</v>
      </c>
      <c r="BC143" t="s">
        <v>673</v>
      </c>
      <c r="BD143" s="10" t="s">
        <v>697</v>
      </c>
      <c r="BE143" t="s">
        <v>572</v>
      </c>
      <c r="BF143" s="3" t="s">
        <v>484</v>
      </c>
      <c r="BG143" t="s">
        <v>485</v>
      </c>
      <c r="BH143" t="s">
        <v>675</v>
      </c>
      <c r="BI143" s="4" t="s">
        <v>486</v>
      </c>
      <c r="BJ143" s="9">
        <v>53000</v>
      </c>
      <c r="EE143" s="4"/>
      <c r="EF143" s="9"/>
      <c r="EG143" s="9"/>
      <c r="EH143" s="9"/>
      <c r="EI143" s="9"/>
      <c r="EJ143" s="9"/>
      <c r="EK143" s="9"/>
      <c r="EL143" s="9"/>
      <c r="EM143" s="9"/>
      <c r="EN143" s="9"/>
      <c r="EO143" s="9"/>
      <c r="EP143" s="9"/>
      <c r="EQ143" s="9"/>
      <c r="ER143" s="9"/>
      <c r="ES143" s="9"/>
      <c r="ET143" s="9"/>
      <c r="EU143" s="9"/>
      <c r="EV143" s="9"/>
      <c r="EW143" s="9"/>
      <c r="EX143" s="9"/>
      <c r="EY143" s="9"/>
      <c r="EZ143" s="9"/>
      <c r="FA143" s="9"/>
      <c r="FB143" s="9"/>
      <c r="FC143" s="9"/>
      <c r="FD143" s="9"/>
      <c r="FE143" s="9"/>
      <c r="FF143" s="9"/>
      <c r="FG143" s="9"/>
      <c r="FH143" s="9"/>
      <c r="FI143" s="9"/>
      <c r="FJ143" s="9"/>
      <c r="FK143" s="9"/>
      <c r="FL143" s="9"/>
      <c r="FM143" s="9"/>
      <c r="FN143" s="9"/>
      <c r="FO143" s="9"/>
      <c r="FP143" s="9"/>
      <c r="FQ143" s="9"/>
      <c r="FR143" s="9"/>
      <c r="FS143" s="9"/>
      <c r="FT143" s="9"/>
      <c r="FU143" s="9"/>
      <c r="FV143" s="9"/>
      <c r="FW143" s="9"/>
      <c r="FX143" s="9"/>
      <c r="FY143" s="9"/>
      <c r="FZ143" s="9"/>
      <c r="GA143" s="9"/>
      <c r="GB143" s="9"/>
      <c r="GC143" s="9"/>
      <c r="GD143" s="9"/>
      <c r="GE143" s="9"/>
      <c r="GF143" s="9"/>
      <c r="GG143" s="9"/>
      <c r="GH143" s="9"/>
      <c r="GI143" s="9"/>
      <c r="GJ143" s="9"/>
      <c r="GK143" s="9"/>
      <c r="GL143" s="9"/>
      <c r="GM143" s="9"/>
      <c r="GN143" s="9"/>
      <c r="GO143" s="9"/>
      <c r="GP143" s="9"/>
      <c r="GQ143" s="9"/>
      <c r="GR143" s="9"/>
      <c r="GS143" s="9"/>
      <c r="GT143" s="9"/>
      <c r="GU143" s="9"/>
      <c r="GV143" s="9"/>
      <c r="GW143" s="9"/>
      <c r="GX143" s="9"/>
      <c r="GY143" s="9"/>
      <c r="GZ143" s="9"/>
      <c r="HA143" s="9"/>
      <c r="HB143" s="9"/>
      <c r="HC143" s="9"/>
      <c r="HD143" s="9"/>
      <c r="HE143" s="9"/>
      <c r="HF143" s="9"/>
      <c r="HG143" s="9"/>
      <c r="HH143" s="9"/>
      <c r="HI143" s="9"/>
      <c r="HJ143" s="9"/>
      <c r="HQ143" t="s">
        <v>677</v>
      </c>
      <c r="HS143" s="4" t="s">
        <v>490</v>
      </c>
      <c r="HT143" s="50">
        <v>34335</v>
      </c>
      <c r="HU143" s="50">
        <v>36160</v>
      </c>
      <c r="HV143" s="50"/>
      <c r="HW143" s="50"/>
      <c r="IO143" t="s">
        <v>698</v>
      </c>
      <c r="IP143" s="46" t="s">
        <v>699</v>
      </c>
      <c r="IS143">
        <v>1995</v>
      </c>
      <c r="IT143">
        <v>1995.2</v>
      </c>
      <c r="IU143" s="4" t="s">
        <v>544</v>
      </c>
      <c r="IV143" t="s">
        <v>700</v>
      </c>
      <c r="IW143" t="s">
        <v>492</v>
      </c>
      <c r="JA143">
        <v>0</v>
      </c>
      <c r="JB143">
        <v>0</v>
      </c>
      <c r="JC143">
        <v>0</v>
      </c>
      <c r="JD143">
        <v>0</v>
      </c>
      <c r="JE143">
        <v>0</v>
      </c>
      <c r="JF143">
        <v>0</v>
      </c>
      <c r="JG143">
        <v>0</v>
      </c>
      <c r="JH143">
        <v>0</v>
      </c>
      <c r="JI143">
        <v>0</v>
      </c>
      <c r="JK143" s="12" t="s">
        <v>682</v>
      </c>
      <c r="JP143" s="4"/>
      <c r="JV143" s="4"/>
      <c r="JW143" s="4"/>
      <c r="JX143" s="4"/>
      <c r="JY143" s="4"/>
      <c r="JZ143" s="4"/>
      <c r="KA143" s="4"/>
      <c r="KF143" s="7" t="s">
        <v>500</v>
      </c>
      <c r="KJ143" s="7" t="s">
        <v>649</v>
      </c>
      <c r="KK143" s="7"/>
      <c r="MY143" t="s">
        <v>684</v>
      </c>
      <c r="MZ143">
        <v>42</v>
      </c>
      <c r="NB143" s="4" t="s">
        <v>789</v>
      </c>
      <c r="NJ143" t="s">
        <v>790</v>
      </c>
      <c r="NL143" s="4" t="s">
        <v>654</v>
      </c>
      <c r="NM143" s="6" t="s">
        <v>719</v>
      </c>
      <c r="NV143" t="s">
        <v>518</v>
      </c>
      <c r="NW143" s="5" t="s">
        <v>794</v>
      </c>
      <c r="NX143" s="4" t="s">
        <v>520</v>
      </c>
      <c r="NY143" s="3">
        <v>0.27509672164527998</v>
      </c>
      <c r="OB143">
        <v>4</v>
      </c>
      <c r="OU143" t="s">
        <v>792</v>
      </c>
      <c r="OW143">
        <v>1996</v>
      </c>
      <c r="OZ143" s="2" t="s">
        <v>692</v>
      </c>
      <c r="PB143" t="s">
        <v>522</v>
      </c>
      <c r="PC143" s="50">
        <v>46094</v>
      </c>
    </row>
    <row r="144" spans="1:419" ht="15.75" thickBot="1">
      <c r="A144" s="11" t="s">
        <v>665</v>
      </c>
      <c r="B144" t="s">
        <v>666</v>
      </c>
      <c r="C144" t="s">
        <v>667</v>
      </c>
      <c r="D144" s="4" t="s">
        <v>668</v>
      </c>
      <c r="E144" t="s">
        <v>669</v>
      </c>
      <c r="F144" s="88" t="s">
        <v>670</v>
      </c>
      <c r="G144" t="s">
        <v>475</v>
      </c>
      <c r="H144" t="s">
        <v>476</v>
      </c>
      <c r="I144" s="10">
        <v>0.1</v>
      </c>
      <c r="J144" s="10">
        <v>34.566667000000002</v>
      </c>
      <c r="K144">
        <v>150</v>
      </c>
      <c r="AV144" t="s">
        <v>671</v>
      </c>
      <c r="AW144">
        <v>100</v>
      </c>
      <c r="AX144" t="s">
        <v>480</v>
      </c>
      <c r="AY144">
        <v>4</v>
      </c>
      <c r="AZ144" t="s">
        <v>672</v>
      </c>
      <c r="BA144">
        <v>1994</v>
      </c>
      <c r="BB144">
        <v>1998</v>
      </c>
      <c r="BC144" t="s">
        <v>673</v>
      </c>
      <c r="BD144" s="10" t="s">
        <v>701</v>
      </c>
      <c r="BE144" t="s">
        <v>553</v>
      </c>
      <c r="BF144" s="3" t="s">
        <v>484</v>
      </c>
      <c r="BG144" t="s">
        <v>485</v>
      </c>
      <c r="BH144" t="s">
        <v>675</v>
      </c>
      <c r="BI144" s="4" t="s">
        <v>486</v>
      </c>
      <c r="BJ144" s="9">
        <v>53000</v>
      </c>
      <c r="EE144" s="4"/>
      <c r="EF144" s="9"/>
      <c r="EG144" s="9"/>
      <c r="EH144" s="9"/>
      <c r="EI144" s="9"/>
      <c r="EJ144" s="9"/>
      <c r="EK144" s="9"/>
      <c r="EL144" s="9"/>
      <c r="EM144" s="9"/>
      <c r="EN144" s="9"/>
      <c r="EO144" s="9"/>
      <c r="EP144" s="9"/>
      <c r="EQ144" s="9"/>
      <c r="ER144" s="9"/>
      <c r="ES144" s="9"/>
      <c r="ET144" s="9"/>
      <c r="EU144" s="9"/>
      <c r="EV144" s="9"/>
      <c r="EW144" s="9"/>
      <c r="EX144" s="9"/>
      <c r="EY144" s="9"/>
      <c r="EZ144" s="9"/>
      <c r="FA144" s="9"/>
      <c r="FB144" s="9"/>
      <c r="FC144" s="9"/>
      <c r="FD144" s="9"/>
      <c r="FE144" s="9"/>
      <c r="FF144" s="9"/>
      <c r="FG144" s="9"/>
      <c r="FH144" s="9"/>
      <c r="FI144" s="9"/>
      <c r="FJ144" s="9"/>
      <c r="FK144" s="9"/>
      <c r="FL144" s="9"/>
      <c r="FM144" s="9"/>
      <c r="FN144" s="9"/>
      <c r="FO144" s="9"/>
      <c r="FP144" s="9"/>
      <c r="FQ144" s="9"/>
      <c r="FR144" s="9"/>
      <c r="FS144" s="9"/>
      <c r="FT144" s="9"/>
      <c r="FU144" s="9"/>
      <c r="FV144" s="9"/>
      <c r="FW144" s="9"/>
      <c r="FX144" s="9"/>
      <c r="FY144" s="9"/>
      <c r="FZ144" s="9"/>
      <c r="GA144" s="9"/>
      <c r="GB144" s="9"/>
      <c r="GC144" s="9"/>
      <c r="GD144" s="9"/>
      <c r="GE144" s="9"/>
      <c r="GF144" s="9"/>
      <c r="GG144" s="9"/>
      <c r="GH144" s="9"/>
      <c r="GI144" s="9"/>
      <c r="GJ144" s="9"/>
      <c r="GK144" s="9"/>
      <c r="GL144" s="9"/>
      <c r="GM144" s="9"/>
      <c r="GN144" s="9"/>
      <c r="GO144" s="9"/>
      <c r="GP144" s="9"/>
      <c r="GQ144" s="9"/>
      <c r="GR144" s="9"/>
      <c r="GS144" s="9"/>
      <c r="GT144" s="9"/>
      <c r="GU144" s="9"/>
      <c r="GV144" s="9"/>
      <c r="GW144" s="9"/>
      <c r="GX144" s="9"/>
      <c r="GY144" s="9"/>
      <c r="GZ144" s="9"/>
      <c r="HA144" s="9"/>
      <c r="HB144" s="9"/>
      <c r="HC144" s="9"/>
      <c r="HD144" s="9"/>
      <c r="HE144" s="9"/>
      <c r="HF144" s="9"/>
      <c r="HG144" s="9"/>
      <c r="HH144" s="9"/>
      <c r="HI144" s="9"/>
      <c r="HJ144" s="9"/>
      <c r="HQ144" t="s">
        <v>677</v>
      </c>
      <c r="HS144" s="4" t="s">
        <v>490</v>
      </c>
      <c r="HT144" s="50">
        <v>34335</v>
      </c>
      <c r="HU144" s="50">
        <v>36160</v>
      </c>
      <c r="HV144" s="50"/>
      <c r="HW144" s="50"/>
      <c r="IO144" t="s">
        <v>702</v>
      </c>
      <c r="IP144" s="13" t="s">
        <v>703</v>
      </c>
      <c r="IS144">
        <v>1994</v>
      </c>
      <c r="IT144">
        <v>1994.2</v>
      </c>
      <c r="IU144" s="4" t="s">
        <v>544</v>
      </c>
      <c r="IV144" t="s">
        <v>700</v>
      </c>
      <c r="IW144" t="s">
        <v>492</v>
      </c>
      <c r="JA144">
        <v>0</v>
      </c>
      <c r="JB144">
        <v>0</v>
      </c>
      <c r="JC144">
        <v>0</v>
      </c>
      <c r="JD144">
        <v>0</v>
      </c>
      <c r="JE144">
        <v>0</v>
      </c>
      <c r="JF144">
        <v>0</v>
      </c>
      <c r="JG144">
        <v>0</v>
      </c>
      <c r="JH144">
        <v>0</v>
      </c>
      <c r="JI144">
        <v>0</v>
      </c>
      <c r="JK144" s="12" t="s">
        <v>682</v>
      </c>
      <c r="JP144" s="4"/>
      <c r="JV144" s="4"/>
      <c r="JW144" s="4"/>
      <c r="JX144" s="4"/>
      <c r="JY144" s="4"/>
      <c r="JZ144" s="4"/>
      <c r="KA144" s="4"/>
      <c r="KF144" s="7" t="s">
        <v>500</v>
      </c>
      <c r="KJ144" s="7" t="s">
        <v>649</v>
      </c>
      <c r="KK144" s="7"/>
      <c r="MY144" t="s">
        <v>684</v>
      </c>
      <c r="MZ144">
        <v>42</v>
      </c>
      <c r="NB144" s="4" t="s">
        <v>789</v>
      </c>
      <c r="NJ144" t="s">
        <v>790</v>
      </c>
      <c r="NL144" s="4" t="s">
        <v>654</v>
      </c>
      <c r="NM144" s="6" t="s">
        <v>719</v>
      </c>
      <c r="NV144" t="s">
        <v>518</v>
      </c>
      <c r="NW144" s="5" t="s">
        <v>795</v>
      </c>
      <c r="NX144" s="4" t="s">
        <v>520</v>
      </c>
      <c r="NY144" s="3">
        <v>0.38076683892200025</v>
      </c>
      <c r="OB144">
        <v>4</v>
      </c>
      <c r="OU144" t="s">
        <v>792</v>
      </c>
      <c r="OW144">
        <v>1996</v>
      </c>
      <c r="OZ144" s="2" t="s">
        <v>692</v>
      </c>
      <c r="PB144" t="s">
        <v>522</v>
      </c>
      <c r="PC144" s="50">
        <v>46094</v>
      </c>
    </row>
    <row r="145" spans="1:419" ht="15.75" thickBot="1">
      <c r="A145" s="11" t="s">
        <v>665</v>
      </c>
      <c r="B145" t="s">
        <v>666</v>
      </c>
      <c r="C145" t="s">
        <v>667</v>
      </c>
      <c r="D145" s="4" t="s">
        <v>668</v>
      </c>
      <c r="E145" t="s">
        <v>669</v>
      </c>
      <c r="F145" s="88" t="s">
        <v>670</v>
      </c>
      <c r="G145" t="s">
        <v>475</v>
      </c>
      <c r="H145" t="s">
        <v>476</v>
      </c>
      <c r="I145" s="10">
        <v>0.1</v>
      </c>
      <c r="J145" s="10">
        <v>34.566667000000002</v>
      </c>
      <c r="K145">
        <v>150</v>
      </c>
      <c r="AV145" t="s">
        <v>671</v>
      </c>
      <c r="AW145">
        <v>100</v>
      </c>
      <c r="AX145" t="s">
        <v>480</v>
      </c>
      <c r="AY145">
        <v>4</v>
      </c>
      <c r="AZ145" t="s">
        <v>672</v>
      </c>
      <c r="BA145">
        <v>1994</v>
      </c>
      <c r="BB145">
        <v>1998</v>
      </c>
      <c r="BC145" t="s">
        <v>673</v>
      </c>
      <c r="BD145" s="10" t="s">
        <v>704</v>
      </c>
      <c r="BE145" t="s">
        <v>524</v>
      </c>
      <c r="BF145" s="3" t="s">
        <v>484</v>
      </c>
      <c r="BG145" t="s">
        <v>485</v>
      </c>
      <c r="BH145" t="s">
        <v>675</v>
      </c>
      <c r="BI145" s="4" t="s">
        <v>486</v>
      </c>
      <c r="BJ145" s="9">
        <v>53000</v>
      </c>
      <c r="HQ145" t="s">
        <v>677</v>
      </c>
      <c r="HS145" s="4" t="s">
        <v>490</v>
      </c>
      <c r="HT145" s="50">
        <v>34335</v>
      </c>
      <c r="HU145" s="50">
        <v>36160</v>
      </c>
      <c r="HV145" s="50"/>
      <c r="HW145" s="50"/>
      <c r="IO145" t="s">
        <v>700</v>
      </c>
      <c r="IP145" s="46" t="s">
        <v>492</v>
      </c>
      <c r="IU145" s="4" t="s">
        <v>544</v>
      </c>
      <c r="IV145" t="s">
        <v>700</v>
      </c>
      <c r="IW145" s="46" t="s">
        <v>492</v>
      </c>
      <c r="JA145">
        <v>0</v>
      </c>
      <c r="JB145">
        <v>0</v>
      </c>
      <c r="JC145">
        <v>0</v>
      </c>
      <c r="JD145">
        <v>0</v>
      </c>
      <c r="JE145">
        <v>0</v>
      </c>
      <c r="JF145">
        <v>0</v>
      </c>
      <c r="JG145">
        <v>0</v>
      </c>
      <c r="JH145">
        <v>0</v>
      </c>
      <c r="JI145">
        <v>0</v>
      </c>
      <c r="JK145" s="12" t="s">
        <v>682</v>
      </c>
      <c r="JP145" s="4"/>
      <c r="JV145" s="4"/>
      <c r="JW145" s="4"/>
      <c r="JX145" s="4"/>
      <c r="JY145" s="4"/>
      <c r="JZ145" s="4"/>
      <c r="KA145" s="4"/>
      <c r="KF145" s="7" t="s">
        <v>500</v>
      </c>
      <c r="KJ145" s="7" t="s">
        <v>649</v>
      </c>
      <c r="KK145" s="7"/>
      <c r="MY145" t="s">
        <v>684</v>
      </c>
      <c r="MZ145">
        <v>42</v>
      </c>
      <c r="NB145" s="4" t="s">
        <v>789</v>
      </c>
      <c r="NJ145" t="s">
        <v>790</v>
      </c>
      <c r="NL145" s="4" t="s">
        <v>654</v>
      </c>
      <c r="NM145" s="6" t="s">
        <v>719</v>
      </c>
      <c r="NU145" t="s">
        <v>517</v>
      </c>
      <c r="NV145" t="s">
        <v>518</v>
      </c>
      <c r="NW145" s="5" t="s">
        <v>796</v>
      </c>
      <c r="NX145" s="4" t="s">
        <v>520</v>
      </c>
      <c r="NY145" s="3">
        <v>0.29601501318055989</v>
      </c>
      <c r="OB145">
        <v>4</v>
      </c>
      <c r="OU145" t="s">
        <v>792</v>
      </c>
      <c r="OW145">
        <v>1996</v>
      </c>
      <c r="OZ145" s="2" t="s">
        <v>692</v>
      </c>
      <c r="PB145" t="s">
        <v>522</v>
      </c>
      <c r="PC145" s="50">
        <v>46094</v>
      </c>
    </row>
    <row r="146" spans="1:419" ht="15.75" thickBot="1">
      <c r="A146" s="11" t="s">
        <v>665</v>
      </c>
      <c r="B146" t="s">
        <v>666</v>
      </c>
      <c r="C146" t="s">
        <v>667</v>
      </c>
      <c r="D146" s="4" t="s">
        <v>668</v>
      </c>
      <c r="E146" t="s">
        <v>669</v>
      </c>
      <c r="F146" s="88" t="s">
        <v>670</v>
      </c>
      <c r="G146" t="s">
        <v>475</v>
      </c>
      <c r="H146" t="s">
        <v>476</v>
      </c>
      <c r="I146" s="10">
        <v>0.1</v>
      </c>
      <c r="J146" s="10">
        <v>34.566667000000002</v>
      </c>
      <c r="K146">
        <v>150</v>
      </c>
      <c r="AV146" t="s">
        <v>671</v>
      </c>
      <c r="AW146">
        <v>100</v>
      </c>
      <c r="AX146" t="s">
        <v>480</v>
      </c>
      <c r="AY146">
        <v>4</v>
      </c>
      <c r="AZ146" t="s">
        <v>672</v>
      </c>
      <c r="BA146">
        <v>1994</v>
      </c>
      <c r="BB146">
        <v>1998</v>
      </c>
      <c r="BC146" t="s">
        <v>673</v>
      </c>
      <c r="BD146" s="10" t="s">
        <v>705</v>
      </c>
      <c r="BE146" t="s">
        <v>483</v>
      </c>
      <c r="BF146" s="3" t="s">
        <v>484</v>
      </c>
      <c r="BG146" t="s">
        <v>485</v>
      </c>
      <c r="BH146" t="s">
        <v>675</v>
      </c>
      <c r="BI146" s="4" t="s">
        <v>486</v>
      </c>
      <c r="BJ146" s="9">
        <v>53000</v>
      </c>
      <c r="HQ146" t="s">
        <v>677</v>
      </c>
      <c r="HS146" s="4" t="s">
        <v>490</v>
      </c>
      <c r="HT146" s="50">
        <v>34335</v>
      </c>
      <c r="HU146" s="50">
        <v>36160</v>
      </c>
      <c r="HV146" s="50"/>
      <c r="HW146" s="50"/>
      <c r="IO146" t="s">
        <v>706</v>
      </c>
      <c r="IP146" s="46" t="s">
        <v>492</v>
      </c>
      <c r="IU146" s="4" t="s">
        <v>544</v>
      </c>
      <c r="IV146" t="s">
        <v>707</v>
      </c>
      <c r="IW146" s="46" t="s">
        <v>492</v>
      </c>
      <c r="JA146">
        <v>0</v>
      </c>
      <c r="JB146">
        <v>0</v>
      </c>
      <c r="JC146">
        <v>0</v>
      </c>
      <c r="JD146">
        <v>0</v>
      </c>
      <c r="JE146">
        <v>0</v>
      </c>
      <c r="JF146">
        <v>0</v>
      </c>
      <c r="JG146">
        <v>0</v>
      </c>
      <c r="JH146">
        <v>0</v>
      </c>
      <c r="JI146">
        <v>0</v>
      </c>
      <c r="JJ146" t="s">
        <v>706</v>
      </c>
      <c r="JK146" t="s">
        <v>494</v>
      </c>
      <c r="JL146" s="8" t="s">
        <v>495</v>
      </c>
      <c r="JP146" s="4" t="s">
        <v>508</v>
      </c>
      <c r="JQ146">
        <v>60</v>
      </c>
      <c r="JT146">
        <v>60</v>
      </c>
      <c r="JV146" s="4"/>
      <c r="JW146" s="4"/>
      <c r="JX146" s="4"/>
      <c r="JY146" s="4"/>
      <c r="JZ146" s="4"/>
      <c r="KA146" s="4"/>
      <c r="KF146" s="7" t="s">
        <v>500</v>
      </c>
      <c r="KJ146" s="7" t="s">
        <v>649</v>
      </c>
      <c r="KK146" s="7"/>
      <c r="MY146" t="s">
        <v>684</v>
      </c>
      <c r="MZ146">
        <v>42</v>
      </c>
      <c r="NB146" s="4" t="s">
        <v>789</v>
      </c>
      <c r="NJ146" t="s">
        <v>790</v>
      </c>
      <c r="NL146" s="4" t="s">
        <v>654</v>
      </c>
      <c r="NM146" s="6" t="s">
        <v>719</v>
      </c>
      <c r="NU146" t="s">
        <v>708</v>
      </c>
      <c r="NV146" t="s">
        <v>518</v>
      </c>
      <c r="NW146" s="5" t="s">
        <v>797</v>
      </c>
      <c r="NX146" s="4" t="s">
        <v>520</v>
      </c>
      <c r="NY146" s="3">
        <v>0.16911841591132992</v>
      </c>
      <c r="OB146">
        <v>4</v>
      </c>
      <c r="OU146" t="s">
        <v>792</v>
      </c>
      <c r="OW146">
        <v>1996</v>
      </c>
      <c r="OZ146" s="2" t="s">
        <v>692</v>
      </c>
      <c r="PB146" t="s">
        <v>522</v>
      </c>
      <c r="PC146" s="50">
        <v>46094</v>
      </c>
    </row>
    <row r="147" spans="1:419" ht="15.75" thickBot="1">
      <c r="A147" s="11" t="s">
        <v>665</v>
      </c>
      <c r="B147" t="s">
        <v>666</v>
      </c>
      <c r="C147" t="s">
        <v>667</v>
      </c>
      <c r="D147" s="4" t="s">
        <v>668</v>
      </c>
      <c r="E147" t="s">
        <v>669</v>
      </c>
      <c r="F147" s="88" t="s">
        <v>670</v>
      </c>
      <c r="G147" t="s">
        <v>475</v>
      </c>
      <c r="H147" t="s">
        <v>476</v>
      </c>
      <c r="I147" s="10">
        <v>0.1</v>
      </c>
      <c r="J147" s="10">
        <v>34.566667000000002</v>
      </c>
      <c r="K147">
        <v>150</v>
      </c>
      <c r="AV147" t="s">
        <v>671</v>
      </c>
      <c r="AW147">
        <v>100</v>
      </c>
      <c r="AX147" t="s">
        <v>480</v>
      </c>
      <c r="AY147">
        <v>4</v>
      </c>
      <c r="AZ147" t="s">
        <v>672</v>
      </c>
      <c r="BA147">
        <v>1994</v>
      </c>
      <c r="BB147">
        <v>1998</v>
      </c>
      <c r="BC147" t="s">
        <v>673</v>
      </c>
      <c r="BD147" s="10" t="s">
        <v>674</v>
      </c>
      <c r="BE147" t="s">
        <v>536</v>
      </c>
      <c r="BF147" s="3" t="s">
        <v>484</v>
      </c>
      <c r="BG147" t="s">
        <v>485</v>
      </c>
      <c r="BH147" t="s">
        <v>675</v>
      </c>
      <c r="BI147" s="4" t="s">
        <v>486</v>
      </c>
      <c r="BJ147" s="9">
        <v>53000</v>
      </c>
      <c r="ED147" t="s">
        <v>676</v>
      </c>
      <c r="EE147" s="4" t="s">
        <v>486</v>
      </c>
      <c r="EF147" s="9">
        <v>53000</v>
      </c>
      <c r="EG147" s="9"/>
      <c r="EH147" s="9"/>
      <c r="EI147" s="9"/>
      <c r="EJ147" s="9"/>
      <c r="EK147" s="9"/>
      <c r="EL147" s="9"/>
      <c r="EM147" s="9"/>
      <c r="EN147" s="9"/>
      <c r="EO147" s="9"/>
      <c r="EP147" s="9"/>
      <c r="EQ147" s="9"/>
      <c r="ER147" s="9"/>
      <c r="ES147" s="9"/>
      <c r="ET147" s="9"/>
      <c r="EU147" s="9"/>
      <c r="EV147" s="9"/>
      <c r="EW147" s="9"/>
      <c r="EX147" s="9"/>
      <c r="EY147" s="9"/>
      <c r="EZ147" s="9"/>
      <c r="FA147" s="9"/>
      <c r="FB147" s="9"/>
      <c r="FC147" s="9"/>
      <c r="FD147" s="9"/>
      <c r="FE147" s="9"/>
      <c r="FF147" s="9"/>
      <c r="FG147" s="9"/>
      <c r="FH147" s="9"/>
      <c r="FI147" s="9"/>
      <c r="FJ147" s="9"/>
      <c r="FK147" s="9"/>
      <c r="FL147" s="9"/>
      <c r="FM147" s="9"/>
      <c r="FN147" s="9"/>
      <c r="FO147" s="9"/>
      <c r="FP147" s="9"/>
      <c r="FQ147" s="9"/>
      <c r="FR147" s="9"/>
      <c r="FS147" s="9"/>
      <c r="FT147" s="9"/>
      <c r="FU147" s="9"/>
      <c r="FV147" s="9"/>
      <c r="FW147" s="9"/>
      <c r="FX147" s="9"/>
      <c r="FY147" s="9"/>
      <c r="FZ147" s="9"/>
      <c r="GA147" s="9"/>
      <c r="GB147" s="9"/>
      <c r="GC147" s="9"/>
      <c r="GD147" s="9"/>
      <c r="GE147" s="9"/>
      <c r="GF147" s="9"/>
      <c r="GG147" s="9"/>
      <c r="GH147" s="9"/>
      <c r="GI147" s="9"/>
      <c r="GJ147" s="9"/>
      <c r="GK147" s="9"/>
      <c r="GL147" s="9"/>
      <c r="GM147" s="9"/>
      <c r="GN147" s="9"/>
      <c r="GO147" s="9"/>
      <c r="GP147" s="9"/>
      <c r="GQ147" s="9"/>
      <c r="GR147" s="9"/>
      <c r="GS147" s="9"/>
      <c r="GT147" s="9"/>
      <c r="GU147" s="9"/>
      <c r="GV147" s="9"/>
      <c r="GW147" s="9"/>
      <c r="GX147" s="9"/>
      <c r="GY147" s="9"/>
      <c r="GZ147" s="9"/>
      <c r="HA147" s="9"/>
      <c r="HB147" s="9"/>
      <c r="HC147" s="9"/>
      <c r="HD147" s="9"/>
      <c r="HE147" s="9"/>
      <c r="HF147" s="9"/>
      <c r="HG147" s="9"/>
      <c r="HH147" s="9"/>
      <c r="HI147" s="9"/>
      <c r="HJ147" s="9"/>
      <c r="HQ147" t="s">
        <v>677</v>
      </c>
      <c r="HS147" s="4" t="s">
        <v>490</v>
      </c>
      <c r="HT147" s="50">
        <v>34335</v>
      </c>
      <c r="HU147" s="50">
        <v>36160</v>
      </c>
      <c r="HV147" s="50"/>
      <c r="HW147" s="50"/>
      <c r="IN147" s="4"/>
      <c r="IO147" t="s">
        <v>678</v>
      </c>
      <c r="IP147" s="12" t="s">
        <v>679</v>
      </c>
      <c r="IS147">
        <v>1995</v>
      </c>
      <c r="IT147">
        <v>1995.2</v>
      </c>
      <c r="IU147" s="4" t="s">
        <v>544</v>
      </c>
      <c r="IV147" t="s">
        <v>680</v>
      </c>
      <c r="IW147" s="12" t="s">
        <v>681</v>
      </c>
      <c r="IZ147">
        <v>0.5</v>
      </c>
      <c r="JA147" t="s">
        <v>480</v>
      </c>
      <c r="JB147" t="s">
        <v>480</v>
      </c>
      <c r="JC147" t="s">
        <v>480</v>
      </c>
      <c r="JD147" t="s">
        <v>480</v>
      </c>
      <c r="JE147" t="s">
        <v>480</v>
      </c>
      <c r="JF147" t="s">
        <v>480</v>
      </c>
      <c r="JG147" t="s">
        <v>480</v>
      </c>
      <c r="JH147" t="s">
        <v>480</v>
      </c>
      <c r="JI147" t="s">
        <v>480</v>
      </c>
      <c r="JK147" s="12" t="s">
        <v>682</v>
      </c>
      <c r="JP147" s="4"/>
      <c r="JV147" s="4"/>
      <c r="JW147" s="4"/>
      <c r="JX147" s="4"/>
      <c r="JY147" s="4"/>
      <c r="JZ147" s="4"/>
      <c r="KA147" s="4"/>
      <c r="KF147" s="7" t="s">
        <v>500</v>
      </c>
      <c r="KJ147" s="7" t="s">
        <v>683</v>
      </c>
      <c r="KK147" s="7" t="s">
        <v>562</v>
      </c>
      <c r="KL147" t="s">
        <v>480</v>
      </c>
      <c r="KM147" t="s">
        <v>480</v>
      </c>
      <c r="MY147" t="s">
        <v>684</v>
      </c>
      <c r="MZ147">
        <v>42</v>
      </c>
      <c r="NB147" s="4" t="s">
        <v>789</v>
      </c>
      <c r="NJ147" t="s">
        <v>790</v>
      </c>
      <c r="NL147" s="4" t="s">
        <v>654</v>
      </c>
      <c r="NM147" s="6" t="s">
        <v>719</v>
      </c>
      <c r="NV147" t="s">
        <v>518</v>
      </c>
      <c r="NW147" s="5" t="s">
        <v>798</v>
      </c>
      <c r="NX147" s="4" t="s">
        <v>520</v>
      </c>
      <c r="NY147" s="3">
        <v>0.52888991618373993</v>
      </c>
      <c r="OB147">
        <v>4</v>
      </c>
      <c r="OU147" t="s">
        <v>799</v>
      </c>
      <c r="OW147">
        <v>1997</v>
      </c>
      <c r="OZ147" s="2" t="s">
        <v>692</v>
      </c>
      <c r="PB147" t="s">
        <v>522</v>
      </c>
      <c r="PC147" s="50">
        <v>46094</v>
      </c>
    </row>
    <row r="148" spans="1:419" ht="15.75" thickBot="1">
      <c r="A148" s="11" t="s">
        <v>665</v>
      </c>
      <c r="B148" t="s">
        <v>666</v>
      </c>
      <c r="C148" t="s">
        <v>667</v>
      </c>
      <c r="D148" s="4" t="s">
        <v>668</v>
      </c>
      <c r="E148" t="s">
        <v>669</v>
      </c>
      <c r="F148" s="88" t="s">
        <v>670</v>
      </c>
      <c r="G148" t="s">
        <v>475</v>
      </c>
      <c r="H148" t="s">
        <v>476</v>
      </c>
      <c r="I148" s="10">
        <v>0.1</v>
      </c>
      <c r="J148" s="10">
        <v>34.566667000000002</v>
      </c>
      <c r="K148">
        <v>150</v>
      </c>
      <c r="AV148" t="s">
        <v>671</v>
      </c>
      <c r="AW148">
        <v>100</v>
      </c>
      <c r="AX148" t="s">
        <v>480</v>
      </c>
      <c r="AY148">
        <v>4</v>
      </c>
      <c r="AZ148" t="s">
        <v>672</v>
      </c>
      <c r="BA148">
        <v>1994</v>
      </c>
      <c r="BB148">
        <v>1998</v>
      </c>
      <c r="BC148" t="s">
        <v>673</v>
      </c>
      <c r="BD148" s="10" t="s">
        <v>693</v>
      </c>
      <c r="BE148" t="s">
        <v>566</v>
      </c>
      <c r="BF148" s="3" t="s">
        <v>484</v>
      </c>
      <c r="BG148" t="s">
        <v>485</v>
      </c>
      <c r="BH148" t="s">
        <v>675</v>
      </c>
      <c r="BI148" s="4" t="s">
        <v>486</v>
      </c>
      <c r="BJ148" s="9">
        <v>53000</v>
      </c>
      <c r="ED148" t="s">
        <v>676</v>
      </c>
      <c r="EE148" s="4" t="s">
        <v>486</v>
      </c>
      <c r="EF148" s="9">
        <v>53000</v>
      </c>
      <c r="EG148" s="9"/>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Q148" t="s">
        <v>677</v>
      </c>
      <c r="HS148" s="4" t="s">
        <v>490</v>
      </c>
      <c r="HT148" s="50">
        <v>34335</v>
      </c>
      <c r="HU148" s="50">
        <v>36160</v>
      </c>
      <c r="HV148" s="50"/>
      <c r="HW148" s="50"/>
      <c r="IN148" s="4"/>
      <c r="IO148" t="s">
        <v>694</v>
      </c>
      <c r="IP148" s="12" t="s">
        <v>695</v>
      </c>
      <c r="IS148">
        <v>1994</v>
      </c>
      <c r="IT148">
        <v>1994.2</v>
      </c>
      <c r="IU148" s="4" t="s">
        <v>544</v>
      </c>
      <c r="IV148" t="s">
        <v>696</v>
      </c>
      <c r="IW148" s="12" t="s">
        <v>681</v>
      </c>
      <c r="IZ148">
        <v>0.5</v>
      </c>
      <c r="JA148" t="s">
        <v>480</v>
      </c>
      <c r="JB148" t="s">
        <v>480</v>
      </c>
      <c r="JC148" t="s">
        <v>480</v>
      </c>
      <c r="JD148" t="s">
        <v>480</v>
      </c>
      <c r="JE148" t="s">
        <v>480</v>
      </c>
      <c r="JF148" t="s">
        <v>480</v>
      </c>
      <c r="JG148" t="s">
        <v>480</v>
      </c>
      <c r="JH148" t="s">
        <v>480</v>
      </c>
      <c r="JI148" t="s">
        <v>480</v>
      </c>
      <c r="JK148" s="12" t="s">
        <v>682</v>
      </c>
      <c r="JP148" s="4"/>
      <c r="JV148" s="4"/>
      <c r="JW148" s="4"/>
      <c r="JX148" s="4"/>
      <c r="JY148" s="4"/>
      <c r="JZ148" s="4"/>
      <c r="KA148" s="4"/>
      <c r="KF148" s="7" t="s">
        <v>500</v>
      </c>
      <c r="KJ148" s="7" t="s">
        <v>683</v>
      </c>
      <c r="KK148" s="7" t="s">
        <v>562</v>
      </c>
      <c r="KL148" t="s">
        <v>480</v>
      </c>
      <c r="KM148" t="s">
        <v>480</v>
      </c>
      <c r="MY148" t="s">
        <v>684</v>
      </c>
      <c r="MZ148">
        <v>42</v>
      </c>
      <c r="NB148" s="4" t="s">
        <v>789</v>
      </c>
      <c r="NJ148" t="s">
        <v>790</v>
      </c>
      <c r="NL148" s="4" t="s">
        <v>654</v>
      </c>
      <c r="NM148" s="6" t="s">
        <v>719</v>
      </c>
      <c r="NV148" t="s">
        <v>518</v>
      </c>
      <c r="NW148" s="5" t="s">
        <v>800</v>
      </c>
      <c r="NX148" s="4" t="s">
        <v>520</v>
      </c>
      <c r="NY148" s="3">
        <v>0.29586091895194011</v>
      </c>
      <c r="OB148">
        <v>4</v>
      </c>
      <c r="OU148" t="s">
        <v>799</v>
      </c>
      <c r="OW148">
        <v>1997</v>
      </c>
      <c r="OZ148" s="2" t="s">
        <v>692</v>
      </c>
      <c r="PB148" t="s">
        <v>522</v>
      </c>
      <c r="PC148" s="50">
        <v>46094</v>
      </c>
    </row>
    <row r="149" spans="1:419" ht="15.75" thickBot="1">
      <c r="A149" s="11" t="s">
        <v>665</v>
      </c>
      <c r="B149" t="s">
        <v>666</v>
      </c>
      <c r="C149" t="s">
        <v>667</v>
      </c>
      <c r="D149" s="4" t="s">
        <v>668</v>
      </c>
      <c r="E149" t="s">
        <v>669</v>
      </c>
      <c r="F149" s="88" t="s">
        <v>670</v>
      </c>
      <c r="G149" t="s">
        <v>475</v>
      </c>
      <c r="H149" t="s">
        <v>476</v>
      </c>
      <c r="I149" s="10">
        <v>0.1</v>
      </c>
      <c r="J149" s="10">
        <v>34.566667000000002</v>
      </c>
      <c r="K149">
        <v>150</v>
      </c>
      <c r="AV149" t="s">
        <v>671</v>
      </c>
      <c r="AW149">
        <v>100</v>
      </c>
      <c r="AX149" t="s">
        <v>480</v>
      </c>
      <c r="AY149">
        <v>4</v>
      </c>
      <c r="AZ149" t="s">
        <v>672</v>
      </c>
      <c r="BA149">
        <v>1994</v>
      </c>
      <c r="BB149">
        <v>1998</v>
      </c>
      <c r="BC149" t="s">
        <v>673</v>
      </c>
      <c r="BD149" s="10" t="s">
        <v>697</v>
      </c>
      <c r="BE149" t="s">
        <v>572</v>
      </c>
      <c r="BF149" s="3" t="s">
        <v>484</v>
      </c>
      <c r="BG149" t="s">
        <v>485</v>
      </c>
      <c r="BH149" t="s">
        <v>675</v>
      </c>
      <c r="BI149" s="4" t="s">
        <v>486</v>
      </c>
      <c r="BJ149" s="9">
        <v>53000</v>
      </c>
      <c r="EE149" s="4"/>
      <c r="EF149" s="9"/>
      <c r="EG149" s="9"/>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Q149" t="s">
        <v>677</v>
      </c>
      <c r="HS149" s="4" t="s">
        <v>490</v>
      </c>
      <c r="HT149" s="50">
        <v>34335</v>
      </c>
      <c r="HU149" s="50">
        <v>36160</v>
      </c>
      <c r="HV149" s="50"/>
      <c r="HW149" s="50"/>
      <c r="IO149" t="s">
        <v>698</v>
      </c>
      <c r="IP149" s="46" t="s">
        <v>699</v>
      </c>
      <c r="IS149">
        <v>1995</v>
      </c>
      <c r="IT149">
        <v>1995.2</v>
      </c>
      <c r="IU149" s="4" t="s">
        <v>544</v>
      </c>
      <c r="IV149" t="s">
        <v>700</v>
      </c>
      <c r="IW149" t="s">
        <v>492</v>
      </c>
      <c r="JA149">
        <v>0</v>
      </c>
      <c r="JB149">
        <v>0</v>
      </c>
      <c r="JC149">
        <v>0</v>
      </c>
      <c r="JD149">
        <v>0</v>
      </c>
      <c r="JE149">
        <v>0</v>
      </c>
      <c r="JF149">
        <v>0</v>
      </c>
      <c r="JG149">
        <v>0</v>
      </c>
      <c r="JH149">
        <v>0</v>
      </c>
      <c r="JI149">
        <v>0</v>
      </c>
      <c r="JK149" s="12" t="s">
        <v>682</v>
      </c>
      <c r="JP149" s="4"/>
      <c r="JV149" s="4"/>
      <c r="JW149" s="4"/>
      <c r="JX149" s="4"/>
      <c r="JY149" s="4"/>
      <c r="JZ149" s="4"/>
      <c r="KA149" s="4"/>
      <c r="KF149" s="7" t="s">
        <v>500</v>
      </c>
      <c r="KJ149" s="7" t="s">
        <v>649</v>
      </c>
      <c r="KK149" s="7"/>
      <c r="MY149" t="s">
        <v>684</v>
      </c>
      <c r="MZ149">
        <v>42</v>
      </c>
      <c r="NB149" s="4" t="s">
        <v>789</v>
      </c>
      <c r="NJ149" t="s">
        <v>790</v>
      </c>
      <c r="NL149" s="4" t="s">
        <v>654</v>
      </c>
      <c r="NM149" s="6" t="s">
        <v>719</v>
      </c>
      <c r="NV149" t="s">
        <v>518</v>
      </c>
      <c r="NW149" s="5" t="s">
        <v>801</v>
      </c>
      <c r="NX149" s="4" t="s">
        <v>520</v>
      </c>
      <c r="NY149" s="3">
        <v>0.3595403589294901</v>
      </c>
      <c r="OB149">
        <v>4</v>
      </c>
      <c r="OU149" t="s">
        <v>799</v>
      </c>
      <c r="OW149">
        <v>1997</v>
      </c>
      <c r="OZ149" s="2" t="s">
        <v>692</v>
      </c>
      <c r="PB149" t="s">
        <v>522</v>
      </c>
      <c r="PC149" s="50">
        <v>46094</v>
      </c>
    </row>
    <row r="150" spans="1:419" ht="15.75" thickBot="1">
      <c r="A150" s="11" t="s">
        <v>665</v>
      </c>
      <c r="B150" t="s">
        <v>666</v>
      </c>
      <c r="C150" t="s">
        <v>667</v>
      </c>
      <c r="D150" s="4" t="s">
        <v>668</v>
      </c>
      <c r="E150" t="s">
        <v>669</v>
      </c>
      <c r="F150" s="88" t="s">
        <v>670</v>
      </c>
      <c r="G150" t="s">
        <v>475</v>
      </c>
      <c r="H150" t="s">
        <v>476</v>
      </c>
      <c r="I150" s="10">
        <v>0.1</v>
      </c>
      <c r="J150" s="10">
        <v>34.566667000000002</v>
      </c>
      <c r="K150">
        <v>150</v>
      </c>
      <c r="AV150" t="s">
        <v>671</v>
      </c>
      <c r="AW150">
        <v>100</v>
      </c>
      <c r="AX150" t="s">
        <v>480</v>
      </c>
      <c r="AY150">
        <v>4</v>
      </c>
      <c r="AZ150" t="s">
        <v>672</v>
      </c>
      <c r="BA150">
        <v>1994</v>
      </c>
      <c r="BB150">
        <v>1998</v>
      </c>
      <c r="BC150" t="s">
        <v>673</v>
      </c>
      <c r="BD150" s="10" t="s">
        <v>701</v>
      </c>
      <c r="BE150" t="s">
        <v>553</v>
      </c>
      <c r="BF150" s="3" t="s">
        <v>484</v>
      </c>
      <c r="BG150" t="s">
        <v>485</v>
      </c>
      <c r="BH150" t="s">
        <v>675</v>
      </c>
      <c r="BI150" s="4" t="s">
        <v>486</v>
      </c>
      <c r="BJ150" s="9">
        <v>53000</v>
      </c>
      <c r="EE150" s="4"/>
      <c r="EF150" s="9"/>
      <c r="EG150" s="9"/>
      <c r="EH150" s="9"/>
      <c r="EI150" s="9"/>
      <c r="EJ150" s="9"/>
      <c r="EK150" s="9"/>
      <c r="EL150" s="9"/>
      <c r="EM150" s="9"/>
      <c r="EN150" s="9"/>
      <c r="EO150" s="9"/>
      <c r="EP150" s="9"/>
      <c r="EQ150" s="9"/>
      <c r="ER150" s="9"/>
      <c r="ES150" s="9"/>
      <c r="ET150" s="9"/>
      <c r="EU150" s="9"/>
      <c r="EV150" s="9"/>
      <c r="EW150" s="9"/>
      <c r="EX150" s="9"/>
      <c r="EY150" s="9"/>
      <c r="EZ150" s="9"/>
      <c r="FA150" s="9"/>
      <c r="FB150" s="9"/>
      <c r="FC150" s="9"/>
      <c r="FD150" s="9"/>
      <c r="FE150" s="9"/>
      <c r="FF150" s="9"/>
      <c r="FG150" s="9"/>
      <c r="FH150" s="9"/>
      <c r="FI150" s="9"/>
      <c r="FJ150" s="9"/>
      <c r="FK150" s="9"/>
      <c r="FL150" s="9"/>
      <c r="FM150" s="9"/>
      <c r="FN150" s="9"/>
      <c r="FO150" s="9"/>
      <c r="FP150" s="9"/>
      <c r="FQ150" s="9"/>
      <c r="FR150" s="9"/>
      <c r="FS150" s="9"/>
      <c r="FT150" s="9"/>
      <c r="FU150" s="9"/>
      <c r="FV150" s="9"/>
      <c r="FW150" s="9"/>
      <c r="FX150" s="9"/>
      <c r="FY150" s="9"/>
      <c r="FZ150" s="9"/>
      <c r="GA150" s="9"/>
      <c r="GB150" s="9"/>
      <c r="GC150" s="9"/>
      <c r="GD150" s="9"/>
      <c r="GE150" s="9"/>
      <c r="GF150" s="9"/>
      <c r="GG150" s="9"/>
      <c r="GH150" s="9"/>
      <c r="GI150" s="9"/>
      <c r="GJ150" s="9"/>
      <c r="GK150" s="9"/>
      <c r="GL150" s="9"/>
      <c r="GM150" s="9"/>
      <c r="GN150" s="9"/>
      <c r="GO150" s="9"/>
      <c r="GP150" s="9"/>
      <c r="GQ150" s="9"/>
      <c r="GR150" s="9"/>
      <c r="GS150" s="9"/>
      <c r="GT150" s="9"/>
      <c r="GU150" s="9"/>
      <c r="GV150" s="9"/>
      <c r="GW150" s="9"/>
      <c r="GX150" s="9"/>
      <c r="GY150" s="9"/>
      <c r="GZ150" s="9"/>
      <c r="HA150" s="9"/>
      <c r="HB150" s="9"/>
      <c r="HC150" s="9"/>
      <c r="HD150" s="9"/>
      <c r="HE150" s="9"/>
      <c r="HF150" s="9"/>
      <c r="HG150" s="9"/>
      <c r="HH150" s="9"/>
      <c r="HI150" s="9"/>
      <c r="HJ150" s="9"/>
      <c r="HQ150" t="s">
        <v>677</v>
      </c>
      <c r="HS150" s="4" t="s">
        <v>490</v>
      </c>
      <c r="HT150" s="50">
        <v>34335</v>
      </c>
      <c r="HU150" s="50">
        <v>36160</v>
      </c>
      <c r="HV150" s="50"/>
      <c r="HW150" s="50"/>
      <c r="IO150" t="s">
        <v>702</v>
      </c>
      <c r="IP150" s="13" t="s">
        <v>703</v>
      </c>
      <c r="IS150">
        <v>1994</v>
      </c>
      <c r="IT150">
        <v>1994.2</v>
      </c>
      <c r="IU150" s="4" t="s">
        <v>544</v>
      </c>
      <c r="IV150" t="s">
        <v>700</v>
      </c>
      <c r="IW150" t="s">
        <v>492</v>
      </c>
      <c r="JA150">
        <v>0</v>
      </c>
      <c r="JB150">
        <v>0</v>
      </c>
      <c r="JC150">
        <v>0</v>
      </c>
      <c r="JD150">
        <v>0</v>
      </c>
      <c r="JE150">
        <v>0</v>
      </c>
      <c r="JF150">
        <v>0</v>
      </c>
      <c r="JG150">
        <v>0</v>
      </c>
      <c r="JH150">
        <v>0</v>
      </c>
      <c r="JI150">
        <v>0</v>
      </c>
      <c r="JK150" s="12" t="s">
        <v>682</v>
      </c>
      <c r="JP150" s="4"/>
      <c r="JV150" s="4"/>
      <c r="JW150" s="4"/>
      <c r="JX150" s="4"/>
      <c r="JY150" s="4"/>
      <c r="JZ150" s="4"/>
      <c r="KA150" s="4"/>
      <c r="KF150" s="7" t="s">
        <v>500</v>
      </c>
      <c r="KJ150" s="7" t="s">
        <v>649</v>
      </c>
      <c r="KK150" s="7"/>
      <c r="MY150" t="s">
        <v>684</v>
      </c>
      <c r="MZ150">
        <v>42</v>
      </c>
      <c r="NB150" s="4" t="s">
        <v>789</v>
      </c>
      <c r="NJ150" t="s">
        <v>790</v>
      </c>
      <c r="NL150" s="4" t="s">
        <v>654</v>
      </c>
      <c r="NM150" s="6" t="s">
        <v>719</v>
      </c>
      <c r="NV150" t="s">
        <v>518</v>
      </c>
      <c r="NW150" s="5" t="s">
        <v>802</v>
      </c>
      <c r="NX150" s="4" t="s">
        <v>520</v>
      </c>
      <c r="NY150" s="3">
        <v>0.48635990908440041</v>
      </c>
      <c r="OB150">
        <v>4</v>
      </c>
      <c r="OU150" t="s">
        <v>799</v>
      </c>
      <c r="OW150">
        <v>1997</v>
      </c>
      <c r="OZ150" s="2" t="s">
        <v>692</v>
      </c>
      <c r="PB150" t="s">
        <v>522</v>
      </c>
      <c r="PC150" s="50">
        <v>46094</v>
      </c>
    </row>
    <row r="151" spans="1:419" ht="15.75" thickBot="1">
      <c r="A151" s="11" t="s">
        <v>665</v>
      </c>
      <c r="B151" t="s">
        <v>666</v>
      </c>
      <c r="C151" t="s">
        <v>667</v>
      </c>
      <c r="D151" s="4" t="s">
        <v>668</v>
      </c>
      <c r="E151" t="s">
        <v>669</v>
      </c>
      <c r="F151" s="88" t="s">
        <v>670</v>
      </c>
      <c r="G151" t="s">
        <v>475</v>
      </c>
      <c r="H151" t="s">
        <v>476</v>
      </c>
      <c r="I151" s="10">
        <v>0.1</v>
      </c>
      <c r="J151" s="10">
        <v>34.566667000000002</v>
      </c>
      <c r="K151">
        <v>150</v>
      </c>
      <c r="AV151" t="s">
        <v>671</v>
      </c>
      <c r="AW151">
        <v>100</v>
      </c>
      <c r="AX151" t="s">
        <v>480</v>
      </c>
      <c r="AY151">
        <v>4</v>
      </c>
      <c r="AZ151" t="s">
        <v>672</v>
      </c>
      <c r="BA151">
        <v>1994</v>
      </c>
      <c r="BB151">
        <v>1998</v>
      </c>
      <c r="BC151" t="s">
        <v>673</v>
      </c>
      <c r="BD151" s="10" t="s">
        <v>704</v>
      </c>
      <c r="BE151" t="s">
        <v>524</v>
      </c>
      <c r="BF151" s="3" t="s">
        <v>484</v>
      </c>
      <c r="BG151" t="s">
        <v>485</v>
      </c>
      <c r="BH151" t="s">
        <v>675</v>
      </c>
      <c r="BI151" s="4" t="s">
        <v>486</v>
      </c>
      <c r="BJ151" s="9">
        <v>53000</v>
      </c>
      <c r="HQ151" t="s">
        <v>677</v>
      </c>
      <c r="HS151" s="4" t="s">
        <v>490</v>
      </c>
      <c r="HT151" s="50">
        <v>34335</v>
      </c>
      <c r="HU151" s="50">
        <v>36160</v>
      </c>
      <c r="HV151" s="50"/>
      <c r="HW151" s="50"/>
      <c r="IO151" t="s">
        <v>700</v>
      </c>
      <c r="IP151" s="46" t="s">
        <v>492</v>
      </c>
      <c r="IU151" s="4" t="s">
        <v>544</v>
      </c>
      <c r="IV151" t="s">
        <v>700</v>
      </c>
      <c r="IW151" s="46" t="s">
        <v>492</v>
      </c>
      <c r="JA151">
        <v>0</v>
      </c>
      <c r="JB151">
        <v>0</v>
      </c>
      <c r="JC151">
        <v>0</v>
      </c>
      <c r="JD151">
        <v>0</v>
      </c>
      <c r="JE151">
        <v>0</v>
      </c>
      <c r="JF151">
        <v>0</v>
      </c>
      <c r="JG151">
        <v>0</v>
      </c>
      <c r="JH151">
        <v>0</v>
      </c>
      <c r="JI151">
        <v>0</v>
      </c>
      <c r="JK151" s="12" t="s">
        <v>682</v>
      </c>
      <c r="JP151" s="4"/>
      <c r="JV151" s="4"/>
      <c r="JW151" s="4"/>
      <c r="JX151" s="4"/>
      <c r="JY151" s="4"/>
      <c r="JZ151" s="4"/>
      <c r="KA151" s="4"/>
      <c r="KF151" s="7" t="s">
        <v>500</v>
      </c>
      <c r="KJ151" s="7" t="s">
        <v>649</v>
      </c>
      <c r="KK151" s="7"/>
      <c r="MY151" t="s">
        <v>684</v>
      </c>
      <c r="MZ151">
        <v>42</v>
      </c>
      <c r="NB151" s="4" t="s">
        <v>789</v>
      </c>
      <c r="NJ151" t="s">
        <v>790</v>
      </c>
      <c r="NL151" s="4" t="s">
        <v>654</v>
      </c>
      <c r="NM151" s="6" t="s">
        <v>719</v>
      </c>
      <c r="NU151" t="s">
        <v>517</v>
      </c>
      <c r="NV151" t="s">
        <v>518</v>
      </c>
      <c r="NW151" s="5" t="s">
        <v>803</v>
      </c>
      <c r="NX151" s="4" t="s">
        <v>520</v>
      </c>
      <c r="NY151" s="3">
        <v>0.25356205319553027</v>
      </c>
      <c r="OB151">
        <v>4</v>
      </c>
      <c r="OU151" t="s">
        <v>799</v>
      </c>
      <c r="OW151">
        <v>1997</v>
      </c>
      <c r="OZ151" s="2" t="s">
        <v>692</v>
      </c>
      <c r="PB151" t="s">
        <v>522</v>
      </c>
      <c r="PC151" s="50">
        <v>46094</v>
      </c>
    </row>
    <row r="152" spans="1:419" ht="15.75" thickBot="1">
      <c r="A152" s="11" t="s">
        <v>665</v>
      </c>
      <c r="B152" t="s">
        <v>666</v>
      </c>
      <c r="C152" t="s">
        <v>667</v>
      </c>
      <c r="D152" s="4" t="s">
        <v>668</v>
      </c>
      <c r="E152" t="s">
        <v>669</v>
      </c>
      <c r="F152" s="88" t="s">
        <v>670</v>
      </c>
      <c r="G152" t="s">
        <v>475</v>
      </c>
      <c r="H152" t="s">
        <v>476</v>
      </c>
      <c r="I152" s="10">
        <v>0.1</v>
      </c>
      <c r="J152" s="10">
        <v>34.566667000000002</v>
      </c>
      <c r="K152">
        <v>150</v>
      </c>
      <c r="AV152" t="s">
        <v>671</v>
      </c>
      <c r="AW152">
        <v>100</v>
      </c>
      <c r="AX152" t="s">
        <v>480</v>
      </c>
      <c r="AY152">
        <v>4</v>
      </c>
      <c r="AZ152" t="s">
        <v>672</v>
      </c>
      <c r="BA152">
        <v>1994</v>
      </c>
      <c r="BB152">
        <v>1998</v>
      </c>
      <c r="BC152" t="s">
        <v>673</v>
      </c>
      <c r="BD152" s="10" t="s">
        <v>705</v>
      </c>
      <c r="BE152" t="s">
        <v>483</v>
      </c>
      <c r="BF152" s="3" t="s">
        <v>484</v>
      </c>
      <c r="BG152" t="s">
        <v>485</v>
      </c>
      <c r="BH152" t="s">
        <v>675</v>
      </c>
      <c r="BI152" s="4" t="s">
        <v>486</v>
      </c>
      <c r="BJ152" s="9">
        <v>53000</v>
      </c>
      <c r="HQ152" t="s">
        <v>677</v>
      </c>
      <c r="HS152" s="4" t="s">
        <v>490</v>
      </c>
      <c r="HT152" s="50">
        <v>34335</v>
      </c>
      <c r="HU152" s="50">
        <v>36160</v>
      </c>
      <c r="HV152" s="50"/>
      <c r="HW152" s="50"/>
      <c r="IO152" t="s">
        <v>706</v>
      </c>
      <c r="IP152" s="46" t="s">
        <v>492</v>
      </c>
      <c r="IU152" s="4" t="s">
        <v>544</v>
      </c>
      <c r="IV152" t="s">
        <v>707</v>
      </c>
      <c r="IW152" s="46" t="s">
        <v>492</v>
      </c>
      <c r="JA152">
        <v>0</v>
      </c>
      <c r="JB152">
        <v>0</v>
      </c>
      <c r="JC152">
        <v>0</v>
      </c>
      <c r="JD152">
        <v>0</v>
      </c>
      <c r="JE152">
        <v>0</v>
      </c>
      <c r="JF152">
        <v>0</v>
      </c>
      <c r="JG152">
        <v>0</v>
      </c>
      <c r="JH152">
        <v>0</v>
      </c>
      <c r="JI152">
        <v>0</v>
      </c>
      <c r="JJ152" t="s">
        <v>706</v>
      </c>
      <c r="JK152" t="s">
        <v>494</v>
      </c>
      <c r="JL152" s="8" t="s">
        <v>495</v>
      </c>
      <c r="JP152" s="4" t="s">
        <v>508</v>
      </c>
      <c r="JQ152">
        <v>60</v>
      </c>
      <c r="JT152">
        <v>60</v>
      </c>
      <c r="JV152" s="4"/>
      <c r="JW152" s="4"/>
      <c r="JX152" s="4"/>
      <c r="JY152" s="4"/>
      <c r="JZ152" s="4"/>
      <c r="KA152" s="4"/>
      <c r="KF152" s="7" t="s">
        <v>500</v>
      </c>
      <c r="KJ152" s="7" t="s">
        <v>649</v>
      </c>
      <c r="KK152" s="7"/>
      <c r="MY152" t="s">
        <v>684</v>
      </c>
      <c r="MZ152">
        <v>42</v>
      </c>
      <c r="NB152" s="4" t="s">
        <v>789</v>
      </c>
      <c r="NJ152" t="s">
        <v>790</v>
      </c>
      <c r="NL152" s="4" t="s">
        <v>654</v>
      </c>
      <c r="NM152" s="6" t="s">
        <v>719</v>
      </c>
      <c r="NU152" t="s">
        <v>708</v>
      </c>
      <c r="NV152" t="s">
        <v>518</v>
      </c>
      <c r="NW152" s="5" t="s">
        <v>804</v>
      </c>
      <c r="NX152" s="4" t="s">
        <v>520</v>
      </c>
      <c r="NY152" s="3">
        <v>0.29586091895194055</v>
      </c>
      <c r="OB152">
        <v>4</v>
      </c>
      <c r="OU152" t="s">
        <v>799</v>
      </c>
      <c r="OW152">
        <v>1997</v>
      </c>
      <c r="OZ152" s="2" t="s">
        <v>692</v>
      </c>
      <c r="PB152" t="s">
        <v>522</v>
      </c>
      <c r="PC152" s="50">
        <v>46094</v>
      </c>
    </row>
    <row r="153" spans="1:419" ht="15.75" thickBot="1">
      <c r="A153" s="11" t="s">
        <v>665</v>
      </c>
      <c r="B153" t="s">
        <v>666</v>
      </c>
      <c r="C153" t="s">
        <v>667</v>
      </c>
      <c r="D153" s="4" t="s">
        <v>668</v>
      </c>
      <c r="E153" t="s">
        <v>669</v>
      </c>
      <c r="F153" s="88" t="s">
        <v>670</v>
      </c>
      <c r="G153" t="s">
        <v>475</v>
      </c>
      <c r="H153" t="s">
        <v>476</v>
      </c>
      <c r="I153" s="10">
        <v>0.1</v>
      </c>
      <c r="J153" s="10">
        <v>34.566667000000002</v>
      </c>
      <c r="K153">
        <v>150</v>
      </c>
      <c r="AV153" t="s">
        <v>671</v>
      </c>
      <c r="AW153">
        <v>100</v>
      </c>
      <c r="AX153" t="s">
        <v>480</v>
      </c>
      <c r="AY153">
        <v>4</v>
      </c>
      <c r="AZ153" t="s">
        <v>672</v>
      </c>
      <c r="BA153">
        <v>1994</v>
      </c>
      <c r="BB153">
        <v>1998</v>
      </c>
      <c r="BC153" t="s">
        <v>673</v>
      </c>
      <c r="BD153" s="10" t="s">
        <v>674</v>
      </c>
      <c r="BE153" t="s">
        <v>536</v>
      </c>
      <c r="BF153" s="3" t="s">
        <v>484</v>
      </c>
      <c r="BG153" t="s">
        <v>485</v>
      </c>
      <c r="BH153" t="s">
        <v>675</v>
      </c>
      <c r="BI153" s="4" t="s">
        <v>486</v>
      </c>
      <c r="BJ153" s="9">
        <v>53000</v>
      </c>
      <c r="ED153" t="s">
        <v>676</v>
      </c>
      <c r="EE153" s="4" t="s">
        <v>486</v>
      </c>
      <c r="EF153" s="9">
        <v>53000</v>
      </c>
      <c r="EG153" s="9"/>
      <c r="EH153" s="9"/>
      <c r="EI153" s="9"/>
      <c r="EJ153" s="9"/>
      <c r="EK153" s="9"/>
      <c r="EL153" s="9"/>
      <c r="EM153" s="9"/>
      <c r="EN153" s="9"/>
      <c r="EO153" s="9"/>
      <c r="EP153" s="9"/>
      <c r="EQ153" s="9"/>
      <c r="ER153" s="9"/>
      <c r="ES153" s="9"/>
      <c r="ET153" s="9"/>
      <c r="EU153" s="9"/>
      <c r="EV153" s="9"/>
      <c r="EW153" s="9"/>
      <c r="EX153" s="9"/>
      <c r="EY153" s="9"/>
      <c r="EZ153" s="9"/>
      <c r="FA153" s="9"/>
      <c r="FB153" s="9"/>
      <c r="FC153" s="9"/>
      <c r="FD153" s="9"/>
      <c r="FE153" s="9"/>
      <c r="FF153" s="9"/>
      <c r="FG153" s="9"/>
      <c r="FH153" s="9"/>
      <c r="FI153" s="9"/>
      <c r="FJ153" s="9"/>
      <c r="FK153" s="9"/>
      <c r="FL153" s="9"/>
      <c r="FM153" s="9"/>
      <c r="FN153" s="9"/>
      <c r="FO153" s="9"/>
      <c r="FP153" s="9"/>
      <c r="FQ153" s="9"/>
      <c r="FR153" s="9"/>
      <c r="FS153" s="9"/>
      <c r="FT153" s="9"/>
      <c r="FU153" s="9"/>
      <c r="FV153" s="9"/>
      <c r="FW153" s="9"/>
      <c r="FX153" s="9"/>
      <c r="FY153" s="9"/>
      <c r="FZ153" s="9"/>
      <c r="GA153" s="9"/>
      <c r="GB153" s="9"/>
      <c r="GC153" s="9"/>
      <c r="GD153" s="9"/>
      <c r="GE153" s="9"/>
      <c r="GF153" s="9"/>
      <c r="GG153" s="9"/>
      <c r="GH153" s="9"/>
      <c r="GI153" s="9"/>
      <c r="GJ153" s="9"/>
      <c r="GK153" s="9"/>
      <c r="GL153" s="9"/>
      <c r="GM153" s="9"/>
      <c r="GN153" s="9"/>
      <c r="GO153" s="9"/>
      <c r="GP153" s="9"/>
      <c r="GQ153" s="9"/>
      <c r="GR153" s="9"/>
      <c r="GS153" s="9"/>
      <c r="GT153" s="9"/>
      <c r="GU153" s="9"/>
      <c r="GV153" s="9"/>
      <c r="GW153" s="9"/>
      <c r="GX153" s="9"/>
      <c r="GY153" s="9"/>
      <c r="GZ153" s="9"/>
      <c r="HA153" s="9"/>
      <c r="HB153" s="9"/>
      <c r="HC153" s="9"/>
      <c r="HD153" s="9"/>
      <c r="HE153" s="9"/>
      <c r="HF153" s="9"/>
      <c r="HG153" s="9"/>
      <c r="HH153" s="9"/>
      <c r="HI153" s="9"/>
      <c r="HJ153" s="9"/>
      <c r="HQ153" t="s">
        <v>677</v>
      </c>
      <c r="HS153" s="4" t="s">
        <v>490</v>
      </c>
      <c r="HT153" s="50">
        <v>34335</v>
      </c>
      <c r="HU153" s="50">
        <v>36160</v>
      </c>
      <c r="HV153" s="50"/>
      <c r="HW153" s="50"/>
      <c r="IN153" s="4"/>
      <c r="IO153" t="s">
        <v>678</v>
      </c>
      <c r="IP153" s="12" t="s">
        <v>679</v>
      </c>
      <c r="IS153">
        <v>1995</v>
      </c>
      <c r="IT153">
        <v>1995.2</v>
      </c>
      <c r="IU153" s="4" t="s">
        <v>544</v>
      </c>
      <c r="IV153" t="s">
        <v>680</v>
      </c>
      <c r="IW153" s="12" t="s">
        <v>681</v>
      </c>
      <c r="IZ153">
        <v>0.5</v>
      </c>
      <c r="JA153" t="s">
        <v>480</v>
      </c>
      <c r="JB153" t="s">
        <v>480</v>
      </c>
      <c r="JC153" t="s">
        <v>480</v>
      </c>
      <c r="JD153" t="s">
        <v>480</v>
      </c>
      <c r="JE153" t="s">
        <v>480</v>
      </c>
      <c r="JF153" t="s">
        <v>480</v>
      </c>
      <c r="JG153" t="s">
        <v>480</v>
      </c>
      <c r="JH153" t="s">
        <v>480</v>
      </c>
      <c r="JI153" t="s">
        <v>480</v>
      </c>
      <c r="JK153" s="12" t="s">
        <v>682</v>
      </c>
      <c r="JP153" s="4"/>
      <c r="JV153" s="4"/>
      <c r="JW153" s="4"/>
      <c r="JX153" s="4"/>
      <c r="JY153" s="4"/>
      <c r="JZ153" s="4"/>
      <c r="KA153" s="4"/>
      <c r="KF153" s="7" t="s">
        <v>500</v>
      </c>
      <c r="KJ153" s="7" t="s">
        <v>683</v>
      </c>
      <c r="KK153" s="7" t="s">
        <v>562</v>
      </c>
      <c r="KL153" t="s">
        <v>480</v>
      </c>
      <c r="KM153" t="s">
        <v>480</v>
      </c>
      <c r="MY153" t="s">
        <v>684</v>
      </c>
      <c r="MZ153">
        <v>42</v>
      </c>
      <c r="NB153" s="4" t="s">
        <v>789</v>
      </c>
      <c r="NJ153" t="s">
        <v>790</v>
      </c>
      <c r="NL153" s="4" t="s">
        <v>654</v>
      </c>
      <c r="NM153" s="6" t="s">
        <v>719</v>
      </c>
      <c r="NV153" t="s">
        <v>518</v>
      </c>
      <c r="NW153" s="5" t="s">
        <v>805</v>
      </c>
      <c r="NX153" s="4" t="s">
        <v>520</v>
      </c>
      <c r="NY153" s="3">
        <v>0.25356205319553005</v>
      </c>
      <c r="OB153">
        <v>4</v>
      </c>
      <c r="OU153" t="s">
        <v>806</v>
      </c>
      <c r="OW153">
        <v>1998</v>
      </c>
      <c r="OZ153" s="2" t="s">
        <v>692</v>
      </c>
      <c r="PB153" t="s">
        <v>522</v>
      </c>
      <c r="PC153" s="50">
        <v>46094</v>
      </c>
    </row>
    <row r="154" spans="1:419" ht="15.75" thickBot="1">
      <c r="A154" s="11" t="s">
        <v>665</v>
      </c>
      <c r="B154" t="s">
        <v>666</v>
      </c>
      <c r="C154" t="s">
        <v>667</v>
      </c>
      <c r="D154" s="4" t="s">
        <v>668</v>
      </c>
      <c r="E154" t="s">
        <v>669</v>
      </c>
      <c r="F154" s="88" t="s">
        <v>670</v>
      </c>
      <c r="G154" t="s">
        <v>475</v>
      </c>
      <c r="H154" t="s">
        <v>476</v>
      </c>
      <c r="I154" s="10">
        <v>0.1</v>
      </c>
      <c r="J154" s="10">
        <v>34.566667000000002</v>
      </c>
      <c r="K154">
        <v>150</v>
      </c>
      <c r="AV154" t="s">
        <v>671</v>
      </c>
      <c r="AW154">
        <v>100</v>
      </c>
      <c r="AX154" t="s">
        <v>480</v>
      </c>
      <c r="AY154">
        <v>4</v>
      </c>
      <c r="AZ154" t="s">
        <v>672</v>
      </c>
      <c r="BA154">
        <v>1994</v>
      </c>
      <c r="BB154">
        <v>1998</v>
      </c>
      <c r="BC154" t="s">
        <v>673</v>
      </c>
      <c r="BD154" s="10" t="s">
        <v>693</v>
      </c>
      <c r="BE154" t="s">
        <v>566</v>
      </c>
      <c r="BF154" s="3" t="s">
        <v>484</v>
      </c>
      <c r="BG154" t="s">
        <v>485</v>
      </c>
      <c r="BH154" t="s">
        <v>675</v>
      </c>
      <c r="BI154" s="4" t="s">
        <v>486</v>
      </c>
      <c r="BJ154" s="9">
        <v>53000</v>
      </c>
      <c r="ED154" t="s">
        <v>676</v>
      </c>
      <c r="EE154" s="4" t="s">
        <v>486</v>
      </c>
      <c r="EF154" s="9">
        <v>53000</v>
      </c>
      <c r="EG154" s="9"/>
      <c r="EH154" s="9"/>
      <c r="EI154" s="9"/>
      <c r="EJ154" s="9"/>
      <c r="EK154" s="9"/>
      <c r="EL154" s="9"/>
      <c r="EM154" s="9"/>
      <c r="EN154" s="9"/>
      <c r="EO154" s="9"/>
      <c r="EP154" s="9"/>
      <c r="EQ154" s="9"/>
      <c r="ER154" s="9"/>
      <c r="ES154" s="9"/>
      <c r="ET154" s="9"/>
      <c r="EU154" s="9"/>
      <c r="EV154" s="9"/>
      <c r="EW154" s="9"/>
      <c r="EX154" s="9"/>
      <c r="EY154" s="9"/>
      <c r="EZ154" s="9"/>
      <c r="FA154" s="9"/>
      <c r="FB154" s="9"/>
      <c r="FC154" s="9"/>
      <c r="FD154" s="9"/>
      <c r="FE154" s="9"/>
      <c r="FF154" s="9"/>
      <c r="FG154" s="9"/>
      <c r="FH154" s="9"/>
      <c r="FI154" s="9"/>
      <c r="FJ154" s="9"/>
      <c r="FK154" s="9"/>
      <c r="FL154" s="9"/>
      <c r="FM154" s="9"/>
      <c r="FN154" s="9"/>
      <c r="FO154" s="9"/>
      <c r="FP154" s="9"/>
      <c r="FQ154" s="9"/>
      <c r="FR154" s="9"/>
      <c r="FS154" s="9"/>
      <c r="FT154" s="9"/>
      <c r="FU154" s="9"/>
      <c r="FV154" s="9"/>
      <c r="FW154" s="9"/>
      <c r="FX154" s="9"/>
      <c r="FY154" s="9"/>
      <c r="FZ154" s="9"/>
      <c r="GA154" s="9"/>
      <c r="GB154" s="9"/>
      <c r="GC154" s="9"/>
      <c r="GD154" s="9"/>
      <c r="GE154" s="9"/>
      <c r="GF154" s="9"/>
      <c r="GG154" s="9"/>
      <c r="GH154" s="9"/>
      <c r="GI154" s="9"/>
      <c r="GJ154" s="9"/>
      <c r="GK154" s="9"/>
      <c r="GL154" s="9"/>
      <c r="GM154" s="9"/>
      <c r="GN154" s="9"/>
      <c r="GO154" s="9"/>
      <c r="GP154" s="9"/>
      <c r="GQ154" s="9"/>
      <c r="GR154" s="9"/>
      <c r="GS154" s="9"/>
      <c r="GT154" s="9"/>
      <c r="GU154" s="9"/>
      <c r="GV154" s="9"/>
      <c r="GW154" s="9"/>
      <c r="GX154" s="9"/>
      <c r="GY154" s="9"/>
      <c r="GZ154" s="9"/>
      <c r="HA154" s="9"/>
      <c r="HB154" s="9"/>
      <c r="HC154" s="9"/>
      <c r="HD154" s="9"/>
      <c r="HE154" s="9"/>
      <c r="HF154" s="9"/>
      <c r="HG154" s="9"/>
      <c r="HH154" s="9"/>
      <c r="HI154" s="9"/>
      <c r="HJ154" s="9"/>
      <c r="HQ154" t="s">
        <v>677</v>
      </c>
      <c r="HS154" s="4" t="s">
        <v>490</v>
      </c>
      <c r="HT154" s="50">
        <v>34335</v>
      </c>
      <c r="HU154" s="50">
        <v>36160</v>
      </c>
      <c r="HV154" s="50"/>
      <c r="HW154" s="50"/>
      <c r="IN154" s="4"/>
      <c r="IO154" t="s">
        <v>694</v>
      </c>
      <c r="IP154" s="12" t="s">
        <v>695</v>
      </c>
      <c r="IS154">
        <v>1994</v>
      </c>
      <c r="IT154">
        <v>1994.2</v>
      </c>
      <c r="IU154" s="4" t="s">
        <v>544</v>
      </c>
      <c r="IV154" t="s">
        <v>696</v>
      </c>
      <c r="IW154" s="12" t="s">
        <v>681</v>
      </c>
      <c r="IZ154">
        <v>0.5</v>
      </c>
      <c r="JA154" t="s">
        <v>480</v>
      </c>
      <c r="JB154" t="s">
        <v>480</v>
      </c>
      <c r="JC154" t="s">
        <v>480</v>
      </c>
      <c r="JD154" t="s">
        <v>480</v>
      </c>
      <c r="JE154" t="s">
        <v>480</v>
      </c>
      <c r="JF154" t="s">
        <v>480</v>
      </c>
      <c r="JG154" t="s">
        <v>480</v>
      </c>
      <c r="JH154" t="s">
        <v>480</v>
      </c>
      <c r="JI154" t="s">
        <v>480</v>
      </c>
      <c r="JK154" s="12" t="s">
        <v>682</v>
      </c>
      <c r="JP154" s="4"/>
      <c r="JV154" s="4"/>
      <c r="JW154" s="4"/>
      <c r="JX154" s="4"/>
      <c r="JY154" s="4"/>
      <c r="JZ154" s="4"/>
      <c r="KA154" s="4"/>
      <c r="KF154" s="7" t="s">
        <v>500</v>
      </c>
      <c r="KJ154" s="7" t="s">
        <v>683</v>
      </c>
      <c r="KK154" s="7" t="s">
        <v>562</v>
      </c>
      <c r="KL154" t="s">
        <v>480</v>
      </c>
      <c r="KM154" t="s">
        <v>480</v>
      </c>
      <c r="MY154" t="s">
        <v>684</v>
      </c>
      <c r="MZ154">
        <v>42</v>
      </c>
      <c r="NB154" s="4" t="s">
        <v>789</v>
      </c>
      <c r="NJ154" t="s">
        <v>790</v>
      </c>
      <c r="NL154" s="4" t="s">
        <v>654</v>
      </c>
      <c r="NM154" s="6" t="s">
        <v>719</v>
      </c>
      <c r="NV154" t="s">
        <v>518</v>
      </c>
      <c r="NW154" s="5" t="s">
        <v>807</v>
      </c>
      <c r="NX154" s="4" t="s">
        <v>520</v>
      </c>
      <c r="NY154" s="3">
        <v>0.31693330471583003</v>
      </c>
      <c r="OB154">
        <v>4</v>
      </c>
      <c r="OU154" t="s">
        <v>806</v>
      </c>
      <c r="OW154">
        <v>1998</v>
      </c>
      <c r="OZ154" s="2" t="s">
        <v>692</v>
      </c>
      <c r="PB154" t="s">
        <v>522</v>
      </c>
      <c r="PC154" s="50">
        <v>46094</v>
      </c>
    </row>
    <row r="155" spans="1:419" ht="15.75" thickBot="1">
      <c r="A155" s="11" t="s">
        <v>665</v>
      </c>
      <c r="B155" t="s">
        <v>666</v>
      </c>
      <c r="C155" t="s">
        <v>667</v>
      </c>
      <c r="D155" s="4" t="s">
        <v>668</v>
      </c>
      <c r="E155" t="s">
        <v>669</v>
      </c>
      <c r="F155" s="88" t="s">
        <v>670</v>
      </c>
      <c r="G155" t="s">
        <v>475</v>
      </c>
      <c r="H155" t="s">
        <v>476</v>
      </c>
      <c r="I155" s="10">
        <v>0.1</v>
      </c>
      <c r="J155" s="10">
        <v>34.566667000000002</v>
      </c>
      <c r="K155">
        <v>150</v>
      </c>
      <c r="AV155" t="s">
        <v>671</v>
      </c>
      <c r="AW155">
        <v>100</v>
      </c>
      <c r="AX155" t="s">
        <v>480</v>
      </c>
      <c r="AY155">
        <v>4</v>
      </c>
      <c r="AZ155" t="s">
        <v>672</v>
      </c>
      <c r="BA155">
        <v>1994</v>
      </c>
      <c r="BB155">
        <v>1998</v>
      </c>
      <c r="BC155" t="s">
        <v>673</v>
      </c>
      <c r="BD155" s="10" t="s">
        <v>697</v>
      </c>
      <c r="BE155" t="s">
        <v>572</v>
      </c>
      <c r="BF155" s="3" t="s">
        <v>484</v>
      </c>
      <c r="BG155" t="s">
        <v>485</v>
      </c>
      <c r="BH155" t="s">
        <v>675</v>
      </c>
      <c r="BI155" s="4" t="s">
        <v>486</v>
      </c>
      <c r="BJ155" s="9">
        <v>53000</v>
      </c>
      <c r="EE155" s="4"/>
      <c r="EF155" s="9"/>
      <c r="EG155" s="9"/>
      <c r="EH155" s="9"/>
      <c r="EI155" s="9"/>
      <c r="EJ155" s="9"/>
      <c r="EK155" s="9"/>
      <c r="EL155" s="9"/>
      <c r="EM155" s="9"/>
      <c r="EN155" s="9"/>
      <c r="EO155" s="9"/>
      <c r="EP155" s="9"/>
      <c r="EQ155" s="9"/>
      <c r="ER155" s="9"/>
      <c r="ES155" s="9"/>
      <c r="ET155" s="9"/>
      <c r="EU155" s="9"/>
      <c r="EV155" s="9"/>
      <c r="EW155" s="9"/>
      <c r="EX155" s="9"/>
      <c r="EY155" s="9"/>
      <c r="EZ155" s="9"/>
      <c r="FA155" s="9"/>
      <c r="FB155" s="9"/>
      <c r="FC155" s="9"/>
      <c r="FD155" s="9"/>
      <c r="FE155" s="9"/>
      <c r="FF155" s="9"/>
      <c r="FG155" s="9"/>
      <c r="FH155" s="9"/>
      <c r="FI155" s="9"/>
      <c r="FJ155" s="9"/>
      <c r="FK155" s="9"/>
      <c r="FL155" s="9"/>
      <c r="FM155" s="9"/>
      <c r="FN155" s="9"/>
      <c r="FO155" s="9"/>
      <c r="FP155" s="9"/>
      <c r="FQ155" s="9"/>
      <c r="FR155" s="9"/>
      <c r="FS155" s="9"/>
      <c r="FT155" s="9"/>
      <c r="FU155" s="9"/>
      <c r="FV155" s="9"/>
      <c r="FW155" s="9"/>
      <c r="FX155" s="9"/>
      <c r="FY155" s="9"/>
      <c r="FZ155" s="9"/>
      <c r="GA155" s="9"/>
      <c r="GB155" s="9"/>
      <c r="GC155" s="9"/>
      <c r="GD155" s="9"/>
      <c r="GE155" s="9"/>
      <c r="GF155" s="9"/>
      <c r="GG155" s="9"/>
      <c r="GH155" s="9"/>
      <c r="GI155" s="9"/>
      <c r="GJ155" s="9"/>
      <c r="GK155" s="9"/>
      <c r="GL155" s="9"/>
      <c r="GM155" s="9"/>
      <c r="GN155" s="9"/>
      <c r="GO155" s="9"/>
      <c r="GP155" s="9"/>
      <c r="GQ155" s="9"/>
      <c r="GR155" s="9"/>
      <c r="GS155" s="9"/>
      <c r="GT155" s="9"/>
      <c r="GU155" s="9"/>
      <c r="GV155" s="9"/>
      <c r="GW155" s="9"/>
      <c r="GX155" s="9"/>
      <c r="GY155" s="9"/>
      <c r="GZ155" s="9"/>
      <c r="HA155" s="9"/>
      <c r="HB155" s="9"/>
      <c r="HC155" s="9"/>
      <c r="HD155" s="9"/>
      <c r="HE155" s="9"/>
      <c r="HF155" s="9"/>
      <c r="HG155" s="9"/>
      <c r="HH155" s="9"/>
      <c r="HI155" s="9"/>
      <c r="HJ155" s="9"/>
      <c r="HQ155" t="s">
        <v>677</v>
      </c>
      <c r="HS155" s="4" t="s">
        <v>490</v>
      </c>
      <c r="HT155" s="50">
        <v>34335</v>
      </c>
      <c r="HU155" s="50">
        <v>36160</v>
      </c>
      <c r="HV155" s="50"/>
      <c r="HW155" s="50"/>
      <c r="IO155" t="s">
        <v>698</v>
      </c>
      <c r="IP155" s="46" t="s">
        <v>699</v>
      </c>
      <c r="IS155">
        <v>1995</v>
      </c>
      <c r="IT155">
        <v>1995.2</v>
      </c>
      <c r="IU155" s="4" t="s">
        <v>544</v>
      </c>
      <c r="IV155" t="s">
        <v>700</v>
      </c>
      <c r="IW155" t="s">
        <v>492</v>
      </c>
      <c r="JA155">
        <v>0</v>
      </c>
      <c r="JB155">
        <v>0</v>
      </c>
      <c r="JC155">
        <v>0</v>
      </c>
      <c r="JD155">
        <v>0</v>
      </c>
      <c r="JE155">
        <v>0</v>
      </c>
      <c r="JF155">
        <v>0</v>
      </c>
      <c r="JG155">
        <v>0</v>
      </c>
      <c r="JH155">
        <v>0</v>
      </c>
      <c r="JI155">
        <v>0</v>
      </c>
      <c r="JK155" s="12" t="s">
        <v>682</v>
      </c>
      <c r="JP155" s="4"/>
      <c r="JV155" s="4"/>
      <c r="JW155" s="4"/>
      <c r="JX155" s="4"/>
      <c r="JY155" s="4"/>
      <c r="JZ155" s="4"/>
      <c r="KA155" s="4"/>
      <c r="KF155" s="7" t="s">
        <v>500</v>
      </c>
      <c r="KJ155" s="7" t="s">
        <v>649</v>
      </c>
      <c r="KK155" s="7"/>
      <c r="MY155" t="s">
        <v>684</v>
      </c>
      <c r="MZ155">
        <v>42</v>
      </c>
      <c r="NB155" s="4" t="s">
        <v>789</v>
      </c>
      <c r="NJ155" t="s">
        <v>790</v>
      </c>
      <c r="NL155" s="4" t="s">
        <v>654</v>
      </c>
      <c r="NM155" s="6" t="s">
        <v>719</v>
      </c>
      <c r="NV155" t="s">
        <v>518</v>
      </c>
      <c r="NW155" s="5" t="s">
        <v>808</v>
      </c>
      <c r="NX155" s="4" t="s">
        <v>520</v>
      </c>
      <c r="NY155" s="3">
        <v>0.42314275179272021</v>
      </c>
      <c r="OB155">
        <v>4</v>
      </c>
      <c r="OU155" t="s">
        <v>806</v>
      </c>
      <c r="OW155">
        <v>1998</v>
      </c>
      <c r="OZ155" s="2" t="s">
        <v>692</v>
      </c>
      <c r="PB155" t="s">
        <v>522</v>
      </c>
      <c r="PC155" s="50">
        <v>46094</v>
      </c>
    </row>
    <row r="156" spans="1:419" ht="15.75" thickBot="1">
      <c r="A156" s="11" t="s">
        <v>665</v>
      </c>
      <c r="B156" t="s">
        <v>666</v>
      </c>
      <c r="C156" t="s">
        <v>667</v>
      </c>
      <c r="D156" s="4" t="s">
        <v>668</v>
      </c>
      <c r="E156" t="s">
        <v>669</v>
      </c>
      <c r="F156" s="88" t="s">
        <v>670</v>
      </c>
      <c r="G156" t="s">
        <v>475</v>
      </c>
      <c r="H156" t="s">
        <v>476</v>
      </c>
      <c r="I156" s="10">
        <v>0.1</v>
      </c>
      <c r="J156" s="10">
        <v>34.566667000000002</v>
      </c>
      <c r="K156">
        <v>150</v>
      </c>
      <c r="AV156" t="s">
        <v>671</v>
      </c>
      <c r="AW156">
        <v>100</v>
      </c>
      <c r="AX156" t="s">
        <v>480</v>
      </c>
      <c r="AY156">
        <v>4</v>
      </c>
      <c r="AZ156" t="s">
        <v>672</v>
      </c>
      <c r="BA156">
        <v>1994</v>
      </c>
      <c r="BB156">
        <v>1998</v>
      </c>
      <c r="BC156" t="s">
        <v>673</v>
      </c>
      <c r="BD156" s="10" t="s">
        <v>701</v>
      </c>
      <c r="BE156" t="s">
        <v>553</v>
      </c>
      <c r="BF156" s="3" t="s">
        <v>484</v>
      </c>
      <c r="BG156" t="s">
        <v>485</v>
      </c>
      <c r="BH156" t="s">
        <v>675</v>
      </c>
      <c r="BI156" s="4" t="s">
        <v>486</v>
      </c>
      <c r="BJ156" s="9">
        <v>53000</v>
      </c>
      <c r="EE156" s="4"/>
      <c r="EF156" s="9"/>
      <c r="EG156" s="9"/>
      <c r="EH156" s="9"/>
      <c r="EI156" s="9"/>
      <c r="EJ156" s="9"/>
      <c r="EK156" s="9"/>
      <c r="EL156" s="9"/>
      <c r="EM156" s="9"/>
      <c r="EN156" s="9"/>
      <c r="EO156" s="9"/>
      <c r="EP156" s="9"/>
      <c r="EQ156" s="9"/>
      <c r="ER156" s="9"/>
      <c r="ES156" s="9"/>
      <c r="ET156" s="9"/>
      <c r="EU156" s="9"/>
      <c r="EV156" s="9"/>
      <c r="EW156" s="9"/>
      <c r="EX156" s="9"/>
      <c r="EY156" s="9"/>
      <c r="EZ156" s="9"/>
      <c r="FA156" s="9"/>
      <c r="FB156" s="9"/>
      <c r="FC156" s="9"/>
      <c r="FD156" s="9"/>
      <c r="FE156" s="9"/>
      <c r="FF156" s="9"/>
      <c r="FG156" s="9"/>
      <c r="FH156" s="9"/>
      <c r="FI156" s="9"/>
      <c r="FJ156" s="9"/>
      <c r="FK156" s="9"/>
      <c r="FL156" s="9"/>
      <c r="FM156" s="9"/>
      <c r="FN156" s="9"/>
      <c r="FO156" s="9"/>
      <c r="FP156" s="9"/>
      <c r="FQ156" s="9"/>
      <c r="FR156" s="9"/>
      <c r="FS156" s="9"/>
      <c r="FT156" s="9"/>
      <c r="FU156" s="9"/>
      <c r="FV156" s="9"/>
      <c r="FW156" s="9"/>
      <c r="FX156" s="9"/>
      <c r="FY156" s="9"/>
      <c r="FZ156" s="9"/>
      <c r="GA156" s="9"/>
      <c r="GB156" s="9"/>
      <c r="GC156" s="9"/>
      <c r="GD156" s="9"/>
      <c r="GE156" s="9"/>
      <c r="GF156" s="9"/>
      <c r="GG156" s="9"/>
      <c r="GH156" s="9"/>
      <c r="GI156" s="9"/>
      <c r="GJ156" s="9"/>
      <c r="GK156" s="9"/>
      <c r="GL156" s="9"/>
      <c r="GM156" s="9"/>
      <c r="GN156" s="9"/>
      <c r="GO156" s="9"/>
      <c r="GP156" s="9"/>
      <c r="GQ156" s="9"/>
      <c r="GR156" s="9"/>
      <c r="GS156" s="9"/>
      <c r="GT156" s="9"/>
      <c r="GU156" s="9"/>
      <c r="GV156" s="9"/>
      <c r="GW156" s="9"/>
      <c r="GX156" s="9"/>
      <c r="GY156" s="9"/>
      <c r="GZ156" s="9"/>
      <c r="HA156" s="9"/>
      <c r="HB156" s="9"/>
      <c r="HC156" s="9"/>
      <c r="HD156" s="9"/>
      <c r="HE156" s="9"/>
      <c r="HF156" s="9"/>
      <c r="HG156" s="9"/>
      <c r="HH156" s="9"/>
      <c r="HI156" s="9"/>
      <c r="HJ156" s="9"/>
      <c r="HQ156" t="s">
        <v>677</v>
      </c>
      <c r="HS156" s="4" t="s">
        <v>490</v>
      </c>
      <c r="HT156" s="50">
        <v>34335</v>
      </c>
      <c r="HU156" s="50">
        <v>36160</v>
      </c>
      <c r="HV156" s="50"/>
      <c r="HW156" s="50"/>
      <c r="IO156" t="s">
        <v>702</v>
      </c>
      <c r="IP156" s="13" t="s">
        <v>703</v>
      </c>
      <c r="IS156">
        <v>1994</v>
      </c>
      <c r="IT156">
        <v>1994.2</v>
      </c>
      <c r="IU156" s="4" t="s">
        <v>544</v>
      </c>
      <c r="IV156" t="s">
        <v>700</v>
      </c>
      <c r="IW156" t="s">
        <v>492</v>
      </c>
      <c r="JA156">
        <v>0</v>
      </c>
      <c r="JB156">
        <v>0</v>
      </c>
      <c r="JC156">
        <v>0</v>
      </c>
      <c r="JD156">
        <v>0</v>
      </c>
      <c r="JE156">
        <v>0</v>
      </c>
      <c r="JF156">
        <v>0</v>
      </c>
      <c r="JG156">
        <v>0</v>
      </c>
      <c r="JH156">
        <v>0</v>
      </c>
      <c r="JI156">
        <v>0</v>
      </c>
      <c r="JK156" s="12" t="s">
        <v>682</v>
      </c>
      <c r="JP156" s="4"/>
      <c r="KF156" s="7" t="s">
        <v>500</v>
      </c>
      <c r="KJ156" s="7" t="s">
        <v>649</v>
      </c>
      <c r="KK156" s="7"/>
      <c r="MY156" t="s">
        <v>684</v>
      </c>
      <c r="MZ156">
        <v>42</v>
      </c>
      <c r="NB156" s="4" t="s">
        <v>789</v>
      </c>
      <c r="NJ156" t="s">
        <v>790</v>
      </c>
      <c r="NL156" s="4" t="s">
        <v>654</v>
      </c>
      <c r="NM156" s="6" t="s">
        <v>719</v>
      </c>
      <c r="NV156" t="s">
        <v>518</v>
      </c>
      <c r="NW156" s="5" t="s">
        <v>809</v>
      </c>
      <c r="NX156" s="4" t="s">
        <v>520</v>
      </c>
      <c r="NY156" s="3">
        <v>0.38076683892201002</v>
      </c>
      <c r="OB156">
        <v>4</v>
      </c>
      <c r="OU156" t="s">
        <v>806</v>
      </c>
      <c r="OW156">
        <v>1998</v>
      </c>
      <c r="OZ156" s="2" t="s">
        <v>692</v>
      </c>
      <c r="PB156" t="s">
        <v>522</v>
      </c>
      <c r="PC156" s="50">
        <v>46094</v>
      </c>
    </row>
    <row r="157" spans="1:419" ht="15.75" thickBot="1">
      <c r="A157" s="11" t="s">
        <v>665</v>
      </c>
      <c r="B157" t="s">
        <v>666</v>
      </c>
      <c r="C157" t="s">
        <v>667</v>
      </c>
      <c r="D157" s="4" t="s">
        <v>668</v>
      </c>
      <c r="E157" t="s">
        <v>669</v>
      </c>
      <c r="F157" s="88" t="s">
        <v>670</v>
      </c>
      <c r="G157" t="s">
        <v>475</v>
      </c>
      <c r="H157" t="s">
        <v>476</v>
      </c>
      <c r="I157" s="10">
        <v>0.1</v>
      </c>
      <c r="J157" s="10">
        <v>34.566667000000002</v>
      </c>
      <c r="K157">
        <v>150</v>
      </c>
      <c r="AV157" t="s">
        <v>671</v>
      </c>
      <c r="AW157">
        <v>100</v>
      </c>
      <c r="AX157" t="s">
        <v>480</v>
      </c>
      <c r="AY157">
        <v>4</v>
      </c>
      <c r="AZ157" t="s">
        <v>672</v>
      </c>
      <c r="BA157">
        <v>1994</v>
      </c>
      <c r="BB157">
        <v>1998</v>
      </c>
      <c r="BC157" t="s">
        <v>673</v>
      </c>
      <c r="BD157" s="10" t="s">
        <v>704</v>
      </c>
      <c r="BE157" t="s">
        <v>524</v>
      </c>
      <c r="BF157" s="3" t="s">
        <v>484</v>
      </c>
      <c r="BG157" t="s">
        <v>485</v>
      </c>
      <c r="BH157" t="s">
        <v>675</v>
      </c>
      <c r="BI157" s="4" t="s">
        <v>486</v>
      </c>
      <c r="BJ157" s="9">
        <v>53000</v>
      </c>
      <c r="HQ157" t="s">
        <v>677</v>
      </c>
      <c r="HS157" s="4" t="s">
        <v>490</v>
      </c>
      <c r="HT157" s="50">
        <v>34335</v>
      </c>
      <c r="HU157" s="50">
        <v>36160</v>
      </c>
      <c r="HV157" s="50"/>
      <c r="HW157" s="50"/>
      <c r="IO157" t="s">
        <v>700</v>
      </c>
      <c r="IP157" s="46" t="s">
        <v>492</v>
      </c>
      <c r="IU157" s="4" t="s">
        <v>544</v>
      </c>
      <c r="IV157" t="s">
        <v>700</v>
      </c>
      <c r="IW157" s="46" t="s">
        <v>492</v>
      </c>
      <c r="JA157">
        <v>0</v>
      </c>
      <c r="JB157">
        <v>0</v>
      </c>
      <c r="JC157">
        <v>0</v>
      </c>
      <c r="JD157">
        <v>0</v>
      </c>
      <c r="JE157">
        <v>0</v>
      </c>
      <c r="JF157">
        <v>0</v>
      </c>
      <c r="JG157">
        <v>0</v>
      </c>
      <c r="JH157">
        <v>0</v>
      </c>
      <c r="JI157">
        <v>0</v>
      </c>
      <c r="JK157" s="12" t="s">
        <v>682</v>
      </c>
      <c r="JP157" s="4"/>
      <c r="KF157" s="7" t="s">
        <v>500</v>
      </c>
      <c r="KJ157" s="7" t="s">
        <v>649</v>
      </c>
      <c r="KK157" s="7"/>
      <c r="MY157" t="s">
        <v>684</v>
      </c>
      <c r="MZ157">
        <v>42</v>
      </c>
      <c r="NB157" s="4" t="s">
        <v>789</v>
      </c>
      <c r="NJ157" t="s">
        <v>790</v>
      </c>
      <c r="NL157" s="4" t="s">
        <v>654</v>
      </c>
      <c r="NM157" s="6" t="s">
        <v>719</v>
      </c>
      <c r="NU157" t="s">
        <v>517</v>
      </c>
      <c r="NV157" t="s">
        <v>518</v>
      </c>
      <c r="NW157" s="5" t="s">
        <v>810</v>
      </c>
      <c r="NX157" s="4" t="s">
        <v>520</v>
      </c>
      <c r="NY157" s="3">
        <v>0.38045865046476002</v>
      </c>
      <c r="OB157">
        <v>4</v>
      </c>
      <c r="OU157" t="s">
        <v>806</v>
      </c>
      <c r="OW157">
        <v>1998</v>
      </c>
      <c r="OZ157" s="2" t="s">
        <v>692</v>
      </c>
      <c r="PB157" t="s">
        <v>522</v>
      </c>
      <c r="PC157" s="50">
        <v>46094</v>
      </c>
    </row>
    <row r="158" spans="1:419" ht="15.75" thickBot="1">
      <c r="A158" s="11" t="s">
        <v>665</v>
      </c>
      <c r="B158" t="s">
        <v>666</v>
      </c>
      <c r="C158" t="s">
        <v>667</v>
      </c>
      <c r="D158" s="4" t="s">
        <v>668</v>
      </c>
      <c r="E158" t="s">
        <v>669</v>
      </c>
      <c r="F158" s="88" t="s">
        <v>670</v>
      </c>
      <c r="G158" t="s">
        <v>475</v>
      </c>
      <c r="H158" t="s">
        <v>476</v>
      </c>
      <c r="I158" s="10">
        <v>0.1</v>
      </c>
      <c r="J158" s="10">
        <v>34.566667000000002</v>
      </c>
      <c r="K158">
        <v>150</v>
      </c>
      <c r="AV158" t="s">
        <v>671</v>
      </c>
      <c r="AW158">
        <v>100</v>
      </c>
      <c r="AX158" t="s">
        <v>480</v>
      </c>
      <c r="AY158">
        <v>4</v>
      </c>
      <c r="AZ158" t="s">
        <v>672</v>
      </c>
      <c r="BA158">
        <v>1994</v>
      </c>
      <c r="BB158">
        <v>1998</v>
      </c>
      <c r="BC158" t="s">
        <v>673</v>
      </c>
      <c r="BD158" s="10" t="s">
        <v>705</v>
      </c>
      <c r="BE158" t="s">
        <v>483</v>
      </c>
      <c r="BF158" s="3" t="s">
        <v>484</v>
      </c>
      <c r="BG158" t="s">
        <v>485</v>
      </c>
      <c r="BH158" t="s">
        <v>675</v>
      </c>
      <c r="BI158" s="4" t="s">
        <v>486</v>
      </c>
      <c r="BJ158" s="9">
        <v>53000</v>
      </c>
      <c r="HQ158" t="s">
        <v>677</v>
      </c>
      <c r="HS158" s="4" t="s">
        <v>490</v>
      </c>
      <c r="HT158" s="50">
        <v>34335</v>
      </c>
      <c r="HU158" s="50">
        <v>36160</v>
      </c>
      <c r="HV158" s="50"/>
      <c r="HW158" s="50"/>
      <c r="IO158" t="s">
        <v>706</v>
      </c>
      <c r="IP158" s="46" t="s">
        <v>492</v>
      </c>
      <c r="IU158" s="4" t="s">
        <v>544</v>
      </c>
      <c r="IV158" t="s">
        <v>707</v>
      </c>
      <c r="IW158" s="46" t="s">
        <v>492</v>
      </c>
      <c r="JA158">
        <v>0</v>
      </c>
      <c r="JB158">
        <v>0</v>
      </c>
      <c r="JC158">
        <v>0</v>
      </c>
      <c r="JD158">
        <v>0</v>
      </c>
      <c r="JE158">
        <v>0</v>
      </c>
      <c r="JF158">
        <v>0</v>
      </c>
      <c r="JG158">
        <v>0</v>
      </c>
      <c r="JH158">
        <v>0</v>
      </c>
      <c r="JI158">
        <v>0</v>
      </c>
      <c r="JJ158" t="s">
        <v>706</v>
      </c>
      <c r="JK158" t="s">
        <v>494</v>
      </c>
      <c r="JL158" s="8" t="s">
        <v>495</v>
      </c>
      <c r="JP158" s="4" t="s">
        <v>508</v>
      </c>
      <c r="JQ158">
        <v>60</v>
      </c>
      <c r="JT158">
        <v>60</v>
      </c>
      <c r="KF158" s="7" t="s">
        <v>500</v>
      </c>
      <c r="KJ158" s="7" t="s">
        <v>649</v>
      </c>
      <c r="KK158" s="7"/>
      <c r="MY158" t="s">
        <v>684</v>
      </c>
      <c r="MZ158">
        <v>42</v>
      </c>
      <c r="NB158" s="4" t="s">
        <v>789</v>
      </c>
      <c r="NJ158" t="s">
        <v>790</v>
      </c>
      <c r="NL158" s="4" t="s">
        <v>654</v>
      </c>
      <c r="NM158" s="6" t="s">
        <v>719</v>
      </c>
      <c r="NU158" t="s">
        <v>708</v>
      </c>
      <c r="NV158" t="s">
        <v>518</v>
      </c>
      <c r="NW158" s="5" t="s">
        <v>811</v>
      </c>
      <c r="NX158" s="4" t="s">
        <v>520</v>
      </c>
      <c r="NY158" s="3">
        <v>0.16881022745408991</v>
      </c>
      <c r="OB158">
        <v>4</v>
      </c>
      <c r="OU158" t="s">
        <v>806</v>
      </c>
      <c r="OW158">
        <v>1998</v>
      </c>
      <c r="OZ158" s="2" t="s">
        <v>692</v>
      </c>
      <c r="PB158" t="s">
        <v>522</v>
      </c>
      <c r="PC158" s="50">
        <v>46094</v>
      </c>
    </row>
    <row r="159" spans="1:419" ht="15.75" thickBot="1">
      <c r="A159" s="11" t="s">
        <v>665</v>
      </c>
      <c r="B159" t="s">
        <v>666</v>
      </c>
      <c r="C159" t="s">
        <v>667</v>
      </c>
      <c r="D159" s="4" t="s">
        <v>668</v>
      </c>
      <c r="E159" t="s">
        <v>669</v>
      </c>
      <c r="F159" s="88" t="s">
        <v>670</v>
      </c>
      <c r="G159" t="s">
        <v>475</v>
      </c>
      <c r="H159" t="s">
        <v>476</v>
      </c>
      <c r="I159" s="10">
        <v>0.1</v>
      </c>
      <c r="J159" s="10">
        <v>34.566667000000002</v>
      </c>
      <c r="K159">
        <v>150</v>
      </c>
      <c r="AV159" t="s">
        <v>671</v>
      </c>
      <c r="AW159">
        <v>100</v>
      </c>
      <c r="AX159" t="s">
        <v>480</v>
      </c>
      <c r="AY159">
        <v>4</v>
      </c>
      <c r="AZ159" t="s">
        <v>672</v>
      </c>
      <c r="BA159">
        <v>1994</v>
      </c>
      <c r="BB159">
        <v>1998</v>
      </c>
      <c r="BC159" t="s">
        <v>673</v>
      </c>
      <c r="BD159" s="10" t="s">
        <v>674</v>
      </c>
      <c r="BE159" t="s">
        <v>536</v>
      </c>
      <c r="BF159" s="3" t="s">
        <v>484</v>
      </c>
      <c r="BG159" t="s">
        <v>485</v>
      </c>
      <c r="BH159" t="s">
        <v>675</v>
      </c>
      <c r="BI159" s="4" t="s">
        <v>486</v>
      </c>
      <c r="BJ159" s="9">
        <v>53000</v>
      </c>
      <c r="ED159" t="s">
        <v>676</v>
      </c>
      <c r="EE159" s="4" t="s">
        <v>486</v>
      </c>
      <c r="EF159" s="9">
        <v>53000</v>
      </c>
      <c r="EG159" s="9"/>
      <c r="EH159" s="9"/>
      <c r="EI159" s="9"/>
      <c r="EJ159" s="9"/>
      <c r="EK159" s="9"/>
      <c r="EL159" s="9"/>
      <c r="EM159" s="9"/>
      <c r="EN159" s="9"/>
      <c r="EO159" s="9"/>
      <c r="EP159" s="9"/>
      <c r="EQ159" s="9"/>
      <c r="ER159" s="9"/>
      <c r="ES159" s="9"/>
      <c r="ET159" s="9"/>
      <c r="EU159" s="9"/>
      <c r="EV159" s="9"/>
      <c r="EW159" s="9"/>
      <c r="EX159" s="9"/>
      <c r="EY159" s="9"/>
      <c r="EZ159" s="9"/>
      <c r="FA159" s="9"/>
      <c r="FB159" s="9"/>
      <c r="FC159" s="9"/>
      <c r="FD159" s="9"/>
      <c r="FE159" s="9"/>
      <c r="FF159" s="9"/>
      <c r="FG159" s="9"/>
      <c r="FH159" s="9"/>
      <c r="FI159" s="9"/>
      <c r="FJ159" s="9"/>
      <c r="FK159" s="9"/>
      <c r="FL159" s="9"/>
      <c r="FM159" s="9"/>
      <c r="FN159" s="9"/>
      <c r="FO159" s="9"/>
      <c r="FP159" s="9"/>
      <c r="FQ159" s="9"/>
      <c r="FR159" s="9"/>
      <c r="FS159" s="9"/>
      <c r="FT159" s="9"/>
      <c r="FU159" s="9"/>
      <c r="FV159" s="9"/>
      <c r="FW159" s="9"/>
      <c r="FX159" s="9"/>
      <c r="FY159" s="9"/>
      <c r="FZ159" s="9"/>
      <c r="GA159" s="9"/>
      <c r="GB159" s="9"/>
      <c r="GC159" s="9"/>
      <c r="GD159" s="9"/>
      <c r="GE159" s="9"/>
      <c r="GF159" s="9"/>
      <c r="GG159" s="9"/>
      <c r="GH159" s="9"/>
      <c r="GI159" s="9"/>
      <c r="GJ159" s="9"/>
      <c r="GK159" s="9"/>
      <c r="GL159" s="9"/>
      <c r="GM159" s="9"/>
      <c r="GN159" s="9"/>
      <c r="GO159" s="9"/>
      <c r="GP159" s="9"/>
      <c r="GQ159" s="9"/>
      <c r="GR159" s="9"/>
      <c r="GS159" s="9"/>
      <c r="GT159" s="9"/>
      <c r="GU159" s="9"/>
      <c r="GV159" s="9"/>
      <c r="GW159" s="9"/>
      <c r="GX159" s="9"/>
      <c r="GY159" s="9"/>
      <c r="GZ159" s="9"/>
      <c r="HA159" s="9"/>
      <c r="HB159" s="9"/>
      <c r="HC159" s="9"/>
      <c r="HD159" s="9"/>
      <c r="HE159" s="9"/>
      <c r="HF159" s="9"/>
      <c r="HG159" s="9"/>
      <c r="HH159" s="9"/>
      <c r="HI159" s="9"/>
      <c r="HJ159" s="9"/>
      <c r="HQ159" t="s">
        <v>677</v>
      </c>
      <c r="HS159" s="4" t="s">
        <v>490</v>
      </c>
      <c r="HT159" s="50">
        <v>34335</v>
      </c>
      <c r="HU159" s="50">
        <v>36160</v>
      </c>
      <c r="HV159" s="50"/>
      <c r="HW159" s="50"/>
      <c r="IN159" s="4"/>
      <c r="IO159" t="s">
        <v>678</v>
      </c>
      <c r="IP159" s="12" t="s">
        <v>679</v>
      </c>
      <c r="IS159">
        <v>1995</v>
      </c>
      <c r="IT159">
        <v>1995.2</v>
      </c>
      <c r="IU159" s="4" t="s">
        <v>544</v>
      </c>
      <c r="IV159" t="s">
        <v>680</v>
      </c>
      <c r="IW159" s="12" t="s">
        <v>681</v>
      </c>
      <c r="IZ159">
        <v>0.5</v>
      </c>
      <c r="JA159" t="s">
        <v>480</v>
      </c>
      <c r="JB159" t="s">
        <v>480</v>
      </c>
      <c r="JC159" t="s">
        <v>480</v>
      </c>
      <c r="JD159" t="s">
        <v>480</v>
      </c>
      <c r="JE159" t="s">
        <v>480</v>
      </c>
      <c r="JF159" t="s">
        <v>480</v>
      </c>
      <c r="JG159" t="s">
        <v>480</v>
      </c>
      <c r="JH159" t="s">
        <v>480</v>
      </c>
      <c r="JI159" t="s">
        <v>480</v>
      </c>
      <c r="JK159" s="12" t="s">
        <v>682</v>
      </c>
      <c r="JP159" s="4"/>
      <c r="KF159" s="7" t="s">
        <v>500</v>
      </c>
      <c r="KJ159" s="7" t="s">
        <v>683</v>
      </c>
      <c r="KK159" s="7" t="s">
        <v>562</v>
      </c>
      <c r="KL159" t="s">
        <v>480</v>
      </c>
      <c r="KM159" t="s">
        <v>480</v>
      </c>
      <c r="MY159" t="s">
        <v>684</v>
      </c>
      <c r="MZ159">
        <v>42</v>
      </c>
      <c r="NB159" s="4" t="s">
        <v>789</v>
      </c>
      <c r="NJ159" t="s">
        <v>790</v>
      </c>
      <c r="NL159" s="4" t="s">
        <v>654</v>
      </c>
      <c r="NM159" s="6" t="s">
        <v>719</v>
      </c>
      <c r="NV159" t="s">
        <v>518</v>
      </c>
      <c r="NW159" s="5" t="s">
        <v>812</v>
      </c>
      <c r="NX159" s="4" t="s">
        <v>520</v>
      </c>
      <c r="NY159" s="3">
        <v>0.57416550362152963</v>
      </c>
      <c r="OB159">
        <v>4</v>
      </c>
      <c r="OU159" t="s">
        <v>813</v>
      </c>
      <c r="OW159">
        <v>1996</v>
      </c>
      <c r="OZ159" s="2" t="s">
        <v>709</v>
      </c>
      <c r="PB159" t="s">
        <v>522</v>
      </c>
      <c r="PC159" s="50">
        <v>46094</v>
      </c>
    </row>
    <row r="160" spans="1:419" ht="15.75" thickBot="1">
      <c r="A160" s="11" t="s">
        <v>665</v>
      </c>
      <c r="B160" t="s">
        <v>666</v>
      </c>
      <c r="C160" t="s">
        <v>667</v>
      </c>
      <c r="D160" s="4" t="s">
        <v>668</v>
      </c>
      <c r="E160" t="s">
        <v>669</v>
      </c>
      <c r="F160" s="88" t="s">
        <v>670</v>
      </c>
      <c r="G160" t="s">
        <v>475</v>
      </c>
      <c r="H160" t="s">
        <v>476</v>
      </c>
      <c r="I160" s="10">
        <v>0.1</v>
      </c>
      <c r="J160" s="10">
        <v>34.566667000000002</v>
      </c>
      <c r="K160">
        <v>150</v>
      </c>
      <c r="AV160" t="s">
        <v>671</v>
      </c>
      <c r="AW160">
        <v>100</v>
      </c>
      <c r="AX160" t="s">
        <v>480</v>
      </c>
      <c r="AY160">
        <v>4</v>
      </c>
      <c r="AZ160" t="s">
        <v>672</v>
      </c>
      <c r="BA160">
        <v>1994</v>
      </c>
      <c r="BB160">
        <v>1998</v>
      </c>
      <c r="BC160" t="s">
        <v>673</v>
      </c>
      <c r="BD160" s="10" t="s">
        <v>693</v>
      </c>
      <c r="BE160" t="s">
        <v>566</v>
      </c>
      <c r="BF160" s="3" t="s">
        <v>484</v>
      </c>
      <c r="BG160" t="s">
        <v>485</v>
      </c>
      <c r="BH160" t="s">
        <v>675</v>
      </c>
      <c r="BI160" s="4" t="s">
        <v>486</v>
      </c>
      <c r="BJ160" s="9">
        <v>53000</v>
      </c>
      <c r="ED160" t="s">
        <v>676</v>
      </c>
      <c r="EE160" s="4" t="s">
        <v>486</v>
      </c>
      <c r="EF160" s="9">
        <v>53000</v>
      </c>
      <c r="EG160" s="9"/>
      <c r="EH160" s="9"/>
      <c r="EI160" s="9"/>
      <c r="EJ160" s="9"/>
      <c r="EK160" s="9"/>
      <c r="EL160" s="9"/>
      <c r="EM160" s="9"/>
      <c r="EN160" s="9"/>
      <c r="EO160" s="9"/>
      <c r="EP160" s="9"/>
      <c r="EQ160" s="9"/>
      <c r="ER160" s="9"/>
      <c r="ES160" s="9"/>
      <c r="ET160" s="9"/>
      <c r="EU160" s="9"/>
      <c r="EV160" s="9"/>
      <c r="EW160" s="9"/>
      <c r="EX160" s="9"/>
      <c r="EY160" s="9"/>
      <c r="EZ160" s="9"/>
      <c r="FA160" s="9"/>
      <c r="FB160" s="9"/>
      <c r="FC160" s="9"/>
      <c r="FD160" s="9"/>
      <c r="FE160" s="9"/>
      <c r="FF160" s="9"/>
      <c r="FG160" s="9"/>
      <c r="FH160" s="9"/>
      <c r="FI160" s="9"/>
      <c r="FJ160" s="9"/>
      <c r="FK160" s="9"/>
      <c r="FL160" s="9"/>
      <c r="FM160" s="9"/>
      <c r="FN160" s="9"/>
      <c r="FO160" s="9"/>
      <c r="FP160" s="9"/>
      <c r="FQ160" s="9"/>
      <c r="FR160" s="9"/>
      <c r="FS160" s="9"/>
      <c r="FT160" s="9"/>
      <c r="FU160" s="9"/>
      <c r="FV160" s="9"/>
      <c r="FW160" s="9"/>
      <c r="FX160" s="9"/>
      <c r="FY160" s="9"/>
      <c r="FZ160" s="9"/>
      <c r="GA160" s="9"/>
      <c r="GB160" s="9"/>
      <c r="GC160" s="9"/>
      <c r="GD160" s="9"/>
      <c r="GE160" s="9"/>
      <c r="GF160" s="9"/>
      <c r="GG160" s="9"/>
      <c r="GH160" s="9"/>
      <c r="GI160" s="9"/>
      <c r="GJ160" s="9"/>
      <c r="GK160" s="9"/>
      <c r="GL160" s="9"/>
      <c r="GM160" s="9"/>
      <c r="GN160" s="9"/>
      <c r="GO160" s="9"/>
      <c r="GP160" s="9"/>
      <c r="GQ160" s="9"/>
      <c r="GR160" s="9"/>
      <c r="GS160" s="9"/>
      <c r="GT160" s="9"/>
      <c r="GU160" s="9"/>
      <c r="GV160" s="9"/>
      <c r="GW160" s="9"/>
      <c r="GX160" s="9"/>
      <c r="GY160" s="9"/>
      <c r="GZ160" s="9"/>
      <c r="HA160" s="9"/>
      <c r="HB160" s="9"/>
      <c r="HC160" s="9"/>
      <c r="HD160" s="9"/>
      <c r="HE160" s="9"/>
      <c r="HF160" s="9"/>
      <c r="HG160" s="9"/>
      <c r="HH160" s="9"/>
      <c r="HI160" s="9"/>
      <c r="HJ160" s="9"/>
      <c r="HQ160" t="s">
        <v>677</v>
      </c>
      <c r="HS160" s="4" t="s">
        <v>490</v>
      </c>
      <c r="HT160" s="50">
        <v>34335</v>
      </c>
      <c r="HU160" s="50">
        <v>36160</v>
      </c>
      <c r="HV160" s="50"/>
      <c r="HW160" s="50"/>
      <c r="IN160" s="4"/>
      <c r="IO160" t="s">
        <v>694</v>
      </c>
      <c r="IP160" s="12" t="s">
        <v>695</v>
      </c>
      <c r="IS160">
        <v>1994</v>
      </c>
      <c r="IT160">
        <v>1994.2</v>
      </c>
      <c r="IU160" s="4" t="s">
        <v>544</v>
      </c>
      <c r="IV160" t="s">
        <v>696</v>
      </c>
      <c r="IW160" s="12" t="s">
        <v>681</v>
      </c>
      <c r="IZ160">
        <v>0.5</v>
      </c>
      <c r="JA160" t="s">
        <v>480</v>
      </c>
      <c r="JB160" t="s">
        <v>480</v>
      </c>
      <c r="JC160" t="s">
        <v>480</v>
      </c>
      <c r="JD160" t="s">
        <v>480</v>
      </c>
      <c r="JE160" t="s">
        <v>480</v>
      </c>
      <c r="JF160" t="s">
        <v>480</v>
      </c>
      <c r="JG160" t="s">
        <v>480</v>
      </c>
      <c r="JH160" t="s">
        <v>480</v>
      </c>
      <c r="JI160" t="s">
        <v>480</v>
      </c>
      <c r="JK160" s="12" t="s">
        <v>682</v>
      </c>
      <c r="JP160" s="4"/>
      <c r="KF160" s="7" t="s">
        <v>500</v>
      </c>
      <c r="KJ160" s="7" t="s">
        <v>683</v>
      </c>
      <c r="KK160" s="7" t="s">
        <v>562</v>
      </c>
      <c r="KL160" t="s">
        <v>480</v>
      </c>
      <c r="KM160" t="s">
        <v>480</v>
      </c>
      <c r="MY160" t="s">
        <v>684</v>
      </c>
      <c r="MZ160">
        <v>42</v>
      </c>
      <c r="NB160" s="4" t="s">
        <v>789</v>
      </c>
      <c r="NJ160" t="s">
        <v>790</v>
      </c>
      <c r="NL160" s="4" t="s">
        <v>654</v>
      </c>
      <c r="NM160" s="6" t="s">
        <v>719</v>
      </c>
      <c r="NV160" t="s">
        <v>518</v>
      </c>
      <c r="NW160" s="5" t="s">
        <v>814</v>
      </c>
      <c r="NX160" s="4" t="s">
        <v>520</v>
      </c>
      <c r="NY160" s="3">
        <v>0.27675325606668011</v>
      </c>
      <c r="OB160">
        <v>4</v>
      </c>
      <c r="OU160" t="s">
        <v>813</v>
      </c>
      <c r="OW160">
        <v>1996</v>
      </c>
      <c r="OZ160" s="2" t="s">
        <v>709</v>
      </c>
      <c r="PB160" t="s">
        <v>522</v>
      </c>
      <c r="PC160" s="50">
        <v>46094</v>
      </c>
    </row>
    <row r="161" spans="1:419" ht="15.75" thickBot="1">
      <c r="A161" s="11" t="s">
        <v>665</v>
      </c>
      <c r="B161" t="s">
        <v>666</v>
      </c>
      <c r="C161" t="s">
        <v>667</v>
      </c>
      <c r="D161" s="4" t="s">
        <v>668</v>
      </c>
      <c r="E161" t="s">
        <v>669</v>
      </c>
      <c r="F161" s="88" t="s">
        <v>670</v>
      </c>
      <c r="G161" t="s">
        <v>475</v>
      </c>
      <c r="H161" t="s">
        <v>476</v>
      </c>
      <c r="I161" s="10">
        <v>0.1</v>
      </c>
      <c r="J161" s="10">
        <v>34.566667000000002</v>
      </c>
      <c r="K161">
        <v>150</v>
      </c>
      <c r="AV161" t="s">
        <v>671</v>
      </c>
      <c r="AW161">
        <v>100</v>
      </c>
      <c r="AX161" t="s">
        <v>480</v>
      </c>
      <c r="AY161">
        <v>4</v>
      </c>
      <c r="AZ161" t="s">
        <v>672</v>
      </c>
      <c r="BA161">
        <v>1994</v>
      </c>
      <c r="BB161">
        <v>1998</v>
      </c>
      <c r="BC161" t="s">
        <v>673</v>
      </c>
      <c r="BD161" s="10" t="s">
        <v>697</v>
      </c>
      <c r="BE161" t="s">
        <v>572</v>
      </c>
      <c r="BF161" s="3" t="s">
        <v>484</v>
      </c>
      <c r="BG161" t="s">
        <v>485</v>
      </c>
      <c r="BH161" t="s">
        <v>675</v>
      </c>
      <c r="BI161" s="4" t="s">
        <v>486</v>
      </c>
      <c r="BJ161" s="9">
        <v>53000</v>
      </c>
      <c r="EE161" s="4"/>
      <c r="EF161" s="9"/>
      <c r="EG161" s="9"/>
      <c r="EH161" s="9"/>
      <c r="EI161" s="9"/>
      <c r="EJ161" s="9"/>
      <c r="EK161" s="9"/>
      <c r="EL161" s="9"/>
      <c r="EM161" s="9"/>
      <c r="EN161" s="9"/>
      <c r="EO161" s="9"/>
      <c r="EP161" s="9"/>
      <c r="EQ161" s="9"/>
      <c r="ER161" s="9"/>
      <c r="ES161" s="9"/>
      <c r="ET161" s="9"/>
      <c r="EU161" s="9"/>
      <c r="EV161" s="9"/>
      <c r="EW161" s="9"/>
      <c r="EX161" s="9"/>
      <c r="EY161" s="9"/>
      <c r="EZ161" s="9"/>
      <c r="FA161" s="9"/>
      <c r="FB161" s="9"/>
      <c r="FC161" s="9"/>
      <c r="FD161" s="9"/>
      <c r="FE161" s="9"/>
      <c r="FF161" s="9"/>
      <c r="FG161" s="9"/>
      <c r="FH161" s="9"/>
      <c r="FI161" s="9"/>
      <c r="FJ161" s="9"/>
      <c r="FK161" s="9"/>
      <c r="FL161" s="9"/>
      <c r="FM161" s="9"/>
      <c r="FN161" s="9"/>
      <c r="FO161" s="9"/>
      <c r="FP161" s="9"/>
      <c r="FQ161" s="9"/>
      <c r="FR161" s="9"/>
      <c r="FS161" s="9"/>
      <c r="FT161" s="9"/>
      <c r="FU161" s="9"/>
      <c r="FV161" s="9"/>
      <c r="FW161" s="9"/>
      <c r="FX161" s="9"/>
      <c r="FY161" s="9"/>
      <c r="FZ161" s="9"/>
      <c r="GA161" s="9"/>
      <c r="GB161" s="9"/>
      <c r="GC161" s="9"/>
      <c r="GD161" s="9"/>
      <c r="GE161" s="9"/>
      <c r="GF161" s="9"/>
      <c r="GG161" s="9"/>
      <c r="GH161" s="9"/>
      <c r="GI161" s="9"/>
      <c r="GJ161" s="9"/>
      <c r="GK161" s="9"/>
      <c r="GL161" s="9"/>
      <c r="GM161" s="9"/>
      <c r="GN161" s="9"/>
      <c r="GO161" s="9"/>
      <c r="GP161" s="9"/>
      <c r="GQ161" s="9"/>
      <c r="GR161" s="9"/>
      <c r="GS161" s="9"/>
      <c r="GT161" s="9"/>
      <c r="GU161" s="9"/>
      <c r="GV161" s="9"/>
      <c r="GW161" s="9"/>
      <c r="GX161" s="9"/>
      <c r="GY161" s="9"/>
      <c r="GZ161" s="9"/>
      <c r="HA161" s="9"/>
      <c r="HB161" s="9"/>
      <c r="HC161" s="9"/>
      <c r="HD161" s="9"/>
      <c r="HE161" s="9"/>
      <c r="HF161" s="9"/>
      <c r="HG161" s="9"/>
      <c r="HH161" s="9"/>
      <c r="HI161" s="9"/>
      <c r="HJ161" s="9"/>
      <c r="HQ161" t="s">
        <v>677</v>
      </c>
      <c r="HS161" s="4" t="s">
        <v>490</v>
      </c>
      <c r="HT161" s="50">
        <v>34335</v>
      </c>
      <c r="HU161" s="50">
        <v>36160</v>
      </c>
      <c r="HV161" s="50"/>
      <c r="HW161" s="50"/>
      <c r="IO161" t="s">
        <v>698</v>
      </c>
      <c r="IP161" s="46" t="s">
        <v>699</v>
      </c>
      <c r="IS161">
        <v>1995</v>
      </c>
      <c r="IT161">
        <v>1995.2</v>
      </c>
      <c r="IU161" s="4" t="s">
        <v>544</v>
      </c>
      <c r="IV161" t="s">
        <v>700</v>
      </c>
      <c r="IW161" t="s">
        <v>492</v>
      </c>
      <c r="JA161">
        <v>0</v>
      </c>
      <c r="JB161">
        <v>0</v>
      </c>
      <c r="JC161">
        <v>0</v>
      </c>
      <c r="JD161">
        <v>0</v>
      </c>
      <c r="JE161">
        <v>0</v>
      </c>
      <c r="JF161">
        <v>0</v>
      </c>
      <c r="JG161">
        <v>0</v>
      </c>
      <c r="JH161">
        <v>0</v>
      </c>
      <c r="JI161">
        <v>0</v>
      </c>
      <c r="JK161" s="12" t="s">
        <v>682</v>
      </c>
      <c r="JP161" s="4"/>
      <c r="KF161" s="7" t="s">
        <v>500</v>
      </c>
      <c r="KJ161" s="7" t="s">
        <v>649</v>
      </c>
      <c r="KK161" s="7"/>
      <c r="MY161" t="s">
        <v>684</v>
      </c>
      <c r="MZ161">
        <v>42</v>
      </c>
      <c r="NB161" s="4" t="s">
        <v>789</v>
      </c>
      <c r="NJ161" t="s">
        <v>790</v>
      </c>
      <c r="NL161" s="4" t="s">
        <v>654</v>
      </c>
      <c r="NM161" s="6" t="s">
        <v>719</v>
      </c>
      <c r="NV161" t="s">
        <v>518</v>
      </c>
      <c r="NW161" s="5" t="s">
        <v>815</v>
      </c>
      <c r="NX161" s="4" t="s">
        <v>520</v>
      </c>
      <c r="NY161" s="3">
        <v>0.21261384510997017</v>
      </c>
      <c r="OB161">
        <v>4</v>
      </c>
      <c r="OU161" t="s">
        <v>813</v>
      </c>
      <c r="OW161">
        <v>1996</v>
      </c>
      <c r="OZ161" s="2" t="s">
        <v>709</v>
      </c>
      <c r="PB161" t="s">
        <v>522</v>
      </c>
      <c r="PC161" s="50">
        <v>46094</v>
      </c>
    </row>
    <row r="162" spans="1:419" ht="15.75" thickBot="1">
      <c r="A162" s="11" t="s">
        <v>665</v>
      </c>
      <c r="B162" t="s">
        <v>666</v>
      </c>
      <c r="C162" t="s">
        <v>667</v>
      </c>
      <c r="D162" s="4" t="s">
        <v>668</v>
      </c>
      <c r="E162" t="s">
        <v>669</v>
      </c>
      <c r="F162" s="88" t="s">
        <v>670</v>
      </c>
      <c r="G162" t="s">
        <v>475</v>
      </c>
      <c r="H162" t="s">
        <v>476</v>
      </c>
      <c r="I162" s="10">
        <v>0.1</v>
      </c>
      <c r="J162" s="10">
        <v>34.566667000000002</v>
      </c>
      <c r="K162">
        <v>150</v>
      </c>
      <c r="AV162" t="s">
        <v>671</v>
      </c>
      <c r="AW162">
        <v>100</v>
      </c>
      <c r="AX162" t="s">
        <v>480</v>
      </c>
      <c r="AY162">
        <v>4</v>
      </c>
      <c r="AZ162" t="s">
        <v>672</v>
      </c>
      <c r="BA162">
        <v>1994</v>
      </c>
      <c r="BB162">
        <v>1998</v>
      </c>
      <c r="BC162" t="s">
        <v>673</v>
      </c>
      <c r="BD162" s="10" t="s">
        <v>701</v>
      </c>
      <c r="BE162" t="s">
        <v>553</v>
      </c>
      <c r="BF162" s="3" t="s">
        <v>484</v>
      </c>
      <c r="BG162" t="s">
        <v>485</v>
      </c>
      <c r="BH162" t="s">
        <v>675</v>
      </c>
      <c r="BI162" s="4" t="s">
        <v>486</v>
      </c>
      <c r="BJ162" s="9">
        <v>53000</v>
      </c>
      <c r="EE162" s="4"/>
      <c r="EF162" s="9"/>
      <c r="EG162" s="9"/>
      <c r="EH162" s="9"/>
      <c r="EI162" s="9"/>
      <c r="EJ162" s="9"/>
      <c r="EK162" s="9"/>
      <c r="EL162" s="9"/>
      <c r="EM162" s="9"/>
      <c r="EN162" s="9"/>
      <c r="EO162" s="9"/>
      <c r="EP162" s="9"/>
      <c r="EQ162" s="9"/>
      <c r="ER162" s="9"/>
      <c r="ES162" s="9"/>
      <c r="ET162" s="9"/>
      <c r="EU162" s="9"/>
      <c r="EV162" s="9"/>
      <c r="EW162" s="9"/>
      <c r="EX162" s="9"/>
      <c r="EY162" s="9"/>
      <c r="EZ162" s="9"/>
      <c r="FA162" s="9"/>
      <c r="FB162" s="9"/>
      <c r="FC162" s="9"/>
      <c r="FD162" s="9"/>
      <c r="FE162" s="9"/>
      <c r="FF162" s="9"/>
      <c r="FG162" s="9"/>
      <c r="FH162" s="9"/>
      <c r="FI162" s="9"/>
      <c r="FJ162" s="9"/>
      <c r="FK162" s="9"/>
      <c r="FL162" s="9"/>
      <c r="FM162" s="9"/>
      <c r="FN162" s="9"/>
      <c r="FO162" s="9"/>
      <c r="FP162" s="9"/>
      <c r="FQ162" s="9"/>
      <c r="FR162" s="9"/>
      <c r="FS162" s="9"/>
      <c r="FT162" s="9"/>
      <c r="FU162" s="9"/>
      <c r="FV162" s="9"/>
      <c r="FW162" s="9"/>
      <c r="FX162" s="9"/>
      <c r="FY162" s="9"/>
      <c r="FZ162" s="9"/>
      <c r="GA162" s="9"/>
      <c r="GB162" s="9"/>
      <c r="GC162" s="9"/>
      <c r="GD162" s="9"/>
      <c r="GE162" s="9"/>
      <c r="GF162" s="9"/>
      <c r="GG162" s="9"/>
      <c r="GH162" s="9"/>
      <c r="GI162" s="9"/>
      <c r="GJ162" s="9"/>
      <c r="GK162" s="9"/>
      <c r="GL162" s="9"/>
      <c r="GM162" s="9"/>
      <c r="GN162" s="9"/>
      <c r="GO162" s="9"/>
      <c r="GP162" s="9"/>
      <c r="GQ162" s="9"/>
      <c r="GR162" s="9"/>
      <c r="GS162" s="9"/>
      <c r="GT162" s="9"/>
      <c r="GU162" s="9"/>
      <c r="GV162" s="9"/>
      <c r="GW162" s="9"/>
      <c r="GX162" s="9"/>
      <c r="GY162" s="9"/>
      <c r="GZ162" s="9"/>
      <c r="HA162" s="9"/>
      <c r="HB162" s="9"/>
      <c r="HC162" s="9"/>
      <c r="HD162" s="9"/>
      <c r="HE162" s="9"/>
      <c r="HF162" s="9"/>
      <c r="HG162" s="9"/>
      <c r="HH162" s="9"/>
      <c r="HI162" s="9"/>
      <c r="HJ162" s="9"/>
      <c r="HQ162" t="s">
        <v>677</v>
      </c>
      <c r="HS162" s="4" t="s">
        <v>490</v>
      </c>
      <c r="HT162" s="50">
        <v>34335</v>
      </c>
      <c r="HU162" s="50">
        <v>36160</v>
      </c>
      <c r="HV162" s="50"/>
      <c r="HW162" s="50"/>
      <c r="IO162" t="s">
        <v>702</v>
      </c>
      <c r="IP162" s="13" t="s">
        <v>703</v>
      </c>
      <c r="IS162">
        <v>1994</v>
      </c>
      <c r="IT162">
        <v>1994.2</v>
      </c>
      <c r="IU162" s="4" t="s">
        <v>544</v>
      </c>
      <c r="IV162" t="s">
        <v>700</v>
      </c>
      <c r="IW162" t="s">
        <v>492</v>
      </c>
      <c r="JA162">
        <v>0</v>
      </c>
      <c r="JB162">
        <v>0</v>
      </c>
      <c r="JC162">
        <v>0</v>
      </c>
      <c r="JD162">
        <v>0</v>
      </c>
      <c r="JE162">
        <v>0</v>
      </c>
      <c r="JF162">
        <v>0</v>
      </c>
      <c r="JG162">
        <v>0</v>
      </c>
      <c r="JH162">
        <v>0</v>
      </c>
      <c r="JI162">
        <v>0</v>
      </c>
      <c r="JK162" s="12" t="s">
        <v>682</v>
      </c>
      <c r="JP162" s="4"/>
      <c r="KF162" s="7" t="s">
        <v>500</v>
      </c>
      <c r="KJ162" s="7" t="s">
        <v>649</v>
      </c>
      <c r="KK162" s="7"/>
      <c r="MY162" t="s">
        <v>684</v>
      </c>
      <c r="MZ162">
        <v>42</v>
      </c>
      <c r="NB162" s="4" t="s">
        <v>789</v>
      </c>
      <c r="NJ162" t="s">
        <v>790</v>
      </c>
      <c r="NL162" s="4" t="s">
        <v>654</v>
      </c>
      <c r="NM162" s="6" t="s">
        <v>719</v>
      </c>
      <c r="NV162" t="s">
        <v>518</v>
      </c>
      <c r="NW162" s="5" t="s">
        <v>816</v>
      </c>
      <c r="NX162" s="4" t="s">
        <v>520</v>
      </c>
      <c r="NY162" s="3">
        <v>0.21330891398247021</v>
      </c>
      <c r="OB162">
        <v>4</v>
      </c>
      <c r="OU162" t="s">
        <v>813</v>
      </c>
      <c r="OW162">
        <v>1996</v>
      </c>
      <c r="OZ162" s="2" t="s">
        <v>709</v>
      </c>
      <c r="PB162" t="s">
        <v>522</v>
      </c>
      <c r="PC162" s="50">
        <v>46094</v>
      </c>
    </row>
    <row r="163" spans="1:419" ht="15.75" thickBot="1">
      <c r="A163" s="11" t="s">
        <v>665</v>
      </c>
      <c r="B163" t="s">
        <v>666</v>
      </c>
      <c r="C163" t="s">
        <v>667</v>
      </c>
      <c r="D163" s="4" t="s">
        <v>668</v>
      </c>
      <c r="E163" t="s">
        <v>669</v>
      </c>
      <c r="F163" s="88" t="s">
        <v>670</v>
      </c>
      <c r="G163" t="s">
        <v>475</v>
      </c>
      <c r="H163" t="s">
        <v>476</v>
      </c>
      <c r="I163" s="10">
        <v>0.1</v>
      </c>
      <c r="J163" s="10">
        <v>34.566667000000002</v>
      </c>
      <c r="K163">
        <v>150</v>
      </c>
      <c r="AV163" t="s">
        <v>671</v>
      </c>
      <c r="AW163">
        <v>100</v>
      </c>
      <c r="AX163" t="s">
        <v>480</v>
      </c>
      <c r="AY163">
        <v>4</v>
      </c>
      <c r="AZ163" t="s">
        <v>672</v>
      </c>
      <c r="BA163">
        <v>1994</v>
      </c>
      <c r="BB163">
        <v>1998</v>
      </c>
      <c r="BC163" t="s">
        <v>673</v>
      </c>
      <c r="BD163" s="10" t="s">
        <v>704</v>
      </c>
      <c r="BE163" t="s">
        <v>524</v>
      </c>
      <c r="BF163" s="3" t="s">
        <v>484</v>
      </c>
      <c r="BG163" t="s">
        <v>485</v>
      </c>
      <c r="BH163" t="s">
        <v>675</v>
      </c>
      <c r="BI163" s="4" t="s">
        <v>486</v>
      </c>
      <c r="BJ163" s="9">
        <v>53000</v>
      </c>
      <c r="HQ163" t="s">
        <v>677</v>
      </c>
      <c r="HS163" s="4" t="s">
        <v>490</v>
      </c>
      <c r="HT163" s="50">
        <v>34335</v>
      </c>
      <c r="HU163" s="50">
        <v>36160</v>
      </c>
      <c r="HV163" s="50"/>
      <c r="HW163" s="50"/>
      <c r="IO163" t="s">
        <v>700</v>
      </c>
      <c r="IP163" s="46" t="s">
        <v>492</v>
      </c>
      <c r="IU163" s="4" t="s">
        <v>544</v>
      </c>
      <c r="IV163" t="s">
        <v>700</v>
      </c>
      <c r="IW163" s="46" t="s">
        <v>492</v>
      </c>
      <c r="JA163">
        <v>0</v>
      </c>
      <c r="JB163">
        <v>0</v>
      </c>
      <c r="JC163">
        <v>0</v>
      </c>
      <c r="JD163">
        <v>0</v>
      </c>
      <c r="JE163">
        <v>0</v>
      </c>
      <c r="JF163">
        <v>0</v>
      </c>
      <c r="JG163">
        <v>0</v>
      </c>
      <c r="JH163">
        <v>0</v>
      </c>
      <c r="JI163">
        <v>0</v>
      </c>
      <c r="JK163" s="12" t="s">
        <v>682</v>
      </c>
      <c r="JP163" s="4"/>
      <c r="KF163" s="7" t="s">
        <v>500</v>
      </c>
      <c r="KJ163" s="7" t="s">
        <v>649</v>
      </c>
      <c r="KK163" s="7"/>
      <c r="MY163" t="s">
        <v>684</v>
      </c>
      <c r="MZ163">
        <v>42</v>
      </c>
      <c r="NB163" s="4" t="s">
        <v>789</v>
      </c>
      <c r="NJ163" t="s">
        <v>790</v>
      </c>
      <c r="NL163" s="4" t="s">
        <v>654</v>
      </c>
      <c r="NM163" s="6" t="s">
        <v>719</v>
      </c>
      <c r="NU163" t="s">
        <v>517</v>
      </c>
      <c r="NV163" t="s">
        <v>518</v>
      </c>
      <c r="NW163" s="5" t="s">
        <v>817</v>
      </c>
      <c r="NX163" s="4" t="s">
        <v>520</v>
      </c>
      <c r="NY163" s="3">
        <v>8.5107321943770131E-2</v>
      </c>
      <c r="OB163">
        <v>4</v>
      </c>
      <c r="OU163" t="s">
        <v>813</v>
      </c>
      <c r="OW163">
        <v>1996</v>
      </c>
      <c r="OZ163" s="2" t="s">
        <v>709</v>
      </c>
      <c r="PB163" t="s">
        <v>522</v>
      </c>
      <c r="PC163" s="50">
        <v>46094</v>
      </c>
    </row>
    <row r="164" spans="1:419" ht="15.75" thickBot="1">
      <c r="A164" s="11" t="s">
        <v>665</v>
      </c>
      <c r="B164" t="s">
        <v>666</v>
      </c>
      <c r="C164" t="s">
        <v>667</v>
      </c>
      <c r="D164" s="4" t="s">
        <v>668</v>
      </c>
      <c r="E164" t="s">
        <v>669</v>
      </c>
      <c r="F164" s="88" t="s">
        <v>670</v>
      </c>
      <c r="G164" t="s">
        <v>475</v>
      </c>
      <c r="H164" t="s">
        <v>476</v>
      </c>
      <c r="I164" s="10">
        <v>0.1</v>
      </c>
      <c r="J164" s="10">
        <v>34.566667000000002</v>
      </c>
      <c r="K164">
        <v>150</v>
      </c>
      <c r="AV164" t="s">
        <v>671</v>
      </c>
      <c r="AW164">
        <v>100</v>
      </c>
      <c r="AX164" t="s">
        <v>480</v>
      </c>
      <c r="AY164">
        <v>4</v>
      </c>
      <c r="AZ164" t="s">
        <v>672</v>
      </c>
      <c r="BA164">
        <v>1994</v>
      </c>
      <c r="BB164">
        <v>1998</v>
      </c>
      <c r="BC164" t="s">
        <v>673</v>
      </c>
      <c r="BD164" s="10" t="s">
        <v>705</v>
      </c>
      <c r="BE164" t="s">
        <v>483</v>
      </c>
      <c r="BF164" s="3" t="s">
        <v>484</v>
      </c>
      <c r="BG164" t="s">
        <v>485</v>
      </c>
      <c r="BH164" t="s">
        <v>675</v>
      </c>
      <c r="BI164" s="4" t="s">
        <v>486</v>
      </c>
      <c r="BJ164" s="9">
        <v>53000</v>
      </c>
      <c r="HQ164" t="s">
        <v>677</v>
      </c>
      <c r="HS164" s="4" t="s">
        <v>490</v>
      </c>
      <c r="HT164" s="50">
        <v>34335</v>
      </c>
      <c r="HU164" s="50">
        <v>36160</v>
      </c>
      <c r="HV164" s="50"/>
      <c r="HW164" s="50"/>
      <c r="IO164" t="s">
        <v>706</v>
      </c>
      <c r="IP164" s="46" t="s">
        <v>492</v>
      </c>
      <c r="IU164" s="4" t="s">
        <v>544</v>
      </c>
      <c r="IV164" t="s">
        <v>707</v>
      </c>
      <c r="IW164" s="46" t="s">
        <v>492</v>
      </c>
      <c r="JA164">
        <v>0</v>
      </c>
      <c r="JB164">
        <v>0</v>
      </c>
      <c r="JC164">
        <v>0</v>
      </c>
      <c r="JD164">
        <v>0</v>
      </c>
      <c r="JE164">
        <v>0</v>
      </c>
      <c r="JF164">
        <v>0</v>
      </c>
      <c r="JG164">
        <v>0</v>
      </c>
      <c r="JH164">
        <v>0</v>
      </c>
      <c r="JI164">
        <v>0</v>
      </c>
      <c r="JJ164" t="s">
        <v>706</v>
      </c>
      <c r="JK164" t="s">
        <v>494</v>
      </c>
      <c r="JL164" s="8" t="s">
        <v>495</v>
      </c>
      <c r="JP164" s="4" t="s">
        <v>508</v>
      </c>
      <c r="JQ164">
        <v>60</v>
      </c>
      <c r="JT164">
        <v>60</v>
      </c>
      <c r="KF164" s="7" t="s">
        <v>500</v>
      </c>
      <c r="KJ164" s="7" t="s">
        <v>649</v>
      </c>
      <c r="KK164" s="7"/>
      <c r="MY164" t="s">
        <v>684</v>
      </c>
      <c r="MZ164">
        <v>42</v>
      </c>
      <c r="NB164" s="4" t="s">
        <v>789</v>
      </c>
      <c r="NJ164" t="s">
        <v>790</v>
      </c>
      <c r="NL164" s="4" t="s">
        <v>654</v>
      </c>
      <c r="NM164" s="6" t="s">
        <v>719</v>
      </c>
      <c r="NU164" t="s">
        <v>708</v>
      </c>
      <c r="NV164" t="s">
        <v>518</v>
      </c>
      <c r="NW164" s="5" t="s">
        <v>818</v>
      </c>
      <c r="NX164" s="4" t="s">
        <v>520</v>
      </c>
      <c r="NY164" s="3">
        <v>0.12781544266508993</v>
      </c>
      <c r="OB164">
        <v>4</v>
      </c>
      <c r="OU164" t="s">
        <v>813</v>
      </c>
      <c r="OW164">
        <v>1996</v>
      </c>
      <c r="OZ164" s="2" t="s">
        <v>709</v>
      </c>
      <c r="PB164" t="s">
        <v>522</v>
      </c>
      <c r="PC164" s="50">
        <v>46094</v>
      </c>
    </row>
    <row r="165" spans="1:419" ht="15.75" thickBot="1">
      <c r="A165" s="11" t="s">
        <v>665</v>
      </c>
      <c r="B165" t="s">
        <v>666</v>
      </c>
      <c r="C165" t="s">
        <v>667</v>
      </c>
      <c r="D165" s="4" t="s">
        <v>668</v>
      </c>
      <c r="E165" t="s">
        <v>669</v>
      </c>
      <c r="F165" s="88" t="s">
        <v>670</v>
      </c>
      <c r="G165" t="s">
        <v>475</v>
      </c>
      <c r="H165" t="s">
        <v>476</v>
      </c>
      <c r="I165" s="10">
        <v>0.1</v>
      </c>
      <c r="J165" s="10">
        <v>34.566667000000002</v>
      </c>
      <c r="K165">
        <v>150</v>
      </c>
      <c r="AV165" t="s">
        <v>671</v>
      </c>
      <c r="AW165">
        <v>100</v>
      </c>
      <c r="AX165" t="s">
        <v>480</v>
      </c>
      <c r="AY165">
        <v>4</v>
      </c>
      <c r="AZ165" t="s">
        <v>672</v>
      </c>
      <c r="BA165">
        <v>1994</v>
      </c>
      <c r="BB165">
        <v>1998</v>
      </c>
      <c r="BC165" t="s">
        <v>673</v>
      </c>
      <c r="BD165" s="10" t="s">
        <v>674</v>
      </c>
      <c r="BE165" t="s">
        <v>536</v>
      </c>
      <c r="BF165" s="3" t="s">
        <v>484</v>
      </c>
      <c r="BG165" t="s">
        <v>485</v>
      </c>
      <c r="BH165" t="s">
        <v>675</v>
      </c>
      <c r="BI165" s="4" t="s">
        <v>486</v>
      </c>
      <c r="BJ165" s="9">
        <v>53000</v>
      </c>
      <c r="ED165" t="s">
        <v>676</v>
      </c>
      <c r="EE165" s="4" t="s">
        <v>486</v>
      </c>
      <c r="EF165" s="9">
        <v>53000</v>
      </c>
      <c r="EG165" s="9"/>
      <c r="EH165" s="9"/>
      <c r="EI165" s="9"/>
      <c r="EJ165" s="9"/>
      <c r="EK165" s="9"/>
      <c r="EL165" s="9"/>
      <c r="EM165" s="9"/>
      <c r="EN165" s="9"/>
      <c r="EO165" s="9"/>
      <c r="EP165" s="9"/>
      <c r="EQ165" s="9"/>
      <c r="ER165" s="9"/>
      <c r="ES165" s="9"/>
      <c r="ET165" s="9"/>
      <c r="EU165" s="9"/>
      <c r="EV165" s="9"/>
      <c r="EW165" s="9"/>
      <c r="EX165" s="9"/>
      <c r="EY165" s="9"/>
      <c r="EZ165" s="9"/>
      <c r="FA165" s="9"/>
      <c r="FB165" s="9"/>
      <c r="FC165" s="9"/>
      <c r="FD165" s="9"/>
      <c r="FE165" s="9"/>
      <c r="FF165" s="9"/>
      <c r="FG165" s="9"/>
      <c r="FH165" s="9"/>
      <c r="FI165" s="9"/>
      <c r="FJ165" s="9"/>
      <c r="FK165" s="9"/>
      <c r="FL165" s="9"/>
      <c r="FM165" s="9"/>
      <c r="FN165" s="9"/>
      <c r="FO165" s="9"/>
      <c r="FP165" s="9"/>
      <c r="FQ165" s="9"/>
      <c r="FR165" s="9"/>
      <c r="FS165" s="9"/>
      <c r="FT165" s="9"/>
      <c r="FU165" s="9"/>
      <c r="FV165" s="9"/>
      <c r="FW165" s="9"/>
      <c r="FX165" s="9"/>
      <c r="FY165" s="9"/>
      <c r="FZ165" s="9"/>
      <c r="GA165" s="9"/>
      <c r="GB165" s="9"/>
      <c r="GC165" s="9"/>
      <c r="GD165" s="9"/>
      <c r="GE165" s="9"/>
      <c r="GF165" s="9"/>
      <c r="GG165" s="9"/>
      <c r="GH165" s="9"/>
      <c r="GI165" s="9"/>
      <c r="GJ165" s="9"/>
      <c r="GK165" s="9"/>
      <c r="GL165" s="9"/>
      <c r="GM165" s="9"/>
      <c r="GN165" s="9"/>
      <c r="GO165" s="9"/>
      <c r="GP165" s="9"/>
      <c r="GQ165" s="9"/>
      <c r="GR165" s="9"/>
      <c r="GS165" s="9"/>
      <c r="GT165" s="9"/>
      <c r="GU165" s="9"/>
      <c r="GV165" s="9"/>
      <c r="GW165" s="9"/>
      <c r="GX165" s="9"/>
      <c r="GY165" s="9"/>
      <c r="GZ165" s="9"/>
      <c r="HA165" s="9"/>
      <c r="HB165" s="9"/>
      <c r="HC165" s="9"/>
      <c r="HD165" s="9"/>
      <c r="HE165" s="9"/>
      <c r="HF165" s="9"/>
      <c r="HG165" s="9"/>
      <c r="HH165" s="9"/>
      <c r="HI165" s="9"/>
      <c r="HJ165" s="9"/>
      <c r="HQ165" t="s">
        <v>677</v>
      </c>
      <c r="HS165" s="4" t="s">
        <v>490</v>
      </c>
      <c r="HT165" s="50">
        <v>34335</v>
      </c>
      <c r="HU165" s="50">
        <v>36160</v>
      </c>
      <c r="HV165" s="50"/>
      <c r="HW165" s="50"/>
      <c r="IN165" s="4"/>
      <c r="IO165" t="s">
        <v>678</v>
      </c>
      <c r="IP165" s="12" t="s">
        <v>679</v>
      </c>
      <c r="IS165">
        <v>1995</v>
      </c>
      <c r="IT165">
        <v>1995.2</v>
      </c>
      <c r="IU165" s="4" t="s">
        <v>544</v>
      </c>
      <c r="IV165" t="s">
        <v>680</v>
      </c>
      <c r="IW165" s="12" t="s">
        <v>681</v>
      </c>
      <c r="IZ165">
        <v>0.5</v>
      </c>
      <c r="JA165" t="s">
        <v>480</v>
      </c>
      <c r="JB165" t="s">
        <v>480</v>
      </c>
      <c r="JC165" t="s">
        <v>480</v>
      </c>
      <c r="JD165" t="s">
        <v>480</v>
      </c>
      <c r="JE165" t="s">
        <v>480</v>
      </c>
      <c r="JF165" t="s">
        <v>480</v>
      </c>
      <c r="JG165" t="s">
        <v>480</v>
      </c>
      <c r="JH165" t="s">
        <v>480</v>
      </c>
      <c r="JI165" t="s">
        <v>480</v>
      </c>
      <c r="JK165" s="12" t="s">
        <v>682</v>
      </c>
      <c r="JP165" s="4"/>
      <c r="KF165" s="7" t="s">
        <v>500</v>
      </c>
      <c r="KJ165" s="7" t="s">
        <v>683</v>
      </c>
      <c r="KK165" s="7" t="s">
        <v>562</v>
      </c>
      <c r="KL165" t="s">
        <v>480</v>
      </c>
      <c r="KM165" t="s">
        <v>480</v>
      </c>
      <c r="MY165" t="s">
        <v>684</v>
      </c>
      <c r="MZ165">
        <v>42</v>
      </c>
      <c r="NB165" s="4" t="s">
        <v>789</v>
      </c>
      <c r="NJ165" t="s">
        <v>790</v>
      </c>
      <c r="NL165" s="4" t="s">
        <v>654</v>
      </c>
      <c r="NM165" s="6" t="s">
        <v>719</v>
      </c>
      <c r="NV165" t="s">
        <v>518</v>
      </c>
      <c r="NW165" s="5" t="s">
        <v>819</v>
      </c>
      <c r="NX165" s="4" t="s">
        <v>520</v>
      </c>
      <c r="NY165" s="3">
        <v>0.16982849451392013</v>
      </c>
      <c r="OB165">
        <v>4</v>
      </c>
      <c r="OU165" t="s">
        <v>820</v>
      </c>
      <c r="OW165">
        <v>1997</v>
      </c>
      <c r="OZ165" s="2" t="s">
        <v>709</v>
      </c>
      <c r="PB165" t="s">
        <v>522</v>
      </c>
      <c r="PC165" s="50">
        <v>46094</v>
      </c>
    </row>
    <row r="166" spans="1:419" ht="15.75" thickBot="1">
      <c r="A166" s="11" t="s">
        <v>665</v>
      </c>
      <c r="B166" t="s">
        <v>666</v>
      </c>
      <c r="C166" t="s">
        <v>667</v>
      </c>
      <c r="D166" s="4" t="s">
        <v>668</v>
      </c>
      <c r="E166" t="s">
        <v>669</v>
      </c>
      <c r="F166" s="88" t="s">
        <v>670</v>
      </c>
      <c r="G166" t="s">
        <v>475</v>
      </c>
      <c r="H166" t="s">
        <v>476</v>
      </c>
      <c r="I166" s="10">
        <v>0.1</v>
      </c>
      <c r="J166" s="10">
        <v>34.566667000000002</v>
      </c>
      <c r="K166">
        <v>150</v>
      </c>
      <c r="AV166" t="s">
        <v>671</v>
      </c>
      <c r="AW166">
        <v>100</v>
      </c>
      <c r="AX166" t="s">
        <v>480</v>
      </c>
      <c r="AY166">
        <v>4</v>
      </c>
      <c r="AZ166" t="s">
        <v>672</v>
      </c>
      <c r="BA166">
        <v>1994</v>
      </c>
      <c r="BB166">
        <v>1998</v>
      </c>
      <c r="BC166" t="s">
        <v>673</v>
      </c>
      <c r="BD166" s="10" t="s">
        <v>693</v>
      </c>
      <c r="BE166" t="s">
        <v>566</v>
      </c>
      <c r="BF166" s="3" t="s">
        <v>484</v>
      </c>
      <c r="BG166" t="s">
        <v>485</v>
      </c>
      <c r="BH166" t="s">
        <v>675</v>
      </c>
      <c r="BI166" s="4" t="s">
        <v>486</v>
      </c>
      <c r="BJ166" s="9">
        <v>53000</v>
      </c>
      <c r="ED166" t="s">
        <v>676</v>
      </c>
      <c r="EE166" s="4" t="s">
        <v>486</v>
      </c>
      <c r="EF166" s="9">
        <v>53000</v>
      </c>
      <c r="EG166" s="9"/>
      <c r="EH166" s="9"/>
      <c r="EI166" s="9"/>
      <c r="EJ166" s="9"/>
      <c r="EK166" s="9"/>
      <c r="EL166" s="9"/>
      <c r="EM166" s="9"/>
      <c r="EN166" s="9"/>
      <c r="EO166" s="9"/>
      <c r="EP166" s="9"/>
      <c r="EQ166" s="9"/>
      <c r="ER166" s="9"/>
      <c r="ES166" s="9"/>
      <c r="ET166" s="9"/>
      <c r="EU166" s="9"/>
      <c r="EV166" s="9"/>
      <c r="EW166" s="9"/>
      <c r="EX166" s="9"/>
      <c r="EY166" s="9"/>
      <c r="EZ166" s="9"/>
      <c r="FA166" s="9"/>
      <c r="FB166" s="9"/>
      <c r="FC166" s="9"/>
      <c r="FD166" s="9"/>
      <c r="FE166" s="9"/>
      <c r="FF166" s="9"/>
      <c r="FG166" s="9"/>
      <c r="FH166" s="9"/>
      <c r="FI166" s="9"/>
      <c r="FJ166" s="9"/>
      <c r="FK166" s="9"/>
      <c r="FL166" s="9"/>
      <c r="FM166" s="9"/>
      <c r="FN166" s="9"/>
      <c r="FO166" s="9"/>
      <c r="FP166" s="9"/>
      <c r="FQ166" s="9"/>
      <c r="FR166" s="9"/>
      <c r="FS166" s="9"/>
      <c r="FT166" s="9"/>
      <c r="FU166" s="9"/>
      <c r="FV166" s="9"/>
      <c r="FW166" s="9"/>
      <c r="FX166" s="9"/>
      <c r="FY166" s="9"/>
      <c r="FZ166" s="9"/>
      <c r="GA166" s="9"/>
      <c r="GB166" s="9"/>
      <c r="GC166" s="9"/>
      <c r="GD166" s="9"/>
      <c r="GE166" s="9"/>
      <c r="GF166" s="9"/>
      <c r="GG166" s="9"/>
      <c r="GH166" s="9"/>
      <c r="GI166" s="9"/>
      <c r="GJ166" s="9"/>
      <c r="GK166" s="9"/>
      <c r="GL166" s="9"/>
      <c r="GM166" s="9"/>
      <c r="GN166" s="9"/>
      <c r="GO166" s="9"/>
      <c r="GP166" s="9"/>
      <c r="GQ166" s="9"/>
      <c r="GR166" s="9"/>
      <c r="GS166" s="9"/>
      <c r="GT166" s="9"/>
      <c r="GU166" s="9"/>
      <c r="GV166" s="9"/>
      <c r="GW166" s="9"/>
      <c r="GX166" s="9"/>
      <c r="GY166" s="9"/>
      <c r="GZ166" s="9"/>
      <c r="HA166" s="9"/>
      <c r="HB166" s="9"/>
      <c r="HC166" s="9"/>
      <c r="HD166" s="9"/>
      <c r="HE166" s="9"/>
      <c r="HF166" s="9"/>
      <c r="HG166" s="9"/>
      <c r="HH166" s="9"/>
      <c r="HI166" s="9"/>
      <c r="HJ166" s="9"/>
      <c r="HQ166" t="s">
        <v>677</v>
      </c>
      <c r="HS166" s="4" t="s">
        <v>490</v>
      </c>
      <c r="HT166" s="50">
        <v>34335</v>
      </c>
      <c r="HU166" s="50">
        <v>36160</v>
      </c>
      <c r="HV166" s="50"/>
      <c r="HW166" s="50"/>
      <c r="IN166" s="4"/>
      <c r="IO166" t="s">
        <v>694</v>
      </c>
      <c r="IP166" s="12" t="s">
        <v>695</v>
      </c>
      <c r="IS166">
        <v>1994</v>
      </c>
      <c r="IT166">
        <v>1994.2</v>
      </c>
      <c r="IU166" s="4" t="s">
        <v>544</v>
      </c>
      <c r="IV166" t="s">
        <v>696</v>
      </c>
      <c r="IW166" s="12" t="s">
        <v>681</v>
      </c>
      <c r="IZ166">
        <v>0.5</v>
      </c>
      <c r="JA166" t="s">
        <v>480</v>
      </c>
      <c r="JB166" t="s">
        <v>480</v>
      </c>
      <c r="JC166" t="s">
        <v>480</v>
      </c>
      <c r="JD166" t="s">
        <v>480</v>
      </c>
      <c r="JE166" t="s">
        <v>480</v>
      </c>
      <c r="JF166" t="s">
        <v>480</v>
      </c>
      <c r="JG166" t="s">
        <v>480</v>
      </c>
      <c r="JH166" t="s">
        <v>480</v>
      </c>
      <c r="JI166" t="s">
        <v>480</v>
      </c>
      <c r="JK166" s="12" t="s">
        <v>682</v>
      </c>
      <c r="JP166" s="4"/>
      <c r="KF166" s="7" t="s">
        <v>500</v>
      </c>
      <c r="KJ166" s="7" t="s">
        <v>683</v>
      </c>
      <c r="KK166" s="7" t="s">
        <v>562</v>
      </c>
      <c r="KL166" t="s">
        <v>480</v>
      </c>
      <c r="KM166" t="s">
        <v>480</v>
      </c>
      <c r="MY166" t="s">
        <v>684</v>
      </c>
      <c r="MZ166">
        <v>42</v>
      </c>
      <c r="NB166" s="4" t="s">
        <v>789</v>
      </c>
      <c r="NJ166" t="s">
        <v>790</v>
      </c>
      <c r="NL166" s="4" t="s">
        <v>654</v>
      </c>
      <c r="NM166" s="6" t="s">
        <v>719</v>
      </c>
      <c r="NV166" t="s">
        <v>518</v>
      </c>
      <c r="NW166" s="5" t="s">
        <v>821</v>
      </c>
      <c r="NX166" s="4" t="s">
        <v>520</v>
      </c>
      <c r="NY166" s="3">
        <v>8.5030092069049878E-2</v>
      </c>
      <c r="OB166">
        <v>4</v>
      </c>
      <c r="OU166" t="s">
        <v>820</v>
      </c>
      <c r="OW166">
        <v>1997</v>
      </c>
      <c r="OZ166" s="2" t="s">
        <v>709</v>
      </c>
      <c r="PB166" t="s">
        <v>522</v>
      </c>
      <c r="PC166" s="50">
        <v>46094</v>
      </c>
    </row>
    <row r="167" spans="1:419" ht="15.75" thickBot="1">
      <c r="A167" s="11" t="s">
        <v>665</v>
      </c>
      <c r="B167" t="s">
        <v>666</v>
      </c>
      <c r="C167" t="s">
        <v>667</v>
      </c>
      <c r="D167" s="4" t="s">
        <v>668</v>
      </c>
      <c r="E167" t="s">
        <v>669</v>
      </c>
      <c r="F167" s="88" t="s">
        <v>670</v>
      </c>
      <c r="G167" t="s">
        <v>475</v>
      </c>
      <c r="H167" t="s">
        <v>476</v>
      </c>
      <c r="I167" s="10">
        <v>0.1</v>
      </c>
      <c r="J167" s="10">
        <v>34.566667000000002</v>
      </c>
      <c r="K167">
        <v>150</v>
      </c>
      <c r="AV167" t="s">
        <v>671</v>
      </c>
      <c r="AW167">
        <v>100</v>
      </c>
      <c r="AX167" t="s">
        <v>480</v>
      </c>
      <c r="AY167">
        <v>4</v>
      </c>
      <c r="AZ167" t="s">
        <v>672</v>
      </c>
      <c r="BA167">
        <v>1994</v>
      </c>
      <c r="BB167">
        <v>1998</v>
      </c>
      <c r="BC167" t="s">
        <v>673</v>
      </c>
      <c r="BD167" s="10" t="s">
        <v>697</v>
      </c>
      <c r="BE167" t="s">
        <v>572</v>
      </c>
      <c r="BF167" s="3" t="s">
        <v>484</v>
      </c>
      <c r="BG167" t="s">
        <v>485</v>
      </c>
      <c r="BH167" t="s">
        <v>675</v>
      </c>
      <c r="BI167" s="4" t="s">
        <v>486</v>
      </c>
      <c r="BJ167" s="9">
        <v>53000</v>
      </c>
      <c r="EE167" s="4"/>
      <c r="EF167" s="9"/>
      <c r="EG167" s="9"/>
      <c r="EH167" s="9"/>
      <c r="EI167" s="9"/>
      <c r="EJ167" s="9"/>
      <c r="EK167" s="9"/>
      <c r="EL167" s="9"/>
      <c r="EM167" s="9"/>
      <c r="EN167" s="9"/>
      <c r="EO167" s="9"/>
      <c r="EP167" s="9"/>
      <c r="EQ167" s="9"/>
      <c r="ER167" s="9"/>
      <c r="ES167" s="9"/>
      <c r="ET167" s="9"/>
      <c r="EU167" s="9"/>
      <c r="EV167" s="9"/>
      <c r="EW167" s="9"/>
      <c r="EX167" s="9"/>
      <c r="EY167" s="9"/>
      <c r="EZ167" s="9"/>
      <c r="FA167" s="9"/>
      <c r="FB167" s="9"/>
      <c r="FC167" s="9"/>
      <c r="FD167" s="9"/>
      <c r="FE167" s="9"/>
      <c r="FF167" s="9"/>
      <c r="FG167" s="9"/>
      <c r="FH167" s="9"/>
      <c r="FI167" s="9"/>
      <c r="FJ167" s="9"/>
      <c r="FK167" s="9"/>
      <c r="FL167" s="9"/>
      <c r="FM167" s="9"/>
      <c r="FN167" s="9"/>
      <c r="FO167" s="9"/>
      <c r="FP167" s="9"/>
      <c r="FQ167" s="9"/>
      <c r="FR167" s="9"/>
      <c r="FS167" s="9"/>
      <c r="FT167" s="9"/>
      <c r="FU167" s="9"/>
      <c r="FV167" s="9"/>
      <c r="FW167" s="9"/>
      <c r="FX167" s="9"/>
      <c r="FY167" s="9"/>
      <c r="FZ167" s="9"/>
      <c r="GA167" s="9"/>
      <c r="GB167" s="9"/>
      <c r="GC167" s="9"/>
      <c r="GD167" s="9"/>
      <c r="GE167" s="9"/>
      <c r="GF167" s="9"/>
      <c r="GG167" s="9"/>
      <c r="GH167" s="9"/>
      <c r="GI167" s="9"/>
      <c r="GJ167" s="9"/>
      <c r="GK167" s="9"/>
      <c r="GL167" s="9"/>
      <c r="GM167" s="9"/>
      <c r="GN167" s="9"/>
      <c r="GO167" s="9"/>
      <c r="GP167" s="9"/>
      <c r="GQ167" s="9"/>
      <c r="GR167" s="9"/>
      <c r="GS167" s="9"/>
      <c r="GT167" s="9"/>
      <c r="GU167" s="9"/>
      <c r="GV167" s="9"/>
      <c r="GW167" s="9"/>
      <c r="GX167" s="9"/>
      <c r="GY167" s="9"/>
      <c r="GZ167" s="9"/>
      <c r="HA167" s="9"/>
      <c r="HB167" s="9"/>
      <c r="HC167" s="9"/>
      <c r="HD167" s="9"/>
      <c r="HE167" s="9"/>
      <c r="HF167" s="9"/>
      <c r="HG167" s="9"/>
      <c r="HH167" s="9"/>
      <c r="HI167" s="9"/>
      <c r="HJ167" s="9"/>
      <c r="HQ167" t="s">
        <v>677</v>
      </c>
      <c r="HS167" s="4" t="s">
        <v>490</v>
      </c>
      <c r="HT167" s="50">
        <v>34335</v>
      </c>
      <c r="HU167" s="50">
        <v>36160</v>
      </c>
      <c r="HV167" s="50"/>
      <c r="HW167" s="50"/>
      <c r="IO167" t="s">
        <v>698</v>
      </c>
      <c r="IP167" s="46" t="s">
        <v>699</v>
      </c>
      <c r="IS167">
        <v>1995</v>
      </c>
      <c r="IT167">
        <v>1995.2</v>
      </c>
      <c r="IU167" s="4" t="s">
        <v>544</v>
      </c>
      <c r="IV167" t="s">
        <v>700</v>
      </c>
      <c r="IW167" t="s">
        <v>492</v>
      </c>
      <c r="JA167">
        <v>0</v>
      </c>
      <c r="JB167">
        <v>0</v>
      </c>
      <c r="JC167">
        <v>0</v>
      </c>
      <c r="JD167">
        <v>0</v>
      </c>
      <c r="JE167">
        <v>0</v>
      </c>
      <c r="JF167">
        <v>0</v>
      </c>
      <c r="JG167">
        <v>0</v>
      </c>
      <c r="JH167">
        <v>0</v>
      </c>
      <c r="JI167">
        <v>0</v>
      </c>
      <c r="JK167" s="12" t="s">
        <v>682</v>
      </c>
      <c r="JP167" s="4"/>
      <c r="KF167" s="7" t="s">
        <v>500</v>
      </c>
      <c r="KJ167" s="7" t="s">
        <v>649</v>
      </c>
      <c r="KK167" s="7"/>
      <c r="MY167" t="s">
        <v>684</v>
      </c>
      <c r="MZ167">
        <v>42</v>
      </c>
      <c r="NB167" s="4" t="s">
        <v>789</v>
      </c>
      <c r="NJ167" t="s">
        <v>790</v>
      </c>
      <c r="NL167" s="4" t="s">
        <v>654</v>
      </c>
      <c r="NM167" s="6" t="s">
        <v>719</v>
      </c>
      <c r="NV167" t="s">
        <v>518</v>
      </c>
      <c r="NW167" s="5" t="s">
        <v>822</v>
      </c>
      <c r="NX167" s="4" t="s">
        <v>520</v>
      </c>
      <c r="NY167" s="3">
        <v>0.1487833536521499</v>
      </c>
      <c r="OB167">
        <v>4</v>
      </c>
      <c r="OU167" t="s">
        <v>820</v>
      </c>
      <c r="OW167">
        <v>1997</v>
      </c>
      <c r="OZ167" s="2" t="s">
        <v>709</v>
      </c>
      <c r="PB167" t="s">
        <v>522</v>
      </c>
      <c r="PC167" s="50">
        <v>46094</v>
      </c>
    </row>
    <row r="168" spans="1:419" ht="15.75" thickBot="1">
      <c r="A168" s="11" t="s">
        <v>665</v>
      </c>
      <c r="B168" t="s">
        <v>666</v>
      </c>
      <c r="C168" t="s">
        <v>667</v>
      </c>
      <c r="D168" s="4" t="s">
        <v>668</v>
      </c>
      <c r="E168" t="s">
        <v>669</v>
      </c>
      <c r="F168" s="88" t="s">
        <v>670</v>
      </c>
      <c r="G168" t="s">
        <v>475</v>
      </c>
      <c r="H168" t="s">
        <v>476</v>
      </c>
      <c r="I168" s="10">
        <v>0.1</v>
      </c>
      <c r="J168" s="10">
        <v>34.566667000000002</v>
      </c>
      <c r="K168">
        <v>150</v>
      </c>
      <c r="AV168" t="s">
        <v>671</v>
      </c>
      <c r="AW168">
        <v>100</v>
      </c>
      <c r="AX168" t="s">
        <v>480</v>
      </c>
      <c r="AY168">
        <v>4</v>
      </c>
      <c r="AZ168" t="s">
        <v>672</v>
      </c>
      <c r="BA168">
        <v>1994</v>
      </c>
      <c r="BB168">
        <v>1998</v>
      </c>
      <c r="BC168" t="s">
        <v>673</v>
      </c>
      <c r="BD168" s="10" t="s">
        <v>701</v>
      </c>
      <c r="BE168" t="s">
        <v>553</v>
      </c>
      <c r="BF168" s="3" t="s">
        <v>484</v>
      </c>
      <c r="BG168" t="s">
        <v>485</v>
      </c>
      <c r="BH168" t="s">
        <v>675</v>
      </c>
      <c r="BI168" s="4" t="s">
        <v>486</v>
      </c>
      <c r="BJ168" s="9">
        <v>53000</v>
      </c>
      <c r="EE168" s="4"/>
      <c r="EF168" s="9"/>
      <c r="EG168" s="9"/>
      <c r="EH168" s="9"/>
      <c r="EI168" s="9"/>
      <c r="EJ168" s="9"/>
      <c r="EK168" s="9"/>
      <c r="EL168" s="9"/>
      <c r="EM168" s="9"/>
      <c r="EN168" s="9"/>
      <c r="EO168" s="9"/>
      <c r="EP168" s="9"/>
      <c r="EQ168" s="9"/>
      <c r="ER168" s="9"/>
      <c r="ES168" s="9"/>
      <c r="ET168" s="9"/>
      <c r="EU168" s="9"/>
      <c r="EV168" s="9"/>
      <c r="EW168" s="9"/>
      <c r="EX168" s="9"/>
      <c r="EY168" s="9"/>
      <c r="EZ168" s="9"/>
      <c r="FA168" s="9"/>
      <c r="FB168" s="9"/>
      <c r="FC168" s="9"/>
      <c r="FD168" s="9"/>
      <c r="FE168" s="9"/>
      <c r="FF168" s="9"/>
      <c r="FG168" s="9"/>
      <c r="FH168" s="9"/>
      <c r="FI168" s="9"/>
      <c r="FJ168" s="9"/>
      <c r="FK168" s="9"/>
      <c r="FL168" s="9"/>
      <c r="FM168" s="9"/>
      <c r="FN168" s="9"/>
      <c r="FO168" s="9"/>
      <c r="FP168" s="9"/>
      <c r="FQ168" s="9"/>
      <c r="FR168" s="9"/>
      <c r="FS168" s="9"/>
      <c r="FT168" s="9"/>
      <c r="FU168" s="9"/>
      <c r="FV168" s="9"/>
      <c r="FW168" s="9"/>
      <c r="FX168" s="9"/>
      <c r="FY168" s="9"/>
      <c r="FZ168" s="9"/>
      <c r="GA168" s="9"/>
      <c r="GB168" s="9"/>
      <c r="GC168" s="9"/>
      <c r="GD168" s="9"/>
      <c r="GE168" s="9"/>
      <c r="GF168" s="9"/>
      <c r="GG168" s="9"/>
      <c r="GH168" s="9"/>
      <c r="GI168" s="9"/>
      <c r="GJ168" s="9"/>
      <c r="GK168" s="9"/>
      <c r="GL168" s="9"/>
      <c r="GM168" s="9"/>
      <c r="GN168" s="9"/>
      <c r="GO168" s="9"/>
      <c r="GP168" s="9"/>
      <c r="GQ168" s="9"/>
      <c r="GR168" s="9"/>
      <c r="GS168" s="9"/>
      <c r="GT168" s="9"/>
      <c r="GU168" s="9"/>
      <c r="GV168" s="9"/>
      <c r="GW168" s="9"/>
      <c r="GX168" s="9"/>
      <c r="GY168" s="9"/>
      <c r="GZ168" s="9"/>
      <c r="HA168" s="9"/>
      <c r="HB168" s="9"/>
      <c r="HC168" s="9"/>
      <c r="HD168" s="9"/>
      <c r="HE168" s="9"/>
      <c r="HF168" s="9"/>
      <c r="HG168" s="9"/>
      <c r="HH168" s="9"/>
      <c r="HI168" s="9"/>
      <c r="HJ168" s="9"/>
      <c r="HQ168" t="s">
        <v>677</v>
      </c>
      <c r="HS168" s="4" t="s">
        <v>490</v>
      </c>
      <c r="HT168" s="50">
        <v>34335</v>
      </c>
      <c r="HU168" s="50">
        <v>36160</v>
      </c>
      <c r="HV168" s="50"/>
      <c r="HW168" s="50"/>
      <c r="IO168" t="s">
        <v>702</v>
      </c>
      <c r="IP168" s="13" t="s">
        <v>703</v>
      </c>
      <c r="IS168">
        <v>1994</v>
      </c>
      <c r="IT168">
        <v>1994.2</v>
      </c>
      <c r="IU168" s="4" t="s">
        <v>544</v>
      </c>
      <c r="IV168" t="s">
        <v>700</v>
      </c>
      <c r="IW168" t="s">
        <v>492</v>
      </c>
      <c r="JA168">
        <v>0</v>
      </c>
      <c r="JB168">
        <v>0</v>
      </c>
      <c r="JC168">
        <v>0</v>
      </c>
      <c r="JD168">
        <v>0</v>
      </c>
      <c r="JE168">
        <v>0</v>
      </c>
      <c r="JF168">
        <v>0</v>
      </c>
      <c r="JG168">
        <v>0</v>
      </c>
      <c r="JH168">
        <v>0</v>
      </c>
      <c r="JI168">
        <v>0</v>
      </c>
      <c r="JK168" s="12" t="s">
        <v>682</v>
      </c>
      <c r="JP168" s="4"/>
      <c r="KF168" s="7" t="s">
        <v>500</v>
      </c>
      <c r="KJ168" s="7" t="s">
        <v>649</v>
      </c>
      <c r="KK168" s="7"/>
      <c r="MY168" t="s">
        <v>684</v>
      </c>
      <c r="MZ168">
        <v>42</v>
      </c>
      <c r="NB168" s="4" t="s">
        <v>789</v>
      </c>
      <c r="NJ168" t="s">
        <v>790</v>
      </c>
      <c r="NL168" s="4" t="s">
        <v>654</v>
      </c>
      <c r="NM168" s="6" t="s">
        <v>719</v>
      </c>
      <c r="NV168" t="s">
        <v>518</v>
      </c>
      <c r="NW168" s="5" t="s">
        <v>823</v>
      </c>
      <c r="NX168" s="4" t="s">
        <v>520</v>
      </c>
      <c r="NY168" s="3">
        <v>0.16990572438863993</v>
      </c>
      <c r="OB168">
        <v>4</v>
      </c>
      <c r="OU168" t="s">
        <v>820</v>
      </c>
      <c r="OW168">
        <v>1997</v>
      </c>
      <c r="OZ168" s="2" t="s">
        <v>709</v>
      </c>
      <c r="PB168" t="s">
        <v>522</v>
      </c>
      <c r="PC168" s="50">
        <v>46094</v>
      </c>
    </row>
    <row r="169" spans="1:419" ht="15.75" thickBot="1">
      <c r="A169" s="11" t="s">
        <v>665</v>
      </c>
      <c r="B169" t="s">
        <v>666</v>
      </c>
      <c r="C169" t="s">
        <v>667</v>
      </c>
      <c r="D169" s="4" t="s">
        <v>668</v>
      </c>
      <c r="E169" t="s">
        <v>669</v>
      </c>
      <c r="F169" s="88" t="s">
        <v>670</v>
      </c>
      <c r="G169" t="s">
        <v>475</v>
      </c>
      <c r="H169" t="s">
        <v>476</v>
      </c>
      <c r="I169" s="10">
        <v>0.1</v>
      </c>
      <c r="J169" s="10">
        <v>34.566667000000002</v>
      </c>
      <c r="K169">
        <v>150</v>
      </c>
      <c r="AV169" t="s">
        <v>671</v>
      </c>
      <c r="AW169">
        <v>100</v>
      </c>
      <c r="AX169" t="s">
        <v>480</v>
      </c>
      <c r="AY169">
        <v>4</v>
      </c>
      <c r="AZ169" t="s">
        <v>672</v>
      </c>
      <c r="BA169">
        <v>1994</v>
      </c>
      <c r="BB169">
        <v>1998</v>
      </c>
      <c r="BC169" t="s">
        <v>673</v>
      </c>
      <c r="BD169" s="10" t="s">
        <v>704</v>
      </c>
      <c r="BE169" t="s">
        <v>524</v>
      </c>
      <c r="BF169" s="3" t="s">
        <v>484</v>
      </c>
      <c r="BG169" t="s">
        <v>485</v>
      </c>
      <c r="BH169" t="s">
        <v>675</v>
      </c>
      <c r="BI169" s="4" t="s">
        <v>486</v>
      </c>
      <c r="BJ169" s="9">
        <v>53000</v>
      </c>
      <c r="HQ169" t="s">
        <v>677</v>
      </c>
      <c r="HS169" s="4" t="s">
        <v>490</v>
      </c>
      <c r="HT169" s="50">
        <v>34335</v>
      </c>
      <c r="HU169" s="50">
        <v>36160</v>
      </c>
      <c r="HV169" s="50"/>
      <c r="HW169" s="50"/>
      <c r="IO169" t="s">
        <v>700</v>
      </c>
      <c r="IP169" s="46" t="s">
        <v>492</v>
      </c>
      <c r="IU169" s="4" t="s">
        <v>544</v>
      </c>
      <c r="IV169" t="s">
        <v>700</v>
      </c>
      <c r="IW169" s="46" t="s">
        <v>492</v>
      </c>
      <c r="JA169">
        <v>0</v>
      </c>
      <c r="JB169">
        <v>0</v>
      </c>
      <c r="JC169">
        <v>0</v>
      </c>
      <c r="JD169">
        <v>0</v>
      </c>
      <c r="JE169">
        <v>0</v>
      </c>
      <c r="JF169">
        <v>0</v>
      </c>
      <c r="JG169">
        <v>0</v>
      </c>
      <c r="JH169">
        <v>0</v>
      </c>
      <c r="JI169">
        <v>0</v>
      </c>
      <c r="JK169" s="12" t="s">
        <v>682</v>
      </c>
      <c r="JP169" s="4"/>
      <c r="KF169" s="7" t="s">
        <v>500</v>
      </c>
      <c r="KJ169" s="7" t="s">
        <v>649</v>
      </c>
      <c r="KK169" s="7"/>
      <c r="MY169" t="s">
        <v>684</v>
      </c>
      <c r="MZ169">
        <v>42</v>
      </c>
      <c r="NB169" s="4" t="s">
        <v>789</v>
      </c>
      <c r="NJ169" t="s">
        <v>790</v>
      </c>
      <c r="NL169" s="4" t="s">
        <v>654</v>
      </c>
      <c r="NM169" s="6" t="s">
        <v>719</v>
      </c>
      <c r="NU169" t="s">
        <v>517</v>
      </c>
      <c r="NV169" t="s">
        <v>518</v>
      </c>
      <c r="NW169" s="5" t="s">
        <v>824</v>
      </c>
      <c r="NX169" s="4" t="s">
        <v>520</v>
      </c>
      <c r="NY169" s="3">
        <v>0.17006018413809021</v>
      </c>
      <c r="OB169">
        <v>4</v>
      </c>
      <c r="OU169" t="s">
        <v>820</v>
      </c>
      <c r="OW169">
        <v>1997</v>
      </c>
      <c r="OZ169" s="2" t="s">
        <v>709</v>
      </c>
      <c r="PB169" t="s">
        <v>522</v>
      </c>
      <c r="PC169" s="50">
        <v>46094</v>
      </c>
    </row>
    <row r="170" spans="1:419" ht="15.75" thickBot="1">
      <c r="A170" s="11" t="s">
        <v>665</v>
      </c>
      <c r="B170" t="s">
        <v>666</v>
      </c>
      <c r="C170" t="s">
        <v>667</v>
      </c>
      <c r="D170" s="4" t="s">
        <v>668</v>
      </c>
      <c r="E170" t="s">
        <v>669</v>
      </c>
      <c r="F170" s="88" t="s">
        <v>670</v>
      </c>
      <c r="G170" t="s">
        <v>475</v>
      </c>
      <c r="H170" t="s">
        <v>476</v>
      </c>
      <c r="I170" s="10">
        <v>0.1</v>
      </c>
      <c r="J170" s="10">
        <v>34.566667000000002</v>
      </c>
      <c r="K170">
        <v>150</v>
      </c>
      <c r="AV170" t="s">
        <v>671</v>
      </c>
      <c r="AW170">
        <v>100</v>
      </c>
      <c r="AX170" t="s">
        <v>480</v>
      </c>
      <c r="AY170">
        <v>4</v>
      </c>
      <c r="AZ170" t="s">
        <v>672</v>
      </c>
      <c r="BA170">
        <v>1994</v>
      </c>
      <c r="BB170">
        <v>1998</v>
      </c>
      <c r="BC170" t="s">
        <v>673</v>
      </c>
      <c r="BD170" s="10" t="s">
        <v>705</v>
      </c>
      <c r="BE170" t="s">
        <v>483</v>
      </c>
      <c r="BF170" s="3" t="s">
        <v>484</v>
      </c>
      <c r="BG170" t="s">
        <v>485</v>
      </c>
      <c r="BH170" t="s">
        <v>675</v>
      </c>
      <c r="BI170" s="4" t="s">
        <v>486</v>
      </c>
      <c r="BJ170" s="9">
        <v>53000</v>
      </c>
      <c r="HQ170" t="s">
        <v>677</v>
      </c>
      <c r="HS170" s="4" t="s">
        <v>490</v>
      </c>
      <c r="HT170" s="50">
        <v>34335</v>
      </c>
      <c r="HU170" s="50">
        <v>36160</v>
      </c>
      <c r="HV170" s="50"/>
      <c r="HW170" s="50"/>
      <c r="IO170" t="s">
        <v>706</v>
      </c>
      <c r="IP170" s="46" t="s">
        <v>492</v>
      </c>
      <c r="IU170" s="4" t="s">
        <v>544</v>
      </c>
      <c r="IV170" t="s">
        <v>707</v>
      </c>
      <c r="IW170" s="46" t="s">
        <v>492</v>
      </c>
      <c r="JA170">
        <v>0</v>
      </c>
      <c r="JB170">
        <v>0</v>
      </c>
      <c r="JC170">
        <v>0</v>
      </c>
      <c r="JD170">
        <v>0</v>
      </c>
      <c r="JE170">
        <v>0</v>
      </c>
      <c r="JF170">
        <v>0</v>
      </c>
      <c r="JG170">
        <v>0</v>
      </c>
      <c r="JH170">
        <v>0</v>
      </c>
      <c r="JI170">
        <v>0</v>
      </c>
      <c r="JJ170" t="s">
        <v>706</v>
      </c>
      <c r="JK170" t="s">
        <v>494</v>
      </c>
      <c r="JL170" s="8" t="s">
        <v>495</v>
      </c>
      <c r="JP170" s="4" t="s">
        <v>508</v>
      </c>
      <c r="JQ170">
        <v>60</v>
      </c>
      <c r="JT170">
        <v>60</v>
      </c>
      <c r="KF170" s="7" t="s">
        <v>500</v>
      </c>
      <c r="KJ170" s="7" t="s">
        <v>649</v>
      </c>
      <c r="KK170" s="7"/>
      <c r="MY170" t="s">
        <v>684</v>
      </c>
      <c r="MZ170">
        <v>42</v>
      </c>
      <c r="NB170" s="4" t="s">
        <v>789</v>
      </c>
      <c r="NJ170" t="s">
        <v>790</v>
      </c>
      <c r="NL170" s="4" t="s">
        <v>654</v>
      </c>
      <c r="NM170" s="6" t="s">
        <v>719</v>
      </c>
      <c r="NU170" t="s">
        <v>708</v>
      </c>
      <c r="NV170" t="s">
        <v>518</v>
      </c>
      <c r="NW170" s="5" t="s">
        <v>825</v>
      </c>
      <c r="NX170" s="4" t="s">
        <v>520</v>
      </c>
      <c r="NY170" s="3">
        <v>0.17006018413808999</v>
      </c>
      <c r="OB170">
        <v>4</v>
      </c>
      <c r="OU170" t="s">
        <v>820</v>
      </c>
      <c r="OW170">
        <v>1997</v>
      </c>
      <c r="OZ170" s="2" t="s">
        <v>709</v>
      </c>
      <c r="PB170" t="s">
        <v>522</v>
      </c>
      <c r="PC170" s="50">
        <v>46094</v>
      </c>
    </row>
    <row r="171" spans="1:419" ht="15.75" thickBot="1">
      <c r="A171" s="11" t="s">
        <v>665</v>
      </c>
      <c r="B171" t="s">
        <v>666</v>
      </c>
      <c r="C171" t="s">
        <v>667</v>
      </c>
      <c r="D171" s="4" t="s">
        <v>668</v>
      </c>
      <c r="E171" t="s">
        <v>669</v>
      </c>
      <c r="F171" s="88" t="s">
        <v>670</v>
      </c>
      <c r="G171" t="s">
        <v>475</v>
      </c>
      <c r="H171" t="s">
        <v>476</v>
      </c>
      <c r="I171" s="10">
        <v>0.1</v>
      </c>
      <c r="J171" s="10">
        <v>34.566667000000002</v>
      </c>
      <c r="K171">
        <v>150</v>
      </c>
      <c r="AV171" t="s">
        <v>671</v>
      </c>
      <c r="AW171">
        <v>100</v>
      </c>
      <c r="AX171" t="s">
        <v>480</v>
      </c>
      <c r="AY171">
        <v>4</v>
      </c>
      <c r="AZ171" t="s">
        <v>672</v>
      </c>
      <c r="BA171">
        <v>1994</v>
      </c>
      <c r="BB171">
        <v>1998</v>
      </c>
      <c r="BC171" t="s">
        <v>673</v>
      </c>
      <c r="BD171" s="10" t="s">
        <v>674</v>
      </c>
      <c r="BE171" t="s">
        <v>536</v>
      </c>
      <c r="BF171" s="3" t="s">
        <v>484</v>
      </c>
      <c r="BG171" t="s">
        <v>485</v>
      </c>
      <c r="BH171" t="s">
        <v>675</v>
      </c>
      <c r="BI171" s="4" t="s">
        <v>486</v>
      </c>
      <c r="BJ171" s="9">
        <v>53000</v>
      </c>
      <c r="ED171" t="s">
        <v>676</v>
      </c>
      <c r="EE171" s="4" t="s">
        <v>486</v>
      </c>
      <c r="EF171" s="9">
        <v>53000</v>
      </c>
      <c r="EG171" s="9"/>
      <c r="EH171" s="9"/>
      <c r="EI171" s="9"/>
      <c r="EJ171" s="9"/>
      <c r="EK171" s="9"/>
      <c r="EL171" s="9"/>
      <c r="EM171" s="9"/>
      <c r="EN171" s="9"/>
      <c r="EO171" s="9"/>
      <c r="EP171" s="9"/>
      <c r="EQ171" s="9"/>
      <c r="ER171" s="9"/>
      <c r="ES171" s="9"/>
      <c r="ET171" s="9"/>
      <c r="EU171" s="9"/>
      <c r="EV171" s="9"/>
      <c r="EW171" s="9"/>
      <c r="EX171" s="9"/>
      <c r="EY171" s="9"/>
      <c r="EZ171" s="9"/>
      <c r="FA171" s="9"/>
      <c r="FB171" s="9"/>
      <c r="FC171" s="9"/>
      <c r="FD171" s="9"/>
      <c r="FE171" s="9"/>
      <c r="FF171" s="9"/>
      <c r="FG171" s="9"/>
      <c r="FH171" s="9"/>
      <c r="FI171" s="9"/>
      <c r="FJ171" s="9"/>
      <c r="FK171" s="9"/>
      <c r="FL171" s="9"/>
      <c r="FM171" s="9"/>
      <c r="FN171" s="9"/>
      <c r="FO171" s="9"/>
      <c r="FP171" s="9"/>
      <c r="FQ171" s="9"/>
      <c r="FR171" s="9"/>
      <c r="FS171" s="9"/>
      <c r="FT171" s="9"/>
      <c r="FU171" s="9"/>
      <c r="FV171" s="9"/>
      <c r="FW171" s="9"/>
      <c r="FX171" s="9"/>
      <c r="FY171" s="9"/>
      <c r="FZ171" s="9"/>
      <c r="GA171" s="9"/>
      <c r="GB171" s="9"/>
      <c r="GC171" s="9"/>
      <c r="GD171" s="9"/>
      <c r="GE171" s="9"/>
      <c r="GF171" s="9"/>
      <c r="GG171" s="9"/>
      <c r="GH171" s="9"/>
      <c r="GI171" s="9"/>
      <c r="GJ171" s="9"/>
      <c r="GK171" s="9"/>
      <c r="GL171" s="9"/>
      <c r="GM171" s="9"/>
      <c r="GN171" s="9"/>
      <c r="GO171" s="9"/>
      <c r="GP171" s="9"/>
      <c r="GQ171" s="9"/>
      <c r="GR171" s="9"/>
      <c r="GS171" s="9"/>
      <c r="GT171" s="9"/>
      <c r="GU171" s="9"/>
      <c r="GV171" s="9"/>
      <c r="GW171" s="9"/>
      <c r="GX171" s="9"/>
      <c r="GY171" s="9"/>
      <c r="GZ171" s="9"/>
      <c r="HA171" s="9"/>
      <c r="HB171" s="9"/>
      <c r="HC171" s="9"/>
      <c r="HD171" s="9"/>
      <c r="HE171" s="9"/>
      <c r="HF171" s="9"/>
      <c r="HG171" s="9"/>
      <c r="HH171" s="9"/>
      <c r="HI171" s="9"/>
      <c r="HJ171" s="9"/>
      <c r="HQ171" t="s">
        <v>677</v>
      </c>
      <c r="HS171" s="4" t="s">
        <v>490</v>
      </c>
      <c r="HT171" s="50">
        <v>34335</v>
      </c>
      <c r="HU171" s="50">
        <v>36160</v>
      </c>
      <c r="HV171" s="50"/>
      <c r="HW171" s="50"/>
      <c r="IN171" s="4"/>
      <c r="IO171" t="s">
        <v>678</v>
      </c>
      <c r="IP171" s="12" t="s">
        <v>679</v>
      </c>
      <c r="IS171">
        <v>1995</v>
      </c>
      <c r="IT171">
        <v>1995.2</v>
      </c>
      <c r="IU171" s="4" t="s">
        <v>544</v>
      </c>
      <c r="IV171" t="s">
        <v>680</v>
      </c>
      <c r="IW171" s="12" t="s">
        <v>681</v>
      </c>
      <c r="IZ171">
        <v>0.5</v>
      </c>
      <c r="JA171" t="s">
        <v>480</v>
      </c>
      <c r="JB171" t="s">
        <v>480</v>
      </c>
      <c r="JC171" t="s">
        <v>480</v>
      </c>
      <c r="JD171" t="s">
        <v>480</v>
      </c>
      <c r="JE171" t="s">
        <v>480</v>
      </c>
      <c r="JF171" t="s">
        <v>480</v>
      </c>
      <c r="JG171" t="s">
        <v>480</v>
      </c>
      <c r="JH171" t="s">
        <v>480</v>
      </c>
      <c r="JI171" t="s">
        <v>480</v>
      </c>
      <c r="JK171" s="12" t="s">
        <v>682</v>
      </c>
      <c r="JP171" s="4"/>
      <c r="KF171" s="7" t="s">
        <v>500</v>
      </c>
      <c r="KJ171" s="7" t="s">
        <v>683</v>
      </c>
      <c r="KK171" s="7" t="s">
        <v>562</v>
      </c>
      <c r="KL171" t="s">
        <v>480</v>
      </c>
      <c r="KM171" t="s">
        <v>480</v>
      </c>
      <c r="MY171" t="s">
        <v>684</v>
      </c>
      <c r="MZ171">
        <v>42</v>
      </c>
      <c r="NB171" s="4" t="s">
        <v>511</v>
      </c>
      <c r="NJ171" t="s">
        <v>826</v>
      </c>
      <c r="NL171" s="4" t="s">
        <v>654</v>
      </c>
      <c r="NM171" s="6" t="s">
        <v>719</v>
      </c>
      <c r="NV171" t="s">
        <v>518</v>
      </c>
      <c r="NW171" s="5" t="s">
        <v>827</v>
      </c>
      <c r="NX171" s="4" t="s">
        <v>520</v>
      </c>
      <c r="NY171" s="3">
        <v>0.83925673437070003</v>
      </c>
      <c r="OB171">
        <v>4</v>
      </c>
      <c r="OU171" t="s">
        <v>828</v>
      </c>
      <c r="OW171">
        <v>1996</v>
      </c>
      <c r="OZ171" s="2" t="s">
        <v>692</v>
      </c>
      <c r="PB171" t="s">
        <v>522</v>
      </c>
      <c r="PC171" s="50">
        <v>46094</v>
      </c>
    </row>
    <row r="172" spans="1:419" ht="15.75" thickBot="1">
      <c r="A172" s="11" t="s">
        <v>665</v>
      </c>
      <c r="B172" t="s">
        <v>666</v>
      </c>
      <c r="C172" t="s">
        <v>667</v>
      </c>
      <c r="D172" s="4" t="s">
        <v>668</v>
      </c>
      <c r="E172" t="s">
        <v>669</v>
      </c>
      <c r="F172" s="88" t="s">
        <v>670</v>
      </c>
      <c r="G172" t="s">
        <v>475</v>
      </c>
      <c r="H172" t="s">
        <v>476</v>
      </c>
      <c r="I172" s="10">
        <v>0.1</v>
      </c>
      <c r="J172" s="10">
        <v>34.566667000000002</v>
      </c>
      <c r="K172">
        <v>150</v>
      </c>
      <c r="AV172" t="s">
        <v>671</v>
      </c>
      <c r="AW172">
        <v>100</v>
      </c>
      <c r="AX172" t="s">
        <v>480</v>
      </c>
      <c r="AY172">
        <v>4</v>
      </c>
      <c r="AZ172" t="s">
        <v>672</v>
      </c>
      <c r="BA172">
        <v>1994</v>
      </c>
      <c r="BB172">
        <v>1998</v>
      </c>
      <c r="BC172" t="s">
        <v>673</v>
      </c>
      <c r="BD172" s="10" t="s">
        <v>693</v>
      </c>
      <c r="BE172" t="s">
        <v>566</v>
      </c>
      <c r="BF172" s="3" t="s">
        <v>484</v>
      </c>
      <c r="BG172" t="s">
        <v>485</v>
      </c>
      <c r="BH172" t="s">
        <v>675</v>
      </c>
      <c r="BI172" s="4" t="s">
        <v>486</v>
      </c>
      <c r="BJ172" s="9">
        <v>53000</v>
      </c>
      <c r="ED172" t="s">
        <v>676</v>
      </c>
      <c r="EE172" s="4" t="s">
        <v>486</v>
      </c>
      <c r="EF172" s="9">
        <v>53000</v>
      </c>
      <c r="EG172" s="9"/>
      <c r="EH172" s="9"/>
      <c r="EI172" s="9"/>
      <c r="EJ172" s="9"/>
      <c r="EK172" s="9"/>
      <c r="EL172" s="9"/>
      <c r="EM172" s="9"/>
      <c r="EN172" s="9"/>
      <c r="EO172" s="9"/>
      <c r="EP172" s="9"/>
      <c r="EQ172" s="9"/>
      <c r="ER172" s="9"/>
      <c r="ES172" s="9"/>
      <c r="ET172" s="9"/>
      <c r="EU172" s="9"/>
      <c r="EV172" s="9"/>
      <c r="EW172" s="9"/>
      <c r="EX172" s="9"/>
      <c r="EY172" s="9"/>
      <c r="EZ172" s="9"/>
      <c r="FA172" s="9"/>
      <c r="FB172" s="9"/>
      <c r="FC172" s="9"/>
      <c r="FD172" s="9"/>
      <c r="FE172" s="9"/>
      <c r="FF172" s="9"/>
      <c r="FG172" s="9"/>
      <c r="FH172" s="9"/>
      <c r="FI172" s="9"/>
      <c r="FJ172" s="9"/>
      <c r="FK172" s="9"/>
      <c r="FL172" s="9"/>
      <c r="FM172" s="9"/>
      <c r="FN172" s="9"/>
      <c r="FO172" s="9"/>
      <c r="FP172" s="9"/>
      <c r="FQ172" s="9"/>
      <c r="FR172" s="9"/>
      <c r="FS172" s="9"/>
      <c r="FT172" s="9"/>
      <c r="FU172" s="9"/>
      <c r="FV172" s="9"/>
      <c r="FW172" s="9"/>
      <c r="FX172" s="9"/>
      <c r="FY172" s="9"/>
      <c r="FZ172" s="9"/>
      <c r="GA172" s="9"/>
      <c r="GB172" s="9"/>
      <c r="GC172" s="9"/>
      <c r="GD172" s="9"/>
      <c r="GE172" s="9"/>
      <c r="GF172" s="9"/>
      <c r="GG172" s="9"/>
      <c r="GH172" s="9"/>
      <c r="GI172" s="9"/>
      <c r="GJ172" s="9"/>
      <c r="GK172" s="9"/>
      <c r="GL172" s="9"/>
      <c r="GM172" s="9"/>
      <c r="GN172" s="9"/>
      <c r="GO172" s="9"/>
      <c r="GP172" s="9"/>
      <c r="GQ172" s="9"/>
      <c r="GR172" s="9"/>
      <c r="GS172" s="9"/>
      <c r="GT172" s="9"/>
      <c r="GU172" s="9"/>
      <c r="GV172" s="9"/>
      <c r="GW172" s="9"/>
      <c r="GX172" s="9"/>
      <c r="GY172" s="9"/>
      <c r="GZ172" s="9"/>
      <c r="HA172" s="9"/>
      <c r="HB172" s="9"/>
      <c r="HC172" s="9"/>
      <c r="HD172" s="9"/>
      <c r="HE172" s="9"/>
      <c r="HF172" s="9"/>
      <c r="HG172" s="9"/>
      <c r="HH172" s="9"/>
      <c r="HI172" s="9"/>
      <c r="HJ172" s="9"/>
      <c r="HQ172" t="s">
        <v>677</v>
      </c>
      <c r="HS172" s="4" t="s">
        <v>490</v>
      </c>
      <c r="HT172" s="50">
        <v>34335</v>
      </c>
      <c r="HU172" s="50">
        <v>36160</v>
      </c>
      <c r="HV172" s="50"/>
      <c r="HW172" s="50"/>
      <c r="IN172" s="4"/>
      <c r="IO172" t="s">
        <v>694</v>
      </c>
      <c r="IP172" s="12" t="s">
        <v>695</v>
      </c>
      <c r="IS172">
        <v>1994</v>
      </c>
      <c r="IT172">
        <v>1994.2</v>
      </c>
      <c r="IU172" s="4" t="s">
        <v>544</v>
      </c>
      <c r="IV172" t="s">
        <v>696</v>
      </c>
      <c r="IW172" s="12" t="s">
        <v>681</v>
      </c>
      <c r="IZ172">
        <v>0.5</v>
      </c>
      <c r="JA172" t="s">
        <v>480</v>
      </c>
      <c r="JB172" t="s">
        <v>480</v>
      </c>
      <c r="JC172" t="s">
        <v>480</v>
      </c>
      <c r="JD172" t="s">
        <v>480</v>
      </c>
      <c r="JE172" t="s">
        <v>480</v>
      </c>
      <c r="JF172" t="s">
        <v>480</v>
      </c>
      <c r="JG172" t="s">
        <v>480</v>
      </c>
      <c r="JH172" t="s">
        <v>480</v>
      </c>
      <c r="JI172" t="s">
        <v>480</v>
      </c>
      <c r="JK172" s="12" t="s">
        <v>682</v>
      </c>
      <c r="JP172" s="4"/>
      <c r="KF172" s="7" t="s">
        <v>500</v>
      </c>
      <c r="KJ172" s="7" t="s">
        <v>683</v>
      </c>
      <c r="KK172" s="7" t="s">
        <v>562</v>
      </c>
      <c r="KL172" t="s">
        <v>480</v>
      </c>
      <c r="KM172" t="s">
        <v>480</v>
      </c>
      <c r="MY172" t="s">
        <v>684</v>
      </c>
      <c r="MZ172">
        <v>42</v>
      </c>
      <c r="NB172" s="4" t="s">
        <v>511</v>
      </c>
      <c r="NJ172" t="s">
        <v>826</v>
      </c>
      <c r="NL172" s="4" t="s">
        <v>654</v>
      </c>
      <c r="NM172" s="6" t="s">
        <v>719</v>
      </c>
      <c r="NV172" t="s">
        <v>518</v>
      </c>
      <c r="NW172" s="5" t="s">
        <v>829</v>
      </c>
      <c r="NX172" s="4" t="s">
        <v>520</v>
      </c>
      <c r="NY172" s="3">
        <v>0.14295902380403991</v>
      </c>
      <c r="OB172">
        <v>4</v>
      </c>
      <c r="OU172" t="s">
        <v>828</v>
      </c>
      <c r="OW172">
        <v>1996</v>
      </c>
      <c r="OZ172" s="2" t="s">
        <v>692</v>
      </c>
      <c r="PB172" t="s">
        <v>522</v>
      </c>
      <c r="PC172" s="50">
        <v>46094</v>
      </c>
    </row>
    <row r="173" spans="1:419" ht="15.75" thickBot="1">
      <c r="A173" s="11" t="s">
        <v>665</v>
      </c>
      <c r="B173" t="s">
        <v>666</v>
      </c>
      <c r="C173" t="s">
        <v>667</v>
      </c>
      <c r="D173" s="4" t="s">
        <v>668</v>
      </c>
      <c r="E173" t="s">
        <v>669</v>
      </c>
      <c r="F173" s="88" t="s">
        <v>670</v>
      </c>
      <c r="G173" t="s">
        <v>475</v>
      </c>
      <c r="H173" t="s">
        <v>476</v>
      </c>
      <c r="I173" s="10">
        <v>0.1</v>
      </c>
      <c r="J173" s="10">
        <v>34.566667000000002</v>
      </c>
      <c r="K173">
        <v>150</v>
      </c>
      <c r="AV173" t="s">
        <v>671</v>
      </c>
      <c r="AW173">
        <v>100</v>
      </c>
      <c r="AX173" t="s">
        <v>480</v>
      </c>
      <c r="AY173">
        <v>4</v>
      </c>
      <c r="AZ173" t="s">
        <v>672</v>
      </c>
      <c r="BA173">
        <v>1994</v>
      </c>
      <c r="BB173">
        <v>1998</v>
      </c>
      <c r="BC173" t="s">
        <v>673</v>
      </c>
      <c r="BD173" s="10" t="s">
        <v>697</v>
      </c>
      <c r="BE173" t="s">
        <v>572</v>
      </c>
      <c r="BF173" s="3" t="s">
        <v>484</v>
      </c>
      <c r="BG173" t="s">
        <v>485</v>
      </c>
      <c r="BH173" t="s">
        <v>675</v>
      </c>
      <c r="BI173" s="4" t="s">
        <v>486</v>
      </c>
      <c r="BJ173" s="9">
        <v>53000</v>
      </c>
      <c r="EE173" s="4"/>
      <c r="EF173" s="9"/>
      <c r="EG173" s="9"/>
      <c r="EH173" s="9"/>
      <c r="EI173" s="9"/>
      <c r="EJ173" s="9"/>
      <c r="EK173" s="9"/>
      <c r="EL173" s="9"/>
      <c r="EM173" s="9"/>
      <c r="EN173" s="9"/>
      <c r="EO173" s="9"/>
      <c r="EP173" s="9"/>
      <c r="EQ173" s="9"/>
      <c r="ER173" s="9"/>
      <c r="ES173" s="9"/>
      <c r="ET173" s="9"/>
      <c r="EU173" s="9"/>
      <c r="EV173" s="9"/>
      <c r="EW173" s="9"/>
      <c r="EX173" s="9"/>
      <c r="EY173" s="9"/>
      <c r="EZ173" s="9"/>
      <c r="FA173" s="9"/>
      <c r="FB173" s="9"/>
      <c r="FC173" s="9"/>
      <c r="FD173" s="9"/>
      <c r="FE173" s="9"/>
      <c r="FF173" s="9"/>
      <c r="FG173" s="9"/>
      <c r="FH173" s="9"/>
      <c r="FI173" s="9"/>
      <c r="FJ173" s="9"/>
      <c r="FK173" s="9"/>
      <c r="FL173" s="9"/>
      <c r="FM173" s="9"/>
      <c r="FN173" s="9"/>
      <c r="FO173" s="9"/>
      <c r="FP173" s="9"/>
      <c r="FQ173" s="9"/>
      <c r="FR173" s="9"/>
      <c r="FS173" s="9"/>
      <c r="FT173" s="9"/>
      <c r="FU173" s="9"/>
      <c r="FV173" s="9"/>
      <c r="FW173" s="9"/>
      <c r="FX173" s="9"/>
      <c r="FY173" s="9"/>
      <c r="FZ173" s="9"/>
      <c r="GA173" s="9"/>
      <c r="GB173" s="9"/>
      <c r="GC173" s="9"/>
      <c r="GD173" s="9"/>
      <c r="GE173" s="9"/>
      <c r="GF173" s="9"/>
      <c r="GG173" s="9"/>
      <c r="GH173" s="9"/>
      <c r="GI173" s="9"/>
      <c r="GJ173" s="9"/>
      <c r="GK173" s="9"/>
      <c r="GL173" s="9"/>
      <c r="GM173" s="9"/>
      <c r="GN173" s="9"/>
      <c r="GO173" s="9"/>
      <c r="GP173" s="9"/>
      <c r="GQ173" s="9"/>
      <c r="GR173" s="9"/>
      <c r="GS173" s="9"/>
      <c r="GT173" s="9"/>
      <c r="GU173" s="9"/>
      <c r="GV173" s="9"/>
      <c r="GW173" s="9"/>
      <c r="GX173" s="9"/>
      <c r="GY173" s="9"/>
      <c r="GZ173" s="9"/>
      <c r="HA173" s="9"/>
      <c r="HB173" s="9"/>
      <c r="HC173" s="9"/>
      <c r="HD173" s="9"/>
      <c r="HE173" s="9"/>
      <c r="HF173" s="9"/>
      <c r="HG173" s="9"/>
      <c r="HH173" s="9"/>
      <c r="HI173" s="9"/>
      <c r="HJ173" s="9"/>
      <c r="HQ173" t="s">
        <v>677</v>
      </c>
      <c r="HS173" s="4" t="s">
        <v>490</v>
      </c>
      <c r="HT173" s="50">
        <v>34335</v>
      </c>
      <c r="HU173" s="50">
        <v>36160</v>
      </c>
      <c r="HV173" s="50"/>
      <c r="HW173" s="50"/>
      <c r="IO173" t="s">
        <v>698</v>
      </c>
      <c r="IP173" s="46" t="s">
        <v>699</v>
      </c>
      <c r="IS173">
        <v>1995</v>
      </c>
      <c r="IT173">
        <v>1995.2</v>
      </c>
      <c r="IU173" s="4" t="s">
        <v>544</v>
      </c>
      <c r="IV173" t="s">
        <v>700</v>
      </c>
      <c r="IW173" t="s">
        <v>492</v>
      </c>
      <c r="JA173">
        <v>0</v>
      </c>
      <c r="JB173">
        <v>0</v>
      </c>
      <c r="JC173">
        <v>0</v>
      </c>
      <c r="JD173">
        <v>0</v>
      </c>
      <c r="JE173">
        <v>0</v>
      </c>
      <c r="JF173">
        <v>0</v>
      </c>
      <c r="JG173">
        <v>0</v>
      </c>
      <c r="JH173">
        <v>0</v>
      </c>
      <c r="JI173">
        <v>0</v>
      </c>
      <c r="JK173" s="12" t="s">
        <v>682</v>
      </c>
      <c r="JP173" s="4"/>
      <c r="KF173" s="7" t="s">
        <v>500</v>
      </c>
      <c r="KJ173" s="7" t="s">
        <v>649</v>
      </c>
      <c r="KK173" s="7"/>
      <c r="MY173" t="s">
        <v>684</v>
      </c>
      <c r="MZ173">
        <v>42</v>
      </c>
      <c r="NB173" s="4" t="s">
        <v>511</v>
      </c>
      <c r="NJ173" t="s">
        <v>826</v>
      </c>
      <c r="NL173" s="4" t="s">
        <v>654</v>
      </c>
      <c r="NM173" s="6" t="s">
        <v>719</v>
      </c>
      <c r="NV173" t="s">
        <v>518</v>
      </c>
      <c r="NW173" s="5" t="s">
        <v>830</v>
      </c>
      <c r="NX173" s="4" t="s">
        <v>520</v>
      </c>
      <c r="NY173" s="3">
        <v>0.83952627766328014</v>
      </c>
      <c r="OB173">
        <v>4</v>
      </c>
      <c r="OU173" t="s">
        <v>828</v>
      </c>
      <c r="OW173">
        <v>1996</v>
      </c>
      <c r="OZ173" s="2" t="s">
        <v>692</v>
      </c>
      <c r="PB173" t="s">
        <v>522</v>
      </c>
      <c r="PC173" s="50">
        <v>46094</v>
      </c>
    </row>
    <row r="174" spans="1:419" ht="15.75" thickBot="1">
      <c r="A174" s="11" t="s">
        <v>665</v>
      </c>
      <c r="B174" t="s">
        <v>666</v>
      </c>
      <c r="C174" t="s">
        <v>667</v>
      </c>
      <c r="D174" s="4" t="s">
        <v>668</v>
      </c>
      <c r="E174" t="s">
        <v>669</v>
      </c>
      <c r="F174" s="88" t="s">
        <v>670</v>
      </c>
      <c r="G174" t="s">
        <v>475</v>
      </c>
      <c r="H174" t="s">
        <v>476</v>
      </c>
      <c r="I174" s="10">
        <v>0.1</v>
      </c>
      <c r="J174" s="10">
        <v>34.566667000000002</v>
      </c>
      <c r="K174">
        <v>150</v>
      </c>
      <c r="AV174" t="s">
        <v>671</v>
      </c>
      <c r="AW174">
        <v>100</v>
      </c>
      <c r="AX174" t="s">
        <v>480</v>
      </c>
      <c r="AY174">
        <v>4</v>
      </c>
      <c r="AZ174" t="s">
        <v>672</v>
      </c>
      <c r="BA174">
        <v>1994</v>
      </c>
      <c r="BB174">
        <v>1998</v>
      </c>
      <c r="BC174" t="s">
        <v>673</v>
      </c>
      <c r="BD174" s="10" t="s">
        <v>701</v>
      </c>
      <c r="BE174" t="s">
        <v>553</v>
      </c>
      <c r="BF174" s="3" t="s">
        <v>484</v>
      </c>
      <c r="BG174" t="s">
        <v>485</v>
      </c>
      <c r="BH174" t="s">
        <v>675</v>
      </c>
      <c r="BI174" s="4" t="s">
        <v>486</v>
      </c>
      <c r="BJ174" s="9">
        <v>53000</v>
      </c>
      <c r="EE174" s="4"/>
      <c r="EF174" s="9"/>
      <c r="EG174" s="9"/>
      <c r="EH174" s="9"/>
      <c r="EI174" s="9"/>
      <c r="EJ174" s="9"/>
      <c r="EK174" s="9"/>
      <c r="EL174" s="9"/>
      <c r="EM174" s="9"/>
      <c r="EN174" s="9"/>
      <c r="EO174" s="9"/>
      <c r="EP174" s="9"/>
      <c r="EQ174" s="9"/>
      <c r="ER174" s="9"/>
      <c r="ES174" s="9"/>
      <c r="ET174" s="9"/>
      <c r="EU174" s="9"/>
      <c r="EV174" s="9"/>
      <c r="EW174" s="9"/>
      <c r="EX174" s="9"/>
      <c r="EY174" s="9"/>
      <c r="EZ174" s="9"/>
      <c r="FA174" s="9"/>
      <c r="FB174" s="9"/>
      <c r="FC174" s="9"/>
      <c r="FD174" s="9"/>
      <c r="FE174" s="9"/>
      <c r="FF174" s="9"/>
      <c r="FG174" s="9"/>
      <c r="FH174" s="9"/>
      <c r="FI174" s="9"/>
      <c r="FJ174" s="9"/>
      <c r="FK174" s="9"/>
      <c r="FL174" s="9"/>
      <c r="FM174" s="9"/>
      <c r="FN174" s="9"/>
      <c r="FO174" s="9"/>
      <c r="FP174" s="9"/>
      <c r="FQ174" s="9"/>
      <c r="FR174" s="9"/>
      <c r="FS174" s="9"/>
      <c r="FT174" s="9"/>
      <c r="FU174" s="9"/>
      <c r="FV174" s="9"/>
      <c r="FW174" s="9"/>
      <c r="FX174" s="9"/>
      <c r="FY174" s="9"/>
      <c r="FZ174" s="9"/>
      <c r="GA174" s="9"/>
      <c r="GB174" s="9"/>
      <c r="GC174" s="9"/>
      <c r="GD174" s="9"/>
      <c r="GE174" s="9"/>
      <c r="GF174" s="9"/>
      <c r="GG174" s="9"/>
      <c r="GH174" s="9"/>
      <c r="GI174" s="9"/>
      <c r="GJ174" s="9"/>
      <c r="GK174" s="9"/>
      <c r="GL174" s="9"/>
      <c r="GM174" s="9"/>
      <c r="GN174" s="9"/>
      <c r="GO174" s="9"/>
      <c r="GP174" s="9"/>
      <c r="GQ174" s="9"/>
      <c r="GR174" s="9"/>
      <c r="GS174" s="9"/>
      <c r="GT174" s="9"/>
      <c r="GU174" s="9"/>
      <c r="GV174" s="9"/>
      <c r="GW174" s="9"/>
      <c r="GX174" s="9"/>
      <c r="GY174" s="9"/>
      <c r="GZ174" s="9"/>
      <c r="HA174" s="9"/>
      <c r="HB174" s="9"/>
      <c r="HC174" s="9"/>
      <c r="HD174" s="9"/>
      <c r="HE174" s="9"/>
      <c r="HF174" s="9"/>
      <c r="HG174" s="9"/>
      <c r="HH174" s="9"/>
      <c r="HI174" s="9"/>
      <c r="HJ174" s="9"/>
      <c r="HQ174" t="s">
        <v>677</v>
      </c>
      <c r="HS174" s="4" t="s">
        <v>490</v>
      </c>
      <c r="HT174" s="50">
        <v>34335</v>
      </c>
      <c r="HU174" s="50">
        <v>36160</v>
      </c>
      <c r="HV174" s="50"/>
      <c r="HW174" s="50"/>
      <c r="IO174" t="s">
        <v>702</v>
      </c>
      <c r="IP174" s="13" t="s">
        <v>703</v>
      </c>
      <c r="IS174">
        <v>1994</v>
      </c>
      <c r="IT174">
        <v>1994.2</v>
      </c>
      <c r="IU174" s="4" t="s">
        <v>544</v>
      </c>
      <c r="IV174" t="s">
        <v>700</v>
      </c>
      <c r="IW174" t="s">
        <v>492</v>
      </c>
      <c r="JA174">
        <v>0</v>
      </c>
      <c r="JB174">
        <v>0</v>
      </c>
      <c r="JC174">
        <v>0</v>
      </c>
      <c r="JD174">
        <v>0</v>
      </c>
      <c r="JE174">
        <v>0</v>
      </c>
      <c r="JF174">
        <v>0</v>
      </c>
      <c r="JG174">
        <v>0</v>
      </c>
      <c r="JH174">
        <v>0</v>
      </c>
      <c r="JI174">
        <v>0</v>
      </c>
      <c r="JK174" s="12" t="s">
        <v>682</v>
      </c>
      <c r="JP174" s="4"/>
      <c r="KF174" s="7" t="s">
        <v>500</v>
      </c>
      <c r="KJ174" s="7" t="s">
        <v>649</v>
      </c>
      <c r="KK174" s="7"/>
      <c r="MY174" t="s">
        <v>684</v>
      </c>
      <c r="MZ174">
        <v>42</v>
      </c>
      <c r="NB174" s="4" t="s">
        <v>511</v>
      </c>
      <c r="NJ174" t="s">
        <v>826</v>
      </c>
      <c r="NL174" s="4" t="s">
        <v>654</v>
      </c>
      <c r="NM174" s="6" t="s">
        <v>719</v>
      </c>
      <c r="NV174" t="s">
        <v>518</v>
      </c>
      <c r="NW174" s="5" t="s">
        <v>831</v>
      </c>
      <c r="NX174" s="4" t="s">
        <v>520</v>
      </c>
      <c r="NY174" s="3">
        <v>0.24993401804816995</v>
      </c>
      <c r="OB174">
        <v>4</v>
      </c>
      <c r="OU174" t="s">
        <v>828</v>
      </c>
      <c r="OW174">
        <v>1996</v>
      </c>
      <c r="OZ174" s="2" t="s">
        <v>692</v>
      </c>
      <c r="PB174" t="s">
        <v>522</v>
      </c>
      <c r="PC174" s="50">
        <v>46094</v>
      </c>
    </row>
    <row r="175" spans="1:419" ht="15.75" thickBot="1">
      <c r="A175" s="11" t="s">
        <v>665</v>
      </c>
      <c r="B175" t="s">
        <v>666</v>
      </c>
      <c r="C175" t="s">
        <v>667</v>
      </c>
      <c r="D175" s="4" t="s">
        <v>668</v>
      </c>
      <c r="E175" t="s">
        <v>669</v>
      </c>
      <c r="F175" s="88" t="s">
        <v>670</v>
      </c>
      <c r="G175" t="s">
        <v>475</v>
      </c>
      <c r="H175" t="s">
        <v>476</v>
      </c>
      <c r="I175" s="10">
        <v>0.1</v>
      </c>
      <c r="J175" s="10">
        <v>34.566667000000002</v>
      </c>
      <c r="K175">
        <v>150</v>
      </c>
      <c r="AV175" t="s">
        <v>671</v>
      </c>
      <c r="AW175">
        <v>100</v>
      </c>
      <c r="AX175" t="s">
        <v>480</v>
      </c>
      <c r="AY175">
        <v>4</v>
      </c>
      <c r="AZ175" t="s">
        <v>672</v>
      </c>
      <c r="BA175">
        <v>1994</v>
      </c>
      <c r="BB175">
        <v>1998</v>
      </c>
      <c r="BC175" t="s">
        <v>673</v>
      </c>
      <c r="BD175" s="10" t="s">
        <v>704</v>
      </c>
      <c r="BE175" t="s">
        <v>524</v>
      </c>
      <c r="BF175" s="3" t="s">
        <v>484</v>
      </c>
      <c r="BG175" t="s">
        <v>485</v>
      </c>
      <c r="BH175" t="s">
        <v>675</v>
      </c>
      <c r="BI175" s="4" t="s">
        <v>486</v>
      </c>
      <c r="BJ175" s="9">
        <v>53000</v>
      </c>
      <c r="HQ175" t="s">
        <v>677</v>
      </c>
      <c r="HS175" s="4" t="s">
        <v>490</v>
      </c>
      <c r="HT175" s="50">
        <v>34335</v>
      </c>
      <c r="HU175" s="50">
        <v>36160</v>
      </c>
      <c r="HV175" s="50"/>
      <c r="HW175" s="50"/>
      <c r="IO175" t="s">
        <v>700</v>
      </c>
      <c r="IP175" s="46" t="s">
        <v>492</v>
      </c>
      <c r="IU175" s="4" t="s">
        <v>544</v>
      </c>
      <c r="IV175" t="s">
        <v>700</v>
      </c>
      <c r="IW175" s="46" t="s">
        <v>492</v>
      </c>
      <c r="JA175">
        <v>0</v>
      </c>
      <c r="JB175">
        <v>0</v>
      </c>
      <c r="JC175">
        <v>0</v>
      </c>
      <c r="JD175">
        <v>0</v>
      </c>
      <c r="JE175">
        <v>0</v>
      </c>
      <c r="JF175">
        <v>0</v>
      </c>
      <c r="JG175">
        <v>0</v>
      </c>
      <c r="JH175">
        <v>0</v>
      </c>
      <c r="JI175">
        <v>0</v>
      </c>
      <c r="JK175" s="12" t="s">
        <v>682</v>
      </c>
      <c r="JP175" s="4"/>
      <c r="KF175" s="7" t="s">
        <v>500</v>
      </c>
      <c r="KJ175" s="7" t="s">
        <v>649</v>
      </c>
      <c r="KK175" s="7"/>
      <c r="MY175" t="s">
        <v>684</v>
      </c>
      <c r="MZ175">
        <v>42</v>
      </c>
      <c r="NB175" s="4" t="s">
        <v>511</v>
      </c>
      <c r="NJ175" t="s">
        <v>826</v>
      </c>
      <c r="NL175" s="4" t="s">
        <v>654</v>
      </c>
      <c r="NM175" s="6" t="s">
        <v>719</v>
      </c>
      <c r="NU175" t="s">
        <v>517</v>
      </c>
      <c r="NV175" t="s">
        <v>518</v>
      </c>
      <c r="NW175" s="5" t="s">
        <v>832</v>
      </c>
      <c r="NX175" s="4" t="s">
        <v>520</v>
      </c>
      <c r="NY175" s="3">
        <v>0.44632999960691988</v>
      </c>
      <c r="OB175">
        <v>4</v>
      </c>
      <c r="OU175" t="s">
        <v>828</v>
      </c>
      <c r="OW175">
        <v>1996</v>
      </c>
      <c r="OZ175" s="2" t="s">
        <v>692</v>
      </c>
      <c r="PB175" t="s">
        <v>522</v>
      </c>
      <c r="PC175" s="50">
        <v>46094</v>
      </c>
    </row>
    <row r="176" spans="1:419" ht="15.75" thickBot="1">
      <c r="A176" s="11" t="s">
        <v>665</v>
      </c>
      <c r="B176" t="s">
        <v>666</v>
      </c>
      <c r="C176" t="s">
        <v>667</v>
      </c>
      <c r="D176" s="4" t="s">
        <v>668</v>
      </c>
      <c r="E176" t="s">
        <v>669</v>
      </c>
      <c r="F176" s="88" t="s">
        <v>670</v>
      </c>
      <c r="G176" t="s">
        <v>475</v>
      </c>
      <c r="H176" t="s">
        <v>476</v>
      </c>
      <c r="I176" s="10">
        <v>0.1</v>
      </c>
      <c r="J176" s="10">
        <v>34.566667000000002</v>
      </c>
      <c r="K176">
        <v>150</v>
      </c>
      <c r="AV176" t="s">
        <v>671</v>
      </c>
      <c r="AW176">
        <v>100</v>
      </c>
      <c r="AX176" t="s">
        <v>480</v>
      </c>
      <c r="AY176">
        <v>4</v>
      </c>
      <c r="AZ176" t="s">
        <v>672</v>
      </c>
      <c r="BA176">
        <v>1994</v>
      </c>
      <c r="BB176">
        <v>1998</v>
      </c>
      <c r="BC176" t="s">
        <v>673</v>
      </c>
      <c r="BD176" s="10" t="s">
        <v>705</v>
      </c>
      <c r="BE176" t="s">
        <v>483</v>
      </c>
      <c r="BF176" s="3" t="s">
        <v>484</v>
      </c>
      <c r="BG176" t="s">
        <v>485</v>
      </c>
      <c r="BH176" t="s">
        <v>675</v>
      </c>
      <c r="BI176" s="4" t="s">
        <v>486</v>
      </c>
      <c r="BJ176" s="9">
        <v>53000</v>
      </c>
      <c r="HQ176" t="s">
        <v>677</v>
      </c>
      <c r="HS176" s="4" t="s">
        <v>490</v>
      </c>
      <c r="HT176" s="50">
        <v>34335</v>
      </c>
      <c r="HU176" s="50">
        <v>36160</v>
      </c>
      <c r="HV176" s="50"/>
      <c r="HW176" s="50"/>
      <c r="IO176" t="s">
        <v>706</v>
      </c>
      <c r="IP176" s="46" t="s">
        <v>492</v>
      </c>
      <c r="IU176" s="4" t="s">
        <v>544</v>
      </c>
      <c r="IV176" t="s">
        <v>707</v>
      </c>
      <c r="IW176" s="46" t="s">
        <v>492</v>
      </c>
      <c r="JA176">
        <v>0</v>
      </c>
      <c r="JB176">
        <v>0</v>
      </c>
      <c r="JC176">
        <v>0</v>
      </c>
      <c r="JD176">
        <v>0</v>
      </c>
      <c r="JE176">
        <v>0</v>
      </c>
      <c r="JF176">
        <v>0</v>
      </c>
      <c r="JG176">
        <v>0</v>
      </c>
      <c r="JH176">
        <v>0</v>
      </c>
      <c r="JI176">
        <v>0</v>
      </c>
      <c r="JJ176" t="s">
        <v>706</v>
      </c>
      <c r="JK176" t="s">
        <v>494</v>
      </c>
      <c r="JL176" s="8" t="s">
        <v>495</v>
      </c>
      <c r="JP176" s="4" t="s">
        <v>508</v>
      </c>
      <c r="JQ176">
        <v>60</v>
      </c>
      <c r="JT176">
        <v>60</v>
      </c>
      <c r="KF176" s="7" t="s">
        <v>500</v>
      </c>
      <c r="KJ176" s="7" t="s">
        <v>649</v>
      </c>
      <c r="KK176" s="7"/>
      <c r="MY176" t="s">
        <v>684</v>
      </c>
      <c r="MZ176">
        <v>42</v>
      </c>
      <c r="NB176" s="4" t="s">
        <v>511</v>
      </c>
      <c r="NJ176" t="s">
        <v>826</v>
      </c>
      <c r="NL176" s="4" t="s">
        <v>654</v>
      </c>
      <c r="NM176" s="6" t="s">
        <v>719</v>
      </c>
      <c r="NU176" t="s">
        <v>708</v>
      </c>
      <c r="NV176" t="s">
        <v>518</v>
      </c>
      <c r="NW176" s="5" t="s">
        <v>833</v>
      </c>
      <c r="NX176" s="4" t="s">
        <v>520</v>
      </c>
      <c r="NY176" s="3">
        <v>0.53578467983310984</v>
      </c>
      <c r="OB176">
        <v>4</v>
      </c>
      <c r="OU176" t="s">
        <v>828</v>
      </c>
      <c r="OW176">
        <v>1996</v>
      </c>
      <c r="OZ176" s="2" t="s">
        <v>692</v>
      </c>
      <c r="PB176" t="s">
        <v>522</v>
      </c>
      <c r="PC176" s="50">
        <v>46094</v>
      </c>
    </row>
    <row r="177" spans="1:419" ht="15.75" thickBot="1">
      <c r="A177" s="11" t="s">
        <v>665</v>
      </c>
      <c r="B177" t="s">
        <v>666</v>
      </c>
      <c r="C177" t="s">
        <v>667</v>
      </c>
      <c r="D177" s="4" t="s">
        <v>668</v>
      </c>
      <c r="E177" t="s">
        <v>669</v>
      </c>
      <c r="F177" s="88" t="s">
        <v>670</v>
      </c>
      <c r="G177" t="s">
        <v>475</v>
      </c>
      <c r="H177" t="s">
        <v>476</v>
      </c>
      <c r="I177" s="10">
        <v>0.1</v>
      </c>
      <c r="J177" s="10">
        <v>34.566667000000002</v>
      </c>
      <c r="K177">
        <v>150</v>
      </c>
      <c r="AV177" t="s">
        <v>671</v>
      </c>
      <c r="AW177">
        <v>100</v>
      </c>
      <c r="AX177" t="s">
        <v>480</v>
      </c>
      <c r="AY177">
        <v>4</v>
      </c>
      <c r="AZ177" t="s">
        <v>672</v>
      </c>
      <c r="BA177">
        <v>1994</v>
      </c>
      <c r="BB177">
        <v>1998</v>
      </c>
      <c r="BC177" t="s">
        <v>673</v>
      </c>
      <c r="BD177" s="10" t="s">
        <v>674</v>
      </c>
      <c r="BE177" t="s">
        <v>536</v>
      </c>
      <c r="BF177" s="3" t="s">
        <v>484</v>
      </c>
      <c r="BG177" t="s">
        <v>485</v>
      </c>
      <c r="BH177" t="s">
        <v>675</v>
      </c>
      <c r="BI177" s="4" t="s">
        <v>486</v>
      </c>
      <c r="BJ177" s="9">
        <v>53000</v>
      </c>
      <c r="ED177" t="s">
        <v>676</v>
      </c>
      <c r="EE177" s="4" t="s">
        <v>486</v>
      </c>
      <c r="EF177" s="9">
        <v>53000</v>
      </c>
      <c r="EG177" s="9"/>
      <c r="EH177" s="9"/>
      <c r="EI177" s="9"/>
      <c r="EJ177" s="9"/>
      <c r="EK177" s="9"/>
      <c r="EL177" s="9"/>
      <c r="EM177" s="9"/>
      <c r="EN177" s="9"/>
      <c r="EO177" s="9"/>
      <c r="EP177" s="9"/>
      <c r="EQ177" s="9"/>
      <c r="ER177" s="9"/>
      <c r="ES177" s="9"/>
      <c r="ET177" s="9"/>
      <c r="EU177" s="9"/>
      <c r="EV177" s="9"/>
      <c r="EW177" s="9"/>
      <c r="EX177" s="9"/>
      <c r="EY177" s="9"/>
      <c r="EZ177" s="9"/>
      <c r="FA177" s="9"/>
      <c r="FB177" s="9"/>
      <c r="FC177" s="9"/>
      <c r="FD177" s="9"/>
      <c r="FE177" s="9"/>
      <c r="FF177" s="9"/>
      <c r="FG177" s="9"/>
      <c r="FH177" s="9"/>
      <c r="FI177" s="9"/>
      <c r="FJ177" s="9"/>
      <c r="FK177" s="9"/>
      <c r="FL177" s="9"/>
      <c r="FM177" s="9"/>
      <c r="FN177" s="9"/>
      <c r="FO177" s="9"/>
      <c r="FP177" s="9"/>
      <c r="FQ177" s="9"/>
      <c r="FR177" s="9"/>
      <c r="FS177" s="9"/>
      <c r="FT177" s="9"/>
      <c r="FU177" s="9"/>
      <c r="FV177" s="9"/>
      <c r="FW177" s="9"/>
      <c r="FX177" s="9"/>
      <c r="FY177" s="9"/>
      <c r="FZ177" s="9"/>
      <c r="GA177" s="9"/>
      <c r="GB177" s="9"/>
      <c r="GC177" s="9"/>
      <c r="GD177" s="9"/>
      <c r="GE177" s="9"/>
      <c r="GF177" s="9"/>
      <c r="GG177" s="9"/>
      <c r="GH177" s="9"/>
      <c r="GI177" s="9"/>
      <c r="GJ177" s="9"/>
      <c r="GK177" s="9"/>
      <c r="GL177" s="9"/>
      <c r="GM177" s="9"/>
      <c r="GN177" s="9"/>
      <c r="GO177" s="9"/>
      <c r="GP177" s="9"/>
      <c r="GQ177" s="9"/>
      <c r="GR177" s="9"/>
      <c r="GS177" s="9"/>
      <c r="GT177" s="9"/>
      <c r="GU177" s="9"/>
      <c r="GV177" s="9"/>
      <c r="GW177" s="9"/>
      <c r="GX177" s="9"/>
      <c r="GY177" s="9"/>
      <c r="GZ177" s="9"/>
      <c r="HA177" s="9"/>
      <c r="HB177" s="9"/>
      <c r="HC177" s="9"/>
      <c r="HD177" s="9"/>
      <c r="HE177" s="9"/>
      <c r="HF177" s="9"/>
      <c r="HG177" s="9"/>
      <c r="HH177" s="9"/>
      <c r="HI177" s="9"/>
      <c r="HJ177" s="9"/>
      <c r="HQ177" t="s">
        <v>677</v>
      </c>
      <c r="HS177" s="4" t="s">
        <v>490</v>
      </c>
      <c r="HT177" s="50">
        <v>34335</v>
      </c>
      <c r="HU177" s="50">
        <v>36160</v>
      </c>
      <c r="HV177" s="50"/>
      <c r="HW177" s="50"/>
      <c r="IN177" s="4"/>
      <c r="IO177" t="s">
        <v>678</v>
      </c>
      <c r="IP177" s="12" t="s">
        <v>679</v>
      </c>
      <c r="IS177">
        <v>1995</v>
      </c>
      <c r="IT177">
        <v>1995.2</v>
      </c>
      <c r="IU177" s="4" t="s">
        <v>544</v>
      </c>
      <c r="IV177" t="s">
        <v>680</v>
      </c>
      <c r="IW177" s="12" t="s">
        <v>681</v>
      </c>
      <c r="IZ177">
        <v>0.5</v>
      </c>
      <c r="JA177" t="s">
        <v>480</v>
      </c>
      <c r="JB177" t="s">
        <v>480</v>
      </c>
      <c r="JC177" t="s">
        <v>480</v>
      </c>
      <c r="JD177" t="s">
        <v>480</v>
      </c>
      <c r="JE177" t="s">
        <v>480</v>
      </c>
      <c r="JF177" t="s">
        <v>480</v>
      </c>
      <c r="JG177" t="s">
        <v>480</v>
      </c>
      <c r="JH177" t="s">
        <v>480</v>
      </c>
      <c r="JI177" t="s">
        <v>480</v>
      </c>
      <c r="JK177" s="12" t="s">
        <v>682</v>
      </c>
      <c r="JP177" s="4"/>
      <c r="KF177" s="7" t="s">
        <v>500</v>
      </c>
      <c r="KJ177" s="7" t="s">
        <v>683</v>
      </c>
      <c r="KK177" s="7" t="s">
        <v>562</v>
      </c>
      <c r="KL177" t="s">
        <v>480</v>
      </c>
      <c r="KM177" t="s">
        <v>480</v>
      </c>
      <c r="MY177" t="s">
        <v>684</v>
      </c>
      <c r="MZ177">
        <v>42</v>
      </c>
      <c r="NB177" s="4" t="s">
        <v>511</v>
      </c>
      <c r="NJ177" t="s">
        <v>826</v>
      </c>
      <c r="NL177" s="4" t="s">
        <v>654</v>
      </c>
      <c r="NM177" s="6" t="s">
        <v>719</v>
      </c>
      <c r="NV177" t="s">
        <v>518</v>
      </c>
      <c r="NW177" s="5" t="s">
        <v>834</v>
      </c>
      <c r="NX177" s="4" t="s">
        <v>520</v>
      </c>
      <c r="NY177" s="3">
        <v>0.21432061051555973</v>
      </c>
      <c r="OB177">
        <v>4</v>
      </c>
      <c r="OU177" t="s">
        <v>835</v>
      </c>
      <c r="OW177">
        <v>1997</v>
      </c>
      <c r="OZ177" s="2" t="s">
        <v>692</v>
      </c>
      <c r="PB177" t="s">
        <v>522</v>
      </c>
      <c r="PC177" s="50">
        <v>46094</v>
      </c>
    </row>
    <row r="178" spans="1:419" ht="15.75" thickBot="1">
      <c r="A178" s="11" t="s">
        <v>665</v>
      </c>
      <c r="B178" t="s">
        <v>666</v>
      </c>
      <c r="C178" t="s">
        <v>667</v>
      </c>
      <c r="D178" s="4" t="s">
        <v>668</v>
      </c>
      <c r="E178" t="s">
        <v>669</v>
      </c>
      <c r="F178" s="88" t="s">
        <v>670</v>
      </c>
      <c r="G178" t="s">
        <v>475</v>
      </c>
      <c r="H178" t="s">
        <v>476</v>
      </c>
      <c r="I178" s="10">
        <v>0.1</v>
      </c>
      <c r="J178" s="10">
        <v>34.566667000000002</v>
      </c>
      <c r="K178">
        <v>150</v>
      </c>
      <c r="AV178" t="s">
        <v>671</v>
      </c>
      <c r="AW178">
        <v>100</v>
      </c>
      <c r="AX178" t="s">
        <v>480</v>
      </c>
      <c r="AY178">
        <v>4</v>
      </c>
      <c r="AZ178" t="s">
        <v>672</v>
      </c>
      <c r="BA178">
        <v>1994</v>
      </c>
      <c r="BB178">
        <v>1998</v>
      </c>
      <c r="BC178" t="s">
        <v>673</v>
      </c>
      <c r="BD178" s="10" t="s">
        <v>693</v>
      </c>
      <c r="BE178" t="s">
        <v>566</v>
      </c>
      <c r="BF178" s="3" t="s">
        <v>484</v>
      </c>
      <c r="BG178" t="s">
        <v>485</v>
      </c>
      <c r="BH178" t="s">
        <v>675</v>
      </c>
      <c r="BI178" s="4" t="s">
        <v>486</v>
      </c>
      <c r="BJ178" s="9">
        <v>53000</v>
      </c>
      <c r="ED178" t="s">
        <v>676</v>
      </c>
      <c r="EE178" s="4" t="s">
        <v>486</v>
      </c>
      <c r="EF178" s="9">
        <v>53000</v>
      </c>
      <c r="EG178" s="9"/>
      <c r="EH178" s="9"/>
      <c r="EI178" s="9"/>
      <c r="EJ178" s="9"/>
      <c r="EK178" s="9"/>
      <c r="EL178" s="9"/>
      <c r="EM178" s="9"/>
      <c r="EN178" s="9"/>
      <c r="EO178" s="9"/>
      <c r="EP178" s="9"/>
      <c r="EQ178" s="9"/>
      <c r="ER178" s="9"/>
      <c r="ES178" s="9"/>
      <c r="ET178" s="9"/>
      <c r="EU178" s="9"/>
      <c r="EV178" s="9"/>
      <c r="EW178" s="9"/>
      <c r="EX178" s="9"/>
      <c r="EY178" s="9"/>
      <c r="EZ178" s="9"/>
      <c r="FA178" s="9"/>
      <c r="FB178" s="9"/>
      <c r="FC178" s="9"/>
      <c r="FD178" s="9"/>
      <c r="FE178" s="9"/>
      <c r="FF178" s="9"/>
      <c r="FG178" s="9"/>
      <c r="FH178" s="9"/>
      <c r="FI178" s="9"/>
      <c r="FJ178" s="9"/>
      <c r="FK178" s="9"/>
      <c r="FL178" s="9"/>
      <c r="FM178" s="9"/>
      <c r="FN178" s="9"/>
      <c r="FO178" s="9"/>
      <c r="FP178" s="9"/>
      <c r="FQ178" s="9"/>
      <c r="FR178" s="9"/>
      <c r="FS178" s="9"/>
      <c r="FT178" s="9"/>
      <c r="FU178" s="9"/>
      <c r="FV178" s="9"/>
      <c r="FW178" s="9"/>
      <c r="FX178" s="9"/>
      <c r="FY178" s="9"/>
      <c r="FZ178" s="9"/>
      <c r="GA178" s="9"/>
      <c r="GB178" s="9"/>
      <c r="GC178" s="9"/>
      <c r="GD178" s="9"/>
      <c r="GE178" s="9"/>
      <c r="GF178" s="9"/>
      <c r="GG178" s="9"/>
      <c r="GH178" s="9"/>
      <c r="GI178" s="9"/>
      <c r="GJ178" s="9"/>
      <c r="GK178" s="9"/>
      <c r="GL178" s="9"/>
      <c r="GM178" s="9"/>
      <c r="GN178" s="9"/>
      <c r="GO178" s="9"/>
      <c r="GP178" s="9"/>
      <c r="GQ178" s="9"/>
      <c r="GR178" s="9"/>
      <c r="GS178" s="9"/>
      <c r="GT178" s="9"/>
      <c r="GU178" s="9"/>
      <c r="GV178" s="9"/>
      <c r="GW178" s="9"/>
      <c r="GX178" s="9"/>
      <c r="GY178" s="9"/>
      <c r="GZ178" s="9"/>
      <c r="HA178" s="9"/>
      <c r="HB178" s="9"/>
      <c r="HC178" s="9"/>
      <c r="HD178" s="9"/>
      <c r="HE178" s="9"/>
      <c r="HF178" s="9"/>
      <c r="HG178" s="9"/>
      <c r="HH178" s="9"/>
      <c r="HI178" s="9"/>
      <c r="HJ178" s="9"/>
      <c r="HQ178" t="s">
        <v>677</v>
      </c>
      <c r="HS178" s="4" t="s">
        <v>490</v>
      </c>
      <c r="HT178" s="50">
        <v>34335</v>
      </c>
      <c r="HU178" s="50">
        <v>36160</v>
      </c>
      <c r="HV178" s="50"/>
      <c r="HW178" s="50"/>
      <c r="IN178" s="4"/>
      <c r="IO178" t="s">
        <v>694</v>
      </c>
      <c r="IP178" s="12" t="s">
        <v>695</v>
      </c>
      <c r="IS178">
        <v>1994</v>
      </c>
      <c r="IT178">
        <v>1994.2</v>
      </c>
      <c r="IU178" s="4" t="s">
        <v>544</v>
      </c>
      <c r="IV178" t="s">
        <v>696</v>
      </c>
      <c r="IW178" s="12" t="s">
        <v>681</v>
      </c>
      <c r="IZ178">
        <v>0.5</v>
      </c>
      <c r="JA178" t="s">
        <v>480</v>
      </c>
      <c r="JB178" t="s">
        <v>480</v>
      </c>
      <c r="JC178" t="s">
        <v>480</v>
      </c>
      <c r="JD178" t="s">
        <v>480</v>
      </c>
      <c r="JE178" t="s">
        <v>480</v>
      </c>
      <c r="JF178" t="s">
        <v>480</v>
      </c>
      <c r="JG178" t="s">
        <v>480</v>
      </c>
      <c r="JH178" t="s">
        <v>480</v>
      </c>
      <c r="JI178" t="s">
        <v>480</v>
      </c>
      <c r="JK178" s="12" t="s">
        <v>682</v>
      </c>
      <c r="JP178" s="4"/>
      <c r="KF178" s="7" t="s">
        <v>500</v>
      </c>
      <c r="KJ178" s="7" t="s">
        <v>683</v>
      </c>
      <c r="KK178" s="7" t="s">
        <v>562</v>
      </c>
      <c r="KL178" t="s">
        <v>480</v>
      </c>
      <c r="KM178" t="s">
        <v>480</v>
      </c>
      <c r="MY178" t="s">
        <v>684</v>
      </c>
      <c r="MZ178">
        <v>42</v>
      </c>
      <c r="NB178" s="4" t="s">
        <v>511</v>
      </c>
      <c r="NJ178" t="s">
        <v>826</v>
      </c>
      <c r="NL178" s="4" t="s">
        <v>654</v>
      </c>
      <c r="NM178" s="6" t="s">
        <v>719</v>
      </c>
      <c r="NV178" t="s">
        <v>518</v>
      </c>
      <c r="NW178" s="5" t="s">
        <v>836</v>
      </c>
      <c r="NX178" s="4" t="s">
        <v>520</v>
      </c>
      <c r="NY178" s="3">
        <v>0.23221154656080012</v>
      </c>
      <c r="OB178">
        <v>4</v>
      </c>
      <c r="OU178" t="s">
        <v>835</v>
      </c>
      <c r="OW178">
        <v>1997</v>
      </c>
      <c r="OZ178" s="2" t="s">
        <v>692</v>
      </c>
      <c r="PB178" t="s">
        <v>522</v>
      </c>
      <c r="PC178" s="50">
        <v>46094</v>
      </c>
    </row>
    <row r="179" spans="1:419" ht="15.75" thickBot="1">
      <c r="A179" s="11" t="s">
        <v>665</v>
      </c>
      <c r="B179" t="s">
        <v>666</v>
      </c>
      <c r="C179" t="s">
        <v>667</v>
      </c>
      <c r="D179" s="4" t="s">
        <v>668</v>
      </c>
      <c r="E179" t="s">
        <v>669</v>
      </c>
      <c r="F179" s="88" t="s">
        <v>670</v>
      </c>
      <c r="G179" t="s">
        <v>475</v>
      </c>
      <c r="H179" t="s">
        <v>476</v>
      </c>
      <c r="I179" s="10">
        <v>0.1</v>
      </c>
      <c r="J179" s="10">
        <v>34.566667000000002</v>
      </c>
      <c r="K179">
        <v>150</v>
      </c>
      <c r="AV179" t="s">
        <v>671</v>
      </c>
      <c r="AW179">
        <v>100</v>
      </c>
      <c r="AX179" t="s">
        <v>480</v>
      </c>
      <c r="AY179">
        <v>4</v>
      </c>
      <c r="AZ179" t="s">
        <v>672</v>
      </c>
      <c r="BA179">
        <v>1994</v>
      </c>
      <c r="BB179">
        <v>1998</v>
      </c>
      <c r="BC179" t="s">
        <v>673</v>
      </c>
      <c r="BD179" s="10" t="s">
        <v>697</v>
      </c>
      <c r="BE179" t="s">
        <v>572</v>
      </c>
      <c r="BF179" s="3" t="s">
        <v>484</v>
      </c>
      <c r="BG179" t="s">
        <v>485</v>
      </c>
      <c r="BH179" t="s">
        <v>675</v>
      </c>
      <c r="BI179" s="4" t="s">
        <v>486</v>
      </c>
      <c r="BJ179" s="9">
        <v>53000</v>
      </c>
      <c r="EE179" s="4"/>
      <c r="EF179" s="9"/>
      <c r="EG179" s="9"/>
      <c r="EH179" s="9"/>
      <c r="EI179" s="9"/>
      <c r="EJ179" s="9"/>
      <c r="EK179" s="9"/>
      <c r="EL179" s="9"/>
      <c r="EM179" s="9"/>
      <c r="EN179" s="9"/>
      <c r="EO179" s="9"/>
      <c r="EP179" s="9"/>
      <c r="EQ179" s="9"/>
      <c r="ER179" s="9"/>
      <c r="ES179" s="9"/>
      <c r="ET179" s="9"/>
      <c r="EU179" s="9"/>
      <c r="EV179" s="9"/>
      <c r="EW179" s="9"/>
      <c r="EX179" s="9"/>
      <c r="EY179" s="9"/>
      <c r="EZ179" s="9"/>
      <c r="FA179" s="9"/>
      <c r="FB179" s="9"/>
      <c r="FC179" s="9"/>
      <c r="FD179" s="9"/>
      <c r="FE179" s="9"/>
      <c r="FF179" s="9"/>
      <c r="FG179" s="9"/>
      <c r="FH179" s="9"/>
      <c r="FI179" s="9"/>
      <c r="FJ179" s="9"/>
      <c r="FK179" s="9"/>
      <c r="FL179" s="9"/>
      <c r="FM179" s="9"/>
      <c r="FN179" s="9"/>
      <c r="FO179" s="9"/>
      <c r="FP179" s="9"/>
      <c r="FQ179" s="9"/>
      <c r="FR179" s="9"/>
      <c r="FS179" s="9"/>
      <c r="FT179" s="9"/>
      <c r="FU179" s="9"/>
      <c r="FV179" s="9"/>
      <c r="FW179" s="9"/>
      <c r="FX179" s="9"/>
      <c r="FY179" s="9"/>
      <c r="FZ179" s="9"/>
      <c r="GA179" s="9"/>
      <c r="GB179" s="9"/>
      <c r="GC179" s="9"/>
      <c r="GD179" s="9"/>
      <c r="GE179" s="9"/>
      <c r="GF179" s="9"/>
      <c r="GG179" s="9"/>
      <c r="GH179" s="9"/>
      <c r="GI179" s="9"/>
      <c r="GJ179" s="9"/>
      <c r="GK179" s="9"/>
      <c r="GL179" s="9"/>
      <c r="GM179" s="9"/>
      <c r="GN179" s="9"/>
      <c r="GO179" s="9"/>
      <c r="GP179" s="9"/>
      <c r="GQ179" s="9"/>
      <c r="GR179" s="9"/>
      <c r="GS179" s="9"/>
      <c r="GT179" s="9"/>
      <c r="GU179" s="9"/>
      <c r="GV179" s="9"/>
      <c r="GW179" s="9"/>
      <c r="GX179" s="9"/>
      <c r="GY179" s="9"/>
      <c r="GZ179" s="9"/>
      <c r="HA179" s="9"/>
      <c r="HB179" s="9"/>
      <c r="HC179" s="9"/>
      <c r="HD179" s="9"/>
      <c r="HE179" s="9"/>
      <c r="HF179" s="9"/>
      <c r="HG179" s="9"/>
      <c r="HH179" s="9"/>
      <c r="HI179" s="9"/>
      <c r="HJ179" s="9"/>
      <c r="HQ179" t="s">
        <v>677</v>
      </c>
      <c r="HS179" s="4" t="s">
        <v>490</v>
      </c>
      <c r="HT179" s="50">
        <v>34335</v>
      </c>
      <c r="HU179" s="50">
        <v>36160</v>
      </c>
      <c r="HV179" s="50"/>
      <c r="HW179" s="50"/>
      <c r="IO179" t="s">
        <v>698</v>
      </c>
      <c r="IP179" s="46" t="s">
        <v>699</v>
      </c>
      <c r="IS179">
        <v>1995</v>
      </c>
      <c r="IT179">
        <v>1995.2</v>
      </c>
      <c r="IU179" s="4" t="s">
        <v>544</v>
      </c>
      <c r="IV179" t="s">
        <v>700</v>
      </c>
      <c r="IW179" t="s">
        <v>492</v>
      </c>
      <c r="JA179">
        <v>0</v>
      </c>
      <c r="JB179">
        <v>0</v>
      </c>
      <c r="JC179">
        <v>0</v>
      </c>
      <c r="JD179">
        <v>0</v>
      </c>
      <c r="JE179">
        <v>0</v>
      </c>
      <c r="JF179">
        <v>0</v>
      </c>
      <c r="JG179">
        <v>0</v>
      </c>
      <c r="JH179">
        <v>0</v>
      </c>
      <c r="JI179">
        <v>0</v>
      </c>
      <c r="JK179" s="12" t="s">
        <v>682</v>
      </c>
      <c r="JP179" s="4"/>
      <c r="KF179" s="7" t="s">
        <v>500</v>
      </c>
      <c r="KJ179" s="7" t="s">
        <v>649</v>
      </c>
      <c r="KK179" s="7"/>
      <c r="MY179" t="s">
        <v>684</v>
      </c>
      <c r="MZ179">
        <v>42</v>
      </c>
      <c r="NB179" s="4" t="s">
        <v>511</v>
      </c>
      <c r="NJ179" t="s">
        <v>826</v>
      </c>
      <c r="NL179" s="4" t="s">
        <v>654</v>
      </c>
      <c r="NM179" s="6" t="s">
        <v>719</v>
      </c>
      <c r="NV179" t="s">
        <v>518</v>
      </c>
      <c r="NW179">
        <v>2.2021013145851001</v>
      </c>
      <c r="NX179" s="4" t="s">
        <v>520</v>
      </c>
      <c r="NY179" s="3">
        <v>0.21442168925026994</v>
      </c>
      <c r="OB179">
        <v>4</v>
      </c>
      <c r="OU179" t="s">
        <v>835</v>
      </c>
      <c r="OW179">
        <v>1997</v>
      </c>
      <c r="OZ179" s="2" t="s">
        <v>692</v>
      </c>
      <c r="PB179" t="s">
        <v>522</v>
      </c>
      <c r="PC179" s="50">
        <v>46094</v>
      </c>
    </row>
    <row r="180" spans="1:419" ht="15.75" thickBot="1">
      <c r="A180" s="11" t="s">
        <v>665</v>
      </c>
      <c r="B180" t="s">
        <v>666</v>
      </c>
      <c r="C180" t="s">
        <v>667</v>
      </c>
      <c r="D180" s="4" t="s">
        <v>668</v>
      </c>
      <c r="E180" t="s">
        <v>669</v>
      </c>
      <c r="F180" s="88" t="s">
        <v>670</v>
      </c>
      <c r="G180" t="s">
        <v>475</v>
      </c>
      <c r="H180" t="s">
        <v>476</v>
      </c>
      <c r="I180" s="10">
        <v>0.1</v>
      </c>
      <c r="J180" s="10">
        <v>34.566667000000002</v>
      </c>
      <c r="K180">
        <v>150</v>
      </c>
      <c r="AV180" t="s">
        <v>671</v>
      </c>
      <c r="AW180">
        <v>100</v>
      </c>
      <c r="AX180" t="s">
        <v>480</v>
      </c>
      <c r="AY180">
        <v>4</v>
      </c>
      <c r="AZ180" t="s">
        <v>672</v>
      </c>
      <c r="BA180">
        <v>1994</v>
      </c>
      <c r="BB180">
        <v>1998</v>
      </c>
      <c r="BC180" t="s">
        <v>673</v>
      </c>
      <c r="BD180" s="10" t="s">
        <v>701</v>
      </c>
      <c r="BE180" t="s">
        <v>553</v>
      </c>
      <c r="BF180" s="3" t="s">
        <v>484</v>
      </c>
      <c r="BG180" t="s">
        <v>485</v>
      </c>
      <c r="BH180" t="s">
        <v>675</v>
      </c>
      <c r="BI180" s="4" t="s">
        <v>486</v>
      </c>
      <c r="BJ180" s="9">
        <v>53000</v>
      </c>
      <c r="EE180" s="4"/>
      <c r="EF180" s="9"/>
      <c r="EG180" s="9"/>
      <c r="EH180" s="9"/>
      <c r="EI180" s="9"/>
      <c r="EJ180" s="9"/>
      <c r="EK180" s="9"/>
      <c r="EL180" s="9"/>
      <c r="EM180" s="9"/>
      <c r="EN180" s="9"/>
      <c r="EO180" s="9"/>
      <c r="EP180" s="9"/>
      <c r="EQ180" s="9"/>
      <c r="ER180" s="9"/>
      <c r="ES180" s="9"/>
      <c r="ET180" s="9"/>
      <c r="EU180" s="9"/>
      <c r="EV180" s="9"/>
      <c r="EW180" s="9"/>
      <c r="EX180" s="9"/>
      <c r="EY180" s="9"/>
      <c r="EZ180" s="9"/>
      <c r="FA180" s="9"/>
      <c r="FB180" s="9"/>
      <c r="FC180" s="9"/>
      <c r="FD180" s="9"/>
      <c r="FE180" s="9"/>
      <c r="FF180" s="9"/>
      <c r="FG180" s="9"/>
      <c r="FH180" s="9"/>
      <c r="FI180" s="9"/>
      <c r="FJ180" s="9"/>
      <c r="FK180" s="9"/>
      <c r="FL180" s="9"/>
      <c r="FM180" s="9"/>
      <c r="FN180" s="9"/>
      <c r="FO180" s="9"/>
      <c r="FP180" s="9"/>
      <c r="FQ180" s="9"/>
      <c r="FR180" s="9"/>
      <c r="FS180" s="9"/>
      <c r="FT180" s="9"/>
      <c r="FU180" s="9"/>
      <c r="FV180" s="9"/>
      <c r="FW180" s="9"/>
      <c r="FX180" s="9"/>
      <c r="FY180" s="9"/>
      <c r="FZ180" s="9"/>
      <c r="GA180" s="9"/>
      <c r="GB180" s="9"/>
      <c r="GC180" s="9"/>
      <c r="GD180" s="9"/>
      <c r="GE180" s="9"/>
      <c r="GF180" s="9"/>
      <c r="GG180" s="9"/>
      <c r="GH180" s="9"/>
      <c r="GI180" s="9"/>
      <c r="GJ180" s="9"/>
      <c r="GK180" s="9"/>
      <c r="GL180" s="9"/>
      <c r="GM180" s="9"/>
      <c r="GN180" s="9"/>
      <c r="GO180" s="9"/>
      <c r="GP180" s="9"/>
      <c r="GQ180" s="9"/>
      <c r="GR180" s="9"/>
      <c r="GS180" s="9"/>
      <c r="GT180" s="9"/>
      <c r="GU180" s="9"/>
      <c r="GV180" s="9"/>
      <c r="GW180" s="9"/>
      <c r="GX180" s="9"/>
      <c r="GY180" s="9"/>
      <c r="GZ180" s="9"/>
      <c r="HA180" s="9"/>
      <c r="HB180" s="9"/>
      <c r="HC180" s="9"/>
      <c r="HD180" s="9"/>
      <c r="HE180" s="9"/>
      <c r="HF180" s="9"/>
      <c r="HG180" s="9"/>
      <c r="HH180" s="9"/>
      <c r="HI180" s="9"/>
      <c r="HJ180" s="9"/>
      <c r="HQ180" t="s">
        <v>677</v>
      </c>
      <c r="HS180" s="4" t="s">
        <v>490</v>
      </c>
      <c r="HT180" s="50">
        <v>34335</v>
      </c>
      <c r="HU180" s="50">
        <v>36160</v>
      </c>
      <c r="HV180" s="50"/>
      <c r="HW180" s="50"/>
      <c r="IO180" t="s">
        <v>702</v>
      </c>
      <c r="IP180" s="13" t="s">
        <v>703</v>
      </c>
      <c r="IS180">
        <v>1994</v>
      </c>
      <c r="IT180">
        <v>1994.2</v>
      </c>
      <c r="IU180" s="4" t="s">
        <v>544</v>
      </c>
      <c r="IV180" t="s">
        <v>700</v>
      </c>
      <c r="IW180" t="s">
        <v>492</v>
      </c>
      <c r="JA180">
        <v>0</v>
      </c>
      <c r="JB180">
        <v>0</v>
      </c>
      <c r="JC180">
        <v>0</v>
      </c>
      <c r="JD180">
        <v>0</v>
      </c>
      <c r="JE180">
        <v>0</v>
      </c>
      <c r="JF180">
        <v>0</v>
      </c>
      <c r="JG180">
        <v>0</v>
      </c>
      <c r="JH180">
        <v>0</v>
      </c>
      <c r="JI180">
        <v>0</v>
      </c>
      <c r="JK180" s="12" t="s">
        <v>682</v>
      </c>
      <c r="JP180" s="4"/>
      <c r="KF180" s="7" t="s">
        <v>500</v>
      </c>
      <c r="KJ180" s="7" t="s">
        <v>649</v>
      </c>
      <c r="KK180" s="7"/>
      <c r="MY180" t="s">
        <v>684</v>
      </c>
      <c r="MZ180">
        <v>42</v>
      </c>
      <c r="NB180" s="4" t="s">
        <v>511</v>
      </c>
      <c r="NJ180" t="s">
        <v>826</v>
      </c>
      <c r="NL180" s="4" t="s">
        <v>654</v>
      </c>
      <c r="NM180" s="6" t="s">
        <v>719</v>
      </c>
      <c r="NV180" t="s">
        <v>518</v>
      </c>
      <c r="NW180" s="5" t="s">
        <v>837</v>
      </c>
      <c r="NX180" s="4" t="s">
        <v>520</v>
      </c>
      <c r="NY180" s="3">
        <v>0.21432061051556017</v>
      </c>
      <c r="OB180">
        <v>4</v>
      </c>
      <c r="OU180" t="s">
        <v>835</v>
      </c>
      <c r="OW180">
        <v>1997</v>
      </c>
      <c r="OZ180" s="2" t="s">
        <v>692</v>
      </c>
      <c r="PB180" t="s">
        <v>522</v>
      </c>
      <c r="PC180" s="50">
        <v>46094</v>
      </c>
    </row>
    <row r="181" spans="1:419" ht="15.75" thickBot="1">
      <c r="A181" s="11" t="s">
        <v>665</v>
      </c>
      <c r="B181" t="s">
        <v>666</v>
      </c>
      <c r="C181" t="s">
        <v>667</v>
      </c>
      <c r="D181" s="4" t="s">
        <v>668</v>
      </c>
      <c r="E181" t="s">
        <v>669</v>
      </c>
      <c r="F181" s="88" t="s">
        <v>670</v>
      </c>
      <c r="G181" t="s">
        <v>475</v>
      </c>
      <c r="H181" t="s">
        <v>476</v>
      </c>
      <c r="I181" s="10">
        <v>0.1</v>
      </c>
      <c r="J181" s="10">
        <v>34.566667000000002</v>
      </c>
      <c r="K181">
        <v>150</v>
      </c>
      <c r="AV181" t="s">
        <v>671</v>
      </c>
      <c r="AW181">
        <v>100</v>
      </c>
      <c r="AX181" t="s">
        <v>480</v>
      </c>
      <c r="AY181">
        <v>4</v>
      </c>
      <c r="AZ181" t="s">
        <v>672</v>
      </c>
      <c r="BA181">
        <v>1994</v>
      </c>
      <c r="BB181">
        <v>1998</v>
      </c>
      <c r="BC181" t="s">
        <v>673</v>
      </c>
      <c r="BD181" s="10" t="s">
        <v>704</v>
      </c>
      <c r="BE181" t="s">
        <v>524</v>
      </c>
      <c r="BF181" s="3" t="s">
        <v>484</v>
      </c>
      <c r="BG181" t="s">
        <v>485</v>
      </c>
      <c r="BH181" t="s">
        <v>675</v>
      </c>
      <c r="BI181" s="4" t="s">
        <v>486</v>
      </c>
      <c r="BJ181" s="9">
        <v>53000</v>
      </c>
      <c r="HQ181" t="s">
        <v>677</v>
      </c>
      <c r="HS181" s="4" t="s">
        <v>490</v>
      </c>
      <c r="HT181" s="50">
        <v>34335</v>
      </c>
      <c r="HU181" s="50">
        <v>36160</v>
      </c>
      <c r="HV181" s="50"/>
      <c r="HW181" s="50"/>
      <c r="IO181" t="s">
        <v>700</v>
      </c>
      <c r="IP181" s="46" t="s">
        <v>492</v>
      </c>
      <c r="IU181" s="4" t="s">
        <v>544</v>
      </c>
      <c r="IV181" t="s">
        <v>700</v>
      </c>
      <c r="IW181" s="46" t="s">
        <v>492</v>
      </c>
      <c r="JA181">
        <v>0</v>
      </c>
      <c r="JB181">
        <v>0</v>
      </c>
      <c r="JC181">
        <v>0</v>
      </c>
      <c r="JD181">
        <v>0</v>
      </c>
      <c r="JE181">
        <v>0</v>
      </c>
      <c r="JF181">
        <v>0</v>
      </c>
      <c r="JG181">
        <v>0</v>
      </c>
      <c r="JH181">
        <v>0</v>
      </c>
      <c r="JI181">
        <v>0</v>
      </c>
      <c r="JK181" s="12" t="s">
        <v>682</v>
      </c>
      <c r="JP181" s="4"/>
      <c r="KF181" s="7" t="s">
        <v>500</v>
      </c>
      <c r="KJ181" s="7" t="s">
        <v>649</v>
      </c>
      <c r="KK181" s="7"/>
      <c r="MY181" t="s">
        <v>684</v>
      </c>
      <c r="MZ181">
        <v>42</v>
      </c>
      <c r="NB181" s="4" t="s">
        <v>511</v>
      </c>
      <c r="NJ181" t="s">
        <v>826</v>
      </c>
      <c r="NL181" s="4" t="s">
        <v>654</v>
      </c>
      <c r="NM181" s="6" t="s">
        <v>719</v>
      </c>
      <c r="NU181" t="s">
        <v>517</v>
      </c>
      <c r="NV181" t="s">
        <v>518</v>
      </c>
      <c r="NW181" s="5" t="s">
        <v>838</v>
      </c>
      <c r="NX181" s="4" t="s">
        <v>520</v>
      </c>
      <c r="NY181" s="3">
        <v>0.23217785364921983</v>
      </c>
      <c r="OB181">
        <v>4</v>
      </c>
      <c r="OU181" t="s">
        <v>835</v>
      </c>
      <c r="OW181">
        <v>1997</v>
      </c>
      <c r="OZ181" s="2" t="s">
        <v>692</v>
      </c>
      <c r="PB181" t="s">
        <v>522</v>
      </c>
      <c r="PC181" s="50">
        <v>46094</v>
      </c>
    </row>
    <row r="182" spans="1:419" ht="15.75" thickBot="1">
      <c r="A182" s="11" t="s">
        <v>665</v>
      </c>
      <c r="B182" t="s">
        <v>666</v>
      </c>
      <c r="C182" t="s">
        <v>667</v>
      </c>
      <c r="D182" s="4" t="s">
        <v>668</v>
      </c>
      <c r="E182" t="s">
        <v>669</v>
      </c>
      <c r="F182" s="88" t="s">
        <v>670</v>
      </c>
      <c r="G182" t="s">
        <v>475</v>
      </c>
      <c r="H182" t="s">
        <v>476</v>
      </c>
      <c r="I182" s="10">
        <v>0.1</v>
      </c>
      <c r="J182" s="10">
        <v>34.566667000000002</v>
      </c>
      <c r="K182">
        <v>150</v>
      </c>
      <c r="AV182" t="s">
        <v>671</v>
      </c>
      <c r="AW182">
        <v>100</v>
      </c>
      <c r="AX182" t="s">
        <v>480</v>
      </c>
      <c r="AY182">
        <v>4</v>
      </c>
      <c r="AZ182" t="s">
        <v>672</v>
      </c>
      <c r="BA182">
        <v>1994</v>
      </c>
      <c r="BB182">
        <v>1998</v>
      </c>
      <c r="BC182" t="s">
        <v>673</v>
      </c>
      <c r="BD182" s="10" t="s">
        <v>705</v>
      </c>
      <c r="BE182" t="s">
        <v>483</v>
      </c>
      <c r="BF182" s="3" t="s">
        <v>484</v>
      </c>
      <c r="BG182" t="s">
        <v>485</v>
      </c>
      <c r="BH182" t="s">
        <v>675</v>
      </c>
      <c r="BI182" s="4" t="s">
        <v>486</v>
      </c>
      <c r="BJ182" s="9">
        <v>53000</v>
      </c>
      <c r="HQ182" t="s">
        <v>677</v>
      </c>
      <c r="HS182" s="4" t="s">
        <v>490</v>
      </c>
      <c r="HT182" s="50">
        <v>34335</v>
      </c>
      <c r="HU182" s="50">
        <v>36160</v>
      </c>
      <c r="HV182" s="50"/>
      <c r="HW182" s="50"/>
      <c r="IO182" t="s">
        <v>706</v>
      </c>
      <c r="IP182" s="46" t="s">
        <v>492</v>
      </c>
      <c r="IU182" s="4" t="s">
        <v>544</v>
      </c>
      <c r="IV182" t="s">
        <v>707</v>
      </c>
      <c r="IW182" s="46" t="s">
        <v>492</v>
      </c>
      <c r="JA182">
        <v>0</v>
      </c>
      <c r="JB182">
        <v>0</v>
      </c>
      <c r="JC182">
        <v>0</v>
      </c>
      <c r="JD182">
        <v>0</v>
      </c>
      <c r="JE182">
        <v>0</v>
      </c>
      <c r="JF182">
        <v>0</v>
      </c>
      <c r="JG182">
        <v>0</v>
      </c>
      <c r="JH182">
        <v>0</v>
      </c>
      <c r="JI182">
        <v>0</v>
      </c>
      <c r="JJ182" t="s">
        <v>706</v>
      </c>
      <c r="JK182" t="s">
        <v>494</v>
      </c>
      <c r="JL182" s="8" t="s">
        <v>495</v>
      </c>
      <c r="JP182" s="4" t="s">
        <v>508</v>
      </c>
      <c r="JQ182">
        <v>60</v>
      </c>
      <c r="JT182">
        <v>60</v>
      </c>
      <c r="KF182" s="7" t="s">
        <v>500</v>
      </c>
      <c r="KJ182" s="7" t="s">
        <v>649</v>
      </c>
      <c r="KK182" s="7"/>
      <c r="MY182" t="s">
        <v>684</v>
      </c>
      <c r="MZ182">
        <v>42</v>
      </c>
      <c r="NB182" s="4" t="s">
        <v>511</v>
      </c>
      <c r="NJ182" t="s">
        <v>826</v>
      </c>
      <c r="NL182" s="4" t="s">
        <v>654</v>
      </c>
      <c r="NM182" s="6" t="s">
        <v>719</v>
      </c>
      <c r="NU182" t="s">
        <v>708</v>
      </c>
      <c r="NV182" t="s">
        <v>518</v>
      </c>
      <c r="NW182" s="5" t="s">
        <v>839</v>
      </c>
      <c r="NX182" s="4" t="s">
        <v>520</v>
      </c>
      <c r="NY182" s="3">
        <v>0.30367421200702971</v>
      </c>
      <c r="OB182">
        <v>4</v>
      </c>
      <c r="OU182" t="s">
        <v>835</v>
      </c>
      <c r="OW182">
        <v>1997</v>
      </c>
      <c r="OZ182" s="2" t="s">
        <v>692</v>
      </c>
      <c r="PB182" t="s">
        <v>522</v>
      </c>
      <c r="PC182" s="50">
        <v>46094</v>
      </c>
    </row>
    <row r="183" spans="1:419" ht="15.75" thickBot="1">
      <c r="A183" s="11" t="s">
        <v>665</v>
      </c>
      <c r="B183" t="s">
        <v>666</v>
      </c>
      <c r="C183" t="s">
        <v>667</v>
      </c>
      <c r="D183" s="4" t="s">
        <v>668</v>
      </c>
      <c r="E183" t="s">
        <v>669</v>
      </c>
      <c r="F183" s="88" t="s">
        <v>670</v>
      </c>
      <c r="G183" t="s">
        <v>475</v>
      </c>
      <c r="H183" t="s">
        <v>476</v>
      </c>
      <c r="I183" s="10">
        <v>0.1</v>
      </c>
      <c r="J183" s="10">
        <v>34.566667000000002</v>
      </c>
      <c r="K183">
        <v>150</v>
      </c>
      <c r="AV183" t="s">
        <v>671</v>
      </c>
      <c r="AW183">
        <v>100</v>
      </c>
      <c r="AX183" t="s">
        <v>480</v>
      </c>
      <c r="AY183">
        <v>4</v>
      </c>
      <c r="AZ183" t="s">
        <v>672</v>
      </c>
      <c r="BA183">
        <v>1994</v>
      </c>
      <c r="BB183">
        <v>1998</v>
      </c>
      <c r="BC183" t="s">
        <v>673</v>
      </c>
      <c r="BD183" s="10" t="s">
        <v>674</v>
      </c>
      <c r="BE183" t="s">
        <v>536</v>
      </c>
      <c r="BF183" s="3" t="s">
        <v>484</v>
      </c>
      <c r="BG183" t="s">
        <v>485</v>
      </c>
      <c r="BH183" t="s">
        <v>675</v>
      </c>
      <c r="BI183" s="4" t="s">
        <v>486</v>
      </c>
      <c r="BJ183" s="9">
        <v>53000</v>
      </c>
      <c r="ED183" t="s">
        <v>676</v>
      </c>
      <c r="EE183" s="4" t="s">
        <v>486</v>
      </c>
      <c r="EF183" s="9">
        <v>53000</v>
      </c>
      <c r="EG183" s="9"/>
      <c r="EH183" s="9"/>
      <c r="EI183" s="9"/>
      <c r="EJ183" s="9"/>
      <c r="EK183" s="9"/>
      <c r="EL183" s="9"/>
      <c r="EM183" s="9"/>
      <c r="EN183" s="9"/>
      <c r="EO183" s="9"/>
      <c r="EP183" s="9"/>
      <c r="EQ183" s="9"/>
      <c r="ER183" s="9"/>
      <c r="ES183" s="9"/>
      <c r="ET183" s="9"/>
      <c r="EU183" s="9"/>
      <c r="EV183" s="9"/>
      <c r="EW183" s="9"/>
      <c r="EX183" s="9"/>
      <c r="EY183" s="9"/>
      <c r="EZ183" s="9"/>
      <c r="FA183" s="9"/>
      <c r="FB183" s="9"/>
      <c r="FC183" s="9"/>
      <c r="FD183" s="9"/>
      <c r="FE183" s="9"/>
      <c r="FF183" s="9"/>
      <c r="FG183" s="9"/>
      <c r="FH183" s="9"/>
      <c r="FI183" s="9"/>
      <c r="FJ183" s="9"/>
      <c r="FK183" s="9"/>
      <c r="FL183" s="9"/>
      <c r="FM183" s="9"/>
      <c r="FN183" s="9"/>
      <c r="FO183" s="9"/>
      <c r="FP183" s="9"/>
      <c r="FQ183" s="9"/>
      <c r="FR183" s="9"/>
      <c r="FS183" s="9"/>
      <c r="FT183" s="9"/>
      <c r="FU183" s="9"/>
      <c r="FV183" s="9"/>
      <c r="FW183" s="9"/>
      <c r="FX183" s="9"/>
      <c r="FY183" s="9"/>
      <c r="FZ183" s="9"/>
      <c r="GA183" s="9"/>
      <c r="GB183" s="9"/>
      <c r="GC183" s="9"/>
      <c r="GD183" s="9"/>
      <c r="GE183" s="9"/>
      <c r="GF183" s="9"/>
      <c r="GG183" s="9"/>
      <c r="GH183" s="9"/>
      <c r="GI183" s="9"/>
      <c r="GJ183" s="9"/>
      <c r="GK183" s="9"/>
      <c r="GL183" s="9"/>
      <c r="GM183" s="9"/>
      <c r="GN183" s="9"/>
      <c r="GO183" s="9"/>
      <c r="GP183" s="9"/>
      <c r="GQ183" s="9"/>
      <c r="GR183" s="9"/>
      <c r="GS183" s="9"/>
      <c r="GT183" s="9"/>
      <c r="GU183" s="9"/>
      <c r="GV183" s="9"/>
      <c r="GW183" s="9"/>
      <c r="GX183" s="9"/>
      <c r="GY183" s="9"/>
      <c r="GZ183" s="9"/>
      <c r="HA183" s="9"/>
      <c r="HB183" s="9"/>
      <c r="HC183" s="9"/>
      <c r="HD183" s="9"/>
      <c r="HE183" s="9"/>
      <c r="HF183" s="9"/>
      <c r="HG183" s="9"/>
      <c r="HH183" s="9"/>
      <c r="HI183" s="9"/>
      <c r="HJ183" s="9"/>
      <c r="HQ183" t="s">
        <v>677</v>
      </c>
      <c r="HS183" s="4" t="s">
        <v>490</v>
      </c>
      <c r="HT183" s="50">
        <v>34335</v>
      </c>
      <c r="HU183" s="50">
        <v>36160</v>
      </c>
      <c r="HV183" s="50"/>
      <c r="HW183" s="50"/>
      <c r="IN183" s="4"/>
      <c r="IO183" t="s">
        <v>678</v>
      </c>
      <c r="IP183" s="12" t="s">
        <v>679</v>
      </c>
      <c r="IS183">
        <v>1995</v>
      </c>
      <c r="IT183">
        <v>1995.2</v>
      </c>
      <c r="IU183" s="4" t="s">
        <v>544</v>
      </c>
      <c r="IV183" t="s">
        <v>680</v>
      </c>
      <c r="IW183" s="12" t="s">
        <v>681</v>
      </c>
      <c r="IZ183">
        <v>0.5</v>
      </c>
      <c r="JA183" t="s">
        <v>480</v>
      </c>
      <c r="JB183" t="s">
        <v>480</v>
      </c>
      <c r="JC183" t="s">
        <v>480</v>
      </c>
      <c r="JD183" t="s">
        <v>480</v>
      </c>
      <c r="JE183" t="s">
        <v>480</v>
      </c>
      <c r="JF183" t="s">
        <v>480</v>
      </c>
      <c r="JG183" t="s">
        <v>480</v>
      </c>
      <c r="JH183" t="s">
        <v>480</v>
      </c>
      <c r="JI183" t="s">
        <v>480</v>
      </c>
      <c r="JK183" s="12" t="s">
        <v>682</v>
      </c>
      <c r="JP183" s="4"/>
      <c r="KF183" s="7" t="s">
        <v>500</v>
      </c>
      <c r="KJ183" s="7" t="s">
        <v>683</v>
      </c>
      <c r="KK183" s="7" t="s">
        <v>562</v>
      </c>
      <c r="KL183" t="s">
        <v>480</v>
      </c>
      <c r="KM183" t="s">
        <v>480</v>
      </c>
      <c r="MY183" t="s">
        <v>684</v>
      </c>
      <c r="MZ183">
        <v>42</v>
      </c>
      <c r="NB183" s="4" t="s">
        <v>511</v>
      </c>
      <c r="NJ183" t="s">
        <v>826</v>
      </c>
      <c r="NL183" s="4" t="s">
        <v>654</v>
      </c>
      <c r="NM183" s="6" t="s">
        <v>719</v>
      </c>
      <c r="NV183" t="s">
        <v>518</v>
      </c>
      <c r="NW183" s="5" t="s">
        <v>840</v>
      </c>
      <c r="NX183" s="4" t="s">
        <v>520</v>
      </c>
      <c r="NY183" s="3">
        <v>0.19639598155875015</v>
      </c>
      <c r="OB183">
        <v>4</v>
      </c>
      <c r="OU183" t="s">
        <v>841</v>
      </c>
      <c r="OW183">
        <v>1998</v>
      </c>
      <c r="OZ183" s="2" t="s">
        <v>692</v>
      </c>
      <c r="PB183" t="s">
        <v>522</v>
      </c>
      <c r="PC183" s="50">
        <v>46094</v>
      </c>
    </row>
    <row r="184" spans="1:419" ht="15.75" thickBot="1">
      <c r="A184" s="11" t="s">
        <v>665</v>
      </c>
      <c r="B184" t="s">
        <v>666</v>
      </c>
      <c r="C184" t="s">
        <v>667</v>
      </c>
      <c r="D184" s="4" t="s">
        <v>668</v>
      </c>
      <c r="E184" t="s">
        <v>669</v>
      </c>
      <c r="F184" s="88" t="s">
        <v>670</v>
      </c>
      <c r="G184" t="s">
        <v>475</v>
      </c>
      <c r="H184" t="s">
        <v>476</v>
      </c>
      <c r="I184" s="10">
        <v>0.1</v>
      </c>
      <c r="J184" s="10">
        <v>34.566667000000002</v>
      </c>
      <c r="K184">
        <v>150</v>
      </c>
      <c r="AV184" t="s">
        <v>671</v>
      </c>
      <c r="AW184">
        <v>100</v>
      </c>
      <c r="AX184" t="s">
        <v>480</v>
      </c>
      <c r="AY184">
        <v>4</v>
      </c>
      <c r="AZ184" t="s">
        <v>672</v>
      </c>
      <c r="BA184">
        <v>1994</v>
      </c>
      <c r="BB184">
        <v>1998</v>
      </c>
      <c r="BC184" t="s">
        <v>673</v>
      </c>
      <c r="BD184" s="10" t="s">
        <v>693</v>
      </c>
      <c r="BE184" t="s">
        <v>566</v>
      </c>
      <c r="BF184" s="3" t="s">
        <v>484</v>
      </c>
      <c r="BG184" t="s">
        <v>485</v>
      </c>
      <c r="BH184" t="s">
        <v>675</v>
      </c>
      <c r="BI184" s="4" t="s">
        <v>486</v>
      </c>
      <c r="BJ184" s="9">
        <v>53000</v>
      </c>
      <c r="ED184" t="s">
        <v>676</v>
      </c>
      <c r="EE184" s="4" t="s">
        <v>486</v>
      </c>
      <c r="EF184" s="9">
        <v>53000</v>
      </c>
      <c r="EG184" s="9"/>
      <c r="EH184" s="9"/>
      <c r="EI184" s="9"/>
      <c r="EJ184" s="9"/>
      <c r="EK184" s="9"/>
      <c r="EL184" s="9"/>
      <c r="EM184" s="9"/>
      <c r="EN184" s="9"/>
      <c r="EO184" s="9"/>
      <c r="EP184" s="9"/>
      <c r="EQ184" s="9"/>
      <c r="ER184" s="9"/>
      <c r="ES184" s="9"/>
      <c r="ET184" s="9"/>
      <c r="EU184" s="9"/>
      <c r="EV184" s="9"/>
      <c r="EW184" s="9"/>
      <c r="EX184" s="9"/>
      <c r="EY184" s="9"/>
      <c r="EZ184" s="9"/>
      <c r="FA184" s="9"/>
      <c r="FB184" s="9"/>
      <c r="FC184" s="9"/>
      <c r="FD184" s="9"/>
      <c r="FE184" s="9"/>
      <c r="FF184" s="9"/>
      <c r="FG184" s="9"/>
      <c r="FH184" s="9"/>
      <c r="FI184" s="9"/>
      <c r="FJ184" s="9"/>
      <c r="FK184" s="9"/>
      <c r="FL184" s="9"/>
      <c r="FM184" s="9"/>
      <c r="FN184" s="9"/>
      <c r="FO184" s="9"/>
      <c r="FP184" s="9"/>
      <c r="FQ184" s="9"/>
      <c r="FR184" s="9"/>
      <c r="FS184" s="9"/>
      <c r="FT184" s="9"/>
      <c r="FU184" s="9"/>
      <c r="FV184" s="9"/>
      <c r="FW184" s="9"/>
      <c r="FX184" s="9"/>
      <c r="FY184" s="9"/>
      <c r="FZ184" s="9"/>
      <c r="GA184" s="9"/>
      <c r="GB184" s="9"/>
      <c r="GC184" s="9"/>
      <c r="GD184" s="9"/>
      <c r="GE184" s="9"/>
      <c r="GF184" s="9"/>
      <c r="GG184" s="9"/>
      <c r="GH184" s="9"/>
      <c r="GI184" s="9"/>
      <c r="GJ184" s="9"/>
      <c r="GK184" s="9"/>
      <c r="GL184" s="9"/>
      <c r="GM184" s="9"/>
      <c r="GN184" s="9"/>
      <c r="GO184" s="9"/>
      <c r="GP184" s="9"/>
      <c r="GQ184" s="9"/>
      <c r="GR184" s="9"/>
      <c r="GS184" s="9"/>
      <c r="GT184" s="9"/>
      <c r="GU184" s="9"/>
      <c r="GV184" s="9"/>
      <c r="GW184" s="9"/>
      <c r="GX184" s="9"/>
      <c r="GY184" s="9"/>
      <c r="GZ184" s="9"/>
      <c r="HA184" s="9"/>
      <c r="HB184" s="9"/>
      <c r="HC184" s="9"/>
      <c r="HD184" s="9"/>
      <c r="HE184" s="9"/>
      <c r="HF184" s="9"/>
      <c r="HG184" s="9"/>
      <c r="HH184" s="9"/>
      <c r="HI184" s="9"/>
      <c r="HJ184" s="9"/>
      <c r="HQ184" t="s">
        <v>677</v>
      </c>
      <c r="HS184" s="4" t="s">
        <v>490</v>
      </c>
      <c r="HT184" s="50">
        <v>34335</v>
      </c>
      <c r="HU184" s="50">
        <v>36160</v>
      </c>
      <c r="HV184" s="50"/>
      <c r="HW184" s="50"/>
      <c r="IN184" s="4"/>
      <c r="IO184" t="s">
        <v>694</v>
      </c>
      <c r="IP184" s="12" t="s">
        <v>695</v>
      </c>
      <c r="IS184">
        <v>1994</v>
      </c>
      <c r="IT184">
        <v>1994.2</v>
      </c>
      <c r="IU184" s="4" t="s">
        <v>544</v>
      </c>
      <c r="IV184" t="s">
        <v>696</v>
      </c>
      <c r="IW184" s="12" t="s">
        <v>681</v>
      </c>
      <c r="IZ184">
        <v>0.5</v>
      </c>
      <c r="JA184" t="s">
        <v>480</v>
      </c>
      <c r="JB184" t="s">
        <v>480</v>
      </c>
      <c r="JC184" t="s">
        <v>480</v>
      </c>
      <c r="JD184" t="s">
        <v>480</v>
      </c>
      <c r="JE184" t="s">
        <v>480</v>
      </c>
      <c r="JF184" t="s">
        <v>480</v>
      </c>
      <c r="JG184" t="s">
        <v>480</v>
      </c>
      <c r="JH184" t="s">
        <v>480</v>
      </c>
      <c r="JI184" t="s">
        <v>480</v>
      </c>
      <c r="JK184" s="12" t="s">
        <v>682</v>
      </c>
      <c r="JP184" s="4"/>
      <c r="KF184" s="7" t="s">
        <v>500</v>
      </c>
      <c r="KJ184" s="7" t="s">
        <v>683</v>
      </c>
      <c r="KK184" s="7" t="s">
        <v>562</v>
      </c>
      <c r="KL184" t="s">
        <v>480</v>
      </c>
      <c r="KM184" t="s">
        <v>480</v>
      </c>
      <c r="MY184" t="s">
        <v>684</v>
      </c>
      <c r="MZ184">
        <v>42</v>
      </c>
      <c r="NB184" s="4" t="s">
        <v>511</v>
      </c>
      <c r="NJ184" t="s">
        <v>826</v>
      </c>
      <c r="NL184" s="4" t="s">
        <v>654</v>
      </c>
      <c r="NM184" s="6" t="s">
        <v>719</v>
      </c>
      <c r="NV184" t="s">
        <v>518</v>
      </c>
      <c r="NW184" s="5" t="s">
        <v>842</v>
      </c>
      <c r="NX184" s="4" t="s">
        <v>520</v>
      </c>
      <c r="NY184" s="3">
        <v>0.19649706029347014</v>
      </c>
      <c r="OB184">
        <v>4</v>
      </c>
      <c r="OU184" t="s">
        <v>841</v>
      </c>
      <c r="OW184">
        <v>1998</v>
      </c>
      <c r="OZ184" s="2" t="s">
        <v>692</v>
      </c>
      <c r="PB184" t="s">
        <v>522</v>
      </c>
      <c r="PC184" s="50">
        <v>46094</v>
      </c>
    </row>
    <row r="185" spans="1:419" ht="15.75" thickBot="1">
      <c r="A185" s="11" t="s">
        <v>665</v>
      </c>
      <c r="B185" t="s">
        <v>666</v>
      </c>
      <c r="C185" t="s">
        <v>667</v>
      </c>
      <c r="D185" s="4" t="s">
        <v>668</v>
      </c>
      <c r="E185" t="s">
        <v>669</v>
      </c>
      <c r="F185" s="88" t="s">
        <v>670</v>
      </c>
      <c r="G185" t="s">
        <v>475</v>
      </c>
      <c r="H185" t="s">
        <v>476</v>
      </c>
      <c r="I185" s="10">
        <v>0.1</v>
      </c>
      <c r="J185" s="10">
        <v>34.566667000000002</v>
      </c>
      <c r="K185">
        <v>150</v>
      </c>
      <c r="AV185" t="s">
        <v>671</v>
      </c>
      <c r="AW185">
        <v>100</v>
      </c>
      <c r="AX185" t="s">
        <v>480</v>
      </c>
      <c r="AY185">
        <v>4</v>
      </c>
      <c r="AZ185" t="s">
        <v>672</v>
      </c>
      <c r="BA185">
        <v>1994</v>
      </c>
      <c r="BB185">
        <v>1998</v>
      </c>
      <c r="BC185" t="s">
        <v>673</v>
      </c>
      <c r="BD185" s="10" t="s">
        <v>697</v>
      </c>
      <c r="BE185" t="s">
        <v>572</v>
      </c>
      <c r="BF185" s="3" t="s">
        <v>484</v>
      </c>
      <c r="BG185" t="s">
        <v>485</v>
      </c>
      <c r="BH185" t="s">
        <v>675</v>
      </c>
      <c r="BI185" s="4" t="s">
        <v>486</v>
      </c>
      <c r="BJ185" s="9">
        <v>53000</v>
      </c>
      <c r="EE185" s="4"/>
      <c r="EF185" s="9"/>
      <c r="EG185" s="9"/>
      <c r="EH185" s="9"/>
      <c r="EI185" s="9"/>
      <c r="EJ185" s="9"/>
      <c r="EK185" s="9"/>
      <c r="EL185" s="9"/>
      <c r="EM185" s="9"/>
      <c r="EN185" s="9"/>
      <c r="EO185" s="9"/>
      <c r="EP185" s="9"/>
      <c r="EQ185" s="9"/>
      <c r="ER185" s="9"/>
      <c r="ES185" s="9"/>
      <c r="ET185" s="9"/>
      <c r="EU185" s="9"/>
      <c r="EV185" s="9"/>
      <c r="EW185" s="9"/>
      <c r="EX185" s="9"/>
      <c r="EY185" s="9"/>
      <c r="EZ185" s="9"/>
      <c r="FA185" s="9"/>
      <c r="FB185" s="9"/>
      <c r="FC185" s="9"/>
      <c r="FD185" s="9"/>
      <c r="FE185" s="9"/>
      <c r="FF185" s="9"/>
      <c r="FG185" s="9"/>
      <c r="FH185" s="9"/>
      <c r="FI185" s="9"/>
      <c r="FJ185" s="9"/>
      <c r="FK185" s="9"/>
      <c r="FL185" s="9"/>
      <c r="FM185" s="9"/>
      <c r="FN185" s="9"/>
      <c r="FO185" s="9"/>
      <c r="FP185" s="9"/>
      <c r="FQ185" s="9"/>
      <c r="FR185" s="9"/>
      <c r="FS185" s="9"/>
      <c r="FT185" s="9"/>
      <c r="FU185" s="9"/>
      <c r="FV185" s="9"/>
      <c r="FW185" s="9"/>
      <c r="FX185" s="9"/>
      <c r="FY185" s="9"/>
      <c r="FZ185" s="9"/>
      <c r="GA185" s="9"/>
      <c r="GB185" s="9"/>
      <c r="GC185" s="9"/>
      <c r="GD185" s="9"/>
      <c r="GE185" s="9"/>
      <c r="GF185" s="9"/>
      <c r="GG185" s="9"/>
      <c r="GH185" s="9"/>
      <c r="GI185" s="9"/>
      <c r="GJ185" s="9"/>
      <c r="GK185" s="9"/>
      <c r="GL185" s="9"/>
      <c r="GM185" s="9"/>
      <c r="GN185" s="9"/>
      <c r="GO185" s="9"/>
      <c r="GP185" s="9"/>
      <c r="GQ185" s="9"/>
      <c r="GR185" s="9"/>
      <c r="GS185" s="9"/>
      <c r="GT185" s="9"/>
      <c r="GU185" s="9"/>
      <c r="GV185" s="9"/>
      <c r="GW185" s="9"/>
      <c r="GX185" s="9"/>
      <c r="GY185" s="9"/>
      <c r="GZ185" s="9"/>
      <c r="HA185" s="9"/>
      <c r="HB185" s="9"/>
      <c r="HC185" s="9"/>
      <c r="HD185" s="9"/>
      <c r="HE185" s="9"/>
      <c r="HF185" s="9"/>
      <c r="HG185" s="9"/>
      <c r="HH185" s="9"/>
      <c r="HI185" s="9"/>
      <c r="HJ185" s="9"/>
      <c r="HQ185" t="s">
        <v>677</v>
      </c>
      <c r="HS185" s="4" t="s">
        <v>490</v>
      </c>
      <c r="HT185" s="50">
        <v>34335</v>
      </c>
      <c r="HU185" s="50">
        <v>36160</v>
      </c>
      <c r="HV185" s="50"/>
      <c r="HW185" s="50"/>
      <c r="IO185" t="s">
        <v>698</v>
      </c>
      <c r="IP185" s="46" t="s">
        <v>699</v>
      </c>
      <c r="IS185">
        <v>1995</v>
      </c>
      <c r="IT185">
        <v>1995.2</v>
      </c>
      <c r="IU185" s="4" t="s">
        <v>544</v>
      </c>
      <c r="IV185" t="s">
        <v>700</v>
      </c>
      <c r="IW185" t="s">
        <v>492</v>
      </c>
      <c r="JA185">
        <v>0</v>
      </c>
      <c r="JB185">
        <v>0</v>
      </c>
      <c r="JC185">
        <v>0</v>
      </c>
      <c r="JD185">
        <v>0</v>
      </c>
      <c r="JE185">
        <v>0</v>
      </c>
      <c r="JF185">
        <v>0</v>
      </c>
      <c r="JG185">
        <v>0</v>
      </c>
      <c r="JH185">
        <v>0</v>
      </c>
      <c r="JI185">
        <v>0</v>
      </c>
      <c r="JK185" s="12" t="s">
        <v>682</v>
      </c>
      <c r="JP185" s="4"/>
      <c r="KF185" s="7" t="s">
        <v>500</v>
      </c>
      <c r="KJ185" s="7" t="s">
        <v>649</v>
      </c>
      <c r="KK185" s="7"/>
      <c r="MY185" t="s">
        <v>684</v>
      </c>
      <c r="MZ185">
        <v>42</v>
      </c>
      <c r="NB185" s="4" t="s">
        <v>511</v>
      </c>
      <c r="NJ185" t="s">
        <v>826</v>
      </c>
      <c r="NL185" s="4" t="s">
        <v>654</v>
      </c>
      <c r="NM185" s="6" t="s">
        <v>719</v>
      </c>
      <c r="NV185" t="s">
        <v>518</v>
      </c>
      <c r="NW185" s="5" t="s">
        <v>843</v>
      </c>
      <c r="NX185" s="4" t="s">
        <v>520</v>
      </c>
      <c r="NY185" s="3">
        <v>0.14279055924617001</v>
      </c>
      <c r="OB185">
        <v>4</v>
      </c>
      <c r="OU185" t="s">
        <v>841</v>
      </c>
      <c r="OW185">
        <v>1998</v>
      </c>
      <c r="OZ185" s="2" t="s">
        <v>692</v>
      </c>
      <c r="PB185" t="s">
        <v>522</v>
      </c>
      <c r="PC185" s="50">
        <v>46094</v>
      </c>
    </row>
    <row r="186" spans="1:419" ht="15.75" thickBot="1">
      <c r="A186" s="11" t="s">
        <v>665</v>
      </c>
      <c r="B186" t="s">
        <v>666</v>
      </c>
      <c r="C186" t="s">
        <v>667</v>
      </c>
      <c r="D186" s="4" t="s">
        <v>668</v>
      </c>
      <c r="E186" t="s">
        <v>669</v>
      </c>
      <c r="F186" s="88" t="s">
        <v>670</v>
      </c>
      <c r="G186" t="s">
        <v>475</v>
      </c>
      <c r="H186" t="s">
        <v>476</v>
      </c>
      <c r="I186" s="10">
        <v>0.1</v>
      </c>
      <c r="J186" s="10">
        <v>34.566667000000002</v>
      </c>
      <c r="K186">
        <v>150</v>
      </c>
      <c r="AV186" t="s">
        <v>671</v>
      </c>
      <c r="AW186">
        <v>100</v>
      </c>
      <c r="AX186" t="s">
        <v>480</v>
      </c>
      <c r="AY186">
        <v>4</v>
      </c>
      <c r="AZ186" t="s">
        <v>672</v>
      </c>
      <c r="BA186">
        <v>1994</v>
      </c>
      <c r="BB186">
        <v>1998</v>
      </c>
      <c r="BC186" t="s">
        <v>673</v>
      </c>
      <c r="BD186" s="10" t="s">
        <v>701</v>
      </c>
      <c r="BE186" t="s">
        <v>553</v>
      </c>
      <c r="BF186" s="3" t="s">
        <v>484</v>
      </c>
      <c r="BG186" t="s">
        <v>485</v>
      </c>
      <c r="BH186" t="s">
        <v>675</v>
      </c>
      <c r="BI186" s="4" t="s">
        <v>486</v>
      </c>
      <c r="BJ186" s="9">
        <v>53000</v>
      </c>
      <c r="EE186" s="4"/>
      <c r="EF186" s="9"/>
      <c r="EG186" s="9"/>
      <c r="EH186" s="9"/>
      <c r="EI186" s="9"/>
      <c r="EJ186" s="9"/>
      <c r="EK186" s="9"/>
      <c r="EL186" s="9"/>
      <c r="EM186" s="9"/>
      <c r="EN186" s="9"/>
      <c r="EO186" s="9"/>
      <c r="EP186" s="9"/>
      <c r="EQ186" s="9"/>
      <c r="ER186" s="9"/>
      <c r="ES186" s="9"/>
      <c r="ET186" s="9"/>
      <c r="EU186" s="9"/>
      <c r="EV186" s="9"/>
      <c r="EW186" s="9"/>
      <c r="EX186" s="9"/>
      <c r="EY186" s="9"/>
      <c r="EZ186" s="9"/>
      <c r="FA186" s="9"/>
      <c r="FB186" s="9"/>
      <c r="FC186" s="9"/>
      <c r="FD186" s="9"/>
      <c r="FE186" s="9"/>
      <c r="FF186" s="9"/>
      <c r="FG186" s="9"/>
      <c r="FH186" s="9"/>
      <c r="FI186" s="9"/>
      <c r="FJ186" s="9"/>
      <c r="FK186" s="9"/>
      <c r="FL186" s="9"/>
      <c r="FM186" s="9"/>
      <c r="FN186" s="9"/>
      <c r="FO186" s="9"/>
      <c r="FP186" s="9"/>
      <c r="FQ186" s="9"/>
      <c r="FR186" s="9"/>
      <c r="FS186" s="9"/>
      <c r="FT186" s="9"/>
      <c r="FU186" s="9"/>
      <c r="FV186" s="9"/>
      <c r="FW186" s="9"/>
      <c r="FX186" s="9"/>
      <c r="FY186" s="9"/>
      <c r="FZ186" s="9"/>
      <c r="GA186" s="9"/>
      <c r="GB186" s="9"/>
      <c r="GC186" s="9"/>
      <c r="GD186" s="9"/>
      <c r="GE186" s="9"/>
      <c r="GF186" s="9"/>
      <c r="GG186" s="9"/>
      <c r="GH186" s="9"/>
      <c r="GI186" s="9"/>
      <c r="GJ186" s="9"/>
      <c r="GK186" s="9"/>
      <c r="GL186" s="9"/>
      <c r="GM186" s="9"/>
      <c r="GN186" s="9"/>
      <c r="GO186" s="9"/>
      <c r="GP186" s="9"/>
      <c r="GQ186" s="9"/>
      <c r="GR186" s="9"/>
      <c r="GS186" s="9"/>
      <c r="GT186" s="9"/>
      <c r="GU186" s="9"/>
      <c r="GV186" s="9"/>
      <c r="GW186" s="9"/>
      <c r="GX186" s="9"/>
      <c r="GY186" s="9"/>
      <c r="GZ186" s="9"/>
      <c r="HA186" s="9"/>
      <c r="HB186" s="9"/>
      <c r="HC186" s="9"/>
      <c r="HD186" s="9"/>
      <c r="HE186" s="9"/>
      <c r="HF186" s="9"/>
      <c r="HG186" s="9"/>
      <c r="HH186" s="9"/>
      <c r="HI186" s="9"/>
      <c r="HJ186" s="9"/>
      <c r="HQ186" t="s">
        <v>677</v>
      </c>
      <c r="HS186" s="4" t="s">
        <v>490</v>
      </c>
      <c r="HT186" s="50">
        <v>34335</v>
      </c>
      <c r="HU186" s="50">
        <v>36160</v>
      </c>
      <c r="HV186" s="50"/>
      <c r="HW186" s="50"/>
      <c r="IO186" t="s">
        <v>702</v>
      </c>
      <c r="IP186" s="13" t="s">
        <v>703</v>
      </c>
      <c r="IS186">
        <v>1994</v>
      </c>
      <c r="IT186">
        <v>1994.2</v>
      </c>
      <c r="IU186" s="4" t="s">
        <v>544</v>
      </c>
      <c r="IV186" t="s">
        <v>700</v>
      </c>
      <c r="IW186" t="s">
        <v>492</v>
      </c>
      <c r="JA186">
        <v>0</v>
      </c>
      <c r="JB186">
        <v>0</v>
      </c>
      <c r="JC186">
        <v>0</v>
      </c>
      <c r="JD186">
        <v>0</v>
      </c>
      <c r="JE186">
        <v>0</v>
      </c>
      <c r="JF186">
        <v>0</v>
      </c>
      <c r="JG186">
        <v>0</v>
      </c>
      <c r="JH186">
        <v>0</v>
      </c>
      <c r="JI186">
        <v>0</v>
      </c>
      <c r="JK186" s="12" t="s">
        <v>682</v>
      </c>
      <c r="JP186" s="4"/>
      <c r="KF186" s="7" t="s">
        <v>500</v>
      </c>
      <c r="KJ186" s="7" t="s">
        <v>649</v>
      </c>
      <c r="KK186" s="7"/>
      <c r="MY186" t="s">
        <v>684</v>
      </c>
      <c r="MZ186">
        <v>42</v>
      </c>
      <c r="NB186" s="4" t="s">
        <v>511</v>
      </c>
      <c r="NJ186" t="s">
        <v>826</v>
      </c>
      <c r="NL186" s="4" t="s">
        <v>654</v>
      </c>
      <c r="NM186" s="6" t="s">
        <v>719</v>
      </c>
      <c r="NV186" t="s">
        <v>518</v>
      </c>
      <c r="NW186" s="5" t="s">
        <v>844</v>
      </c>
      <c r="NX186" s="4" t="s">
        <v>520</v>
      </c>
      <c r="NY186" s="3">
        <v>0.21425322469241004</v>
      </c>
      <c r="OB186">
        <v>4</v>
      </c>
      <c r="OU186" t="s">
        <v>841</v>
      </c>
      <c r="OW186">
        <v>1998</v>
      </c>
      <c r="OZ186" s="2" t="s">
        <v>692</v>
      </c>
      <c r="PB186" t="s">
        <v>522</v>
      </c>
      <c r="PC186" s="50">
        <v>46094</v>
      </c>
    </row>
    <row r="187" spans="1:419" ht="15.75" thickBot="1">
      <c r="A187" s="11" t="s">
        <v>665</v>
      </c>
      <c r="B187" t="s">
        <v>666</v>
      </c>
      <c r="C187" t="s">
        <v>667</v>
      </c>
      <c r="D187" s="4" t="s">
        <v>668</v>
      </c>
      <c r="E187" t="s">
        <v>669</v>
      </c>
      <c r="F187" s="88" t="s">
        <v>670</v>
      </c>
      <c r="G187" t="s">
        <v>475</v>
      </c>
      <c r="H187" t="s">
        <v>476</v>
      </c>
      <c r="I187" s="10">
        <v>0.1</v>
      </c>
      <c r="J187" s="10">
        <v>34.566667000000002</v>
      </c>
      <c r="K187">
        <v>150</v>
      </c>
      <c r="AV187" t="s">
        <v>671</v>
      </c>
      <c r="AW187">
        <v>100</v>
      </c>
      <c r="AX187" t="s">
        <v>480</v>
      </c>
      <c r="AY187">
        <v>4</v>
      </c>
      <c r="AZ187" t="s">
        <v>672</v>
      </c>
      <c r="BA187">
        <v>1994</v>
      </c>
      <c r="BB187">
        <v>1998</v>
      </c>
      <c r="BC187" t="s">
        <v>673</v>
      </c>
      <c r="BD187" s="10" t="s">
        <v>704</v>
      </c>
      <c r="BE187" t="s">
        <v>524</v>
      </c>
      <c r="BF187" s="3" t="s">
        <v>484</v>
      </c>
      <c r="BG187" t="s">
        <v>485</v>
      </c>
      <c r="BH187" t="s">
        <v>675</v>
      </c>
      <c r="BI187" s="4" t="s">
        <v>486</v>
      </c>
      <c r="BJ187" s="9">
        <v>53000</v>
      </c>
      <c r="HQ187" t="s">
        <v>677</v>
      </c>
      <c r="HS187" s="4" t="s">
        <v>490</v>
      </c>
      <c r="HT187" s="50">
        <v>34335</v>
      </c>
      <c r="HU187" s="50">
        <v>36160</v>
      </c>
      <c r="HV187" s="50"/>
      <c r="HW187" s="50"/>
      <c r="IO187" t="s">
        <v>700</v>
      </c>
      <c r="IP187" s="46" t="s">
        <v>492</v>
      </c>
      <c r="IU187" s="4" t="s">
        <v>544</v>
      </c>
      <c r="IV187" t="s">
        <v>700</v>
      </c>
      <c r="IW187" s="46" t="s">
        <v>492</v>
      </c>
      <c r="JA187">
        <v>0</v>
      </c>
      <c r="JB187">
        <v>0</v>
      </c>
      <c r="JC187">
        <v>0</v>
      </c>
      <c r="JD187">
        <v>0</v>
      </c>
      <c r="JE187">
        <v>0</v>
      </c>
      <c r="JF187">
        <v>0</v>
      </c>
      <c r="JG187">
        <v>0</v>
      </c>
      <c r="JH187">
        <v>0</v>
      </c>
      <c r="JI187">
        <v>0</v>
      </c>
      <c r="JK187" s="12" t="s">
        <v>682</v>
      </c>
      <c r="JP187" s="4"/>
      <c r="KF187" s="7" t="s">
        <v>500</v>
      </c>
      <c r="KJ187" s="7" t="s">
        <v>649</v>
      </c>
      <c r="KK187" s="7"/>
      <c r="MY187" t="s">
        <v>684</v>
      </c>
      <c r="MZ187">
        <v>42</v>
      </c>
      <c r="NB187" s="4" t="s">
        <v>511</v>
      </c>
      <c r="NJ187" t="s">
        <v>826</v>
      </c>
      <c r="NL187" s="4" t="s">
        <v>654</v>
      </c>
      <c r="NM187" s="6" t="s">
        <v>719</v>
      </c>
      <c r="NU187" t="s">
        <v>517</v>
      </c>
      <c r="NV187" t="s">
        <v>518</v>
      </c>
      <c r="NW187" s="5" t="s">
        <v>845</v>
      </c>
      <c r="NX187" s="4" t="s">
        <v>520</v>
      </c>
      <c r="NY187" s="3">
        <v>0.28568219722707</v>
      </c>
      <c r="OB187">
        <v>4</v>
      </c>
      <c r="OU187" t="s">
        <v>841</v>
      </c>
      <c r="OW187">
        <v>1998</v>
      </c>
      <c r="OZ187" s="2" t="s">
        <v>692</v>
      </c>
      <c r="PB187" t="s">
        <v>522</v>
      </c>
      <c r="PC187" s="50">
        <v>46094</v>
      </c>
    </row>
    <row r="188" spans="1:419" ht="15.75" thickBot="1">
      <c r="A188" s="11" t="s">
        <v>665</v>
      </c>
      <c r="B188" t="s">
        <v>666</v>
      </c>
      <c r="C188" t="s">
        <v>667</v>
      </c>
      <c r="D188" s="4" t="s">
        <v>668</v>
      </c>
      <c r="E188" t="s">
        <v>669</v>
      </c>
      <c r="F188" s="88" t="s">
        <v>670</v>
      </c>
      <c r="G188" t="s">
        <v>475</v>
      </c>
      <c r="H188" t="s">
        <v>476</v>
      </c>
      <c r="I188" s="10">
        <v>0.1</v>
      </c>
      <c r="J188" s="10">
        <v>34.566667000000002</v>
      </c>
      <c r="K188">
        <v>150</v>
      </c>
      <c r="AV188" t="s">
        <v>671</v>
      </c>
      <c r="AW188">
        <v>100</v>
      </c>
      <c r="AX188" t="s">
        <v>480</v>
      </c>
      <c r="AY188">
        <v>4</v>
      </c>
      <c r="AZ188" t="s">
        <v>672</v>
      </c>
      <c r="BA188">
        <v>1994</v>
      </c>
      <c r="BB188">
        <v>1998</v>
      </c>
      <c r="BC188" t="s">
        <v>673</v>
      </c>
      <c r="BD188" s="10" t="s">
        <v>705</v>
      </c>
      <c r="BE188" t="s">
        <v>483</v>
      </c>
      <c r="BF188" s="3" t="s">
        <v>484</v>
      </c>
      <c r="BG188" t="s">
        <v>485</v>
      </c>
      <c r="BH188" t="s">
        <v>675</v>
      </c>
      <c r="BI188" s="4" t="s">
        <v>486</v>
      </c>
      <c r="BJ188" s="9">
        <v>53000</v>
      </c>
      <c r="HQ188" t="s">
        <v>677</v>
      </c>
      <c r="HS188" s="4" t="s">
        <v>490</v>
      </c>
      <c r="HT188" s="50">
        <v>34335</v>
      </c>
      <c r="HU188" s="50">
        <v>36160</v>
      </c>
      <c r="HV188" s="50"/>
      <c r="HW188" s="50"/>
      <c r="IO188" t="s">
        <v>706</v>
      </c>
      <c r="IP188" s="46" t="s">
        <v>492</v>
      </c>
      <c r="IU188" s="4" t="s">
        <v>544</v>
      </c>
      <c r="IV188" t="s">
        <v>707</v>
      </c>
      <c r="IW188" s="46" t="s">
        <v>492</v>
      </c>
      <c r="JA188">
        <v>0</v>
      </c>
      <c r="JB188">
        <v>0</v>
      </c>
      <c r="JC188">
        <v>0</v>
      </c>
      <c r="JD188">
        <v>0</v>
      </c>
      <c r="JE188">
        <v>0</v>
      </c>
      <c r="JF188">
        <v>0</v>
      </c>
      <c r="JG188">
        <v>0</v>
      </c>
      <c r="JH188">
        <v>0</v>
      </c>
      <c r="JI188">
        <v>0</v>
      </c>
      <c r="JJ188" t="s">
        <v>706</v>
      </c>
      <c r="JK188" t="s">
        <v>494</v>
      </c>
      <c r="JL188" s="8" t="s">
        <v>495</v>
      </c>
      <c r="JP188" s="4" t="s">
        <v>508</v>
      </c>
      <c r="JQ188">
        <v>60</v>
      </c>
      <c r="JT188">
        <v>60</v>
      </c>
      <c r="KF188" s="7" t="s">
        <v>500</v>
      </c>
      <c r="KJ188" s="7" t="s">
        <v>649</v>
      </c>
      <c r="KK188" s="7"/>
      <c r="MY188" t="s">
        <v>684</v>
      </c>
      <c r="MZ188">
        <v>42</v>
      </c>
      <c r="NB188" s="4" t="s">
        <v>511</v>
      </c>
      <c r="NJ188" t="s">
        <v>826</v>
      </c>
      <c r="NL188" s="4" t="s">
        <v>654</v>
      </c>
      <c r="NM188" s="6" t="s">
        <v>719</v>
      </c>
      <c r="NU188" t="s">
        <v>708</v>
      </c>
      <c r="NV188" t="s">
        <v>518</v>
      </c>
      <c r="NW188" s="5" t="s">
        <v>846</v>
      </c>
      <c r="NX188" s="4" t="s">
        <v>520</v>
      </c>
      <c r="NY188" s="3">
        <v>0.41085136372059994</v>
      </c>
      <c r="OB188">
        <v>4</v>
      </c>
      <c r="OU188" t="s">
        <v>841</v>
      </c>
      <c r="OW188">
        <v>1998</v>
      </c>
      <c r="OZ188" s="2" t="s">
        <v>692</v>
      </c>
      <c r="PB188" t="s">
        <v>522</v>
      </c>
      <c r="PC188" s="50">
        <v>46094</v>
      </c>
    </row>
    <row r="189" spans="1:419" ht="15.75" thickBot="1">
      <c r="A189" s="11" t="s">
        <v>665</v>
      </c>
      <c r="B189" t="s">
        <v>666</v>
      </c>
      <c r="C189" t="s">
        <v>667</v>
      </c>
      <c r="D189" s="4" t="s">
        <v>668</v>
      </c>
      <c r="E189" t="s">
        <v>669</v>
      </c>
      <c r="F189" s="88" t="s">
        <v>670</v>
      </c>
      <c r="G189" t="s">
        <v>475</v>
      </c>
      <c r="H189" t="s">
        <v>476</v>
      </c>
      <c r="I189" s="10">
        <v>0.1</v>
      </c>
      <c r="J189" s="10">
        <v>34.566667000000002</v>
      </c>
      <c r="K189">
        <v>150</v>
      </c>
      <c r="AV189" t="s">
        <v>671</v>
      </c>
      <c r="AW189">
        <v>100</v>
      </c>
      <c r="AX189" t="s">
        <v>480</v>
      </c>
      <c r="AY189">
        <v>4</v>
      </c>
      <c r="AZ189" t="s">
        <v>672</v>
      </c>
      <c r="BA189">
        <v>1994</v>
      </c>
      <c r="BB189">
        <v>1998</v>
      </c>
      <c r="BC189" t="s">
        <v>673</v>
      </c>
      <c r="BD189" s="10" t="s">
        <v>674</v>
      </c>
      <c r="BE189" t="s">
        <v>536</v>
      </c>
      <c r="BF189" s="3" t="s">
        <v>484</v>
      </c>
      <c r="BG189" t="s">
        <v>485</v>
      </c>
      <c r="BH189" t="s">
        <v>675</v>
      </c>
      <c r="BI189" s="4" t="s">
        <v>486</v>
      </c>
      <c r="BJ189" s="9">
        <v>53000</v>
      </c>
      <c r="ED189" t="s">
        <v>676</v>
      </c>
      <c r="EE189" s="4" t="s">
        <v>486</v>
      </c>
      <c r="EF189" s="9">
        <v>53000</v>
      </c>
      <c r="EG189" s="9"/>
      <c r="EH189" s="9"/>
      <c r="EI189" s="9"/>
      <c r="EJ189" s="9"/>
      <c r="EK189" s="9"/>
      <c r="EL189" s="9"/>
      <c r="EM189" s="9"/>
      <c r="EN189" s="9"/>
      <c r="EO189" s="9"/>
      <c r="EP189" s="9"/>
      <c r="EQ189" s="9"/>
      <c r="ER189" s="9"/>
      <c r="ES189" s="9"/>
      <c r="ET189" s="9"/>
      <c r="EU189" s="9"/>
      <c r="EV189" s="9"/>
      <c r="EW189" s="9"/>
      <c r="EX189" s="9"/>
      <c r="EY189" s="9"/>
      <c r="EZ189" s="9"/>
      <c r="FA189" s="9"/>
      <c r="FB189" s="9"/>
      <c r="FC189" s="9"/>
      <c r="FD189" s="9"/>
      <c r="FE189" s="9"/>
      <c r="FF189" s="9"/>
      <c r="FG189" s="9"/>
      <c r="FH189" s="9"/>
      <c r="FI189" s="9"/>
      <c r="FJ189" s="9"/>
      <c r="FK189" s="9"/>
      <c r="FL189" s="9"/>
      <c r="FM189" s="9"/>
      <c r="FN189" s="9"/>
      <c r="FO189" s="9"/>
      <c r="FP189" s="9"/>
      <c r="FQ189" s="9"/>
      <c r="FR189" s="9"/>
      <c r="FS189" s="9"/>
      <c r="FT189" s="9"/>
      <c r="FU189" s="9"/>
      <c r="FV189" s="9"/>
      <c r="FW189" s="9"/>
      <c r="FX189" s="9"/>
      <c r="FY189" s="9"/>
      <c r="FZ189" s="9"/>
      <c r="GA189" s="9"/>
      <c r="GB189" s="9"/>
      <c r="GC189" s="9"/>
      <c r="GD189" s="9"/>
      <c r="GE189" s="9"/>
      <c r="GF189" s="9"/>
      <c r="GG189" s="9"/>
      <c r="GH189" s="9"/>
      <c r="GI189" s="9"/>
      <c r="GJ189" s="9"/>
      <c r="GK189" s="9"/>
      <c r="GL189" s="9"/>
      <c r="GM189" s="9"/>
      <c r="GN189" s="9"/>
      <c r="GO189" s="9"/>
      <c r="GP189" s="9"/>
      <c r="GQ189" s="9"/>
      <c r="GR189" s="9"/>
      <c r="GS189" s="9"/>
      <c r="GT189" s="9"/>
      <c r="GU189" s="9"/>
      <c r="GV189" s="9"/>
      <c r="GW189" s="9"/>
      <c r="GX189" s="9"/>
      <c r="GY189" s="9"/>
      <c r="GZ189" s="9"/>
      <c r="HA189" s="9"/>
      <c r="HB189" s="9"/>
      <c r="HC189" s="9"/>
      <c r="HD189" s="9"/>
      <c r="HE189" s="9"/>
      <c r="HF189" s="9"/>
      <c r="HG189" s="9"/>
      <c r="HH189" s="9"/>
      <c r="HI189" s="9"/>
      <c r="HJ189" s="9"/>
      <c r="HQ189" t="s">
        <v>677</v>
      </c>
      <c r="HS189" s="4" t="s">
        <v>490</v>
      </c>
      <c r="HT189" s="50">
        <v>34335</v>
      </c>
      <c r="HU189" s="50">
        <v>36160</v>
      </c>
      <c r="HV189" s="50"/>
      <c r="HW189" s="50"/>
      <c r="IN189" s="4"/>
      <c r="IO189" t="s">
        <v>678</v>
      </c>
      <c r="IP189" s="12" t="s">
        <v>679</v>
      </c>
      <c r="IS189">
        <v>1995</v>
      </c>
      <c r="IT189">
        <v>1995.2</v>
      </c>
      <c r="IU189" s="4" t="s">
        <v>544</v>
      </c>
      <c r="IV189" t="s">
        <v>680</v>
      </c>
      <c r="IW189" s="12" t="s">
        <v>681</v>
      </c>
      <c r="IZ189">
        <v>0.5</v>
      </c>
      <c r="JA189" t="s">
        <v>480</v>
      </c>
      <c r="JB189" t="s">
        <v>480</v>
      </c>
      <c r="JC189" t="s">
        <v>480</v>
      </c>
      <c r="JD189" t="s">
        <v>480</v>
      </c>
      <c r="JE189" t="s">
        <v>480</v>
      </c>
      <c r="JF189" t="s">
        <v>480</v>
      </c>
      <c r="JG189" t="s">
        <v>480</v>
      </c>
      <c r="JH189" t="s">
        <v>480</v>
      </c>
      <c r="JI189" t="s">
        <v>480</v>
      </c>
      <c r="JK189" s="12" t="s">
        <v>682</v>
      </c>
      <c r="JP189" s="4"/>
      <c r="KF189" s="7" t="s">
        <v>500</v>
      </c>
      <c r="KJ189" s="7" t="s">
        <v>683</v>
      </c>
      <c r="KK189" s="7" t="s">
        <v>562</v>
      </c>
      <c r="KL189" t="s">
        <v>480</v>
      </c>
      <c r="KM189" t="s">
        <v>480</v>
      </c>
      <c r="MY189" t="s">
        <v>684</v>
      </c>
      <c r="MZ189">
        <v>42</v>
      </c>
      <c r="NB189" s="4" t="s">
        <v>511</v>
      </c>
      <c r="NJ189" t="s">
        <v>826</v>
      </c>
      <c r="NL189" s="4" t="s">
        <v>654</v>
      </c>
      <c r="NM189" s="6" t="s">
        <v>719</v>
      </c>
      <c r="NV189" t="s">
        <v>518</v>
      </c>
      <c r="NW189" s="5" t="s">
        <v>847</v>
      </c>
      <c r="NX189" s="4" t="s">
        <v>520</v>
      </c>
      <c r="NY189" s="3">
        <v>0.17911057637738015</v>
      </c>
      <c r="OB189">
        <v>4</v>
      </c>
      <c r="OU189" t="s">
        <v>848</v>
      </c>
      <c r="OW189">
        <v>1996</v>
      </c>
      <c r="OZ189" s="2" t="s">
        <v>709</v>
      </c>
      <c r="PB189" t="s">
        <v>522</v>
      </c>
      <c r="PC189" s="50">
        <v>46094</v>
      </c>
    </row>
    <row r="190" spans="1:419" ht="15.75" thickBot="1">
      <c r="A190" s="11" t="s">
        <v>665</v>
      </c>
      <c r="B190" t="s">
        <v>666</v>
      </c>
      <c r="C190" t="s">
        <v>667</v>
      </c>
      <c r="D190" s="4" t="s">
        <v>668</v>
      </c>
      <c r="E190" t="s">
        <v>669</v>
      </c>
      <c r="F190" s="88" t="s">
        <v>670</v>
      </c>
      <c r="G190" t="s">
        <v>475</v>
      </c>
      <c r="H190" t="s">
        <v>476</v>
      </c>
      <c r="I190" s="10">
        <v>0.1</v>
      </c>
      <c r="J190" s="10">
        <v>34.566667000000002</v>
      </c>
      <c r="K190">
        <v>150</v>
      </c>
      <c r="AV190" t="s">
        <v>671</v>
      </c>
      <c r="AW190">
        <v>100</v>
      </c>
      <c r="AX190" t="s">
        <v>480</v>
      </c>
      <c r="AY190">
        <v>4</v>
      </c>
      <c r="AZ190" t="s">
        <v>672</v>
      </c>
      <c r="BA190">
        <v>1994</v>
      </c>
      <c r="BB190">
        <v>1998</v>
      </c>
      <c r="BC190" t="s">
        <v>673</v>
      </c>
      <c r="BD190" s="10" t="s">
        <v>693</v>
      </c>
      <c r="BE190" t="s">
        <v>566</v>
      </c>
      <c r="BF190" s="3" t="s">
        <v>484</v>
      </c>
      <c r="BG190" t="s">
        <v>485</v>
      </c>
      <c r="BH190" t="s">
        <v>675</v>
      </c>
      <c r="BI190" s="4" t="s">
        <v>486</v>
      </c>
      <c r="BJ190" s="9">
        <v>53000</v>
      </c>
      <c r="ED190" t="s">
        <v>676</v>
      </c>
      <c r="EE190" s="4" t="s">
        <v>486</v>
      </c>
      <c r="EF190" s="9">
        <v>53000</v>
      </c>
      <c r="EG190" s="9"/>
      <c r="EH190" s="9"/>
      <c r="EI190" s="9"/>
      <c r="EJ190" s="9"/>
      <c r="EK190" s="9"/>
      <c r="EL190" s="9"/>
      <c r="EM190" s="9"/>
      <c r="EN190" s="9"/>
      <c r="EO190" s="9"/>
      <c r="EP190" s="9"/>
      <c r="EQ190" s="9"/>
      <c r="ER190" s="9"/>
      <c r="ES190" s="9"/>
      <c r="ET190" s="9"/>
      <c r="EU190" s="9"/>
      <c r="EV190" s="9"/>
      <c r="EW190" s="9"/>
      <c r="EX190" s="9"/>
      <c r="EY190" s="9"/>
      <c r="EZ190" s="9"/>
      <c r="FA190" s="9"/>
      <c r="FB190" s="9"/>
      <c r="FC190" s="9"/>
      <c r="FD190" s="9"/>
      <c r="FE190" s="9"/>
      <c r="FF190" s="9"/>
      <c r="FG190" s="9"/>
      <c r="FH190" s="9"/>
      <c r="FI190" s="9"/>
      <c r="FJ190" s="9"/>
      <c r="FK190" s="9"/>
      <c r="FL190" s="9"/>
      <c r="FM190" s="9"/>
      <c r="FN190" s="9"/>
      <c r="FO190" s="9"/>
      <c r="FP190" s="9"/>
      <c r="FQ190" s="9"/>
      <c r="FR190" s="9"/>
      <c r="FS190" s="9"/>
      <c r="FT190" s="9"/>
      <c r="FU190" s="9"/>
      <c r="FV190" s="9"/>
      <c r="FW190" s="9"/>
      <c r="FX190" s="9"/>
      <c r="FY190" s="9"/>
      <c r="FZ190" s="9"/>
      <c r="GA190" s="9"/>
      <c r="GB190" s="9"/>
      <c r="GC190" s="9"/>
      <c r="GD190" s="9"/>
      <c r="GE190" s="9"/>
      <c r="GF190" s="9"/>
      <c r="GG190" s="9"/>
      <c r="GH190" s="9"/>
      <c r="GI190" s="9"/>
      <c r="GJ190" s="9"/>
      <c r="GK190" s="9"/>
      <c r="GL190" s="9"/>
      <c r="GM190" s="9"/>
      <c r="GN190" s="9"/>
      <c r="GO190" s="9"/>
      <c r="GP190" s="9"/>
      <c r="GQ190" s="9"/>
      <c r="GR190" s="9"/>
      <c r="GS190" s="9"/>
      <c r="GT190" s="9"/>
      <c r="GU190" s="9"/>
      <c r="GV190" s="9"/>
      <c r="GW190" s="9"/>
      <c r="GX190" s="9"/>
      <c r="GY190" s="9"/>
      <c r="GZ190" s="9"/>
      <c r="HA190" s="9"/>
      <c r="HB190" s="9"/>
      <c r="HC190" s="9"/>
      <c r="HD190" s="9"/>
      <c r="HE190" s="9"/>
      <c r="HF190" s="9"/>
      <c r="HG190" s="9"/>
      <c r="HH190" s="9"/>
      <c r="HI190" s="9"/>
      <c r="HJ190" s="9"/>
      <c r="HQ190" t="s">
        <v>677</v>
      </c>
      <c r="HS190" s="4" t="s">
        <v>490</v>
      </c>
      <c r="HT190" s="50">
        <v>34335</v>
      </c>
      <c r="HU190" s="50">
        <v>36160</v>
      </c>
      <c r="HV190" s="50"/>
      <c r="HW190" s="50"/>
      <c r="IN190" s="4"/>
      <c r="IO190" t="s">
        <v>694</v>
      </c>
      <c r="IP190" s="12" t="s">
        <v>695</v>
      </c>
      <c r="IS190">
        <v>1994</v>
      </c>
      <c r="IT190">
        <v>1994.2</v>
      </c>
      <c r="IU190" s="4" t="s">
        <v>544</v>
      </c>
      <c r="IV190" t="s">
        <v>696</v>
      </c>
      <c r="IW190" s="12" t="s">
        <v>681</v>
      </c>
      <c r="IZ190">
        <v>0.5</v>
      </c>
      <c r="JA190" t="s">
        <v>480</v>
      </c>
      <c r="JB190" t="s">
        <v>480</v>
      </c>
      <c r="JC190" t="s">
        <v>480</v>
      </c>
      <c r="JD190" t="s">
        <v>480</v>
      </c>
      <c r="JE190" t="s">
        <v>480</v>
      </c>
      <c r="JF190" t="s">
        <v>480</v>
      </c>
      <c r="JG190" t="s">
        <v>480</v>
      </c>
      <c r="JH190" t="s">
        <v>480</v>
      </c>
      <c r="JI190" t="s">
        <v>480</v>
      </c>
      <c r="JK190" s="12" t="s">
        <v>682</v>
      </c>
      <c r="JP190" s="4"/>
      <c r="KF190" s="7" t="s">
        <v>500</v>
      </c>
      <c r="KJ190" s="7" t="s">
        <v>683</v>
      </c>
      <c r="KK190" s="7" t="s">
        <v>562</v>
      </c>
      <c r="KL190" t="s">
        <v>480</v>
      </c>
      <c r="KM190" t="s">
        <v>480</v>
      </c>
      <c r="MY190" t="s">
        <v>684</v>
      </c>
      <c r="MZ190">
        <v>42</v>
      </c>
      <c r="NB190" s="4" t="s">
        <v>511</v>
      </c>
      <c r="NJ190" t="s">
        <v>826</v>
      </c>
      <c r="NL190" s="4" t="s">
        <v>654</v>
      </c>
      <c r="NM190" s="6" t="s">
        <v>719</v>
      </c>
      <c r="NV190" t="s">
        <v>518</v>
      </c>
      <c r="NW190" s="5" t="s">
        <v>849</v>
      </c>
      <c r="NX190" s="4" t="s">
        <v>520</v>
      </c>
      <c r="NY190" s="3">
        <v>0.2685977616853199</v>
      </c>
      <c r="OB190">
        <v>4</v>
      </c>
      <c r="OU190" t="s">
        <v>848</v>
      </c>
      <c r="OW190">
        <v>1996</v>
      </c>
      <c r="OZ190" s="2" t="s">
        <v>709</v>
      </c>
      <c r="PB190" t="s">
        <v>522</v>
      </c>
      <c r="PC190" s="50">
        <v>46094</v>
      </c>
    </row>
    <row r="191" spans="1:419" ht="15.75" thickBot="1">
      <c r="A191" s="11" t="s">
        <v>665</v>
      </c>
      <c r="B191" t="s">
        <v>666</v>
      </c>
      <c r="C191" t="s">
        <v>667</v>
      </c>
      <c r="D191" s="4" t="s">
        <v>668</v>
      </c>
      <c r="E191" t="s">
        <v>669</v>
      </c>
      <c r="F191" s="88" t="s">
        <v>670</v>
      </c>
      <c r="G191" t="s">
        <v>475</v>
      </c>
      <c r="H191" t="s">
        <v>476</v>
      </c>
      <c r="I191" s="10">
        <v>0.1</v>
      </c>
      <c r="J191" s="10">
        <v>34.566667000000002</v>
      </c>
      <c r="K191">
        <v>150</v>
      </c>
      <c r="AV191" t="s">
        <v>671</v>
      </c>
      <c r="AW191">
        <v>100</v>
      </c>
      <c r="AX191" t="s">
        <v>480</v>
      </c>
      <c r="AY191">
        <v>4</v>
      </c>
      <c r="AZ191" t="s">
        <v>672</v>
      </c>
      <c r="BA191">
        <v>1994</v>
      </c>
      <c r="BB191">
        <v>1998</v>
      </c>
      <c r="BC191" t="s">
        <v>673</v>
      </c>
      <c r="BD191" s="10" t="s">
        <v>697</v>
      </c>
      <c r="BE191" t="s">
        <v>572</v>
      </c>
      <c r="BF191" s="3" t="s">
        <v>484</v>
      </c>
      <c r="BG191" t="s">
        <v>485</v>
      </c>
      <c r="BH191" t="s">
        <v>675</v>
      </c>
      <c r="BI191" s="4" t="s">
        <v>486</v>
      </c>
      <c r="BJ191" s="9">
        <v>53000</v>
      </c>
      <c r="EE191" s="4"/>
      <c r="EF191" s="9"/>
      <c r="EG191" s="9"/>
      <c r="EH191" s="9"/>
      <c r="EI191" s="9"/>
      <c r="EJ191" s="9"/>
      <c r="EK191" s="9"/>
      <c r="EL191" s="9"/>
      <c r="EM191" s="9"/>
      <c r="EN191" s="9"/>
      <c r="EO191" s="9"/>
      <c r="EP191" s="9"/>
      <c r="EQ191" s="9"/>
      <c r="ER191" s="9"/>
      <c r="ES191" s="9"/>
      <c r="ET191" s="9"/>
      <c r="EU191" s="9"/>
      <c r="EV191" s="9"/>
      <c r="EW191" s="9"/>
      <c r="EX191" s="9"/>
      <c r="EY191" s="9"/>
      <c r="EZ191" s="9"/>
      <c r="FA191" s="9"/>
      <c r="FB191" s="9"/>
      <c r="FC191" s="9"/>
      <c r="FD191" s="9"/>
      <c r="FE191" s="9"/>
      <c r="FF191" s="9"/>
      <c r="FG191" s="9"/>
      <c r="FH191" s="9"/>
      <c r="FI191" s="9"/>
      <c r="FJ191" s="9"/>
      <c r="FK191" s="9"/>
      <c r="FL191" s="9"/>
      <c r="FM191" s="9"/>
      <c r="FN191" s="9"/>
      <c r="FO191" s="9"/>
      <c r="FP191" s="9"/>
      <c r="FQ191" s="9"/>
      <c r="FR191" s="9"/>
      <c r="FS191" s="9"/>
      <c r="FT191" s="9"/>
      <c r="FU191" s="9"/>
      <c r="FV191" s="9"/>
      <c r="FW191" s="9"/>
      <c r="FX191" s="9"/>
      <c r="FY191" s="9"/>
      <c r="FZ191" s="9"/>
      <c r="GA191" s="9"/>
      <c r="GB191" s="9"/>
      <c r="GC191" s="9"/>
      <c r="GD191" s="9"/>
      <c r="GE191" s="9"/>
      <c r="GF191" s="9"/>
      <c r="GG191" s="9"/>
      <c r="GH191" s="9"/>
      <c r="GI191" s="9"/>
      <c r="GJ191" s="9"/>
      <c r="GK191" s="9"/>
      <c r="GL191" s="9"/>
      <c r="GM191" s="9"/>
      <c r="GN191" s="9"/>
      <c r="GO191" s="9"/>
      <c r="GP191" s="9"/>
      <c r="GQ191" s="9"/>
      <c r="GR191" s="9"/>
      <c r="GS191" s="9"/>
      <c r="GT191" s="9"/>
      <c r="GU191" s="9"/>
      <c r="GV191" s="9"/>
      <c r="GW191" s="9"/>
      <c r="GX191" s="9"/>
      <c r="GY191" s="9"/>
      <c r="GZ191" s="9"/>
      <c r="HA191" s="9"/>
      <c r="HB191" s="9"/>
      <c r="HC191" s="9"/>
      <c r="HD191" s="9"/>
      <c r="HE191" s="9"/>
      <c r="HF191" s="9"/>
      <c r="HG191" s="9"/>
      <c r="HH191" s="9"/>
      <c r="HI191" s="9"/>
      <c r="HJ191" s="9"/>
      <c r="HQ191" t="s">
        <v>677</v>
      </c>
      <c r="HS191" s="4" t="s">
        <v>490</v>
      </c>
      <c r="HT191" s="50">
        <v>34335</v>
      </c>
      <c r="HU191" s="50">
        <v>36160</v>
      </c>
      <c r="HV191" s="50"/>
      <c r="HW191" s="50"/>
      <c r="IO191" t="s">
        <v>698</v>
      </c>
      <c r="IP191" s="46" t="s">
        <v>699</v>
      </c>
      <c r="IS191">
        <v>1995</v>
      </c>
      <c r="IT191">
        <v>1995.2</v>
      </c>
      <c r="IU191" s="4" t="s">
        <v>544</v>
      </c>
      <c r="IV191" t="s">
        <v>700</v>
      </c>
      <c r="IW191" t="s">
        <v>492</v>
      </c>
      <c r="JA191">
        <v>0</v>
      </c>
      <c r="JB191">
        <v>0</v>
      </c>
      <c r="JC191">
        <v>0</v>
      </c>
      <c r="JD191">
        <v>0</v>
      </c>
      <c r="JE191">
        <v>0</v>
      </c>
      <c r="JF191">
        <v>0</v>
      </c>
      <c r="JG191">
        <v>0</v>
      </c>
      <c r="JH191">
        <v>0</v>
      </c>
      <c r="JI191">
        <v>0</v>
      </c>
      <c r="JK191" s="12" t="s">
        <v>682</v>
      </c>
      <c r="JP191" s="4"/>
      <c r="KF191" s="7" t="s">
        <v>500</v>
      </c>
      <c r="KJ191" s="7" t="s">
        <v>649</v>
      </c>
      <c r="KK191" s="7"/>
      <c r="MY191" t="s">
        <v>684</v>
      </c>
      <c r="MZ191">
        <v>42</v>
      </c>
      <c r="NB191" s="4" t="s">
        <v>511</v>
      </c>
      <c r="NJ191" t="s">
        <v>826</v>
      </c>
      <c r="NL191" s="4" t="s">
        <v>654</v>
      </c>
      <c r="NM191" s="6" t="s">
        <v>719</v>
      </c>
      <c r="NV191" t="s">
        <v>518</v>
      </c>
      <c r="NW191" s="5" t="s">
        <v>850</v>
      </c>
      <c r="NX191" s="4" t="s">
        <v>520</v>
      </c>
      <c r="NY191" s="3">
        <v>0.30421556831853991</v>
      </c>
      <c r="OB191">
        <v>4</v>
      </c>
      <c r="OU191" t="s">
        <v>848</v>
      </c>
      <c r="OW191">
        <v>1996</v>
      </c>
      <c r="OZ191" s="2" t="s">
        <v>709</v>
      </c>
      <c r="PB191" t="s">
        <v>522</v>
      </c>
      <c r="PC191" s="50">
        <v>46094</v>
      </c>
    </row>
    <row r="192" spans="1:419" ht="15.75" thickBot="1">
      <c r="A192" s="11" t="s">
        <v>665</v>
      </c>
      <c r="B192" t="s">
        <v>666</v>
      </c>
      <c r="C192" t="s">
        <v>667</v>
      </c>
      <c r="D192" s="4" t="s">
        <v>668</v>
      </c>
      <c r="E192" t="s">
        <v>669</v>
      </c>
      <c r="F192" s="88" t="s">
        <v>670</v>
      </c>
      <c r="G192" t="s">
        <v>475</v>
      </c>
      <c r="H192" t="s">
        <v>476</v>
      </c>
      <c r="I192" s="10">
        <v>0.1</v>
      </c>
      <c r="J192" s="10">
        <v>34.566667000000002</v>
      </c>
      <c r="K192">
        <v>150</v>
      </c>
      <c r="AV192" t="s">
        <v>671</v>
      </c>
      <c r="AW192">
        <v>100</v>
      </c>
      <c r="AX192" t="s">
        <v>480</v>
      </c>
      <c r="AY192">
        <v>4</v>
      </c>
      <c r="AZ192" t="s">
        <v>672</v>
      </c>
      <c r="BA192">
        <v>1994</v>
      </c>
      <c r="BB192">
        <v>1998</v>
      </c>
      <c r="BC192" t="s">
        <v>673</v>
      </c>
      <c r="BD192" s="10" t="s">
        <v>701</v>
      </c>
      <c r="BE192" t="s">
        <v>553</v>
      </c>
      <c r="BF192" s="3" t="s">
        <v>484</v>
      </c>
      <c r="BG192" t="s">
        <v>485</v>
      </c>
      <c r="BH192" t="s">
        <v>675</v>
      </c>
      <c r="BI192" s="4" t="s">
        <v>486</v>
      </c>
      <c r="BJ192" s="9">
        <v>53000</v>
      </c>
      <c r="EE192" s="4"/>
      <c r="EF192" s="9"/>
      <c r="EG192" s="9"/>
      <c r="EH192" s="9"/>
      <c r="EI192" s="9"/>
      <c r="EJ192" s="9"/>
      <c r="EK192" s="9"/>
      <c r="EL192" s="9"/>
      <c r="EM192" s="9"/>
      <c r="EN192" s="9"/>
      <c r="EO192" s="9"/>
      <c r="EP192" s="9"/>
      <c r="EQ192" s="9"/>
      <c r="ER192" s="9"/>
      <c r="ES192" s="9"/>
      <c r="ET192" s="9"/>
      <c r="EU192" s="9"/>
      <c r="EV192" s="9"/>
      <c r="EW192" s="9"/>
      <c r="EX192" s="9"/>
      <c r="EY192" s="9"/>
      <c r="EZ192" s="9"/>
      <c r="FA192" s="9"/>
      <c r="FB192" s="9"/>
      <c r="FC192" s="9"/>
      <c r="FD192" s="9"/>
      <c r="FE192" s="9"/>
      <c r="FF192" s="9"/>
      <c r="FG192" s="9"/>
      <c r="FH192" s="9"/>
      <c r="FI192" s="9"/>
      <c r="FJ192" s="9"/>
      <c r="FK192" s="9"/>
      <c r="FL192" s="9"/>
      <c r="FM192" s="9"/>
      <c r="FN192" s="9"/>
      <c r="FO192" s="9"/>
      <c r="FP192" s="9"/>
      <c r="FQ192" s="9"/>
      <c r="FR192" s="9"/>
      <c r="FS192" s="9"/>
      <c r="FT192" s="9"/>
      <c r="FU192" s="9"/>
      <c r="FV192" s="9"/>
      <c r="FW192" s="9"/>
      <c r="FX192" s="9"/>
      <c r="FY192" s="9"/>
      <c r="FZ192" s="9"/>
      <c r="GA192" s="9"/>
      <c r="GB192" s="9"/>
      <c r="GC192" s="9"/>
      <c r="GD192" s="9"/>
      <c r="GE192" s="9"/>
      <c r="GF192" s="9"/>
      <c r="GG192" s="9"/>
      <c r="GH192" s="9"/>
      <c r="GI192" s="9"/>
      <c r="GJ192" s="9"/>
      <c r="GK192" s="9"/>
      <c r="GL192" s="9"/>
      <c r="GM192" s="9"/>
      <c r="GN192" s="9"/>
      <c r="GO192" s="9"/>
      <c r="GP192" s="9"/>
      <c r="GQ192" s="9"/>
      <c r="GR192" s="9"/>
      <c r="GS192" s="9"/>
      <c r="GT192" s="9"/>
      <c r="GU192" s="9"/>
      <c r="GV192" s="9"/>
      <c r="GW192" s="9"/>
      <c r="GX192" s="9"/>
      <c r="GY192" s="9"/>
      <c r="GZ192" s="9"/>
      <c r="HA192" s="9"/>
      <c r="HB192" s="9"/>
      <c r="HC192" s="9"/>
      <c r="HD192" s="9"/>
      <c r="HE192" s="9"/>
      <c r="HF192" s="9"/>
      <c r="HG192" s="9"/>
      <c r="HH192" s="9"/>
      <c r="HI192" s="9"/>
      <c r="HJ192" s="9"/>
      <c r="HQ192" t="s">
        <v>677</v>
      </c>
      <c r="HS192" s="4" t="s">
        <v>490</v>
      </c>
      <c r="HT192" s="50">
        <v>34335</v>
      </c>
      <c r="HU192" s="50">
        <v>36160</v>
      </c>
      <c r="HV192" s="50"/>
      <c r="HW192" s="50"/>
      <c r="IO192" t="s">
        <v>702</v>
      </c>
      <c r="IP192" s="13" t="s">
        <v>703</v>
      </c>
      <c r="IS192">
        <v>1994</v>
      </c>
      <c r="IT192">
        <v>1994.2</v>
      </c>
      <c r="IU192" s="4" t="s">
        <v>544</v>
      </c>
      <c r="IV192" t="s">
        <v>700</v>
      </c>
      <c r="IW192" t="s">
        <v>492</v>
      </c>
      <c r="JA192">
        <v>0</v>
      </c>
      <c r="JB192">
        <v>0</v>
      </c>
      <c r="JC192">
        <v>0</v>
      </c>
      <c r="JD192">
        <v>0</v>
      </c>
      <c r="JE192">
        <v>0</v>
      </c>
      <c r="JF192">
        <v>0</v>
      </c>
      <c r="JG192">
        <v>0</v>
      </c>
      <c r="JH192">
        <v>0</v>
      </c>
      <c r="JI192">
        <v>0</v>
      </c>
      <c r="JK192" s="12" t="s">
        <v>682</v>
      </c>
      <c r="JP192" s="4"/>
      <c r="KF192" s="7" t="s">
        <v>500</v>
      </c>
      <c r="KJ192" s="7" t="s">
        <v>649</v>
      </c>
      <c r="KK192" s="7"/>
      <c r="MY192" t="s">
        <v>684</v>
      </c>
      <c r="MZ192">
        <v>42</v>
      </c>
      <c r="NB192" s="4" t="s">
        <v>511</v>
      </c>
      <c r="NJ192" t="s">
        <v>826</v>
      </c>
      <c r="NL192" s="4" t="s">
        <v>654</v>
      </c>
      <c r="NM192" s="6" t="s">
        <v>719</v>
      </c>
      <c r="NV192" t="s">
        <v>518</v>
      </c>
      <c r="NW192" s="5" t="s">
        <v>851</v>
      </c>
      <c r="NX192" s="4" t="s">
        <v>520</v>
      </c>
      <c r="NY192" s="3">
        <v>0.3046922884837997</v>
      </c>
      <c r="OB192">
        <v>4</v>
      </c>
      <c r="OU192" t="s">
        <v>848</v>
      </c>
      <c r="OW192">
        <v>1996</v>
      </c>
      <c r="OZ192" s="2" t="s">
        <v>709</v>
      </c>
      <c r="PB192" t="s">
        <v>522</v>
      </c>
      <c r="PC192" s="50">
        <v>46094</v>
      </c>
    </row>
    <row r="193" spans="1:419" ht="15.75" thickBot="1">
      <c r="A193" s="11" t="s">
        <v>665</v>
      </c>
      <c r="B193" t="s">
        <v>666</v>
      </c>
      <c r="C193" t="s">
        <v>667</v>
      </c>
      <c r="D193" s="4" t="s">
        <v>668</v>
      </c>
      <c r="E193" t="s">
        <v>669</v>
      </c>
      <c r="F193" s="88" t="s">
        <v>670</v>
      </c>
      <c r="G193" t="s">
        <v>475</v>
      </c>
      <c r="H193" t="s">
        <v>476</v>
      </c>
      <c r="I193" s="10">
        <v>0.1</v>
      </c>
      <c r="J193" s="10">
        <v>34.566667000000002</v>
      </c>
      <c r="K193">
        <v>150</v>
      </c>
      <c r="AV193" t="s">
        <v>671</v>
      </c>
      <c r="AW193">
        <v>100</v>
      </c>
      <c r="AX193" t="s">
        <v>480</v>
      </c>
      <c r="AY193">
        <v>4</v>
      </c>
      <c r="AZ193" t="s">
        <v>672</v>
      </c>
      <c r="BA193">
        <v>1994</v>
      </c>
      <c r="BB193">
        <v>1998</v>
      </c>
      <c r="BC193" t="s">
        <v>673</v>
      </c>
      <c r="BD193" s="10" t="s">
        <v>704</v>
      </c>
      <c r="BE193" t="s">
        <v>524</v>
      </c>
      <c r="BF193" s="3" t="s">
        <v>484</v>
      </c>
      <c r="BG193" t="s">
        <v>485</v>
      </c>
      <c r="BH193" t="s">
        <v>675</v>
      </c>
      <c r="BI193" s="4" t="s">
        <v>486</v>
      </c>
      <c r="BJ193" s="9">
        <v>53000</v>
      </c>
      <c r="HQ193" t="s">
        <v>677</v>
      </c>
      <c r="HS193" s="4" t="s">
        <v>490</v>
      </c>
      <c r="HT193" s="50">
        <v>34335</v>
      </c>
      <c r="HU193" s="50">
        <v>36160</v>
      </c>
      <c r="HV193" s="50"/>
      <c r="HW193" s="50"/>
      <c r="IO193" t="s">
        <v>700</v>
      </c>
      <c r="IP193" s="46" t="s">
        <v>492</v>
      </c>
      <c r="IU193" s="4" t="s">
        <v>544</v>
      </c>
      <c r="IV193" t="s">
        <v>700</v>
      </c>
      <c r="IW193" s="46" t="s">
        <v>492</v>
      </c>
      <c r="JA193">
        <v>0</v>
      </c>
      <c r="JB193">
        <v>0</v>
      </c>
      <c r="JC193">
        <v>0</v>
      </c>
      <c r="JD193">
        <v>0</v>
      </c>
      <c r="JE193">
        <v>0</v>
      </c>
      <c r="JF193">
        <v>0</v>
      </c>
      <c r="JG193">
        <v>0</v>
      </c>
      <c r="JH193">
        <v>0</v>
      </c>
      <c r="JI193">
        <v>0</v>
      </c>
      <c r="JK193" s="12" t="s">
        <v>682</v>
      </c>
      <c r="JP193" s="4"/>
      <c r="KF193" s="7" t="s">
        <v>500</v>
      </c>
      <c r="KJ193" s="7" t="s">
        <v>649</v>
      </c>
      <c r="KK193" s="7"/>
      <c r="MY193" t="s">
        <v>684</v>
      </c>
      <c r="MZ193">
        <v>42</v>
      </c>
      <c r="NB193" s="4" t="s">
        <v>511</v>
      </c>
      <c r="NJ193" t="s">
        <v>826</v>
      </c>
      <c r="NL193" s="4" t="s">
        <v>654</v>
      </c>
      <c r="NM193" s="6" t="s">
        <v>719</v>
      </c>
      <c r="NU193" t="s">
        <v>517</v>
      </c>
      <c r="NV193" t="s">
        <v>518</v>
      </c>
      <c r="NW193" s="5" t="s">
        <v>852</v>
      </c>
      <c r="NX193" s="4" t="s">
        <v>520</v>
      </c>
      <c r="NY193" s="3">
        <v>0.28644071644229996</v>
      </c>
      <c r="OB193">
        <v>4</v>
      </c>
      <c r="OU193" t="s">
        <v>848</v>
      </c>
      <c r="OW193">
        <v>1996</v>
      </c>
      <c r="OZ193" s="2" t="s">
        <v>709</v>
      </c>
      <c r="PB193" t="s">
        <v>522</v>
      </c>
      <c r="PC193" s="50">
        <v>46094</v>
      </c>
    </row>
    <row r="194" spans="1:419" ht="15.75" thickBot="1">
      <c r="A194" s="11" t="s">
        <v>665</v>
      </c>
      <c r="B194" t="s">
        <v>666</v>
      </c>
      <c r="C194" t="s">
        <v>667</v>
      </c>
      <c r="D194" s="4" t="s">
        <v>668</v>
      </c>
      <c r="E194" t="s">
        <v>669</v>
      </c>
      <c r="F194" s="88" t="s">
        <v>670</v>
      </c>
      <c r="G194" t="s">
        <v>475</v>
      </c>
      <c r="H194" t="s">
        <v>476</v>
      </c>
      <c r="I194" s="10">
        <v>0.1</v>
      </c>
      <c r="J194" s="10">
        <v>34.566667000000002</v>
      </c>
      <c r="K194">
        <v>150</v>
      </c>
      <c r="AV194" t="s">
        <v>671</v>
      </c>
      <c r="AW194">
        <v>100</v>
      </c>
      <c r="AX194" t="s">
        <v>480</v>
      </c>
      <c r="AY194">
        <v>4</v>
      </c>
      <c r="AZ194" t="s">
        <v>672</v>
      </c>
      <c r="BA194">
        <v>1994</v>
      </c>
      <c r="BB194">
        <v>1998</v>
      </c>
      <c r="BC194" t="s">
        <v>673</v>
      </c>
      <c r="BD194" s="10" t="s">
        <v>705</v>
      </c>
      <c r="BE194" t="s">
        <v>483</v>
      </c>
      <c r="BF194" s="3" t="s">
        <v>484</v>
      </c>
      <c r="BG194" t="s">
        <v>485</v>
      </c>
      <c r="BH194" t="s">
        <v>675</v>
      </c>
      <c r="BI194" s="4" t="s">
        <v>486</v>
      </c>
      <c r="BJ194" s="9">
        <v>53000</v>
      </c>
      <c r="HQ194" t="s">
        <v>677</v>
      </c>
      <c r="HS194" s="4" t="s">
        <v>490</v>
      </c>
      <c r="HT194" s="50">
        <v>34335</v>
      </c>
      <c r="HU194" s="50">
        <v>36160</v>
      </c>
      <c r="HV194" s="50"/>
      <c r="HW194" s="50"/>
      <c r="IO194" t="s">
        <v>706</v>
      </c>
      <c r="IP194" s="46" t="s">
        <v>492</v>
      </c>
      <c r="IU194" s="4" t="s">
        <v>544</v>
      </c>
      <c r="IV194" t="s">
        <v>707</v>
      </c>
      <c r="IW194" s="46" t="s">
        <v>492</v>
      </c>
      <c r="JA194">
        <v>0</v>
      </c>
      <c r="JB194">
        <v>0</v>
      </c>
      <c r="JC194">
        <v>0</v>
      </c>
      <c r="JD194">
        <v>0</v>
      </c>
      <c r="JE194">
        <v>0</v>
      </c>
      <c r="JF194">
        <v>0</v>
      </c>
      <c r="JG194">
        <v>0</v>
      </c>
      <c r="JH194">
        <v>0</v>
      </c>
      <c r="JI194">
        <v>0</v>
      </c>
      <c r="JJ194" t="s">
        <v>706</v>
      </c>
      <c r="JK194" t="s">
        <v>494</v>
      </c>
      <c r="JL194" s="8" t="s">
        <v>495</v>
      </c>
      <c r="JP194" s="4" t="s">
        <v>508</v>
      </c>
      <c r="JQ194">
        <v>60</v>
      </c>
      <c r="JT194">
        <v>60</v>
      </c>
      <c r="KF194" s="7" t="s">
        <v>500</v>
      </c>
      <c r="KJ194" s="7" t="s">
        <v>649</v>
      </c>
      <c r="KK194" s="7"/>
      <c r="MY194" t="s">
        <v>684</v>
      </c>
      <c r="MZ194">
        <v>42</v>
      </c>
      <c r="NB194" s="4" t="s">
        <v>511</v>
      </c>
      <c r="NJ194" t="s">
        <v>826</v>
      </c>
      <c r="NL194" s="4" t="s">
        <v>654</v>
      </c>
      <c r="NM194" s="6" t="s">
        <v>719</v>
      </c>
      <c r="NU194" t="s">
        <v>708</v>
      </c>
      <c r="NV194" t="s">
        <v>518</v>
      </c>
      <c r="NW194" s="5" t="s">
        <v>853</v>
      </c>
      <c r="NX194" s="4" t="s">
        <v>520</v>
      </c>
      <c r="NY194" s="3">
        <v>0.16106331297814025</v>
      </c>
      <c r="OB194">
        <v>4</v>
      </c>
      <c r="OU194" t="s">
        <v>848</v>
      </c>
      <c r="OW194">
        <v>1996</v>
      </c>
      <c r="OZ194" s="2" t="s">
        <v>709</v>
      </c>
      <c r="PB194" t="s">
        <v>522</v>
      </c>
      <c r="PC194" s="50">
        <v>46094</v>
      </c>
    </row>
    <row r="195" spans="1:419" ht="15.75" thickBot="1">
      <c r="A195" s="11" t="s">
        <v>665</v>
      </c>
      <c r="B195" t="s">
        <v>666</v>
      </c>
      <c r="C195" t="s">
        <v>667</v>
      </c>
      <c r="D195" s="4" t="s">
        <v>668</v>
      </c>
      <c r="E195" t="s">
        <v>669</v>
      </c>
      <c r="F195" s="88" t="s">
        <v>670</v>
      </c>
      <c r="G195" t="s">
        <v>475</v>
      </c>
      <c r="H195" t="s">
        <v>476</v>
      </c>
      <c r="I195" s="10">
        <v>0.1</v>
      </c>
      <c r="J195" s="10">
        <v>34.566667000000002</v>
      </c>
      <c r="K195">
        <v>150</v>
      </c>
      <c r="AV195" t="s">
        <v>671</v>
      </c>
      <c r="AW195">
        <v>100</v>
      </c>
      <c r="AX195" t="s">
        <v>480</v>
      </c>
      <c r="AY195">
        <v>4</v>
      </c>
      <c r="AZ195" t="s">
        <v>672</v>
      </c>
      <c r="BA195">
        <v>1994</v>
      </c>
      <c r="BB195">
        <v>1998</v>
      </c>
      <c r="BC195" t="s">
        <v>673</v>
      </c>
      <c r="BD195" s="10" t="s">
        <v>674</v>
      </c>
      <c r="BE195" t="s">
        <v>536</v>
      </c>
      <c r="BF195" s="3" t="s">
        <v>484</v>
      </c>
      <c r="BG195" t="s">
        <v>485</v>
      </c>
      <c r="BH195" t="s">
        <v>675</v>
      </c>
      <c r="BI195" s="4" t="s">
        <v>486</v>
      </c>
      <c r="BJ195" s="9">
        <v>53000</v>
      </c>
      <c r="ED195" t="s">
        <v>676</v>
      </c>
      <c r="EE195" s="4" t="s">
        <v>486</v>
      </c>
      <c r="EF195" s="9">
        <v>53000</v>
      </c>
      <c r="EG195" s="9"/>
      <c r="EH195" s="9"/>
      <c r="EI195" s="9"/>
      <c r="EJ195" s="9"/>
      <c r="EK195" s="9"/>
      <c r="EL195" s="9"/>
      <c r="EM195" s="9"/>
      <c r="EN195" s="9"/>
      <c r="EO195" s="9"/>
      <c r="EP195" s="9"/>
      <c r="EQ195" s="9"/>
      <c r="ER195" s="9"/>
      <c r="ES195" s="9"/>
      <c r="ET195" s="9"/>
      <c r="EU195" s="9"/>
      <c r="EV195" s="9"/>
      <c r="EW195" s="9"/>
      <c r="EX195" s="9"/>
      <c r="EY195" s="9"/>
      <c r="EZ195" s="9"/>
      <c r="FA195" s="9"/>
      <c r="FB195" s="9"/>
      <c r="FC195" s="9"/>
      <c r="FD195" s="9"/>
      <c r="FE195" s="9"/>
      <c r="FF195" s="9"/>
      <c r="FG195" s="9"/>
      <c r="FH195" s="9"/>
      <c r="FI195" s="9"/>
      <c r="FJ195" s="9"/>
      <c r="FK195" s="9"/>
      <c r="FL195" s="9"/>
      <c r="FM195" s="9"/>
      <c r="FN195" s="9"/>
      <c r="FO195" s="9"/>
      <c r="FP195" s="9"/>
      <c r="FQ195" s="9"/>
      <c r="FR195" s="9"/>
      <c r="FS195" s="9"/>
      <c r="FT195" s="9"/>
      <c r="FU195" s="9"/>
      <c r="FV195" s="9"/>
      <c r="FW195" s="9"/>
      <c r="FX195" s="9"/>
      <c r="FY195" s="9"/>
      <c r="FZ195" s="9"/>
      <c r="GA195" s="9"/>
      <c r="GB195" s="9"/>
      <c r="GC195" s="9"/>
      <c r="GD195" s="9"/>
      <c r="GE195" s="9"/>
      <c r="GF195" s="9"/>
      <c r="GG195" s="9"/>
      <c r="GH195" s="9"/>
      <c r="GI195" s="9"/>
      <c r="GJ195" s="9"/>
      <c r="GK195" s="9"/>
      <c r="GL195" s="9"/>
      <c r="GM195" s="9"/>
      <c r="GN195" s="9"/>
      <c r="GO195" s="9"/>
      <c r="GP195" s="9"/>
      <c r="GQ195" s="9"/>
      <c r="GR195" s="9"/>
      <c r="GS195" s="9"/>
      <c r="GT195" s="9"/>
      <c r="GU195" s="9"/>
      <c r="GV195" s="9"/>
      <c r="GW195" s="9"/>
      <c r="GX195" s="9"/>
      <c r="GY195" s="9"/>
      <c r="GZ195" s="9"/>
      <c r="HA195" s="9"/>
      <c r="HB195" s="9"/>
      <c r="HC195" s="9"/>
      <c r="HD195" s="9"/>
      <c r="HE195" s="9"/>
      <c r="HF195" s="9"/>
      <c r="HG195" s="9"/>
      <c r="HH195" s="9"/>
      <c r="HI195" s="9"/>
      <c r="HJ195" s="9"/>
      <c r="HQ195" t="s">
        <v>677</v>
      </c>
      <c r="HS195" s="4" t="s">
        <v>490</v>
      </c>
      <c r="HT195" s="50">
        <v>34335</v>
      </c>
      <c r="HU195" s="50">
        <v>36160</v>
      </c>
      <c r="HV195" s="50"/>
      <c r="HW195" s="50"/>
      <c r="IN195" s="4"/>
      <c r="IO195" t="s">
        <v>678</v>
      </c>
      <c r="IP195" s="12" t="s">
        <v>679</v>
      </c>
      <c r="IS195">
        <v>1995</v>
      </c>
      <c r="IT195">
        <v>1995.2</v>
      </c>
      <c r="IU195" s="4" t="s">
        <v>544</v>
      </c>
      <c r="IV195" t="s">
        <v>680</v>
      </c>
      <c r="IW195" s="12" t="s">
        <v>681</v>
      </c>
      <c r="IZ195">
        <v>0.5</v>
      </c>
      <c r="JA195" t="s">
        <v>480</v>
      </c>
      <c r="JB195" t="s">
        <v>480</v>
      </c>
      <c r="JC195" t="s">
        <v>480</v>
      </c>
      <c r="JD195" t="s">
        <v>480</v>
      </c>
      <c r="JE195" t="s">
        <v>480</v>
      </c>
      <c r="JF195" t="s">
        <v>480</v>
      </c>
      <c r="JG195" t="s">
        <v>480</v>
      </c>
      <c r="JH195" t="s">
        <v>480</v>
      </c>
      <c r="JI195" t="s">
        <v>480</v>
      </c>
      <c r="JK195" s="12" t="s">
        <v>682</v>
      </c>
      <c r="JP195" s="4"/>
      <c r="KF195" s="7" t="s">
        <v>500</v>
      </c>
      <c r="KJ195" s="7" t="s">
        <v>683</v>
      </c>
      <c r="KK195" s="7" t="s">
        <v>562</v>
      </c>
      <c r="KL195" t="s">
        <v>480</v>
      </c>
      <c r="KM195" t="s">
        <v>480</v>
      </c>
      <c r="MY195" t="s">
        <v>684</v>
      </c>
      <c r="MZ195">
        <v>42</v>
      </c>
      <c r="NB195" s="4" t="s">
        <v>511</v>
      </c>
      <c r="NJ195" t="s">
        <v>826</v>
      </c>
      <c r="NL195" s="4" t="s">
        <v>654</v>
      </c>
      <c r="NM195" s="6" t="s">
        <v>719</v>
      </c>
      <c r="NV195" t="s">
        <v>518</v>
      </c>
      <c r="NW195" s="5" t="s">
        <v>854</v>
      </c>
      <c r="NX195" s="4" t="s">
        <v>520</v>
      </c>
      <c r="NY195" s="3">
        <v>0.12510499194115998</v>
      </c>
      <c r="OB195">
        <v>4</v>
      </c>
      <c r="OU195" t="s">
        <v>855</v>
      </c>
      <c r="OW195">
        <v>1997</v>
      </c>
      <c r="OZ195" s="2" t="s">
        <v>709</v>
      </c>
      <c r="PB195" t="s">
        <v>522</v>
      </c>
      <c r="PC195" s="50">
        <v>46094</v>
      </c>
    </row>
    <row r="196" spans="1:419" ht="15.75" thickBot="1">
      <c r="A196" s="11" t="s">
        <v>665</v>
      </c>
      <c r="B196" t="s">
        <v>666</v>
      </c>
      <c r="C196" t="s">
        <v>667</v>
      </c>
      <c r="D196" s="4" t="s">
        <v>668</v>
      </c>
      <c r="E196" t="s">
        <v>669</v>
      </c>
      <c r="F196" s="88" t="s">
        <v>670</v>
      </c>
      <c r="G196" t="s">
        <v>475</v>
      </c>
      <c r="H196" t="s">
        <v>476</v>
      </c>
      <c r="I196" s="10">
        <v>0.1</v>
      </c>
      <c r="J196" s="10">
        <v>34.566667000000002</v>
      </c>
      <c r="K196">
        <v>150</v>
      </c>
      <c r="AV196" t="s">
        <v>671</v>
      </c>
      <c r="AW196">
        <v>100</v>
      </c>
      <c r="AX196" t="s">
        <v>480</v>
      </c>
      <c r="AY196">
        <v>4</v>
      </c>
      <c r="AZ196" t="s">
        <v>672</v>
      </c>
      <c r="BA196">
        <v>1994</v>
      </c>
      <c r="BB196">
        <v>1998</v>
      </c>
      <c r="BC196" t="s">
        <v>673</v>
      </c>
      <c r="BD196" s="10" t="s">
        <v>693</v>
      </c>
      <c r="BE196" t="s">
        <v>566</v>
      </c>
      <c r="BF196" s="3" t="s">
        <v>484</v>
      </c>
      <c r="BG196" t="s">
        <v>485</v>
      </c>
      <c r="BH196" t="s">
        <v>675</v>
      </c>
      <c r="BI196" s="4" t="s">
        <v>486</v>
      </c>
      <c r="BJ196" s="9">
        <v>53000</v>
      </c>
      <c r="ED196" t="s">
        <v>676</v>
      </c>
      <c r="EE196" s="4" t="s">
        <v>486</v>
      </c>
      <c r="EF196" s="9">
        <v>53000</v>
      </c>
      <c r="EG196" s="9"/>
      <c r="EH196" s="9"/>
      <c r="EI196" s="9"/>
      <c r="EJ196" s="9"/>
      <c r="EK196" s="9"/>
      <c r="EL196" s="9"/>
      <c r="EM196" s="9"/>
      <c r="EN196" s="9"/>
      <c r="EO196" s="9"/>
      <c r="EP196" s="9"/>
      <c r="EQ196" s="9"/>
      <c r="ER196" s="9"/>
      <c r="ES196" s="9"/>
      <c r="ET196" s="9"/>
      <c r="EU196" s="9"/>
      <c r="EV196" s="9"/>
      <c r="EW196" s="9"/>
      <c r="EX196" s="9"/>
      <c r="EY196" s="9"/>
      <c r="EZ196" s="9"/>
      <c r="FA196" s="9"/>
      <c r="FB196" s="9"/>
      <c r="FC196" s="9"/>
      <c r="FD196" s="9"/>
      <c r="FE196" s="9"/>
      <c r="FF196" s="9"/>
      <c r="FG196" s="9"/>
      <c r="FH196" s="9"/>
      <c r="FI196" s="9"/>
      <c r="FJ196" s="9"/>
      <c r="FK196" s="9"/>
      <c r="FL196" s="9"/>
      <c r="FM196" s="9"/>
      <c r="FN196" s="9"/>
      <c r="FO196" s="9"/>
      <c r="FP196" s="9"/>
      <c r="FQ196" s="9"/>
      <c r="FR196" s="9"/>
      <c r="FS196" s="9"/>
      <c r="FT196" s="9"/>
      <c r="FU196" s="9"/>
      <c r="FV196" s="9"/>
      <c r="FW196" s="9"/>
      <c r="FX196" s="9"/>
      <c r="FY196" s="9"/>
      <c r="FZ196" s="9"/>
      <c r="GA196" s="9"/>
      <c r="GB196" s="9"/>
      <c r="GC196" s="9"/>
      <c r="GD196" s="9"/>
      <c r="GE196" s="9"/>
      <c r="GF196" s="9"/>
      <c r="GG196" s="9"/>
      <c r="GH196" s="9"/>
      <c r="GI196" s="9"/>
      <c r="GJ196" s="9"/>
      <c r="GK196" s="9"/>
      <c r="GL196" s="9"/>
      <c r="GM196" s="9"/>
      <c r="GN196" s="9"/>
      <c r="GO196" s="9"/>
      <c r="GP196" s="9"/>
      <c r="GQ196" s="9"/>
      <c r="GR196" s="9"/>
      <c r="GS196" s="9"/>
      <c r="GT196" s="9"/>
      <c r="GU196" s="9"/>
      <c r="GV196" s="9"/>
      <c r="GW196" s="9"/>
      <c r="GX196" s="9"/>
      <c r="GY196" s="9"/>
      <c r="GZ196" s="9"/>
      <c r="HA196" s="9"/>
      <c r="HB196" s="9"/>
      <c r="HC196" s="9"/>
      <c r="HD196" s="9"/>
      <c r="HE196" s="9"/>
      <c r="HF196" s="9"/>
      <c r="HG196" s="9"/>
      <c r="HH196" s="9"/>
      <c r="HI196" s="9"/>
      <c r="HJ196" s="9"/>
      <c r="HQ196" t="s">
        <v>677</v>
      </c>
      <c r="HS196" s="4" t="s">
        <v>490</v>
      </c>
      <c r="HT196" s="50">
        <v>34335</v>
      </c>
      <c r="HU196" s="50">
        <v>36160</v>
      </c>
      <c r="HV196" s="50"/>
      <c r="HW196" s="50"/>
      <c r="IN196" s="4"/>
      <c r="IO196" t="s">
        <v>694</v>
      </c>
      <c r="IP196" s="12" t="s">
        <v>695</v>
      </c>
      <c r="IS196">
        <v>1994</v>
      </c>
      <c r="IT196">
        <v>1994.2</v>
      </c>
      <c r="IU196" s="4" t="s">
        <v>544</v>
      </c>
      <c r="IV196" t="s">
        <v>696</v>
      </c>
      <c r="IW196" s="12" t="s">
        <v>681</v>
      </c>
      <c r="IZ196">
        <v>0.5</v>
      </c>
      <c r="JA196" t="s">
        <v>480</v>
      </c>
      <c r="JB196" t="s">
        <v>480</v>
      </c>
      <c r="JC196" t="s">
        <v>480</v>
      </c>
      <c r="JD196" t="s">
        <v>480</v>
      </c>
      <c r="JE196" t="s">
        <v>480</v>
      </c>
      <c r="JF196" t="s">
        <v>480</v>
      </c>
      <c r="JG196" t="s">
        <v>480</v>
      </c>
      <c r="JH196" t="s">
        <v>480</v>
      </c>
      <c r="JI196" t="s">
        <v>480</v>
      </c>
      <c r="JK196" s="12" t="s">
        <v>682</v>
      </c>
      <c r="JP196" s="4"/>
      <c r="KF196" s="7" t="s">
        <v>500</v>
      </c>
      <c r="KJ196" s="7" t="s">
        <v>683</v>
      </c>
      <c r="KK196" s="7" t="s">
        <v>562</v>
      </c>
      <c r="KL196" t="s">
        <v>480</v>
      </c>
      <c r="KM196" t="s">
        <v>480</v>
      </c>
      <c r="MY196" t="s">
        <v>684</v>
      </c>
      <c r="MZ196">
        <v>42</v>
      </c>
      <c r="NB196" s="4" t="s">
        <v>511</v>
      </c>
      <c r="NJ196" t="s">
        <v>826</v>
      </c>
      <c r="NL196" s="4" t="s">
        <v>654</v>
      </c>
      <c r="NM196" s="6" t="s">
        <v>719</v>
      </c>
      <c r="NV196" t="s">
        <v>518</v>
      </c>
      <c r="NW196" s="5" t="s">
        <v>856</v>
      </c>
      <c r="NX196" s="4" t="s">
        <v>520</v>
      </c>
      <c r="NY196" s="3">
        <v>0.14342466686340982</v>
      </c>
      <c r="OB196">
        <v>4</v>
      </c>
      <c r="OU196" t="s">
        <v>855</v>
      </c>
      <c r="OW196">
        <v>1997</v>
      </c>
      <c r="OZ196" s="2" t="s">
        <v>709</v>
      </c>
      <c r="PB196" t="s">
        <v>522</v>
      </c>
      <c r="PC196" s="50">
        <v>46094</v>
      </c>
    </row>
    <row r="197" spans="1:419" ht="15.75" thickBot="1">
      <c r="A197" s="11" t="s">
        <v>665</v>
      </c>
      <c r="B197" t="s">
        <v>666</v>
      </c>
      <c r="C197" t="s">
        <v>667</v>
      </c>
      <c r="D197" s="4" t="s">
        <v>668</v>
      </c>
      <c r="E197" t="s">
        <v>669</v>
      </c>
      <c r="F197" s="88" t="s">
        <v>670</v>
      </c>
      <c r="G197" t="s">
        <v>475</v>
      </c>
      <c r="H197" t="s">
        <v>476</v>
      </c>
      <c r="I197" s="10">
        <v>0.1</v>
      </c>
      <c r="J197" s="10">
        <v>34.566667000000002</v>
      </c>
      <c r="K197">
        <v>150</v>
      </c>
      <c r="AV197" t="s">
        <v>671</v>
      </c>
      <c r="AW197">
        <v>100</v>
      </c>
      <c r="AX197" t="s">
        <v>480</v>
      </c>
      <c r="AY197">
        <v>4</v>
      </c>
      <c r="AZ197" t="s">
        <v>672</v>
      </c>
      <c r="BA197">
        <v>1994</v>
      </c>
      <c r="BB197">
        <v>1998</v>
      </c>
      <c r="BC197" t="s">
        <v>673</v>
      </c>
      <c r="BD197" s="10" t="s">
        <v>697</v>
      </c>
      <c r="BE197" t="s">
        <v>572</v>
      </c>
      <c r="BF197" s="3" t="s">
        <v>484</v>
      </c>
      <c r="BG197" t="s">
        <v>485</v>
      </c>
      <c r="BH197" t="s">
        <v>675</v>
      </c>
      <c r="BI197" s="4" t="s">
        <v>486</v>
      </c>
      <c r="BJ197" s="9">
        <v>53000</v>
      </c>
      <c r="EE197" s="4"/>
      <c r="EF197" s="9"/>
      <c r="EG197" s="9"/>
      <c r="EH197" s="9"/>
      <c r="EI197" s="9"/>
      <c r="EJ197" s="9"/>
      <c r="EK197" s="9"/>
      <c r="EL197" s="9"/>
      <c r="EM197" s="9"/>
      <c r="EN197" s="9"/>
      <c r="EO197" s="9"/>
      <c r="EP197" s="9"/>
      <c r="EQ197" s="9"/>
      <c r="ER197" s="9"/>
      <c r="ES197" s="9"/>
      <c r="ET197" s="9"/>
      <c r="EU197" s="9"/>
      <c r="EV197" s="9"/>
      <c r="EW197" s="9"/>
      <c r="EX197" s="9"/>
      <c r="EY197" s="9"/>
      <c r="EZ197" s="9"/>
      <c r="FA197" s="9"/>
      <c r="FB197" s="9"/>
      <c r="FC197" s="9"/>
      <c r="FD197" s="9"/>
      <c r="FE197" s="9"/>
      <c r="FF197" s="9"/>
      <c r="FG197" s="9"/>
      <c r="FH197" s="9"/>
      <c r="FI197" s="9"/>
      <c r="FJ197" s="9"/>
      <c r="FK197" s="9"/>
      <c r="FL197" s="9"/>
      <c r="FM197" s="9"/>
      <c r="FN197" s="9"/>
      <c r="FO197" s="9"/>
      <c r="FP197" s="9"/>
      <c r="FQ197" s="9"/>
      <c r="FR197" s="9"/>
      <c r="FS197" s="9"/>
      <c r="FT197" s="9"/>
      <c r="FU197" s="9"/>
      <c r="FV197" s="9"/>
      <c r="FW197" s="9"/>
      <c r="FX197" s="9"/>
      <c r="FY197" s="9"/>
      <c r="FZ197" s="9"/>
      <c r="GA197" s="9"/>
      <c r="GB197" s="9"/>
      <c r="GC197" s="9"/>
      <c r="GD197" s="9"/>
      <c r="GE197" s="9"/>
      <c r="GF197" s="9"/>
      <c r="GG197" s="9"/>
      <c r="GH197" s="9"/>
      <c r="GI197" s="9"/>
      <c r="GJ197" s="9"/>
      <c r="GK197" s="9"/>
      <c r="GL197" s="9"/>
      <c r="GM197" s="9"/>
      <c r="GN197" s="9"/>
      <c r="GO197" s="9"/>
      <c r="GP197" s="9"/>
      <c r="GQ197" s="9"/>
      <c r="GR197" s="9"/>
      <c r="GS197" s="9"/>
      <c r="GT197" s="9"/>
      <c r="GU197" s="9"/>
      <c r="GV197" s="9"/>
      <c r="GW197" s="9"/>
      <c r="GX197" s="9"/>
      <c r="GY197" s="9"/>
      <c r="GZ197" s="9"/>
      <c r="HA197" s="9"/>
      <c r="HB197" s="9"/>
      <c r="HC197" s="9"/>
      <c r="HD197" s="9"/>
      <c r="HE197" s="9"/>
      <c r="HF197" s="9"/>
      <c r="HG197" s="9"/>
      <c r="HH197" s="9"/>
      <c r="HI197" s="9"/>
      <c r="HJ197" s="9"/>
      <c r="HQ197" t="s">
        <v>677</v>
      </c>
      <c r="HS197" s="4" t="s">
        <v>490</v>
      </c>
      <c r="HT197" s="50">
        <v>34335</v>
      </c>
      <c r="HU197" s="50">
        <v>36160</v>
      </c>
      <c r="HV197" s="50"/>
      <c r="HW197" s="50"/>
      <c r="IO197" t="s">
        <v>698</v>
      </c>
      <c r="IP197" s="46" t="s">
        <v>699</v>
      </c>
      <c r="IS197">
        <v>1995</v>
      </c>
      <c r="IT197">
        <v>1995.2</v>
      </c>
      <c r="IU197" s="4" t="s">
        <v>544</v>
      </c>
      <c r="IV197" t="s">
        <v>700</v>
      </c>
      <c r="IW197" t="s">
        <v>492</v>
      </c>
      <c r="JA197">
        <v>0</v>
      </c>
      <c r="JB197">
        <v>0</v>
      </c>
      <c r="JC197">
        <v>0</v>
      </c>
      <c r="JD197">
        <v>0</v>
      </c>
      <c r="JE197">
        <v>0</v>
      </c>
      <c r="JF197">
        <v>0</v>
      </c>
      <c r="JG197">
        <v>0</v>
      </c>
      <c r="JH197">
        <v>0</v>
      </c>
      <c r="JI197">
        <v>0</v>
      </c>
      <c r="JK197" s="12" t="s">
        <v>682</v>
      </c>
      <c r="JP197" s="4"/>
      <c r="KF197" s="7" t="s">
        <v>500</v>
      </c>
      <c r="KJ197" s="7" t="s">
        <v>649</v>
      </c>
      <c r="KK197" s="7"/>
      <c r="MY197" t="s">
        <v>684</v>
      </c>
      <c r="MZ197">
        <v>42</v>
      </c>
      <c r="NB197" s="4" t="s">
        <v>511</v>
      </c>
      <c r="NJ197" t="s">
        <v>826</v>
      </c>
      <c r="NL197" s="4" t="s">
        <v>654</v>
      </c>
      <c r="NM197" s="6" t="s">
        <v>719</v>
      </c>
      <c r="NV197" t="s">
        <v>518</v>
      </c>
      <c r="NW197" s="5" t="s">
        <v>857</v>
      </c>
      <c r="NX197" s="4" t="s">
        <v>520</v>
      </c>
      <c r="NY197" s="3">
        <v>0.21479648589135003</v>
      </c>
      <c r="OB197">
        <v>4</v>
      </c>
      <c r="OU197" t="s">
        <v>855</v>
      </c>
      <c r="OW197">
        <v>1997</v>
      </c>
      <c r="OZ197" s="2" t="s">
        <v>709</v>
      </c>
      <c r="PB197" t="s">
        <v>522</v>
      </c>
      <c r="PC197" s="50">
        <v>46094</v>
      </c>
    </row>
    <row r="198" spans="1:419" ht="15.75" thickBot="1">
      <c r="A198" s="11" t="s">
        <v>665</v>
      </c>
      <c r="B198" t="s">
        <v>666</v>
      </c>
      <c r="C198" t="s">
        <v>667</v>
      </c>
      <c r="D198" s="4" t="s">
        <v>668</v>
      </c>
      <c r="E198" t="s">
        <v>669</v>
      </c>
      <c r="F198" s="88" t="s">
        <v>670</v>
      </c>
      <c r="G198" t="s">
        <v>475</v>
      </c>
      <c r="H198" t="s">
        <v>476</v>
      </c>
      <c r="I198" s="10">
        <v>0.1</v>
      </c>
      <c r="J198" s="10">
        <v>34.566667000000002</v>
      </c>
      <c r="K198">
        <v>150</v>
      </c>
      <c r="AV198" t="s">
        <v>671</v>
      </c>
      <c r="AW198">
        <v>100</v>
      </c>
      <c r="AX198" t="s">
        <v>480</v>
      </c>
      <c r="AY198">
        <v>4</v>
      </c>
      <c r="AZ198" t="s">
        <v>672</v>
      </c>
      <c r="BA198">
        <v>1994</v>
      </c>
      <c r="BB198">
        <v>1998</v>
      </c>
      <c r="BC198" t="s">
        <v>673</v>
      </c>
      <c r="BD198" s="10" t="s">
        <v>701</v>
      </c>
      <c r="BE198" t="s">
        <v>553</v>
      </c>
      <c r="BF198" s="3" t="s">
        <v>484</v>
      </c>
      <c r="BG198" t="s">
        <v>485</v>
      </c>
      <c r="BH198" t="s">
        <v>675</v>
      </c>
      <c r="BI198" s="4" t="s">
        <v>486</v>
      </c>
      <c r="BJ198" s="9">
        <v>53000</v>
      </c>
      <c r="EE198" s="4"/>
      <c r="EF198" s="9"/>
      <c r="EG198" s="9"/>
      <c r="EH198" s="9"/>
      <c r="EI198" s="9"/>
      <c r="EJ198" s="9"/>
      <c r="EK198" s="9"/>
      <c r="EL198" s="9"/>
      <c r="EM198" s="9"/>
      <c r="EN198" s="9"/>
      <c r="EO198" s="9"/>
      <c r="EP198" s="9"/>
      <c r="EQ198" s="9"/>
      <c r="ER198" s="9"/>
      <c r="ES198" s="9"/>
      <c r="ET198" s="9"/>
      <c r="EU198" s="9"/>
      <c r="EV198" s="9"/>
      <c r="EW198" s="9"/>
      <c r="EX198" s="9"/>
      <c r="EY198" s="9"/>
      <c r="EZ198" s="9"/>
      <c r="FA198" s="9"/>
      <c r="FB198" s="9"/>
      <c r="FC198" s="9"/>
      <c r="FD198" s="9"/>
      <c r="FE198" s="9"/>
      <c r="FF198" s="9"/>
      <c r="FG198" s="9"/>
      <c r="FH198" s="9"/>
      <c r="FI198" s="9"/>
      <c r="FJ198" s="9"/>
      <c r="FK198" s="9"/>
      <c r="FL198" s="9"/>
      <c r="FM198" s="9"/>
      <c r="FN198" s="9"/>
      <c r="FO198" s="9"/>
      <c r="FP198" s="9"/>
      <c r="FQ198" s="9"/>
      <c r="FR198" s="9"/>
      <c r="FS198" s="9"/>
      <c r="FT198" s="9"/>
      <c r="FU198" s="9"/>
      <c r="FV198" s="9"/>
      <c r="FW198" s="9"/>
      <c r="FX198" s="9"/>
      <c r="FY198" s="9"/>
      <c r="FZ198" s="9"/>
      <c r="GA198" s="9"/>
      <c r="GB198" s="9"/>
      <c r="GC198" s="9"/>
      <c r="GD198" s="9"/>
      <c r="GE198" s="9"/>
      <c r="GF198" s="9"/>
      <c r="GG198" s="9"/>
      <c r="GH198" s="9"/>
      <c r="GI198" s="9"/>
      <c r="GJ198" s="9"/>
      <c r="GK198" s="9"/>
      <c r="GL198" s="9"/>
      <c r="GM198" s="9"/>
      <c r="GN198" s="9"/>
      <c r="GO198" s="9"/>
      <c r="GP198" s="9"/>
      <c r="GQ198" s="9"/>
      <c r="GR198" s="9"/>
      <c r="GS198" s="9"/>
      <c r="GT198" s="9"/>
      <c r="GU198" s="9"/>
      <c r="GV198" s="9"/>
      <c r="GW198" s="9"/>
      <c r="GX198" s="9"/>
      <c r="GY198" s="9"/>
      <c r="GZ198" s="9"/>
      <c r="HA198" s="9"/>
      <c r="HB198" s="9"/>
      <c r="HC198" s="9"/>
      <c r="HD198" s="9"/>
      <c r="HE198" s="9"/>
      <c r="HF198" s="9"/>
      <c r="HG198" s="9"/>
      <c r="HH198" s="9"/>
      <c r="HI198" s="9"/>
      <c r="HJ198" s="9"/>
      <c r="HQ198" t="s">
        <v>677</v>
      </c>
      <c r="HS198" s="4" t="s">
        <v>490</v>
      </c>
      <c r="HT198" s="50">
        <v>34335</v>
      </c>
      <c r="HU198" s="50">
        <v>36160</v>
      </c>
      <c r="HV198" s="50"/>
      <c r="HW198" s="50"/>
      <c r="IO198" t="s">
        <v>702</v>
      </c>
      <c r="IP198" s="13" t="s">
        <v>703</v>
      </c>
      <c r="IS198">
        <v>1994</v>
      </c>
      <c r="IT198">
        <v>1994.2</v>
      </c>
      <c r="IU198" s="4" t="s">
        <v>544</v>
      </c>
      <c r="IV198" t="s">
        <v>700</v>
      </c>
      <c r="IW198" t="s">
        <v>492</v>
      </c>
      <c r="JA198">
        <v>0</v>
      </c>
      <c r="JB198">
        <v>0</v>
      </c>
      <c r="JC198">
        <v>0</v>
      </c>
      <c r="JD198">
        <v>0</v>
      </c>
      <c r="JE198">
        <v>0</v>
      </c>
      <c r="JF198">
        <v>0</v>
      </c>
      <c r="JG198">
        <v>0</v>
      </c>
      <c r="JH198">
        <v>0</v>
      </c>
      <c r="JI198">
        <v>0</v>
      </c>
      <c r="JK198" s="12" t="s">
        <v>682</v>
      </c>
      <c r="JP198" s="4"/>
      <c r="KF198" s="7" t="s">
        <v>500</v>
      </c>
      <c r="KJ198" s="7" t="s">
        <v>649</v>
      </c>
      <c r="KK198" s="7"/>
      <c r="MY198" t="s">
        <v>684</v>
      </c>
      <c r="MZ198">
        <v>42</v>
      </c>
      <c r="NB198" s="4" t="s">
        <v>511</v>
      </c>
      <c r="NJ198" t="s">
        <v>826</v>
      </c>
      <c r="NL198" s="4" t="s">
        <v>654</v>
      </c>
      <c r="NM198" s="6" t="s">
        <v>719</v>
      </c>
      <c r="NV198" t="s">
        <v>518</v>
      </c>
      <c r="NW198" s="5" t="s">
        <v>858</v>
      </c>
      <c r="NX198" s="4" t="s">
        <v>520</v>
      </c>
      <c r="NY198" s="3">
        <v>0.10746634582643</v>
      </c>
      <c r="OB198">
        <v>4</v>
      </c>
      <c r="OU198" t="s">
        <v>855</v>
      </c>
      <c r="OW198">
        <v>1997</v>
      </c>
      <c r="OZ198" s="2" t="s">
        <v>709</v>
      </c>
      <c r="PB198" t="s">
        <v>522</v>
      </c>
      <c r="PC198" s="50">
        <v>46094</v>
      </c>
    </row>
    <row r="199" spans="1:419" ht="15.75" thickBot="1">
      <c r="A199" s="11" t="s">
        <v>665</v>
      </c>
      <c r="B199" t="s">
        <v>666</v>
      </c>
      <c r="C199" t="s">
        <v>667</v>
      </c>
      <c r="D199" s="4" t="s">
        <v>668</v>
      </c>
      <c r="E199" t="s">
        <v>669</v>
      </c>
      <c r="F199" s="88" t="s">
        <v>670</v>
      </c>
      <c r="G199" t="s">
        <v>475</v>
      </c>
      <c r="H199" t="s">
        <v>476</v>
      </c>
      <c r="I199" s="10">
        <v>0.1</v>
      </c>
      <c r="J199" s="10">
        <v>34.566667000000002</v>
      </c>
      <c r="K199">
        <v>150</v>
      </c>
      <c r="AV199" t="s">
        <v>671</v>
      </c>
      <c r="AW199">
        <v>100</v>
      </c>
      <c r="AX199" t="s">
        <v>480</v>
      </c>
      <c r="AY199">
        <v>4</v>
      </c>
      <c r="AZ199" t="s">
        <v>672</v>
      </c>
      <c r="BA199">
        <v>1994</v>
      </c>
      <c r="BB199">
        <v>1998</v>
      </c>
      <c r="BC199" t="s">
        <v>673</v>
      </c>
      <c r="BD199" s="10" t="s">
        <v>704</v>
      </c>
      <c r="BE199" t="s">
        <v>524</v>
      </c>
      <c r="BF199" s="3" t="s">
        <v>484</v>
      </c>
      <c r="BG199" t="s">
        <v>485</v>
      </c>
      <c r="BH199" t="s">
        <v>675</v>
      </c>
      <c r="BI199" s="4" t="s">
        <v>486</v>
      </c>
      <c r="BJ199" s="9">
        <v>53000</v>
      </c>
      <c r="HQ199" t="s">
        <v>677</v>
      </c>
      <c r="HS199" s="4" t="s">
        <v>490</v>
      </c>
      <c r="HT199" s="50">
        <v>34335</v>
      </c>
      <c r="HU199" s="50">
        <v>36160</v>
      </c>
      <c r="HV199" s="50"/>
      <c r="HW199" s="50"/>
      <c r="IO199" t="s">
        <v>700</v>
      </c>
      <c r="IP199" s="46" t="s">
        <v>492</v>
      </c>
      <c r="IU199" s="4" t="s">
        <v>544</v>
      </c>
      <c r="IV199" t="s">
        <v>700</v>
      </c>
      <c r="IW199" s="46" t="s">
        <v>492</v>
      </c>
      <c r="JA199">
        <v>0</v>
      </c>
      <c r="JB199">
        <v>0</v>
      </c>
      <c r="JC199">
        <v>0</v>
      </c>
      <c r="JD199">
        <v>0</v>
      </c>
      <c r="JE199">
        <v>0</v>
      </c>
      <c r="JF199">
        <v>0</v>
      </c>
      <c r="JG199">
        <v>0</v>
      </c>
      <c r="JH199">
        <v>0</v>
      </c>
      <c r="JI199">
        <v>0</v>
      </c>
      <c r="JK199" s="12" t="s">
        <v>682</v>
      </c>
      <c r="JP199" s="4"/>
      <c r="KF199" s="7" t="s">
        <v>500</v>
      </c>
      <c r="KJ199" s="7" t="s">
        <v>649</v>
      </c>
      <c r="KK199" s="7"/>
      <c r="MY199" t="s">
        <v>684</v>
      </c>
      <c r="MZ199">
        <v>42</v>
      </c>
      <c r="NB199" s="4" t="s">
        <v>511</v>
      </c>
      <c r="NJ199" t="s">
        <v>826</v>
      </c>
      <c r="NL199" s="4" t="s">
        <v>654</v>
      </c>
      <c r="NM199" s="6" t="s">
        <v>719</v>
      </c>
      <c r="NU199" t="s">
        <v>517</v>
      </c>
      <c r="NV199" t="s">
        <v>518</v>
      </c>
      <c r="NW199" s="5" t="s">
        <v>859</v>
      </c>
      <c r="NX199" s="4" t="s">
        <v>520</v>
      </c>
      <c r="NY199" s="3">
        <v>0.17897437061588017</v>
      </c>
      <c r="OB199">
        <v>4</v>
      </c>
      <c r="OU199" t="s">
        <v>855</v>
      </c>
      <c r="OW199">
        <v>1997</v>
      </c>
      <c r="OZ199" s="2" t="s">
        <v>709</v>
      </c>
      <c r="PB199" t="s">
        <v>522</v>
      </c>
      <c r="PC199" s="50">
        <v>46094</v>
      </c>
    </row>
    <row r="200" spans="1:419" ht="15.75" thickBot="1">
      <c r="A200" s="11" t="s">
        <v>665</v>
      </c>
      <c r="B200" t="s">
        <v>666</v>
      </c>
      <c r="C200" t="s">
        <v>667</v>
      </c>
      <c r="D200" s="4" t="s">
        <v>668</v>
      </c>
      <c r="E200" t="s">
        <v>669</v>
      </c>
      <c r="F200" s="88" t="s">
        <v>670</v>
      </c>
      <c r="G200" t="s">
        <v>475</v>
      </c>
      <c r="H200" t="s">
        <v>476</v>
      </c>
      <c r="I200" s="10">
        <v>0.1</v>
      </c>
      <c r="J200" s="10">
        <v>34.566667000000002</v>
      </c>
      <c r="K200">
        <v>150</v>
      </c>
      <c r="AV200" t="s">
        <v>671</v>
      </c>
      <c r="AW200">
        <v>100</v>
      </c>
      <c r="AX200" t="s">
        <v>480</v>
      </c>
      <c r="AY200">
        <v>4</v>
      </c>
      <c r="AZ200" t="s">
        <v>672</v>
      </c>
      <c r="BA200">
        <v>1994</v>
      </c>
      <c r="BB200">
        <v>1998</v>
      </c>
      <c r="BC200" t="s">
        <v>673</v>
      </c>
      <c r="BD200" s="10" t="s">
        <v>705</v>
      </c>
      <c r="BE200" t="s">
        <v>483</v>
      </c>
      <c r="BF200" s="3" t="s">
        <v>484</v>
      </c>
      <c r="BG200" t="s">
        <v>485</v>
      </c>
      <c r="BH200" t="s">
        <v>675</v>
      </c>
      <c r="BI200" s="4" t="s">
        <v>486</v>
      </c>
      <c r="BJ200" s="9">
        <v>53000</v>
      </c>
      <c r="HQ200" t="s">
        <v>677</v>
      </c>
      <c r="HS200" s="4" t="s">
        <v>490</v>
      </c>
      <c r="HT200" s="50">
        <v>34335</v>
      </c>
      <c r="HU200" s="50">
        <v>36160</v>
      </c>
      <c r="HV200" s="50"/>
      <c r="HW200" s="50"/>
      <c r="IO200" t="s">
        <v>706</v>
      </c>
      <c r="IP200" s="46" t="s">
        <v>492</v>
      </c>
      <c r="IU200" s="4" t="s">
        <v>544</v>
      </c>
      <c r="IV200" t="s">
        <v>707</v>
      </c>
      <c r="IW200" s="46" t="s">
        <v>492</v>
      </c>
      <c r="JA200">
        <v>0</v>
      </c>
      <c r="JB200">
        <v>0</v>
      </c>
      <c r="JC200">
        <v>0</v>
      </c>
      <c r="JD200">
        <v>0</v>
      </c>
      <c r="JE200">
        <v>0</v>
      </c>
      <c r="JF200">
        <v>0</v>
      </c>
      <c r="JG200">
        <v>0</v>
      </c>
      <c r="JH200">
        <v>0</v>
      </c>
      <c r="JI200">
        <v>0</v>
      </c>
      <c r="JJ200" t="s">
        <v>706</v>
      </c>
      <c r="JK200" t="s">
        <v>494</v>
      </c>
      <c r="JL200" s="8" t="s">
        <v>495</v>
      </c>
      <c r="JP200" s="4" t="s">
        <v>508</v>
      </c>
      <c r="JQ200">
        <v>60</v>
      </c>
      <c r="JT200">
        <v>60</v>
      </c>
      <c r="KF200" s="7" t="s">
        <v>500</v>
      </c>
      <c r="KJ200" s="7" t="s">
        <v>649</v>
      </c>
      <c r="KK200" s="7"/>
      <c r="MY200" t="s">
        <v>684</v>
      </c>
      <c r="MZ200">
        <v>42</v>
      </c>
      <c r="NB200" s="4" t="s">
        <v>511</v>
      </c>
      <c r="NJ200" t="s">
        <v>826</v>
      </c>
      <c r="NL200" s="4" t="s">
        <v>654</v>
      </c>
      <c r="NM200" s="6" t="s">
        <v>719</v>
      </c>
      <c r="NU200" t="s">
        <v>708</v>
      </c>
      <c r="NV200" t="s">
        <v>518</v>
      </c>
      <c r="NW200" s="5" t="s">
        <v>860</v>
      </c>
      <c r="NX200" s="4" t="s">
        <v>520</v>
      </c>
      <c r="NY200" s="3">
        <v>0.10726203718416993</v>
      </c>
      <c r="OB200">
        <v>4</v>
      </c>
      <c r="OU200" t="s">
        <v>855</v>
      </c>
      <c r="OW200">
        <v>1997</v>
      </c>
      <c r="OZ200" s="2" t="s">
        <v>709</v>
      </c>
      <c r="PB200" t="s">
        <v>522</v>
      </c>
      <c r="PC200" s="50">
        <v>46094</v>
      </c>
    </row>
    <row r="201" spans="1:419" ht="15.75" thickBot="1">
      <c r="A201" s="11" t="s">
        <v>861</v>
      </c>
      <c r="B201" t="s">
        <v>862</v>
      </c>
      <c r="C201" s="82" t="s">
        <v>863</v>
      </c>
      <c r="D201" s="4" t="s">
        <v>480</v>
      </c>
      <c r="E201" t="s">
        <v>864</v>
      </c>
      <c r="F201" t="s">
        <v>865</v>
      </c>
      <c r="G201" t="s">
        <v>475</v>
      </c>
      <c r="H201" t="s">
        <v>866</v>
      </c>
      <c r="I201" t="s">
        <v>866</v>
      </c>
      <c r="J201" t="s">
        <v>866</v>
      </c>
      <c r="K201" t="s">
        <v>480</v>
      </c>
      <c r="AV201" t="s">
        <v>867</v>
      </c>
      <c r="AW201" t="s">
        <v>480</v>
      </c>
      <c r="AX201" t="s">
        <v>480</v>
      </c>
      <c r="AY201">
        <v>2</v>
      </c>
      <c r="AZ201" t="s">
        <v>868</v>
      </c>
      <c r="BA201">
        <v>2002</v>
      </c>
      <c r="BB201">
        <v>2005</v>
      </c>
      <c r="BD201" t="s">
        <v>869</v>
      </c>
      <c r="BE201" t="s">
        <v>524</v>
      </c>
      <c r="BF201" s="3" t="s">
        <v>484</v>
      </c>
      <c r="BG201" t="s">
        <v>870</v>
      </c>
      <c r="BH201" t="s">
        <v>871</v>
      </c>
      <c r="BI201" s="4" t="s">
        <v>486</v>
      </c>
      <c r="BJ201">
        <v>333333</v>
      </c>
      <c r="EG201" s="9"/>
      <c r="EH201" s="9"/>
      <c r="EI201" s="9"/>
      <c r="EJ201" s="9"/>
      <c r="EK201" s="9"/>
      <c r="EL201" s="9"/>
      <c r="EM201" s="9"/>
      <c r="EN201" s="9"/>
      <c r="EO201" s="9"/>
      <c r="EP201" s="9"/>
      <c r="EQ201" s="9"/>
      <c r="ER201" s="9"/>
      <c r="ES201" s="9"/>
      <c r="ET201" s="9"/>
      <c r="EU201" s="9"/>
      <c r="EV201" s="9"/>
      <c r="EW201" s="9"/>
      <c r="EX201" s="9"/>
      <c r="EY201" s="9"/>
      <c r="EZ201" s="9"/>
      <c r="FA201" s="9"/>
      <c r="FB201" s="9"/>
      <c r="FC201" s="9"/>
      <c r="FD201" s="9"/>
      <c r="FE201" s="9"/>
      <c r="FF201" s="9"/>
      <c r="FG201" s="9"/>
      <c r="FH201" s="9"/>
      <c r="FI201" s="9"/>
      <c r="FJ201" s="9"/>
      <c r="FK201" s="9"/>
      <c r="FL201" s="9"/>
      <c r="FM201" s="9"/>
      <c r="FN201" s="9"/>
      <c r="FO201" s="9"/>
      <c r="FP201" s="9"/>
      <c r="FQ201" s="9"/>
      <c r="FR201" s="9"/>
      <c r="FS201" s="9"/>
      <c r="FT201" s="9"/>
      <c r="FU201" s="9"/>
      <c r="FV201" s="9"/>
      <c r="FW201" s="9"/>
      <c r="FX201" s="9"/>
      <c r="FY201" s="9"/>
      <c r="FZ201" s="9"/>
      <c r="GA201" s="9"/>
      <c r="GB201" s="9"/>
      <c r="GC201" s="9"/>
      <c r="GD201" s="9"/>
      <c r="GE201" s="9"/>
      <c r="GF201" s="9"/>
      <c r="GG201" s="9"/>
      <c r="GH201" s="9"/>
      <c r="GI201" s="9"/>
      <c r="GJ201" s="9"/>
      <c r="GK201" s="9"/>
      <c r="GL201" s="9"/>
      <c r="GM201" s="9"/>
      <c r="GN201" s="9"/>
      <c r="GO201" s="9"/>
      <c r="GP201" s="9"/>
      <c r="GQ201" s="9"/>
      <c r="GR201" s="9"/>
      <c r="GS201" s="9"/>
      <c r="GT201" s="9"/>
      <c r="GU201" s="9"/>
      <c r="GV201" s="9"/>
      <c r="GW201" s="9"/>
      <c r="GX201" s="9"/>
      <c r="GY201" s="9"/>
      <c r="GZ201" s="9"/>
      <c r="HA201" s="9"/>
      <c r="HB201" s="9"/>
      <c r="HC201" s="9"/>
      <c r="HD201" s="9"/>
      <c r="HE201" s="9"/>
      <c r="HF201" s="9"/>
      <c r="HG201" s="9"/>
      <c r="HH201" s="9"/>
      <c r="HI201" s="9"/>
      <c r="HJ201" s="9"/>
      <c r="HV201" s="50"/>
      <c r="HW201" s="50"/>
      <c r="IH201" t="s">
        <v>869</v>
      </c>
      <c r="II201" s="13" t="s">
        <v>492</v>
      </c>
      <c r="JJ201" t="s">
        <v>494</v>
      </c>
      <c r="JK201" s="75" t="s">
        <v>494</v>
      </c>
      <c r="JL201" s="8" t="s">
        <v>495</v>
      </c>
      <c r="JP201" t="s">
        <v>508</v>
      </c>
      <c r="JQ201">
        <v>60</v>
      </c>
      <c r="JT201">
        <v>45</v>
      </c>
      <c r="MY201" t="s">
        <v>872</v>
      </c>
      <c r="NB201" s="4" t="s">
        <v>873</v>
      </c>
      <c r="NJ201" s="82" t="s">
        <v>874</v>
      </c>
      <c r="NK201" t="s">
        <v>875</v>
      </c>
      <c r="NL201" t="s">
        <v>660</v>
      </c>
      <c r="NM201" t="s">
        <v>876</v>
      </c>
      <c r="NU201" t="s">
        <v>877</v>
      </c>
      <c r="NV201" t="s">
        <v>518</v>
      </c>
      <c r="NX201" t="s">
        <v>480</v>
      </c>
      <c r="OB201">
        <v>3</v>
      </c>
      <c r="OC201">
        <v>24.24</v>
      </c>
      <c r="OD201" t="s">
        <v>480</v>
      </c>
      <c r="OM201" t="s">
        <v>537</v>
      </c>
      <c r="ON201" t="s">
        <v>537</v>
      </c>
      <c r="OO201" t="s">
        <v>537</v>
      </c>
      <c r="OP201" t="s">
        <v>537</v>
      </c>
      <c r="OS201">
        <v>1</v>
      </c>
      <c r="OT201" t="s">
        <v>480</v>
      </c>
      <c r="OU201" t="s">
        <v>878</v>
      </c>
      <c r="OW201">
        <v>2002</v>
      </c>
      <c r="PB201" t="s">
        <v>522</v>
      </c>
      <c r="PC201" s="50">
        <v>46105</v>
      </c>
    </row>
    <row r="202" spans="1:419" ht="15.75" thickBot="1">
      <c r="A202" s="11" t="s">
        <v>861</v>
      </c>
      <c r="B202" t="s">
        <v>862</v>
      </c>
      <c r="C202" s="82" t="s">
        <v>863</v>
      </c>
      <c r="D202" s="4" t="s">
        <v>480</v>
      </c>
      <c r="E202" t="s">
        <v>864</v>
      </c>
      <c r="F202" t="s">
        <v>865</v>
      </c>
      <c r="G202" t="s">
        <v>475</v>
      </c>
      <c r="H202" t="s">
        <v>866</v>
      </c>
      <c r="I202" t="s">
        <v>866</v>
      </c>
      <c r="J202" t="s">
        <v>866</v>
      </c>
      <c r="K202" t="s">
        <v>480</v>
      </c>
      <c r="AV202" t="s">
        <v>867</v>
      </c>
      <c r="AW202" t="s">
        <v>480</v>
      </c>
      <c r="AX202" t="s">
        <v>480</v>
      </c>
      <c r="AY202">
        <v>2</v>
      </c>
      <c r="AZ202" t="s">
        <v>868</v>
      </c>
      <c r="BA202">
        <v>2002</v>
      </c>
      <c r="BB202">
        <v>2005</v>
      </c>
      <c r="BD202" t="s">
        <v>879</v>
      </c>
      <c r="BE202" t="s">
        <v>536</v>
      </c>
      <c r="BF202" s="3" t="s">
        <v>484</v>
      </c>
      <c r="BG202" t="s">
        <v>870</v>
      </c>
      <c r="BH202" t="s">
        <v>871</v>
      </c>
      <c r="BI202" s="4" t="s">
        <v>486</v>
      </c>
      <c r="BJ202">
        <v>333333</v>
      </c>
      <c r="BL202" t="s">
        <v>880</v>
      </c>
      <c r="BM202" t="s">
        <v>881</v>
      </c>
      <c r="BN202">
        <v>55556</v>
      </c>
      <c r="EG202" s="9"/>
      <c r="EH202" s="9"/>
      <c r="EI202" s="9"/>
      <c r="EJ202" s="9"/>
      <c r="EK202" s="9"/>
      <c r="EL202" s="9"/>
      <c r="EM202" s="9"/>
      <c r="EN202" s="9"/>
      <c r="EO202" s="9"/>
      <c r="EP202" s="9"/>
      <c r="EQ202" s="9"/>
      <c r="ER202" s="9"/>
      <c r="ES202" s="9"/>
      <c r="ET202" s="9"/>
      <c r="EU202" s="9"/>
      <c r="EV202" s="9"/>
      <c r="EW202" s="9"/>
      <c r="EX202" s="9"/>
      <c r="EY202" s="9"/>
      <c r="EZ202" s="9"/>
      <c r="FA202" s="9"/>
      <c r="FB202" s="9"/>
      <c r="FC202" s="9"/>
      <c r="FD202" s="9"/>
      <c r="FE202" s="9"/>
      <c r="FF202" s="9"/>
      <c r="FG202" s="9"/>
      <c r="FH202" s="9"/>
      <c r="FI202" s="9"/>
      <c r="FJ202" s="9"/>
      <c r="FK202" s="9"/>
      <c r="FL202" s="9"/>
      <c r="FM202" s="9"/>
      <c r="FN202" s="9"/>
      <c r="FO202" s="9"/>
      <c r="FP202" s="9"/>
      <c r="FQ202" s="9"/>
      <c r="FR202" s="9"/>
      <c r="FS202" s="9"/>
      <c r="FT202" s="9"/>
      <c r="FU202" s="9"/>
      <c r="FV202" s="9"/>
      <c r="FW202" s="9"/>
      <c r="FX202" s="9"/>
      <c r="FY202" s="9"/>
      <c r="FZ202" s="9"/>
      <c r="GA202" s="9"/>
      <c r="GB202" s="9"/>
      <c r="GC202" s="9"/>
      <c r="GD202" s="9"/>
      <c r="GE202" s="9"/>
      <c r="GF202" s="9"/>
      <c r="GG202" s="9"/>
      <c r="GH202" s="9"/>
      <c r="GI202" s="9"/>
      <c r="GJ202" s="9"/>
      <c r="GK202" s="9"/>
      <c r="GL202" s="9"/>
      <c r="GM202" s="9"/>
      <c r="GN202" s="9"/>
      <c r="GO202" s="9"/>
      <c r="GP202" s="9"/>
      <c r="GQ202" s="9"/>
      <c r="GR202" s="9"/>
      <c r="GS202" s="9"/>
      <c r="GT202" s="9"/>
      <c r="GU202" s="9"/>
      <c r="GV202" s="9"/>
      <c r="GW202" s="9"/>
      <c r="GX202" s="9"/>
      <c r="GY202" s="9"/>
      <c r="GZ202" s="9"/>
      <c r="HA202" s="9"/>
      <c r="HB202" s="9"/>
      <c r="HC202" s="9"/>
      <c r="HD202" s="9"/>
      <c r="HE202" s="9"/>
      <c r="HF202" s="9"/>
      <c r="HG202" s="9"/>
      <c r="HH202" s="9"/>
      <c r="HI202" s="9"/>
      <c r="HJ202" s="9"/>
      <c r="HV202" s="50"/>
      <c r="HW202" s="50"/>
      <c r="IH202" t="s">
        <v>879</v>
      </c>
      <c r="II202" s="12" t="s">
        <v>882</v>
      </c>
      <c r="IJ202" t="s">
        <v>542</v>
      </c>
      <c r="IK202" t="s">
        <v>480</v>
      </c>
      <c r="IL202" t="s">
        <v>480</v>
      </c>
      <c r="IM202">
        <v>2002</v>
      </c>
      <c r="IN202" t="s">
        <v>480</v>
      </c>
      <c r="JJ202" t="s">
        <v>494</v>
      </c>
      <c r="JK202" s="75" t="s">
        <v>494</v>
      </c>
      <c r="JL202" s="8" t="s">
        <v>495</v>
      </c>
      <c r="JP202" t="s">
        <v>508</v>
      </c>
      <c r="JQ202">
        <v>60</v>
      </c>
      <c r="JT202">
        <v>45</v>
      </c>
      <c r="MY202" t="s">
        <v>872</v>
      </c>
      <c r="NB202" s="4" t="s">
        <v>873</v>
      </c>
      <c r="NC202" t="s">
        <v>883</v>
      </c>
      <c r="NJ202" s="82" t="s">
        <v>874</v>
      </c>
      <c r="NK202" t="s">
        <v>884</v>
      </c>
      <c r="NL202" t="s">
        <v>660</v>
      </c>
      <c r="NM202" t="s">
        <v>876</v>
      </c>
      <c r="NV202" t="s">
        <v>518</v>
      </c>
      <c r="NX202" t="s">
        <v>480</v>
      </c>
      <c r="OB202">
        <v>3</v>
      </c>
      <c r="OC202">
        <v>12.12</v>
      </c>
      <c r="OD202" t="s">
        <v>480</v>
      </c>
      <c r="OE202">
        <v>2.4</v>
      </c>
      <c r="OF202" t="s">
        <v>480</v>
      </c>
      <c r="OM202">
        <v>0.5</v>
      </c>
      <c r="ON202" t="s">
        <v>480</v>
      </c>
      <c r="OO202">
        <v>0.32</v>
      </c>
      <c r="OP202" t="s">
        <v>480</v>
      </c>
      <c r="OS202">
        <v>0.82</v>
      </c>
      <c r="OT202" t="s">
        <v>480</v>
      </c>
      <c r="OU202" t="s">
        <v>885</v>
      </c>
      <c r="OW202">
        <v>2002</v>
      </c>
      <c r="PB202" t="s">
        <v>522</v>
      </c>
      <c r="PC202" s="50">
        <v>46105</v>
      </c>
    </row>
    <row r="203" spans="1:419" ht="15.75" thickBot="1">
      <c r="A203" s="11" t="s">
        <v>861</v>
      </c>
      <c r="B203" t="s">
        <v>862</v>
      </c>
      <c r="C203" s="82" t="s">
        <v>863</v>
      </c>
      <c r="D203" s="4" t="s">
        <v>480</v>
      </c>
      <c r="E203" t="s">
        <v>864</v>
      </c>
      <c r="F203" t="s">
        <v>865</v>
      </c>
      <c r="G203" t="s">
        <v>475</v>
      </c>
      <c r="H203" t="s">
        <v>866</v>
      </c>
      <c r="I203" t="s">
        <v>866</v>
      </c>
      <c r="J203" t="s">
        <v>866</v>
      </c>
      <c r="K203" t="s">
        <v>480</v>
      </c>
      <c r="AV203" t="s">
        <v>867</v>
      </c>
      <c r="AW203" t="s">
        <v>480</v>
      </c>
      <c r="AX203" t="s">
        <v>480</v>
      </c>
      <c r="AY203">
        <v>2</v>
      </c>
      <c r="AZ203" t="s">
        <v>868</v>
      </c>
      <c r="BA203">
        <v>2002</v>
      </c>
      <c r="BB203">
        <v>2005</v>
      </c>
      <c r="BD203" t="s">
        <v>886</v>
      </c>
      <c r="BE203" t="s">
        <v>566</v>
      </c>
      <c r="BF203" s="3" t="s">
        <v>484</v>
      </c>
      <c r="BG203" t="s">
        <v>870</v>
      </c>
      <c r="BH203" t="s">
        <v>871</v>
      </c>
      <c r="BI203" s="4" t="s">
        <v>486</v>
      </c>
      <c r="BJ203">
        <v>333333</v>
      </c>
      <c r="BL203" t="s">
        <v>880</v>
      </c>
      <c r="BM203" t="s">
        <v>881</v>
      </c>
      <c r="BN203" s="9">
        <v>37037</v>
      </c>
      <c r="EG203" s="9"/>
      <c r="EH203" s="9"/>
      <c r="EI203" s="9"/>
      <c r="EJ203" s="9"/>
      <c r="EK203" s="9"/>
      <c r="EL203" s="9"/>
      <c r="EM203" s="9"/>
      <c r="EN203" s="9"/>
      <c r="EO203" s="9"/>
      <c r="EP203" s="9"/>
      <c r="EQ203" s="9"/>
      <c r="ER203" s="9"/>
      <c r="ES203" s="9"/>
      <c r="ET203" s="9"/>
      <c r="EU203" s="9"/>
      <c r="EV203" s="9"/>
      <c r="EW203" s="9"/>
      <c r="EX203" s="9"/>
      <c r="EY203" s="9"/>
      <c r="EZ203" s="9"/>
      <c r="FA203" s="9"/>
      <c r="FB203" s="9"/>
      <c r="FC203" s="9"/>
      <c r="FD203" s="9"/>
      <c r="FE203" s="9"/>
      <c r="FF203" s="9"/>
      <c r="FG203" s="9"/>
      <c r="FH203" s="9"/>
      <c r="FI203" s="9"/>
      <c r="FJ203" s="9"/>
      <c r="FK203" s="9"/>
      <c r="FL203" s="9"/>
      <c r="FM203" s="9"/>
      <c r="FN203" s="9"/>
      <c r="FO203" s="9"/>
      <c r="FP203" s="9"/>
      <c r="FQ203" s="9"/>
      <c r="FR203" s="9"/>
      <c r="FS203" s="9"/>
      <c r="FT203" s="9"/>
      <c r="FU203" s="9"/>
      <c r="FV203" s="9"/>
      <c r="FW203" s="9"/>
      <c r="FX203" s="9"/>
      <c r="FY203" s="9"/>
      <c r="FZ203" s="9"/>
      <c r="GA203" s="9"/>
      <c r="GB203" s="9"/>
      <c r="GC203" s="9"/>
      <c r="GD203" s="9"/>
      <c r="GE203" s="9"/>
      <c r="GF203" s="9"/>
      <c r="GG203" s="9"/>
      <c r="GH203" s="9"/>
      <c r="GI203" s="9"/>
      <c r="GJ203" s="9"/>
      <c r="GK203" s="9"/>
      <c r="GL203" s="9"/>
      <c r="GM203" s="9"/>
      <c r="GN203" s="9"/>
      <c r="GO203" s="9"/>
      <c r="GP203" s="9"/>
      <c r="GQ203" s="9"/>
      <c r="GR203" s="9"/>
      <c r="GS203" s="9"/>
      <c r="GT203" s="9"/>
      <c r="GU203" s="9"/>
      <c r="GV203" s="9"/>
      <c r="GW203" s="9"/>
      <c r="GX203" s="9"/>
      <c r="GY203" s="9"/>
      <c r="GZ203" s="9"/>
      <c r="HA203" s="9"/>
      <c r="HB203" s="9"/>
      <c r="HC203" s="9"/>
      <c r="HD203" s="9"/>
      <c r="HE203" s="9"/>
      <c r="HF203" s="9"/>
      <c r="HG203" s="9"/>
      <c r="HH203" s="9"/>
      <c r="HI203" s="9"/>
      <c r="HJ203" s="9"/>
      <c r="HV203" s="50"/>
      <c r="HW203" s="50"/>
      <c r="IH203" t="s">
        <v>886</v>
      </c>
      <c r="II203" s="12" t="s">
        <v>882</v>
      </c>
      <c r="IJ203" t="s">
        <v>542</v>
      </c>
      <c r="IK203" t="s">
        <v>480</v>
      </c>
      <c r="IL203" t="s">
        <v>480</v>
      </c>
      <c r="IM203">
        <v>2002</v>
      </c>
      <c r="IN203" t="s">
        <v>480</v>
      </c>
      <c r="JJ203" t="s">
        <v>494</v>
      </c>
      <c r="JK203" s="75" t="s">
        <v>494</v>
      </c>
      <c r="JL203" s="8" t="s">
        <v>495</v>
      </c>
      <c r="JP203" t="s">
        <v>508</v>
      </c>
      <c r="JQ203">
        <v>60</v>
      </c>
      <c r="JT203">
        <v>45</v>
      </c>
      <c r="MY203" t="s">
        <v>872</v>
      </c>
      <c r="NB203" s="4" t="s">
        <v>873</v>
      </c>
      <c r="NC203" t="s">
        <v>883</v>
      </c>
      <c r="NJ203" s="82" t="s">
        <v>874</v>
      </c>
      <c r="NK203" t="s">
        <v>884</v>
      </c>
      <c r="NL203" t="s">
        <v>660</v>
      </c>
      <c r="NM203" t="s">
        <v>876</v>
      </c>
      <c r="NV203" t="s">
        <v>518</v>
      </c>
      <c r="NX203" t="s">
        <v>480</v>
      </c>
      <c r="OB203">
        <v>3</v>
      </c>
      <c r="OC203">
        <v>16.2</v>
      </c>
      <c r="OD203" t="s">
        <v>480</v>
      </c>
      <c r="OE203">
        <v>4.25</v>
      </c>
      <c r="OF203" t="s">
        <v>480</v>
      </c>
      <c r="OM203">
        <v>0.67</v>
      </c>
      <c r="ON203" t="s">
        <v>480</v>
      </c>
      <c r="OO203">
        <v>0.51</v>
      </c>
      <c r="OP203" t="s">
        <v>480</v>
      </c>
      <c r="OS203">
        <v>1.18</v>
      </c>
      <c r="OT203" t="s">
        <v>480</v>
      </c>
      <c r="OU203" t="s">
        <v>885</v>
      </c>
      <c r="OW203">
        <v>2002</v>
      </c>
      <c r="PB203" t="s">
        <v>522</v>
      </c>
      <c r="PC203" s="50">
        <v>46105</v>
      </c>
    </row>
    <row r="204" spans="1:419" ht="15.75" thickBot="1">
      <c r="A204" s="11" t="s">
        <v>861</v>
      </c>
      <c r="B204" t="s">
        <v>862</v>
      </c>
      <c r="C204" s="82" t="s">
        <v>863</v>
      </c>
      <c r="D204" s="4" t="s">
        <v>480</v>
      </c>
      <c r="E204" t="s">
        <v>864</v>
      </c>
      <c r="F204" t="s">
        <v>865</v>
      </c>
      <c r="G204" t="s">
        <v>475</v>
      </c>
      <c r="H204" t="s">
        <v>866</v>
      </c>
      <c r="I204" t="s">
        <v>866</v>
      </c>
      <c r="J204" t="s">
        <v>866</v>
      </c>
      <c r="K204" t="s">
        <v>480</v>
      </c>
      <c r="AV204" t="s">
        <v>867</v>
      </c>
      <c r="AW204" t="s">
        <v>480</v>
      </c>
      <c r="AX204" t="s">
        <v>480</v>
      </c>
      <c r="AY204">
        <v>2</v>
      </c>
      <c r="AZ204" t="s">
        <v>868</v>
      </c>
      <c r="BA204">
        <v>2002</v>
      </c>
      <c r="BB204">
        <v>2005</v>
      </c>
      <c r="BD204" t="s">
        <v>887</v>
      </c>
      <c r="BE204" t="s">
        <v>572</v>
      </c>
      <c r="BF204" s="3" t="s">
        <v>484</v>
      </c>
      <c r="BG204" t="s">
        <v>870</v>
      </c>
      <c r="BH204" t="s">
        <v>871</v>
      </c>
      <c r="BI204" s="4" t="s">
        <v>486</v>
      </c>
      <c r="BJ204">
        <v>333333</v>
      </c>
      <c r="BL204" t="s">
        <v>880</v>
      </c>
      <c r="BM204" t="s">
        <v>881</v>
      </c>
      <c r="BN204" s="9">
        <v>27778</v>
      </c>
      <c r="EG204" s="9"/>
      <c r="EH204" s="9"/>
      <c r="EI204" s="9"/>
      <c r="EJ204" s="9"/>
      <c r="EK204" s="9"/>
      <c r="EL204" s="9"/>
      <c r="EM204" s="9"/>
      <c r="EN204" s="9"/>
      <c r="EO204" s="9"/>
      <c r="EP204" s="9"/>
      <c r="EQ204" s="9"/>
      <c r="ER204" s="9"/>
      <c r="ES204" s="9"/>
      <c r="ET204" s="9"/>
      <c r="EU204" s="9"/>
      <c r="EV204" s="9"/>
      <c r="EW204" s="9"/>
      <c r="EX204" s="9"/>
      <c r="EY204" s="9"/>
      <c r="EZ204" s="9"/>
      <c r="FA204" s="9"/>
      <c r="FB204" s="9"/>
      <c r="FC204" s="9"/>
      <c r="FD204" s="9"/>
      <c r="FE204" s="9"/>
      <c r="FF204" s="9"/>
      <c r="FG204" s="9"/>
      <c r="FH204" s="9"/>
      <c r="FI204" s="9"/>
      <c r="FJ204" s="9"/>
      <c r="FK204" s="9"/>
      <c r="FL204" s="9"/>
      <c r="FM204" s="9"/>
      <c r="FN204" s="9"/>
      <c r="FO204" s="9"/>
      <c r="FP204" s="9"/>
      <c r="FQ204" s="9"/>
      <c r="FR204" s="9"/>
      <c r="FS204" s="9"/>
      <c r="FT204" s="9"/>
      <c r="FU204" s="9"/>
      <c r="FV204" s="9"/>
      <c r="FW204" s="9"/>
      <c r="FX204" s="9"/>
      <c r="FY204" s="9"/>
      <c r="FZ204" s="9"/>
      <c r="GA204" s="9"/>
      <c r="GB204" s="9"/>
      <c r="GC204" s="9"/>
      <c r="GD204" s="9"/>
      <c r="GE204" s="9"/>
      <c r="GF204" s="9"/>
      <c r="GG204" s="9"/>
      <c r="GH204" s="9"/>
      <c r="GI204" s="9"/>
      <c r="GJ204" s="9"/>
      <c r="GK204" s="9"/>
      <c r="GL204" s="9"/>
      <c r="GM204" s="9"/>
      <c r="GN204" s="9"/>
      <c r="GO204" s="9"/>
      <c r="GP204" s="9"/>
      <c r="GQ204" s="9"/>
      <c r="GR204" s="9"/>
      <c r="GS204" s="9"/>
      <c r="GT204" s="9"/>
      <c r="GU204" s="9"/>
      <c r="GV204" s="9"/>
      <c r="GW204" s="9"/>
      <c r="GX204" s="9"/>
      <c r="GY204" s="9"/>
      <c r="GZ204" s="9"/>
      <c r="HA204" s="9"/>
      <c r="HB204" s="9"/>
      <c r="HC204" s="9"/>
      <c r="HD204" s="9"/>
      <c r="HE204" s="9"/>
      <c r="HF204" s="9"/>
      <c r="HG204" s="9"/>
      <c r="HH204" s="9"/>
      <c r="HI204" s="9"/>
      <c r="HJ204" s="9"/>
      <c r="HV204" s="50"/>
      <c r="HW204" s="50"/>
      <c r="IH204" t="s">
        <v>887</v>
      </c>
      <c r="II204" s="12" t="s">
        <v>882</v>
      </c>
      <c r="IJ204" t="s">
        <v>542</v>
      </c>
      <c r="IK204" t="s">
        <v>480</v>
      </c>
      <c r="IL204" t="s">
        <v>480</v>
      </c>
      <c r="IM204">
        <v>2002</v>
      </c>
      <c r="IN204" t="s">
        <v>480</v>
      </c>
      <c r="JJ204" t="s">
        <v>494</v>
      </c>
      <c r="JK204" s="75" t="s">
        <v>494</v>
      </c>
      <c r="JL204" s="8" t="s">
        <v>495</v>
      </c>
      <c r="JP204" t="s">
        <v>508</v>
      </c>
      <c r="JQ204">
        <v>60</v>
      </c>
      <c r="JT204">
        <v>45</v>
      </c>
      <c r="MY204" t="s">
        <v>872</v>
      </c>
      <c r="NB204" s="4" t="s">
        <v>873</v>
      </c>
      <c r="NC204" t="s">
        <v>883</v>
      </c>
      <c r="NJ204" s="82" t="s">
        <v>874</v>
      </c>
      <c r="NK204" t="s">
        <v>884</v>
      </c>
      <c r="NL204" t="s">
        <v>660</v>
      </c>
      <c r="NM204" t="s">
        <v>876</v>
      </c>
      <c r="NV204" t="s">
        <v>518</v>
      </c>
      <c r="NX204" t="s">
        <v>480</v>
      </c>
      <c r="OB204">
        <v>3</v>
      </c>
      <c r="OC204">
        <v>8.08</v>
      </c>
      <c r="OD204" t="s">
        <v>480</v>
      </c>
      <c r="OE204">
        <v>1.63</v>
      </c>
      <c r="OF204" t="s">
        <v>480</v>
      </c>
      <c r="OM204">
        <v>0.33</v>
      </c>
      <c r="ON204" t="s">
        <v>480</v>
      </c>
      <c r="OO204">
        <v>0.23</v>
      </c>
      <c r="OP204" t="s">
        <v>480</v>
      </c>
      <c r="OS204">
        <v>0.56000000000000005</v>
      </c>
      <c r="OT204" t="s">
        <v>480</v>
      </c>
      <c r="OU204" t="s">
        <v>885</v>
      </c>
      <c r="OW204">
        <v>2002</v>
      </c>
      <c r="PB204" t="s">
        <v>522</v>
      </c>
      <c r="PC204" s="50">
        <v>46105</v>
      </c>
    </row>
    <row r="205" spans="1:419" ht="15.75" thickBot="1">
      <c r="A205" s="11" t="s">
        <v>861</v>
      </c>
      <c r="B205" t="s">
        <v>862</v>
      </c>
      <c r="C205" s="82" t="s">
        <v>863</v>
      </c>
      <c r="D205" s="4" t="s">
        <v>480</v>
      </c>
      <c r="E205" t="s">
        <v>864</v>
      </c>
      <c r="F205" t="s">
        <v>865</v>
      </c>
      <c r="G205" t="s">
        <v>475</v>
      </c>
      <c r="H205" t="s">
        <v>866</v>
      </c>
      <c r="I205" t="s">
        <v>866</v>
      </c>
      <c r="J205" t="s">
        <v>866</v>
      </c>
      <c r="K205" t="s">
        <v>480</v>
      </c>
      <c r="AV205" t="s">
        <v>867</v>
      </c>
      <c r="AW205" t="s">
        <v>480</v>
      </c>
      <c r="AX205" t="s">
        <v>480</v>
      </c>
      <c r="AY205">
        <v>2</v>
      </c>
      <c r="AZ205" t="s">
        <v>868</v>
      </c>
      <c r="BA205">
        <v>2002</v>
      </c>
      <c r="BB205">
        <v>2005</v>
      </c>
      <c r="BD205" t="s">
        <v>888</v>
      </c>
      <c r="BE205" t="s">
        <v>553</v>
      </c>
      <c r="BF205" s="3" t="s">
        <v>484</v>
      </c>
      <c r="BG205" t="s">
        <v>870</v>
      </c>
      <c r="BH205" t="s">
        <v>871</v>
      </c>
      <c r="BI205" s="4" t="s">
        <v>486</v>
      </c>
      <c r="BJ205">
        <v>333333</v>
      </c>
      <c r="BL205" t="s">
        <v>880</v>
      </c>
      <c r="BM205" t="s">
        <v>881</v>
      </c>
      <c r="BN205" s="9">
        <v>22222</v>
      </c>
      <c r="EG205" s="9"/>
      <c r="EH205" s="9"/>
      <c r="EI205" s="9"/>
      <c r="EJ205" s="9"/>
      <c r="EK205" s="9"/>
      <c r="EL205" s="9"/>
      <c r="EM205" s="9"/>
      <c r="EN205" s="9"/>
      <c r="EO205" s="9"/>
      <c r="EP205" s="9"/>
      <c r="EQ205" s="9"/>
      <c r="ER205" s="9"/>
      <c r="ES205" s="9"/>
      <c r="ET205" s="9"/>
      <c r="EU205" s="9"/>
      <c r="EV205" s="9"/>
      <c r="EW205" s="9"/>
      <c r="EX205" s="9"/>
      <c r="EY205" s="9"/>
      <c r="EZ205" s="9"/>
      <c r="FA205" s="9"/>
      <c r="FB205" s="9"/>
      <c r="FC205" s="9"/>
      <c r="FD205" s="9"/>
      <c r="FE205" s="9"/>
      <c r="FF205" s="9"/>
      <c r="FG205" s="9"/>
      <c r="FH205" s="9"/>
      <c r="FI205" s="9"/>
      <c r="FJ205" s="9"/>
      <c r="FK205" s="9"/>
      <c r="FL205" s="9"/>
      <c r="FM205" s="9"/>
      <c r="FN205" s="9"/>
      <c r="FO205" s="9"/>
      <c r="FP205" s="9"/>
      <c r="FQ205" s="9"/>
      <c r="FR205" s="9"/>
      <c r="FS205" s="9"/>
      <c r="FT205" s="9"/>
      <c r="FU205" s="9"/>
      <c r="FV205" s="9"/>
      <c r="FW205" s="9"/>
      <c r="FX205" s="9"/>
      <c r="FY205" s="9"/>
      <c r="FZ205" s="9"/>
      <c r="GA205" s="9"/>
      <c r="GB205" s="9"/>
      <c r="GC205" s="9"/>
      <c r="GD205" s="9"/>
      <c r="GE205" s="9"/>
      <c r="GF205" s="9"/>
      <c r="GG205" s="9"/>
      <c r="GH205" s="9"/>
      <c r="GI205" s="9"/>
      <c r="GJ205" s="9"/>
      <c r="GK205" s="9"/>
      <c r="GL205" s="9"/>
      <c r="GM205" s="9"/>
      <c r="GN205" s="9"/>
      <c r="GO205" s="9"/>
      <c r="GP205" s="9"/>
      <c r="GQ205" s="9"/>
      <c r="GR205" s="9"/>
      <c r="GS205" s="9"/>
      <c r="GT205" s="9"/>
      <c r="GU205" s="9"/>
      <c r="GV205" s="9"/>
      <c r="GW205" s="9"/>
      <c r="GX205" s="9"/>
      <c r="GY205" s="9"/>
      <c r="GZ205" s="9"/>
      <c r="HA205" s="9"/>
      <c r="HB205" s="9"/>
      <c r="HC205" s="9"/>
      <c r="HD205" s="9"/>
      <c r="HE205" s="9"/>
      <c r="HF205" s="9"/>
      <c r="HG205" s="9"/>
      <c r="HH205" s="9"/>
      <c r="HI205" s="9"/>
      <c r="HJ205" s="9"/>
      <c r="HV205" s="50"/>
      <c r="HW205" s="50"/>
      <c r="IH205" t="s">
        <v>888</v>
      </c>
      <c r="II205" s="12" t="s">
        <v>882</v>
      </c>
      <c r="IJ205" t="s">
        <v>542</v>
      </c>
      <c r="IK205" t="s">
        <v>480</v>
      </c>
      <c r="IL205" t="s">
        <v>480</v>
      </c>
      <c r="IM205">
        <v>2002</v>
      </c>
      <c r="IN205" t="s">
        <v>480</v>
      </c>
      <c r="JJ205" t="s">
        <v>494</v>
      </c>
      <c r="JK205" s="75" t="s">
        <v>494</v>
      </c>
      <c r="JL205" s="8" t="s">
        <v>495</v>
      </c>
      <c r="JP205" t="s">
        <v>508</v>
      </c>
      <c r="JQ205">
        <v>60</v>
      </c>
      <c r="JT205">
        <v>45</v>
      </c>
      <c r="MY205" t="s">
        <v>872</v>
      </c>
      <c r="NB205" s="4" t="s">
        <v>873</v>
      </c>
      <c r="NC205" t="s">
        <v>883</v>
      </c>
      <c r="NJ205" s="82" t="s">
        <v>874</v>
      </c>
      <c r="NK205" t="s">
        <v>884</v>
      </c>
      <c r="NL205" t="s">
        <v>660</v>
      </c>
      <c r="NM205" t="s">
        <v>876</v>
      </c>
      <c r="NV205" t="s">
        <v>518</v>
      </c>
      <c r="NX205" t="s">
        <v>480</v>
      </c>
      <c r="OB205">
        <v>3</v>
      </c>
      <c r="OC205">
        <v>18.2</v>
      </c>
      <c r="OD205" t="s">
        <v>480</v>
      </c>
      <c r="OE205">
        <v>2.27</v>
      </c>
      <c r="OF205" t="s">
        <v>480</v>
      </c>
      <c r="OM205">
        <v>0.75</v>
      </c>
      <c r="ON205" t="s">
        <v>480</v>
      </c>
      <c r="OO205">
        <v>0.28999999999999998</v>
      </c>
      <c r="OP205" t="s">
        <v>480</v>
      </c>
      <c r="OS205">
        <v>1.04</v>
      </c>
      <c r="OT205" t="s">
        <v>480</v>
      </c>
      <c r="OU205" t="s">
        <v>885</v>
      </c>
      <c r="OW205">
        <v>2002</v>
      </c>
      <c r="PB205" t="s">
        <v>522</v>
      </c>
      <c r="PC205" s="50">
        <v>46105</v>
      </c>
    </row>
    <row r="206" spans="1:419" ht="15.75" thickBot="1">
      <c r="A206" s="11" t="s">
        <v>861</v>
      </c>
      <c r="B206" t="s">
        <v>862</v>
      </c>
      <c r="C206" s="82" t="s">
        <v>863</v>
      </c>
      <c r="D206" s="4" t="s">
        <v>480</v>
      </c>
      <c r="E206" t="s">
        <v>864</v>
      </c>
      <c r="F206" t="s">
        <v>865</v>
      </c>
      <c r="G206" t="s">
        <v>475</v>
      </c>
      <c r="H206" t="s">
        <v>866</v>
      </c>
      <c r="I206" t="s">
        <v>866</v>
      </c>
      <c r="J206" t="s">
        <v>866</v>
      </c>
      <c r="K206" t="s">
        <v>480</v>
      </c>
      <c r="AV206" t="s">
        <v>867</v>
      </c>
      <c r="AW206" t="s">
        <v>480</v>
      </c>
      <c r="AX206" t="s">
        <v>480</v>
      </c>
      <c r="AY206">
        <v>2</v>
      </c>
      <c r="AZ206" t="s">
        <v>868</v>
      </c>
      <c r="BA206">
        <v>2002</v>
      </c>
      <c r="BB206">
        <v>2005</v>
      </c>
      <c r="BD206" t="s">
        <v>889</v>
      </c>
      <c r="BE206" t="s">
        <v>483</v>
      </c>
      <c r="BF206" s="3" t="s">
        <v>484</v>
      </c>
      <c r="BG206" t="s">
        <v>880</v>
      </c>
      <c r="BH206" t="s">
        <v>881</v>
      </c>
      <c r="BI206" s="4" t="s">
        <v>486</v>
      </c>
      <c r="BJ206" s="9">
        <v>55556</v>
      </c>
      <c r="EG206" s="9"/>
      <c r="EH206" s="9"/>
      <c r="EI206" s="9"/>
      <c r="EJ206" s="9"/>
      <c r="EK206" s="9"/>
      <c r="EL206" s="9"/>
      <c r="EM206" s="9"/>
      <c r="EN206" s="9"/>
      <c r="EO206" s="9"/>
      <c r="EP206" s="9"/>
      <c r="EQ206" s="9"/>
      <c r="ER206" s="9"/>
      <c r="ES206" s="9"/>
      <c r="ET206" s="9"/>
      <c r="EU206" s="9"/>
      <c r="EV206" s="9"/>
      <c r="EW206" s="9"/>
      <c r="EX206" s="9"/>
      <c r="EY206" s="9"/>
      <c r="EZ206" s="9"/>
      <c r="FA206" s="9"/>
      <c r="FB206" s="9"/>
      <c r="FC206" s="9"/>
      <c r="FD206" s="9"/>
      <c r="FE206" s="9"/>
      <c r="FF206" s="9"/>
      <c r="FG206" s="9"/>
      <c r="FH206" s="9"/>
      <c r="FI206" s="9"/>
      <c r="FJ206" s="9"/>
      <c r="FK206" s="9"/>
      <c r="FL206" s="9"/>
      <c r="FM206" s="9"/>
      <c r="FN206" s="9"/>
      <c r="FO206" s="9"/>
      <c r="FP206" s="9"/>
      <c r="FQ206" s="9"/>
      <c r="FR206" s="9"/>
      <c r="FS206" s="9"/>
      <c r="FT206" s="9"/>
      <c r="FU206" s="9"/>
      <c r="FV206" s="9"/>
      <c r="FW206" s="9"/>
      <c r="FX206" s="9"/>
      <c r="FY206" s="9"/>
      <c r="FZ206" s="9"/>
      <c r="GA206" s="9"/>
      <c r="GB206" s="9"/>
      <c r="GC206" s="9"/>
      <c r="GD206" s="9"/>
      <c r="GE206" s="9"/>
      <c r="GF206" s="9"/>
      <c r="GG206" s="9"/>
      <c r="GH206" s="9"/>
      <c r="GI206" s="9"/>
      <c r="GJ206" s="9"/>
      <c r="GK206" s="9"/>
      <c r="GL206" s="9"/>
      <c r="GM206" s="9"/>
      <c r="GN206" s="9"/>
      <c r="GO206" s="9"/>
      <c r="GP206" s="9"/>
      <c r="GQ206" s="9"/>
      <c r="GR206" s="9"/>
      <c r="GS206" s="9"/>
      <c r="GT206" s="9"/>
      <c r="GU206" s="9"/>
      <c r="GV206" s="9"/>
      <c r="GW206" s="9"/>
      <c r="GX206" s="9"/>
      <c r="GY206" s="9"/>
      <c r="GZ206" s="9"/>
      <c r="HA206" s="9"/>
      <c r="HB206" s="9"/>
      <c r="HC206" s="9"/>
      <c r="HD206" s="9"/>
      <c r="HE206" s="9"/>
      <c r="HF206" s="9"/>
      <c r="HG206" s="9"/>
      <c r="HH206" s="9"/>
      <c r="HI206" s="9"/>
      <c r="HJ206" s="9"/>
      <c r="HV206" s="50"/>
      <c r="HW206" s="50"/>
      <c r="IH206" t="s">
        <v>889</v>
      </c>
      <c r="II206" s="13" t="s">
        <v>492</v>
      </c>
      <c r="JJ206" t="s">
        <v>494</v>
      </c>
      <c r="JK206" s="75" t="s">
        <v>494</v>
      </c>
      <c r="JL206" s="8" t="s">
        <v>495</v>
      </c>
      <c r="JP206" t="s">
        <v>508</v>
      </c>
      <c r="JQ206">
        <v>60</v>
      </c>
      <c r="JT206">
        <v>45</v>
      </c>
      <c r="MY206" t="s">
        <v>872</v>
      </c>
      <c r="NC206" t="s">
        <v>883</v>
      </c>
      <c r="NJ206" s="82" t="s">
        <v>890</v>
      </c>
      <c r="NK206" t="s">
        <v>891</v>
      </c>
      <c r="NL206" t="s">
        <v>660</v>
      </c>
      <c r="NM206" t="s">
        <v>876</v>
      </c>
      <c r="NU206" t="s">
        <v>877</v>
      </c>
      <c r="NV206" t="s">
        <v>518</v>
      </c>
      <c r="NX206" t="s">
        <v>480</v>
      </c>
      <c r="OB206">
        <v>3</v>
      </c>
      <c r="OE206">
        <v>8.56</v>
      </c>
      <c r="OF206" t="s">
        <v>480</v>
      </c>
      <c r="OM206" t="s">
        <v>537</v>
      </c>
      <c r="ON206" t="s">
        <v>537</v>
      </c>
      <c r="OO206" t="s">
        <v>537</v>
      </c>
      <c r="OP206" t="s">
        <v>537</v>
      </c>
      <c r="OS206">
        <v>1</v>
      </c>
      <c r="OT206" t="s">
        <v>480</v>
      </c>
      <c r="OU206" t="s">
        <v>892</v>
      </c>
      <c r="OW206">
        <v>2002</v>
      </c>
      <c r="PB206" t="s">
        <v>522</v>
      </c>
      <c r="PC206" s="50">
        <v>46105</v>
      </c>
    </row>
    <row r="207" spans="1:419" ht="15.75" thickBot="1">
      <c r="A207" s="11" t="s">
        <v>861</v>
      </c>
      <c r="B207" t="s">
        <v>862</v>
      </c>
      <c r="C207" s="82" t="s">
        <v>863</v>
      </c>
      <c r="D207" s="4" t="s">
        <v>480</v>
      </c>
      <c r="E207" t="s">
        <v>864</v>
      </c>
      <c r="F207" t="s">
        <v>865</v>
      </c>
      <c r="G207" t="s">
        <v>475</v>
      </c>
      <c r="H207" t="s">
        <v>866</v>
      </c>
      <c r="I207" t="s">
        <v>866</v>
      </c>
      <c r="J207" t="s">
        <v>866</v>
      </c>
      <c r="K207" t="s">
        <v>480</v>
      </c>
      <c r="AV207" t="s">
        <v>867</v>
      </c>
      <c r="AW207" t="s">
        <v>480</v>
      </c>
      <c r="AX207" t="s">
        <v>480</v>
      </c>
      <c r="AY207">
        <v>2</v>
      </c>
      <c r="AZ207" t="s">
        <v>868</v>
      </c>
      <c r="BA207">
        <v>2002</v>
      </c>
      <c r="BB207">
        <v>2005</v>
      </c>
      <c r="BD207" t="s">
        <v>893</v>
      </c>
      <c r="BE207" t="s">
        <v>607</v>
      </c>
      <c r="BF207" s="3" t="s">
        <v>484</v>
      </c>
      <c r="BG207" t="s">
        <v>870</v>
      </c>
      <c r="BH207" t="s">
        <v>871</v>
      </c>
      <c r="BI207" s="4" t="s">
        <v>486</v>
      </c>
      <c r="BJ207" s="9">
        <v>333333</v>
      </c>
      <c r="BL207" t="s">
        <v>880</v>
      </c>
      <c r="BM207" t="s">
        <v>881</v>
      </c>
      <c r="BN207" s="9">
        <v>55556</v>
      </c>
      <c r="EG207" s="9"/>
      <c r="EH207" s="9"/>
      <c r="EI207" s="9"/>
      <c r="EJ207" s="9"/>
      <c r="EK207" s="9"/>
      <c r="EL207" s="9"/>
      <c r="EM207" s="9"/>
      <c r="EN207" s="9"/>
      <c r="EO207" s="9"/>
      <c r="EP207" s="9"/>
      <c r="EQ207" s="9"/>
      <c r="ER207" s="9"/>
      <c r="ES207" s="9"/>
      <c r="ET207" s="9"/>
      <c r="EU207" s="9"/>
      <c r="EV207" s="9"/>
      <c r="EW207" s="9"/>
      <c r="EX207" s="9"/>
      <c r="EY207" s="9"/>
      <c r="EZ207" s="9"/>
      <c r="FA207" s="9"/>
      <c r="FB207" s="9"/>
      <c r="FC207" s="9"/>
      <c r="FD207" s="9"/>
      <c r="FE207" s="9"/>
      <c r="FF207" s="9"/>
      <c r="FG207" s="9"/>
      <c r="FH207" s="9"/>
      <c r="FI207" s="9"/>
      <c r="FJ207" s="9"/>
      <c r="FK207" s="9"/>
      <c r="FL207" s="9"/>
      <c r="FM207" s="9"/>
      <c r="FN207" s="9"/>
      <c r="FO207" s="9"/>
      <c r="FP207" s="9"/>
      <c r="FQ207" s="9"/>
      <c r="FR207" s="9"/>
      <c r="FS207" s="9"/>
      <c r="FT207" s="9"/>
      <c r="FU207" s="9"/>
      <c r="FV207" s="9"/>
      <c r="FW207" s="9"/>
      <c r="FX207" s="9"/>
      <c r="FY207" s="9"/>
      <c r="FZ207" s="9"/>
      <c r="GA207" s="9"/>
      <c r="GB207" s="9"/>
      <c r="GC207" s="9"/>
      <c r="GD207" s="9"/>
      <c r="GE207" s="9"/>
      <c r="GF207" s="9"/>
      <c r="GG207" s="9"/>
      <c r="GH207" s="9"/>
      <c r="GI207" s="9"/>
      <c r="GJ207" s="9"/>
      <c r="GK207" s="9"/>
      <c r="GL207" s="9"/>
      <c r="GM207" s="9"/>
      <c r="GN207" s="9"/>
      <c r="GO207" s="9"/>
      <c r="GP207" s="9"/>
      <c r="GQ207" s="9"/>
      <c r="GR207" s="9"/>
      <c r="GS207" s="9"/>
      <c r="GT207" s="9"/>
      <c r="GU207" s="9"/>
      <c r="GV207" s="9"/>
      <c r="GW207" s="9"/>
      <c r="GX207" s="9"/>
      <c r="GY207" s="9"/>
      <c r="GZ207" s="9"/>
      <c r="HA207" s="9"/>
      <c r="HB207" s="9"/>
      <c r="HC207" s="9"/>
      <c r="HD207" s="9"/>
      <c r="HE207" s="9"/>
      <c r="HF207" s="9"/>
      <c r="HG207" s="9"/>
      <c r="HH207" s="9"/>
      <c r="HI207" s="9"/>
      <c r="HJ207" s="9"/>
      <c r="HV207" s="50"/>
      <c r="HW207" s="50"/>
      <c r="IH207" t="s">
        <v>879</v>
      </c>
      <c r="II207" s="12" t="s">
        <v>882</v>
      </c>
      <c r="IJ207" t="s">
        <v>542</v>
      </c>
      <c r="IK207" t="s">
        <v>480</v>
      </c>
      <c r="IL207" t="s">
        <v>480</v>
      </c>
      <c r="IM207">
        <v>2002</v>
      </c>
      <c r="IN207" t="s">
        <v>480</v>
      </c>
      <c r="JJ207" t="s">
        <v>494</v>
      </c>
      <c r="JK207" s="75" t="s">
        <v>494</v>
      </c>
      <c r="JL207" s="8" t="s">
        <v>495</v>
      </c>
      <c r="JP207" t="s">
        <v>508</v>
      </c>
      <c r="JQ207">
        <v>60</v>
      </c>
      <c r="JT207">
        <v>45</v>
      </c>
      <c r="MY207" t="s">
        <v>872</v>
      </c>
      <c r="NB207" s="4" t="s">
        <v>873</v>
      </c>
      <c r="NC207" t="s">
        <v>883</v>
      </c>
      <c r="NJ207" s="82" t="s">
        <v>874</v>
      </c>
      <c r="NK207" t="s">
        <v>884</v>
      </c>
      <c r="NL207" t="s">
        <v>660</v>
      </c>
      <c r="NM207" t="s">
        <v>876</v>
      </c>
      <c r="NV207" t="s">
        <v>518</v>
      </c>
      <c r="NX207" t="s">
        <v>480</v>
      </c>
      <c r="OB207">
        <v>3</v>
      </c>
      <c r="OC207">
        <v>10.1</v>
      </c>
      <c r="OD207" t="s">
        <v>480</v>
      </c>
      <c r="OE207">
        <v>4.88</v>
      </c>
      <c r="OF207" t="s">
        <v>480</v>
      </c>
      <c r="OM207">
        <v>0.42</v>
      </c>
      <c r="OO207">
        <v>0.48</v>
      </c>
      <c r="OP207" t="s">
        <v>480</v>
      </c>
      <c r="OS207">
        <v>0.9</v>
      </c>
      <c r="OT207" t="s">
        <v>480</v>
      </c>
      <c r="OU207" t="s">
        <v>892</v>
      </c>
      <c r="OW207">
        <v>2002</v>
      </c>
      <c r="PB207" t="s">
        <v>522</v>
      </c>
      <c r="PC207" s="50">
        <v>46105</v>
      </c>
    </row>
    <row r="208" spans="1:419" ht="15.75" thickBot="1">
      <c r="A208" s="11" t="s">
        <v>861</v>
      </c>
      <c r="B208" t="s">
        <v>862</v>
      </c>
      <c r="C208" s="82" t="s">
        <v>863</v>
      </c>
      <c r="D208" s="4" t="s">
        <v>480</v>
      </c>
      <c r="E208" t="s">
        <v>864</v>
      </c>
      <c r="F208" t="s">
        <v>865</v>
      </c>
      <c r="G208" t="s">
        <v>475</v>
      </c>
      <c r="H208" t="s">
        <v>866</v>
      </c>
      <c r="I208" t="s">
        <v>866</v>
      </c>
      <c r="J208" t="s">
        <v>866</v>
      </c>
      <c r="K208" t="s">
        <v>480</v>
      </c>
      <c r="AV208" t="s">
        <v>867</v>
      </c>
      <c r="AW208" t="s">
        <v>480</v>
      </c>
      <c r="AX208" t="s">
        <v>480</v>
      </c>
      <c r="AY208">
        <v>2</v>
      </c>
      <c r="AZ208" t="s">
        <v>868</v>
      </c>
      <c r="BA208">
        <v>2002</v>
      </c>
      <c r="BB208">
        <v>2005</v>
      </c>
      <c r="BD208" t="s">
        <v>894</v>
      </c>
      <c r="BE208" t="s">
        <v>611</v>
      </c>
      <c r="BF208" s="3" t="s">
        <v>484</v>
      </c>
      <c r="BG208" t="s">
        <v>870</v>
      </c>
      <c r="BH208" t="s">
        <v>871</v>
      </c>
      <c r="BI208" s="4" t="s">
        <v>486</v>
      </c>
      <c r="BJ208" s="9">
        <v>222222</v>
      </c>
      <c r="BL208" t="s">
        <v>880</v>
      </c>
      <c r="BM208" t="s">
        <v>881</v>
      </c>
      <c r="BN208" s="9">
        <v>55556</v>
      </c>
      <c r="EG208" s="9"/>
      <c r="EH208" s="9"/>
      <c r="EI208" s="9"/>
      <c r="EJ208" s="9"/>
      <c r="EK208" s="9"/>
      <c r="EL208" s="9"/>
      <c r="EM208" s="9"/>
      <c r="EN208" s="9"/>
      <c r="EO208" s="9"/>
      <c r="EP208" s="9"/>
      <c r="EQ208" s="9"/>
      <c r="ER208" s="9"/>
      <c r="ES208" s="9"/>
      <c r="ET208" s="9"/>
      <c r="EU208" s="9"/>
      <c r="EV208" s="9"/>
      <c r="EW208" s="9"/>
      <c r="EX208" s="9"/>
      <c r="EY208" s="9"/>
      <c r="EZ208" s="9"/>
      <c r="FA208" s="9"/>
      <c r="FB208" s="9"/>
      <c r="FC208" s="9"/>
      <c r="FD208" s="9"/>
      <c r="FE208" s="9"/>
      <c r="FF208" s="9"/>
      <c r="FG208" s="9"/>
      <c r="FH208" s="9"/>
      <c r="FI208" s="9"/>
      <c r="FJ208" s="9"/>
      <c r="FK208" s="9"/>
      <c r="FL208" s="9"/>
      <c r="FM208" s="9"/>
      <c r="FN208" s="9"/>
      <c r="FO208" s="9"/>
      <c r="FP208" s="9"/>
      <c r="FQ208" s="9"/>
      <c r="FR208" s="9"/>
      <c r="FS208" s="9"/>
      <c r="FT208" s="9"/>
      <c r="FU208" s="9"/>
      <c r="FV208" s="9"/>
      <c r="FW208" s="9"/>
      <c r="FX208" s="9"/>
      <c r="FY208" s="9"/>
      <c r="FZ208" s="9"/>
      <c r="GA208" s="9"/>
      <c r="GB208" s="9"/>
      <c r="GC208" s="9"/>
      <c r="GD208" s="9"/>
      <c r="GE208" s="9"/>
      <c r="GF208" s="9"/>
      <c r="GG208" s="9"/>
      <c r="GH208" s="9"/>
      <c r="GI208" s="9"/>
      <c r="GJ208" s="9"/>
      <c r="GK208" s="9"/>
      <c r="GL208" s="9"/>
      <c r="GM208" s="9"/>
      <c r="GN208" s="9"/>
      <c r="GO208" s="9"/>
      <c r="GP208" s="9"/>
      <c r="GQ208" s="9"/>
      <c r="GR208" s="9"/>
      <c r="GS208" s="9"/>
      <c r="GT208" s="9"/>
      <c r="GU208" s="9"/>
      <c r="GV208" s="9"/>
      <c r="GW208" s="9"/>
      <c r="GX208" s="9"/>
      <c r="GY208" s="9"/>
      <c r="GZ208" s="9"/>
      <c r="HA208" s="9"/>
      <c r="HB208" s="9"/>
      <c r="HC208" s="9"/>
      <c r="HD208" s="9"/>
      <c r="HE208" s="9"/>
      <c r="HF208" s="9"/>
      <c r="HG208" s="9"/>
      <c r="HH208" s="9"/>
      <c r="HI208" s="9"/>
      <c r="HJ208" s="9"/>
      <c r="HV208" s="50"/>
      <c r="HW208" s="50"/>
      <c r="IH208" t="s">
        <v>886</v>
      </c>
      <c r="II208" s="12" t="s">
        <v>882</v>
      </c>
      <c r="IJ208" t="s">
        <v>542</v>
      </c>
      <c r="IK208" t="s">
        <v>480</v>
      </c>
      <c r="IL208" t="s">
        <v>480</v>
      </c>
      <c r="IM208">
        <v>2002</v>
      </c>
      <c r="IN208" t="s">
        <v>480</v>
      </c>
      <c r="JJ208" t="s">
        <v>494</v>
      </c>
      <c r="JK208" s="75" t="s">
        <v>494</v>
      </c>
      <c r="JL208" s="8" t="s">
        <v>495</v>
      </c>
      <c r="JP208" t="s">
        <v>508</v>
      </c>
      <c r="JQ208">
        <v>60</v>
      </c>
      <c r="JT208">
        <v>45</v>
      </c>
      <c r="MY208" t="s">
        <v>872</v>
      </c>
      <c r="NB208" s="4" t="s">
        <v>873</v>
      </c>
      <c r="NC208" t="s">
        <v>883</v>
      </c>
      <c r="NJ208" s="82" t="s">
        <v>874</v>
      </c>
      <c r="NK208" t="s">
        <v>884</v>
      </c>
      <c r="NL208" t="s">
        <v>660</v>
      </c>
      <c r="NM208" t="s">
        <v>876</v>
      </c>
      <c r="NV208" t="s">
        <v>518</v>
      </c>
      <c r="NX208" t="s">
        <v>480</v>
      </c>
      <c r="OB208">
        <v>3</v>
      </c>
      <c r="OC208">
        <v>7.86</v>
      </c>
      <c r="OD208" t="s">
        <v>480</v>
      </c>
      <c r="OE208">
        <v>5.82</v>
      </c>
      <c r="OF208" t="s">
        <v>480</v>
      </c>
      <c r="OM208">
        <v>0.32</v>
      </c>
      <c r="OO208">
        <v>0.75</v>
      </c>
      <c r="OP208" t="s">
        <v>480</v>
      </c>
      <c r="OS208">
        <v>1.07</v>
      </c>
      <c r="OT208" t="s">
        <v>480</v>
      </c>
      <c r="OU208" t="s">
        <v>892</v>
      </c>
      <c r="OW208">
        <v>2002</v>
      </c>
      <c r="PB208" t="s">
        <v>522</v>
      </c>
      <c r="PC208" s="50">
        <v>46105</v>
      </c>
    </row>
    <row r="209" spans="1:419" ht="15.75" thickBot="1">
      <c r="A209" s="11" t="s">
        <v>861</v>
      </c>
      <c r="B209" t="s">
        <v>862</v>
      </c>
      <c r="C209" s="82" t="s">
        <v>863</v>
      </c>
      <c r="D209" s="4" t="s">
        <v>480</v>
      </c>
      <c r="E209" t="s">
        <v>864</v>
      </c>
      <c r="F209" t="s">
        <v>865</v>
      </c>
      <c r="G209" t="s">
        <v>475</v>
      </c>
      <c r="H209" t="s">
        <v>866</v>
      </c>
      <c r="I209" t="s">
        <v>866</v>
      </c>
      <c r="J209" t="s">
        <v>866</v>
      </c>
      <c r="K209" t="s">
        <v>480</v>
      </c>
      <c r="AV209" t="s">
        <v>867</v>
      </c>
      <c r="AW209" t="s">
        <v>480</v>
      </c>
      <c r="AX209" t="s">
        <v>480</v>
      </c>
      <c r="AY209">
        <v>2</v>
      </c>
      <c r="AZ209" t="s">
        <v>868</v>
      </c>
      <c r="BA209">
        <v>2002</v>
      </c>
      <c r="BB209">
        <v>2005</v>
      </c>
      <c r="BD209" t="s">
        <v>895</v>
      </c>
      <c r="BE209" t="s">
        <v>615</v>
      </c>
      <c r="BF209" s="3" t="s">
        <v>484</v>
      </c>
      <c r="BG209" t="s">
        <v>870</v>
      </c>
      <c r="BH209" t="s">
        <v>871</v>
      </c>
      <c r="BI209" s="4" t="s">
        <v>486</v>
      </c>
      <c r="BJ209" s="9">
        <v>166667</v>
      </c>
      <c r="BL209" t="s">
        <v>880</v>
      </c>
      <c r="BM209" t="s">
        <v>881</v>
      </c>
      <c r="BN209" s="9">
        <v>55556</v>
      </c>
      <c r="EG209" s="9"/>
      <c r="EH209" s="9"/>
      <c r="EI209" s="9"/>
      <c r="EJ209" s="9"/>
      <c r="EK209" s="9"/>
      <c r="EL209" s="9"/>
      <c r="EM209" s="9"/>
      <c r="EN209" s="9"/>
      <c r="EO209" s="9"/>
      <c r="EP209" s="9"/>
      <c r="EQ209" s="9"/>
      <c r="ER209" s="9"/>
      <c r="ES209" s="9"/>
      <c r="ET209" s="9"/>
      <c r="EU209" s="9"/>
      <c r="EV209" s="9"/>
      <c r="EW209" s="9"/>
      <c r="EX209" s="9"/>
      <c r="EY209" s="9"/>
      <c r="EZ209" s="9"/>
      <c r="FA209" s="9"/>
      <c r="FB209" s="9"/>
      <c r="FC209" s="9"/>
      <c r="FD209" s="9"/>
      <c r="FE209" s="9"/>
      <c r="FF209" s="9"/>
      <c r="FG209" s="9"/>
      <c r="FH209" s="9"/>
      <c r="FI209" s="9"/>
      <c r="FJ209" s="9"/>
      <c r="FK209" s="9"/>
      <c r="FL209" s="9"/>
      <c r="FM209" s="9"/>
      <c r="FN209" s="9"/>
      <c r="FO209" s="9"/>
      <c r="FP209" s="9"/>
      <c r="FQ209" s="9"/>
      <c r="FR209" s="9"/>
      <c r="FS209" s="9"/>
      <c r="FT209" s="9"/>
      <c r="FU209" s="9"/>
      <c r="FV209" s="9"/>
      <c r="FW209" s="9"/>
      <c r="FX209" s="9"/>
      <c r="FY209" s="9"/>
      <c r="FZ209" s="9"/>
      <c r="GA209" s="9"/>
      <c r="GB209" s="9"/>
      <c r="GC209" s="9"/>
      <c r="GD209" s="9"/>
      <c r="GE209" s="9"/>
      <c r="GF209" s="9"/>
      <c r="GG209" s="9"/>
      <c r="GH209" s="9"/>
      <c r="GI209" s="9"/>
      <c r="GJ209" s="9"/>
      <c r="GK209" s="9"/>
      <c r="GL209" s="9"/>
      <c r="GM209" s="9"/>
      <c r="GN209" s="9"/>
      <c r="GO209" s="9"/>
      <c r="GP209" s="9"/>
      <c r="GQ209" s="9"/>
      <c r="GR209" s="9"/>
      <c r="GS209" s="9"/>
      <c r="GT209" s="9"/>
      <c r="GU209" s="9"/>
      <c r="GV209" s="9"/>
      <c r="GW209" s="9"/>
      <c r="GX209" s="9"/>
      <c r="GY209" s="9"/>
      <c r="GZ209" s="9"/>
      <c r="HA209" s="9"/>
      <c r="HB209" s="9"/>
      <c r="HC209" s="9"/>
      <c r="HD209" s="9"/>
      <c r="HE209" s="9"/>
      <c r="HF209" s="9"/>
      <c r="HG209" s="9"/>
      <c r="HH209" s="9"/>
      <c r="HI209" s="9"/>
      <c r="HJ209" s="9"/>
      <c r="HV209" s="50"/>
      <c r="HW209" s="50"/>
      <c r="IH209" t="s">
        <v>887</v>
      </c>
      <c r="II209" s="12" t="s">
        <v>882</v>
      </c>
      <c r="IJ209" t="s">
        <v>542</v>
      </c>
      <c r="IK209" t="s">
        <v>480</v>
      </c>
      <c r="IL209" t="s">
        <v>480</v>
      </c>
      <c r="IM209">
        <v>2002</v>
      </c>
      <c r="IN209" t="s">
        <v>480</v>
      </c>
      <c r="JJ209" t="s">
        <v>494</v>
      </c>
      <c r="JK209" s="75" t="s">
        <v>494</v>
      </c>
      <c r="JL209" s="8" t="s">
        <v>495</v>
      </c>
      <c r="JP209" t="s">
        <v>508</v>
      </c>
      <c r="JQ209">
        <v>60</v>
      </c>
      <c r="JT209">
        <v>45</v>
      </c>
      <c r="MY209" t="s">
        <v>872</v>
      </c>
      <c r="NB209" s="4" t="s">
        <v>873</v>
      </c>
      <c r="NC209" t="s">
        <v>883</v>
      </c>
      <c r="NJ209" s="82" t="s">
        <v>874</v>
      </c>
      <c r="NK209" t="s">
        <v>884</v>
      </c>
      <c r="NL209" t="s">
        <v>660</v>
      </c>
      <c r="NM209" t="s">
        <v>876</v>
      </c>
      <c r="NV209" t="s">
        <v>518</v>
      </c>
      <c r="NX209" t="s">
        <v>480</v>
      </c>
      <c r="OB209">
        <v>3</v>
      </c>
      <c r="OC209">
        <v>7.18</v>
      </c>
      <c r="OD209" t="s">
        <v>480</v>
      </c>
      <c r="OE209">
        <v>7.52</v>
      </c>
      <c r="OF209" t="s">
        <v>480</v>
      </c>
      <c r="OM209">
        <v>0.3</v>
      </c>
      <c r="OO209">
        <v>0.89</v>
      </c>
      <c r="OP209" t="s">
        <v>480</v>
      </c>
      <c r="OS209">
        <v>1.19</v>
      </c>
      <c r="OT209" t="s">
        <v>480</v>
      </c>
      <c r="OU209" t="s">
        <v>892</v>
      </c>
      <c r="OW209">
        <v>2002</v>
      </c>
      <c r="PB209" t="s">
        <v>522</v>
      </c>
      <c r="PC209" s="50">
        <v>46105</v>
      </c>
    </row>
    <row r="210" spans="1:419" ht="15.75" thickBot="1">
      <c r="A210" s="11" t="s">
        <v>861</v>
      </c>
      <c r="B210" t="s">
        <v>862</v>
      </c>
      <c r="C210" s="82" t="s">
        <v>863</v>
      </c>
      <c r="D210" s="4" t="s">
        <v>480</v>
      </c>
      <c r="E210" t="s">
        <v>864</v>
      </c>
      <c r="F210" t="s">
        <v>865</v>
      </c>
      <c r="G210" t="s">
        <v>475</v>
      </c>
      <c r="H210" t="s">
        <v>866</v>
      </c>
      <c r="I210" t="s">
        <v>866</v>
      </c>
      <c r="J210" t="s">
        <v>866</v>
      </c>
      <c r="K210" t="s">
        <v>480</v>
      </c>
      <c r="AV210" t="s">
        <v>867</v>
      </c>
      <c r="AW210" t="s">
        <v>480</v>
      </c>
      <c r="AX210" t="s">
        <v>480</v>
      </c>
      <c r="AY210">
        <v>2</v>
      </c>
      <c r="AZ210" t="s">
        <v>868</v>
      </c>
      <c r="BA210">
        <v>2002</v>
      </c>
      <c r="BB210">
        <v>2005</v>
      </c>
      <c r="BD210" t="s">
        <v>896</v>
      </c>
      <c r="BE210" t="s">
        <v>617</v>
      </c>
      <c r="BF210" s="3" t="s">
        <v>484</v>
      </c>
      <c r="BG210" t="s">
        <v>870</v>
      </c>
      <c r="BH210" t="s">
        <v>871</v>
      </c>
      <c r="BI210" s="4" t="s">
        <v>486</v>
      </c>
      <c r="BJ210" s="9">
        <v>133333</v>
      </c>
      <c r="BL210" t="s">
        <v>880</v>
      </c>
      <c r="BM210" t="s">
        <v>881</v>
      </c>
      <c r="BN210" s="9">
        <v>55556</v>
      </c>
      <c r="EG210" s="9"/>
      <c r="EH210" s="9"/>
      <c r="EI210" s="9"/>
      <c r="EJ210" s="9"/>
      <c r="EK210" s="9"/>
      <c r="EL210" s="9"/>
      <c r="EM210" s="9"/>
      <c r="EN210" s="9"/>
      <c r="EO210" s="9"/>
      <c r="EP210" s="9"/>
      <c r="EQ210" s="9"/>
      <c r="ER210" s="9"/>
      <c r="ES210" s="9"/>
      <c r="ET210" s="9"/>
      <c r="EU210" s="9"/>
      <c r="EV210" s="9"/>
      <c r="EW210" s="9"/>
      <c r="EX210" s="9"/>
      <c r="EY210" s="9"/>
      <c r="EZ210" s="9"/>
      <c r="FA210" s="9"/>
      <c r="FB210" s="9"/>
      <c r="FC210" s="9"/>
      <c r="FD210" s="9"/>
      <c r="FE210" s="9"/>
      <c r="FF210" s="9"/>
      <c r="FG210" s="9"/>
      <c r="FH210" s="9"/>
      <c r="FI210" s="9"/>
      <c r="FJ210" s="9"/>
      <c r="FK210" s="9"/>
      <c r="FL210" s="9"/>
      <c r="FM210" s="9"/>
      <c r="FN210" s="9"/>
      <c r="FO210" s="9"/>
      <c r="FP210" s="9"/>
      <c r="FQ210" s="9"/>
      <c r="FR210" s="9"/>
      <c r="FS210" s="9"/>
      <c r="FT210" s="9"/>
      <c r="FU210" s="9"/>
      <c r="FV210" s="9"/>
      <c r="FW210" s="9"/>
      <c r="FX210" s="9"/>
      <c r="FY210" s="9"/>
      <c r="FZ210" s="9"/>
      <c r="GA210" s="9"/>
      <c r="GB210" s="9"/>
      <c r="GC210" s="9"/>
      <c r="GD210" s="9"/>
      <c r="GE210" s="9"/>
      <c r="GF210" s="9"/>
      <c r="GG210" s="9"/>
      <c r="GH210" s="9"/>
      <c r="GI210" s="9"/>
      <c r="GJ210" s="9"/>
      <c r="GK210" s="9"/>
      <c r="GL210" s="9"/>
      <c r="GM210" s="9"/>
      <c r="GN210" s="9"/>
      <c r="GO210" s="9"/>
      <c r="GP210" s="9"/>
      <c r="GQ210" s="9"/>
      <c r="GR210" s="9"/>
      <c r="GS210" s="9"/>
      <c r="GT210" s="9"/>
      <c r="GU210" s="9"/>
      <c r="GV210" s="9"/>
      <c r="GW210" s="9"/>
      <c r="GX210" s="9"/>
      <c r="GY210" s="9"/>
      <c r="GZ210" s="9"/>
      <c r="HA210" s="9"/>
      <c r="HB210" s="9"/>
      <c r="HC210" s="9"/>
      <c r="HD210" s="9"/>
      <c r="HE210" s="9"/>
      <c r="HF210" s="9"/>
      <c r="HG210" s="9"/>
      <c r="HH210" s="9"/>
      <c r="HI210" s="9"/>
      <c r="HJ210" s="9"/>
      <c r="HV210" s="50"/>
      <c r="HW210" s="50"/>
      <c r="IH210" t="s">
        <v>888</v>
      </c>
      <c r="II210" s="12" t="s">
        <v>882</v>
      </c>
      <c r="IJ210" t="s">
        <v>542</v>
      </c>
      <c r="IK210" t="s">
        <v>480</v>
      </c>
      <c r="IL210" t="s">
        <v>480</v>
      </c>
      <c r="IM210">
        <v>2002</v>
      </c>
      <c r="IN210" t="s">
        <v>480</v>
      </c>
      <c r="JJ210" t="s">
        <v>494</v>
      </c>
      <c r="JK210" s="75" t="s">
        <v>494</v>
      </c>
      <c r="JL210" s="8" t="s">
        <v>495</v>
      </c>
      <c r="JP210" t="s">
        <v>508</v>
      </c>
      <c r="JQ210">
        <v>60</v>
      </c>
      <c r="JT210">
        <v>45</v>
      </c>
      <c r="MY210" t="s">
        <v>872</v>
      </c>
      <c r="NB210" s="4" t="s">
        <v>873</v>
      </c>
      <c r="NC210" t="s">
        <v>883</v>
      </c>
      <c r="NJ210" s="82" t="s">
        <v>874</v>
      </c>
      <c r="NK210" t="s">
        <v>884</v>
      </c>
      <c r="NL210" t="s">
        <v>660</v>
      </c>
      <c r="NM210" t="s">
        <v>876</v>
      </c>
      <c r="NV210" t="s">
        <v>518</v>
      </c>
      <c r="NX210" t="s">
        <v>480</v>
      </c>
      <c r="OB210">
        <v>3</v>
      </c>
      <c r="OC210">
        <v>4.04</v>
      </c>
      <c r="OD210" t="s">
        <v>480</v>
      </c>
      <c r="OE210">
        <v>5.75</v>
      </c>
      <c r="OF210" t="s">
        <v>480</v>
      </c>
      <c r="OM210">
        <v>0.17</v>
      </c>
      <c r="OO210">
        <v>0.73</v>
      </c>
      <c r="OP210" t="s">
        <v>480</v>
      </c>
      <c r="OS210">
        <v>1</v>
      </c>
      <c r="OT210" t="s">
        <v>480</v>
      </c>
      <c r="OU210" t="s">
        <v>892</v>
      </c>
      <c r="OW210">
        <v>2002</v>
      </c>
      <c r="PB210" t="s">
        <v>522</v>
      </c>
      <c r="PC210" s="50">
        <v>46105</v>
      </c>
    </row>
    <row r="211" spans="1:419" ht="15.75" thickBot="1">
      <c r="A211" s="11" t="s">
        <v>861</v>
      </c>
      <c r="B211" t="s">
        <v>862</v>
      </c>
      <c r="C211" s="82" t="s">
        <v>863</v>
      </c>
      <c r="D211" s="4" t="s">
        <v>480</v>
      </c>
      <c r="E211" t="s">
        <v>864</v>
      </c>
      <c r="F211" t="s">
        <v>865</v>
      </c>
      <c r="G211" t="s">
        <v>475</v>
      </c>
      <c r="H211" t="s">
        <v>866</v>
      </c>
      <c r="I211" t="s">
        <v>866</v>
      </c>
      <c r="J211" t="s">
        <v>866</v>
      </c>
      <c r="K211" t="s">
        <v>480</v>
      </c>
      <c r="AV211" t="s">
        <v>867</v>
      </c>
      <c r="AW211" t="s">
        <v>480</v>
      </c>
      <c r="AX211" t="s">
        <v>480</v>
      </c>
      <c r="AY211">
        <v>2</v>
      </c>
      <c r="AZ211" t="s">
        <v>868</v>
      </c>
      <c r="BA211">
        <v>2002</v>
      </c>
      <c r="BB211">
        <v>2005</v>
      </c>
      <c r="BD211" t="s">
        <v>869</v>
      </c>
      <c r="BE211" t="s">
        <v>524</v>
      </c>
      <c r="BF211" s="3" t="s">
        <v>484</v>
      </c>
      <c r="BG211" t="s">
        <v>870</v>
      </c>
      <c r="BH211" t="s">
        <v>871</v>
      </c>
      <c r="BI211" s="4" t="s">
        <v>486</v>
      </c>
      <c r="BJ211">
        <v>333333</v>
      </c>
      <c r="EG211" s="9"/>
      <c r="EH211" s="9"/>
      <c r="EI211" s="9"/>
      <c r="EJ211" s="9"/>
      <c r="EK211" s="9"/>
      <c r="EL211" s="9"/>
      <c r="EM211" s="9"/>
      <c r="EN211" s="9"/>
      <c r="EO211" s="9"/>
      <c r="EP211" s="9"/>
      <c r="EQ211" s="9"/>
      <c r="ER211" s="9"/>
      <c r="ES211" s="9"/>
      <c r="ET211" s="9"/>
      <c r="EU211" s="9"/>
      <c r="EV211" s="9"/>
      <c r="EW211" s="9"/>
      <c r="EX211" s="9"/>
      <c r="EY211" s="9"/>
      <c r="EZ211" s="9"/>
      <c r="FA211" s="9"/>
      <c r="FB211" s="9"/>
      <c r="FC211" s="9"/>
      <c r="FD211" s="9"/>
      <c r="FE211" s="9"/>
      <c r="FF211" s="9"/>
      <c r="FG211" s="9"/>
      <c r="FH211" s="9"/>
      <c r="FI211" s="9"/>
      <c r="FJ211" s="9"/>
      <c r="FK211" s="9"/>
      <c r="FL211" s="9"/>
      <c r="FM211" s="9"/>
      <c r="FN211" s="9"/>
      <c r="FO211" s="9"/>
      <c r="FP211" s="9"/>
      <c r="FQ211" s="9"/>
      <c r="FR211" s="9"/>
      <c r="FS211" s="9"/>
      <c r="FT211" s="9"/>
      <c r="FU211" s="9"/>
      <c r="FV211" s="9"/>
      <c r="FW211" s="9"/>
      <c r="FX211" s="9"/>
      <c r="FY211" s="9"/>
      <c r="FZ211" s="9"/>
      <c r="GA211" s="9"/>
      <c r="GB211" s="9"/>
      <c r="GC211" s="9"/>
      <c r="GD211" s="9"/>
      <c r="GE211" s="9"/>
      <c r="GF211" s="9"/>
      <c r="GG211" s="9"/>
      <c r="GH211" s="9"/>
      <c r="GI211" s="9"/>
      <c r="GJ211" s="9"/>
      <c r="GK211" s="9"/>
      <c r="GL211" s="9"/>
      <c r="GM211" s="9"/>
      <c r="GN211" s="9"/>
      <c r="GO211" s="9"/>
      <c r="GP211" s="9"/>
      <c r="GQ211" s="9"/>
      <c r="GR211" s="9"/>
      <c r="GS211" s="9"/>
      <c r="GT211" s="9"/>
      <c r="GU211" s="9"/>
      <c r="GV211" s="9"/>
      <c r="GW211" s="9"/>
      <c r="GX211" s="9"/>
      <c r="GY211" s="9"/>
      <c r="GZ211" s="9"/>
      <c r="HA211" s="9"/>
      <c r="HB211" s="9"/>
      <c r="HC211" s="9"/>
      <c r="HD211" s="9"/>
      <c r="HE211" s="9"/>
      <c r="HF211" s="9"/>
      <c r="HG211" s="9"/>
      <c r="HH211" s="9"/>
      <c r="HI211" s="9"/>
      <c r="HJ211" s="9"/>
      <c r="HV211" s="50"/>
      <c r="HW211" s="50"/>
      <c r="IH211" t="s">
        <v>869</v>
      </c>
      <c r="II211" s="13" t="s">
        <v>492</v>
      </c>
      <c r="JJ211" t="s">
        <v>494</v>
      </c>
      <c r="JK211" s="75" t="s">
        <v>494</v>
      </c>
      <c r="JL211" s="8" t="s">
        <v>495</v>
      </c>
      <c r="JP211" t="s">
        <v>508</v>
      </c>
      <c r="JQ211">
        <v>60</v>
      </c>
      <c r="JT211">
        <v>45</v>
      </c>
      <c r="MY211" t="s">
        <v>872</v>
      </c>
      <c r="NB211" s="4" t="s">
        <v>873</v>
      </c>
      <c r="NJ211" s="82" t="s">
        <v>874</v>
      </c>
      <c r="NK211" t="s">
        <v>875</v>
      </c>
      <c r="NL211" t="s">
        <v>660</v>
      </c>
      <c r="NM211" t="s">
        <v>876</v>
      </c>
      <c r="NU211" t="s">
        <v>877</v>
      </c>
      <c r="NV211" t="s">
        <v>518</v>
      </c>
      <c r="NX211" t="s">
        <v>480</v>
      </c>
      <c r="OB211">
        <v>3</v>
      </c>
      <c r="OC211">
        <v>22.2</v>
      </c>
      <c r="OD211" t="s">
        <v>480</v>
      </c>
      <c r="OM211" t="s">
        <v>537</v>
      </c>
      <c r="ON211" t="s">
        <v>537</v>
      </c>
      <c r="OO211" t="s">
        <v>537</v>
      </c>
      <c r="OP211" t="s">
        <v>537</v>
      </c>
      <c r="OS211">
        <v>1</v>
      </c>
      <c r="OT211" t="s">
        <v>480</v>
      </c>
      <c r="OU211" t="s">
        <v>897</v>
      </c>
      <c r="OW211">
        <v>2004</v>
      </c>
      <c r="PB211" t="s">
        <v>522</v>
      </c>
      <c r="PC211" s="50">
        <v>46105</v>
      </c>
    </row>
    <row r="212" spans="1:419" ht="15.75" thickBot="1">
      <c r="A212" s="11" t="s">
        <v>861</v>
      </c>
      <c r="B212" t="s">
        <v>862</v>
      </c>
      <c r="C212" s="82" t="s">
        <v>863</v>
      </c>
      <c r="D212" s="4" t="s">
        <v>480</v>
      </c>
      <c r="E212" t="s">
        <v>864</v>
      </c>
      <c r="F212" t="s">
        <v>865</v>
      </c>
      <c r="G212" t="s">
        <v>475</v>
      </c>
      <c r="H212" t="s">
        <v>866</v>
      </c>
      <c r="I212" t="s">
        <v>866</v>
      </c>
      <c r="J212" t="s">
        <v>866</v>
      </c>
      <c r="K212" t="s">
        <v>480</v>
      </c>
      <c r="AV212" t="s">
        <v>867</v>
      </c>
      <c r="AW212" t="s">
        <v>480</v>
      </c>
      <c r="AX212" t="s">
        <v>480</v>
      </c>
      <c r="AY212">
        <v>2</v>
      </c>
      <c r="AZ212" t="s">
        <v>868</v>
      </c>
      <c r="BA212">
        <v>2002</v>
      </c>
      <c r="BB212">
        <v>2005</v>
      </c>
      <c r="BD212" t="s">
        <v>879</v>
      </c>
      <c r="BE212" t="s">
        <v>536</v>
      </c>
      <c r="BF212" s="3" t="s">
        <v>484</v>
      </c>
      <c r="BG212" t="s">
        <v>870</v>
      </c>
      <c r="BH212" t="s">
        <v>871</v>
      </c>
      <c r="BI212" s="4" t="s">
        <v>486</v>
      </c>
      <c r="BJ212">
        <v>333333</v>
      </c>
      <c r="BL212" t="s">
        <v>880</v>
      </c>
      <c r="BM212" t="s">
        <v>881</v>
      </c>
      <c r="BN212">
        <v>55556</v>
      </c>
      <c r="EG212" s="9"/>
      <c r="EH212" s="9"/>
      <c r="EI212" s="9"/>
      <c r="EJ212" s="9"/>
      <c r="EK212" s="9"/>
      <c r="EL212" s="9"/>
      <c r="EM212" s="9"/>
      <c r="EN212" s="9"/>
      <c r="EO212" s="9"/>
      <c r="EP212" s="9"/>
      <c r="EQ212" s="9"/>
      <c r="ER212" s="9"/>
      <c r="ES212" s="9"/>
      <c r="ET212" s="9"/>
      <c r="EU212" s="9"/>
      <c r="EV212" s="9"/>
      <c r="EW212" s="9"/>
      <c r="EX212" s="9"/>
      <c r="EY212" s="9"/>
      <c r="EZ212" s="9"/>
      <c r="FA212" s="9"/>
      <c r="FB212" s="9"/>
      <c r="FC212" s="9"/>
      <c r="FD212" s="9"/>
      <c r="FE212" s="9"/>
      <c r="FF212" s="9"/>
      <c r="FG212" s="9"/>
      <c r="FH212" s="9"/>
      <c r="FI212" s="9"/>
      <c r="FJ212" s="9"/>
      <c r="FK212" s="9"/>
      <c r="FL212" s="9"/>
      <c r="FM212" s="9"/>
      <c r="FN212" s="9"/>
      <c r="FO212" s="9"/>
      <c r="FP212" s="9"/>
      <c r="FQ212" s="9"/>
      <c r="FR212" s="9"/>
      <c r="FS212" s="9"/>
      <c r="FT212" s="9"/>
      <c r="FU212" s="9"/>
      <c r="FV212" s="9"/>
      <c r="FW212" s="9"/>
      <c r="FX212" s="9"/>
      <c r="FY212" s="9"/>
      <c r="FZ212" s="9"/>
      <c r="GA212" s="9"/>
      <c r="GB212" s="9"/>
      <c r="GC212" s="9"/>
      <c r="GD212" s="9"/>
      <c r="GE212" s="9"/>
      <c r="GF212" s="9"/>
      <c r="GG212" s="9"/>
      <c r="GH212" s="9"/>
      <c r="GI212" s="9"/>
      <c r="GJ212" s="9"/>
      <c r="GK212" s="9"/>
      <c r="GL212" s="9"/>
      <c r="GM212" s="9"/>
      <c r="GN212" s="9"/>
      <c r="GO212" s="9"/>
      <c r="GP212" s="9"/>
      <c r="GQ212" s="9"/>
      <c r="GR212" s="9"/>
      <c r="GS212" s="9"/>
      <c r="GT212" s="9"/>
      <c r="GU212" s="9"/>
      <c r="GV212" s="9"/>
      <c r="GW212" s="9"/>
      <c r="GX212" s="9"/>
      <c r="GY212" s="9"/>
      <c r="GZ212" s="9"/>
      <c r="HA212" s="9"/>
      <c r="HB212" s="9"/>
      <c r="HC212" s="9"/>
      <c r="HD212" s="9"/>
      <c r="HE212" s="9"/>
      <c r="HF212" s="9"/>
      <c r="HG212" s="9"/>
      <c r="HH212" s="9"/>
      <c r="HI212" s="9"/>
      <c r="HJ212" s="9"/>
      <c r="HV212" s="50"/>
      <c r="HW212" s="50"/>
      <c r="IH212" t="s">
        <v>879</v>
      </c>
      <c r="II212" s="12" t="s">
        <v>882</v>
      </c>
      <c r="IJ212" t="s">
        <v>542</v>
      </c>
      <c r="IK212" t="s">
        <v>480</v>
      </c>
      <c r="IL212" t="s">
        <v>480</v>
      </c>
      <c r="IM212">
        <v>2002</v>
      </c>
      <c r="IN212" t="s">
        <v>480</v>
      </c>
      <c r="JJ212" t="s">
        <v>494</v>
      </c>
      <c r="JK212" s="75" t="s">
        <v>494</v>
      </c>
      <c r="JL212" s="8" t="s">
        <v>495</v>
      </c>
      <c r="JP212" t="s">
        <v>508</v>
      </c>
      <c r="JQ212">
        <v>60</v>
      </c>
      <c r="JT212">
        <v>45</v>
      </c>
      <c r="MY212" t="s">
        <v>872</v>
      </c>
      <c r="NB212" s="4" t="s">
        <v>873</v>
      </c>
      <c r="NC212" t="s">
        <v>883</v>
      </c>
      <c r="NJ212" s="82" t="s">
        <v>874</v>
      </c>
      <c r="NK212" t="s">
        <v>884</v>
      </c>
      <c r="NL212" t="s">
        <v>660</v>
      </c>
      <c r="NM212" t="s">
        <v>876</v>
      </c>
      <c r="NV212" t="s">
        <v>518</v>
      </c>
      <c r="NX212" t="s">
        <v>480</v>
      </c>
      <c r="OB212">
        <v>3</v>
      </c>
      <c r="OC212">
        <v>10.81</v>
      </c>
      <c r="OD212" t="s">
        <v>480</v>
      </c>
      <c r="OE212">
        <v>2.81</v>
      </c>
      <c r="OF212" t="s">
        <v>480</v>
      </c>
      <c r="OM212">
        <v>0.46</v>
      </c>
      <c r="ON212" t="s">
        <v>480</v>
      </c>
      <c r="OO212">
        <v>0.35</v>
      </c>
      <c r="OP212" t="s">
        <v>480</v>
      </c>
      <c r="OS212">
        <v>0.84</v>
      </c>
      <c r="OT212" t="s">
        <v>480</v>
      </c>
      <c r="OU212" t="s">
        <v>898</v>
      </c>
      <c r="OW212">
        <v>2004</v>
      </c>
      <c r="PB212" t="s">
        <v>522</v>
      </c>
      <c r="PC212" s="50">
        <v>46105</v>
      </c>
    </row>
    <row r="213" spans="1:419" ht="15.75" thickBot="1">
      <c r="A213" s="11" t="s">
        <v>861</v>
      </c>
      <c r="B213" t="s">
        <v>862</v>
      </c>
      <c r="C213" s="82" t="s">
        <v>863</v>
      </c>
      <c r="D213" s="4" t="s">
        <v>480</v>
      </c>
      <c r="E213" t="s">
        <v>864</v>
      </c>
      <c r="F213" t="s">
        <v>865</v>
      </c>
      <c r="G213" t="s">
        <v>475</v>
      </c>
      <c r="H213" t="s">
        <v>866</v>
      </c>
      <c r="I213" t="s">
        <v>866</v>
      </c>
      <c r="J213" t="s">
        <v>866</v>
      </c>
      <c r="K213" t="s">
        <v>480</v>
      </c>
      <c r="AV213" t="s">
        <v>867</v>
      </c>
      <c r="AW213" t="s">
        <v>480</v>
      </c>
      <c r="AX213" t="s">
        <v>480</v>
      </c>
      <c r="AY213">
        <v>2</v>
      </c>
      <c r="AZ213" t="s">
        <v>868</v>
      </c>
      <c r="BA213">
        <v>2002</v>
      </c>
      <c r="BB213">
        <v>2005</v>
      </c>
      <c r="BD213" t="s">
        <v>886</v>
      </c>
      <c r="BE213" t="s">
        <v>566</v>
      </c>
      <c r="BF213" s="3" t="s">
        <v>484</v>
      </c>
      <c r="BG213" t="s">
        <v>870</v>
      </c>
      <c r="BH213" t="s">
        <v>871</v>
      </c>
      <c r="BI213" s="4" t="s">
        <v>486</v>
      </c>
      <c r="BJ213">
        <v>333333</v>
      </c>
      <c r="BL213" t="s">
        <v>880</v>
      </c>
      <c r="BM213" t="s">
        <v>881</v>
      </c>
      <c r="BN213" s="9">
        <v>37037</v>
      </c>
      <c r="EG213" s="9"/>
      <c r="EH213" s="9"/>
      <c r="EI213" s="9"/>
      <c r="EJ213" s="9"/>
      <c r="EK213" s="9"/>
      <c r="EL213" s="9"/>
      <c r="EM213" s="9"/>
      <c r="EN213" s="9"/>
      <c r="EO213" s="9"/>
      <c r="EP213" s="9"/>
      <c r="EQ213" s="9"/>
      <c r="ER213" s="9"/>
      <c r="ES213" s="9"/>
      <c r="ET213" s="9"/>
      <c r="EU213" s="9"/>
      <c r="EV213" s="9"/>
      <c r="EW213" s="9"/>
      <c r="EX213" s="9"/>
      <c r="EY213" s="9"/>
      <c r="EZ213" s="9"/>
      <c r="FA213" s="9"/>
      <c r="FB213" s="9"/>
      <c r="FC213" s="9"/>
      <c r="FD213" s="9"/>
      <c r="FE213" s="9"/>
      <c r="FF213" s="9"/>
      <c r="FG213" s="9"/>
      <c r="FH213" s="9"/>
      <c r="FI213" s="9"/>
      <c r="FJ213" s="9"/>
      <c r="FK213" s="9"/>
      <c r="FL213" s="9"/>
      <c r="FM213" s="9"/>
      <c r="FN213" s="9"/>
      <c r="FO213" s="9"/>
      <c r="FP213" s="9"/>
      <c r="FQ213" s="9"/>
      <c r="FR213" s="9"/>
      <c r="FS213" s="9"/>
      <c r="FT213" s="9"/>
      <c r="FU213" s="9"/>
      <c r="FV213" s="9"/>
      <c r="FW213" s="9"/>
      <c r="FX213" s="9"/>
      <c r="FY213" s="9"/>
      <c r="FZ213" s="9"/>
      <c r="GA213" s="9"/>
      <c r="GB213" s="9"/>
      <c r="GC213" s="9"/>
      <c r="GD213" s="9"/>
      <c r="GE213" s="9"/>
      <c r="GF213" s="9"/>
      <c r="GG213" s="9"/>
      <c r="GH213" s="9"/>
      <c r="GI213" s="9"/>
      <c r="GJ213" s="9"/>
      <c r="GK213" s="9"/>
      <c r="GL213" s="9"/>
      <c r="GM213" s="9"/>
      <c r="GN213" s="9"/>
      <c r="GO213" s="9"/>
      <c r="GP213" s="9"/>
      <c r="GQ213" s="9"/>
      <c r="GR213" s="9"/>
      <c r="GS213" s="9"/>
      <c r="GT213" s="9"/>
      <c r="GU213" s="9"/>
      <c r="GV213" s="9"/>
      <c r="GW213" s="9"/>
      <c r="GX213" s="9"/>
      <c r="GY213" s="9"/>
      <c r="GZ213" s="9"/>
      <c r="HA213" s="9"/>
      <c r="HB213" s="9"/>
      <c r="HC213" s="9"/>
      <c r="HD213" s="9"/>
      <c r="HE213" s="9"/>
      <c r="HF213" s="9"/>
      <c r="HG213" s="9"/>
      <c r="HH213" s="9"/>
      <c r="HI213" s="9"/>
      <c r="HJ213" s="9"/>
      <c r="HV213" s="50"/>
      <c r="HW213" s="50"/>
      <c r="IH213" t="s">
        <v>886</v>
      </c>
      <c r="II213" s="12" t="s">
        <v>882</v>
      </c>
      <c r="IJ213" t="s">
        <v>542</v>
      </c>
      <c r="IK213" t="s">
        <v>480</v>
      </c>
      <c r="IL213" t="s">
        <v>480</v>
      </c>
      <c r="IM213">
        <v>2002</v>
      </c>
      <c r="IN213" t="s">
        <v>480</v>
      </c>
      <c r="JJ213" t="s">
        <v>494</v>
      </c>
      <c r="JK213" s="75" t="s">
        <v>494</v>
      </c>
      <c r="JL213" s="8" t="s">
        <v>495</v>
      </c>
      <c r="JP213" t="s">
        <v>508</v>
      </c>
      <c r="JQ213">
        <v>60</v>
      </c>
      <c r="JT213">
        <v>45</v>
      </c>
      <c r="MY213" t="s">
        <v>872</v>
      </c>
      <c r="NB213" s="4" t="s">
        <v>873</v>
      </c>
      <c r="NC213" t="s">
        <v>883</v>
      </c>
      <c r="NJ213" s="82" t="s">
        <v>874</v>
      </c>
      <c r="NK213" t="s">
        <v>884</v>
      </c>
      <c r="NL213" t="s">
        <v>660</v>
      </c>
      <c r="NM213" t="s">
        <v>876</v>
      </c>
      <c r="NV213" t="s">
        <v>518</v>
      </c>
      <c r="NX213" t="s">
        <v>480</v>
      </c>
      <c r="OB213">
        <v>3</v>
      </c>
      <c r="OC213">
        <v>16</v>
      </c>
      <c r="OD213" t="s">
        <v>480</v>
      </c>
      <c r="OE213">
        <v>4.74</v>
      </c>
      <c r="OF213" t="s">
        <v>480</v>
      </c>
      <c r="OM213">
        <v>0.65</v>
      </c>
      <c r="ON213" t="s">
        <v>480</v>
      </c>
      <c r="OO213">
        <v>0.5</v>
      </c>
      <c r="OP213" t="s">
        <v>480</v>
      </c>
      <c r="OS213">
        <v>1.1499999999999999</v>
      </c>
      <c r="OT213" t="s">
        <v>480</v>
      </c>
      <c r="OU213" t="s">
        <v>898</v>
      </c>
      <c r="OW213">
        <v>2004</v>
      </c>
      <c r="PB213" t="s">
        <v>522</v>
      </c>
      <c r="PC213" s="50">
        <v>46105</v>
      </c>
    </row>
    <row r="214" spans="1:419" ht="15.75" thickBot="1">
      <c r="A214" s="11" t="s">
        <v>861</v>
      </c>
      <c r="B214" t="s">
        <v>862</v>
      </c>
      <c r="C214" s="82" t="s">
        <v>863</v>
      </c>
      <c r="D214" s="4" t="s">
        <v>480</v>
      </c>
      <c r="E214" t="s">
        <v>864</v>
      </c>
      <c r="F214" t="s">
        <v>865</v>
      </c>
      <c r="G214" t="s">
        <v>475</v>
      </c>
      <c r="H214" t="s">
        <v>866</v>
      </c>
      <c r="I214" t="s">
        <v>866</v>
      </c>
      <c r="J214" t="s">
        <v>866</v>
      </c>
      <c r="K214" t="s">
        <v>480</v>
      </c>
      <c r="AV214" t="s">
        <v>867</v>
      </c>
      <c r="AW214" t="s">
        <v>480</v>
      </c>
      <c r="AX214" t="s">
        <v>480</v>
      </c>
      <c r="AY214">
        <v>2</v>
      </c>
      <c r="AZ214" t="s">
        <v>868</v>
      </c>
      <c r="BA214">
        <v>2002</v>
      </c>
      <c r="BB214">
        <v>2005</v>
      </c>
      <c r="BD214" t="s">
        <v>887</v>
      </c>
      <c r="BE214" t="s">
        <v>572</v>
      </c>
      <c r="BF214" s="3" t="s">
        <v>484</v>
      </c>
      <c r="BG214" t="s">
        <v>870</v>
      </c>
      <c r="BH214" t="s">
        <v>871</v>
      </c>
      <c r="BI214" s="4" t="s">
        <v>486</v>
      </c>
      <c r="BJ214">
        <v>333333</v>
      </c>
      <c r="BL214" t="s">
        <v>880</v>
      </c>
      <c r="BM214" t="s">
        <v>881</v>
      </c>
      <c r="BN214" s="9">
        <v>27778</v>
      </c>
      <c r="EG214" s="9"/>
      <c r="EH214" s="9"/>
      <c r="EI214" s="9"/>
      <c r="EJ214" s="9"/>
      <c r="EK214" s="9"/>
      <c r="EL214" s="9"/>
      <c r="EM214" s="9"/>
      <c r="EN214" s="9"/>
      <c r="EO214" s="9"/>
      <c r="EP214" s="9"/>
      <c r="EQ214" s="9"/>
      <c r="ER214" s="9"/>
      <c r="ES214" s="9"/>
      <c r="ET214" s="9"/>
      <c r="EU214" s="9"/>
      <c r="EV214" s="9"/>
      <c r="EW214" s="9"/>
      <c r="EX214" s="9"/>
      <c r="EY214" s="9"/>
      <c r="EZ214" s="9"/>
      <c r="FA214" s="9"/>
      <c r="FB214" s="9"/>
      <c r="FC214" s="9"/>
      <c r="FD214" s="9"/>
      <c r="FE214" s="9"/>
      <c r="FF214" s="9"/>
      <c r="FG214" s="9"/>
      <c r="FH214" s="9"/>
      <c r="FI214" s="9"/>
      <c r="FJ214" s="9"/>
      <c r="FK214" s="9"/>
      <c r="FL214" s="9"/>
      <c r="FM214" s="9"/>
      <c r="FN214" s="9"/>
      <c r="FO214" s="9"/>
      <c r="FP214" s="9"/>
      <c r="FQ214" s="9"/>
      <c r="FR214" s="9"/>
      <c r="FS214" s="9"/>
      <c r="FT214" s="9"/>
      <c r="FU214" s="9"/>
      <c r="FV214" s="9"/>
      <c r="FW214" s="9"/>
      <c r="FX214" s="9"/>
      <c r="FY214" s="9"/>
      <c r="FZ214" s="9"/>
      <c r="GA214" s="9"/>
      <c r="GB214" s="9"/>
      <c r="GC214" s="9"/>
      <c r="GD214" s="9"/>
      <c r="GE214" s="9"/>
      <c r="GF214" s="9"/>
      <c r="GG214" s="9"/>
      <c r="GH214" s="9"/>
      <c r="GI214" s="9"/>
      <c r="GJ214" s="9"/>
      <c r="GK214" s="9"/>
      <c r="GL214" s="9"/>
      <c r="GM214" s="9"/>
      <c r="GN214" s="9"/>
      <c r="GO214" s="9"/>
      <c r="GP214" s="9"/>
      <c r="GQ214" s="9"/>
      <c r="GR214" s="9"/>
      <c r="GS214" s="9"/>
      <c r="GT214" s="9"/>
      <c r="GU214" s="9"/>
      <c r="GV214" s="9"/>
      <c r="GW214" s="9"/>
      <c r="GX214" s="9"/>
      <c r="GY214" s="9"/>
      <c r="GZ214" s="9"/>
      <c r="HA214" s="9"/>
      <c r="HB214" s="9"/>
      <c r="HC214" s="9"/>
      <c r="HD214" s="9"/>
      <c r="HE214" s="9"/>
      <c r="HF214" s="9"/>
      <c r="HG214" s="9"/>
      <c r="HH214" s="9"/>
      <c r="HI214" s="9"/>
      <c r="HJ214" s="9"/>
      <c r="HV214" s="50"/>
      <c r="HW214" s="50"/>
      <c r="IH214" t="s">
        <v>887</v>
      </c>
      <c r="II214" s="12" t="s">
        <v>882</v>
      </c>
      <c r="IJ214" t="s">
        <v>542</v>
      </c>
      <c r="IK214" t="s">
        <v>480</v>
      </c>
      <c r="IL214" t="s">
        <v>480</v>
      </c>
      <c r="IM214">
        <v>2002</v>
      </c>
      <c r="IN214" t="s">
        <v>480</v>
      </c>
      <c r="JJ214" t="s">
        <v>494</v>
      </c>
      <c r="JK214" s="75" t="s">
        <v>494</v>
      </c>
      <c r="JL214" s="8" t="s">
        <v>495</v>
      </c>
      <c r="JP214" t="s">
        <v>508</v>
      </c>
      <c r="JQ214">
        <v>60</v>
      </c>
      <c r="JT214">
        <v>45</v>
      </c>
      <c r="MY214" t="s">
        <v>872</v>
      </c>
      <c r="NB214" s="4" t="s">
        <v>873</v>
      </c>
      <c r="NC214" t="s">
        <v>883</v>
      </c>
      <c r="NJ214" s="82" t="s">
        <v>874</v>
      </c>
      <c r="NK214" t="s">
        <v>884</v>
      </c>
      <c r="NL214" t="s">
        <v>660</v>
      </c>
      <c r="NM214" t="s">
        <v>876</v>
      </c>
      <c r="NV214" t="s">
        <v>518</v>
      </c>
      <c r="NX214" t="s">
        <v>480</v>
      </c>
      <c r="OB214">
        <v>3</v>
      </c>
      <c r="OC214">
        <v>9</v>
      </c>
      <c r="OD214" t="s">
        <v>480</v>
      </c>
      <c r="OE214">
        <v>2.13</v>
      </c>
      <c r="OF214" t="s">
        <v>480</v>
      </c>
      <c r="OM214">
        <v>0.3</v>
      </c>
      <c r="ON214" t="s">
        <v>480</v>
      </c>
      <c r="OO214">
        <v>0.25</v>
      </c>
      <c r="OP214" t="s">
        <v>480</v>
      </c>
      <c r="OS214">
        <v>0.55000000000000004</v>
      </c>
      <c r="OT214" t="s">
        <v>480</v>
      </c>
      <c r="OU214" t="s">
        <v>898</v>
      </c>
      <c r="OW214">
        <v>2004</v>
      </c>
      <c r="PB214" t="s">
        <v>522</v>
      </c>
      <c r="PC214" s="50">
        <v>46105</v>
      </c>
    </row>
    <row r="215" spans="1:419" ht="15.75" thickBot="1">
      <c r="A215" s="11" t="s">
        <v>861</v>
      </c>
      <c r="B215" t="s">
        <v>862</v>
      </c>
      <c r="C215" s="82" t="s">
        <v>863</v>
      </c>
      <c r="D215" s="4" t="s">
        <v>480</v>
      </c>
      <c r="E215" t="s">
        <v>864</v>
      </c>
      <c r="F215" t="s">
        <v>865</v>
      </c>
      <c r="G215" t="s">
        <v>475</v>
      </c>
      <c r="H215" t="s">
        <v>866</v>
      </c>
      <c r="I215" t="s">
        <v>866</v>
      </c>
      <c r="J215" t="s">
        <v>866</v>
      </c>
      <c r="K215" t="s">
        <v>480</v>
      </c>
      <c r="AV215" t="s">
        <v>867</v>
      </c>
      <c r="AW215" t="s">
        <v>480</v>
      </c>
      <c r="AX215" t="s">
        <v>480</v>
      </c>
      <c r="AY215">
        <v>2</v>
      </c>
      <c r="AZ215" t="s">
        <v>868</v>
      </c>
      <c r="BA215">
        <v>2002</v>
      </c>
      <c r="BB215">
        <v>2005</v>
      </c>
      <c r="BD215" t="s">
        <v>888</v>
      </c>
      <c r="BE215" t="s">
        <v>553</v>
      </c>
      <c r="BF215" s="3" t="s">
        <v>484</v>
      </c>
      <c r="BG215" t="s">
        <v>870</v>
      </c>
      <c r="BH215" t="s">
        <v>871</v>
      </c>
      <c r="BI215" s="4" t="s">
        <v>486</v>
      </c>
      <c r="BJ215">
        <v>333333</v>
      </c>
      <c r="BL215" t="s">
        <v>880</v>
      </c>
      <c r="BM215" t="s">
        <v>881</v>
      </c>
      <c r="BN215" s="9">
        <v>22222</v>
      </c>
      <c r="EG215" s="9"/>
      <c r="EH215" s="9"/>
      <c r="EI215" s="9"/>
      <c r="EJ215" s="9"/>
      <c r="EK215" s="9"/>
      <c r="EL215" s="9"/>
      <c r="EM215" s="9"/>
      <c r="EN215" s="9"/>
      <c r="EO215" s="9"/>
      <c r="EP215" s="9"/>
      <c r="EQ215" s="9"/>
      <c r="ER215" s="9"/>
      <c r="ES215" s="9"/>
      <c r="ET215" s="9"/>
      <c r="EU215" s="9"/>
      <c r="EV215" s="9"/>
      <c r="EW215" s="9"/>
      <c r="EX215" s="9"/>
      <c r="EY215" s="9"/>
      <c r="EZ215" s="9"/>
      <c r="FA215" s="9"/>
      <c r="FB215" s="9"/>
      <c r="FC215" s="9"/>
      <c r="FD215" s="9"/>
      <c r="FE215" s="9"/>
      <c r="FF215" s="9"/>
      <c r="FG215" s="9"/>
      <c r="FH215" s="9"/>
      <c r="FI215" s="9"/>
      <c r="FJ215" s="9"/>
      <c r="FK215" s="9"/>
      <c r="FL215" s="9"/>
      <c r="FM215" s="9"/>
      <c r="FN215" s="9"/>
      <c r="FO215" s="9"/>
      <c r="FP215" s="9"/>
      <c r="FQ215" s="9"/>
      <c r="FR215" s="9"/>
      <c r="FS215" s="9"/>
      <c r="FT215" s="9"/>
      <c r="FU215" s="9"/>
      <c r="FV215" s="9"/>
      <c r="FW215" s="9"/>
      <c r="FX215" s="9"/>
      <c r="FY215" s="9"/>
      <c r="FZ215" s="9"/>
      <c r="GA215" s="9"/>
      <c r="GB215" s="9"/>
      <c r="GC215" s="9"/>
      <c r="GD215" s="9"/>
      <c r="GE215" s="9"/>
      <c r="GF215" s="9"/>
      <c r="GG215" s="9"/>
      <c r="GH215" s="9"/>
      <c r="GI215" s="9"/>
      <c r="GJ215" s="9"/>
      <c r="GK215" s="9"/>
      <c r="GL215" s="9"/>
      <c r="GM215" s="9"/>
      <c r="GN215" s="9"/>
      <c r="GO215" s="9"/>
      <c r="GP215" s="9"/>
      <c r="GQ215" s="9"/>
      <c r="GR215" s="9"/>
      <c r="GS215" s="9"/>
      <c r="GT215" s="9"/>
      <c r="GU215" s="9"/>
      <c r="GV215" s="9"/>
      <c r="GW215" s="9"/>
      <c r="GX215" s="9"/>
      <c r="GY215" s="9"/>
      <c r="GZ215" s="9"/>
      <c r="HA215" s="9"/>
      <c r="HB215" s="9"/>
      <c r="HC215" s="9"/>
      <c r="HD215" s="9"/>
      <c r="HE215" s="9"/>
      <c r="HF215" s="9"/>
      <c r="HG215" s="9"/>
      <c r="HH215" s="9"/>
      <c r="HI215" s="9"/>
      <c r="HJ215" s="9"/>
      <c r="HV215" s="50"/>
      <c r="HW215" s="50"/>
      <c r="IH215" t="s">
        <v>888</v>
      </c>
      <c r="II215" s="12" t="s">
        <v>882</v>
      </c>
      <c r="IJ215" t="s">
        <v>542</v>
      </c>
      <c r="IK215" t="s">
        <v>480</v>
      </c>
      <c r="IL215" t="s">
        <v>480</v>
      </c>
      <c r="IM215">
        <v>2002</v>
      </c>
      <c r="IN215" t="s">
        <v>480</v>
      </c>
      <c r="JJ215" t="s">
        <v>494</v>
      </c>
      <c r="JK215" s="75" t="s">
        <v>494</v>
      </c>
      <c r="JL215" s="8" t="s">
        <v>495</v>
      </c>
      <c r="JP215" t="s">
        <v>508</v>
      </c>
      <c r="JQ215">
        <v>60</v>
      </c>
      <c r="JT215">
        <v>45</v>
      </c>
      <c r="MY215" t="s">
        <v>872</v>
      </c>
      <c r="NB215" s="4" t="s">
        <v>873</v>
      </c>
      <c r="NC215" t="s">
        <v>883</v>
      </c>
      <c r="NJ215" s="82" t="s">
        <v>874</v>
      </c>
      <c r="NK215" t="s">
        <v>884</v>
      </c>
      <c r="NL215" t="s">
        <v>660</v>
      </c>
      <c r="NM215" t="s">
        <v>876</v>
      </c>
      <c r="NV215" t="s">
        <v>518</v>
      </c>
      <c r="NX215" t="s">
        <v>480</v>
      </c>
      <c r="OB215">
        <v>3</v>
      </c>
      <c r="OC215">
        <v>16.52</v>
      </c>
      <c r="OD215" t="s">
        <v>480</v>
      </c>
      <c r="OE215">
        <v>2.58</v>
      </c>
      <c r="OF215" t="s">
        <v>480</v>
      </c>
      <c r="OM215">
        <v>0.65</v>
      </c>
      <c r="ON215" t="s">
        <v>480</v>
      </c>
      <c r="OO215">
        <v>0.36</v>
      </c>
      <c r="OP215" t="s">
        <v>480</v>
      </c>
      <c r="OS215">
        <v>1.01</v>
      </c>
      <c r="OT215" t="s">
        <v>480</v>
      </c>
      <c r="OU215" t="s">
        <v>898</v>
      </c>
      <c r="OW215">
        <v>2004</v>
      </c>
      <c r="PB215" t="s">
        <v>522</v>
      </c>
      <c r="PC215" s="50">
        <v>46105</v>
      </c>
    </row>
    <row r="216" spans="1:419" ht="15.75" thickBot="1">
      <c r="A216" s="11" t="s">
        <v>861</v>
      </c>
      <c r="B216" t="s">
        <v>862</v>
      </c>
      <c r="C216" s="82" t="s">
        <v>863</v>
      </c>
      <c r="D216" s="4" t="s">
        <v>480</v>
      </c>
      <c r="E216" t="s">
        <v>864</v>
      </c>
      <c r="F216" t="s">
        <v>865</v>
      </c>
      <c r="G216" t="s">
        <v>475</v>
      </c>
      <c r="H216" t="s">
        <v>866</v>
      </c>
      <c r="I216" t="s">
        <v>866</v>
      </c>
      <c r="J216" t="s">
        <v>866</v>
      </c>
      <c r="K216" t="s">
        <v>480</v>
      </c>
      <c r="AV216" t="s">
        <v>867</v>
      </c>
      <c r="AW216" t="s">
        <v>480</v>
      </c>
      <c r="AX216" t="s">
        <v>480</v>
      </c>
      <c r="AY216">
        <v>2</v>
      </c>
      <c r="AZ216" t="s">
        <v>868</v>
      </c>
      <c r="BA216">
        <v>2002</v>
      </c>
      <c r="BB216">
        <v>2005</v>
      </c>
      <c r="BD216" t="s">
        <v>889</v>
      </c>
      <c r="BE216" t="s">
        <v>483</v>
      </c>
      <c r="BF216" s="3" t="s">
        <v>484</v>
      </c>
      <c r="BG216" t="s">
        <v>880</v>
      </c>
      <c r="BH216" t="s">
        <v>881</v>
      </c>
      <c r="BI216" s="4" t="s">
        <v>486</v>
      </c>
      <c r="BJ216" s="9">
        <v>55556</v>
      </c>
      <c r="EG216" s="9"/>
      <c r="EH216" s="9"/>
      <c r="EI216" s="9"/>
      <c r="EJ216" s="9"/>
      <c r="EK216" s="9"/>
      <c r="EL216" s="9"/>
      <c r="EM216" s="9"/>
      <c r="EN216" s="9"/>
      <c r="EO216" s="9"/>
      <c r="EP216" s="9"/>
      <c r="EQ216" s="9"/>
      <c r="ER216" s="9"/>
      <c r="ES216" s="9"/>
      <c r="ET216" s="9"/>
      <c r="EU216" s="9"/>
      <c r="EV216" s="9"/>
      <c r="EW216" s="9"/>
      <c r="EX216" s="9"/>
      <c r="EY216" s="9"/>
      <c r="EZ216" s="9"/>
      <c r="FA216" s="9"/>
      <c r="FB216" s="9"/>
      <c r="FC216" s="9"/>
      <c r="FD216" s="9"/>
      <c r="FE216" s="9"/>
      <c r="FF216" s="9"/>
      <c r="FG216" s="9"/>
      <c r="FH216" s="9"/>
      <c r="FI216" s="9"/>
      <c r="FJ216" s="9"/>
      <c r="FK216" s="9"/>
      <c r="FL216" s="9"/>
      <c r="FM216" s="9"/>
      <c r="FN216" s="9"/>
      <c r="FO216" s="9"/>
      <c r="FP216" s="9"/>
      <c r="FQ216" s="9"/>
      <c r="FR216" s="9"/>
      <c r="FS216" s="9"/>
      <c r="FT216" s="9"/>
      <c r="FU216" s="9"/>
      <c r="FV216" s="9"/>
      <c r="FW216" s="9"/>
      <c r="FX216" s="9"/>
      <c r="FY216" s="9"/>
      <c r="FZ216" s="9"/>
      <c r="GA216" s="9"/>
      <c r="GB216" s="9"/>
      <c r="GC216" s="9"/>
      <c r="GD216" s="9"/>
      <c r="GE216" s="9"/>
      <c r="GF216" s="9"/>
      <c r="GG216" s="9"/>
      <c r="GH216" s="9"/>
      <c r="GI216" s="9"/>
      <c r="GJ216" s="9"/>
      <c r="GK216" s="9"/>
      <c r="GL216" s="9"/>
      <c r="GM216" s="9"/>
      <c r="GN216" s="9"/>
      <c r="GO216" s="9"/>
      <c r="GP216" s="9"/>
      <c r="GQ216" s="9"/>
      <c r="GR216" s="9"/>
      <c r="GS216" s="9"/>
      <c r="GT216" s="9"/>
      <c r="GU216" s="9"/>
      <c r="GV216" s="9"/>
      <c r="GW216" s="9"/>
      <c r="GX216" s="9"/>
      <c r="GY216" s="9"/>
      <c r="GZ216" s="9"/>
      <c r="HA216" s="9"/>
      <c r="HB216" s="9"/>
      <c r="HC216" s="9"/>
      <c r="HD216" s="9"/>
      <c r="HE216" s="9"/>
      <c r="HF216" s="9"/>
      <c r="HG216" s="9"/>
      <c r="HH216" s="9"/>
      <c r="HI216" s="9"/>
      <c r="HJ216" s="9"/>
      <c r="HV216" s="50"/>
      <c r="HW216" s="50"/>
      <c r="IH216" t="s">
        <v>889</v>
      </c>
      <c r="II216" s="13" t="s">
        <v>492</v>
      </c>
      <c r="JJ216" t="s">
        <v>494</v>
      </c>
      <c r="JK216" s="75" t="s">
        <v>494</v>
      </c>
      <c r="JL216" s="8" t="s">
        <v>495</v>
      </c>
      <c r="JP216" t="s">
        <v>508</v>
      </c>
      <c r="JQ216">
        <v>60</v>
      </c>
      <c r="JT216">
        <v>45</v>
      </c>
      <c r="MY216" t="s">
        <v>872</v>
      </c>
      <c r="NC216" t="s">
        <v>883</v>
      </c>
      <c r="NJ216" s="82" t="s">
        <v>890</v>
      </c>
      <c r="NK216" t="s">
        <v>891</v>
      </c>
      <c r="NL216" t="s">
        <v>660</v>
      </c>
      <c r="NM216" t="s">
        <v>876</v>
      </c>
      <c r="NU216" t="s">
        <v>877</v>
      </c>
      <c r="NV216" t="s">
        <v>518</v>
      </c>
      <c r="NX216" t="s">
        <v>480</v>
      </c>
      <c r="OB216">
        <v>3</v>
      </c>
      <c r="OE216">
        <v>9</v>
      </c>
      <c r="OF216" t="s">
        <v>480</v>
      </c>
      <c r="OM216" t="s">
        <v>537</v>
      </c>
      <c r="ON216" t="s">
        <v>537</v>
      </c>
      <c r="OO216" t="s">
        <v>537</v>
      </c>
      <c r="OP216" t="s">
        <v>537</v>
      </c>
      <c r="OS216">
        <v>1</v>
      </c>
      <c r="OT216" t="s">
        <v>480</v>
      </c>
      <c r="OU216" t="s">
        <v>898</v>
      </c>
      <c r="OW216">
        <v>2004</v>
      </c>
      <c r="PB216" t="s">
        <v>522</v>
      </c>
      <c r="PC216" s="50">
        <v>46105</v>
      </c>
    </row>
    <row r="217" spans="1:419" ht="15.75" thickBot="1">
      <c r="A217" s="11" t="s">
        <v>861</v>
      </c>
      <c r="B217" t="s">
        <v>862</v>
      </c>
      <c r="C217" s="82" t="s">
        <v>863</v>
      </c>
      <c r="D217" s="4" t="s">
        <v>480</v>
      </c>
      <c r="E217" t="s">
        <v>864</v>
      </c>
      <c r="F217" t="s">
        <v>865</v>
      </c>
      <c r="G217" t="s">
        <v>475</v>
      </c>
      <c r="H217" t="s">
        <v>866</v>
      </c>
      <c r="I217" t="s">
        <v>866</v>
      </c>
      <c r="J217" t="s">
        <v>866</v>
      </c>
      <c r="K217" t="s">
        <v>480</v>
      </c>
      <c r="AV217" t="s">
        <v>867</v>
      </c>
      <c r="AW217" t="s">
        <v>480</v>
      </c>
      <c r="AX217" t="s">
        <v>480</v>
      </c>
      <c r="AY217">
        <v>2</v>
      </c>
      <c r="AZ217" t="s">
        <v>868</v>
      </c>
      <c r="BA217">
        <v>2002</v>
      </c>
      <c r="BB217">
        <v>2005</v>
      </c>
      <c r="BD217" t="s">
        <v>893</v>
      </c>
      <c r="BE217" t="s">
        <v>607</v>
      </c>
      <c r="BF217" s="3" t="s">
        <v>484</v>
      </c>
      <c r="BG217" t="s">
        <v>870</v>
      </c>
      <c r="BH217" t="s">
        <v>871</v>
      </c>
      <c r="BI217" s="4" t="s">
        <v>486</v>
      </c>
      <c r="BJ217" s="9">
        <v>333333</v>
      </c>
      <c r="BL217" t="s">
        <v>880</v>
      </c>
      <c r="BM217" t="s">
        <v>881</v>
      </c>
      <c r="BN217" s="9">
        <v>55556</v>
      </c>
      <c r="EG217" s="9"/>
      <c r="EH217" s="9"/>
      <c r="EI217" s="9"/>
      <c r="EJ217" s="9"/>
      <c r="EK217" s="9"/>
      <c r="EL217" s="9"/>
      <c r="EM217" s="9"/>
      <c r="EN217" s="9"/>
      <c r="EO217" s="9"/>
      <c r="EP217" s="9"/>
      <c r="EQ217" s="9"/>
      <c r="ER217" s="9"/>
      <c r="ES217" s="9"/>
      <c r="ET217" s="9"/>
      <c r="EU217" s="9"/>
      <c r="EV217" s="9"/>
      <c r="EW217" s="9"/>
      <c r="EX217" s="9"/>
      <c r="EY217" s="9"/>
      <c r="EZ217" s="9"/>
      <c r="FA217" s="9"/>
      <c r="FB217" s="9"/>
      <c r="FC217" s="9"/>
      <c r="FD217" s="9"/>
      <c r="FE217" s="9"/>
      <c r="FF217" s="9"/>
      <c r="FG217" s="9"/>
      <c r="FH217" s="9"/>
      <c r="FI217" s="9"/>
      <c r="FJ217" s="9"/>
      <c r="FK217" s="9"/>
      <c r="FL217" s="9"/>
      <c r="FM217" s="9"/>
      <c r="FN217" s="9"/>
      <c r="FO217" s="9"/>
      <c r="FP217" s="9"/>
      <c r="FQ217" s="9"/>
      <c r="FR217" s="9"/>
      <c r="FS217" s="9"/>
      <c r="FT217" s="9"/>
      <c r="FU217" s="9"/>
      <c r="FV217" s="9"/>
      <c r="FW217" s="9"/>
      <c r="FX217" s="9"/>
      <c r="FY217" s="9"/>
      <c r="FZ217" s="9"/>
      <c r="GA217" s="9"/>
      <c r="GB217" s="9"/>
      <c r="GC217" s="9"/>
      <c r="GD217" s="9"/>
      <c r="GE217" s="9"/>
      <c r="GF217" s="9"/>
      <c r="GG217" s="9"/>
      <c r="GH217" s="9"/>
      <c r="GI217" s="9"/>
      <c r="GJ217" s="9"/>
      <c r="GK217" s="9"/>
      <c r="GL217" s="9"/>
      <c r="GM217" s="9"/>
      <c r="GN217" s="9"/>
      <c r="GO217" s="9"/>
      <c r="GP217" s="9"/>
      <c r="GQ217" s="9"/>
      <c r="GR217" s="9"/>
      <c r="GS217" s="9"/>
      <c r="GT217" s="9"/>
      <c r="GU217" s="9"/>
      <c r="GV217" s="9"/>
      <c r="GW217" s="9"/>
      <c r="GX217" s="9"/>
      <c r="GY217" s="9"/>
      <c r="GZ217" s="9"/>
      <c r="HA217" s="9"/>
      <c r="HB217" s="9"/>
      <c r="HC217" s="9"/>
      <c r="HD217" s="9"/>
      <c r="HE217" s="9"/>
      <c r="HF217" s="9"/>
      <c r="HG217" s="9"/>
      <c r="HH217" s="9"/>
      <c r="HI217" s="9"/>
      <c r="HJ217" s="9"/>
      <c r="HV217" s="50"/>
      <c r="HW217" s="50"/>
      <c r="IH217" t="s">
        <v>879</v>
      </c>
      <c r="II217" s="12" t="s">
        <v>882</v>
      </c>
      <c r="IJ217" t="s">
        <v>542</v>
      </c>
      <c r="IK217" t="s">
        <v>480</v>
      </c>
      <c r="IL217" t="s">
        <v>480</v>
      </c>
      <c r="IM217">
        <v>2002</v>
      </c>
      <c r="IN217" t="s">
        <v>480</v>
      </c>
      <c r="JJ217" t="s">
        <v>494</v>
      </c>
      <c r="JK217" s="75" t="s">
        <v>494</v>
      </c>
      <c r="JL217" s="8" t="s">
        <v>495</v>
      </c>
      <c r="JP217" t="s">
        <v>508</v>
      </c>
      <c r="JQ217">
        <v>60</v>
      </c>
      <c r="JT217">
        <v>45</v>
      </c>
      <c r="MY217" t="s">
        <v>872</v>
      </c>
      <c r="NB217" s="4" t="s">
        <v>873</v>
      </c>
      <c r="NC217" t="s">
        <v>883</v>
      </c>
      <c r="NJ217" s="82" t="s">
        <v>874</v>
      </c>
      <c r="NK217" t="s">
        <v>884</v>
      </c>
      <c r="NL217" t="s">
        <v>660</v>
      </c>
      <c r="NM217" t="s">
        <v>876</v>
      </c>
      <c r="NV217" t="s">
        <v>518</v>
      </c>
      <c r="NX217" t="s">
        <v>480</v>
      </c>
      <c r="OB217">
        <v>3</v>
      </c>
      <c r="OC217">
        <v>10</v>
      </c>
      <c r="OD217" t="s">
        <v>480</v>
      </c>
      <c r="OE217">
        <v>5.2</v>
      </c>
      <c r="OF217" t="s">
        <v>480</v>
      </c>
      <c r="OM217">
        <v>0.5</v>
      </c>
      <c r="OO217">
        <v>0.42</v>
      </c>
      <c r="OS217">
        <v>0.92</v>
      </c>
      <c r="OT217" t="s">
        <v>480</v>
      </c>
      <c r="OU217" t="s">
        <v>898</v>
      </c>
      <c r="OW217">
        <v>2004</v>
      </c>
      <c r="PB217" t="s">
        <v>522</v>
      </c>
      <c r="PC217" s="50">
        <v>46105</v>
      </c>
    </row>
    <row r="218" spans="1:419" ht="15.75" thickBot="1">
      <c r="A218" s="11" t="s">
        <v>861</v>
      </c>
      <c r="B218" t="s">
        <v>862</v>
      </c>
      <c r="C218" s="82" t="s">
        <v>863</v>
      </c>
      <c r="D218" s="4" t="s">
        <v>480</v>
      </c>
      <c r="E218" t="s">
        <v>864</v>
      </c>
      <c r="F218" t="s">
        <v>865</v>
      </c>
      <c r="G218" t="s">
        <v>475</v>
      </c>
      <c r="H218" t="s">
        <v>866</v>
      </c>
      <c r="I218" t="s">
        <v>866</v>
      </c>
      <c r="J218" t="s">
        <v>866</v>
      </c>
      <c r="K218" t="s">
        <v>480</v>
      </c>
      <c r="AV218" t="s">
        <v>867</v>
      </c>
      <c r="AW218" t="s">
        <v>480</v>
      </c>
      <c r="AX218" t="s">
        <v>480</v>
      </c>
      <c r="AY218">
        <v>2</v>
      </c>
      <c r="AZ218" t="s">
        <v>868</v>
      </c>
      <c r="BA218">
        <v>2002</v>
      </c>
      <c r="BB218">
        <v>2005</v>
      </c>
      <c r="BD218" t="s">
        <v>894</v>
      </c>
      <c r="BE218" t="s">
        <v>611</v>
      </c>
      <c r="BF218" s="3" t="s">
        <v>484</v>
      </c>
      <c r="BG218" t="s">
        <v>870</v>
      </c>
      <c r="BH218" t="s">
        <v>871</v>
      </c>
      <c r="BI218" s="4" t="s">
        <v>486</v>
      </c>
      <c r="BJ218" s="9">
        <v>222222</v>
      </c>
      <c r="BL218" t="s">
        <v>880</v>
      </c>
      <c r="BM218" t="s">
        <v>881</v>
      </c>
      <c r="BN218" s="9">
        <v>55556</v>
      </c>
      <c r="EG218" s="9"/>
      <c r="EH218" s="9"/>
      <c r="EI218" s="9"/>
      <c r="EJ218" s="9"/>
      <c r="EK218" s="9"/>
      <c r="EL218" s="9"/>
      <c r="EM218" s="9"/>
      <c r="EN218" s="9"/>
      <c r="EO218" s="9"/>
      <c r="EP218" s="9"/>
      <c r="EQ218" s="9"/>
      <c r="ER218" s="9"/>
      <c r="ES218" s="9"/>
      <c r="ET218" s="9"/>
      <c r="EU218" s="9"/>
      <c r="EV218" s="9"/>
      <c r="EW218" s="9"/>
      <c r="EX218" s="9"/>
      <c r="EY218" s="9"/>
      <c r="EZ218" s="9"/>
      <c r="FA218" s="9"/>
      <c r="FB218" s="9"/>
      <c r="FC218" s="9"/>
      <c r="FD218" s="9"/>
      <c r="FE218" s="9"/>
      <c r="FF218" s="9"/>
      <c r="FG218" s="9"/>
      <c r="FH218" s="9"/>
      <c r="FI218" s="9"/>
      <c r="FJ218" s="9"/>
      <c r="FK218" s="9"/>
      <c r="FL218" s="9"/>
      <c r="FM218" s="9"/>
      <c r="FN218" s="9"/>
      <c r="FO218" s="9"/>
      <c r="FP218" s="9"/>
      <c r="FQ218" s="9"/>
      <c r="FR218" s="9"/>
      <c r="FS218" s="9"/>
      <c r="FT218" s="9"/>
      <c r="FU218" s="9"/>
      <c r="FV218" s="9"/>
      <c r="FW218" s="9"/>
      <c r="FX218" s="9"/>
      <c r="FY218" s="9"/>
      <c r="FZ218" s="9"/>
      <c r="GA218" s="9"/>
      <c r="GB218" s="9"/>
      <c r="GC218" s="9"/>
      <c r="GD218" s="9"/>
      <c r="GE218" s="9"/>
      <c r="GF218" s="9"/>
      <c r="GG218" s="9"/>
      <c r="GH218" s="9"/>
      <c r="GI218" s="9"/>
      <c r="GJ218" s="9"/>
      <c r="GK218" s="9"/>
      <c r="GL218" s="9"/>
      <c r="GM218" s="9"/>
      <c r="GN218" s="9"/>
      <c r="GO218" s="9"/>
      <c r="GP218" s="9"/>
      <c r="GQ218" s="9"/>
      <c r="GR218" s="9"/>
      <c r="GS218" s="9"/>
      <c r="GT218" s="9"/>
      <c r="GU218" s="9"/>
      <c r="GV218" s="9"/>
      <c r="GW218" s="9"/>
      <c r="GX218" s="9"/>
      <c r="GY218" s="9"/>
      <c r="GZ218" s="9"/>
      <c r="HA218" s="9"/>
      <c r="HB218" s="9"/>
      <c r="HC218" s="9"/>
      <c r="HD218" s="9"/>
      <c r="HE218" s="9"/>
      <c r="HF218" s="9"/>
      <c r="HG218" s="9"/>
      <c r="HH218" s="9"/>
      <c r="HI218" s="9"/>
      <c r="HJ218" s="9"/>
      <c r="HV218" s="50"/>
      <c r="HW218" s="50"/>
      <c r="IH218" t="s">
        <v>886</v>
      </c>
      <c r="II218" s="12" t="s">
        <v>882</v>
      </c>
      <c r="IJ218" t="s">
        <v>542</v>
      </c>
      <c r="IK218" t="s">
        <v>480</v>
      </c>
      <c r="IL218" t="s">
        <v>480</v>
      </c>
      <c r="IM218">
        <v>2002</v>
      </c>
      <c r="IN218" t="s">
        <v>480</v>
      </c>
      <c r="JJ218" t="s">
        <v>494</v>
      </c>
      <c r="JK218" s="75" t="s">
        <v>494</v>
      </c>
      <c r="JL218" s="8" t="s">
        <v>495</v>
      </c>
      <c r="JP218" t="s">
        <v>508</v>
      </c>
      <c r="JQ218">
        <v>60</v>
      </c>
      <c r="JT218">
        <v>45</v>
      </c>
      <c r="MY218" t="s">
        <v>872</v>
      </c>
      <c r="NB218" s="4" t="s">
        <v>873</v>
      </c>
      <c r="NC218" t="s">
        <v>883</v>
      </c>
      <c r="NJ218" s="82" t="s">
        <v>874</v>
      </c>
      <c r="NK218" t="s">
        <v>884</v>
      </c>
      <c r="NL218" t="s">
        <v>660</v>
      </c>
      <c r="NM218" t="s">
        <v>876</v>
      </c>
      <c r="NV218" t="s">
        <v>518</v>
      </c>
      <c r="NX218" t="s">
        <v>480</v>
      </c>
      <c r="OB218">
        <v>3</v>
      </c>
      <c r="OC218">
        <v>7.52</v>
      </c>
      <c r="OD218" t="s">
        <v>480</v>
      </c>
      <c r="OE218">
        <v>6.31</v>
      </c>
      <c r="OF218" t="s">
        <v>480</v>
      </c>
      <c r="OM218">
        <v>0.3</v>
      </c>
      <c r="OO218">
        <v>0.74</v>
      </c>
      <c r="OS218">
        <v>1.05</v>
      </c>
      <c r="OT218" t="s">
        <v>480</v>
      </c>
      <c r="OU218" t="s">
        <v>898</v>
      </c>
      <c r="OW218">
        <v>2004</v>
      </c>
      <c r="PB218" t="s">
        <v>522</v>
      </c>
      <c r="PC218" s="50">
        <v>46105</v>
      </c>
    </row>
    <row r="219" spans="1:419" ht="15.75" thickBot="1">
      <c r="A219" s="11" t="s">
        <v>861</v>
      </c>
      <c r="B219" t="s">
        <v>862</v>
      </c>
      <c r="C219" s="82" t="s">
        <v>863</v>
      </c>
      <c r="D219" s="4" t="s">
        <v>480</v>
      </c>
      <c r="E219" t="s">
        <v>864</v>
      </c>
      <c r="F219" t="s">
        <v>865</v>
      </c>
      <c r="G219" t="s">
        <v>475</v>
      </c>
      <c r="H219" t="s">
        <v>866</v>
      </c>
      <c r="I219" t="s">
        <v>866</v>
      </c>
      <c r="J219" t="s">
        <v>866</v>
      </c>
      <c r="K219" t="s">
        <v>480</v>
      </c>
      <c r="AV219" t="s">
        <v>867</v>
      </c>
      <c r="AW219" t="s">
        <v>480</v>
      </c>
      <c r="AX219" t="s">
        <v>480</v>
      </c>
      <c r="AY219">
        <v>2</v>
      </c>
      <c r="AZ219" t="s">
        <v>868</v>
      </c>
      <c r="BA219">
        <v>2002</v>
      </c>
      <c r="BB219">
        <v>2005</v>
      </c>
      <c r="BD219" t="s">
        <v>895</v>
      </c>
      <c r="BE219" t="s">
        <v>615</v>
      </c>
      <c r="BF219" s="3" t="s">
        <v>484</v>
      </c>
      <c r="BG219" t="s">
        <v>870</v>
      </c>
      <c r="BH219" t="s">
        <v>871</v>
      </c>
      <c r="BI219" s="4" t="s">
        <v>486</v>
      </c>
      <c r="BJ219" s="9">
        <v>166667</v>
      </c>
      <c r="BL219" t="s">
        <v>880</v>
      </c>
      <c r="BM219" t="s">
        <v>881</v>
      </c>
      <c r="BN219" s="9">
        <v>55556</v>
      </c>
      <c r="EG219" s="9"/>
      <c r="EH219" s="9"/>
      <c r="EI219" s="9"/>
      <c r="EJ219" s="9"/>
      <c r="EK219" s="9"/>
      <c r="EL219" s="9"/>
      <c r="EM219" s="9"/>
      <c r="EN219" s="9"/>
      <c r="EO219" s="9"/>
      <c r="EP219" s="9"/>
      <c r="EQ219" s="9"/>
      <c r="ER219" s="9"/>
      <c r="ES219" s="9"/>
      <c r="ET219" s="9"/>
      <c r="EU219" s="9"/>
      <c r="EV219" s="9"/>
      <c r="EW219" s="9"/>
      <c r="EX219" s="9"/>
      <c r="EY219" s="9"/>
      <c r="EZ219" s="9"/>
      <c r="FA219" s="9"/>
      <c r="FB219" s="9"/>
      <c r="FC219" s="9"/>
      <c r="FD219" s="9"/>
      <c r="FE219" s="9"/>
      <c r="FF219" s="9"/>
      <c r="FG219" s="9"/>
      <c r="FH219" s="9"/>
      <c r="FI219" s="9"/>
      <c r="FJ219" s="9"/>
      <c r="FK219" s="9"/>
      <c r="FL219" s="9"/>
      <c r="FM219" s="9"/>
      <c r="FN219" s="9"/>
      <c r="FO219" s="9"/>
      <c r="FP219" s="9"/>
      <c r="FQ219" s="9"/>
      <c r="FR219" s="9"/>
      <c r="FS219" s="9"/>
      <c r="FT219" s="9"/>
      <c r="FU219" s="9"/>
      <c r="FV219" s="9"/>
      <c r="FW219" s="9"/>
      <c r="FX219" s="9"/>
      <c r="FY219" s="9"/>
      <c r="FZ219" s="9"/>
      <c r="GA219" s="9"/>
      <c r="GB219" s="9"/>
      <c r="GC219" s="9"/>
      <c r="GD219" s="9"/>
      <c r="GE219" s="9"/>
      <c r="GF219" s="9"/>
      <c r="GG219" s="9"/>
      <c r="GH219" s="9"/>
      <c r="GI219" s="9"/>
      <c r="GJ219" s="9"/>
      <c r="GK219" s="9"/>
      <c r="GL219" s="9"/>
      <c r="GM219" s="9"/>
      <c r="GN219" s="9"/>
      <c r="GO219" s="9"/>
      <c r="GP219" s="9"/>
      <c r="GQ219" s="9"/>
      <c r="GR219" s="9"/>
      <c r="GS219" s="9"/>
      <c r="GT219" s="9"/>
      <c r="GU219" s="9"/>
      <c r="GV219" s="9"/>
      <c r="GW219" s="9"/>
      <c r="GX219" s="9"/>
      <c r="GY219" s="9"/>
      <c r="GZ219" s="9"/>
      <c r="HA219" s="9"/>
      <c r="HB219" s="9"/>
      <c r="HC219" s="9"/>
      <c r="HD219" s="9"/>
      <c r="HE219" s="9"/>
      <c r="HF219" s="9"/>
      <c r="HG219" s="9"/>
      <c r="HH219" s="9"/>
      <c r="HI219" s="9"/>
      <c r="HJ219" s="9"/>
      <c r="HV219" s="50"/>
      <c r="HW219" s="50"/>
      <c r="IH219" t="s">
        <v>887</v>
      </c>
      <c r="II219" s="12" t="s">
        <v>882</v>
      </c>
      <c r="IJ219" t="s">
        <v>542</v>
      </c>
      <c r="IK219" t="s">
        <v>480</v>
      </c>
      <c r="IL219" t="s">
        <v>480</v>
      </c>
      <c r="IM219">
        <v>2002</v>
      </c>
      <c r="IN219" t="s">
        <v>480</v>
      </c>
      <c r="JJ219" t="s">
        <v>494</v>
      </c>
      <c r="JK219" s="75" t="s">
        <v>494</v>
      </c>
      <c r="JL219" s="8" t="s">
        <v>495</v>
      </c>
      <c r="JP219" t="s">
        <v>508</v>
      </c>
      <c r="JQ219">
        <v>60</v>
      </c>
      <c r="JT219">
        <v>45</v>
      </c>
      <c r="MY219" t="s">
        <v>872</v>
      </c>
      <c r="NB219" s="4" t="s">
        <v>873</v>
      </c>
      <c r="NC219" t="s">
        <v>883</v>
      </c>
      <c r="NJ219" s="82" t="s">
        <v>874</v>
      </c>
      <c r="NK219" t="s">
        <v>884</v>
      </c>
      <c r="NL219" t="s">
        <v>660</v>
      </c>
      <c r="NM219" t="s">
        <v>876</v>
      </c>
      <c r="NV219" t="s">
        <v>518</v>
      </c>
      <c r="NX219" t="s">
        <v>480</v>
      </c>
      <c r="OB219">
        <v>3</v>
      </c>
      <c r="OC219">
        <v>7</v>
      </c>
      <c r="OD219" t="s">
        <v>480</v>
      </c>
      <c r="OE219">
        <v>8</v>
      </c>
      <c r="OF219" t="s">
        <v>480</v>
      </c>
      <c r="OM219">
        <v>0.33</v>
      </c>
      <c r="OO219">
        <v>0.85</v>
      </c>
      <c r="OS219">
        <v>1.18</v>
      </c>
      <c r="OT219" t="s">
        <v>480</v>
      </c>
      <c r="OU219" t="s">
        <v>898</v>
      </c>
      <c r="OW219">
        <v>2004</v>
      </c>
      <c r="PB219" t="s">
        <v>522</v>
      </c>
      <c r="PC219" s="50">
        <v>46105</v>
      </c>
    </row>
    <row r="220" spans="1:419" ht="15.75" thickBot="1">
      <c r="A220" s="11" t="s">
        <v>861</v>
      </c>
      <c r="B220" t="s">
        <v>862</v>
      </c>
      <c r="C220" s="82" t="s">
        <v>863</v>
      </c>
      <c r="D220" s="4" t="s">
        <v>480</v>
      </c>
      <c r="E220" t="s">
        <v>864</v>
      </c>
      <c r="F220" t="s">
        <v>865</v>
      </c>
      <c r="G220" t="s">
        <v>475</v>
      </c>
      <c r="H220" t="s">
        <v>866</v>
      </c>
      <c r="I220" t="s">
        <v>866</v>
      </c>
      <c r="J220" t="s">
        <v>866</v>
      </c>
      <c r="K220" t="s">
        <v>480</v>
      </c>
      <c r="AV220" t="s">
        <v>867</v>
      </c>
      <c r="AW220" t="s">
        <v>480</v>
      </c>
      <c r="AX220" t="s">
        <v>480</v>
      </c>
      <c r="AY220">
        <v>2</v>
      </c>
      <c r="AZ220" t="s">
        <v>868</v>
      </c>
      <c r="BA220">
        <v>2002</v>
      </c>
      <c r="BB220">
        <v>2005</v>
      </c>
      <c r="BD220" t="s">
        <v>896</v>
      </c>
      <c r="BE220" t="s">
        <v>617</v>
      </c>
      <c r="BF220" s="3" t="s">
        <v>484</v>
      </c>
      <c r="BG220" t="s">
        <v>870</v>
      </c>
      <c r="BH220" t="s">
        <v>871</v>
      </c>
      <c r="BI220" s="4" t="s">
        <v>486</v>
      </c>
      <c r="BJ220" s="9">
        <v>133333</v>
      </c>
      <c r="BL220" t="s">
        <v>880</v>
      </c>
      <c r="BM220" t="s">
        <v>881</v>
      </c>
      <c r="BN220" s="9">
        <v>55556</v>
      </c>
      <c r="EG220" s="9"/>
      <c r="EH220" s="9"/>
      <c r="EI220" s="9"/>
      <c r="EJ220" s="9"/>
      <c r="EK220" s="9"/>
      <c r="EL220" s="9"/>
      <c r="EM220" s="9"/>
      <c r="EN220" s="9"/>
      <c r="EO220" s="9"/>
      <c r="EP220" s="9"/>
      <c r="EQ220" s="9"/>
      <c r="ER220" s="9"/>
      <c r="ES220" s="9"/>
      <c r="ET220" s="9"/>
      <c r="EU220" s="9"/>
      <c r="EV220" s="9"/>
      <c r="EW220" s="9"/>
      <c r="EX220" s="9"/>
      <c r="EY220" s="9"/>
      <c r="EZ220" s="9"/>
      <c r="FA220" s="9"/>
      <c r="FB220" s="9"/>
      <c r="FC220" s="9"/>
      <c r="FD220" s="9"/>
      <c r="FE220" s="9"/>
      <c r="FF220" s="9"/>
      <c r="FG220" s="9"/>
      <c r="FH220" s="9"/>
      <c r="FI220" s="9"/>
      <c r="FJ220" s="9"/>
      <c r="FK220" s="9"/>
      <c r="FL220" s="9"/>
      <c r="FM220" s="9"/>
      <c r="FN220" s="9"/>
      <c r="FO220" s="9"/>
      <c r="FP220" s="9"/>
      <c r="FQ220" s="9"/>
      <c r="FR220" s="9"/>
      <c r="FS220" s="9"/>
      <c r="FT220" s="9"/>
      <c r="FU220" s="9"/>
      <c r="FV220" s="9"/>
      <c r="FW220" s="9"/>
      <c r="FX220" s="9"/>
      <c r="FY220" s="9"/>
      <c r="FZ220" s="9"/>
      <c r="GA220" s="9"/>
      <c r="GB220" s="9"/>
      <c r="GC220" s="9"/>
      <c r="GD220" s="9"/>
      <c r="GE220" s="9"/>
      <c r="GF220" s="9"/>
      <c r="GG220" s="9"/>
      <c r="GH220" s="9"/>
      <c r="GI220" s="9"/>
      <c r="GJ220" s="9"/>
      <c r="GK220" s="9"/>
      <c r="GL220" s="9"/>
      <c r="GM220" s="9"/>
      <c r="GN220" s="9"/>
      <c r="GO220" s="9"/>
      <c r="GP220" s="9"/>
      <c r="GQ220" s="9"/>
      <c r="GR220" s="9"/>
      <c r="GS220" s="9"/>
      <c r="GT220" s="9"/>
      <c r="GU220" s="9"/>
      <c r="GV220" s="9"/>
      <c r="GW220" s="9"/>
      <c r="GX220" s="9"/>
      <c r="GY220" s="9"/>
      <c r="GZ220" s="9"/>
      <c r="HA220" s="9"/>
      <c r="HB220" s="9"/>
      <c r="HC220" s="9"/>
      <c r="HD220" s="9"/>
      <c r="HE220" s="9"/>
      <c r="HF220" s="9"/>
      <c r="HG220" s="9"/>
      <c r="HH220" s="9"/>
      <c r="HI220" s="9"/>
      <c r="HJ220" s="9"/>
      <c r="HV220" s="50"/>
      <c r="HW220" s="50"/>
      <c r="IH220" t="s">
        <v>888</v>
      </c>
      <c r="II220" s="12" t="s">
        <v>882</v>
      </c>
      <c r="IJ220" t="s">
        <v>542</v>
      </c>
      <c r="IK220" t="s">
        <v>480</v>
      </c>
      <c r="IL220" t="s">
        <v>480</v>
      </c>
      <c r="IM220">
        <v>2002</v>
      </c>
      <c r="IN220" t="s">
        <v>480</v>
      </c>
      <c r="JJ220" t="s">
        <v>494</v>
      </c>
      <c r="JK220" s="75" t="s">
        <v>494</v>
      </c>
      <c r="JL220" s="8" t="s">
        <v>495</v>
      </c>
      <c r="JP220" t="s">
        <v>508</v>
      </c>
      <c r="JQ220">
        <v>60</v>
      </c>
      <c r="JT220">
        <v>45</v>
      </c>
      <c r="MY220" t="s">
        <v>872</v>
      </c>
      <c r="NB220" s="4" t="s">
        <v>873</v>
      </c>
      <c r="NC220" t="s">
        <v>883</v>
      </c>
      <c r="NJ220" s="82" t="s">
        <v>874</v>
      </c>
      <c r="NK220" t="s">
        <v>884</v>
      </c>
      <c r="NL220" t="s">
        <v>660</v>
      </c>
      <c r="NM220" t="s">
        <v>876</v>
      </c>
      <c r="NV220" t="s">
        <v>518</v>
      </c>
      <c r="NX220" t="s">
        <v>480</v>
      </c>
      <c r="OB220">
        <v>3</v>
      </c>
      <c r="OC220">
        <v>3.91</v>
      </c>
      <c r="OD220" t="s">
        <v>480</v>
      </c>
      <c r="OE220">
        <v>6</v>
      </c>
      <c r="OF220" t="s">
        <v>480</v>
      </c>
      <c r="OM220">
        <v>0.2</v>
      </c>
      <c r="OO220">
        <v>0.65</v>
      </c>
      <c r="OS220">
        <v>0.85</v>
      </c>
      <c r="OT220" t="s">
        <v>480</v>
      </c>
      <c r="OU220" t="s">
        <v>898</v>
      </c>
      <c r="OW220">
        <v>2004</v>
      </c>
      <c r="PB220" t="s">
        <v>522</v>
      </c>
      <c r="PC220" s="50">
        <v>46105</v>
      </c>
    </row>
    <row r="221" spans="1:419" ht="15.75" thickBot="1">
      <c r="A221" t="s">
        <v>469</v>
      </c>
      <c r="B221" t="s">
        <v>899</v>
      </c>
      <c r="C221" t="s">
        <v>900</v>
      </c>
      <c r="D221" s="59" t="s">
        <v>472</v>
      </c>
      <c r="E221" t="s">
        <v>901</v>
      </c>
      <c r="F221" s="4" t="s">
        <v>902</v>
      </c>
      <c r="G221" t="s">
        <v>475</v>
      </c>
      <c r="H221" t="s">
        <v>476</v>
      </c>
      <c r="I221">
        <v>7.971944444</v>
      </c>
      <c r="J221">
        <v>38.633055560000003</v>
      </c>
      <c r="K221">
        <v>200</v>
      </c>
      <c r="AV221" t="s">
        <v>903</v>
      </c>
      <c r="AW221">
        <v>420</v>
      </c>
      <c r="AX221">
        <v>2.5</v>
      </c>
      <c r="AY221">
        <v>1</v>
      </c>
      <c r="AZ221" t="s">
        <v>904</v>
      </c>
      <c r="BA221">
        <v>2015</v>
      </c>
      <c r="BB221">
        <v>2016</v>
      </c>
      <c r="BD221" t="s">
        <v>905</v>
      </c>
      <c r="BE221" t="s">
        <v>524</v>
      </c>
      <c r="BF221" s="3" t="s">
        <v>484</v>
      </c>
      <c r="BG221" t="s">
        <v>485</v>
      </c>
      <c r="BH221" t="s">
        <v>480</v>
      </c>
      <c r="BI221" s="4" t="s">
        <v>486</v>
      </c>
      <c r="BJ221">
        <v>53333</v>
      </c>
      <c r="IH221" t="s">
        <v>491</v>
      </c>
      <c r="II221" t="s">
        <v>492</v>
      </c>
      <c r="JJ221" t="s">
        <v>906</v>
      </c>
      <c r="JK221" s="75" t="s">
        <v>907</v>
      </c>
      <c r="JL221" s="8" t="s">
        <v>495</v>
      </c>
      <c r="JM221" s="8" t="s">
        <v>908</v>
      </c>
      <c r="JN221" s="4" t="s">
        <v>497</v>
      </c>
      <c r="JO221" t="s">
        <v>909</v>
      </c>
      <c r="MY221" t="s">
        <v>910</v>
      </c>
      <c r="MZ221">
        <v>70</v>
      </c>
      <c r="NA221" t="s">
        <v>911</v>
      </c>
      <c r="NB221" t="s">
        <v>548</v>
      </c>
      <c r="NC221" s="4" t="s">
        <v>511</v>
      </c>
      <c r="NI221" t="s">
        <v>912</v>
      </c>
      <c r="NJ221" t="s">
        <v>913</v>
      </c>
      <c r="NK221" t="s">
        <v>914</v>
      </c>
      <c r="NL221" s="4" t="s">
        <v>515</v>
      </c>
      <c r="NM221" s="6" t="s">
        <v>516</v>
      </c>
      <c r="NU221" t="s">
        <v>915</v>
      </c>
      <c r="NV221" t="s">
        <v>518</v>
      </c>
      <c r="NW221">
        <v>2128</v>
      </c>
      <c r="NX221" s="4" t="s">
        <v>916</v>
      </c>
      <c r="NY221">
        <v>365</v>
      </c>
      <c r="OB221" s="15">
        <v>3</v>
      </c>
      <c r="OU221" t="s">
        <v>917</v>
      </c>
      <c r="OV221" t="s">
        <v>518</v>
      </c>
      <c r="OX221">
        <v>2015</v>
      </c>
      <c r="OY221">
        <v>2016</v>
      </c>
      <c r="PB221" t="s">
        <v>522</v>
      </c>
      <c r="PC221" s="50">
        <v>46104</v>
      </c>
    </row>
    <row r="222" spans="1:419" ht="15.75" thickBot="1">
      <c r="A222" t="s">
        <v>469</v>
      </c>
      <c r="B222" t="s">
        <v>899</v>
      </c>
      <c r="C222" t="s">
        <v>900</v>
      </c>
      <c r="D222" s="59" t="s">
        <v>472</v>
      </c>
      <c r="E222" t="s">
        <v>901</v>
      </c>
      <c r="F222" s="4" t="s">
        <v>902</v>
      </c>
      <c r="G222" t="s">
        <v>475</v>
      </c>
      <c r="H222" t="s">
        <v>476</v>
      </c>
      <c r="I222">
        <v>7.971944444</v>
      </c>
      <c r="J222">
        <v>38.633055560000003</v>
      </c>
      <c r="K222">
        <v>200</v>
      </c>
      <c r="AV222" t="s">
        <v>903</v>
      </c>
      <c r="AW222">
        <v>420</v>
      </c>
      <c r="AX222">
        <v>2.5</v>
      </c>
      <c r="AY222">
        <v>1</v>
      </c>
      <c r="AZ222" t="s">
        <v>904</v>
      </c>
      <c r="BA222">
        <v>2015</v>
      </c>
      <c r="BB222">
        <v>2016</v>
      </c>
      <c r="BD222" t="s">
        <v>918</v>
      </c>
      <c r="BE222" t="s">
        <v>483</v>
      </c>
      <c r="BF222" s="3" t="s">
        <v>484</v>
      </c>
      <c r="BG222" t="s">
        <v>485</v>
      </c>
      <c r="BH222" t="s">
        <v>480</v>
      </c>
      <c r="BI222" t="s">
        <v>486</v>
      </c>
      <c r="BJ222">
        <v>53333</v>
      </c>
      <c r="IH222" t="s">
        <v>491</v>
      </c>
      <c r="II222" t="s">
        <v>492</v>
      </c>
      <c r="JJ222" t="s">
        <v>919</v>
      </c>
      <c r="JK222" s="46" t="s">
        <v>920</v>
      </c>
      <c r="JL222" s="8" t="s">
        <v>495</v>
      </c>
      <c r="JM222" s="8" t="s">
        <v>908</v>
      </c>
      <c r="JN222" s="4" t="s">
        <v>497</v>
      </c>
      <c r="JO222" t="s">
        <v>921</v>
      </c>
      <c r="MY222" t="s">
        <v>910</v>
      </c>
      <c r="MZ222">
        <v>70</v>
      </c>
      <c r="NA222" t="s">
        <v>911</v>
      </c>
      <c r="NB222" t="s">
        <v>548</v>
      </c>
      <c r="NC222" s="4" t="s">
        <v>511</v>
      </c>
      <c r="NI222" t="s">
        <v>912</v>
      </c>
      <c r="NJ222" t="s">
        <v>913</v>
      </c>
      <c r="NK222" t="s">
        <v>914</v>
      </c>
      <c r="NL222" s="4" t="s">
        <v>515</v>
      </c>
      <c r="NM222" s="6" t="s">
        <v>516</v>
      </c>
      <c r="NU222" t="s">
        <v>657</v>
      </c>
      <c r="NV222" t="s">
        <v>518</v>
      </c>
      <c r="NW222">
        <v>3116</v>
      </c>
      <c r="NX222" s="4" t="s">
        <v>916</v>
      </c>
      <c r="NY222">
        <v>107</v>
      </c>
      <c r="OB222" s="15">
        <v>3</v>
      </c>
      <c r="OU222" t="s">
        <v>917</v>
      </c>
      <c r="OV222" t="s">
        <v>518</v>
      </c>
      <c r="OX222">
        <v>2015</v>
      </c>
      <c r="OY222">
        <v>2016</v>
      </c>
      <c r="PB222" t="s">
        <v>522</v>
      </c>
      <c r="PC222" s="50">
        <v>46104</v>
      </c>
    </row>
    <row r="223" spans="1:419" ht="15.75" thickBot="1">
      <c r="A223" t="s">
        <v>469</v>
      </c>
      <c r="B223" t="s">
        <v>899</v>
      </c>
      <c r="C223" t="s">
        <v>900</v>
      </c>
      <c r="D223" s="59" t="s">
        <v>472</v>
      </c>
      <c r="E223" t="s">
        <v>901</v>
      </c>
      <c r="F223" s="4" t="s">
        <v>902</v>
      </c>
      <c r="G223" t="s">
        <v>475</v>
      </c>
      <c r="H223" t="s">
        <v>476</v>
      </c>
      <c r="I223">
        <v>7.971944444</v>
      </c>
      <c r="J223">
        <v>38.633055560000003</v>
      </c>
      <c r="K223">
        <v>200</v>
      </c>
      <c r="AV223" t="s">
        <v>903</v>
      </c>
      <c r="AW223">
        <v>420</v>
      </c>
      <c r="AX223">
        <v>2.5</v>
      </c>
      <c r="AY223">
        <v>1</v>
      </c>
      <c r="AZ223" t="s">
        <v>904</v>
      </c>
      <c r="BA223">
        <v>2015</v>
      </c>
      <c r="BB223">
        <v>2016</v>
      </c>
      <c r="BD223" t="s">
        <v>922</v>
      </c>
      <c r="BE223" t="s">
        <v>593</v>
      </c>
      <c r="BF223" s="3" t="s">
        <v>484</v>
      </c>
      <c r="BG223" t="s">
        <v>485</v>
      </c>
      <c r="BH223" t="s">
        <v>480</v>
      </c>
      <c r="BI223" t="s">
        <v>486</v>
      </c>
      <c r="BJ223">
        <v>53333</v>
      </c>
      <c r="HQ223" t="s">
        <v>923</v>
      </c>
      <c r="IH223" t="s">
        <v>491</v>
      </c>
      <c r="II223" t="s">
        <v>492</v>
      </c>
      <c r="JJ223" t="s">
        <v>924</v>
      </c>
      <c r="JK223" s="75" t="s">
        <v>907</v>
      </c>
      <c r="JL223" t="s">
        <v>495</v>
      </c>
      <c r="JM223" t="s">
        <v>908</v>
      </c>
      <c r="JN223" s="4" t="s">
        <v>497</v>
      </c>
      <c r="JO223" t="s">
        <v>909</v>
      </c>
      <c r="KV223" t="s">
        <v>925</v>
      </c>
      <c r="MY223" t="s">
        <v>910</v>
      </c>
      <c r="MZ223">
        <v>70</v>
      </c>
      <c r="NA223" t="s">
        <v>911</v>
      </c>
      <c r="NB223" t="s">
        <v>548</v>
      </c>
      <c r="NC223" s="4" t="s">
        <v>511</v>
      </c>
      <c r="NI223" t="s">
        <v>912</v>
      </c>
      <c r="NJ223" t="s">
        <v>913</v>
      </c>
      <c r="NK223" t="s">
        <v>914</v>
      </c>
      <c r="NL223" s="4" t="s">
        <v>515</v>
      </c>
      <c r="NM223" s="6" t="s">
        <v>516</v>
      </c>
      <c r="NU223" t="s">
        <v>915</v>
      </c>
      <c r="NV223" t="s">
        <v>518</v>
      </c>
      <c r="NW223">
        <v>2713</v>
      </c>
      <c r="NX223" s="4" t="s">
        <v>916</v>
      </c>
      <c r="NY223">
        <v>289</v>
      </c>
      <c r="OB223" s="15">
        <v>3</v>
      </c>
      <c r="OU223" t="s">
        <v>917</v>
      </c>
      <c r="OV223" t="s">
        <v>518</v>
      </c>
      <c r="OX223">
        <v>2015</v>
      </c>
      <c r="OY223">
        <v>2016</v>
      </c>
      <c r="PB223" t="s">
        <v>522</v>
      </c>
      <c r="PC223" s="50">
        <v>46104</v>
      </c>
    </row>
    <row r="224" spans="1:419" ht="15.75" thickBot="1">
      <c r="A224" t="s">
        <v>469</v>
      </c>
      <c r="B224" t="s">
        <v>899</v>
      </c>
      <c r="C224" t="s">
        <v>900</v>
      </c>
      <c r="D224" s="59" t="s">
        <v>472</v>
      </c>
      <c r="E224" t="s">
        <v>901</v>
      </c>
      <c r="F224" s="4" t="s">
        <v>902</v>
      </c>
      <c r="G224" t="s">
        <v>475</v>
      </c>
      <c r="H224" t="s">
        <v>476</v>
      </c>
      <c r="I224">
        <v>7.971944444</v>
      </c>
      <c r="J224">
        <v>38.633055560000003</v>
      </c>
      <c r="K224">
        <v>200</v>
      </c>
      <c r="AV224" t="s">
        <v>903</v>
      </c>
      <c r="AW224">
        <v>420</v>
      </c>
      <c r="AX224">
        <v>2.5</v>
      </c>
      <c r="AY224">
        <v>1</v>
      </c>
      <c r="AZ224" t="s">
        <v>904</v>
      </c>
      <c r="BA224">
        <v>2015</v>
      </c>
      <c r="BB224">
        <v>2016</v>
      </c>
      <c r="BD224" t="s">
        <v>926</v>
      </c>
      <c r="BE224" t="s">
        <v>536</v>
      </c>
      <c r="BF224" s="3" t="s">
        <v>484</v>
      </c>
      <c r="BG224" t="s">
        <v>485</v>
      </c>
      <c r="BH224" t="s">
        <v>480</v>
      </c>
      <c r="BI224" t="s">
        <v>486</v>
      </c>
      <c r="BJ224">
        <v>53333</v>
      </c>
      <c r="BK224" t="s">
        <v>537</v>
      </c>
      <c r="BL224" t="s">
        <v>927</v>
      </c>
      <c r="BM224" t="s">
        <v>480</v>
      </c>
      <c r="BN224" t="s">
        <v>486</v>
      </c>
      <c r="BO224">
        <v>266666</v>
      </c>
      <c r="EG224" s="9"/>
      <c r="EH224" s="9"/>
      <c r="EI224" s="9"/>
      <c r="EJ224" s="9"/>
      <c r="EK224" s="9"/>
      <c r="EL224" s="9"/>
      <c r="EM224" s="9"/>
      <c r="EN224" s="9"/>
      <c r="EO224" s="9"/>
      <c r="EP224" s="9"/>
      <c r="EQ224" s="9"/>
      <c r="ER224" s="9"/>
      <c r="ES224" s="9"/>
      <c r="ET224" s="9"/>
      <c r="EU224" s="9"/>
      <c r="EV224" s="9"/>
      <c r="EW224" s="9"/>
      <c r="EX224" s="9"/>
      <c r="EY224" s="9"/>
      <c r="EZ224" s="9"/>
      <c r="FA224" s="9"/>
      <c r="FB224" s="9"/>
      <c r="FC224" s="9"/>
      <c r="FD224" s="9"/>
      <c r="FE224" s="9"/>
      <c r="FF224" s="9"/>
      <c r="FG224" s="9"/>
      <c r="FH224" s="9"/>
      <c r="FI224" s="9"/>
      <c r="FJ224" s="9"/>
      <c r="FK224" s="9"/>
      <c r="FL224" s="9"/>
      <c r="FM224" s="9"/>
      <c r="FN224" s="9"/>
      <c r="FO224" s="9"/>
      <c r="FP224" s="9"/>
      <c r="FQ224" s="9"/>
      <c r="FR224" s="9"/>
      <c r="FS224" s="9"/>
      <c r="FT224" s="9"/>
      <c r="FU224" s="9"/>
      <c r="FV224" s="9"/>
      <c r="FW224" s="9"/>
      <c r="FX224" s="9"/>
      <c r="FY224" s="9"/>
      <c r="FZ224" s="9"/>
      <c r="GA224" s="9"/>
      <c r="GB224" s="9"/>
      <c r="GC224" s="9"/>
      <c r="GD224" s="9"/>
      <c r="GE224" s="9"/>
      <c r="GF224" s="9"/>
      <c r="GG224" s="9"/>
      <c r="GH224" s="9"/>
      <c r="GI224" s="9"/>
      <c r="GJ224" s="9"/>
      <c r="GK224" s="9"/>
      <c r="GL224" s="9"/>
      <c r="GM224" s="9"/>
      <c r="GN224" s="9"/>
      <c r="GO224" s="9"/>
      <c r="GP224" s="9"/>
      <c r="GQ224" s="9"/>
      <c r="GR224" s="9"/>
      <c r="GS224" s="9"/>
      <c r="GT224" s="9"/>
      <c r="GU224" s="9"/>
      <c r="GV224" s="9"/>
      <c r="GW224" s="9"/>
      <c r="GX224" s="9"/>
      <c r="GY224" s="9"/>
      <c r="GZ224" s="9"/>
      <c r="HA224" s="9"/>
      <c r="HB224" s="9"/>
      <c r="HC224" s="9"/>
      <c r="HD224" s="9"/>
      <c r="HE224" s="9"/>
      <c r="HF224" s="9"/>
      <c r="HG224" s="9"/>
      <c r="HH224" s="9"/>
      <c r="HI224" s="9"/>
      <c r="HJ224" s="9"/>
      <c r="HV224" s="50"/>
      <c r="HW224" s="50"/>
      <c r="IH224" t="s">
        <v>928</v>
      </c>
      <c r="II224" s="75" t="s">
        <v>929</v>
      </c>
      <c r="IJ224" t="s">
        <v>542</v>
      </c>
      <c r="IK224" t="s">
        <v>543</v>
      </c>
      <c r="IL224" t="s">
        <v>480</v>
      </c>
      <c r="IM224" t="s">
        <v>480</v>
      </c>
      <c r="IN224" t="s">
        <v>480</v>
      </c>
      <c r="JJ224" t="s">
        <v>930</v>
      </c>
      <c r="JK224" t="s">
        <v>920</v>
      </c>
      <c r="JL224" t="s">
        <v>495</v>
      </c>
      <c r="JM224" t="s">
        <v>908</v>
      </c>
      <c r="JN224" s="4" t="s">
        <v>497</v>
      </c>
      <c r="JO224" t="s">
        <v>921</v>
      </c>
      <c r="MY224" t="s">
        <v>910</v>
      </c>
      <c r="MZ224">
        <v>70</v>
      </c>
      <c r="NA224" t="s">
        <v>911</v>
      </c>
      <c r="NB224" t="s">
        <v>548</v>
      </c>
      <c r="NC224" s="4" t="s">
        <v>511</v>
      </c>
      <c r="ND224" t="s">
        <v>927</v>
      </c>
      <c r="NI224" t="s">
        <v>912</v>
      </c>
      <c r="NJ224" t="s">
        <v>913</v>
      </c>
      <c r="NK224" t="s">
        <v>914</v>
      </c>
      <c r="NL224" s="4" t="s">
        <v>515</v>
      </c>
      <c r="NM224" s="6" t="s">
        <v>516</v>
      </c>
      <c r="NV224" t="s">
        <v>518</v>
      </c>
      <c r="NW224">
        <v>3825</v>
      </c>
      <c r="NX224" s="4" t="s">
        <v>916</v>
      </c>
      <c r="NY224">
        <v>567</v>
      </c>
      <c r="OB224" s="15">
        <v>3</v>
      </c>
      <c r="OU224" t="s">
        <v>917</v>
      </c>
      <c r="OV224" t="s">
        <v>518</v>
      </c>
      <c r="OX224">
        <v>2015</v>
      </c>
      <c r="OY224">
        <v>2016</v>
      </c>
      <c r="PB224" t="s">
        <v>522</v>
      </c>
      <c r="PC224" s="50">
        <v>46104</v>
      </c>
    </row>
    <row r="225" spans="1:419" ht="15.75" thickBot="1">
      <c r="A225" t="s">
        <v>469</v>
      </c>
      <c r="B225" t="s">
        <v>899</v>
      </c>
      <c r="C225" t="s">
        <v>900</v>
      </c>
      <c r="D225" s="59" t="s">
        <v>472</v>
      </c>
      <c r="E225" t="s">
        <v>901</v>
      </c>
      <c r="F225" s="4" t="s">
        <v>902</v>
      </c>
      <c r="G225" t="s">
        <v>475</v>
      </c>
      <c r="H225" t="s">
        <v>476</v>
      </c>
      <c r="I225">
        <v>7.971944444</v>
      </c>
      <c r="J225">
        <v>38.633055560000003</v>
      </c>
      <c r="K225">
        <v>200</v>
      </c>
      <c r="AV225" t="s">
        <v>903</v>
      </c>
      <c r="AW225">
        <v>420</v>
      </c>
      <c r="AX225">
        <v>2.5</v>
      </c>
      <c r="AY225">
        <v>1</v>
      </c>
      <c r="AZ225" t="s">
        <v>904</v>
      </c>
      <c r="BA225">
        <v>2015</v>
      </c>
      <c r="BB225">
        <v>2016</v>
      </c>
      <c r="BD225" t="s">
        <v>931</v>
      </c>
      <c r="BE225" t="s">
        <v>566</v>
      </c>
      <c r="BF225" s="3" t="s">
        <v>484</v>
      </c>
      <c r="BG225" t="s">
        <v>485</v>
      </c>
      <c r="BH225" t="s">
        <v>480</v>
      </c>
      <c r="BI225" t="s">
        <v>486</v>
      </c>
      <c r="BJ225">
        <v>53333</v>
      </c>
      <c r="BK225" t="s">
        <v>537</v>
      </c>
      <c r="BL225" t="s">
        <v>932</v>
      </c>
      <c r="BM225" t="s">
        <v>480</v>
      </c>
      <c r="BN225" t="s">
        <v>486</v>
      </c>
      <c r="BO225">
        <v>66666</v>
      </c>
      <c r="EG225" s="9"/>
      <c r="EH225" s="9"/>
      <c r="EI225" s="9"/>
      <c r="EJ225" s="9"/>
      <c r="EK225" s="9"/>
      <c r="EL225" s="9"/>
      <c r="EM225" s="9"/>
      <c r="EN225" s="9"/>
      <c r="EO225" s="9"/>
      <c r="EP225" s="9"/>
      <c r="EQ225" s="9"/>
      <c r="ER225" s="9"/>
      <c r="ES225" s="9"/>
      <c r="ET225" s="9"/>
      <c r="EU225" s="9"/>
      <c r="EV225" s="9"/>
      <c r="EW225" s="9"/>
      <c r="EX225" s="9"/>
      <c r="EY225" s="9"/>
      <c r="EZ225" s="9"/>
      <c r="FA225" s="9"/>
      <c r="FB225" s="9"/>
      <c r="FC225" s="9"/>
      <c r="FD225" s="9"/>
      <c r="FE225" s="9"/>
      <c r="FF225" s="9"/>
      <c r="FG225" s="9"/>
      <c r="FH225" s="9"/>
      <c r="FI225" s="9"/>
      <c r="FJ225" s="9"/>
      <c r="FK225" s="9"/>
      <c r="FL225" s="9"/>
      <c r="FM225" s="9"/>
      <c r="FN225" s="9"/>
      <c r="FO225" s="9"/>
      <c r="FP225" s="9"/>
      <c r="FQ225" s="9"/>
      <c r="FR225" s="9"/>
      <c r="FS225" s="9"/>
      <c r="FT225" s="9"/>
      <c r="FU225" s="9"/>
      <c r="FV225" s="9"/>
      <c r="FW225" s="9"/>
      <c r="FX225" s="9"/>
      <c r="FY225" s="9"/>
      <c r="FZ225" s="9"/>
      <c r="GA225" s="9"/>
      <c r="GB225" s="9"/>
      <c r="GC225" s="9"/>
      <c r="GD225" s="9"/>
      <c r="GE225" s="9"/>
      <c r="GF225" s="9"/>
      <c r="GG225" s="9"/>
      <c r="GH225" s="9"/>
      <c r="GI225" s="9"/>
      <c r="GJ225" s="9"/>
      <c r="GK225" s="9"/>
      <c r="GL225" s="9"/>
      <c r="GM225" s="9"/>
      <c r="GN225" s="9"/>
      <c r="GO225" s="9"/>
      <c r="GP225" s="9"/>
      <c r="GQ225" s="9"/>
      <c r="GR225" s="9"/>
      <c r="GS225" s="9"/>
      <c r="GT225" s="9"/>
      <c r="GU225" s="9"/>
      <c r="GV225" s="9"/>
      <c r="GW225" s="9"/>
      <c r="GX225" s="9"/>
      <c r="GY225" s="9"/>
      <c r="GZ225" s="9"/>
      <c r="HA225" s="9"/>
      <c r="HB225" s="9"/>
      <c r="HC225" s="9"/>
      <c r="HD225" s="9"/>
      <c r="HE225" s="9"/>
      <c r="HF225" s="9"/>
      <c r="HG225" s="9"/>
      <c r="HH225" s="9"/>
      <c r="HI225" s="9"/>
      <c r="HJ225" s="9"/>
      <c r="HV225" s="50"/>
      <c r="HW225" s="50"/>
      <c r="IH225" t="s">
        <v>933</v>
      </c>
      <c r="II225" s="75" t="s">
        <v>929</v>
      </c>
      <c r="IJ225" t="s">
        <v>542</v>
      </c>
      <c r="IK225" t="s">
        <v>543</v>
      </c>
      <c r="IL225" t="s">
        <v>480</v>
      </c>
      <c r="IM225" t="s">
        <v>480</v>
      </c>
      <c r="IN225" t="s">
        <v>480</v>
      </c>
      <c r="JJ225" t="s">
        <v>934</v>
      </c>
      <c r="JK225" t="s">
        <v>920</v>
      </c>
      <c r="JL225" t="s">
        <v>495</v>
      </c>
      <c r="JM225" t="s">
        <v>908</v>
      </c>
      <c r="JN225" s="4" t="s">
        <v>497</v>
      </c>
      <c r="JO225" t="s">
        <v>921</v>
      </c>
      <c r="MY225" t="s">
        <v>910</v>
      </c>
      <c r="MZ225">
        <v>70</v>
      </c>
      <c r="NA225" t="s">
        <v>911</v>
      </c>
      <c r="NB225" t="s">
        <v>548</v>
      </c>
      <c r="NC225" s="4" t="s">
        <v>511</v>
      </c>
      <c r="ND225" t="s">
        <v>935</v>
      </c>
      <c r="NI225" t="s">
        <v>912</v>
      </c>
      <c r="NJ225" t="s">
        <v>913</v>
      </c>
      <c r="NK225" t="s">
        <v>914</v>
      </c>
      <c r="NL225" s="4" t="s">
        <v>515</v>
      </c>
      <c r="NM225" s="6" t="s">
        <v>516</v>
      </c>
      <c r="NV225" t="s">
        <v>518</v>
      </c>
      <c r="NW225">
        <v>3563</v>
      </c>
      <c r="NX225" t="s">
        <v>916</v>
      </c>
      <c r="NY225">
        <v>549</v>
      </c>
      <c r="OB225" s="15">
        <v>3</v>
      </c>
      <c r="OU225" t="s">
        <v>917</v>
      </c>
      <c r="OV225" t="s">
        <v>518</v>
      </c>
      <c r="OX225">
        <v>2015</v>
      </c>
      <c r="OY225">
        <v>2016</v>
      </c>
      <c r="PB225" t="s">
        <v>522</v>
      </c>
      <c r="PC225" s="50">
        <v>46104</v>
      </c>
    </row>
    <row r="226" spans="1:419" ht="15.75" thickBot="1">
      <c r="A226" t="s">
        <v>469</v>
      </c>
      <c r="B226" t="s">
        <v>899</v>
      </c>
      <c r="C226" t="s">
        <v>900</v>
      </c>
      <c r="D226" s="59" t="s">
        <v>472</v>
      </c>
      <c r="E226" t="s">
        <v>901</v>
      </c>
      <c r="F226" s="4" t="s">
        <v>902</v>
      </c>
      <c r="G226" t="s">
        <v>475</v>
      </c>
      <c r="H226" t="s">
        <v>476</v>
      </c>
      <c r="I226">
        <v>7.971944444</v>
      </c>
      <c r="J226">
        <v>38.633055560000003</v>
      </c>
      <c r="K226">
        <v>200</v>
      </c>
      <c r="AV226" t="s">
        <v>903</v>
      </c>
      <c r="AW226">
        <v>420</v>
      </c>
      <c r="AX226">
        <v>2.5</v>
      </c>
      <c r="AY226">
        <v>1</v>
      </c>
      <c r="AZ226" t="s">
        <v>904</v>
      </c>
      <c r="BA226">
        <v>2015</v>
      </c>
      <c r="BB226">
        <v>2016</v>
      </c>
      <c r="BD226" t="s">
        <v>936</v>
      </c>
      <c r="BE226" t="s">
        <v>602</v>
      </c>
      <c r="BF226" s="3" t="s">
        <v>484</v>
      </c>
      <c r="BG226" t="s">
        <v>485</v>
      </c>
      <c r="BH226" t="s">
        <v>480</v>
      </c>
      <c r="BI226" t="s">
        <v>486</v>
      </c>
      <c r="BJ226">
        <v>53333</v>
      </c>
      <c r="HQ226" t="s">
        <v>923</v>
      </c>
      <c r="IH226" t="s">
        <v>491</v>
      </c>
      <c r="II226" t="s">
        <v>492</v>
      </c>
      <c r="JJ226" t="s">
        <v>937</v>
      </c>
      <c r="JK226" t="s">
        <v>920</v>
      </c>
      <c r="JL226" t="s">
        <v>495</v>
      </c>
      <c r="JM226" t="s">
        <v>908</v>
      </c>
      <c r="JN226" s="4" t="s">
        <v>497</v>
      </c>
      <c r="JO226" t="s">
        <v>921</v>
      </c>
      <c r="MY226" t="s">
        <v>910</v>
      </c>
      <c r="MZ226">
        <v>70</v>
      </c>
      <c r="NA226" t="s">
        <v>911</v>
      </c>
      <c r="NB226" t="s">
        <v>548</v>
      </c>
      <c r="NC226" s="4" t="s">
        <v>511</v>
      </c>
      <c r="NI226" t="s">
        <v>912</v>
      </c>
      <c r="NJ226" t="s">
        <v>913</v>
      </c>
      <c r="NK226" t="s">
        <v>914</v>
      </c>
      <c r="NL226" s="4" t="s">
        <v>515</v>
      </c>
      <c r="NM226" s="6" t="s">
        <v>516</v>
      </c>
      <c r="NU226" t="s">
        <v>657</v>
      </c>
      <c r="NV226" t="s">
        <v>518</v>
      </c>
      <c r="NW226">
        <v>3699</v>
      </c>
      <c r="NX226" t="s">
        <v>916</v>
      </c>
      <c r="NY226">
        <v>390</v>
      </c>
      <c r="OB226" s="15">
        <v>3</v>
      </c>
      <c r="OU226" t="s">
        <v>917</v>
      </c>
      <c r="OV226" t="s">
        <v>518</v>
      </c>
      <c r="OX226">
        <v>2015</v>
      </c>
      <c r="OY226">
        <v>2016</v>
      </c>
      <c r="PB226" t="s">
        <v>522</v>
      </c>
      <c r="PC226" s="50">
        <v>46104</v>
      </c>
    </row>
    <row r="227" spans="1:419" ht="15.75" thickBot="1">
      <c r="A227" t="s">
        <v>469</v>
      </c>
      <c r="B227" t="s">
        <v>899</v>
      </c>
      <c r="C227" t="s">
        <v>900</v>
      </c>
      <c r="D227" s="59" t="s">
        <v>472</v>
      </c>
      <c r="E227" t="s">
        <v>938</v>
      </c>
      <c r="F227" s="4" t="s">
        <v>902</v>
      </c>
      <c r="G227" t="s">
        <v>475</v>
      </c>
      <c r="H227" t="s">
        <v>476</v>
      </c>
      <c r="I227">
        <v>7.306944444</v>
      </c>
      <c r="J227">
        <v>38.012222219999998</v>
      </c>
      <c r="K227">
        <v>600</v>
      </c>
      <c r="AV227" t="s">
        <v>903</v>
      </c>
      <c r="AW227">
        <v>420</v>
      </c>
      <c r="AX227">
        <v>1.5</v>
      </c>
      <c r="AY227">
        <v>1</v>
      </c>
      <c r="AZ227" t="s">
        <v>904</v>
      </c>
      <c r="BA227">
        <v>2015</v>
      </c>
      <c r="BB227">
        <v>2016</v>
      </c>
      <c r="BD227" t="s">
        <v>905</v>
      </c>
      <c r="BE227" t="s">
        <v>524</v>
      </c>
      <c r="BF227" s="3" t="s">
        <v>484</v>
      </c>
      <c r="BG227" t="s">
        <v>485</v>
      </c>
      <c r="BH227" t="s">
        <v>480</v>
      </c>
      <c r="BI227" s="4" t="s">
        <v>486</v>
      </c>
      <c r="BJ227">
        <v>53333</v>
      </c>
      <c r="IH227" t="s">
        <v>491</v>
      </c>
      <c r="II227" t="s">
        <v>492</v>
      </c>
      <c r="JJ227" t="s">
        <v>906</v>
      </c>
      <c r="JK227" s="75" t="s">
        <v>907</v>
      </c>
      <c r="JL227" s="8" t="s">
        <v>495</v>
      </c>
      <c r="JM227" s="8" t="s">
        <v>908</v>
      </c>
      <c r="JN227" s="4" t="s">
        <v>497</v>
      </c>
      <c r="JO227" t="s">
        <v>909</v>
      </c>
      <c r="MY227" t="s">
        <v>910</v>
      </c>
      <c r="MZ227">
        <v>70</v>
      </c>
      <c r="NA227" t="s">
        <v>911</v>
      </c>
      <c r="NB227" t="s">
        <v>548</v>
      </c>
      <c r="NC227" s="4" t="s">
        <v>511</v>
      </c>
      <c r="NI227" t="s">
        <v>912</v>
      </c>
      <c r="NJ227" t="s">
        <v>913</v>
      </c>
      <c r="NK227" t="s">
        <v>914</v>
      </c>
      <c r="NL227" s="4" t="s">
        <v>515</v>
      </c>
      <c r="NM227" s="6" t="s">
        <v>516</v>
      </c>
      <c r="NU227" t="s">
        <v>915</v>
      </c>
      <c r="NV227" t="s">
        <v>518</v>
      </c>
      <c r="NW227">
        <v>2815</v>
      </c>
      <c r="NX227" t="s">
        <v>916</v>
      </c>
      <c r="NY227">
        <v>697</v>
      </c>
      <c r="OB227" s="15">
        <v>3</v>
      </c>
      <c r="OU227" t="s">
        <v>939</v>
      </c>
      <c r="OV227" t="s">
        <v>518</v>
      </c>
      <c r="OX227">
        <v>2015</v>
      </c>
      <c r="OY227">
        <v>2016</v>
      </c>
      <c r="PB227" t="s">
        <v>522</v>
      </c>
      <c r="PC227" s="50">
        <v>46104</v>
      </c>
    </row>
    <row r="228" spans="1:419" ht="15.75" thickBot="1">
      <c r="A228" t="s">
        <v>469</v>
      </c>
      <c r="B228" t="s">
        <v>899</v>
      </c>
      <c r="C228" t="s">
        <v>900</v>
      </c>
      <c r="D228" s="59" t="s">
        <v>472</v>
      </c>
      <c r="E228" t="s">
        <v>938</v>
      </c>
      <c r="F228" s="4" t="s">
        <v>902</v>
      </c>
      <c r="G228" t="s">
        <v>475</v>
      </c>
      <c r="H228" t="s">
        <v>476</v>
      </c>
      <c r="I228">
        <v>7.306944444</v>
      </c>
      <c r="J228">
        <v>38.012222219999998</v>
      </c>
      <c r="K228">
        <v>600</v>
      </c>
      <c r="AV228" t="s">
        <v>903</v>
      </c>
      <c r="AW228">
        <v>420</v>
      </c>
      <c r="AX228">
        <v>1.5</v>
      </c>
      <c r="AY228">
        <v>1</v>
      </c>
      <c r="AZ228" t="s">
        <v>904</v>
      </c>
      <c r="BA228">
        <v>2015</v>
      </c>
      <c r="BB228">
        <v>2016</v>
      </c>
      <c r="BD228" t="s">
        <v>918</v>
      </c>
      <c r="BE228" t="s">
        <v>483</v>
      </c>
      <c r="BF228" s="3" t="s">
        <v>484</v>
      </c>
      <c r="BG228" t="s">
        <v>485</v>
      </c>
      <c r="BH228" t="s">
        <v>480</v>
      </c>
      <c r="BI228" t="s">
        <v>486</v>
      </c>
      <c r="BJ228">
        <v>53333</v>
      </c>
      <c r="IH228" t="s">
        <v>491</v>
      </c>
      <c r="II228" t="s">
        <v>492</v>
      </c>
      <c r="JJ228" t="s">
        <v>919</v>
      </c>
      <c r="JK228" s="46" t="s">
        <v>920</v>
      </c>
      <c r="JL228" t="s">
        <v>495</v>
      </c>
      <c r="JM228" s="8" t="s">
        <v>908</v>
      </c>
      <c r="JN228" s="4" t="s">
        <v>497</v>
      </c>
      <c r="JO228" t="s">
        <v>921</v>
      </c>
      <c r="MY228" t="s">
        <v>910</v>
      </c>
      <c r="MZ228">
        <v>70</v>
      </c>
      <c r="NA228" t="s">
        <v>911</v>
      </c>
      <c r="NB228" t="s">
        <v>548</v>
      </c>
      <c r="NC228" s="4" t="s">
        <v>511</v>
      </c>
      <c r="NI228" t="s">
        <v>912</v>
      </c>
      <c r="NJ228" t="s">
        <v>913</v>
      </c>
      <c r="NK228" t="s">
        <v>914</v>
      </c>
      <c r="NL228" s="4" t="s">
        <v>515</v>
      </c>
      <c r="NM228" s="6" t="s">
        <v>516</v>
      </c>
      <c r="NU228" t="s">
        <v>657</v>
      </c>
      <c r="NV228" t="s">
        <v>518</v>
      </c>
      <c r="NW228">
        <v>3243</v>
      </c>
      <c r="NX228" t="s">
        <v>916</v>
      </c>
      <c r="NY228">
        <v>705</v>
      </c>
      <c r="OB228" s="15">
        <v>3</v>
      </c>
      <c r="OU228" t="s">
        <v>939</v>
      </c>
      <c r="OV228" t="s">
        <v>518</v>
      </c>
      <c r="OX228">
        <v>2015</v>
      </c>
      <c r="OY228">
        <v>2016</v>
      </c>
      <c r="PB228" t="s">
        <v>522</v>
      </c>
      <c r="PC228" s="50">
        <v>46104</v>
      </c>
    </row>
    <row r="229" spans="1:419" ht="15.75" thickBot="1">
      <c r="A229" t="s">
        <v>469</v>
      </c>
      <c r="B229" t="s">
        <v>899</v>
      </c>
      <c r="C229" t="s">
        <v>900</v>
      </c>
      <c r="D229" s="59" t="s">
        <v>472</v>
      </c>
      <c r="E229" t="s">
        <v>938</v>
      </c>
      <c r="F229" s="4" t="s">
        <v>902</v>
      </c>
      <c r="G229" t="s">
        <v>475</v>
      </c>
      <c r="H229" t="s">
        <v>476</v>
      </c>
      <c r="I229">
        <v>7.306944444</v>
      </c>
      <c r="J229">
        <v>38.012222219999998</v>
      </c>
      <c r="K229">
        <v>600</v>
      </c>
      <c r="AV229" t="s">
        <v>903</v>
      </c>
      <c r="AW229">
        <v>420</v>
      </c>
      <c r="AX229">
        <v>1.5</v>
      </c>
      <c r="AY229">
        <v>1</v>
      </c>
      <c r="AZ229" t="s">
        <v>904</v>
      </c>
      <c r="BA229">
        <v>2015</v>
      </c>
      <c r="BB229">
        <v>2016</v>
      </c>
      <c r="BD229" t="s">
        <v>922</v>
      </c>
      <c r="BE229" t="s">
        <v>593</v>
      </c>
      <c r="BF229" s="3" t="s">
        <v>484</v>
      </c>
      <c r="BG229" t="s">
        <v>485</v>
      </c>
      <c r="BH229" t="s">
        <v>480</v>
      </c>
      <c r="BI229" t="s">
        <v>486</v>
      </c>
      <c r="BJ229">
        <v>53333</v>
      </c>
      <c r="HQ229" t="s">
        <v>923</v>
      </c>
      <c r="IH229" t="s">
        <v>491</v>
      </c>
      <c r="II229" t="s">
        <v>492</v>
      </c>
      <c r="JJ229" t="s">
        <v>924</v>
      </c>
      <c r="JK229" s="75" t="s">
        <v>907</v>
      </c>
      <c r="JL229" t="s">
        <v>495</v>
      </c>
      <c r="JM229" s="8" t="s">
        <v>908</v>
      </c>
      <c r="JN229" s="4" t="s">
        <v>497</v>
      </c>
      <c r="JO229" t="s">
        <v>909</v>
      </c>
      <c r="KV229" t="s">
        <v>925</v>
      </c>
      <c r="MY229" t="s">
        <v>910</v>
      </c>
      <c r="MZ229">
        <v>70</v>
      </c>
      <c r="NA229" t="s">
        <v>911</v>
      </c>
      <c r="NB229" t="s">
        <v>548</v>
      </c>
      <c r="NC229" s="4" t="s">
        <v>511</v>
      </c>
      <c r="NI229" t="s">
        <v>912</v>
      </c>
      <c r="NJ229" t="s">
        <v>913</v>
      </c>
      <c r="NK229" t="s">
        <v>914</v>
      </c>
      <c r="NL229" s="4" t="s">
        <v>515</v>
      </c>
      <c r="NM229" s="6" t="s">
        <v>516</v>
      </c>
      <c r="NU229" t="s">
        <v>915</v>
      </c>
      <c r="NV229" t="s">
        <v>518</v>
      </c>
      <c r="NW229">
        <v>3658</v>
      </c>
      <c r="NX229" t="s">
        <v>916</v>
      </c>
      <c r="NY229">
        <v>890</v>
      </c>
      <c r="OB229" s="15">
        <v>3</v>
      </c>
      <c r="OU229" t="s">
        <v>939</v>
      </c>
      <c r="OV229" t="s">
        <v>518</v>
      </c>
      <c r="OX229">
        <v>2015</v>
      </c>
      <c r="OY229">
        <v>2016</v>
      </c>
      <c r="PB229" t="s">
        <v>522</v>
      </c>
      <c r="PC229" s="50">
        <v>46104</v>
      </c>
    </row>
    <row r="230" spans="1:419" ht="15.75" thickBot="1">
      <c r="A230" t="s">
        <v>469</v>
      </c>
      <c r="B230" t="s">
        <v>899</v>
      </c>
      <c r="C230" t="s">
        <v>900</v>
      </c>
      <c r="D230" s="59" t="s">
        <v>472</v>
      </c>
      <c r="E230" t="s">
        <v>938</v>
      </c>
      <c r="F230" s="4" t="s">
        <v>902</v>
      </c>
      <c r="G230" t="s">
        <v>475</v>
      </c>
      <c r="H230" t="s">
        <v>476</v>
      </c>
      <c r="I230">
        <v>7.306944444</v>
      </c>
      <c r="J230">
        <v>38.012222219999998</v>
      </c>
      <c r="K230">
        <v>600</v>
      </c>
      <c r="AV230" t="s">
        <v>903</v>
      </c>
      <c r="AW230">
        <v>420</v>
      </c>
      <c r="AX230">
        <v>1.5</v>
      </c>
      <c r="AY230">
        <v>1</v>
      </c>
      <c r="AZ230" t="s">
        <v>904</v>
      </c>
      <c r="BA230">
        <v>2015</v>
      </c>
      <c r="BB230">
        <v>2016</v>
      </c>
      <c r="BD230" t="s">
        <v>926</v>
      </c>
      <c r="BE230" t="s">
        <v>536</v>
      </c>
      <c r="BF230" s="3" t="s">
        <v>484</v>
      </c>
      <c r="BG230" t="s">
        <v>485</v>
      </c>
      <c r="BH230" t="s">
        <v>480</v>
      </c>
      <c r="BI230" t="s">
        <v>486</v>
      </c>
      <c r="BJ230">
        <v>53333</v>
      </c>
      <c r="BK230" t="s">
        <v>537</v>
      </c>
      <c r="BL230" t="s">
        <v>927</v>
      </c>
      <c r="BM230" t="s">
        <v>480</v>
      </c>
      <c r="BN230" t="s">
        <v>486</v>
      </c>
      <c r="BO230">
        <v>266666</v>
      </c>
      <c r="EG230" s="9"/>
      <c r="EH230" s="9"/>
      <c r="EI230" s="9"/>
      <c r="EJ230" s="9"/>
      <c r="EK230" s="9"/>
      <c r="EL230" s="9"/>
      <c r="EM230" s="9"/>
      <c r="EN230" s="9"/>
      <c r="EO230" s="9"/>
      <c r="EP230" s="9"/>
      <c r="EQ230" s="9"/>
      <c r="ER230" s="9"/>
      <c r="ES230" s="9"/>
      <c r="ET230" s="9"/>
      <c r="EU230" s="9"/>
      <c r="EV230" s="9"/>
      <c r="EW230" s="9"/>
      <c r="EX230" s="9"/>
      <c r="EY230" s="9"/>
      <c r="EZ230" s="9"/>
      <c r="FA230" s="9"/>
      <c r="FB230" s="9"/>
      <c r="FC230" s="9"/>
      <c r="FD230" s="9"/>
      <c r="FE230" s="9"/>
      <c r="FF230" s="9"/>
      <c r="FG230" s="9"/>
      <c r="FH230" s="9"/>
      <c r="FI230" s="9"/>
      <c r="FJ230" s="9"/>
      <c r="FK230" s="9"/>
      <c r="FL230" s="9"/>
      <c r="FM230" s="9"/>
      <c r="FN230" s="9"/>
      <c r="FO230" s="9"/>
      <c r="FP230" s="9"/>
      <c r="FQ230" s="9"/>
      <c r="FR230" s="9"/>
      <c r="FS230" s="9"/>
      <c r="FT230" s="9"/>
      <c r="FU230" s="9"/>
      <c r="FV230" s="9"/>
      <c r="FW230" s="9"/>
      <c r="FX230" s="9"/>
      <c r="FY230" s="9"/>
      <c r="FZ230" s="9"/>
      <c r="GA230" s="9"/>
      <c r="GB230" s="9"/>
      <c r="GC230" s="9"/>
      <c r="GD230" s="9"/>
      <c r="GE230" s="9"/>
      <c r="GF230" s="9"/>
      <c r="GG230" s="9"/>
      <c r="GH230" s="9"/>
      <c r="GI230" s="9"/>
      <c r="GJ230" s="9"/>
      <c r="GK230" s="9"/>
      <c r="GL230" s="9"/>
      <c r="GM230" s="9"/>
      <c r="GN230" s="9"/>
      <c r="GO230" s="9"/>
      <c r="GP230" s="9"/>
      <c r="GQ230" s="9"/>
      <c r="GR230" s="9"/>
      <c r="GS230" s="9"/>
      <c r="GT230" s="9"/>
      <c r="GU230" s="9"/>
      <c r="GV230" s="9"/>
      <c r="GW230" s="9"/>
      <c r="GX230" s="9"/>
      <c r="GY230" s="9"/>
      <c r="GZ230" s="9"/>
      <c r="HA230" s="9"/>
      <c r="HB230" s="9"/>
      <c r="HC230" s="9"/>
      <c r="HD230" s="9"/>
      <c r="HE230" s="9"/>
      <c r="HF230" s="9"/>
      <c r="HG230" s="9"/>
      <c r="HH230" s="9"/>
      <c r="HI230" s="9"/>
      <c r="HJ230" s="9"/>
      <c r="HV230" s="50"/>
      <c r="HW230" s="50"/>
      <c r="IH230" t="s">
        <v>928</v>
      </c>
      <c r="II230" s="75" t="s">
        <v>929</v>
      </c>
      <c r="IJ230" t="s">
        <v>542</v>
      </c>
      <c r="IK230" t="s">
        <v>543</v>
      </c>
      <c r="IL230" t="s">
        <v>480</v>
      </c>
      <c r="IM230" t="s">
        <v>480</v>
      </c>
      <c r="IN230" t="s">
        <v>480</v>
      </c>
      <c r="JJ230" t="s">
        <v>930</v>
      </c>
      <c r="JK230" t="s">
        <v>920</v>
      </c>
      <c r="JL230" t="s">
        <v>495</v>
      </c>
      <c r="JM230" t="s">
        <v>908</v>
      </c>
      <c r="JN230" s="4" t="s">
        <v>497</v>
      </c>
      <c r="JO230" t="s">
        <v>921</v>
      </c>
      <c r="MY230" t="s">
        <v>910</v>
      </c>
      <c r="MZ230">
        <v>70</v>
      </c>
      <c r="NA230" t="s">
        <v>911</v>
      </c>
      <c r="NB230" t="s">
        <v>548</v>
      </c>
      <c r="NC230" s="4" t="s">
        <v>511</v>
      </c>
      <c r="ND230" t="s">
        <v>927</v>
      </c>
      <c r="NI230" t="s">
        <v>912</v>
      </c>
      <c r="NJ230" t="s">
        <v>913</v>
      </c>
      <c r="NK230" t="s">
        <v>914</v>
      </c>
      <c r="NL230" s="4" t="s">
        <v>515</v>
      </c>
      <c r="NM230" s="6" t="s">
        <v>516</v>
      </c>
      <c r="NV230" t="s">
        <v>518</v>
      </c>
      <c r="NW230">
        <v>5684</v>
      </c>
      <c r="NX230" t="s">
        <v>916</v>
      </c>
      <c r="NY230">
        <v>452</v>
      </c>
      <c r="OB230" s="15">
        <v>3</v>
      </c>
      <c r="OU230" t="s">
        <v>939</v>
      </c>
      <c r="OV230" t="s">
        <v>518</v>
      </c>
      <c r="OX230">
        <v>2015</v>
      </c>
      <c r="OY230">
        <v>2016</v>
      </c>
      <c r="PB230" t="s">
        <v>522</v>
      </c>
      <c r="PC230" s="50">
        <v>46104</v>
      </c>
    </row>
    <row r="231" spans="1:419" ht="15.75" thickBot="1">
      <c r="A231" t="s">
        <v>469</v>
      </c>
      <c r="B231" t="s">
        <v>899</v>
      </c>
      <c r="C231" t="s">
        <v>900</v>
      </c>
      <c r="D231" s="59" t="s">
        <v>472</v>
      </c>
      <c r="E231" t="s">
        <v>938</v>
      </c>
      <c r="F231" s="4" t="s">
        <v>902</v>
      </c>
      <c r="G231" t="s">
        <v>475</v>
      </c>
      <c r="H231" t="s">
        <v>476</v>
      </c>
      <c r="I231">
        <v>7.306944444</v>
      </c>
      <c r="J231">
        <v>38.012222219999998</v>
      </c>
      <c r="K231">
        <v>600</v>
      </c>
      <c r="AV231" t="s">
        <v>903</v>
      </c>
      <c r="AW231">
        <v>420</v>
      </c>
      <c r="AX231">
        <v>1.5</v>
      </c>
      <c r="AY231">
        <v>1</v>
      </c>
      <c r="AZ231" t="s">
        <v>904</v>
      </c>
      <c r="BA231">
        <v>2015</v>
      </c>
      <c r="BB231">
        <v>2016</v>
      </c>
      <c r="BD231" t="s">
        <v>931</v>
      </c>
      <c r="BE231" t="s">
        <v>566</v>
      </c>
      <c r="BF231" s="3" t="s">
        <v>484</v>
      </c>
      <c r="BG231" t="s">
        <v>485</v>
      </c>
      <c r="BH231" t="s">
        <v>480</v>
      </c>
      <c r="BI231" t="s">
        <v>486</v>
      </c>
      <c r="BJ231">
        <v>53333</v>
      </c>
      <c r="BK231" t="s">
        <v>537</v>
      </c>
      <c r="BL231" t="s">
        <v>932</v>
      </c>
      <c r="BM231" t="s">
        <v>480</v>
      </c>
      <c r="BN231" t="s">
        <v>486</v>
      </c>
      <c r="BO231">
        <v>66666</v>
      </c>
      <c r="EG231" s="9"/>
      <c r="EH231" s="9"/>
      <c r="EI231" s="9"/>
      <c r="EJ231" s="9"/>
      <c r="EK231" s="9"/>
      <c r="EL231" s="9"/>
      <c r="EM231" s="9"/>
      <c r="EN231" s="9"/>
      <c r="EO231" s="9"/>
      <c r="EP231" s="9"/>
      <c r="EQ231" s="9"/>
      <c r="ER231" s="9"/>
      <c r="ES231" s="9"/>
      <c r="ET231" s="9"/>
      <c r="EU231" s="9"/>
      <c r="EV231" s="9"/>
      <c r="EW231" s="9"/>
      <c r="EX231" s="9"/>
      <c r="EY231" s="9"/>
      <c r="EZ231" s="9"/>
      <c r="FA231" s="9"/>
      <c r="FB231" s="9"/>
      <c r="FC231" s="9"/>
      <c r="FD231" s="9"/>
      <c r="FE231" s="9"/>
      <c r="FF231" s="9"/>
      <c r="FG231" s="9"/>
      <c r="FH231" s="9"/>
      <c r="FI231" s="9"/>
      <c r="FJ231" s="9"/>
      <c r="FK231" s="9"/>
      <c r="FL231" s="9"/>
      <c r="FM231" s="9"/>
      <c r="FN231" s="9"/>
      <c r="FO231" s="9"/>
      <c r="FP231" s="9"/>
      <c r="FQ231" s="9"/>
      <c r="FR231" s="9"/>
      <c r="FS231" s="9"/>
      <c r="FT231" s="9"/>
      <c r="FU231" s="9"/>
      <c r="FV231" s="9"/>
      <c r="FW231" s="9"/>
      <c r="FX231" s="9"/>
      <c r="FY231" s="9"/>
      <c r="FZ231" s="9"/>
      <c r="GA231" s="9"/>
      <c r="GB231" s="9"/>
      <c r="GC231" s="9"/>
      <c r="GD231" s="9"/>
      <c r="GE231" s="9"/>
      <c r="GF231" s="9"/>
      <c r="GG231" s="9"/>
      <c r="GH231" s="9"/>
      <c r="GI231" s="9"/>
      <c r="GJ231" s="9"/>
      <c r="GK231" s="9"/>
      <c r="GL231" s="9"/>
      <c r="GM231" s="9"/>
      <c r="GN231" s="9"/>
      <c r="GO231" s="9"/>
      <c r="GP231" s="9"/>
      <c r="GQ231" s="9"/>
      <c r="GR231" s="9"/>
      <c r="GS231" s="9"/>
      <c r="GT231" s="9"/>
      <c r="GU231" s="9"/>
      <c r="GV231" s="9"/>
      <c r="GW231" s="9"/>
      <c r="GX231" s="9"/>
      <c r="GY231" s="9"/>
      <c r="GZ231" s="9"/>
      <c r="HA231" s="9"/>
      <c r="HB231" s="9"/>
      <c r="HC231" s="9"/>
      <c r="HD231" s="9"/>
      <c r="HE231" s="9"/>
      <c r="HF231" s="9"/>
      <c r="HG231" s="9"/>
      <c r="HH231" s="9"/>
      <c r="HI231" s="9"/>
      <c r="HJ231" s="9"/>
      <c r="HV231" s="50"/>
      <c r="HW231" s="50"/>
      <c r="IH231" t="s">
        <v>933</v>
      </c>
      <c r="II231" s="75" t="s">
        <v>929</v>
      </c>
      <c r="IJ231" t="s">
        <v>542</v>
      </c>
      <c r="IK231" t="s">
        <v>543</v>
      </c>
      <c r="IL231" t="s">
        <v>480</v>
      </c>
      <c r="IM231" t="s">
        <v>480</v>
      </c>
      <c r="IN231" t="s">
        <v>480</v>
      </c>
      <c r="JJ231" t="s">
        <v>934</v>
      </c>
      <c r="JK231" t="s">
        <v>920</v>
      </c>
      <c r="JL231" t="s">
        <v>495</v>
      </c>
      <c r="JM231" t="s">
        <v>908</v>
      </c>
      <c r="JN231" s="4" t="s">
        <v>497</v>
      </c>
      <c r="JO231" t="s">
        <v>921</v>
      </c>
      <c r="MY231" t="s">
        <v>910</v>
      </c>
      <c r="MZ231">
        <v>70</v>
      </c>
      <c r="NA231" t="s">
        <v>911</v>
      </c>
      <c r="NB231" t="s">
        <v>548</v>
      </c>
      <c r="NC231" s="4" t="s">
        <v>511</v>
      </c>
      <c r="ND231" t="s">
        <v>935</v>
      </c>
      <c r="NI231" t="s">
        <v>912</v>
      </c>
      <c r="NJ231" t="s">
        <v>913</v>
      </c>
      <c r="NK231" t="s">
        <v>914</v>
      </c>
      <c r="NL231" s="4" t="s">
        <v>515</v>
      </c>
      <c r="NM231" s="6" t="s">
        <v>516</v>
      </c>
      <c r="NV231" t="s">
        <v>518</v>
      </c>
      <c r="NW231">
        <v>4543</v>
      </c>
      <c r="NX231" t="s">
        <v>916</v>
      </c>
      <c r="NY231">
        <v>929</v>
      </c>
      <c r="OB231" s="15">
        <v>3</v>
      </c>
      <c r="OU231" t="s">
        <v>939</v>
      </c>
      <c r="OV231" t="s">
        <v>518</v>
      </c>
      <c r="OX231">
        <v>2015</v>
      </c>
      <c r="OY231">
        <v>2016</v>
      </c>
      <c r="PB231" t="s">
        <v>522</v>
      </c>
      <c r="PC231" s="50">
        <v>46104</v>
      </c>
    </row>
    <row r="232" spans="1:419" ht="15.75" thickBot="1">
      <c r="A232" t="s">
        <v>469</v>
      </c>
      <c r="B232" t="s">
        <v>899</v>
      </c>
      <c r="C232" t="s">
        <v>900</v>
      </c>
      <c r="D232" s="59" t="s">
        <v>472</v>
      </c>
      <c r="E232" t="s">
        <v>938</v>
      </c>
      <c r="F232" s="4" t="s">
        <v>902</v>
      </c>
      <c r="G232" t="s">
        <v>475</v>
      </c>
      <c r="H232" t="s">
        <v>476</v>
      </c>
      <c r="I232">
        <v>7.306944444</v>
      </c>
      <c r="J232">
        <v>38.012222219999998</v>
      </c>
      <c r="K232">
        <v>600</v>
      </c>
      <c r="AV232" t="s">
        <v>903</v>
      </c>
      <c r="AW232">
        <v>420</v>
      </c>
      <c r="AX232">
        <v>1.5</v>
      </c>
      <c r="AY232">
        <v>1</v>
      </c>
      <c r="AZ232" t="s">
        <v>904</v>
      </c>
      <c r="BA232">
        <v>2015</v>
      </c>
      <c r="BB232">
        <v>2016</v>
      </c>
      <c r="BD232" t="s">
        <v>936</v>
      </c>
      <c r="BE232" t="s">
        <v>602</v>
      </c>
      <c r="BF232" s="3" t="s">
        <v>484</v>
      </c>
      <c r="BG232" t="s">
        <v>485</v>
      </c>
      <c r="BH232" t="s">
        <v>480</v>
      </c>
      <c r="BI232" t="s">
        <v>486</v>
      </c>
      <c r="BJ232">
        <v>53333</v>
      </c>
      <c r="HQ232" t="s">
        <v>923</v>
      </c>
      <c r="IH232" t="s">
        <v>491</v>
      </c>
      <c r="II232" t="s">
        <v>492</v>
      </c>
      <c r="JJ232" t="s">
        <v>937</v>
      </c>
      <c r="JK232" t="s">
        <v>920</v>
      </c>
      <c r="JL232" t="s">
        <v>495</v>
      </c>
      <c r="JM232" s="8" t="s">
        <v>908</v>
      </c>
      <c r="JN232" s="4" t="s">
        <v>497</v>
      </c>
      <c r="JO232" t="s">
        <v>921</v>
      </c>
      <c r="MY232" t="s">
        <v>910</v>
      </c>
      <c r="MZ232">
        <v>70</v>
      </c>
      <c r="NA232" t="s">
        <v>911</v>
      </c>
      <c r="NB232" t="s">
        <v>548</v>
      </c>
      <c r="NC232" s="4" t="s">
        <v>511</v>
      </c>
      <c r="NI232" t="s">
        <v>912</v>
      </c>
      <c r="NJ232" t="s">
        <v>913</v>
      </c>
      <c r="NK232" t="s">
        <v>914</v>
      </c>
      <c r="NL232" s="4" t="s">
        <v>515</v>
      </c>
      <c r="NM232" s="6" t="s">
        <v>516</v>
      </c>
      <c r="NU232" t="s">
        <v>657</v>
      </c>
      <c r="NV232" t="s">
        <v>518</v>
      </c>
      <c r="NW232">
        <v>4028</v>
      </c>
      <c r="NX232" t="s">
        <v>916</v>
      </c>
      <c r="NY232">
        <v>1284</v>
      </c>
      <c r="OB232" s="15">
        <v>3</v>
      </c>
      <c r="OU232" t="s">
        <v>939</v>
      </c>
      <c r="OV232" t="s">
        <v>518</v>
      </c>
      <c r="OX232">
        <v>2015</v>
      </c>
      <c r="OY232">
        <v>2016</v>
      </c>
      <c r="PB232" t="s">
        <v>522</v>
      </c>
      <c r="PC232" s="50">
        <v>46104</v>
      </c>
    </row>
    <row r="233" spans="1:419" ht="15.75" thickBot="1">
      <c r="A233" t="s">
        <v>469</v>
      </c>
      <c r="B233" t="s">
        <v>899</v>
      </c>
      <c r="C233" t="s">
        <v>900</v>
      </c>
      <c r="D233" s="59" t="s">
        <v>472</v>
      </c>
      <c r="E233" t="s">
        <v>940</v>
      </c>
      <c r="F233" s="4" t="s">
        <v>902</v>
      </c>
      <c r="G233" t="s">
        <v>475</v>
      </c>
      <c r="H233" t="s">
        <v>476</v>
      </c>
      <c r="I233">
        <v>6.7519444440000003</v>
      </c>
      <c r="J233">
        <v>38.33361111</v>
      </c>
      <c r="K233">
        <v>500</v>
      </c>
      <c r="AV233" t="s">
        <v>903</v>
      </c>
      <c r="AW233">
        <v>420</v>
      </c>
      <c r="AX233">
        <v>0.18</v>
      </c>
      <c r="AY233">
        <v>1</v>
      </c>
      <c r="AZ233" t="s">
        <v>904</v>
      </c>
      <c r="BA233">
        <v>2015</v>
      </c>
      <c r="BB233">
        <v>2016</v>
      </c>
      <c r="BD233" t="s">
        <v>905</v>
      </c>
      <c r="BE233" t="s">
        <v>524</v>
      </c>
      <c r="BF233" s="3" t="s">
        <v>484</v>
      </c>
      <c r="BG233" t="s">
        <v>485</v>
      </c>
      <c r="BH233" t="s">
        <v>480</v>
      </c>
      <c r="BI233" s="4" t="s">
        <v>486</v>
      </c>
      <c r="BJ233">
        <v>53333</v>
      </c>
      <c r="IH233" t="s">
        <v>491</v>
      </c>
      <c r="II233" t="s">
        <v>492</v>
      </c>
      <c r="JJ233" t="s">
        <v>906</v>
      </c>
      <c r="JK233" s="75" t="s">
        <v>907</v>
      </c>
      <c r="JL233" s="8" t="s">
        <v>495</v>
      </c>
      <c r="JM233" s="8" t="s">
        <v>908</v>
      </c>
      <c r="JN233" s="4" t="s">
        <v>497</v>
      </c>
      <c r="JO233" t="s">
        <v>909</v>
      </c>
      <c r="MY233" t="s">
        <v>910</v>
      </c>
      <c r="MZ233">
        <v>70</v>
      </c>
      <c r="NA233" t="s">
        <v>911</v>
      </c>
      <c r="NB233" t="s">
        <v>548</v>
      </c>
      <c r="NC233" s="4" t="s">
        <v>511</v>
      </c>
      <c r="NI233" t="s">
        <v>912</v>
      </c>
      <c r="NJ233" t="s">
        <v>913</v>
      </c>
      <c r="NK233" t="s">
        <v>914</v>
      </c>
      <c r="NL233" s="4" t="s">
        <v>515</v>
      </c>
      <c r="NM233" s="6" t="s">
        <v>516</v>
      </c>
      <c r="NU233" t="s">
        <v>915</v>
      </c>
      <c r="NV233" t="s">
        <v>518</v>
      </c>
      <c r="NW233">
        <v>3253</v>
      </c>
      <c r="NX233" t="s">
        <v>916</v>
      </c>
      <c r="NY233">
        <v>976</v>
      </c>
      <c r="OB233" s="15">
        <v>3</v>
      </c>
      <c r="OU233" t="s">
        <v>941</v>
      </c>
      <c r="OV233" t="s">
        <v>518</v>
      </c>
      <c r="OX233">
        <v>2015</v>
      </c>
      <c r="OY233">
        <v>2016</v>
      </c>
      <c r="PB233" t="s">
        <v>522</v>
      </c>
      <c r="PC233" s="50">
        <v>46104</v>
      </c>
    </row>
    <row r="234" spans="1:419" ht="15.75" thickBot="1">
      <c r="A234" t="s">
        <v>469</v>
      </c>
      <c r="B234" t="s">
        <v>899</v>
      </c>
      <c r="C234" t="s">
        <v>900</v>
      </c>
      <c r="D234" s="59" t="s">
        <v>472</v>
      </c>
      <c r="E234" t="s">
        <v>940</v>
      </c>
      <c r="F234" s="4" t="s">
        <v>902</v>
      </c>
      <c r="G234" t="s">
        <v>475</v>
      </c>
      <c r="H234" t="s">
        <v>476</v>
      </c>
      <c r="I234">
        <v>6.7519444440000003</v>
      </c>
      <c r="J234">
        <v>38.33361111</v>
      </c>
      <c r="K234">
        <v>500</v>
      </c>
      <c r="AV234" t="s">
        <v>903</v>
      </c>
      <c r="AW234">
        <v>420</v>
      </c>
      <c r="AX234">
        <v>0.18</v>
      </c>
      <c r="AY234">
        <v>1</v>
      </c>
      <c r="AZ234" t="s">
        <v>904</v>
      </c>
      <c r="BA234">
        <v>2015</v>
      </c>
      <c r="BB234">
        <v>2016</v>
      </c>
      <c r="BD234" t="s">
        <v>918</v>
      </c>
      <c r="BE234" t="s">
        <v>483</v>
      </c>
      <c r="BF234" s="3" t="s">
        <v>484</v>
      </c>
      <c r="BG234" t="s">
        <v>485</v>
      </c>
      <c r="BH234" t="s">
        <v>480</v>
      </c>
      <c r="BI234" t="s">
        <v>486</v>
      </c>
      <c r="BJ234">
        <v>53333</v>
      </c>
      <c r="IH234" t="s">
        <v>491</v>
      </c>
      <c r="II234" t="s">
        <v>492</v>
      </c>
      <c r="JJ234" t="s">
        <v>919</v>
      </c>
      <c r="JK234" s="46" t="s">
        <v>920</v>
      </c>
      <c r="JL234" t="s">
        <v>495</v>
      </c>
      <c r="JM234" s="8" t="s">
        <v>908</v>
      </c>
      <c r="JN234" s="4" t="s">
        <v>497</v>
      </c>
      <c r="JO234" t="s">
        <v>921</v>
      </c>
      <c r="MY234" t="s">
        <v>910</v>
      </c>
      <c r="MZ234">
        <v>70</v>
      </c>
      <c r="NA234" t="s">
        <v>911</v>
      </c>
      <c r="NB234" t="s">
        <v>548</v>
      </c>
      <c r="NC234" s="4" t="s">
        <v>511</v>
      </c>
      <c r="NI234" t="s">
        <v>912</v>
      </c>
      <c r="NJ234" t="s">
        <v>913</v>
      </c>
      <c r="NK234" t="s">
        <v>914</v>
      </c>
      <c r="NL234" s="4" t="s">
        <v>515</v>
      </c>
      <c r="NM234" s="6" t="s">
        <v>516</v>
      </c>
      <c r="NU234" t="s">
        <v>657</v>
      </c>
      <c r="NV234" t="s">
        <v>518</v>
      </c>
      <c r="NW234">
        <v>3599</v>
      </c>
      <c r="NX234" t="s">
        <v>916</v>
      </c>
      <c r="NY234">
        <v>679</v>
      </c>
      <c r="OB234" s="15">
        <v>3</v>
      </c>
      <c r="OU234" t="s">
        <v>941</v>
      </c>
      <c r="OV234" t="s">
        <v>518</v>
      </c>
      <c r="OX234">
        <v>2015</v>
      </c>
      <c r="OY234">
        <v>2016</v>
      </c>
      <c r="PB234" t="s">
        <v>522</v>
      </c>
      <c r="PC234" s="50">
        <v>46104</v>
      </c>
    </row>
    <row r="235" spans="1:419" ht="15.75" thickBot="1">
      <c r="A235" t="s">
        <v>469</v>
      </c>
      <c r="B235" t="s">
        <v>899</v>
      </c>
      <c r="C235" t="s">
        <v>900</v>
      </c>
      <c r="D235" s="59" t="s">
        <v>472</v>
      </c>
      <c r="E235" t="s">
        <v>940</v>
      </c>
      <c r="F235" s="4" t="s">
        <v>902</v>
      </c>
      <c r="G235" t="s">
        <v>475</v>
      </c>
      <c r="H235" t="s">
        <v>476</v>
      </c>
      <c r="I235">
        <v>6.7519444440000003</v>
      </c>
      <c r="J235">
        <v>38.33361111</v>
      </c>
      <c r="K235">
        <v>500</v>
      </c>
      <c r="AV235" t="s">
        <v>903</v>
      </c>
      <c r="AW235">
        <v>420</v>
      </c>
      <c r="AX235">
        <v>0.18</v>
      </c>
      <c r="AY235">
        <v>1</v>
      </c>
      <c r="AZ235" t="s">
        <v>904</v>
      </c>
      <c r="BA235">
        <v>2015</v>
      </c>
      <c r="BB235">
        <v>2016</v>
      </c>
      <c r="BD235" t="s">
        <v>922</v>
      </c>
      <c r="BE235" t="s">
        <v>593</v>
      </c>
      <c r="BF235" s="3" t="s">
        <v>484</v>
      </c>
      <c r="BG235" t="s">
        <v>485</v>
      </c>
      <c r="BH235" t="s">
        <v>480</v>
      </c>
      <c r="BI235" t="s">
        <v>486</v>
      </c>
      <c r="BJ235">
        <v>53333</v>
      </c>
      <c r="HQ235" t="s">
        <v>923</v>
      </c>
      <c r="IH235" t="s">
        <v>491</v>
      </c>
      <c r="II235" t="s">
        <v>492</v>
      </c>
      <c r="JJ235" t="s">
        <v>924</v>
      </c>
      <c r="JK235" s="75" t="s">
        <v>907</v>
      </c>
      <c r="JL235" t="s">
        <v>495</v>
      </c>
      <c r="JM235" t="s">
        <v>908</v>
      </c>
      <c r="JN235" s="4" t="s">
        <v>497</v>
      </c>
      <c r="JO235" t="s">
        <v>909</v>
      </c>
      <c r="KV235" t="s">
        <v>925</v>
      </c>
      <c r="MY235" t="s">
        <v>910</v>
      </c>
      <c r="MZ235">
        <v>70</v>
      </c>
      <c r="NA235" t="s">
        <v>911</v>
      </c>
      <c r="NB235" t="s">
        <v>548</v>
      </c>
      <c r="NC235" s="4" t="s">
        <v>511</v>
      </c>
      <c r="NI235" t="s">
        <v>912</v>
      </c>
      <c r="NJ235" t="s">
        <v>913</v>
      </c>
      <c r="NK235" t="s">
        <v>914</v>
      </c>
      <c r="NL235" s="4" t="s">
        <v>515</v>
      </c>
      <c r="NM235" s="6" t="s">
        <v>516</v>
      </c>
      <c r="NU235" t="s">
        <v>915</v>
      </c>
      <c r="NV235" t="s">
        <v>518</v>
      </c>
      <c r="NW235">
        <v>4035</v>
      </c>
      <c r="NX235" t="s">
        <v>916</v>
      </c>
      <c r="NY235">
        <v>220</v>
      </c>
      <c r="OB235" s="15">
        <v>3</v>
      </c>
      <c r="OU235" t="s">
        <v>941</v>
      </c>
      <c r="OV235" t="s">
        <v>518</v>
      </c>
      <c r="OX235">
        <v>2015</v>
      </c>
      <c r="OY235">
        <v>2016</v>
      </c>
      <c r="PB235" t="s">
        <v>522</v>
      </c>
      <c r="PC235" s="50">
        <v>46104</v>
      </c>
    </row>
    <row r="236" spans="1:419" ht="15.75" thickBot="1">
      <c r="A236" t="s">
        <v>469</v>
      </c>
      <c r="B236" t="s">
        <v>899</v>
      </c>
      <c r="C236" t="s">
        <v>900</v>
      </c>
      <c r="D236" s="59" t="s">
        <v>472</v>
      </c>
      <c r="E236" t="s">
        <v>940</v>
      </c>
      <c r="F236" s="4" t="s">
        <v>902</v>
      </c>
      <c r="G236" t="s">
        <v>475</v>
      </c>
      <c r="H236" t="s">
        <v>476</v>
      </c>
      <c r="I236">
        <v>6.7519444440000003</v>
      </c>
      <c r="J236">
        <v>38.33361111</v>
      </c>
      <c r="K236">
        <v>500</v>
      </c>
      <c r="AV236" t="s">
        <v>903</v>
      </c>
      <c r="AW236">
        <v>420</v>
      </c>
      <c r="AX236">
        <v>0.18</v>
      </c>
      <c r="AY236">
        <v>1</v>
      </c>
      <c r="AZ236" t="s">
        <v>904</v>
      </c>
      <c r="BA236">
        <v>2015</v>
      </c>
      <c r="BB236">
        <v>2016</v>
      </c>
      <c r="BD236" t="s">
        <v>926</v>
      </c>
      <c r="BE236" t="s">
        <v>536</v>
      </c>
      <c r="BF236" s="3" t="s">
        <v>484</v>
      </c>
      <c r="BG236" t="s">
        <v>485</v>
      </c>
      <c r="BH236" t="s">
        <v>480</v>
      </c>
      <c r="BI236" t="s">
        <v>486</v>
      </c>
      <c r="BJ236">
        <v>53333</v>
      </c>
      <c r="BK236" t="s">
        <v>537</v>
      </c>
      <c r="BL236" t="s">
        <v>927</v>
      </c>
      <c r="BM236" t="s">
        <v>480</v>
      </c>
      <c r="BN236" t="s">
        <v>486</v>
      </c>
      <c r="BO236">
        <v>266666</v>
      </c>
      <c r="EG236" s="9"/>
      <c r="EH236" s="9"/>
      <c r="EI236" s="9"/>
      <c r="EJ236" s="9"/>
      <c r="EK236" s="9"/>
      <c r="EL236" s="9"/>
      <c r="EM236" s="9"/>
      <c r="EN236" s="9"/>
      <c r="EO236" s="9"/>
      <c r="EP236" s="9"/>
      <c r="EQ236" s="9"/>
      <c r="ER236" s="9"/>
      <c r="ES236" s="9"/>
      <c r="ET236" s="9"/>
      <c r="EU236" s="9"/>
      <c r="EV236" s="9"/>
      <c r="EW236" s="9"/>
      <c r="EX236" s="9"/>
      <c r="EY236" s="9"/>
      <c r="EZ236" s="9"/>
      <c r="FA236" s="9"/>
      <c r="FB236" s="9"/>
      <c r="FC236" s="9"/>
      <c r="FD236" s="9"/>
      <c r="FE236" s="9"/>
      <c r="FF236" s="9"/>
      <c r="FG236" s="9"/>
      <c r="FH236" s="9"/>
      <c r="FI236" s="9"/>
      <c r="FJ236" s="9"/>
      <c r="FK236" s="9"/>
      <c r="FL236" s="9"/>
      <c r="FM236" s="9"/>
      <c r="FN236" s="9"/>
      <c r="FO236" s="9"/>
      <c r="FP236" s="9"/>
      <c r="FQ236" s="9"/>
      <c r="FR236" s="9"/>
      <c r="FS236" s="9"/>
      <c r="FT236" s="9"/>
      <c r="FU236" s="9"/>
      <c r="FV236" s="9"/>
      <c r="FW236" s="9"/>
      <c r="FX236" s="9"/>
      <c r="FY236" s="9"/>
      <c r="FZ236" s="9"/>
      <c r="GA236" s="9"/>
      <c r="GB236" s="9"/>
      <c r="GC236" s="9"/>
      <c r="GD236" s="9"/>
      <c r="GE236" s="9"/>
      <c r="GF236" s="9"/>
      <c r="GG236" s="9"/>
      <c r="GH236" s="9"/>
      <c r="GI236" s="9"/>
      <c r="GJ236" s="9"/>
      <c r="GK236" s="9"/>
      <c r="GL236" s="9"/>
      <c r="GM236" s="9"/>
      <c r="GN236" s="9"/>
      <c r="GO236" s="9"/>
      <c r="GP236" s="9"/>
      <c r="GQ236" s="9"/>
      <c r="GR236" s="9"/>
      <c r="GS236" s="9"/>
      <c r="GT236" s="9"/>
      <c r="GU236" s="9"/>
      <c r="GV236" s="9"/>
      <c r="GW236" s="9"/>
      <c r="GX236" s="9"/>
      <c r="GY236" s="9"/>
      <c r="GZ236" s="9"/>
      <c r="HA236" s="9"/>
      <c r="HB236" s="9"/>
      <c r="HC236" s="9"/>
      <c r="HD236" s="9"/>
      <c r="HE236" s="9"/>
      <c r="HF236" s="9"/>
      <c r="HG236" s="9"/>
      <c r="HH236" s="9"/>
      <c r="HI236" s="9"/>
      <c r="HJ236" s="9"/>
      <c r="HV236" s="50"/>
      <c r="HW236" s="50"/>
      <c r="IH236" t="s">
        <v>928</v>
      </c>
      <c r="II236" s="75" t="s">
        <v>929</v>
      </c>
      <c r="IJ236" t="s">
        <v>542</v>
      </c>
      <c r="IK236" t="s">
        <v>543</v>
      </c>
      <c r="IL236" t="s">
        <v>480</v>
      </c>
      <c r="IM236" t="s">
        <v>480</v>
      </c>
      <c r="IN236" t="s">
        <v>480</v>
      </c>
      <c r="JJ236" t="s">
        <v>930</v>
      </c>
      <c r="JK236" t="s">
        <v>920</v>
      </c>
      <c r="JL236" t="s">
        <v>495</v>
      </c>
      <c r="JM236" t="s">
        <v>908</v>
      </c>
      <c r="JN236" s="4" t="s">
        <v>497</v>
      </c>
      <c r="JO236" t="s">
        <v>921</v>
      </c>
      <c r="MY236" t="s">
        <v>910</v>
      </c>
      <c r="MZ236">
        <v>70</v>
      </c>
      <c r="NA236" t="s">
        <v>911</v>
      </c>
      <c r="NB236" t="s">
        <v>548</v>
      </c>
      <c r="NC236" s="4" t="s">
        <v>511</v>
      </c>
      <c r="ND236" t="s">
        <v>927</v>
      </c>
      <c r="NI236" t="s">
        <v>912</v>
      </c>
      <c r="NJ236" t="s">
        <v>913</v>
      </c>
      <c r="NK236" t="s">
        <v>914</v>
      </c>
      <c r="NL236" s="4" t="s">
        <v>515</v>
      </c>
      <c r="NM236" s="6" t="s">
        <v>516</v>
      </c>
      <c r="NV236" t="s">
        <v>518</v>
      </c>
      <c r="NW236">
        <v>4337</v>
      </c>
      <c r="NX236" t="s">
        <v>916</v>
      </c>
      <c r="NY236">
        <v>529</v>
      </c>
      <c r="OB236" s="15">
        <v>3</v>
      </c>
      <c r="OU236" t="s">
        <v>941</v>
      </c>
      <c r="OV236" t="s">
        <v>518</v>
      </c>
      <c r="OX236">
        <v>2015</v>
      </c>
      <c r="OY236">
        <v>2016</v>
      </c>
      <c r="PB236" t="s">
        <v>522</v>
      </c>
      <c r="PC236" s="50">
        <v>46104</v>
      </c>
    </row>
    <row r="237" spans="1:419" ht="15.75" thickBot="1">
      <c r="A237" t="s">
        <v>469</v>
      </c>
      <c r="B237" t="s">
        <v>899</v>
      </c>
      <c r="C237" t="s">
        <v>900</v>
      </c>
      <c r="D237" s="59" t="s">
        <v>472</v>
      </c>
      <c r="E237" t="s">
        <v>940</v>
      </c>
      <c r="F237" s="4" t="s">
        <v>902</v>
      </c>
      <c r="G237" t="s">
        <v>475</v>
      </c>
      <c r="H237" t="s">
        <v>476</v>
      </c>
      <c r="I237">
        <v>6.7519444440000003</v>
      </c>
      <c r="J237">
        <v>38.33361111</v>
      </c>
      <c r="K237">
        <v>500</v>
      </c>
      <c r="AV237" t="s">
        <v>903</v>
      </c>
      <c r="AW237">
        <v>420</v>
      </c>
      <c r="AX237">
        <v>0.18</v>
      </c>
      <c r="AY237">
        <v>1</v>
      </c>
      <c r="AZ237" t="s">
        <v>904</v>
      </c>
      <c r="BA237">
        <v>2015</v>
      </c>
      <c r="BB237">
        <v>2016</v>
      </c>
      <c r="BD237" t="s">
        <v>931</v>
      </c>
      <c r="BE237" t="s">
        <v>566</v>
      </c>
      <c r="BF237" s="3" t="s">
        <v>484</v>
      </c>
      <c r="BG237" t="s">
        <v>485</v>
      </c>
      <c r="BH237" t="s">
        <v>480</v>
      </c>
      <c r="BI237" t="s">
        <v>486</v>
      </c>
      <c r="BJ237">
        <v>53333</v>
      </c>
      <c r="BK237" t="s">
        <v>537</v>
      </c>
      <c r="BL237" t="s">
        <v>932</v>
      </c>
      <c r="BM237" t="s">
        <v>480</v>
      </c>
      <c r="BN237" t="s">
        <v>486</v>
      </c>
      <c r="BO237">
        <v>66666</v>
      </c>
      <c r="EG237" s="9"/>
      <c r="EH237" s="9"/>
      <c r="EI237" s="9"/>
      <c r="EJ237" s="9"/>
      <c r="EK237" s="9"/>
      <c r="EL237" s="9"/>
      <c r="EM237" s="9"/>
      <c r="EN237" s="9"/>
      <c r="EO237" s="9"/>
      <c r="EP237" s="9"/>
      <c r="EQ237" s="9"/>
      <c r="ER237" s="9"/>
      <c r="ES237" s="9"/>
      <c r="ET237" s="9"/>
      <c r="EU237" s="9"/>
      <c r="EV237" s="9"/>
      <c r="EW237" s="9"/>
      <c r="EX237" s="9"/>
      <c r="EY237" s="9"/>
      <c r="EZ237" s="9"/>
      <c r="FA237" s="9"/>
      <c r="FB237" s="9"/>
      <c r="FC237" s="9"/>
      <c r="FD237" s="9"/>
      <c r="FE237" s="9"/>
      <c r="FF237" s="9"/>
      <c r="FG237" s="9"/>
      <c r="FH237" s="9"/>
      <c r="FI237" s="9"/>
      <c r="FJ237" s="9"/>
      <c r="FK237" s="9"/>
      <c r="FL237" s="9"/>
      <c r="FM237" s="9"/>
      <c r="FN237" s="9"/>
      <c r="FO237" s="9"/>
      <c r="FP237" s="9"/>
      <c r="FQ237" s="9"/>
      <c r="FR237" s="9"/>
      <c r="FS237" s="9"/>
      <c r="FT237" s="9"/>
      <c r="FU237" s="9"/>
      <c r="FV237" s="9"/>
      <c r="FW237" s="9"/>
      <c r="FX237" s="9"/>
      <c r="FY237" s="9"/>
      <c r="FZ237" s="9"/>
      <c r="GA237" s="9"/>
      <c r="GB237" s="9"/>
      <c r="GC237" s="9"/>
      <c r="GD237" s="9"/>
      <c r="GE237" s="9"/>
      <c r="GF237" s="9"/>
      <c r="GG237" s="9"/>
      <c r="GH237" s="9"/>
      <c r="GI237" s="9"/>
      <c r="GJ237" s="9"/>
      <c r="GK237" s="9"/>
      <c r="GL237" s="9"/>
      <c r="GM237" s="9"/>
      <c r="GN237" s="9"/>
      <c r="GO237" s="9"/>
      <c r="GP237" s="9"/>
      <c r="GQ237" s="9"/>
      <c r="GR237" s="9"/>
      <c r="GS237" s="9"/>
      <c r="GT237" s="9"/>
      <c r="GU237" s="9"/>
      <c r="GV237" s="9"/>
      <c r="GW237" s="9"/>
      <c r="GX237" s="9"/>
      <c r="GY237" s="9"/>
      <c r="GZ237" s="9"/>
      <c r="HA237" s="9"/>
      <c r="HB237" s="9"/>
      <c r="HC237" s="9"/>
      <c r="HD237" s="9"/>
      <c r="HE237" s="9"/>
      <c r="HF237" s="9"/>
      <c r="HG237" s="9"/>
      <c r="HH237" s="9"/>
      <c r="HI237" s="9"/>
      <c r="HJ237" s="9"/>
      <c r="HV237" s="50"/>
      <c r="HW237" s="50"/>
      <c r="IH237" t="s">
        <v>933</v>
      </c>
      <c r="II237" s="75" t="s">
        <v>929</v>
      </c>
      <c r="IJ237" t="s">
        <v>542</v>
      </c>
      <c r="IK237" t="s">
        <v>543</v>
      </c>
      <c r="IL237" t="s">
        <v>480</v>
      </c>
      <c r="IM237" t="s">
        <v>480</v>
      </c>
      <c r="IN237" t="s">
        <v>480</v>
      </c>
      <c r="JJ237" t="s">
        <v>934</v>
      </c>
      <c r="JK237" t="s">
        <v>920</v>
      </c>
      <c r="JL237" t="s">
        <v>495</v>
      </c>
      <c r="JM237" t="s">
        <v>908</v>
      </c>
      <c r="JN237" s="4" t="s">
        <v>497</v>
      </c>
      <c r="JO237" t="s">
        <v>921</v>
      </c>
      <c r="MY237" t="s">
        <v>910</v>
      </c>
      <c r="MZ237">
        <v>70</v>
      </c>
      <c r="NA237" t="s">
        <v>911</v>
      </c>
      <c r="NB237" t="s">
        <v>548</v>
      </c>
      <c r="NC237" s="4" t="s">
        <v>511</v>
      </c>
      <c r="ND237" t="s">
        <v>935</v>
      </c>
      <c r="NI237" t="s">
        <v>912</v>
      </c>
      <c r="NJ237" t="s">
        <v>913</v>
      </c>
      <c r="NK237" t="s">
        <v>914</v>
      </c>
      <c r="NL237" s="4" t="s">
        <v>515</v>
      </c>
      <c r="NM237" s="6" t="s">
        <v>516</v>
      </c>
      <c r="NV237" t="s">
        <v>518</v>
      </c>
      <c r="NW237">
        <v>3489</v>
      </c>
      <c r="NX237" t="s">
        <v>916</v>
      </c>
      <c r="NY237">
        <v>868</v>
      </c>
      <c r="OB237" s="15">
        <v>3</v>
      </c>
      <c r="OU237" t="s">
        <v>941</v>
      </c>
      <c r="OV237" t="s">
        <v>518</v>
      </c>
      <c r="OX237">
        <v>2015</v>
      </c>
      <c r="OY237">
        <v>2016</v>
      </c>
      <c r="PB237" t="s">
        <v>522</v>
      </c>
      <c r="PC237" s="50">
        <v>46104</v>
      </c>
    </row>
    <row r="238" spans="1:419" ht="15.75" thickBot="1">
      <c r="A238" t="s">
        <v>469</v>
      </c>
      <c r="B238" t="s">
        <v>899</v>
      </c>
      <c r="C238" t="s">
        <v>900</v>
      </c>
      <c r="D238" s="59" t="s">
        <v>472</v>
      </c>
      <c r="E238" t="s">
        <v>940</v>
      </c>
      <c r="F238" s="4" t="s">
        <v>902</v>
      </c>
      <c r="G238" t="s">
        <v>475</v>
      </c>
      <c r="H238" t="s">
        <v>476</v>
      </c>
      <c r="I238">
        <v>6.7519444440000003</v>
      </c>
      <c r="J238">
        <v>38.33361111</v>
      </c>
      <c r="K238">
        <v>500</v>
      </c>
      <c r="AV238" t="s">
        <v>903</v>
      </c>
      <c r="AW238">
        <v>420</v>
      </c>
      <c r="AX238">
        <v>0.18</v>
      </c>
      <c r="AY238">
        <v>1</v>
      </c>
      <c r="AZ238" t="s">
        <v>904</v>
      </c>
      <c r="BA238">
        <v>2015</v>
      </c>
      <c r="BB238">
        <v>2016</v>
      </c>
      <c r="BD238" t="s">
        <v>936</v>
      </c>
      <c r="BE238" t="s">
        <v>602</v>
      </c>
      <c r="BF238" s="3" t="s">
        <v>484</v>
      </c>
      <c r="BG238" t="s">
        <v>485</v>
      </c>
      <c r="BH238" t="s">
        <v>480</v>
      </c>
      <c r="BI238" t="s">
        <v>486</v>
      </c>
      <c r="BJ238">
        <v>53333</v>
      </c>
      <c r="HQ238" t="s">
        <v>923</v>
      </c>
      <c r="IH238" t="s">
        <v>491</v>
      </c>
      <c r="II238" t="s">
        <v>492</v>
      </c>
      <c r="JJ238" t="s">
        <v>937</v>
      </c>
      <c r="JK238" t="s">
        <v>920</v>
      </c>
      <c r="JL238" t="s">
        <v>495</v>
      </c>
      <c r="JM238" t="s">
        <v>908</v>
      </c>
      <c r="JN238" s="4" t="s">
        <v>497</v>
      </c>
      <c r="JO238" t="s">
        <v>921</v>
      </c>
      <c r="MY238" t="s">
        <v>910</v>
      </c>
      <c r="MZ238">
        <v>70</v>
      </c>
      <c r="NA238" t="s">
        <v>911</v>
      </c>
      <c r="NB238" t="s">
        <v>548</v>
      </c>
      <c r="NC238" s="4" t="s">
        <v>511</v>
      </c>
      <c r="NI238" t="s">
        <v>912</v>
      </c>
      <c r="NJ238" t="s">
        <v>913</v>
      </c>
      <c r="NK238" t="s">
        <v>914</v>
      </c>
      <c r="NL238" s="4" t="s">
        <v>515</v>
      </c>
      <c r="NM238" s="6" t="s">
        <v>516</v>
      </c>
      <c r="NU238" t="s">
        <v>657</v>
      </c>
      <c r="NV238" t="s">
        <v>518</v>
      </c>
      <c r="NW238">
        <v>4653</v>
      </c>
      <c r="NX238" t="s">
        <v>916</v>
      </c>
      <c r="NY238">
        <v>1054</v>
      </c>
      <c r="OB238" s="15">
        <v>3</v>
      </c>
      <c r="OU238" t="s">
        <v>941</v>
      </c>
      <c r="OV238" t="s">
        <v>518</v>
      </c>
      <c r="OX238">
        <v>2015</v>
      </c>
      <c r="OY238">
        <v>2016</v>
      </c>
      <c r="PB238" t="s">
        <v>522</v>
      </c>
      <c r="PC238" s="50">
        <v>46104</v>
      </c>
    </row>
    <row r="239" spans="1:419" ht="15.75" thickBot="1">
      <c r="A239" t="s">
        <v>469</v>
      </c>
      <c r="B239" t="s">
        <v>899</v>
      </c>
      <c r="C239" t="s">
        <v>900</v>
      </c>
      <c r="D239" s="59" t="s">
        <v>472</v>
      </c>
      <c r="E239" t="s">
        <v>901</v>
      </c>
      <c r="F239" s="4" t="s">
        <v>902</v>
      </c>
      <c r="G239" t="s">
        <v>475</v>
      </c>
      <c r="H239" t="s">
        <v>476</v>
      </c>
      <c r="I239">
        <v>7.971944444</v>
      </c>
      <c r="J239">
        <v>38.633055560000003</v>
      </c>
      <c r="K239">
        <v>200</v>
      </c>
      <c r="AV239" t="s">
        <v>903</v>
      </c>
      <c r="AW239">
        <v>420</v>
      </c>
      <c r="AX239">
        <v>2.5</v>
      </c>
      <c r="AY239">
        <v>1</v>
      </c>
      <c r="AZ239" t="s">
        <v>904</v>
      </c>
      <c r="BA239">
        <v>2015</v>
      </c>
      <c r="BB239">
        <v>2016</v>
      </c>
      <c r="BD239" t="s">
        <v>905</v>
      </c>
      <c r="BE239" t="s">
        <v>524</v>
      </c>
      <c r="BF239" s="3" t="s">
        <v>484</v>
      </c>
      <c r="BG239" t="s">
        <v>485</v>
      </c>
      <c r="BH239" t="s">
        <v>480</v>
      </c>
      <c r="BI239" s="4" t="s">
        <v>486</v>
      </c>
      <c r="BJ239">
        <v>53333</v>
      </c>
      <c r="EG239" s="9"/>
      <c r="EH239" s="9"/>
      <c r="EI239" s="9"/>
      <c r="EJ239" s="9"/>
      <c r="EK239" s="9"/>
      <c r="EL239" s="9"/>
      <c r="EM239" s="9"/>
      <c r="EN239" s="9"/>
      <c r="EO239" s="9"/>
      <c r="EP239" s="9"/>
      <c r="EQ239" s="9"/>
      <c r="ER239" s="9"/>
      <c r="ES239" s="9"/>
      <c r="ET239" s="9"/>
      <c r="EU239" s="9"/>
      <c r="EV239" s="9"/>
      <c r="EW239" s="9"/>
      <c r="EX239" s="9"/>
      <c r="EY239" s="9"/>
      <c r="EZ239" s="9"/>
      <c r="FA239" s="9"/>
      <c r="FB239" s="9"/>
      <c r="FC239" s="9"/>
      <c r="FD239" s="9"/>
      <c r="FE239" s="9"/>
      <c r="FF239" s="9"/>
      <c r="FG239" s="9"/>
      <c r="FH239" s="9"/>
      <c r="FI239" s="9"/>
      <c r="FJ239" s="9"/>
      <c r="FK239" s="9"/>
      <c r="FL239" s="9"/>
      <c r="FM239" s="9"/>
      <c r="FN239" s="9"/>
      <c r="FO239" s="9"/>
      <c r="FP239" s="9"/>
      <c r="FQ239" s="9"/>
      <c r="FR239" s="9"/>
      <c r="FS239" s="9"/>
      <c r="FT239" s="9"/>
      <c r="FU239" s="9"/>
      <c r="FV239" s="9"/>
      <c r="FW239" s="9"/>
      <c r="FX239" s="9"/>
      <c r="FY239" s="9"/>
      <c r="FZ239" s="9"/>
      <c r="GA239" s="9"/>
      <c r="GB239" s="9"/>
      <c r="GC239" s="9"/>
      <c r="GD239" s="9"/>
      <c r="GE239" s="9"/>
      <c r="GF239" s="9"/>
      <c r="GG239" s="9"/>
      <c r="GH239" s="9"/>
      <c r="GI239" s="9"/>
      <c r="GJ239" s="9"/>
      <c r="GK239" s="9"/>
      <c r="GL239" s="9"/>
      <c r="GM239" s="9"/>
      <c r="GN239" s="9"/>
      <c r="GO239" s="9"/>
      <c r="GP239" s="9"/>
      <c r="GQ239" s="9"/>
      <c r="GR239" s="9"/>
      <c r="GS239" s="9"/>
      <c r="GT239" s="9"/>
      <c r="GU239" s="9"/>
      <c r="GV239" s="9"/>
      <c r="GW239" s="9"/>
      <c r="GX239" s="9"/>
      <c r="GY239" s="9"/>
      <c r="GZ239" s="9"/>
      <c r="HA239" s="9"/>
      <c r="HB239" s="9"/>
      <c r="HC239" s="9"/>
      <c r="HD239" s="9"/>
      <c r="HE239" s="9"/>
      <c r="HF239" s="9"/>
      <c r="HG239" s="9"/>
      <c r="HH239" s="9"/>
      <c r="HI239" s="9"/>
      <c r="HJ239" s="9"/>
      <c r="HV239" s="50"/>
      <c r="HW239" s="50"/>
      <c r="IH239" t="s">
        <v>491</v>
      </c>
      <c r="II239" t="s">
        <v>492</v>
      </c>
      <c r="JJ239" t="s">
        <v>906</v>
      </c>
      <c r="JK239" s="75" t="s">
        <v>907</v>
      </c>
      <c r="JL239" s="8" t="s">
        <v>495</v>
      </c>
      <c r="JM239" s="8" t="s">
        <v>908</v>
      </c>
      <c r="JN239" s="4" t="s">
        <v>497</v>
      </c>
      <c r="JO239" s="4" t="s">
        <v>508</v>
      </c>
      <c r="MY239" t="s">
        <v>942</v>
      </c>
      <c r="MZ239">
        <v>70</v>
      </c>
      <c r="NI239" t="s">
        <v>912</v>
      </c>
      <c r="NJ239" t="s">
        <v>943</v>
      </c>
      <c r="NK239" t="s">
        <v>914</v>
      </c>
      <c r="NL239" s="4" t="s">
        <v>944</v>
      </c>
      <c r="NM239" s="6" t="s">
        <v>516</v>
      </c>
      <c r="NU239" t="s">
        <v>915</v>
      </c>
      <c r="NV239" t="s">
        <v>518</v>
      </c>
      <c r="NW239">
        <v>219</v>
      </c>
      <c r="NX239" t="s">
        <v>916</v>
      </c>
      <c r="NY239">
        <v>6</v>
      </c>
      <c r="OB239">
        <v>3</v>
      </c>
      <c r="OU239" t="s">
        <v>917</v>
      </c>
      <c r="OV239" t="s">
        <v>518</v>
      </c>
      <c r="OX239">
        <v>2015</v>
      </c>
      <c r="OY239">
        <v>2016</v>
      </c>
      <c r="PB239" t="s">
        <v>522</v>
      </c>
      <c r="PC239" s="50">
        <v>46104</v>
      </c>
    </row>
    <row r="240" spans="1:419" ht="15.75" thickBot="1">
      <c r="A240" t="s">
        <v>469</v>
      </c>
      <c r="B240" t="s">
        <v>899</v>
      </c>
      <c r="C240" t="s">
        <v>900</v>
      </c>
      <c r="D240" s="59" t="s">
        <v>472</v>
      </c>
      <c r="E240" t="s">
        <v>901</v>
      </c>
      <c r="F240" s="4" t="s">
        <v>902</v>
      </c>
      <c r="G240" t="s">
        <v>475</v>
      </c>
      <c r="H240" t="s">
        <v>476</v>
      </c>
      <c r="I240">
        <v>7.971944444</v>
      </c>
      <c r="J240">
        <v>38.633055560000003</v>
      </c>
      <c r="K240">
        <v>200</v>
      </c>
      <c r="AV240" t="s">
        <v>903</v>
      </c>
      <c r="AW240">
        <v>420</v>
      </c>
      <c r="AX240">
        <v>2.5</v>
      </c>
      <c r="AY240">
        <v>1</v>
      </c>
      <c r="AZ240" t="s">
        <v>904</v>
      </c>
      <c r="BA240">
        <v>2015</v>
      </c>
      <c r="BB240">
        <v>2016</v>
      </c>
      <c r="BD240" t="s">
        <v>918</v>
      </c>
      <c r="BE240" t="s">
        <v>483</v>
      </c>
      <c r="BF240" s="3" t="s">
        <v>484</v>
      </c>
      <c r="BG240" t="s">
        <v>485</v>
      </c>
      <c r="BH240" t="s">
        <v>480</v>
      </c>
      <c r="BI240" t="s">
        <v>486</v>
      </c>
      <c r="BJ240">
        <v>53333</v>
      </c>
      <c r="EG240" s="9"/>
      <c r="EH240" s="9"/>
      <c r="EI240" s="9"/>
      <c r="EJ240" s="9"/>
      <c r="EK240" s="9"/>
      <c r="EL240" s="9"/>
      <c r="EM240" s="9"/>
      <c r="EN240" s="9"/>
      <c r="EO240" s="9"/>
      <c r="EP240" s="9"/>
      <c r="EQ240" s="9"/>
      <c r="ER240" s="9"/>
      <c r="ES240" s="9"/>
      <c r="ET240" s="9"/>
      <c r="EU240" s="9"/>
      <c r="EV240" s="9"/>
      <c r="EW240" s="9"/>
      <c r="EX240" s="9"/>
      <c r="EY240" s="9"/>
      <c r="EZ240" s="9"/>
      <c r="FA240" s="9"/>
      <c r="FB240" s="9"/>
      <c r="FC240" s="9"/>
      <c r="FD240" s="9"/>
      <c r="FE240" s="9"/>
      <c r="FF240" s="9"/>
      <c r="FG240" s="9"/>
      <c r="FH240" s="9"/>
      <c r="FI240" s="9"/>
      <c r="FJ240" s="9"/>
      <c r="FK240" s="9"/>
      <c r="FL240" s="9"/>
      <c r="FM240" s="9"/>
      <c r="FN240" s="9"/>
      <c r="FO240" s="9"/>
      <c r="FP240" s="9"/>
      <c r="FQ240" s="9"/>
      <c r="FR240" s="9"/>
      <c r="FS240" s="9"/>
      <c r="FT240" s="9"/>
      <c r="FU240" s="9"/>
      <c r="FV240" s="9"/>
      <c r="FW240" s="9"/>
      <c r="FX240" s="9"/>
      <c r="FY240" s="9"/>
      <c r="FZ240" s="9"/>
      <c r="GA240" s="9"/>
      <c r="GB240" s="9"/>
      <c r="GC240" s="9"/>
      <c r="GD240" s="9"/>
      <c r="GE240" s="9"/>
      <c r="GF240" s="9"/>
      <c r="GG240" s="9"/>
      <c r="GH240" s="9"/>
      <c r="GI240" s="9"/>
      <c r="GJ240" s="9"/>
      <c r="GK240" s="9"/>
      <c r="GL240" s="9"/>
      <c r="GM240" s="9"/>
      <c r="GN240" s="9"/>
      <c r="GO240" s="9"/>
      <c r="GP240" s="9"/>
      <c r="GQ240" s="9"/>
      <c r="GR240" s="9"/>
      <c r="GS240" s="9"/>
      <c r="GT240" s="9"/>
      <c r="GU240" s="9"/>
      <c r="GV240" s="9"/>
      <c r="GW240" s="9"/>
      <c r="GX240" s="9"/>
      <c r="GY240" s="9"/>
      <c r="GZ240" s="9"/>
      <c r="HA240" s="9"/>
      <c r="HB240" s="9"/>
      <c r="HC240" s="9"/>
      <c r="HD240" s="9"/>
      <c r="HE240" s="9"/>
      <c r="HF240" s="9"/>
      <c r="HG240" s="9"/>
      <c r="HH240" s="9"/>
      <c r="HI240" s="9"/>
      <c r="HJ240" s="9"/>
      <c r="HV240" s="50"/>
      <c r="HW240" s="50"/>
      <c r="IH240" t="s">
        <v>491</v>
      </c>
      <c r="II240" t="s">
        <v>492</v>
      </c>
      <c r="JJ240" t="s">
        <v>919</v>
      </c>
      <c r="JK240" s="46" t="s">
        <v>920</v>
      </c>
      <c r="JL240" t="s">
        <v>495</v>
      </c>
      <c r="JM240" s="8" t="s">
        <v>908</v>
      </c>
      <c r="JN240" s="4" t="s">
        <v>497</v>
      </c>
      <c r="JO240" s="4" t="s">
        <v>508</v>
      </c>
      <c r="MY240" t="s">
        <v>942</v>
      </c>
      <c r="MZ240">
        <v>70</v>
      </c>
      <c r="NI240" t="s">
        <v>912</v>
      </c>
      <c r="NJ240" t="s">
        <v>943</v>
      </c>
      <c r="NK240" t="s">
        <v>914</v>
      </c>
      <c r="NL240" s="4" t="s">
        <v>944</v>
      </c>
      <c r="NM240" s="6" t="s">
        <v>516</v>
      </c>
      <c r="NU240" t="s">
        <v>657</v>
      </c>
      <c r="NV240" t="s">
        <v>518</v>
      </c>
      <c r="NW240">
        <v>136</v>
      </c>
      <c r="NX240" t="s">
        <v>916</v>
      </c>
      <c r="NY240">
        <v>6</v>
      </c>
      <c r="OB240">
        <v>3</v>
      </c>
      <c r="OU240" t="s">
        <v>917</v>
      </c>
      <c r="OV240" t="s">
        <v>518</v>
      </c>
      <c r="OX240">
        <v>2015</v>
      </c>
      <c r="OY240">
        <v>2016</v>
      </c>
      <c r="PB240" t="s">
        <v>522</v>
      </c>
      <c r="PC240" s="50">
        <v>46104</v>
      </c>
    </row>
    <row r="241" spans="1:419" ht="15.75" thickBot="1">
      <c r="A241" t="s">
        <v>469</v>
      </c>
      <c r="B241" t="s">
        <v>899</v>
      </c>
      <c r="C241" t="s">
        <v>900</v>
      </c>
      <c r="D241" s="59" t="s">
        <v>472</v>
      </c>
      <c r="E241" t="s">
        <v>901</v>
      </c>
      <c r="F241" s="4" t="s">
        <v>902</v>
      </c>
      <c r="G241" t="s">
        <v>475</v>
      </c>
      <c r="H241" t="s">
        <v>476</v>
      </c>
      <c r="I241">
        <v>7.971944444</v>
      </c>
      <c r="J241">
        <v>38.633055560000003</v>
      </c>
      <c r="K241">
        <v>200</v>
      </c>
      <c r="AV241" t="s">
        <v>903</v>
      </c>
      <c r="AW241">
        <v>420</v>
      </c>
      <c r="AX241">
        <v>2.5</v>
      </c>
      <c r="AY241">
        <v>1</v>
      </c>
      <c r="AZ241" t="s">
        <v>904</v>
      </c>
      <c r="BA241">
        <v>2015</v>
      </c>
      <c r="BB241">
        <v>2016</v>
      </c>
      <c r="BD241" t="s">
        <v>922</v>
      </c>
      <c r="BE241" t="s">
        <v>593</v>
      </c>
      <c r="BF241" s="3" t="s">
        <v>484</v>
      </c>
      <c r="BG241" t="s">
        <v>485</v>
      </c>
      <c r="BH241" t="s">
        <v>480</v>
      </c>
      <c r="BI241" t="s">
        <v>486</v>
      </c>
      <c r="BJ241">
        <v>53333</v>
      </c>
      <c r="EG241" s="9"/>
      <c r="EH241" s="9"/>
      <c r="EI241" s="9"/>
      <c r="EJ241" s="9"/>
      <c r="EK241" s="9"/>
      <c r="EL241" s="9"/>
      <c r="EM241" s="9"/>
      <c r="EN241" s="9"/>
      <c r="EO241" s="9"/>
      <c r="EP241" s="9"/>
      <c r="EQ241" s="9"/>
      <c r="ER241" s="9"/>
      <c r="ES241" s="9"/>
      <c r="ET241" s="9"/>
      <c r="EU241" s="9"/>
      <c r="EV241" s="9"/>
      <c r="EW241" s="9"/>
      <c r="EX241" s="9"/>
      <c r="EY241" s="9"/>
      <c r="EZ241" s="9"/>
      <c r="FA241" s="9"/>
      <c r="FB241" s="9"/>
      <c r="FC241" s="9"/>
      <c r="FD241" s="9"/>
      <c r="FE241" s="9"/>
      <c r="FF241" s="9"/>
      <c r="FG241" s="9"/>
      <c r="FH241" s="9"/>
      <c r="FI241" s="9"/>
      <c r="FJ241" s="9"/>
      <c r="FK241" s="9"/>
      <c r="FL241" s="9"/>
      <c r="FM241" s="9"/>
      <c r="FN241" s="9"/>
      <c r="FO241" s="9"/>
      <c r="FP241" s="9"/>
      <c r="FQ241" s="9"/>
      <c r="FR241" s="9"/>
      <c r="FS241" s="9"/>
      <c r="FT241" s="9"/>
      <c r="FU241" s="9"/>
      <c r="FV241" s="9"/>
      <c r="FW241" s="9"/>
      <c r="FX241" s="9"/>
      <c r="FY241" s="9"/>
      <c r="FZ241" s="9"/>
      <c r="GA241" s="9"/>
      <c r="GB241" s="9"/>
      <c r="GC241" s="9"/>
      <c r="GD241" s="9"/>
      <c r="GE241" s="9"/>
      <c r="GF241" s="9"/>
      <c r="GG241" s="9"/>
      <c r="GH241" s="9"/>
      <c r="GI241" s="9"/>
      <c r="GJ241" s="9"/>
      <c r="GK241" s="9"/>
      <c r="GL241" s="9"/>
      <c r="GM241" s="9"/>
      <c r="GN241" s="9"/>
      <c r="GO241" s="9"/>
      <c r="GP241" s="9"/>
      <c r="GQ241" s="9"/>
      <c r="GR241" s="9"/>
      <c r="GS241" s="9"/>
      <c r="GT241" s="9"/>
      <c r="GU241" s="9"/>
      <c r="GV241" s="9"/>
      <c r="GW241" s="9"/>
      <c r="GX241" s="9"/>
      <c r="GY241" s="9"/>
      <c r="GZ241" s="9"/>
      <c r="HA241" s="9"/>
      <c r="HB241" s="9"/>
      <c r="HC241" s="9"/>
      <c r="HD241" s="9"/>
      <c r="HE241" s="9"/>
      <c r="HF241" s="9"/>
      <c r="HG241" s="9"/>
      <c r="HH241" s="9"/>
      <c r="HI241" s="9"/>
      <c r="HJ241" s="9"/>
      <c r="HQ241" t="s">
        <v>923</v>
      </c>
      <c r="HV241" s="50"/>
      <c r="HW241" s="50"/>
      <c r="IH241" t="s">
        <v>491</v>
      </c>
      <c r="II241" t="s">
        <v>492</v>
      </c>
      <c r="JJ241" t="s">
        <v>924</v>
      </c>
      <c r="JK241" s="75" t="s">
        <v>907</v>
      </c>
      <c r="JL241" t="s">
        <v>495</v>
      </c>
      <c r="JM241" t="s">
        <v>908</v>
      </c>
      <c r="JN241" s="4" t="s">
        <v>497</v>
      </c>
      <c r="JO241" t="s">
        <v>508</v>
      </c>
      <c r="KV241" t="s">
        <v>925</v>
      </c>
      <c r="MY241" t="s">
        <v>942</v>
      </c>
      <c r="MZ241">
        <v>70</v>
      </c>
      <c r="NI241" t="s">
        <v>912</v>
      </c>
      <c r="NJ241" t="s">
        <v>943</v>
      </c>
      <c r="NK241" t="s">
        <v>914</v>
      </c>
      <c r="NL241" s="4" t="s">
        <v>944</v>
      </c>
      <c r="NM241" s="6" t="s">
        <v>516</v>
      </c>
      <c r="NU241" t="s">
        <v>915</v>
      </c>
      <c r="NV241" t="s">
        <v>518</v>
      </c>
      <c r="NW241">
        <v>219</v>
      </c>
      <c r="NX241" t="s">
        <v>916</v>
      </c>
      <c r="NY241">
        <v>6</v>
      </c>
      <c r="OB241">
        <v>3</v>
      </c>
      <c r="OU241" t="s">
        <v>917</v>
      </c>
      <c r="OV241" t="s">
        <v>518</v>
      </c>
      <c r="OX241">
        <v>2015</v>
      </c>
      <c r="OY241">
        <v>2016</v>
      </c>
      <c r="PB241" t="s">
        <v>522</v>
      </c>
      <c r="PC241" s="50">
        <v>46104</v>
      </c>
    </row>
    <row r="242" spans="1:419" ht="15.75" thickBot="1">
      <c r="A242" t="s">
        <v>469</v>
      </c>
      <c r="B242" t="s">
        <v>899</v>
      </c>
      <c r="C242" t="s">
        <v>900</v>
      </c>
      <c r="D242" s="59" t="s">
        <v>472</v>
      </c>
      <c r="E242" t="s">
        <v>901</v>
      </c>
      <c r="F242" s="4" t="s">
        <v>902</v>
      </c>
      <c r="G242" t="s">
        <v>475</v>
      </c>
      <c r="H242" t="s">
        <v>476</v>
      </c>
      <c r="I242">
        <v>7.971944444</v>
      </c>
      <c r="J242">
        <v>38.633055560000003</v>
      </c>
      <c r="K242">
        <v>200</v>
      </c>
      <c r="AV242" t="s">
        <v>903</v>
      </c>
      <c r="AW242">
        <v>420</v>
      </c>
      <c r="AX242">
        <v>2.5</v>
      </c>
      <c r="AY242">
        <v>1</v>
      </c>
      <c r="AZ242" t="s">
        <v>904</v>
      </c>
      <c r="BA242">
        <v>2015</v>
      </c>
      <c r="BB242">
        <v>2016</v>
      </c>
      <c r="BD242" t="s">
        <v>926</v>
      </c>
      <c r="BE242" t="s">
        <v>536</v>
      </c>
      <c r="BF242" s="3" t="s">
        <v>484</v>
      </c>
      <c r="BG242" t="s">
        <v>485</v>
      </c>
      <c r="BH242" t="s">
        <v>480</v>
      </c>
      <c r="BI242" t="s">
        <v>486</v>
      </c>
      <c r="BJ242">
        <v>53333</v>
      </c>
      <c r="BK242" t="s">
        <v>537</v>
      </c>
      <c r="BL242" t="s">
        <v>927</v>
      </c>
      <c r="BM242" t="s">
        <v>480</v>
      </c>
      <c r="BN242" t="s">
        <v>486</v>
      </c>
      <c r="BO242">
        <v>266666</v>
      </c>
      <c r="EG242" s="9"/>
      <c r="EH242" s="9"/>
      <c r="EI242" s="9"/>
      <c r="EJ242" s="9"/>
      <c r="EK242" s="9"/>
      <c r="EL242" s="9"/>
      <c r="EM242" s="9"/>
      <c r="EN242" s="9"/>
      <c r="EO242" s="9"/>
      <c r="EP242" s="9"/>
      <c r="EQ242" s="9"/>
      <c r="ER242" s="9"/>
      <c r="ES242" s="9"/>
      <c r="ET242" s="9"/>
      <c r="EU242" s="9"/>
      <c r="EV242" s="9"/>
      <c r="EW242" s="9"/>
      <c r="EX242" s="9"/>
      <c r="EY242" s="9"/>
      <c r="EZ242" s="9"/>
      <c r="FA242" s="9"/>
      <c r="FB242" s="9"/>
      <c r="FC242" s="9"/>
      <c r="FD242" s="9"/>
      <c r="FE242" s="9"/>
      <c r="FF242" s="9"/>
      <c r="FG242" s="9"/>
      <c r="FH242" s="9"/>
      <c r="FI242" s="9"/>
      <c r="FJ242" s="9"/>
      <c r="FK242" s="9"/>
      <c r="FL242" s="9"/>
      <c r="FM242" s="9"/>
      <c r="FN242" s="9"/>
      <c r="FO242" s="9"/>
      <c r="FP242" s="9"/>
      <c r="FQ242" s="9"/>
      <c r="FR242" s="9"/>
      <c r="FS242" s="9"/>
      <c r="FT242" s="9"/>
      <c r="FU242" s="9"/>
      <c r="FV242" s="9"/>
      <c r="FW242" s="9"/>
      <c r="FX242" s="9"/>
      <c r="FY242" s="9"/>
      <c r="FZ242" s="9"/>
      <c r="GA242" s="9"/>
      <c r="GB242" s="9"/>
      <c r="GC242" s="9"/>
      <c r="GD242" s="9"/>
      <c r="GE242" s="9"/>
      <c r="GF242" s="9"/>
      <c r="GG242" s="9"/>
      <c r="GH242" s="9"/>
      <c r="GI242" s="9"/>
      <c r="GJ242" s="9"/>
      <c r="GK242" s="9"/>
      <c r="GL242" s="9"/>
      <c r="GM242" s="9"/>
      <c r="GN242" s="9"/>
      <c r="GO242" s="9"/>
      <c r="GP242" s="9"/>
      <c r="GQ242" s="9"/>
      <c r="GR242" s="9"/>
      <c r="GS242" s="9"/>
      <c r="GT242" s="9"/>
      <c r="GU242" s="9"/>
      <c r="GV242" s="9"/>
      <c r="GW242" s="9"/>
      <c r="GX242" s="9"/>
      <c r="GY242" s="9"/>
      <c r="GZ242" s="9"/>
      <c r="HA242" s="9"/>
      <c r="HB242" s="9"/>
      <c r="HC242" s="9"/>
      <c r="HD242" s="9"/>
      <c r="HE242" s="9"/>
      <c r="HF242" s="9"/>
      <c r="HG242" s="9"/>
      <c r="HH242" s="9"/>
      <c r="HI242" s="9"/>
      <c r="HJ242" s="9"/>
      <c r="HV242" s="50"/>
      <c r="HW242" s="50"/>
      <c r="IH242" t="s">
        <v>928</v>
      </c>
      <c r="II242" s="75" t="s">
        <v>929</v>
      </c>
      <c r="IJ242" t="s">
        <v>542</v>
      </c>
      <c r="IK242" t="s">
        <v>543</v>
      </c>
      <c r="IL242" t="s">
        <v>480</v>
      </c>
      <c r="IM242" t="s">
        <v>480</v>
      </c>
      <c r="IN242" t="s">
        <v>480</v>
      </c>
      <c r="JJ242" t="s">
        <v>930</v>
      </c>
      <c r="JK242" t="s">
        <v>920</v>
      </c>
      <c r="JL242" t="s">
        <v>495</v>
      </c>
      <c r="JM242" t="s">
        <v>908</v>
      </c>
      <c r="JN242" s="4" t="s">
        <v>497</v>
      </c>
      <c r="JO242" t="s">
        <v>921</v>
      </c>
      <c r="MY242" t="s">
        <v>942</v>
      </c>
      <c r="MZ242">
        <v>70</v>
      </c>
      <c r="NI242" t="s">
        <v>912</v>
      </c>
      <c r="NJ242" t="s">
        <v>943</v>
      </c>
      <c r="NK242" t="s">
        <v>914</v>
      </c>
      <c r="NL242" s="4" t="s">
        <v>944</v>
      </c>
      <c r="NM242" s="6" t="s">
        <v>516</v>
      </c>
      <c r="NV242" t="s">
        <v>518</v>
      </c>
      <c r="NW242">
        <v>188</v>
      </c>
      <c r="NX242" t="s">
        <v>916</v>
      </c>
      <c r="NY242">
        <v>6</v>
      </c>
      <c r="OB242">
        <v>3</v>
      </c>
      <c r="OU242" t="s">
        <v>917</v>
      </c>
      <c r="OV242" t="s">
        <v>518</v>
      </c>
      <c r="OX242">
        <v>2015</v>
      </c>
      <c r="OY242">
        <v>2016</v>
      </c>
      <c r="PB242" t="s">
        <v>522</v>
      </c>
      <c r="PC242" s="50">
        <v>46104</v>
      </c>
    </row>
    <row r="243" spans="1:419" ht="15.75" thickBot="1">
      <c r="A243" t="s">
        <v>469</v>
      </c>
      <c r="B243" t="s">
        <v>899</v>
      </c>
      <c r="C243" t="s">
        <v>900</v>
      </c>
      <c r="D243" s="59" t="s">
        <v>472</v>
      </c>
      <c r="E243" t="s">
        <v>901</v>
      </c>
      <c r="F243" s="4" t="s">
        <v>902</v>
      </c>
      <c r="G243" t="s">
        <v>475</v>
      </c>
      <c r="H243" t="s">
        <v>476</v>
      </c>
      <c r="I243">
        <v>7.971944444</v>
      </c>
      <c r="J243">
        <v>38.633055560000003</v>
      </c>
      <c r="K243">
        <v>200</v>
      </c>
      <c r="AV243" t="s">
        <v>903</v>
      </c>
      <c r="AW243">
        <v>420</v>
      </c>
      <c r="AX243">
        <v>2.5</v>
      </c>
      <c r="AY243">
        <v>1</v>
      </c>
      <c r="AZ243" t="s">
        <v>904</v>
      </c>
      <c r="BA243">
        <v>2015</v>
      </c>
      <c r="BB243">
        <v>2016</v>
      </c>
      <c r="BD243" t="s">
        <v>931</v>
      </c>
      <c r="BE243" t="s">
        <v>566</v>
      </c>
      <c r="BF243" s="3" t="s">
        <v>484</v>
      </c>
      <c r="BG243" t="s">
        <v>485</v>
      </c>
      <c r="BH243" t="s">
        <v>480</v>
      </c>
      <c r="BI243" t="s">
        <v>486</v>
      </c>
      <c r="BJ243">
        <v>53333</v>
      </c>
      <c r="BK243" t="s">
        <v>537</v>
      </c>
      <c r="BL243" t="s">
        <v>932</v>
      </c>
      <c r="BM243" t="s">
        <v>480</v>
      </c>
      <c r="BN243" t="s">
        <v>486</v>
      </c>
      <c r="BO243">
        <v>66666</v>
      </c>
      <c r="EG243" s="9"/>
      <c r="EH243" s="9"/>
      <c r="EI243" s="9"/>
      <c r="EJ243" s="9"/>
      <c r="EK243" s="9"/>
      <c r="EL243" s="9"/>
      <c r="EM243" s="9"/>
      <c r="EN243" s="9"/>
      <c r="EO243" s="9"/>
      <c r="EP243" s="9"/>
      <c r="EQ243" s="9"/>
      <c r="ER243" s="9"/>
      <c r="ES243" s="9"/>
      <c r="ET243" s="9"/>
      <c r="EU243" s="9"/>
      <c r="EV243" s="9"/>
      <c r="EW243" s="9"/>
      <c r="EX243" s="9"/>
      <c r="EY243" s="9"/>
      <c r="EZ243" s="9"/>
      <c r="FA243" s="9"/>
      <c r="FB243" s="9"/>
      <c r="FC243" s="9"/>
      <c r="FD243" s="9"/>
      <c r="FE243" s="9"/>
      <c r="FF243" s="9"/>
      <c r="FG243" s="9"/>
      <c r="FH243" s="9"/>
      <c r="FI243" s="9"/>
      <c r="FJ243" s="9"/>
      <c r="FK243" s="9"/>
      <c r="FL243" s="9"/>
      <c r="FM243" s="9"/>
      <c r="FN243" s="9"/>
      <c r="FO243" s="9"/>
      <c r="FP243" s="9"/>
      <c r="FQ243" s="9"/>
      <c r="FR243" s="9"/>
      <c r="FS243" s="9"/>
      <c r="FT243" s="9"/>
      <c r="FU243" s="9"/>
      <c r="FV243" s="9"/>
      <c r="FW243" s="9"/>
      <c r="FX243" s="9"/>
      <c r="FY243" s="9"/>
      <c r="FZ243" s="9"/>
      <c r="GA243" s="9"/>
      <c r="GB243" s="9"/>
      <c r="GC243" s="9"/>
      <c r="GD243" s="9"/>
      <c r="GE243" s="9"/>
      <c r="GF243" s="9"/>
      <c r="GG243" s="9"/>
      <c r="GH243" s="9"/>
      <c r="GI243" s="9"/>
      <c r="GJ243" s="9"/>
      <c r="GK243" s="9"/>
      <c r="GL243" s="9"/>
      <c r="GM243" s="9"/>
      <c r="GN243" s="9"/>
      <c r="GO243" s="9"/>
      <c r="GP243" s="9"/>
      <c r="GQ243" s="9"/>
      <c r="GR243" s="9"/>
      <c r="GS243" s="9"/>
      <c r="GT243" s="9"/>
      <c r="GU243" s="9"/>
      <c r="GV243" s="9"/>
      <c r="GW243" s="9"/>
      <c r="GX243" s="9"/>
      <c r="GY243" s="9"/>
      <c r="GZ243" s="9"/>
      <c r="HA243" s="9"/>
      <c r="HB243" s="9"/>
      <c r="HC243" s="9"/>
      <c r="HD243" s="9"/>
      <c r="HE243" s="9"/>
      <c r="HF243" s="9"/>
      <c r="HG243" s="9"/>
      <c r="HH243" s="9"/>
      <c r="HI243" s="9"/>
      <c r="HJ243" s="9"/>
      <c r="HV243" s="50"/>
      <c r="HW243" s="50"/>
      <c r="IH243" t="s">
        <v>933</v>
      </c>
      <c r="II243" s="75" t="s">
        <v>929</v>
      </c>
      <c r="IJ243" t="s">
        <v>542</v>
      </c>
      <c r="IK243" t="s">
        <v>543</v>
      </c>
      <c r="IL243" t="s">
        <v>480</v>
      </c>
      <c r="IM243" t="s">
        <v>480</v>
      </c>
      <c r="IN243" t="s">
        <v>480</v>
      </c>
      <c r="JJ243" t="s">
        <v>934</v>
      </c>
      <c r="JK243" t="s">
        <v>920</v>
      </c>
      <c r="JL243" t="s">
        <v>495</v>
      </c>
      <c r="JM243" t="s">
        <v>908</v>
      </c>
      <c r="JN243" s="4" t="s">
        <v>497</v>
      </c>
      <c r="JO243" t="s">
        <v>921</v>
      </c>
      <c r="MY243" t="s">
        <v>942</v>
      </c>
      <c r="MZ243">
        <v>70</v>
      </c>
      <c r="NI243" t="s">
        <v>912</v>
      </c>
      <c r="NJ243" t="s">
        <v>943</v>
      </c>
      <c r="NK243" t="s">
        <v>914</v>
      </c>
      <c r="NL243" s="4" t="s">
        <v>944</v>
      </c>
      <c r="NM243" s="6" t="s">
        <v>516</v>
      </c>
      <c r="NV243" t="s">
        <v>518</v>
      </c>
      <c r="NW243">
        <v>225</v>
      </c>
      <c r="NX243" t="s">
        <v>916</v>
      </c>
      <c r="NY243">
        <v>6</v>
      </c>
      <c r="OB243">
        <v>3</v>
      </c>
      <c r="OU243" t="s">
        <v>917</v>
      </c>
      <c r="OV243" t="s">
        <v>518</v>
      </c>
      <c r="OX243">
        <v>2015</v>
      </c>
      <c r="OY243">
        <v>2016</v>
      </c>
      <c r="PB243" t="s">
        <v>522</v>
      </c>
      <c r="PC243" s="50">
        <v>46104</v>
      </c>
    </row>
    <row r="244" spans="1:419" ht="15.75" thickBot="1">
      <c r="A244" t="s">
        <v>469</v>
      </c>
      <c r="B244" t="s">
        <v>899</v>
      </c>
      <c r="C244" t="s">
        <v>900</v>
      </c>
      <c r="D244" s="59" t="s">
        <v>472</v>
      </c>
      <c r="E244" t="s">
        <v>901</v>
      </c>
      <c r="F244" s="4" t="s">
        <v>902</v>
      </c>
      <c r="G244" t="s">
        <v>475</v>
      </c>
      <c r="H244" t="s">
        <v>476</v>
      </c>
      <c r="I244">
        <v>7.971944444</v>
      </c>
      <c r="J244">
        <v>38.633055560000003</v>
      </c>
      <c r="K244">
        <v>200</v>
      </c>
      <c r="AV244" t="s">
        <v>903</v>
      </c>
      <c r="AW244">
        <v>420</v>
      </c>
      <c r="AX244">
        <v>2.5</v>
      </c>
      <c r="AY244">
        <v>1</v>
      </c>
      <c r="AZ244" t="s">
        <v>904</v>
      </c>
      <c r="BA244">
        <v>2015</v>
      </c>
      <c r="BB244">
        <v>2016</v>
      </c>
      <c r="BD244" t="s">
        <v>936</v>
      </c>
      <c r="BE244" t="s">
        <v>602</v>
      </c>
      <c r="BF244" s="3" t="s">
        <v>484</v>
      </c>
      <c r="BG244" t="s">
        <v>485</v>
      </c>
      <c r="BH244" t="s">
        <v>480</v>
      </c>
      <c r="BI244" t="s">
        <v>486</v>
      </c>
      <c r="BJ244">
        <v>53333</v>
      </c>
      <c r="EG244" s="9"/>
      <c r="EH244" s="9"/>
      <c r="EI244" s="9"/>
      <c r="EJ244" s="9"/>
      <c r="EK244" s="9"/>
      <c r="EL244" s="9"/>
      <c r="EM244" s="9"/>
      <c r="EN244" s="9"/>
      <c r="EO244" s="9"/>
      <c r="EP244" s="9"/>
      <c r="EQ244" s="9"/>
      <c r="ER244" s="9"/>
      <c r="ES244" s="9"/>
      <c r="ET244" s="9"/>
      <c r="EU244" s="9"/>
      <c r="EV244" s="9"/>
      <c r="EW244" s="9"/>
      <c r="EX244" s="9"/>
      <c r="EY244" s="9"/>
      <c r="EZ244" s="9"/>
      <c r="FA244" s="9"/>
      <c r="FB244" s="9"/>
      <c r="FC244" s="9"/>
      <c r="FD244" s="9"/>
      <c r="FE244" s="9"/>
      <c r="FF244" s="9"/>
      <c r="FG244" s="9"/>
      <c r="FH244" s="9"/>
      <c r="FI244" s="9"/>
      <c r="FJ244" s="9"/>
      <c r="FK244" s="9"/>
      <c r="FL244" s="9"/>
      <c r="FM244" s="9"/>
      <c r="FN244" s="9"/>
      <c r="FO244" s="9"/>
      <c r="FP244" s="9"/>
      <c r="FQ244" s="9"/>
      <c r="FR244" s="9"/>
      <c r="FS244" s="9"/>
      <c r="FT244" s="9"/>
      <c r="FU244" s="9"/>
      <c r="FV244" s="9"/>
      <c r="FW244" s="9"/>
      <c r="FX244" s="9"/>
      <c r="FY244" s="9"/>
      <c r="FZ244" s="9"/>
      <c r="GA244" s="9"/>
      <c r="GB244" s="9"/>
      <c r="GC244" s="9"/>
      <c r="GD244" s="9"/>
      <c r="GE244" s="9"/>
      <c r="GF244" s="9"/>
      <c r="GG244" s="9"/>
      <c r="GH244" s="9"/>
      <c r="GI244" s="9"/>
      <c r="GJ244" s="9"/>
      <c r="GK244" s="9"/>
      <c r="GL244" s="9"/>
      <c r="GM244" s="9"/>
      <c r="GN244" s="9"/>
      <c r="GO244" s="9"/>
      <c r="GP244" s="9"/>
      <c r="GQ244" s="9"/>
      <c r="GR244" s="9"/>
      <c r="GS244" s="9"/>
      <c r="GT244" s="9"/>
      <c r="GU244" s="9"/>
      <c r="GV244" s="9"/>
      <c r="GW244" s="9"/>
      <c r="GX244" s="9"/>
      <c r="GY244" s="9"/>
      <c r="GZ244" s="9"/>
      <c r="HA244" s="9"/>
      <c r="HB244" s="9"/>
      <c r="HC244" s="9"/>
      <c r="HD244" s="9"/>
      <c r="HE244" s="9"/>
      <c r="HF244" s="9"/>
      <c r="HG244" s="9"/>
      <c r="HH244" s="9"/>
      <c r="HI244" s="9"/>
      <c r="HJ244" s="9"/>
      <c r="HQ244" t="s">
        <v>923</v>
      </c>
      <c r="HV244" s="50"/>
      <c r="HW244" s="50"/>
      <c r="IH244" t="s">
        <v>491</v>
      </c>
      <c r="II244" t="s">
        <v>492</v>
      </c>
      <c r="JJ244" t="s">
        <v>937</v>
      </c>
      <c r="JK244" t="s">
        <v>920</v>
      </c>
      <c r="JL244" t="s">
        <v>495</v>
      </c>
      <c r="JM244" t="s">
        <v>908</v>
      </c>
      <c r="JN244" s="4" t="s">
        <v>497</v>
      </c>
      <c r="JO244" t="s">
        <v>921</v>
      </c>
      <c r="MY244" t="s">
        <v>942</v>
      </c>
      <c r="MZ244">
        <v>70</v>
      </c>
      <c r="NI244" t="s">
        <v>912</v>
      </c>
      <c r="NJ244" t="s">
        <v>943</v>
      </c>
      <c r="NK244" t="s">
        <v>914</v>
      </c>
      <c r="NL244" s="4" t="s">
        <v>944</v>
      </c>
      <c r="NM244" s="6" t="s">
        <v>516</v>
      </c>
      <c r="NU244" t="s">
        <v>657</v>
      </c>
      <c r="NV244" t="s">
        <v>518</v>
      </c>
      <c r="NW244">
        <v>136</v>
      </c>
      <c r="NX244" t="s">
        <v>916</v>
      </c>
      <c r="NY244">
        <v>6</v>
      </c>
      <c r="OB244">
        <v>3</v>
      </c>
      <c r="OU244" t="s">
        <v>917</v>
      </c>
      <c r="OV244" t="s">
        <v>518</v>
      </c>
      <c r="OX244">
        <v>2015</v>
      </c>
      <c r="OY244">
        <v>2016</v>
      </c>
      <c r="PB244" t="s">
        <v>522</v>
      </c>
      <c r="PC244" s="50">
        <v>46104</v>
      </c>
    </row>
    <row r="245" spans="1:419" ht="15.75" thickBot="1">
      <c r="A245" t="s">
        <v>469</v>
      </c>
      <c r="B245" t="s">
        <v>899</v>
      </c>
      <c r="C245" t="s">
        <v>900</v>
      </c>
      <c r="D245" s="59" t="s">
        <v>472</v>
      </c>
      <c r="E245" t="s">
        <v>938</v>
      </c>
      <c r="F245" s="4" t="s">
        <v>902</v>
      </c>
      <c r="G245" t="s">
        <v>475</v>
      </c>
      <c r="H245" t="s">
        <v>476</v>
      </c>
      <c r="I245">
        <v>7.306944444</v>
      </c>
      <c r="J245">
        <v>38.012222219999998</v>
      </c>
      <c r="K245">
        <v>600</v>
      </c>
      <c r="AV245" t="s">
        <v>903</v>
      </c>
      <c r="AW245">
        <v>420</v>
      </c>
      <c r="AX245">
        <v>1.5</v>
      </c>
      <c r="AY245">
        <v>1</v>
      </c>
      <c r="AZ245" t="s">
        <v>904</v>
      </c>
      <c r="BA245">
        <v>2015</v>
      </c>
      <c r="BB245">
        <v>2016</v>
      </c>
      <c r="BD245" t="s">
        <v>905</v>
      </c>
      <c r="BE245" t="s">
        <v>524</v>
      </c>
      <c r="BF245" s="3" t="s">
        <v>484</v>
      </c>
      <c r="BG245" t="s">
        <v>485</v>
      </c>
      <c r="BH245" t="s">
        <v>480</v>
      </c>
      <c r="BI245" s="4" t="s">
        <v>486</v>
      </c>
      <c r="BJ245">
        <v>53333</v>
      </c>
      <c r="EG245" s="9"/>
      <c r="EH245" s="9"/>
      <c r="EI245" s="9"/>
      <c r="EJ245" s="9"/>
      <c r="EK245" s="9"/>
      <c r="EL245" s="9"/>
      <c r="EM245" s="9"/>
      <c r="EN245" s="9"/>
      <c r="EO245" s="9"/>
      <c r="EP245" s="9"/>
      <c r="EQ245" s="9"/>
      <c r="ER245" s="9"/>
      <c r="ES245" s="9"/>
      <c r="ET245" s="9"/>
      <c r="EU245" s="9"/>
      <c r="EV245" s="9"/>
      <c r="EW245" s="9"/>
      <c r="EX245" s="9"/>
      <c r="EY245" s="9"/>
      <c r="EZ245" s="9"/>
      <c r="FA245" s="9"/>
      <c r="FB245" s="9"/>
      <c r="FC245" s="9"/>
      <c r="FD245" s="9"/>
      <c r="FE245" s="9"/>
      <c r="FF245" s="9"/>
      <c r="FG245" s="9"/>
      <c r="FH245" s="9"/>
      <c r="FI245" s="9"/>
      <c r="FJ245" s="9"/>
      <c r="FK245" s="9"/>
      <c r="FL245" s="9"/>
      <c r="FM245" s="9"/>
      <c r="FN245" s="9"/>
      <c r="FO245" s="9"/>
      <c r="FP245" s="9"/>
      <c r="FQ245" s="9"/>
      <c r="FR245" s="9"/>
      <c r="FS245" s="9"/>
      <c r="FT245" s="9"/>
      <c r="FU245" s="9"/>
      <c r="FV245" s="9"/>
      <c r="FW245" s="9"/>
      <c r="FX245" s="9"/>
      <c r="FY245" s="9"/>
      <c r="FZ245" s="9"/>
      <c r="GA245" s="9"/>
      <c r="GB245" s="9"/>
      <c r="GC245" s="9"/>
      <c r="GD245" s="9"/>
      <c r="GE245" s="9"/>
      <c r="GF245" s="9"/>
      <c r="GG245" s="9"/>
      <c r="GH245" s="9"/>
      <c r="GI245" s="9"/>
      <c r="GJ245" s="9"/>
      <c r="GK245" s="9"/>
      <c r="GL245" s="9"/>
      <c r="GM245" s="9"/>
      <c r="GN245" s="9"/>
      <c r="GO245" s="9"/>
      <c r="GP245" s="9"/>
      <c r="GQ245" s="9"/>
      <c r="GR245" s="9"/>
      <c r="GS245" s="9"/>
      <c r="GT245" s="9"/>
      <c r="GU245" s="9"/>
      <c r="GV245" s="9"/>
      <c r="GW245" s="9"/>
      <c r="GX245" s="9"/>
      <c r="GY245" s="9"/>
      <c r="GZ245" s="9"/>
      <c r="HA245" s="9"/>
      <c r="HB245" s="9"/>
      <c r="HC245" s="9"/>
      <c r="HD245" s="9"/>
      <c r="HE245" s="9"/>
      <c r="HF245" s="9"/>
      <c r="HG245" s="9"/>
      <c r="HH245" s="9"/>
      <c r="HI245" s="9"/>
      <c r="HJ245" s="9"/>
      <c r="HV245" s="50"/>
      <c r="HW245" s="50"/>
      <c r="IH245" t="s">
        <v>491</v>
      </c>
      <c r="II245" t="s">
        <v>492</v>
      </c>
      <c r="JJ245" t="s">
        <v>906</v>
      </c>
      <c r="JK245" s="75" t="s">
        <v>907</v>
      </c>
      <c r="JL245" s="8" t="s">
        <v>495</v>
      </c>
      <c r="JM245" s="8" t="s">
        <v>908</v>
      </c>
      <c r="JN245" s="4" t="s">
        <v>497</v>
      </c>
      <c r="JO245" s="4" t="s">
        <v>508</v>
      </c>
      <c r="MY245" t="s">
        <v>942</v>
      </c>
      <c r="MZ245">
        <v>70</v>
      </c>
      <c r="NI245" t="s">
        <v>912</v>
      </c>
      <c r="NJ245" t="s">
        <v>943</v>
      </c>
      <c r="NK245" t="s">
        <v>914</v>
      </c>
      <c r="NL245" s="4" t="s">
        <v>944</v>
      </c>
      <c r="NM245" s="6" t="s">
        <v>516</v>
      </c>
      <c r="NU245" t="s">
        <v>915</v>
      </c>
      <c r="NV245" t="s">
        <v>518</v>
      </c>
      <c r="NW245">
        <v>213</v>
      </c>
      <c r="NX245" t="s">
        <v>916</v>
      </c>
      <c r="NY245">
        <v>4</v>
      </c>
      <c r="OB245">
        <v>3</v>
      </c>
      <c r="OU245" t="s">
        <v>939</v>
      </c>
      <c r="OV245" t="s">
        <v>518</v>
      </c>
      <c r="OX245">
        <v>2015</v>
      </c>
      <c r="OY245">
        <v>2016</v>
      </c>
      <c r="PB245" t="s">
        <v>522</v>
      </c>
      <c r="PC245" s="50">
        <v>46104</v>
      </c>
    </row>
    <row r="246" spans="1:419" ht="15.75" thickBot="1">
      <c r="A246" t="s">
        <v>469</v>
      </c>
      <c r="B246" t="s">
        <v>899</v>
      </c>
      <c r="C246" t="s">
        <v>900</v>
      </c>
      <c r="D246" s="59" t="s">
        <v>472</v>
      </c>
      <c r="E246" t="s">
        <v>938</v>
      </c>
      <c r="F246" s="4" t="s">
        <v>902</v>
      </c>
      <c r="G246" t="s">
        <v>475</v>
      </c>
      <c r="H246" t="s">
        <v>476</v>
      </c>
      <c r="I246">
        <v>7.306944444</v>
      </c>
      <c r="J246">
        <v>38.012222219999998</v>
      </c>
      <c r="K246">
        <v>600</v>
      </c>
      <c r="AV246" t="s">
        <v>903</v>
      </c>
      <c r="AW246">
        <v>420</v>
      </c>
      <c r="AX246">
        <v>1.5</v>
      </c>
      <c r="AY246">
        <v>1</v>
      </c>
      <c r="AZ246" t="s">
        <v>904</v>
      </c>
      <c r="BA246">
        <v>2015</v>
      </c>
      <c r="BB246">
        <v>2016</v>
      </c>
      <c r="BD246" t="s">
        <v>918</v>
      </c>
      <c r="BE246" t="s">
        <v>483</v>
      </c>
      <c r="BF246" s="3" t="s">
        <v>484</v>
      </c>
      <c r="BG246" t="s">
        <v>485</v>
      </c>
      <c r="BH246" t="s">
        <v>480</v>
      </c>
      <c r="BI246" t="s">
        <v>486</v>
      </c>
      <c r="BJ246">
        <v>53333</v>
      </c>
      <c r="EG246" s="9"/>
      <c r="EH246" s="9"/>
      <c r="EI246" s="9"/>
      <c r="EJ246" s="9"/>
      <c r="EK246" s="9"/>
      <c r="EL246" s="9"/>
      <c r="EM246" s="9"/>
      <c r="EN246" s="9"/>
      <c r="EO246" s="9"/>
      <c r="EP246" s="9"/>
      <c r="EQ246" s="9"/>
      <c r="ER246" s="9"/>
      <c r="ES246" s="9"/>
      <c r="ET246" s="9"/>
      <c r="EU246" s="9"/>
      <c r="EV246" s="9"/>
      <c r="EW246" s="9"/>
      <c r="EX246" s="9"/>
      <c r="EY246" s="9"/>
      <c r="EZ246" s="9"/>
      <c r="FA246" s="9"/>
      <c r="FB246" s="9"/>
      <c r="FC246" s="9"/>
      <c r="FD246" s="9"/>
      <c r="FE246" s="9"/>
      <c r="FF246" s="9"/>
      <c r="FG246" s="9"/>
      <c r="FH246" s="9"/>
      <c r="FI246" s="9"/>
      <c r="FJ246" s="9"/>
      <c r="FK246" s="9"/>
      <c r="FL246" s="9"/>
      <c r="FM246" s="9"/>
      <c r="FN246" s="9"/>
      <c r="FO246" s="9"/>
      <c r="FP246" s="9"/>
      <c r="FQ246" s="9"/>
      <c r="FR246" s="9"/>
      <c r="FS246" s="9"/>
      <c r="FT246" s="9"/>
      <c r="FU246" s="9"/>
      <c r="FV246" s="9"/>
      <c r="FW246" s="9"/>
      <c r="FX246" s="9"/>
      <c r="FY246" s="9"/>
      <c r="FZ246" s="9"/>
      <c r="GA246" s="9"/>
      <c r="GB246" s="9"/>
      <c r="GC246" s="9"/>
      <c r="GD246" s="9"/>
      <c r="GE246" s="9"/>
      <c r="GF246" s="9"/>
      <c r="GG246" s="9"/>
      <c r="GH246" s="9"/>
      <c r="GI246" s="9"/>
      <c r="GJ246" s="9"/>
      <c r="GK246" s="9"/>
      <c r="GL246" s="9"/>
      <c r="GM246" s="9"/>
      <c r="GN246" s="9"/>
      <c r="GO246" s="9"/>
      <c r="GP246" s="9"/>
      <c r="GQ246" s="9"/>
      <c r="GR246" s="9"/>
      <c r="GS246" s="9"/>
      <c r="GT246" s="9"/>
      <c r="GU246" s="9"/>
      <c r="GV246" s="9"/>
      <c r="GW246" s="9"/>
      <c r="GX246" s="9"/>
      <c r="GY246" s="9"/>
      <c r="GZ246" s="9"/>
      <c r="HA246" s="9"/>
      <c r="HB246" s="9"/>
      <c r="HC246" s="9"/>
      <c r="HD246" s="9"/>
      <c r="HE246" s="9"/>
      <c r="HF246" s="9"/>
      <c r="HG246" s="9"/>
      <c r="HH246" s="9"/>
      <c r="HI246" s="9"/>
      <c r="HJ246" s="9"/>
      <c r="HV246" s="50"/>
      <c r="HW246" s="50"/>
      <c r="IH246" t="s">
        <v>491</v>
      </c>
      <c r="II246" t="s">
        <v>492</v>
      </c>
      <c r="JJ246" t="s">
        <v>919</v>
      </c>
      <c r="JK246" s="46" t="s">
        <v>920</v>
      </c>
      <c r="JL246" t="s">
        <v>495</v>
      </c>
      <c r="JM246" s="8" t="s">
        <v>908</v>
      </c>
      <c r="JN246" s="4" t="s">
        <v>497</v>
      </c>
      <c r="JO246" s="4" t="s">
        <v>508</v>
      </c>
      <c r="MY246" t="s">
        <v>942</v>
      </c>
      <c r="MZ246">
        <v>70</v>
      </c>
      <c r="NI246" t="s">
        <v>912</v>
      </c>
      <c r="NJ246" t="s">
        <v>943</v>
      </c>
      <c r="NK246" t="s">
        <v>914</v>
      </c>
      <c r="NL246" s="4" t="s">
        <v>944</v>
      </c>
      <c r="NM246" s="6" t="s">
        <v>516</v>
      </c>
      <c r="NU246" t="s">
        <v>657</v>
      </c>
      <c r="NV246" t="s">
        <v>518</v>
      </c>
      <c r="NW246">
        <v>129</v>
      </c>
      <c r="NX246" t="s">
        <v>916</v>
      </c>
      <c r="NY246">
        <v>4</v>
      </c>
      <c r="OB246">
        <v>3</v>
      </c>
      <c r="OU246" t="s">
        <v>939</v>
      </c>
      <c r="OV246" t="s">
        <v>518</v>
      </c>
      <c r="OX246">
        <v>2015</v>
      </c>
      <c r="OY246">
        <v>2016</v>
      </c>
      <c r="PB246" t="s">
        <v>522</v>
      </c>
      <c r="PC246" s="50">
        <v>46104</v>
      </c>
    </row>
    <row r="247" spans="1:419" ht="15.75" thickBot="1">
      <c r="A247" t="s">
        <v>469</v>
      </c>
      <c r="B247" t="s">
        <v>899</v>
      </c>
      <c r="C247" t="s">
        <v>900</v>
      </c>
      <c r="D247" s="59" t="s">
        <v>472</v>
      </c>
      <c r="E247" t="s">
        <v>938</v>
      </c>
      <c r="F247" s="4" t="s">
        <v>902</v>
      </c>
      <c r="G247" t="s">
        <v>475</v>
      </c>
      <c r="H247" t="s">
        <v>476</v>
      </c>
      <c r="I247">
        <v>7.306944444</v>
      </c>
      <c r="J247">
        <v>38.012222219999998</v>
      </c>
      <c r="K247">
        <v>600</v>
      </c>
      <c r="AV247" t="s">
        <v>903</v>
      </c>
      <c r="AW247">
        <v>420</v>
      </c>
      <c r="AX247">
        <v>1.5</v>
      </c>
      <c r="AY247">
        <v>1</v>
      </c>
      <c r="AZ247" t="s">
        <v>904</v>
      </c>
      <c r="BA247">
        <v>2015</v>
      </c>
      <c r="BB247">
        <v>2016</v>
      </c>
      <c r="BD247" t="s">
        <v>922</v>
      </c>
      <c r="BE247" t="s">
        <v>593</v>
      </c>
      <c r="BF247" s="3" t="s">
        <v>484</v>
      </c>
      <c r="BG247" t="s">
        <v>485</v>
      </c>
      <c r="BH247" t="s">
        <v>480</v>
      </c>
      <c r="BI247" t="s">
        <v>486</v>
      </c>
      <c r="BJ247">
        <v>53333</v>
      </c>
      <c r="EG247" s="9"/>
      <c r="EH247" s="9"/>
      <c r="EI247" s="9"/>
      <c r="EJ247" s="9"/>
      <c r="EK247" s="9"/>
      <c r="EL247" s="9"/>
      <c r="EM247" s="9"/>
      <c r="EN247" s="9"/>
      <c r="EO247" s="9"/>
      <c r="EP247" s="9"/>
      <c r="EQ247" s="9"/>
      <c r="ER247" s="9"/>
      <c r="ES247" s="9"/>
      <c r="ET247" s="9"/>
      <c r="EU247" s="9"/>
      <c r="EV247" s="9"/>
      <c r="EW247" s="9"/>
      <c r="EX247" s="9"/>
      <c r="EY247" s="9"/>
      <c r="EZ247" s="9"/>
      <c r="FA247" s="9"/>
      <c r="FB247" s="9"/>
      <c r="FC247" s="9"/>
      <c r="FD247" s="9"/>
      <c r="FE247" s="9"/>
      <c r="FF247" s="9"/>
      <c r="FG247" s="9"/>
      <c r="FH247" s="9"/>
      <c r="FI247" s="9"/>
      <c r="FJ247" s="9"/>
      <c r="FK247" s="9"/>
      <c r="FL247" s="9"/>
      <c r="FM247" s="9"/>
      <c r="FN247" s="9"/>
      <c r="FO247" s="9"/>
      <c r="FP247" s="9"/>
      <c r="FQ247" s="9"/>
      <c r="FR247" s="9"/>
      <c r="FS247" s="9"/>
      <c r="FT247" s="9"/>
      <c r="FU247" s="9"/>
      <c r="FV247" s="9"/>
      <c r="FW247" s="9"/>
      <c r="FX247" s="9"/>
      <c r="FY247" s="9"/>
      <c r="FZ247" s="9"/>
      <c r="GA247" s="9"/>
      <c r="GB247" s="9"/>
      <c r="GC247" s="9"/>
      <c r="GD247" s="9"/>
      <c r="GE247" s="9"/>
      <c r="GF247" s="9"/>
      <c r="GG247" s="9"/>
      <c r="GH247" s="9"/>
      <c r="GI247" s="9"/>
      <c r="GJ247" s="9"/>
      <c r="GK247" s="9"/>
      <c r="GL247" s="9"/>
      <c r="GM247" s="9"/>
      <c r="GN247" s="9"/>
      <c r="GO247" s="9"/>
      <c r="GP247" s="9"/>
      <c r="GQ247" s="9"/>
      <c r="GR247" s="9"/>
      <c r="GS247" s="9"/>
      <c r="GT247" s="9"/>
      <c r="GU247" s="9"/>
      <c r="GV247" s="9"/>
      <c r="GW247" s="9"/>
      <c r="GX247" s="9"/>
      <c r="GY247" s="9"/>
      <c r="GZ247" s="9"/>
      <c r="HA247" s="9"/>
      <c r="HB247" s="9"/>
      <c r="HC247" s="9"/>
      <c r="HD247" s="9"/>
      <c r="HE247" s="9"/>
      <c r="HF247" s="9"/>
      <c r="HG247" s="9"/>
      <c r="HH247" s="9"/>
      <c r="HI247" s="9"/>
      <c r="HJ247" s="9"/>
      <c r="HQ247" t="s">
        <v>923</v>
      </c>
      <c r="HV247" s="50"/>
      <c r="HW247" s="50"/>
      <c r="IH247" t="s">
        <v>491</v>
      </c>
      <c r="II247" t="s">
        <v>492</v>
      </c>
      <c r="JJ247" t="s">
        <v>924</v>
      </c>
      <c r="JK247" s="75" t="s">
        <v>907</v>
      </c>
      <c r="JL247" t="s">
        <v>495</v>
      </c>
      <c r="JM247" t="s">
        <v>908</v>
      </c>
      <c r="JN247" s="4" t="s">
        <v>497</v>
      </c>
      <c r="JO247" t="s">
        <v>508</v>
      </c>
      <c r="KV247" t="s">
        <v>925</v>
      </c>
      <c r="MY247" t="s">
        <v>942</v>
      </c>
      <c r="MZ247">
        <v>70</v>
      </c>
      <c r="NI247" t="s">
        <v>912</v>
      </c>
      <c r="NJ247" t="s">
        <v>943</v>
      </c>
      <c r="NK247" t="s">
        <v>914</v>
      </c>
      <c r="NL247" s="4" t="s">
        <v>944</v>
      </c>
      <c r="NM247" s="6" t="s">
        <v>516</v>
      </c>
      <c r="NU247" t="s">
        <v>915</v>
      </c>
      <c r="NV247" t="s">
        <v>518</v>
      </c>
      <c r="NW247">
        <v>213</v>
      </c>
      <c r="NX247" t="s">
        <v>916</v>
      </c>
      <c r="NY247">
        <v>4</v>
      </c>
      <c r="OB247">
        <v>3</v>
      </c>
      <c r="OU247" t="s">
        <v>939</v>
      </c>
      <c r="OV247" t="s">
        <v>518</v>
      </c>
      <c r="OX247">
        <v>2015</v>
      </c>
      <c r="OY247">
        <v>2016</v>
      </c>
      <c r="PB247" t="s">
        <v>522</v>
      </c>
      <c r="PC247" s="50">
        <v>46104</v>
      </c>
    </row>
    <row r="248" spans="1:419" ht="15.75" thickBot="1">
      <c r="A248" t="s">
        <v>469</v>
      </c>
      <c r="B248" t="s">
        <v>899</v>
      </c>
      <c r="C248" t="s">
        <v>900</v>
      </c>
      <c r="D248" s="59" t="s">
        <v>472</v>
      </c>
      <c r="E248" t="s">
        <v>938</v>
      </c>
      <c r="F248" s="4" t="s">
        <v>902</v>
      </c>
      <c r="G248" t="s">
        <v>475</v>
      </c>
      <c r="H248" t="s">
        <v>476</v>
      </c>
      <c r="I248">
        <v>7.306944444</v>
      </c>
      <c r="J248">
        <v>38.012222219999998</v>
      </c>
      <c r="K248">
        <v>600</v>
      </c>
      <c r="AV248" t="s">
        <v>903</v>
      </c>
      <c r="AW248">
        <v>420</v>
      </c>
      <c r="AX248">
        <v>1.5</v>
      </c>
      <c r="AY248">
        <v>1</v>
      </c>
      <c r="AZ248" t="s">
        <v>904</v>
      </c>
      <c r="BA248">
        <v>2015</v>
      </c>
      <c r="BB248">
        <v>2016</v>
      </c>
      <c r="BD248" t="s">
        <v>926</v>
      </c>
      <c r="BE248" t="s">
        <v>536</v>
      </c>
      <c r="BF248" s="3" t="s">
        <v>484</v>
      </c>
      <c r="BG248" t="s">
        <v>485</v>
      </c>
      <c r="BH248" t="s">
        <v>480</v>
      </c>
      <c r="BI248" t="s">
        <v>486</v>
      </c>
      <c r="BJ248">
        <v>53333</v>
      </c>
      <c r="BK248" t="s">
        <v>537</v>
      </c>
      <c r="BL248" t="s">
        <v>927</v>
      </c>
      <c r="BM248" t="s">
        <v>480</v>
      </c>
      <c r="BN248" t="s">
        <v>486</v>
      </c>
      <c r="BO248">
        <v>266666</v>
      </c>
      <c r="EG248" s="9"/>
      <c r="EH248" s="9"/>
      <c r="EI248" s="9"/>
      <c r="EJ248" s="9"/>
      <c r="EK248" s="9"/>
      <c r="EL248" s="9"/>
      <c r="EM248" s="9"/>
      <c r="EN248" s="9"/>
      <c r="EO248" s="9"/>
      <c r="EP248" s="9"/>
      <c r="EQ248" s="9"/>
      <c r="ER248" s="9"/>
      <c r="ES248" s="9"/>
      <c r="ET248" s="9"/>
      <c r="EU248" s="9"/>
      <c r="EV248" s="9"/>
      <c r="EW248" s="9"/>
      <c r="EX248" s="9"/>
      <c r="EY248" s="9"/>
      <c r="EZ248" s="9"/>
      <c r="FA248" s="9"/>
      <c r="FB248" s="9"/>
      <c r="FC248" s="9"/>
      <c r="FD248" s="9"/>
      <c r="FE248" s="9"/>
      <c r="FF248" s="9"/>
      <c r="FG248" s="9"/>
      <c r="FH248" s="9"/>
      <c r="FI248" s="9"/>
      <c r="FJ248" s="9"/>
      <c r="FK248" s="9"/>
      <c r="FL248" s="9"/>
      <c r="FM248" s="9"/>
      <c r="FN248" s="9"/>
      <c r="FO248" s="9"/>
      <c r="FP248" s="9"/>
      <c r="FQ248" s="9"/>
      <c r="FR248" s="9"/>
      <c r="FS248" s="9"/>
      <c r="FT248" s="9"/>
      <c r="FU248" s="9"/>
      <c r="FV248" s="9"/>
      <c r="FW248" s="9"/>
      <c r="FX248" s="9"/>
      <c r="FY248" s="9"/>
      <c r="FZ248" s="9"/>
      <c r="GA248" s="9"/>
      <c r="GB248" s="9"/>
      <c r="GC248" s="9"/>
      <c r="GD248" s="9"/>
      <c r="GE248" s="9"/>
      <c r="GF248" s="9"/>
      <c r="GG248" s="9"/>
      <c r="GH248" s="9"/>
      <c r="GI248" s="9"/>
      <c r="GJ248" s="9"/>
      <c r="GK248" s="9"/>
      <c r="GL248" s="9"/>
      <c r="GM248" s="9"/>
      <c r="GN248" s="9"/>
      <c r="GO248" s="9"/>
      <c r="GP248" s="9"/>
      <c r="GQ248" s="9"/>
      <c r="GR248" s="9"/>
      <c r="GS248" s="9"/>
      <c r="GT248" s="9"/>
      <c r="GU248" s="9"/>
      <c r="GV248" s="9"/>
      <c r="GW248" s="9"/>
      <c r="GX248" s="9"/>
      <c r="GY248" s="9"/>
      <c r="GZ248" s="9"/>
      <c r="HA248" s="9"/>
      <c r="HB248" s="9"/>
      <c r="HC248" s="9"/>
      <c r="HD248" s="9"/>
      <c r="HE248" s="9"/>
      <c r="HF248" s="9"/>
      <c r="HG248" s="9"/>
      <c r="HH248" s="9"/>
      <c r="HI248" s="9"/>
      <c r="HJ248" s="9"/>
      <c r="HV248" s="50"/>
      <c r="HW248" s="50"/>
      <c r="IH248" t="s">
        <v>928</v>
      </c>
      <c r="II248" s="75" t="s">
        <v>929</v>
      </c>
      <c r="IJ248" t="s">
        <v>542</v>
      </c>
      <c r="IK248" t="s">
        <v>543</v>
      </c>
      <c r="IL248" t="s">
        <v>480</v>
      </c>
      <c r="IM248" t="s">
        <v>480</v>
      </c>
      <c r="IN248" t="s">
        <v>480</v>
      </c>
      <c r="JJ248" t="s">
        <v>930</v>
      </c>
      <c r="JK248" t="s">
        <v>920</v>
      </c>
      <c r="JL248" t="s">
        <v>495</v>
      </c>
      <c r="JM248" t="s">
        <v>908</v>
      </c>
      <c r="JN248" s="4" t="s">
        <v>497</v>
      </c>
      <c r="JO248" t="s">
        <v>921</v>
      </c>
      <c r="MY248" t="s">
        <v>942</v>
      </c>
      <c r="MZ248">
        <v>70</v>
      </c>
      <c r="NI248" t="s">
        <v>912</v>
      </c>
      <c r="NJ248" t="s">
        <v>943</v>
      </c>
      <c r="NK248" t="s">
        <v>914</v>
      </c>
      <c r="NL248" s="4" t="s">
        <v>944</v>
      </c>
      <c r="NM248" s="6" t="s">
        <v>516</v>
      </c>
      <c r="NV248" t="s">
        <v>518</v>
      </c>
      <c r="NW248">
        <v>182</v>
      </c>
      <c r="NX248" t="s">
        <v>916</v>
      </c>
      <c r="NY248">
        <v>4</v>
      </c>
      <c r="OB248">
        <v>3</v>
      </c>
      <c r="OU248" t="s">
        <v>939</v>
      </c>
      <c r="OV248" t="s">
        <v>518</v>
      </c>
      <c r="OX248">
        <v>2015</v>
      </c>
      <c r="OY248">
        <v>2016</v>
      </c>
      <c r="PB248" t="s">
        <v>522</v>
      </c>
      <c r="PC248" s="50">
        <v>46104</v>
      </c>
    </row>
    <row r="249" spans="1:419" ht="15.75" thickBot="1">
      <c r="A249" t="s">
        <v>469</v>
      </c>
      <c r="B249" t="s">
        <v>899</v>
      </c>
      <c r="C249" t="s">
        <v>900</v>
      </c>
      <c r="D249" s="59" t="s">
        <v>472</v>
      </c>
      <c r="E249" t="s">
        <v>938</v>
      </c>
      <c r="F249" s="4" t="s">
        <v>902</v>
      </c>
      <c r="G249" t="s">
        <v>475</v>
      </c>
      <c r="H249" t="s">
        <v>476</v>
      </c>
      <c r="I249">
        <v>7.306944444</v>
      </c>
      <c r="J249">
        <v>38.012222219999998</v>
      </c>
      <c r="K249">
        <v>600</v>
      </c>
      <c r="AV249" t="s">
        <v>903</v>
      </c>
      <c r="AW249">
        <v>420</v>
      </c>
      <c r="AX249">
        <v>1.5</v>
      </c>
      <c r="AY249">
        <v>1</v>
      </c>
      <c r="AZ249" t="s">
        <v>904</v>
      </c>
      <c r="BA249">
        <v>2015</v>
      </c>
      <c r="BB249">
        <v>2016</v>
      </c>
      <c r="BD249" t="s">
        <v>931</v>
      </c>
      <c r="BE249" t="s">
        <v>566</v>
      </c>
      <c r="BF249" s="3" t="s">
        <v>484</v>
      </c>
      <c r="BG249" t="s">
        <v>485</v>
      </c>
      <c r="BH249" t="s">
        <v>480</v>
      </c>
      <c r="BI249" t="s">
        <v>486</v>
      </c>
      <c r="BJ249">
        <v>53333</v>
      </c>
      <c r="BK249" t="s">
        <v>537</v>
      </c>
      <c r="BL249" t="s">
        <v>932</v>
      </c>
      <c r="BM249" t="s">
        <v>480</v>
      </c>
      <c r="BN249" t="s">
        <v>486</v>
      </c>
      <c r="BO249">
        <v>66666</v>
      </c>
      <c r="EG249" s="9"/>
      <c r="EH249" s="9"/>
      <c r="EI249" s="9"/>
      <c r="EJ249" s="9"/>
      <c r="EK249" s="9"/>
      <c r="EL249" s="9"/>
      <c r="EM249" s="9"/>
      <c r="EN249" s="9"/>
      <c r="EO249" s="9"/>
      <c r="EP249" s="9"/>
      <c r="EQ249" s="9"/>
      <c r="ER249" s="9"/>
      <c r="ES249" s="9"/>
      <c r="ET249" s="9"/>
      <c r="EU249" s="9"/>
      <c r="EV249" s="9"/>
      <c r="EW249" s="9"/>
      <c r="EX249" s="9"/>
      <c r="EY249" s="9"/>
      <c r="EZ249" s="9"/>
      <c r="FA249" s="9"/>
      <c r="FB249" s="9"/>
      <c r="FC249" s="9"/>
      <c r="FD249" s="9"/>
      <c r="FE249" s="9"/>
      <c r="FF249" s="9"/>
      <c r="FG249" s="9"/>
      <c r="FH249" s="9"/>
      <c r="FI249" s="9"/>
      <c r="FJ249" s="9"/>
      <c r="FK249" s="9"/>
      <c r="FL249" s="9"/>
      <c r="FM249" s="9"/>
      <c r="FN249" s="9"/>
      <c r="FO249" s="9"/>
      <c r="FP249" s="9"/>
      <c r="FQ249" s="9"/>
      <c r="FR249" s="9"/>
      <c r="FS249" s="9"/>
      <c r="FT249" s="9"/>
      <c r="FU249" s="9"/>
      <c r="FV249" s="9"/>
      <c r="FW249" s="9"/>
      <c r="FX249" s="9"/>
      <c r="FY249" s="9"/>
      <c r="FZ249" s="9"/>
      <c r="GA249" s="9"/>
      <c r="GB249" s="9"/>
      <c r="GC249" s="9"/>
      <c r="GD249" s="9"/>
      <c r="GE249" s="9"/>
      <c r="GF249" s="9"/>
      <c r="GG249" s="9"/>
      <c r="GH249" s="9"/>
      <c r="GI249" s="9"/>
      <c r="GJ249" s="9"/>
      <c r="GK249" s="9"/>
      <c r="GL249" s="9"/>
      <c r="GM249" s="9"/>
      <c r="GN249" s="9"/>
      <c r="GO249" s="9"/>
      <c r="GP249" s="9"/>
      <c r="GQ249" s="9"/>
      <c r="GR249" s="9"/>
      <c r="GS249" s="9"/>
      <c r="GT249" s="9"/>
      <c r="GU249" s="9"/>
      <c r="GV249" s="9"/>
      <c r="GW249" s="9"/>
      <c r="GX249" s="9"/>
      <c r="GY249" s="9"/>
      <c r="GZ249" s="9"/>
      <c r="HA249" s="9"/>
      <c r="HB249" s="9"/>
      <c r="HC249" s="9"/>
      <c r="HD249" s="9"/>
      <c r="HE249" s="9"/>
      <c r="HF249" s="9"/>
      <c r="HG249" s="9"/>
      <c r="HH249" s="9"/>
      <c r="HI249" s="9"/>
      <c r="HJ249" s="9"/>
      <c r="HV249" s="50"/>
      <c r="HW249" s="50"/>
      <c r="IH249" t="s">
        <v>933</v>
      </c>
      <c r="II249" s="75" t="s">
        <v>929</v>
      </c>
      <c r="IJ249" t="s">
        <v>542</v>
      </c>
      <c r="IK249" t="s">
        <v>543</v>
      </c>
      <c r="IL249" t="s">
        <v>480</v>
      </c>
      <c r="IM249" t="s">
        <v>480</v>
      </c>
      <c r="IN249" t="s">
        <v>480</v>
      </c>
      <c r="JJ249" t="s">
        <v>934</v>
      </c>
      <c r="JK249" t="s">
        <v>920</v>
      </c>
      <c r="JL249" t="s">
        <v>495</v>
      </c>
      <c r="JM249" t="s">
        <v>908</v>
      </c>
      <c r="JN249" s="4" t="s">
        <v>497</v>
      </c>
      <c r="JO249" t="s">
        <v>921</v>
      </c>
      <c r="MY249" t="s">
        <v>942</v>
      </c>
      <c r="MZ249">
        <v>70</v>
      </c>
      <c r="NI249" t="s">
        <v>912</v>
      </c>
      <c r="NJ249" t="s">
        <v>943</v>
      </c>
      <c r="NK249" t="s">
        <v>914</v>
      </c>
      <c r="NL249" s="4" t="s">
        <v>944</v>
      </c>
      <c r="NM249" s="6" t="s">
        <v>516</v>
      </c>
      <c r="NV249" t="s">
        <v>518</v>
      </c>
      <c r="NW249">
        <v>218</v>
      </c>
      <c r="NX249" t="s">
        <v>916</v>
      </c>
      <c r="NY249">
        <v>4</v>
      </c>
      <c r="OB249">
        <v>3</v>
      </c>
      <c r="OU249" t="s">
        <v>939</v>
      </c>
      <c r="OV249" t="s">
        <v>518</v>
      </c>
      <c r="OX249">
        <v>2015</v>
      </c>
      <c r="OY249">
        <v>2016</v>
      </c>
      <c r="PB249" t="s">
        <v>522</v>
      </c>
      <c r="PC249" s="50">
        <v>46104</v>
      </c>
    </row>
    <row r="250" spans="1:419" ht="15.75" thickBot="1">
      <c r="A250" t="s">
        <v>469</v>
      </c>
      <c r="B250" t="s">
        <v>899</v>
      </c>
      <c r="C250" t="s">
        <v>900</v>
      </c>
      <c r="D250" s="59" t="s">
        <v>472</v>
      </c>
      <c r="E250" t="s">
        <v>938</v>
      </c>
      <c r="F250" s="4" t="s">
        <v>902</v>
      </c>
      <c r="G250" t="s">
        <v>475</v>
      </c>
      <c r="H250" t="s">
        <v>476</v>
      </c>
      <c r="I250">
        <v>7.306944444</v>
      </c>
      <c r="J250">
        <v>38.012222219999998</v>
      </c>
      <c r="K250">
        <v>600</v>
      </c>
      <c r="AV250" t="s">
        <v>903</v>
      </c>
      <c r="AW250">
        <v>420</v>
      </c>
      <c r="AX250">
        <v>1.5</v>
      </c>
      <c r="AY250">
        <v>1</v>
      </c>
      <c r="AZ250" t="s">
        <v>904</v>
      </c>
      <c r="BA250">
        <v>2015</v>
      </c>
      <c r="BB250">
        <v>2016</v>
      </c>
      <c r="BD250" t="s">
        <v>936</v>
      </c>
      <c r="BE250" t="s">
        <v>602</v>
      </c>
      <c r="BF250" s="3" t="s">
        <v>484</v>
      </c>
      <c r="BG250" t="s">
        <v>485</v>
      </c>
      <c r="BH250" t="s">
        <v>480</v>
      </c>
      <c r="BI250" t="s">
        <v>486</v>
      </c>
      <c r="BJ250">
        <v>53333</v>
      </c>
      <c r="EG250" s="9"/>
      <c r="EH250" s="9"/>
      <c r="EI250" s="9"/>
      <c r="EJ250" s="9"/>
      <c r="EK250" s="9"/>
      <c r="EL250" s="9"/>
      <c r="EM250" s="9"/>
      <c r="EN250" s="9"/>
      <c r="EO250" s="9"/>
      <c r="EP250" s="9"/>
      <c r="EQ250" s="9"/>
      <c r="ER250" s="9"/>
      <c r="ES250" s="9"/>
      <c r="ET250" s="9"/>
      <c r="EU250" s="9"/>
      <c r="EV250" s="9"/>
      <c r="EW250" s="9"/>
      <c r="EX250" s="9"/>
      <c r="EY250" s="9"/>
      <c r="EZ250" s="9"/>
      <c r="FA250" s="9"/>
      <c r="FB250" s="9"/>
      <c r="FC250" s="9"/>
      <c r="FD250" s="9"/>
      <c r="FE250" s="9"/>
      <c r="FF250" s="9"/>
      <c r="FG250" s="9"/>
      <c r="FH250" s="9"/>
      <c r="FI250" s="9"/>
      <c r="FJ250" s="9"/>
      <c r="FK250" s="9"/>
      <c r="FL250" s="9"/>
      <c r="FM250" s="9"/>
      <c r="FN250" s="9"/>
      <c r="FO250" s="9"/>
      <c r="FP250" s="9"/>
      <c r="FQ250" s="9"/>
      <c r="FR250" s="9"/>
      <c r="FS250" s="9"/>
      <c r="FT250" s="9"/>
      <c r="FU250" s="9"/>
      <c r="FV250" s="9"/>
      <c r="FW250" s="9"/>
      <c r="FX250" s="9"/>
      <c r="FY250" s="9"/>
      <c r="FZ250" s="9"/>
      <c r="GA250" s="9"/>
      <c r="GB250" s="9"/>
      <c r="GC250" s="9"/>
      <c r="GD250" s="9"/>
      <c r="GE250" s="9"/>
      <c r="GF250" s="9"/>
      <c r="GG250" s="9"/>
      <c r="GH250" s="9"/>
      <c r="GI250" s="9"/>
      <c r="GJ250" s="9"/>
      <c r="GK250" s="9"/>
      <c r="GL250" s="9"/>
      <c r="GM250" s="9"/>
      <c r="GN250" s="9"/>
      <c r="GO250" s="9"/>
      <c r="GP250" s="9"/>
      <c r="GQ250" s="9"/>
      <c r="GR250" s="9"/>
      <c r="GS250" s="9"/>
      <c r="GT250" s="9"/>
      <c r="GU250" s="9"/>
      <c r="GV250" s="9"/>
      <c r="GW250" s="9"/>
      <c r="GX250" s="9"/>
      <c r="GY250" s="9"/>
      <c r="GZ250" s="9"/>
      <c r="HA250" s="9"/>
      <c r="HB250" s="9"/>
      <c r="HC250" s="9"/>
      <c r="HD250" s="9"/>
      <c r="HE250" s="9"/>
      <c r="HF250" s="9"/>
      <c r="HG250" s="9"/>
      <c r="HH250" s="9"/>
      <c r="HI250" s="9"/>
      <c r="HJ250" s="9"/>
      <c r="HQ250" t="s">
        <v>923</v>
      </c>
      <c r="HV250" s="50"/>
      <c r="HW250" s="50"/>
      <c r="IH250" t="s">
        <v>491</v>
      </c>
      <c r="II250" t="s">
        <v>492</v>
      </c>
      <c r="JJ250" t="s">
        <v>937</v>
      </c>
      <c r="JK250" t="s">
        <v>920</v>
      </c>
      <c r="JL250" t="s">
        <v>495</v>
      </c>
      <c r="JM250" t="s">
        <v>908</v>
      </c>
      <c r="JN250" s="4" t="s">
        <v>497</v>
      </c>
      <c r="JO250" t="s">
        <v>921</v>
      </c>
      <c r="MY250" t="s">
        <v>942</v>
      </c>
      <c r="MZ250">
        <v>70</v>
      </c>
      <c r="NI250" t="s">
        <v>912</v>
      </c>
      <c r="NJ250" t="s">
        <v>943</v>
      </c>
      <c r="NK250" t="s">
        <v>914</v>
      </c>
      <c r="NL250" s="4" t="s">
        <v>944</v>
      </c>
      <c r="NM250" s="6" t="s">
        <v>516</v>
      </c>
      <c r="NU250" t="s">
        <v>657</v>
      </c>
      <c r="NV250" t="s">
        <v>518</v>
      </c>
      <c r="NW250">
        <v>129</v>
      </c>
      <c r="NX250" t="s">
        <v>916</v>
      </c>
      <c r="NY250">
        <v>4</v>
      </c>
      <c r="OB250">
        <v>3</v>
      </c>
      <c r="OU250" t="s">
        <v>939</v>
      </c>
      <c r="OV250" t="s">
        <v>518</v>
      </c>
      <c r="OX250">
        <v>2015</v>
      </c>
      <c r="OY250">
        <v>2016</v>
      </c>
      <c r="PB250" t="s">
        <v>522</v>
      </c>
      <c r="PC250" s="50">
        <v>46104</v>
      </c>
    </row>
    <row r="251" spans="1:419" ht="15.75" thickBot="1">
      <c r="A251" t="s">
        <v>469</v>
      </c>
      <c r="B251" t="s">
        <v>899</v>
      </c>
      <c r="C251" t="s">
        <v>900</v>
      </c>
      <c r="D251" s="59" t="s">
        <v>472</v>
      </c>
      <c r="E251" t="s">
        <v>940</v>
      </c>
      <c r="F251" s="4" t="s">
        <v>902</v>
      </c>
      <c r="G251" t="s">
        <v>475</v>
      </c>
      <c r="H251" t="s">
        <v>476</v>
      </c>
      <c r="I251">
        <v>6.7519444440000003</v>
      </c>
      <c r="J251">
        <v>38.33361111</v>
      </c>
      <c r="K251">
        <v>500</v>
      </c>
      <c r="AV251" t="s">
        <v>903</v>
      </c>
      <c r="AW251">
        <v>420</v>
      </c>
      <c r="AX251">
        <v>0.18</v>
      </c>
      <c r="AY251">
        <v>1</v>
      </c>
      <c r="AZ251" t="s">
        <v>904</v>
      </c>
      <c r="BA251">
        <v>2015</v>
      </c>
      <c r="BB251">
        <v>2016</v>
      </c>
      <c r="BD251" t="s">
        <v>905</v>
      </c>
      <c r="BE251" t="s">
        <v>524</v>
      </c>
      <c r="BF251" s="3" t="s">
        <v>484</v>
      </c>
      <c r="BG251" t="s">
        <v>485</v>
      </c>
      <c r="BH251" t="s">
        <v>480</v>
      </c>
      <c r="BI251" s="4" t="s">
        <v>486</v>
      </c>
      <c r="BJ251">
        <v>53333</v>
      </c>
      <c r="EG251" s="9"/>
      <c r="EH251" s="9"/>
      <c r="EI251" s="9"/>
      <c r="EJ251" s="9"/>
      <c r="EK251" s="9"/>
      <c r="EL251" s="9"/>
      <c r="EM251" s="9"/>
      <c r="EN251" s="9"/>
      <c r="EO251" s="9"/>
      <c r="EP251" s="9"/>
      <c r="EQ251" s="9"/>
      <c r="ER251" s="9"/>
      <c r="ES251" s="9"/>
      <c r="ET251" s="9"/>
      <c r="EU251" s="9"/>
      <c r="EV251" s="9"/>
      <c r="EW251" s="9"/>
      <c r="EX251" s="9"/>
      <c r="EY251" s="9"/>
      <c r="EZ251" s="9"/>
      <c r="FA251" s="9"/>
      <c r="FB251" s="9"/>
      <c r="FC251" s="9"/>
      <c r="FD251" s="9"/>
      <c r="FE251" s="9"/>
      <c r="FF251" s="9"/>
      <c r="FG251" s="9"/>
      <c r="FH251" s="9"/>
      <c r="FI251" s="9"/>
      <c r="FJ251" s="9"/>
      <c r="FK251" s="9"/>
      <c r="FL251" s="9"/>
      <c r="FM251" s="9"/>
      <c r="FN251" s="9"/>
      <c r="FO251" s="9"/>
      <c r="FP251" s="9"/>
      <c r="FQ251" s="9"/>
      <c r="FR251" s="9"/>
      <c r="FS251" s="9"/>
      <c r="FT251" s="9"/>
      <c r="FU251" s="9"/>
      <c r="FV251" s="9"/>
      <c r="FW251" s="9"/>
      <c r="FX251" s="9"/>
      <c r="FY251" s="9"/>
      <c r="FZ251" s="9"/>
      <c r="GA251" s="9"/>
      <c r="GB251" s="9"/>
      <c r="GC251" s="9"/>
      <c r="GD251" s="9"/>
      <c r="GE251" s="9"/>
      <c r="GF251" s="9"/>
      <c r="GG251" s="9"/>
      <c r="GH251" s="9"/>
      <c r="GI251" s="9"/>
      <c r="GJ251" s="9"/>
      <c r="GK251" s="9"/>
      <c r="GL251" s="9"/>
      <c r="GM251" s="9"/>
      <c r="GN251" s="9"/>
      <c r="GO251" s="9"/>
      <c r="GP251" s="9"/>
      <c r="GQ251" s="9"/>
      <c r="GR251" s="9"/>
      <c r="GS251" s="9"/>
      <c r="GT251" s="9"/>
      <c r="GU251" s="9"/>
      <c r="GV251" s="9"/>
      <c r="GW251" s="9"/>
      <c r="GX251" s="9"/>
      <c r="GY251" s="9"/>
      <c r="GZ251" s="9"/>
      <c r="HA251" s="9"/>
      <c r="HB251" s="9"/>
      <c r="HC251" s="9"/>
      <c r="HD251" s="9"/>
      <c r="HE251" s="9"/>
      <c r="HF251" s="9"/>
      <c r="HG251" s="9"/>
      <c r="HH251" s="9"/>
      <c r="HI251" s="9"/>
      <c r="HJ251" s="9"/>
      <c r="HV251" s="50"/>
      <c r="HW251" s="50"/>
      <c r="IH251" t="s">
        <v>491</v>
      </c>
      <c r="II251" t="s">
        <v>492</v>
      </c>
      <c r="JJ251" t="s">
        <v>906</v>
      </c>
      <c r="JK251" s="75" t="s">
        <v>907</v>
      </c>
      <c r="JL251" s="8" t="s">
        <v>495</v>
      </c>
      <c r="JM251" s="8" t="s">
        <v>908</v>
      </c>
      <c r="JN251" s="4" t="s">
        <v>497</v>
      </c>
      <c r="JO251" s="4" t="s">
        <v>508</v>
      </c>
      <c r="MY251" t="s">
        <v>942</v>
      </c>
      <c r="MZ251">
        <v>70</v>
      </c>
      <c r="NI251" t="s">
        <v>912</v>
      </c>
      <c r="NJ251" t="s">
        <v>943</v>
      </c>
      <c r="NK251" t="s">
        <v>914</v>
      </c>
      <c r="NL251" s="4" t="s">
        <v>944</v>
      </c>
      <c r="NM251" s="6" t="s">
        <v>516</v>
      </c>
      <c r="NU251" t="s">
        <v>915</v>
      </c>
      <c r="NV251" t="s">
        <v>518</v>
      </c>
      <c r="NW251">
        <v>213</v>
      </c>
      <c r="NX251" t="s">
        <v>916</v>
      </c>
      <c r="NY251">
        <v>4</v>
      </c>
      <c r="OB251">
        <v>3</v>
      </c>
      <c r="OU251" t="s">
        <v>941</v>
      </c>
      <c r="OV251" t="s">
        <v>518</v>
      </c>
      <c r="OX251">
        <v>2015</v>
      </c>
      <c r="OY251">
        <v>2016</v>
      </c>
      <c r="PB251" t="s">
        <v>522</v>
      </c>
      <c r="PC251" s="50">
        <v>46104</v>
      </c>
    </row>
    <row r="252" spans="1:419" ht="15.75" thickBot="1">
      <c r="A252" t="s">
        <v>469</v>
      </c>
      <c r="B252" t="s">
        <v>899</v>
      </c>
      <c r="C252" t="s">
        <v>900</v>
      </c>
      <c r="D252" s="59" t="s">
        <v>472</v>
      </c>
      <c r="E252" t="s">
        <v>940</v>
      </c>
      <c r="F252" s="4" t="s">
        <v>902</v>
      </c>
      <c r="G252" t="s">
        <v>475</v>
      </c>
      <c r="H252" t="s">
        <v>476</v>
      </c>
      <c r="I252">
        <v>6.7519444440000003</v>
      </c>
      <c r="J252">
        <v>38.33361111</v>
      </c>
      <c r="K252">
        <v>500</v>
      </c>
      <c r="AV252" t="s">
        <v>903</v>
      </c>
      <c r="AW252">
        <v>420</v>
      </c>
      <c r="AX252">
        <v>0.18</v>
      </c>
      <c r="AY252">
        <v>1</v>
      </c>
      <c r="AZ252" t="s">
        <v>904</v>
      </c>
      <c r="BA252">
        <v>2015</v>
      </c>
      <c r="BB252">
        <v>2016</v>
      </c>
      <c r="BD252" t="s">
        <v>918</v>
      </c>
      <c r="BE252" t="s">
        <v>483</v>
      </c>
      <c r="BF252" s="3" t="s">
        <v>484</v>
      </c>
      <c r="BG252" t="s">
        <v>485</v>
      </c>
      <c r="BH252" t="s">
        <v>480</v>
      </c>
      <c r="BI252" t="s">
        <v>486</v>
      </c>
      <c r="BJ252">
        <v>53333</v>
      </c>
      <c r="EG252" s="9"/>
      <c r="EH252" s="9"/>
      <c r="EI252" s="9"/>
      <c r="EJ252" s="9"/>
      <c r="EK252" s="9"/>
      <c r="EL252" s="9"/>
      <c r="EM252" s="9"/>
      <c r="EN252" s="9"/>
      <c r="EO252" s="9"/>
      <c r="EP252" s="9"/>
      <c r="EQ252" s="9"/>
      <c r="ER252" s="9"/>
      <c r="ES252" s="9"/>
      <c r="ET252" s="9"/>
      <c r="EU252" s="9"/>
      <c r="EV252" s="9"/>
      <c r="EW252" s="9"/>
      <c r="EX252" s="9"/>
      <c r="EY252" s="9"/>
      <c r="EZ252" s="9"/>
      <c r="FA252" s="9"/>
      <c r="FB252" s="9"/>
      <c r="FC252" s="9"/>
      <c r="FD252" s="9"/>
      <c r="FE252" s="9"/>
      <c r="FF252" s="9"/>
      <c r="FG252" s="9"/>
      <c r="FH252" s="9"/>
      <c r="FI252" s="9"/>
      <c r="FJ252" s="9"/>
      <c r="FK252" s="9"/>
      <c r="FL252" s="9"/>
      <c r="FM252" s="9"/>
      <c r="FN252" s="9"/>
      <c r="FO252" s="9"/>
      <c r="FP252" s="9"/>
      <c r="FQ252" s="9"/>
      <c r="FR252" s="9"/>
      <c r="FS252" s="9"/>
      <c r="FT252" s="9"/>
      <c r="FU252" s="9"/>
      <c r="FV252" s="9"/>
      <c r="FW252" s="9"/>
      <c r="FX252" s="9"/>
      <c r="FY252" s="9"/>
      <c r="FZ252" s="9"/>
      <c r="GA252" s="9"/>
      <c r="GB252" s="9"/>
      <c r="GC252" s="9"/>
      <c r="GD252" s="9"/>
      <c r="GE252" s="9"/>
      <c r="GF252" s="9"/>
      <c r="GG252" s="9"/>
      <c r="GH252" s="9"/>
      <c r="GI252" s="9"/>
      <c r="GJ252" s="9"/>
      <c r="GK252" s="9"/>
      <c r="GL252" s="9"/>
      <c r="GM252" s="9"/>
      <c r="GN252" s="9"/>
      <c r="GO252" s="9"/>
      <c r="GP252" s="9"/>
      <c r="GQ252" s="9"/>
      <c r="GR252" s="9"/>
      <c r="GS252" s="9"/>
      <c r="GT252" s="9"/>
      <c r="GU252" s="9"/>
      <c r="GV252" s="9"/>
      <c r="GW252" s="9"/>
      <c r="GX252" s="9"/>
      <c r="GY252" s="9"/>
      <c r="GZ252" s="9"/>
      <c r="HA252" s="9"/>
      <c r="HB252" s="9"/>
      <c r="HC252" s="9"/>
      <c r="HD252" s="9"/>
      <c r="HE252" s="9"/>
      <c r="HF252" s="9"/>
      <c r="HG252" s="9"/>
      <c r="HH252" s="9"/>
      <c r="HI252" s="9"/>
      <c r="HJ252" s="9"/>
      <c r="HV252" s="50"/>
      <c r="HW252" s="50"/>
      <c r="IH252" t="s">
        <v>491</v>
      </c>
      <c r="II252" t="s">
        <v>492</v>
      </c>
      <c r="JJ252" t="s">
        <v>919</v>
      </c>
      <c r="JK252" s="46" t="s">
        <v>920</v>
      </c>
      <c r="JL252" t="s">
        <v>495</v>
      </c>
      <c r="JM252" s="8" t="s">
        <v>908</v>
      </c>
      <c r="JN252" s="4" t="s">
        <v>497</v>
      </c>
      <c r="JO252" s="4" t="s">
        <v>508</v>
      </c>
      <c r="MY252" t="s">
        <v>942</v>
      </c>
      <c r="MZ252">
        <v>70</v>
      </c>
      <c r="NI252" t="s">
        <v>912</v>
      </c>
      <c r="NJ252" t="s">
        <v>943</v>
      </c>
      <c r="NK252" t="s">
        <v>914</v>
      </c>
      <c r="NL252" s="4" t="s">
        <v>944</v>
      </c>
      <c r="NM252" s="6" t="s">
        <v>516</v>
      </c>
      <c r="NU252" t="s">
        <v>657</v>
      </c>
      <c r="NV252" t="s">
        <v>518</v>
      </c>
      <c r="NW252">
        <v>129</v>
      </c>
      <c r="NX252" t="s">
        <v>916</v>
      </c>
      <c r="NY252">
        <v>4</v>
      </c>
      <c r="OB252">
        <v>3</v>
      </c>
      <c r="OU252" t="s">
        <v>941</v>
      </c>
      <c r="OV252" t="s">
        <v>518</v>
      </c>
      <c r="OX252">
        <v>2015</v>
      </c>
      <c r="OY252">
        <v>2016</v>
      </c>
      <c r="PB252" t="s">
        <v>522</v>
      </c>
      <c r="PC252" s="50">
        <v>46104</v>
      </c>
    </row>
    <row r="253" spans="1:419" ht="15.75" thickBot="1">
      <c r="A253" t="s">
        <v>469</v>
      </c>
      <c r="B253" t="s">
        <v>899</v>
      </c>
      <c r="C253" t="s">
        <v>900</v>
      </c>
      <c r="D253" s="59" t="s">
        <v>472</v>
      </c>
      <c r="E253" t="s">
        <v>940</v>
      </c>
      <c r="F253" s="4" t="s">
        <v>902</v>
      </c>
      <c r="G253" t="s">
        <v>475</v>
      </c>
      <c r="H253" t="s">
        <v>476</v>
      </c>
      <c r="I253">
        <v>6.7519444440000003</v>
      </c>
      <c r="J253">
        <v>38.33361111</v>
      </c>
      <c r="K253">
        <v>500</v>
      </c>
      <c r="AV253" t="s">
        <v>903</v>
      </c>
      <c r="AW253">
        <v>420</v>
      </c>
      <c r="AX253">
        <v>0.18</v>
      </c>
      <c r="AY253">
        <v>1</v>
      </c>
      <c r="AZ253" t="s">
        <v>904</v>
      </c>
      <c r="BA253">
        <v>2015</v>
      </c>
      <c r="BB253">
        <v>2016</v>
      </c>
      <c r="BD253" t="s">
        <v>922</v>
      </c>
      <c r="BE253" t="s">
        <v>593</v>
      </c>
      <c r="BF253" s="3" t="s">
        <v>484</v>
      </c>
      <c r="BG253" t="s">
        <v>485</v>
      </c>
      <c r="BH253" t="s">
        <v>480</v>
      </c>
      <c r="BI253" t="s">
        <v>486</v>
      </c>
      <c r="BJ253">
        <v>53333</v>
      </c>
      <c r="EG253" s="9"/>
      <c r="EH253" s="9"/>
      <c r="EI253" s="9"/>
      <c r="EJ253" s="9"/>
      <c r="EK253" s="9"/>
      <c r="EL253" s="9"/>
      <c r="EM253" s="9"/>
      <c r="EN253" s="9"/>
      <c r="EO253" s="9"/>
      <c r="EP253" s="9"/>
      <c r="EQ253" s="9"/>
      <c r="ER253" s="9"/>
      <c r="ES253" s="9"/>
      <c r="ET253" s="9"/>
      <c r="EU253" s="9"/>
      <c r="EV253" s="9"/>
      <c r="EW253" s="9"/>
      <c r="EX253" s="9"/>
      <c r="EY253" s="9"/>
      <c r="EZ253" s="9"/>
      <c r="FA253" s="9"/>
      <c r="FB253" s="9"/>
      <c r="FC253" s="9"/>
      <c r="FD253" s="9"/>
      <c r="FE253" s="9"/>
      <c r="FF253" s="9"/>
      <c r="FG253" s="9"/>
      <c r="FH253" s="9"/>
      <c r="FI253" s="9"/>
      <c r="FJ253" s="9"/>
      <c r="FK253" s="9"/>
      <c r="FL253" s="9"/>
      <c r="FM253" s="9"/>
      <c r="FN253" s="9"/>
      <c r="FO253" s="9"/>
      <c r="FP253" s="9"/>
      <c r="FQ253" s="9"/>
      <c r="FR253" s="9"/>
      <c r="FS253" s="9"/>
      <c r="FT253" s="9"/>
      <c r="FU253" s="9"/>
      <c r="FV253" s="9"/>
      <c r="FW253" s="9"/>
      <c r="FX253" s="9"/>
      <c r="FY253" s="9"/>
      <c r="FZ253" s="9"/>
      <c r="GA253" s="9"/>
      <c r="GB253" s="9"/>
      <c r="GC253" s="9"/>
      <c r="GD253" s="9"/>
      <c r="GE253" s="9"/>
      <c r="GF253" s="9"/>
      <c r="GG253" s="9"/>
      <c r="GH253" s="9"/>
      <c r="GI253" s="9"/>
      <c r="GJ253" s="9"/>
      <c r="GK253" s="9"/>
      <c r="GL253" s="9"/>
      <c r="GM253" s="9"/>
      <c r="GN253" s="9"/>
      <c r="GO253" s="9"/>
      <c r="GP253" s="9"/>
      <c r="GQ253" s="9"/>
      <c r="GR253" s="9"/>
      <c r="GS253" s="9"/>
      <c r="GT253" s="9"/>
      <c r="GU253" s="9"/>
      <c r="GV253" s="9"/>
      <c r="GW253" s="9"/>
      <c r="GX253" s="9"/>
      <c r="GY253" s="9"/>
      <c r="GZ253" s="9"/>
      <c r="HA253" s="9"/>
      <c r="HB253" s="9"/>
      <c r="HC253" s="9"/>
      <c r="HD253" s="9"/>
      <c r="HE253" s="9"/>
      <c r="HF253" s="9"/>
      <c r="HG253" s="9"/>
      <c r="HH253" s="9"/>
      <c r="HI253" s="9"/>
      <c r="HJ253" s="9"/>
      <c r="HQ253" t="s">
        <v>923</v>
      </c>
      <c r="HV253" s="50"/>
      <c r="HW253" s="50"/>
      <c r="IH253" t="s">
        <v>491</v>
      </c>
      <c r="II253" t="s">
        <v>492</v>
      </c>
      <c r="JJ253" t="s">
        <v>924</v>
      </c>
      <c r="JK253" s="75" t="s">
        <v>907</v>
      </c>
      <c r="JL253" t="s">
        <v>495</v>
      </c>
      <c r="JM253" t="s">
        <v>908</v>
      </c>
      <c r="JN253" s="4" t="s">
        <v>497</v>
      </c>
      <c r="JO253" t="s">
        <v>508</v>
      </c>
      <c r="KV253" t="s">
        <v>925</v>
      </c>
      <c r="MY253" t="s">
        <v>942</v>
      </c>
      <c r="MZ253">
        <v>70</v>
      </c>
      <c r="NI253" t="s">
        <v>912</v>
      </c>
      <c r="NJ253" t="s">
        <v>943</v>
      </c>
      <c r="NK253" t="s">
        <v>914</v>
      </c>
      <c r="NL253" s="4" t="s">
        <v>944</v>
      </c>
      <c r="NM253" s="6" t="s">
        <v>516</v>
      </c>
      <c r="NU253" t="s">
        <v>915</v>
      </c>
      <c r="NV253" t="s">
        <v>518</v>
      </c>
      <c r="NW253">
        <v>213</v>
      </c>
      <c r="NX253" t="s">
        <v>916</v>
      </c>
      <c r="NY253">
        <v>4</v>
      </c>
      <c r="OB253">
        <v>3</v>
      </c>
      <c r="OU253" t="s">
        <v>941</v>
      </c>
      <c r="OV253" t="s">
        <v>518</v>
      </c>
      <c r="OX253">
        <v>2015</v>
      </c>
      <c r="OY253">
        <v>2016</v>
      </c>
      <c r="PB253" t="s">
        <v>522</v>
      </c>
      <c r="PC253" s="50">
        <v>46104</v>
      </c>
    </row>
    <row r="254" spans="1:419" ht="15.75" thickBot="1">
      <c r="A254" t="s">
        <v>469</v>
      </c>
      <c r="B254" t="s">
        <v>899</v>
      </c>
      <c r="C254" t="s">
        <v>900</v>
      </c>
      <c r="D254" s="59" t="s">
        <v>472</v>
      </c>
      <c r="E254" t="s">
        <v>940</v>
      </c>
      <c r="F254" s="4" t="s">
        <v>902</v>
      </c>
      <c r="G254" t="s">
        <v>475</v>
      </c>
      <c r="H254" t="s">
        <v>476</v>
      </c>
      <c r="I254">
        <v>6.7519444440000003</v>
      </c>
      <c r="J254">
        <v>38.33361111</v>
      </c>
      <c r="K254">
        <v>500</v>
      </c>
      <c r="AV254" t="s">
        <v>903</v>
      </c>
      <c r="AW254">
        <v>420</v>
      </c>
      <c r="AX254">
        <v>0.18</v>
      </c>
      <c r="AY254">
        <v>1</v>
      </c>
      <c r="AZ254" t="s">
        <v>904</v>
      </c>
      <c r="BA254">
        <v>2015</v>
      </c>
      <c r="BB254">
        <v>2016</v>
      </c>
      <c r="BD254" t="s">
        <v>926</v>
      </c>
      <c r="BE254" t="s">
        <v>536</v>
      </c>
      <c r="BF254" s="3" t="s">
        <v>484</v>
      </c>
      <c r="BG254" t="s">
        <v>485</v>
      </c>
      <c r="BH254" t="s">
        <v>480</v>
      </c>
      <c r="BI254" t="s">
        <v>486</v>
      </c>
      <c r="BJ254">
        <v>53333</v>
      </c>
      <c r="BK254" t="s">
        <v>537</v>
      </c>
      <c r="BL254" t="s">
        <v>927</v>
      </c>
      <c r="BM254" t="s">
        <v>480</v>
      </c>
      <c r="BN254" t="s">
        <v>486</v>
      </c>
      <c r="BO254">
        <v>266666</v>
      </c>
      <c r="EG254" s="9"/>
      <c r="EH254" s="9"/>
      <c r="EI254" s="9"/>
      <c r="EJ254" s="9"/>
      <c r="EK254" s="9"/>
      <c r="EL254" s="9"/>
      <c r="EM254" s="9"/>
      <c r="EN254" s="9"/>
      <c r="EO254" s="9"/>
      <c r="EP254" s="9"/>
      <c r="EQ254" s="9"/>
      <c r="ER254" s="9"/>
      <c r="ES254" s="9"/>
      <c r="ET254" s="9"/>
      <c r="EU254" s="9"/>
      <c r="EV254" s="9"/>
      <c r="EW254" s="9"/>
      <c r="EX254" s="9"/>
      <c r="EY254" s="9"/>
      <c r="EZ254" s="9"/>
      <c r="FA254" s="9"/>
      <c r="FB254" s="9"/>
      <c r="FC254" s="9"/>
      <c r="FD254" s="9"/>
      <c r="FE254" s="9"/>
      <c r="FF254" s="9"/>
      <c r="FG254" s="9"/>
      <c r="FH254" s="9"/>
      <c r="FI254" s="9"/>
      <c r="FJ254" s="9"/>
      <c r="FK254" s="9"/>
      <c r="FL254" s="9"/>
      <c r="FM254" s="9"/>
      <c r="FN254" s="9"/>
      <c r="FO254" s="9"/>
      <c r="FP254" s="9"/>
      <c r="FQ254" s="9"/>
      <c r="FR254" s="9"/>
      <c r="FS254" s="9"/>
      <c r="FT254" s="9"/>
      <c r="FU254" s="9"/>
      <c r="FV254" s="9"/>
      <c r="FW254" s="9"/>
      <c r="FX254" s="9"/>
      <c r="FY254" s="9"/>
      <c r="FZ254" s="9"/>
      <c r="GA254" s="9"/>
      <c r="GB254" s="9"/>
      <c r="GC254" s="9"/>
      <c r="GD254" s="9"/>
      <c r="GE254" s="9"/>
      <c r="GF254" s="9"/>
      <c r="GG254" s="9"/>
      <c r="GH254" s="9"/>
      <c r="GI254" s="9"/>
      <c r="GJ254" s="9"/>
      <c r="GK254" s="9"/>
      <c r="GL254" s="9"/>
      <c r="GM254" s="9"/>
      <c r="GN254" s="9"/>
      <c r="GO254" s="9"/>
      <c r="GP254" s="9"/>
      <c r="GQ254" s="9"/>
      <c r="GR254" s="9"/>
      <c r="GS254" s="9"/>
      <c r="GT254" s="9"/>
      <c r="GU254" s="9"/>
      <c r="GV254" s="9"/>
      <c r="GW254" s="9"/>
      <c r="GX254" s="9"/>
      <c r="GY254" s="9"/>
      <c r="GZ254" s="9"/>
      <c r="HA254" s="9"/>
      <c r="HB254" s="9"/>
      <c r="HC254" s="9"/>
      <c r="HD254" s="9"/>
      <c r="HE254" s="9"/>
      <c r="HF254" s="9"/>
      <c r="HG254" s="9"/>
      <c r="HH254" s="9"/>
      <c r="HI254" s="9"/>
      <c r="HJ254" s="9"/>
      <c r="HV254" s="50"/>
      <c r="HW254" s="50"/>
      <c r="IH254" t="s">
        <v>928</v>
      </c>
      <c r="II254" s="75" t="s">
        <v>929</v>
      </c>
      <c r="IJ254" t="s">
        <v>542</v>
      </c>
      <c r="IK254" t="s">
        <v>543</v>
      </c>
      <c r="IL254" t="s">
        <v>480</v>
      </c>
      <c r="IM254" t="s">
        <v>480</v>
      </c>
      <c r="IN254" t="s">
        <v>480</v>
      </c>
      <c r="JJ254" t="s">
        <v>930</v>
      </c>
      <c r="JK254" t="s">
        <v>920</v>
      </c>
      <c r="JL254" t="s">
        <v>495</v>
      </c>
      <c r="JM254" t="s">
        <v>908</v>
      </c>
      <c r="JN254" s="4" t="s">
        <v>497</v>
      </c>
      <c r="JO254" t="s">
        <v>921</v>
      </c>
      <c r="MY254" t="s">
        <v>942</v>
      </c>
      <c r="MZ254">
        <v>70</v>
      </c>
      <c r="NI254" t="s">
        <v>912</v>
      </c>
      <c r="NJ254" t="s">
        <v>943</v>
      </c>
      <c r="NK254" t="s">
        <v>914</v>
      </c>
      <c r="NL254" s="4" t="s">
        <v>944</v>
      </c>
      <c r="NM254" s="6" t="s">
        <v>516</v>
      </c>
      <c r="NV254" t="s">
        <v>518</v>
      </c>
      <c r="NW254">
        <v>182</v>
      </c>
      <c r="NX254" t="s">
        <v>916</v>
      </c>
      <c r="NY254">
        <v>4</v>
      </c>
      <c r="OB254">
        <v>3</v>
      </c>
      <c r="OU254" t="s">
        <v>941</v>
      </c>
      <c r="OV254" t="s">
        <v>518</v>
      </c>
      <c r="OX254">
        <v>2015</v>
      </c>
      <c r="OY254">
        <v>2016</v>
      </c>
      <c r="PB254" t="s">
        <v>522</v>
      </c>
      <c r="PC254" s="50">
        <v>46104</v>
      </c>
    </row>
    <row r="255" spans="1:419" ht="15.75" thickBot="1">
      <c r="A255" t="s">
        <v>469</v>
      </c>
      <c r="B255" t="s">
        <v>899</v>
      </c>
      <c r="C255" t="s">
        <v>900</v>
      </c>
      <c r="D255" s="59" t="s">
        <v>472</v>
      </c>
      <c r="E255" t="s">
        <v>940</v>
      </c>
      <c r="F255" s="4" t="s">
        <v>902</v>
      </c>
      <c r="G255" t="s">
        <v>475</v>
      </c>
      <c r="H255" t="s">
        <v>476</v>
      </c>
      <c r="I255">
        <v>6.7519444440000003</v>
      </c>
      <c r="J255">
        <v>38.33361111</v>
      </c>
      <c r="K255">
        <v>500</v>
      </c>
      <c r="AV255" t="s">
        <v>903</v>
      </c>
      <c r="AW255">
        <v>420</v>
      </c>
      <c r="AX255">
        <v>0.18</v>
      </c>
      <c r="AY255">
        <v>1</v>
      </c>
      <c r="AZ255" t="s">
        <v>904</v>
      </c>
      <c r="BA255">
        <v>2015</v>
      </c>
      <c r="BB255">
        <v>2016</v>
      </c>
      <c r="BD255" t="s">
        <v>931</v>
      </c>
      <c r="BE255" t="s">
        <v>566</v>
      </c>
      <c r="BF255" s="3" t="s">
        <v>484</v>
      </c>
      <c r="BG255" t="s">
        <v>485</v>
      </c>
      <c r="BH255" t="s">
        <v>480</v>
      </c>
      <c r="BI255" t="s">
        <v>486</v>
      </c>
      <c r="BJ255">
        <v>53333</v>
      </c>
      <c r="BK255" t="s">
        <v>537</v>
      </c>
      <c r="BL255" t="s">
        <v>932</v>
      </c>
      <c r="BM255" t="s">
        <v>480</v>
      </c>
      <c r="BN255" t="s">
        <v>486</v>
      </c>
      <c r="BO255">
        <v>66666</v>
      </c>
      <c r="EG255" s="9"/>
      <c r="EH255" s="9"/>
      <c r="EI255" s="9"/>
      <c r="EJ255" s="9"/>
      <c r="EK255" s="9"/>
      <c r="EL255" s="9"/>
      <c r="EM255" s="9"/>
      <c r="EN255" s="9"/>
      <c r="EO255" s="9"/>
      <c r="EP255" s="9"/>
      <c r="EQ255" s="9"/>
      <c r="ER255" s="9"/>
      <c r="ES255" s="9"/>
      <c r="ET255" s="9"/>
      <c r="EU255" s="9"/>
      <c r="EV255" s="9"/>
      <c r="EW255" s="9"/>
      <c r="EX255" s="9"/>
      <c r="EY255" s="9"/>
      <c r="EZ255" s="9"/>
      <c r="FA255" s="9"/>
      <c r="FB255" s="9"/>
      <c r="FC255" s="9"/>
      <c r="FD255" s="9"/>
      <c r="FE255" s="9"/>
      <c r="FF255" s="9"/>
      <c r="FG255" s="9"/>
      <c r="FH255" s="9"/>
      <c r="FI255" s="9"/>
      <c r="FJ255" s="9"/>
      <c r="FK255" s="9"/>
      <c r="FL255" s="9"/>
      <c r="FM255" s="9"/>
      <c r="FN255" s="9"/>
      <c r="FO255" s="9"/>
      <c r="FP255" s="9"/>
      <c r="FQ255" s="9"/>
      <c r="FR255" s="9"/>
      <c r="FS255" s="9"/>
      <c r="FT255" s="9"/>
      <c r="FU255" s="9"/>
      <c r="FV255" s="9"/>
      <c r="FW255" s="9"/>
      <c r="FX255" s="9"/>
      <c r="FY255" s="9"/>
      <c r="FZ255" s="9"/>
      <c r="GA255" s="9"/>
      <c r="GB255" s="9"/>
      <c r="GC255" s="9"/>
      <c r="GD255" s="9"/>
      <c r="GE255" s="9"/>
      <c r="GF255" s="9"/>
      <c r="GG255" s="9"/>
      <c r="GH255" s="9"/>
      <c r="GI255" s="9"/>
      <c r="GJ255" s="9"/>
      <c r="GK255" s="9"/>
      <c r="GL255" s="9"/>
      <c r="GM255" s="9"/>
      <c r="GN255" s="9"/>
      <c r="GO255" s="9"/>
      <c r="GP255" s="9"/>
      <c r="GQ255" s="9"/>
      <c r="GR255" s="9"/>
      <c r="GS255" s="9"/>
      <c r="GT255" s="9"/>
      <c r="GU255" s="9"/>
      <c r="GV255" s="9"/>
      <c r="GW255" s="9"/>
      <c r="GX255" s="9"/>
      <c r="GY255" s="9"/>
      <c r="GZ255" s="9"/>
      <c r="HA255" s="9"/>
      <c r="HB255" s="9"/>
      <c r="HC255" s="9"/>
      <c r="HD255" s="9"/>
      <c r="HE255" s="9"/>
      <c r="HF255" s="9"/>
      <c r="HG255" s="9"/>
      <c r="HH255" s="9"/>
      <c r="HI255" s="9"/>
      <c r="HJ255" s="9"/>
      <c r="HV255" s="50"/>
      <c r="HW255" s="50"/>
      <c r="IH255" t="s">
        <v>933</v>
      </c>
      <c r="II255" s="75" t="s">
        <v>929</v>
      </c>
      <c r="IJ255" t="s">
        <v>542</v>
      </c>
      <c r="IK255" t="s">
        <v>543</v>
      </c>
      <c r="IL255" t="s">
        <v>480</v>
      </c>
      <c r="IM255" t="s">
        <v>480</v>
      </c>
      <c r="IN255" t="s">
        <v>480</v>
      </c>
      <c r="JJ255" t="s">
        <v>934</v>
      </c>
      <c r="JK255" t="s">
        <v>920</v>
      </c>
      <c r="JL255" t="s">
        <v>495</v>
      </c>
      <c r="JM255" t="s">
        <v>908</v>
      </c>
      <c r="JN255" s="4" t="s">
        <v>497</v>
      </c>
      <c r="JO255" t="s">
        <v>921</v>
      </c>
      <c r="MY255" t="s">
        <v>942</v>
      </c>
      <c r="MZ255">
        <v>70</v>
      </c>
      <c r="NI255" t="s">
        <v>912</v>
      </c>
      <c r="NJ255" t="s">
        <v>943</v>
      </c>
      <c r="NK255" t="s">
        <v>914</v>
      </c>
      <c r="NL255" s="4" t="s">
        <v>944</v>
      </c>
      <c r="NM255" s="6" t="s">
        <v>516</v>
      </c>
      <c r="NV255" t="s">
        <v>518</v>
      </c>
      <c r="NW255">
        <v>218</v>
      </c>
      <c r="NX255" t="s">
        <v>916</v>
      </c>
      <c r="NY255">
        <v>4</v>
      </c>
      <c r="OB255">
        <v>3</v>
      </c>
      <c r="OU255" t="s">
        <v>941</v>
      </c>
      <c r="OV255" t="s">
        <v>518</v>
      </c>
      <c r="OX255">
        <v>2015</v>
      </c>
      <c r="OY255">
        <v>2016</v>
      </c>
      <c r="PB255" t="s">
        <v>522</v>
      </c>
      <c r="PC255" s="50">
        <v>46104</v>
      </c>
    </row>
    <row r="256" spans="1:419" ht="15.75" thickBot="1">
      <c r="A256" t="s">
        <v>469</v>
      </c>
      <c r="B256" t="s">
        <v>899</v>
      </c>
      <c r="C256" t="s">
        <v>900</v>
      </c>
      <c r="D256" s="59" t="s">
        <v>472</v>
      </c>
      <c r="E256" t="s">
        <v>940</v>
      </c>
      <c r="F256" s="4" t="s">
        <v>902</v>
      </c>
      <c r="G256" t="s">
        <v>475</v>
      </c>
      <c r="H256" t="s">
        <v>476</v>
      </c>
      <c r="I256">
        <v>6.7519444440000003</v>
      </c>
      <c r="J256">
        <v>38.33361111</v>
      </c>
      <c r="K256">
        <v>500</v>
      </c>
      <c r="AV256" t="s">
        <v>903</v>
      </c>
      <c r="AW256">
        <v>420</v>
      </c>
      <c r="AX256">
        <v>0.18</v>
      </c>
      <c r="AY256">
        <v>1</v>
      </c>
      <c r="AZ256" t="s">
        <v>904</v>
      </c>
      <c r="BA256">
        <v>2015</v>
      </c>
      <c r="BB256">
        <v>2016</v>
      </c>
      <c r="BD256" t="s">
        <v>936</v>
      </c>
      <c r="BE256" t="s">
        <v>602</v>
      </c>
      <c r="BF256" s="3" t="s">
        <v>484</v>
      </c>
      <c r="BG256" t="s">
        <v>485</v>
      </c>
      <c r="BH256" t="s">
        <v>480</v>
      </c>
      <c r="BI256" t="s">
        <v>486</v>
      </c>
      <c r="BJ256">
        <v>53333</v>
      </c>
      <c r="EG256" s="9"/>
      <c r="EH256" s="9"/>
      <c r="EI256" s="9"/>
      <c r="EJ256" s="9"/>
      <c r="EK256" s="9"/>
      <c r="EL256" s="9"/>
      <c r="EM256" s="9"/>
      <c r="EN256" s="9"/>
      <c r="EO256" s="9"/>
      <c r="EP256" s="9"/>
      <c r="EQ256" s="9"/>
      <c r="ER256" s="9"/>
      <c r="ES256" s="9"/>
      <c r="ET256" s="9"/>
      <c r="EU256" s="9"/>
      <c r="EV256" s="9"/>
      <c r="EW256" s="9"/>
      <c r="EX256" s="9"/>
      <c r="EY256" s="9"/>
      <c r="EZ256" s="9"/>
      <c r="FA256" s="9"/>
      <c r="FB256" s="9"/>
      <c r="FC256" s="9"/>
      <c r="FD256" s="9"/>
      <c r="FE256" s="9"/>
      <c r="FF256" s="9"/>
      <c r="FG256" s="9"/>
      <c r="FH256" s="9"/>
      <c r="FI256" s="9"/>
      <c r="FJ256" s="9"/>
      <c r="FK256" s="9"/>
      <c r="FL256" s="9"/>
      <c r="FM256" s="9"/>
      <c r="FN256" s="9"/>
      <c r="FO256" s="9"/>
      <c r="FP256" s="9"/>
      <c r="FQ256" s="9"/>
      <c r="FR256" s="9"/>
      <c r="FS256" s="9"/>
      <c r="FT256" s="9"/>
      <c r="FU256" s="9"/>
      <c r="FV256" s="9"/>
      <c r="FW256" s="9"/>
      <c r="FX256" s="9"/>
      <c r="FY256" s="9"/>
      <c r="FZ256" s="9"/>
      <c r="GA256" s="9"/>
      <c r="GB256" s="9"/>
      <c r="GC256" s="9"/>
      <c r="GD256" s="9"/>
      <c r="GE256" s="9"/>
      <c r="GF256" s="9"/>
      <c r="GG256" s="9"/>
      <c r="GH256" s="9"/>
      <c r="GI256" s="9"/>
      <c r="GJ256" s="9"/>
      <c r="GK256" s="9"/>
      <c r="GL256" s="9"/>
      <c r="GM256" s="9"/>
      <c r="GN256" s="9"/>
      <c r="GO256" s="9"/>
      <c r="GP256" s="9"/>
      <c r="GQ256" s="9"/>
      <c r="GR256" s="9"/>
      <c r="GS256" s="9"/>
      <c r="GT256" s="9"/>
      <c r="GU256" s="9"/>
      <c r="GV256" s="9"/>
      <c r="GW256" s="9"/>
      <c r="GX256" s="9"/>
      <c r="GY256" s="9"/>
      <c r="GZ256" s="9"/>
      <c r="HA256" s="9"/>
      <c r="HB256" s="9"/>
      <c r="HC256" s="9"/>
      <c r="HD256" s="9"/>
      <c r="HE256" s="9"/>
      <c r="HF256" s="9"/>
      <c r="HG256" s="9"/>
      <c r="HH256" s="9"/>
      <c r="HI256" s="9"/>
      <c r="HJ256" s="9"/>
      <c r="HQ256" t="s">
        <v>923</v>
      </c>
      <c r="HV256" s="50"/>
      <c r="HW256" s="50"/>
      <c r="IH256" t="s">
        <v>491</v>
      </c>
      <c r="II256" t="s">
        <v>492</v>
      </c>
      <c r="JJ256" t="s">
        <v>937</v>
      </c>
      <c r="JK256" t="s">
        <v>920</v>
      </c>
      <c r="JL256" t="s">
        <v>495</v>
      </c>
      <c r="JM256" t="s">
        <v>908</v>
      </c>
      <c r="JN256" s="4" t="s">
        <v>497</v>
      </c>
      <c r="JO256" t="s">
        <v>921</v>
      </c>
      <c r="MY256" t="s">
        <v>942</v>
      </c>
      <c r="MZ256">
        <v>70</v>
      </c>
      <c r="NI256" t="s">
        <v>912</v>
      </c>
      <c r="NJ256" t="s">
        <v>943</v>
      </c>
      <c r="NK256" t="s">
        <v>914</v>
      </c>
      <c r="NL256" s="4" t="s">
        <v>944</v>
      </c>
      <c r="NM256" s="6" t="s">
        <v>516</v>
      </c>
      <c r="NU256" t="s">
        <v>657</v>
      </c>
      <c r="NV256" t="s">
        <v>518</v>
      </c>
      <c r="NW256">
        <v>129</v>
      </c>
      <c r="NX256" t="s">
        <v>916</v>
      </c>
      <c r="NY256">
        <v>4</v>
      </c>
      <c r="OB256">
        <v>3</v>
      </c>
      <c r="OU256" t="s">
        <v>941</v>
      </c>
      <c r="OV256" t="s">
        <v>518</v>
      </c>
      <c r="OX256">
        <v>2015</v>
      </c>
      <c r="OY256">
        <v>2016</v>
      </c>
      <c r="PB256" t="s">
        <v>522</v>
      </c>
      <c r="PC256" s="50">
        <v>46104</v>
      </c>
    </row>
    <row r="257" spans="1:419" ht="15.75" thickBot="1">
      <c r="A257" t="s">
        <v>469</v>
      </c>
      <c r="B257" t="s">
        <v>899</v>
      </c>
      <c r="C257" t="s">
        <v>900</v>
      </c>
      <c r="D257" s="59" t="s">
        <v>472</v>
      </c>
      <c r="E257" t="s">
        <v>901</v>
      </c>
      <c r="F257" s="4" t="s">
        <v>902</v>
      </c>
      <c r="G257" t="s">
        <v>475</v>
      </c>
      <c r="H257" t="s">
        <v>476</v>
      </c>
      <c r="I257">
        <v>7.971944444</v>
      </c>
      <c r="J257">
        <v>38.633055560000003</v>
      </c>
      <c r="K257">
        <v>200</v>
      </c>
      <c r="AV257" t="s">
        <v>903</v>
      </c>
      <c r="AW257">
        <v>420</v>
      </c>
      <c r="AX257">
        <v>2.5</v>
      </c>
      <c r="AY257">
        <v>1</v>
      </c>
      <c r="AZ257" t="s">
        <v>904</v>
      </c>
      <c r="BA257">
        <v>2015</v>
      </c>
      <c r="BB257">
        <v>2016</v>
      </c>
      <c r="BD257" t="s">
        <v>905</v>
      </c>
      <c r="BE257" t="s">
        <v>524</v>
      </c>
      <c r="BF257" s="3" t="s">
        <v>484</v>
      </c>
      <c r="BG257" t="s">
        <v>485</v>
      </c>
      <c r="BH257" t="s">
        <v>480</v>
      </c>
      <c r="BI257" s="4" t="s">
        <v>486</v>
      </c>
      <c r="BJ257">
        <v>53333</v>
      </c>
      <c r="IH257" t="s">
        <v>491</v>
      </c>
      <c r="II257" t="s">
        <v>492</v>
      </c>
      <c r="JJ257" t="s">
        <v>906</v>
      </c>
      <c r="JK257" s="75" t="s">
        <v>907</v>
      </c>
      <c r="JL257" s="8" t="s">
        <v>495</v>
      </c>
      <c r="JM257" s="8" t="s">
        <v>908</v>
      </c>
      <c r="JN257" s="4" t="s">
        <v>497</v>
      </c>
      <c r="JO257" t="s">
        <v>909</v>
      </c>
      <c r="MY257" t="s">
        <v>910</v>
      </c>
      <c r="MZ257">
        <v>70</v>
      </c>
      <c r="NA257" t="s">
        <v>911</v>
      </c>
      <c r="NB257" t="s">
        <v>548</v>
      </c>
      <c r="NC257" s="4" t="s">
        <v>511</v>
      </c>
      <c r="NJ257" t="s">
        <v>945</v>
      </c>
      <c r="NK257" t="s">
        <v>914</v>
      </c>
      <c r="NL257" s="4" t="s">
        <v>946</v>
      </c>
      <c r="NM257" s="6" t="s">
        <v>516</v>
      </c>
      <c r="NU257" t="s">
        <v>915</v>
      </c>
      <c r="NV257" t="s">
        <v>518</v>
      </c>
      <c r="NW257">
        <v>2347</v>
      </c>
      <c r="NX257" t="s">
        <v>480</v>
      </c>
      <c r="NY257" t="s">
        <v>480</v>
      </c>
      <c r="OB257" s="15">
        <v>3</v>
      </c>
      <c r="OU257" t="s">
        <v>917</v>
      </c>
      <c r="OV257" t="s">
        <v>518</v>
      </c>
      <c r="OX257">
        <v>2015</v>
      </c>
      <c r="OY257">
        <v>2016</v>
      </c>
      <c r="PB257" t="s">
        <v>522</v>
      </c>
      <c r="PC257" s="50">
        <v>46104</v>
      </c>
    </row>
    <row r="258" spans="1:419" ht="15.75" thickBot="1">
      <c r="A258" t="s">
        <v>469</v>
      </c>
      <c r="B258" t="s">
        <v>899</v>
      </c>
      <c r="C258" t="s">
        <v>900</v>
      </c>
      <c r="D258" s="59" t="s">
        <v>472</v>
      </c>
      <c r="E258" t="s">
        <v>901</v>
      </c>
      <c r="F258" s="4" t="s">
        <v>902</v>
      </c>
      <c r="G258" t="s">
        <v>475</v>
      </c>
      <c r="H258" t="s">
        <v>476</v>
      </c>
      <c r="I258">
        <v>7.971944444</v>
      </c>
      <c r="J258">
        <v>38.633055560000003</v>
      </c>
      <c r="K258">
        <v>200</v>
      </c>
      <c r="AV258" t="s">
        <v>903</v>
      </c>
      <c r="AW258">
        <v>420</v>
      </c>
      <c r="AX258">
        <v>2.5</v>
      </c>
      <c r="AY258">
        <v>1</v>
      </c>
      <c r="AZ258" t="s">
        <v>904</v>
      </c>
      <c r="BA258">
        <v>2015</v>
      </c>
      <c r="BB258">
        <v>2016</v>
      </c>
      <c r="BD258" t="s">
        <v>918</v>
      </c>
      <c r="BE258" t="s">
        <v>483</v>
      </c>
      <c r="BF258" s="3" t="s">
        <v>484</v>
      </c>
      <c r="BG258" t="s">
        <v>485</v>
      </c>
      <c r="BH258" t="s">
        <v>480</v>
      </c>
      <c r="BI258" t="s">
        <v>486</v>
      </c>
      <c r="BJ258">
        <v>53333</v>
      </c>
      <c r="IH258" t="s">
        <v>491</v>
      </c>
      <c r="II258" t="s">
        <v>492</v>
      </c>
      <c r="JJ258" t="s">
        <v>919</v>
      </c>
      <c r="JK258" s="46" t="s">
        <v>920</v>
      </c>
      <c r="JL258" s="8" t="s">
        <v>495</v>
      </c>
      <c r="JM258" s="8" t="s">
        <v>908</v>
      </c>
      <c r="JN258" s="4" t="s">
        <v>497</v>
      </c>
      <c r="JO258" t="s">
        <v>921</v>
      </c>
      <c r="MY258" t="s">
        <v>910</v>
      </c>
      <c r="MZ258">
        <v>70</v>
      </c>
      <c r="NA258" t="s">
        <v>911</v>
      </c>
      <c r="NB258" t="s">
        <v>548</v>
      </c>
      <c r="NC258" s="4" t="s">
        <v>511</v>
      </c>
      <c r="NJ258" t="s">
        <v>945</v>
      </c>
      <c r="NK258" t="s">
        <v>914</v>
      </c>
      <c r="NL258" s="4" t="s">
        <v>946</v>
      </c>
      <c r="NM258" s="6" t="s">
        <v>516</v>
      </c>
      <c r="NU258" t="s">
        <v>657</v>
      </c>
      <c r="NV258" t="s">
        <v>518</v>
      </c>
      <c r="NW258">
        <v>3252</v>
      </c>
      <c r="NX258" t="s">
        <v>480</v>
      </c>
      <c r="NY258" t="s">
        <v>480</v>
      </c>
      <c r="OB258" s="15">
        <v>3</v>
      </c>
      <c r="OU258" t="s">
        <v>917</v>
      </c>
      <c r="OV258" t="s">
        <v>518</v>
      </c>
      <c r="OX258">
        <v>2015</v>
      </c>
      <c r="OY258">
        <v>2016</v>
      </c>
      <c r="PB258" t="s">
        <v>522</v>
      </c>
      <c r="PC258" s="50">
        <v>46104</v>
      </c>
    </row>
    <row r="259" spans="1:419" ht="15.75" thickBot="1">
      <c r="A259" t="s">
        <v>469</v>
      </c>
      <c r="B259" t="s">
        <v>899</v>
      </c>
      <c r="C259" t="s">
        <v>900</v>
      </c>
      <c r="D259" s="59" t="s">
        <v>472</v>
      </c>
      <c r="E259" t="s">
        <v>901</v>
      </c>
      <c r="F259" s="4" t="s">
        <v>902</v>
      </c>
      <c r="G259" t="s">
        <v>475</v>
      </c>
      <c r="H259" t="s">
        <v>476</v>
      </c>
      <c r="I259">
        <v>7.971944444</v>
      </c>
      <c r="J259">
        <v>38.633055560000003</v>
      </c>
      <c r="K259">
        <v>200</v>
      </c>
      <c r="AV259" t="s">
        <v>903</v>
      </c>
      <c r="AW259">
        <v>420</v>
      </c>
      <c r="AX259">
        <v>2.5</v>
      </c>
      <c r="AY259">
        <v>1</v>
      </c>
      <c r="AZ259" t="s">
        <v>904</v>
      </c>
      <c r="BA259">
        <v>2015</v>
      </c>
      <c r="BB259">
        <v>2016</v>
      </c>
      <c r="BD259" t="s">
        <v>922</v>
      </c>
      <c r="BE259" t="s">
        <v>593</v>
      </c>
      <c r="BF259" s="3" t="s">
        <v>484</v>
      </c>
      <c r="BG259" t="s">
        <v>485</v>
      </c>
      <c r="BH259" t="s">
        <v>480</v>
      </c>
      <c r="BI259" t="s">
        <v>486</v>
      </c>
      <c r="BJ259">
        <v>53333</v>
      </c>
      <c r="HQ259" t="s">
        <v>923</v>
      </c>
      <c r="IH259" t="s">
        <v>491</v>
      </c>
      <c r="II259" t="s">
        <v>492</v>
      </c>
      <c r="JJ259" t="s">
        <v>924</v>
      </c>
      <c r="JK259" s="75" t="s">
        <v>907</v>
      </c>
      <c r="JL259" t="s">
        <v>495</v>
      </c>
      <c r="JM259" t="s">
        <v>908</v>
      </c>
      <c r="JN259" s="4" t="s">
        <v>497</v>
      </c>
      <c r="JO259" t="s">
        <v>909</v>
      </c>
      <c r="KV259" t="s">
        <v>925</v>
      </c>
      <c r="MY259" t="s">
        <v>910</v>
      </c>
      <c r="MZ259">
        <v>70</v>
      </c>
      <c r="NA259" t="s">
        <v>911</v>
      </c>
      <c r="NB259" t="s">
        <v>548</v>
      </c>
      <c r="NC259" s="4" t="s">
        <v>511</v>
      </c>
      <c r="NJ259" t="s">
        <v>945</v>
      </c>
      <c r="NK259" t="s">
        <v>914</v>
      </c>
      <c r="NL259" s="4" t="s">
        <v>946</v>
      </c>
      <c r="NM259" s="6" t="s">
        <v>516</v>
      </c>
      <c r="NU259" t="s">
        <v>915</v>
      </c>
      <c r="NV259" t="s">
        <v>518</v>
      </c>
      <c r="NW259">
        <v>2931</v>
      </c>
      <c r="NX259" t="s">
        <v>480</v>
      </c>
      <c r="NY259" t="s">
        <v>480</v>
      </c>
      <c r="OB259" s="15">
        <v>3</v>
      </c>
      <c r="OU259" t="s">
        <v>917</v>
      </c>
      <c r="OV259" t="s">
        <v>518</v>
      </c>
      <c r="OX259">
        <v>2015</v>
      </c>
      <c r="OY259">
        <v>2016</v>
      </c>
      <c r="PB259" t="s">
        <v>522</v>
      </c>
      <c r="PC259" s="50">
        <v>46104</v>
      </c>
    </row>
    <row r="260" spans="1:419" ht="15.75" thickBot="1">
      <c r="A260" t="s">
        <v>469</v>
      </c>
      <c r="B260" t="s">
        <v>899</v>
      </c>
      <c r="C260" t="s">
        <v>900</v>
      </c>
      <c r="D260" s="59" t="s">
        <v>472</v>
      </c>
      <c r="E260" t="s">
        <v>901</v>
      </c>
      <c r="F260" s="4" t="s">
        <v>902</v>
      </c>
      <c r="G260" t="s">
        <v>475</v>
      </c>
      <c r="H260" t="s">
        <v>476</v>
      </c>
      <c r="I260">
        <v>7.971944444</v>
      </c>
      <c r="J260">
        <v>38.633055560000003</v>
      </c>
      <c r="K260">
        <v>200</v>
      </c>
      <c r="AV260" t="s">
        <v>903</v>
      </c>
      <c r="AW260">
        <v>420</v>
      </c>
      <c r="AX260">
        <v>2.5</v>
      </c>
      <c r="AY260">
        <v>1</v>
      </c>
      <c r="AZ260" t="s">
        <v>904</v>
      </c>
      <c r="BA260">
        <v>2015</v>
      </c>
      <c r="BB260">
        <v>2016</v>
      </c>
      <c r="BD260" t="s">
        <v>926</v>
      </c>
      <c r="BE260" t="s">
        <v>536</v>
      </c>
      <c r="BF260" s="3" t="s">
        <v>484</v>
      </c>
      <c r="BG260" t="s">
        <v>485</v>
      </c>
      <c r="BH260" t="s">
        <v>480</v>
      </c>
      <c r="BI260" t="s">
        <v>486</v>
      </c>
      <c r="BJ260">
        <v>53333</v>
      </c>
      <c r="BK260" t="s">
        <v>537</v>
      </c>
      <c r="BL260" t="s">
        <v>927</v>
      </c>
      <c r="BM260" t="s">
        <v>480</v>
      </c>
      <c r="BN260" t="s">
        <v>486</v>
      </c>
      <c r="BO260">
        <v>266666</v>
      </c>
      <c r="EG260" s="9"/>
      <c r="EH260" s="9"/>
      <c r="EI260" s="9"/>
      <c r="EJ260" s="9"/>
      <c r="EK260" s="9"/>
      <c r="EL260" s="9"/>
      <c r="EM260" s="9"/>
      <c r="EN260" s="9"/>
      <c r="EO260" s="9"/>
      <c r="EP260" s="9"/>
      <c r="EQ260" s="9"/>
      <c r="ER260" s="9"/>
      <c r="ES260" s="9"/>
      <c r="ET260" s="9"/>
      <c r="EU260" s="9"/>
      <c r="EV260" s="9"/>
      <c r="EW260" s="9"/>
      <c r="EX260" s="9"/>
      <c r="EY260" s="9"/>
      <c r="EZ260" s="9"/>
      <c r="FA260" s="9"/>
      <c r="FB260" s="9"/>
      <c r="FC260" s="9"/>
      <c r="FD260" s="9"/>
      <c r="FE260" s="9"/>
      <c r="FF260" s="9"/>
      <c r="FG260" s="9"/>
      <c r="FH260" s="9"/>
      <c r="FI260" s="9"/>
      <c r="FJ260" s="9"/>
      <c r="FK260" s="9"/>
      <c r="FL260" s="9"/>
      <c r="FM260" s="9"/>
      <c r="FN260" s="9"/>
      <c r="FO260" s="9"/>
      <c r="FP260" s="9"/>
      <c r="FQ260" s="9"/>
      <c r="FR260" s="9"/>
      <c r="FS260" s="9"/>
      <c r="FT260" s="9"/>
      <c r="FU260" s="9"/>
      <c r="FV260" s="9"/>
      <c r="FW260" s="9"/>
      <c r="FX260" s="9"/>
      <c r="FY260" s="9"/>
      <c r="FZ260" s="9"/>
      <c r="GA260" s="9"/>
      <c r="GB260" s="9"/>
      <c r="GC260" s="9"/>
      <c r="GD260" s="9"/>
      <c r="GE260" s="9"/>
      <c r="GF260" s="9"/>
      <c r="GG260" s="9"/>
      <c r="GH260" s="9"/>
      <c r="GI260" s="9"/>
      <c r="GJ260" s="9"/>
      <c r="GK260" s="9"/>
      <c r="GL260" s="9"/>
      <c r="GM260" s="9"/>
      <c r="GN260" s="9"/>
      <c r="GO260" s="9"/>
      <c r="GP260" s="9"/>
      <c r="GQ260" s="9"/>
      <c r="GR260" s="9"/>
      <c r="GS260" s="9"/>
      <c r="GT260" s="9"/>
      <c r="GU260" s="9"/>
      <c r="GV260" s="9"/>
      <c r="GW260" s="9"/>
      <c r="GX260" s="9"/>
      <c r="GY260" s="9"/>
      <c r="GZ260" s="9"/>
      <c r="HA260" s="9"/>
      <c r="HB260" s="9"/>
      <c r="HC260" s="9"/>
      <c r="HD260" s="9"/>
      <c r="HE260" s="9"/>
      <c r="HF260" s="9"/>
      <c r="HG260" s="9"/>
      <c r="HH260" s="9"/>
      <c r="HI260" s="9"/>
      <c r="HJ260" s="9"/>
      <c r="HV260" s="50"/>
      <c r="HW260" s="50"/>
      <c r="IH260" t="s">
        <v>928</v>
      </c>
      <c r="II260" s="75" t="s">
        <v>929</v>
      </c>
      <c r="IJ260" t="s">
        <v>542</v>
      </c>
      <c r="IK260" t="s">
        <v>543</v>
      </c>
      <c r="IL260" t="s">
        <v>480</v>
      </c>
      <c r="IM260" t="s">
        <v>480</v>
      </c>
      <c r="IN260" t="s">
        <v>480</v>
      </c>
      <c r="JJ260" t="s">
        <v>930</v>
      </c>
      <c r="JK260" t="s">
        <v>920</v>
      </c>
      <c r="JL260" t="s">
        <v>495</v>
      </c>
      <c r="JM260" t="s">
        <v>908</v>
      </c>
      <c r="JN260" s="4" t="s">
        <v>497</v>
      </c>
      <c r="JO260" t="s">
        <v>921</v>
      </c>
      <c r="MY260" t="s">
        <v>910</v>
      </c>
      <c r="MZ260">
        <v>70</v>
      </c>
      <c r="NA260" t="s">
        <v>911</v>
      </c>
      <c r="NB260" t="s">
        <v>548</v>
      </c>
      <c r="NC260" s="4" t="s">
        <v>511</v>
      </c>
      <c r="ND260" t="s">
        <v>947</v>
      </c>
      <c r="NJ260" t="s">
        <v>945</v>
      </c>
      <c r="NK260" t="s">
        <v>914</v>
      </c>
      <c r="NL260" s="4" t="s">
        <v>946</v>
      </c>
      <c r="NM260" s="6" t="s">
        <v>516</v>
      </c>
      <c r="NV260" t="s">
        <v>518</v>
      </c>
      <c r="NW260">
        <v>4013</v>
      </c>
      <c r="NX260" t="s">
        <v>480</v>
      </c>
      <c r="NY260" t="s">
        <v>480</v>
      </c>
      <c r="OB260" s="15">
        <v>3</v>
      </c>
      <c r="OU260" t="s">
        <v>917</v>
      </c>
      <c r="OV260" t="s">
        <v>518</v>
      </c>
      <c r="OX260">
        <v>2015</v>
      </c>
      <c r="OY260">
        <v>2016</v>
      </c>
      <c r="PB260" t="s">
        <v>522</v>
      </c>
      <c r="PC260" s="50">
        <v>46104</v>
      </c>
    </row>
    <row r="261" spans="1:419" ht="15.75" thickBot="1">
      <c r="A261" t="s">
        <v>469</v>
      </c>
      <c r="B261" t="s">
        <v>899</v>
      </c>
      <c r="C261" t="s">
        <v>900</v>
      </c>
      <c r="D261" s="59" t="s">
        <v>472</v>
      </c>
      <c r="E261" t="s">
        <v>901</v>
      </c>
      <c r="F261" s="4" t="s">
        <v>902</v>
      </c>
      <c r="G261" t="s">
        <v>475</v>
      </c>
      <c r="H261" t="s">
        <v>476</v>
      </c>
      <c r="I261">
        <v>7.971944444</v>
      </c>
      <c r="J261">
        <v>38.633055560000003</v>
      </c>
      <c r="K261">
        <v>200</v>
      </c>
      <c r="AV261" t="s">
        <v>903</v>
      </c>
      <c r="AW261">
        <v>420</v>
      </c>
      <c r="AX261">
        <v>2.5</v>
      </c>
      <c r="AY261">
        <v>1</v>
      </c>
      <c r="AZ261" t="s">
        <v>904</v>
      </c>
      <c r="BA261">
        <v>2015</v>
      </c>
      <c r="BB261">
        <v>2016</v>
      </c>
      <c r="BD261" t="s">
        <v>931</v>
      </c>
      <c r="BE261" t="s">
        <v>566</v>
      </c>
      <c r="BF261" s="3" t="s">
        <v>484</v>
      </c>
      <c r="BG261" t="s">
        <v>485</v>
      </c>
      <c r="BH261" t="s">
        <v>480</v>
      </c>
      <c r="BI261" t="s">
        <v>486</v>
      </c>
      <c r="BJ261">
        <v>53333</v>
      </c>
      <c r="BK261" t="s">
        <v>537</v>
      </c>
      <c r="BL261" t="s">
        <v>932</v>
      </c>
      <c r="BM261" t="s">
        <v>480</v>
      </c>
      <c r="BN261" t="s">
        <v>486</v>
      </c>
      <c r="BO261">
        <v>66666</v>
      </c>
      <c r="EG261" s="9"/>
      <c r="EH261" s="9"/>
      <c r="EI261" s="9"/>
      <c r="EJ261" s="9"/>
      <c r="EK261" s="9"/>
      <c r="EL261" s="9"/>
      <c r="EM261" s="9"/>
      <c r="EN261" s="9"/>
      <c r="EO261" s="9"/>
      <c r="EP261" s="9"/>
      <c r="EQ261" s="9"/>
      <c r="ER261" s="9"/>
      <c r="ES261" s="9"/>
      <c r="ET261" s="9"/>
      <c r="EU261" s="9"/>
      <c r="EV261" s="9"/>
      <c r="EW261" s="9"/>
      <c r="EX261" s="9"/>
      <c r="EY261" s="9"/>
      <c r="EZ261" s="9"/>
      <c r="FA261" s="9"/>
      <c r="FB261" s="9"/>
      <c r="FC261" s="9"/>
      <c r="FD261" s="9"/>
      <c r="FE261" s="9"/>
      <c r="FF261" s="9"/>
      <c r="FG261" s="9"/>
      <c r="FH261" s="9"/>
      <c r="FI261" s="9"/>
      <c r="FJ261" s="9"/>
      <c r="FK261" s="9"/>
      <c r="FL261" s="9"/>
      <c r="FM261" s="9"/>
      <c r="FN261" s="9"/>
      <c r="FO261" s="9"/>
      <c r="FP261" s="9"/>
      <c r="FQ261" s="9"/>
      <c r="FR261" s="9"/>
      <c r="FS261" s="9"/>
      <c r="FT261" s="9"/>
      <c r="FU261" s="9"/>
      <c r="FV261" s="9"/>
      <c r="FW261" s="9"/>
      <c r="FX261" s="9"/>
      <c r="FY261" s="9"/>
      <c r="FZ261" s="9"/>
      <c r="GA261" s="9"/>
      <c r="GB261" s="9"/>
      <c r="GC261" s="9"/>
      <c r="GD261" s="9"/>
      <c r="GE261" s="9"/>
      <c r="GF261" s="9"/>
      <c r="GG261" s="9"/>
      <c r="GH261" s="9"/>
      <c r="GI261" s="9"/>
      <c r="GJ261" s="9"/>
      <c r="GK261" s="9"/>
      <c r="GL261" s="9"/>
      <c r="GM261" s="9"/>
      <c r="GN261" s="9"/>
      <c r="GO261" s="9"/>
      <c r="GP261" s="9"/>
      <c r="GQ261" s="9"/>
      <c r="GR261" s="9"/>
      <c r="GS261" s="9"/>
      <c r="GT261" s="9"/>
      <c r="GU261" s="9"/>
      <c r="GV261" s="9"/>
      <c r="GW261" s="9"/>
      <c r="GX261" s="9"/>
      <c r="GY261" s="9"/>
      <c r="GZ261" s="9"/>
      <c r="HA261" s="9"/>
      <c r="HB261" s="9"/>
      <c r="HC261" s="9"/>
      <c r="HD261" s="9"/>
      <c r="HE261" s="9"/>
      <c r="HF261" s="9"/>
      <c r="HG261" s="9"/>
      <c r="HH261" s="9"/>
      <c r="HI261" s="9"/>
      <c r="HJ261" s="9"/>
      <c r="HV261" s="50"/>
      <c r="HW261" s="50"/>
      <c r="IH261" t="s">
        <v>933</v>
      </c>
      <c r="II261" s="75" t="s">
        <v>929</v>
      </c>
      <c r="IJ261" t="s">
        <v>542</v>
      </c>
      <c r="IK261" t="s">
        <v>543</v>
      </c>
      <c r="IL261" t="s">
        <v>480</v>
      </c>
      <c r="IM261" t="s">
        <v>480</v>
      </c>
      <c r="IN261" t="s">
        <v>480</v>
      </c>
      <c r="JJ261" t="s">
        <v>934</v>
      </c>
      <c r="JK261" t="s">
        <v>920</v>
      </c>
      <c r="JL261" t="s">
        <v>495</v>
      </c>
      <c r="JM261" t="s">
        <v>908</v>
      </c>
      <c r="JN261" s="4" t="s">
        <v>497</v>
      </c>
      <c r="JO261" t="s">
        <v>921</v>
      </c>
      <c r="MY261" t="s">
        <v>910</v>
      </c>
      <c r="MZ261">
        <v>70</v>
      </c>
      <c r="NA261" t="s">
        <v>911</v>
      </c>
      <c r="NB261" t="s">
        <v>548</v>
      </c>
      <c r="NC261" s="4" t="s">
        <v>511</v>
      </c>
      <c r="ND261" t="s">
        <v>935</v>
      </c>
      <c r="NJ261" t="s">
        <v>945</v>
      </c>
      <c r="NK261" t="s">
        <v>914</v>
      </c>
      <c r="NL261" s="4" t="s">
        <v>946</v>
      </c>
      <c r="NM261" s="6" t="s">
        <v>516</v>
      </c>
      <c r="NV261" t="s">
        <v>518</v>
      </c>
      <c r="NW261">
        <v>3788</v>
      </c>
      <c r="NX261" t="s">
        <v>480</v>
      </c>
      <c r="NY261" t="s">
        <v>480</v>
      </c>
      <c r="OB261" s="15">
        <v>3</v>
      </c>
      <c r="OU261" t="s">
        <v>917</v>
      </c>
      <c r="OV261" t="s">
        <v>518</v>
      </c>
      <c r="OX261">
        <v>2015</v>
      </c>
      <c r="OY261">
        <v>2016</v>
      </c>
      <c r="PB261" t="s">
        <v>522</v>
      </c>
      <c r="PC261" s="50">
        <v>46104</v>
      </c>
    </row>
    <row r="262" spans="1:419" ht="15.75" thickBot="1">
      <c r="A262" t="s">
        <v>469</v>
      </c>
      <c r="B262" t="s">
        <v>899</v>
      </c>
      <c r="C262" t="s">
        <v>900</v>
      </c>
      <c r="D262" s="59" t="s">
        <v>472</v>
      </c>
      <c r="E262" t="s">
        <v>901</v>
      </c>
      <c r="F262" s="4" t="s">
        <v>902</v>
      </c>
      <c r="G262" t="s">
        <v>475</v>
      </c>
      <c r="H262" t="s">
        <v>476</v>
      </c>
      <c r="I262">
        <v>7.971944444</v>
      </c>
      <c r="J262">
        <v>38.633055560000003</v>
      </c>
      <c r="K262">
        <v>200</v>
      </c>
      <c r="AV262" t="s">
        <v>903</v>
      </c>
      <c r="AW262">
        <v>420</v>
      </c>
      <c r="AX262">
        <v>2.5</v>
      </c>
      <c r="AY262">
        <v>1</v>
      </c>
      <c r="AZ262" t="s">
        <v>904</v>
      </c>
      <c r="BA262">
        <v>2015</v>
      </c>
      <c r="BB262">
        <v>2016</v>
      </c>
      <c r="BD262" t="s">
        <v>936</v>
      </c>
      <c r="BE262" t="s">
        <v>602</v>
      </c>
      <c r="BF262" s="3" t="s">
        <v>484</v>
      </c>
      <c r="BG262" t="s">
        <v>485</v>
      </c>
      <c r="BH262" t="s">
        <v>480</v>
      </c>
      <c r="BI262" t="s">
        <v>486</v>
      </c>
      <c r="BJ262">
        <v>53333</v>
      </c>
      <c r="HQ262" t="s">
        <v>923</v>
      </c>
      <c r="IH262" t="s">
        <v>491</v>
      </c>
      <c r="II262" t="s">
        <v>492</v>
      </c>
      <c r="JJ262" t="s">
        <v>937</v>
      </c>
      <c r="JK262" t="s">
        <v>920</v>
      </c>
      <c r="JL262" t="s">
        <v>495</v>
      </c>
      <c r="JM262" t="s">
        <v>908</v>
      </c>
      <c r="JN262" s="4" t="s">
        <v>497</v>
      </c>
      <c r="JO262" t="s">
        <v>921</v>
      </c>
      <c r="MY262" t="s">
        <v>910</v>
      </c>
      <c r="MZ262">
        <v>70</v>
      </c>
      <c r="NA262" t="s">
        <v>911</v>
      </c>
      <c r="NB262" t="s">
        <v>548</v>
      </c>
      <c r="NC262" s="4" t="s">
        <v>511</v>
      </c>
      <c r="NJ262" t="s">
        <v>945</v>
      </c>
      <c r="NK262" t="s">
        <v>914</v>
      </c>
      <c r="NL262" s="4" t="s">
        <v>946</v>
      </c>
      <c r="NM262" s="6" t="s">
        <v>516</v>
      </c>
      <c r="NU262" t="s">
        <v>657</v>
      </c>
      <c r="NV262" t="s">
        <v>518</v>
      </c>
      <c r="NW262">
        <v>3834</v>
      </c>
      <c r="NX262" t="s">
        <v>480</v>
      </c>
      <c r="NY262" t="s">
        <v>480</v>
      </c>
      <c r="OB262" s="15">
        <v>3</v>
      </c>
      <c r="OU262" t="s">
        <v>917</v>
      </c>
      <c r="OV262" t="s">
        <v>518</v>
      </c>
      <c r="OX262">
        <v>2015</v>
      </c>
      <c r="OY262">
        <v>2016</v>
      </c>
      <c r="PB262" t="s">
        <v>522</v>
      </c>
      <c r="PC262" s="50">
        <v>46104</v>
      </c>
    </row>
    <row r="263" spans="1:419" ht="15.75" thickBot="1">
      <c r="A263" t="s">
        <v>469</v>
      </c>
      <c r="B263" t="s">
        <v>899</v>
      </c>
      <c r="C263" t="s">
        <v>900</v>
      </c>
      <c r="D263" s="59" t="s">
        <v>472</v>
      </c>
      <c r="E263" t="s">
        <v>938</v>
      </c>
      <c r="F263" s="4" t="s">
        <v>902</v>
      </c>
      <c r="G263" t="s">
        <v>475</v>
      </c>
      <c r="H263" t="s">
        <v>476</v>
      </c>
      <c r="I263">
        <v>7.306944444</v>
      </c>
      <c r="J263">
        <v>38.012222219999998</v>
      </c>
      <c r="K263">
        <v>600</v>
      </c>
      <c r="AV263" t="s">
        <v>903</v>
      </c>
      <c r="AW263">
        <v>420</v>
      </c>
      <c r="AX263">
        <v>1.5</v>
      </c>
      <c r="AY263">
        <v>1</v>
      </c>
      <c r="AZ263" t="s">
        <v>904</v>
      </c>
      <c r="BA263">
        <v>2015</v>
      </c>
      <c r="BB263">
        <v>2016</v>
      </c>
      <c r="BD263" t="s">
        <v>905</v>
      </c>
      <c r="BE263" t="s">
        <v>524</v>
      </c>
      <c r="BF263" s="3" t="s">
        <v>484</v>
      </c>
      <c r="BG263" t="s">
        <v>485</v>
      </c>
      <c r="BH263" t="s">
        <v>480</v>
      </c>
      <c r="BI263" s="4" t="s">
        <v>486</v>
      </c>
      <c r="BJ263">
        <v>53333</v>
      </c>
      <c r="IH263" t="s">
        <v>491</v>
      </c>
      <c r="II263" t="s">
        <v>492</v>
      </c>
      <c r="JJ263" t="s">
        <v>906</v>
      </c>
      <c r="JK263" s="75" t="s">
        <v>907</v>
      </c>
      <c r="JL263" s="8" t="s">
        <v>495</v>
      </c>
      <c r="JM263" s="8" t="s">
        <v>908</v>
      </c>
      <c r="JN263" s="4" t="s">
        <v>497</v>
      </c>
      <c r="JO263" t="s">
        <v>909</v>
      </c>
      <c r="MY263" t="s">
        <v>910</v>
      </c>
      <c r="MZ263">
        <v>70</v>
      </c>
      <c r="NA263" t="s">
        <v>911</v>
      </c>
      <c r="NB263" t="s">
        <v>548</v>
      </c>
      <c r="NC263" s="4" t="s">
        <v>511</v>
      </c>
      <c r="NJ263" t="s">
        <v>945</v>
      </c>
      <c r="NK263" t="s">
        <v>914</v>
      </c>
      <c r="NL263" s="4" t="s">
        <v>946</v>
      </c>
      <c r="NM263" s="6" t="s">
        <v>516</v>
      </c>
      <c r="NU263" t="s">
        <v>915</v>
      </c>
      <c r="NV263" t="s">
        <v>518</v>
      </c>
      <c r="NW263">
        <v>3028</v>
      </c>
      <c r="NX263" t="s">
        <v>480</v>
      </c>
      <c r="NY263" t="s">
        <v>480</v>
      </c>
      <c r="OB263" s="15">
        <v>3</v>
      </c>
      <c r="OU263" t="s">
        <v>939</v>
      </c>
      <c r="OV263" t="s">
        <v>518</v>
      </c>
      <c r="OX263">
        <v>2015</v>
      </c>
      <c r="OY263">
        <v>2016</v>
      </c>
      <c r="PB263" t="s">
        <v>522</v>
      </c>
      <c r="PC263" s="50">
        <v>46104</v>
      </c>
    </row>
    <row r="264" spans="1:419" ht="15.75" thickBot="1">
      <c r="A264" t="s">
        <v>469</v>
      </c>
      <c r="B264" t="s">
        <v>899</v>
      </c>
      <c r="C264" t="s">
        <v>900</v>
      </c>
      <c r="D264" s="59" t="s">
        <v>472</v>
      </c>
      <c r="E264" t="s">
        <v>938</v>
      </c>
      <c r="F264" s="4" t="s">
        <v>902</v>
      </c>
      <c r="G264" t="s">
        <v>475</v>
      </c>
      <c r="H264" t="s">
        <v>476</v>
      </c>
      <c r="I264">
        <v>7.306944444</v>
      </c>
      <c r="J264">
        <v>38.012222219999998</v>
      </c>
      <c r="K264">
        <v>600</v>
      </c>
      <c r="AV264" t="s">
        <v>903</v>
      </c>
      <c r="AW264">
        <v>420</v>
      </c>
      <c r="AX264">
        <v>1.5</v>
      </c>
      <c r="AY264">
        <v>1</v>
      </c>
      <c r="AZ264" t="s">
        <v>904</v>
      </c>
      <c r="BA264">
        <v>2015</v>
      </c>
      <c r="BB264">
        <v>2016</v>
      </c>
      <c r="BD264" t="s">
        <v>918</v>
      </c>
      <c r="BE264" t="s">
        <v>483</v>
      </c>
      <c r="BF264" s="3" t="s">
        <v>484</v>
      </c>
      <c r="BG264" t="s">
        <v>485</v>
      </c>
      <c r="BH264" t="s">
        <v>480</v>
      </c>
      <c r="BI264" t="s">
        <v>486</v>
      </c>
      <c r="BJ264">
        <v>53333</v>
      </c>
      <c r="IH264" t="s">
        <v>491</v>
      </c>
      <c r="II264" t="s">
        <v>492</v>
      </c>
      <c r="JJ264" t="s">
        <v>919</v>
      </c>
      <c r="JK264" s="46" t="s">
        <v>920</v>
      </c>
      <c r="JL264" t="s">
        <v>495</v>
      </c>
      <c r="JM264" s="8" t="s">
        <v>908</v>
      </c>
      <c r="JN264" s="4" t="s">
        <v>497</v>
      </c>
      <c r="JO264" t="s">
        <v>921</v>
      </c>
      <c r="MY264" t="s">
        <v>910</v>
      </c>
      <c r="MZ264">
        <v>70</v>
      </c>
      <c r="NA264" t="s">
        <v>911</v>
      </c>
      <c r="NB264" t="s">
        <v>548</v>
      </c>
      <c r="NC264" s="4" t="s">
        <v>511</v>
      </c>
      <c r="NJ264" t="s">
        <v>945</v>
      </c>
      <c r="NK264" t="s">
        <v>914</v>
      </c>
      <c r="NL264" s="4" t="s">
        <v>946</v>
      </c>
      <c r="NM264" s="6" t="s">
        <v>516</v>
      </c>
      <c r="NU264" t="s">
        <v>657</v>
      </c>
      <c r="NV264" t="s">
        <v>518</v>
      </c>
      <c r="NW264">
        <v>3372</v>
      </c>
      <c r="NX264" t="s">
        <v>480</v>
      </c>
      <c r="NY264" t="s">
        <v>480</v>
      </c>
      <c r="OB264" s="15">
        <v>3</v>
      </c>
      <c r="OU264" t="s">
        <v>939</v>
      </c>
      <c r="OV264" t="s">
        <v>518</v>
      </c>
      <c r="OX264">
        <v>2015</v>
      </c>
      <c r="OY264">
        <v>2016</v>
      </c>
      <c r="PB264" t="s">
        <v>522</v>
      </c>
      <c r="PC264" s="50">
        <v>46104</v>
      </c>
    </row>
    <row r="265" spans="1:419" ht="15.75" thickBot="1">
      <c r="A265" t="s">
        <v>469</v>
      </c>
      <c r="B265" t="s">
        <v>899</v>
      </c>
      <c r="C265" t="s">
        <v>900</v>
      </c>
      <c r="D265" s="59" t="s">
        <v>472</v>
      </c>
      <c r="E265" t="s">
        <v>938</v>
      </c>
      <c r="F265" s="4" t="s">
        <v>902</v>
      </c>
      <c r="G265" t="s">
        <v>475</v>
      </c>
      <c r="H265" t="s">
        <v>476</v>
      </c>
      <c r="I265">
        <v>7.306944444</v>
      </c>
      <c r="J265">
        <v>38.012222219999998</v>
      </c>
      <c r="K265">
        <v>600</v>
      </c>
      <c r="AV265" t="s">
        <v>903</v>
      </c>
      <c r="AW265">
        <v>420</v>
      </c>
      <c r="AX265">
        <v>1.5</v>
      </c>
      <c r="AY265">
        <v>1</v>
      </c>
      <c r="AZ265" t="s">
        <v>904</v>
      </c>
      <c r="BA265">
        <v>2015</v>
      </c>
      <c r="BB265">
        <v>2016</v>
      </c>
      <c r="BD265" t="s">
        <v>922</v>
      </c>
      <c r="BE265" t="s">
        <v>593</v>
      </c>
      <c r="BF265" s="3" t="s">
        <v>484</v>
      </c>
      <c r="BG265" t="s">
        <v>485</v>
      </c>
      <c r="BH265" t="s">
        <v>480</v>
      </c>
      <c r="BI265" t="s">
        <v>486</v>
      </c>
      <c r="BJ265">
        <v>53333</v>
      </c>
      <c r="HQ265" t="s">
        <v>923</v>
      </c>
      <c r="IH265" t="s">
        <v>491</v>
      </c>
      <c r="II265" t="s">
        <v>492</v>
      </c>
      <c r="JJ265" t="s">
        <v>924</v>
      </c>
      <c r="JK265" s="75" t="s">
        <v>907</v>
      </c>
      <c r="JL265" t="s">
        <v>495</v>
      </c>
      <c r="JM265" s="8" t="s">
        <v>908</v>
      </c>
      <c r="JN265" s="4" t="s">
        <v>497</v>
      </c>
      <c r="JO265" t="s">
        <v>909</v>
      </c>
      <c r="KV265" t="s">
        <v>925</v>
      </c>
      <c r="MY265" t="s">
        <v>910</v>
      </c>
      <c r="MZ265">
        <v>70</v>
      </c>
      <c r="NA265" t="s">
        <v>911</v>
      </c>
      <c r="NB265" t="s">
        <v>548</v>
      </c>
      <c r="NC265" s="4" t="s">
        <v>511</v>
      </c>
      <c r="NJ265" t="s">
        <v>945</v>
      </c>
      <c r="NK265" t="s">
        <v>914</v>
      </c>
      <c r="NL265" s="4" t="s">
        <v>946</v>
      </c>
      <c r="NM265" s="6" t="s">
        <v>516</v>
      </c>
      <c r="NU265" t="s">
        <v>915</v>
      </c>
      <c r="NV265" t="s">
        <v>518</v>
      </c>
      <c r="NW265">
        <v>3871</v>
      </c>
      <c r="NX265" t="s">
        <v>480</v>
      </c>
      <c r="NY265" t="s">
        <v>480</v>
      </c>
      <c r="OB265" s="15">
        <v>3</v>
      </c>
      <c r="OU265" t="s">
        <v>939</v>
      </c>
      <c r="OV265" t="s">
        <v>518</v>
      </c>
      <c r="OX265">
        <v>2015</v>
      </c>
      <c r="OY265">
        <v>2016</v>
      </c>
      <c r="PB265" t="s">
        <v>522</v>
      </c>
      <c r="PC265" s="50">
        <v>46104</v>
      </c>
    </row>
    <row r="266" spans="1:419" ht="15.75" thickBot="1">
      <c r="A266" t="s">
        <v>469</v>
      </c>
      <c r="B266" t="s">
        <v>899</v>
      </c>
      <c r="C266" t="s">
        <v>900</v>
      </c>
      <c r="D266" s="59" t="s">
        <v>472</v>
      </c>
      <c r="E266" t="s">
        <v>938</v>
      </c>
      <c r="F266" s="4" t="s">
        <v>902</v>
      </c>
      <c r="G266" t="s">
        <v>475</v>
      </c>
      <c r="H266" t="s">
        <v>476</v>
      </c>
      <c r="I266">
        <v>7.306944444</v>
      </c>
      <c r="J266">
        <v>38.012222219999998</v>
      </c>
      <c r="K266">
        <v>600</v>
      </c>
      <c r="AV266" t="s">
        <v>903</v>
      </c>
      <c r="AW266">
        <v>420</v>
      </c>
      <c r="AX266">
        <v>1.5</v>
      </c>
      <c r="AY266">
        <v>1</v>
      </c>
      <c r="AZ266" t="s">
        <v>904</v>
      </c>
      <c r="BA266">
        <v>2015</v>
      </c>
      <c r="BB266">
        <v>2016</v>
      </c>
      <c r="BD266" t="s">
        <v>926</v>
      </c>
      <c r="BE266" t="s">
        <v>536</v>
      </c>
      <c r="BF266" s="3" t="s">
        <v>484</v>
      </c>
      <c r="BG266" t="s">
        <v>485</v>
      </c>
      <c r="BH266" t="s">
        <v>480</v>
      </c>
      <c r="BI266" t="s">
        <v>486</v>
      </c>
      <c r="BJ266">
        <v>53333</v>
      </c>
      <c r="BK266" t="s">
        <v>537</v>
      </c>
      <c r="BL266" t="s">
        <v>927</v>
      </c>
      <c r="BM266" t="s">
        <v>480</v>
      </c>
      <c r="BN266" t="s">
        <v>486</v>
      </c>
      <c r="BO266">
        <v>266666</v>
      </c>
      <c r="EG266" s="9"/>
      <c r="EH266" s="9"/>
      <c r="EI266" s="9"/>
      <c r="EJ266" s="9"/>
      <c r="EK266" s="9"/>
      <c r="EL266" s="9"/>
      <c r="EM266" s="9"/>
      <c r="EN266" s="9"/>
      <c r="EO266" s="9"/>
      <c r="EP266" s="9"/>
      <c r="EQ266" s="9"/>
      <c r="ER266" s="9"/>
      <c r="ES266" s="9"/>
      <c r="ET266" s="9"/>
      <c r="EU266" s="9"/>
      <c r="EV266" s="9"/>
      <c r="EW266" s="9"/>
      <c r="EX266" s="9"/>
      <c r="EY266" s="9"/>
      <c r="EZ266" s="9"/>
      <c r="FA266" s="9"/>
      <c r="FB266" s="9"/>
      <c r="FC266" s="9"/>
      <c r="FD266" s="9"/>
      <c r="FE266" s="9"/>
      <c r="FF266" s="9"/>
      <c r="FG266" s="9"/>
      <c r="FH266" s="9"/>
      <c r="FI266" s="9"/>
      <c r="FJ266" s="9"/>
      <c r="FK266" s="9"/>
      <c r="FL266" s="9"/>
      <c r="FM266" s="9"/>
      <c r="FN266" s="9"/>
      <c r="FO266" s="9"/>
      <c r="FP266" s="9"/>
      <c r="FQ266" s="9"/>
      <c r="FR266" s="9"/>
      <c r="FS266" s="9"/>
      <c r="FT266" s="9"/>
      <c r="FU266" s="9"/>
      <c r="FV266" s="9"/>
      <c r="FW266" s="9"/>
      <c r="FX266" s="9"/>
      <c r="FY266" s="9"/>
      <c r="FZ266" s="9"/>
      <c r="GA266" s="9"/>
      <c r="GB266" s="9"/>
      <c r="GC266" s="9"/>
      <c r="GD266" s="9"/>
      <c r="GE266" s="9"/>
      <c r="GF266" s="9"/>
      <c r="GG266" s="9"/>
      <c r="GH266" s="9"/>
      <c r="GI266" s="9"/>
      <c r="GJ266" s="9"/>
      <c r="GK266" s="9"/>
      <c r="GL266" s="9"/>
      <c r="GM266" s="9"/>
      <c r="GN266" s="9"/>
      <c r="GO266" s="9"/>
      <c r="GP266" s="9"/>
      <c r="GQ266" s="9"/>
      <c r="GR266" s="9"/>
      <c r="GS266" s="9"/>
      <c r="GT266" s="9"/>
      <c r="GU266" s="9"/>
      <c r="GV266" s="9"/>
      <c r="GW266" s="9"/>
      <c r="GX266" s="9"/>
      <c r="GY266" s="9"/>
      <c r="GZ266" s="9"/>
      <c r="HA266" s="9"/>
      <c r="HB266" s="9"/>
      <c r="HC266" s="9"/>
      <c r="HD266" s="9"/>
      <c r="HE266" s="9"/>
      <c r="HF266" s="9"/>
      <c r="HG266" s="9"/>
      <c r="HH266" s="9"/>
      <c r="HI266" s="9"/>
      <c r="HJ266" s="9"/>
      <c r="HV266" s="50"/>
      <c r="HW266" s="50"/>
      <c r="IH266" t="s">
        <v>928</v>
      </c>
      <c r="II266" s="75" t="s">
        <v>929</v>
      </c>
      <c r="IJ266" t="s">
        <v>542</v>
      </c>
      <c r="IK266" t="s">
        <v>543</v>
      </c>
      <c r="IL266" t="s">
        <v>480</v>
      </c>
      <c r="IM266" t="s">
        <v>480</v>
      </c>
      <c r="IN266" t="s">
        <v>480</v>
      </c>
      <c r="JJ266" t="s">
        <v>930</v>
      </c>
      <c r="JK266" t="s">
        <v>920</v>
      </c>
      <c r="JL266" t="s">
        <v>495</v>
      </c>
      <c r="JM266" t="s">
        <v>908</v>
      </c>
      <c r="JN266" s="4" t="s">
        <v>497</v>
      </c>
      <c r="JO266" t="s">
        <v>921</v>
      </c>
      <c r="MY266" t="s">
        <v>910</v>
      </c>
      <c r="MZ266">
        <v>70</v>
      </c>
      <c r="NA266" t="s">
        <v>911</v>
      </c>
      <c r="NB266" t="s">
        <v>548</v>
      </c>
      <c r="NC266" s="4" t="s">
        <v>511</v>
      </c>
      <c r="ND266" t="s">
        <v>947</v>
      </c>
      <c r="NJ266" t="s">
        <v>945</v>
      </c>
      <c r="NK266" t="s">
        <v>914</v>
      </c>
      <c r="NL266" s="4" t="s">
        <v>946</v>
      </c>
      <c r="NM266" s="6" t="s">
        <v>516</v>
      </c>
      <c r="NV266" t="s">
        <v>518</v>
      </c>
      <c r="NW266">
        <v>5866</v>
      </c>
      <c r="NX266" t="s">
        <v>480</v>
      </c>
      <c r="NY266" t="s">
        <v>480</v>
      </c>
      <c r="OB266" s="15">
        <v>3</v>
      </c>
      <c r="OU266" t="s">
        <v>939</v>
      </c>
      <c r="OV266" t="s">
        <v>518</v>
      </c>
      <c r="OX266">
        <v>2015</v>
      </c>
      <c r="OY266">
        <v>2016</v>
      </c>
      <c r="PB266" t="s">
        <v>522</v>
      </c>
      <c r="PC266" s="50">
        <v>46104</v>
      </c>
    </row>
    <row r="267" spans="1:419" ht="15.75" thickBot="1">
      <c r="A267" t="s">
        <v>469</v>
      </c>
      <c r="B267" t="s">
        <v>899</v>
      </c>
      <c r="C267" t="s">
        <v>900</v>
      </c>
      <c r="D267" s="59" t="s">
        <v>472</v>
      </c>
      <c r="E267" t="s">
        <v>938</v>
      </c>
      <c r="F267" s="4" t="s">
        <v>902</v>
      </c>
      <c r="G267" t="s">
        <v>475</v>
      </c>
      <c r="H267" t="s">
        <v>476</v>
      </c>
      <c r="I267">
        <v>7.306944444</v>
      </c>
      <c r="J267">
        <v>38.012222219999998</v>
      </c>
      <c r="K267">
        <v>600</v>
      </c>
      <c r="AV267" t="s">
        <v>903</v>
      </c>
      <c r="AW267">
        <v>420</v>
      </c>
      <c r="AX267">
        <v>1.5</v>
      </c>
      <c r="AY267">
        <v>1</v>
      </c>
      <c r="AZ267" t="s">
        <v>904</v>
      </c>
      <c r="BA267">
        <v>2015</v>
      </c>
      <c r="BB267">
        <v>2016</v>
      </c>
      <c r="BD267" t="s">
        <v>931</v>
      </c>
      <c r="BE267" t="s">
        <v>566</v>
      </c>
      <c r="BF267" s="3" t="s">
        <v>484</v>
      </c>
      <c r="BG267" t="s">
        <v>485</v>
      </c>
      <c r="BH267" t="s">
        <v>480</v>
      </c>
      <c r="BI267" t="s">
        <v>486</v>
      </c>
      <c r="BJ267">
        <v>53333</v>
      </c>
      <c r="BK267" t="s">
        <v>537</v>
      </c>
      <c r="BL267" t="s">
        <v>932</v>
      </c>
      <c r="BM267" t="s">
        <v>480</v>
      </c>
      <c r="BN267" t="s">
        <v>486</v>
      </c>
      <c r="BO267">
        <v>66666</v>
      </c>
      <c r="EG267" s="9"/>
      <c r="EH267" s="9"/>
      <c r="EI267" s="9"/>
      <c r="EJ267" s="9"/>
      <c r="EK267" s="9"/>
      <c r="EL267" s="9"/>
      <c r="EM267" s="9"/>
      <c r="EN267" s="9"/>
      <c r="EO267" s="9"/>
      <c r="EP267" s="9"/>
      <c r="EQ267" s="9"/>
      <c r="ER267" s="9"/>
      <c r="ES267" s="9"/>
      <c r="ET267" s="9"/>
      <c r="EU267" s="9"/>
      <c r="EV267" s="9"/>
      <c r="EW267" s="9"/>
      <c r="EX267" s="9"/>
      <c r="EY267" s="9"/>
      <c r="EZ267" s="9"/>
      <c r="FA267" s="9"/>
      <c r="FB267" s="9"/>
      <c r="FC267" s="9"/>
      <c r="FD267" s="9"/>
      <c r="FE267" s="9"/>
      <c r="FF267" s="9"/>
      <c r="FG267" s="9"/>
      <c r="FH267" s="9"/>
      <c r="FI267" s="9"/>
      <c r="FJ267" s="9"/>
      <c r="FK267" s="9"/>
      <c r="FL267" s="9"/>
      <c r="FM267" s="9"/>
      <c r="FN267" s="9"/>
      <c r="FO267" s="9"/>
      <c r="FP267" s="9"/>
      <c r="FQ267" s="9"/>
      <c r="FR267" s="9"/>
      <c r="FS267" s="9"/>
      <c r="FT267" s="9"/>
      <c r="FU267" s="9"/>
      <c r="FV267" s="9"/>
      <c r="FW267" s="9"/>
      <c r="FX267" s="9"/>
      <c r="FY267" s="9"/>
      <c r="FZ267" s="9"/>
      <c r="GA267" s="9"/>
      <c r="GB267" s="9"/>
      <c r="GC267" s="9"/>
      <c r="GD267" s="9"/>
      <c r="GE267" s="9"/>
      <c r="GF267" s="9"/>
      <c r="GG267" s="9"/>
      <c r="GH267" s="9"/>
      <c r="GI267" s="9"/>
      <c r="GJ267" s="9"/>
      <c r="GK267" s="9"/>
      <c r="GL267" s="9"/>
      <c r="GM267" s="9"/>
      <c r="GN267" s="9"/>
      <c r="GO267" s="9"/>
      <c r="GP267" s="9"/>
      <c r="GQ267" s="9"/>
      <c r="GR267" s="9"/>
      <c r="GS267" s="9"/>
      <c r="GT267" s="9"/>
      <c r="GU267" s="9"/>
      <c r="GV267" s="9"/>
      <c r="GW267" s="9"/>
      <c r="GX267" s="9"/>
      <c r="GY267" s="9"/>
      <c r="GZ267" s="9"/>
      <c r="HA267" s="9"/>
      <c r="HB267" s="9"/>
      <c r="HC267" s="9"/>
      <c r="HD267" s="9"/>
      <c r="HE267" s="9"/>
      <c r="HF267" s="9"/>
      <c r="HG267" s="9"/>
      <c r="HH267" s="9"/>
      <c r="HI267" s="9"/>
      <c r="HJ267" s="9"/>
      <c r="HV267" s="50"/>
      <c r="HW267" s="50"/>
      <c r="IH267" t="s">
        <v>933</v>
      </c>
      <c r="II267" s="75" t="s">
        <v>929</v>
      </c>
      <c r="IJ267" t="s">
        <v>542</v>
      </c>
      <c r="IK267" t="s">
        <v>543</v>
      </c>
      <c r="IL267" t="s">
        <v>480</v>
      </c>
      <c r="IM267" t="s">
        <v>480</v>
      </c>
      <c r="IN267" t="s">
        <v>480</v>
      </c>
      <c r="JJ267" t="s">
        <v>934</v>
      </c>
      <c r="JK267" t="s">
        <v>920</v>
      </c>
      <c r="JL267" t="s">
        <v>495</v>
      </c>
      <c r="JM267" t="s">
        <v>908</v>
      </c>
      <c r="JN267" s="4" t="s">
        <v>497</v>
      </c>
      <c r="JO267" t="s">
        <v>921</v>
      </c>
      <c r="MY267" t="s">
        <v>910</v>
      </c>
      <c r="MZ267">
        <v>70</v>
      </c>
      <c r="NA267" t="s">
        <v>911</v>
      </c>
      <c r="NB267" t="s">
        <v>548</v>
      </c>
      <c r="NC267" s="4" t="s">
        <v>511</v>
      </c>
      <c r="ND267" t="s">
        <v>935</v>
      </c>
      <c r="NJ267" t="s">
        <v>945</v>
      </c>
      <c r="NK267" t="s">
        <v>914</v>
      </c>
      <c r="NL267" s="4" t="s">
        <v>946</v>
      </c>
      <c r="NM267" s="6" t="s">
        <v>516</v>
      </c>
      <c r="NV267" t="s">
        <v>518</v>
      </c>
      <c r="NW267">
        <v>4761</v>
      </c>
      <c r="NX267" t="s">
        <v>480</v>
      </c>
      <c r="NY267" t="s">
        <v>480</v>
      </c>
      <c r="OB267" s="15">
        <v>3</v>
      </c>
      <c r="OU267" t="s">
        <v>939</v>
      </c>
      <c r="OV267" t="s">
        <v>518</v>
      </c>
      <c r="OX267">
        <v>2015</v>
      </c>
      <c r="OY267">
        <v>2016</v>
      </c>
      <c r="PB267" t="s">
        <v>522</v>
      </c>
      <c r="PC267" s="50">
        <v>46104</v>
      </c>
    </row>
    <row r="268" spans="1:419" ht="15.75" thickBot="1">
      <c r="A268" t="s">
        <v>469</v>
      </c>
      <c r="B268" t="s">
        <v>899</v>
      </c>
      <c r="C268" t="s">
        <v>900</v>
      </c>
      <c r="D268" s="59" t="s">
        <v>472</v>
      </c>
      <c r="E268" t="s">
        <v>938</v>
      </c>
      <c r="F268" s="4" t="s">
        <v>902</v>
      </c>
      <c r="G268" t="s">
        <v>475</v>
      </c>
      <c r="H268" t="s">
        <v>476</v>
      </c>
      <c r="I268">
        <v>7.306944444</v>
      </c>
      <c r="J268">
        <v>38.012222219999998</v>
      </c>
      <c r="K268">
        <v>600</v>
      </c>
      <c r="AV268" t="s">
        <v>903</v>
      </c>
      <c r="AW268">
        <v>420</v>
      </c>
      <c r="AX268">
        <v>1.5</v>
      </c>
      <c r="AY268">
        <v>1</v>
      </c>
      <c r="AZ268" t="s">
        <v>904</v>
      </c>
      <c r="BA268">
        <v>2015</v>
      </c>
      <c r="BB268">
        <v>2016</v>
      </c>
      <c r="BD268" t="s">
        <v>936</v>
      </c>
      <c r="BE268" t="s">
        <v>602</v>
      </c>
      <c r="BF268" s="3" t="s">
        <v>484</v>
      </c>
      <c r="BG268" t="s">
        <v>485</v>
      </c>
      <c r="BH268" t="s">
        <v>480</v>
      </c>
      <c r="BI268" t="s">
        <v>486</v>
      </c>
      <c r="BJ268">
        <v>53333</v>
      </c>
      <c r="HQ268" t="s">
        <v>923</v>
      </c>
      <c r="IH268" t="s">
        <v>491</v>
      </c>
      <c r="II268" t="s">
        <v>492</v>
      </c>
      <c r="JJ268" t="s">
        <v>937</v>
      </c>
      <c r="JK268" t="s">
        <v>920</v>
      </c>
      <c r="JL268" t="s">
        <v>495</v>
      </c>
      <c r="JM268" s="8" t="s">
        <v>908</v>
      </c>
      <c r="JN268" s="4" t="s">
        <v>497</v>
      </c>
      <c r="JO268" t="s">
        <v>921</v>
      </c>
      <c r="MY268" t="s">
        <v>910</v>
      </c>
      <c r="MZ268">
        <v>70</v>
      </c>
      <c r="NA268" t="s">
        <v>911</v>
      </c>
      <c r="NB268" t="s">
        <v>548</v>
      </c>
      <c r="NC268" s="4" t="s">
        <v>511</v>
      </c>
      <c r="NJ268" t="s">
        <v>945</v>
      </c>
      <c r="NK268" t="s">
        <v>914</v>
      </c>
      <c r="NL268" s="4" t="s">
        <v>946</v>
      </c>
      <c r="NM268" s="6" t="s">
        <v>516</v>
      </c>
      <c r="NU268" t="s">
        <v>657</v>
      </c>
      <c r="NV268" t="s">
        <v>518</v>
      </c>
      <c r="NW268">
        <v>4157</v>
      </c>
      <c r="NX268" t="s">
        <v>480</v>
      </c>
      <c r="NY268" t="s">
        <v>480</v>
      </c>
      <c r="OB268" s="15">
        <v>3</v>
      </c>
      <c r="OU268" t="s">
        <v>939</v>
      </c>
      <c r="OV268" t="s">
        <v>518</v>
      </c>
      <c r="OX268">
        <v>2015</v>
      </c>
      <c r="OY268">
        <v>2016</v>
      </c>
      <c r="PB268" t="s">
        <v>522</v>
      </c>
      <c r="PC268" s="50">
        <v>46104</v>
      </c>
    </row>
    <row r="269" spans="1:419" ht="15.75" thickBot="1">
      <c r="A269" t="s">
        <v>469</v>
      </c>
      <c r="B269" t="s">
        <v>899</v>
      </c>
      <c r="C269" t="s">
        <v>900</v>
      </c>
      <c r="D269" s="59" t="s">
        <v>472</v>
      </c>
      <c r="E269" t="s">
        <v>940</v>
      </c>
      <c r="F269" s="4" t="s">
        <v>902</v>
      </c>
      <c r="G269" t="s">
        <v>475</v>
      </c>
      <c r="H269" t="s">
        <v>476</v>
      </c>
      <c r="I269">
        <v>6.7519444440000003</v>
      </c>
      <c r="J269">
        <v>38.33361111</v>
      </c>
      <c r="K269">
        <v>500</v>
      </c>
      <c r="AV269" t="s">
        <v>903</v>
      </c>
      <c r="AW269">
        <v>420</v>
      </c>
      <c r="AX269">
        <v>0.18</v>
      </c>
      <c r="AY269">
        <v>1</v>
      </c>
      <c r="AZ269" t="s">
        <v>904</v>
      </c>
      <c r="BA269">
        <v>2015</v>
      </c>
      <c r="BB269">
        <v>2016</v>
      </c>
      <c r="BD269" t="s">
        <v>905</v>
      </c>
      <c r="BE269" t="s">
        <v>524</v>
      </c>
      <c r="BF269" s="3" t="s">
        <v>484</v>
      </c>
      <c r="BG269" t="s">
        <v>485</v>
      </c>
      <c r="BH269" t="s">
        <v>480</v>
      </c>
      <c r="BI269" s="4" t="s">
        <v>486</v>
      </c>
      <c r="BJ269">
        <v>53333</v>
      </c>
      <c r="IH269" t="s">
        <v>491</v>
      </c>
      <c r="II269" t="s">
        <v>492</v>
      </c>
      <c r="JJ269" t="s">
        <v>906</v>
      </c>
      <c r="JK269" s="75" t="s">
        <v>907</v>
      </c>
      <c r="JL269" s="8" t="s">
        <v>495</v>
      </c>
      <c r="JM269" s="8" t="s">
        <v>908</v>
      </c>
      <c r="JN269" s="4" t="s">
        <v>497</v>
      </c>
      <c r="JO269" t="s">
        <v>909</v>
      </c>
      <c r="MY269" t="s">
        <v>910</v>
      </c>
      <c r="MZ269">
        <v>70</v>
      </c>
      <c r="NA269" t="s">
        <v>911</v>
      </c>
      <c r="NB269" t="s">
        <v>548</v>
      </c>
      <c r="NC269" s="4" t="s">
        <v>511</v>
      </c>
      <c r="NJ269" t="s">
        <v>945</v>
      </c>
      <c r="NK269" t="s">
        <v>914</v>
      </c>
      <c r="NL269" s="4" t="s">
        <v>946</v>
      </c>
      <c r="NM269" s="6" t="s">
        <v>516</v>
      </c>
      <c r="NU269" t="s">
        <v>915</v>
      </c>
      <c r="NV269" t="s">
        <v>518</v>
      </c>
      <c r="NW269">
        <v>3466</v>
      </c>
      <c r="NX269" t="s">
        <v>480</v>
      </c>
      <c r="NY269" t="s">
        <v>480</v>
      </c>
      <c r="OB269" s="15">
        <v>3</v>
      </c>
      <c r="OU269" t="s">
        <v>941</v>
      </c>
      <c r="OV269" t="s">
        <v>518</v>
      </c>
      <c r="OX269">
        <v>2015</v>
      </c>
      <c r="OY269">
        <v>2016</v>
      </c>
      <c r="PB269" t="s">
        <v>522</v>
      </c>
      <c r="PC269" s="50">
        <v>46104</v>
      </c>
    </row>
    <row r="270" spans="1:419" ht="15.75" thickBot="1">
      <c r="A270" t="s">
        <v>469</v>
      </c>
      <c r="B270" t="s">
        <v>899</v>
      </c>
      <c r="C270" t="s">
        <v>900</v>
      </c>
      <c r="D270" s="59" t="s">
        <v>472</v>
      </c>
      <c r="E270" t="s">
        <v>940</v>
      </c>
      <c r="F270" s="4" t="s">
        <v>902</v>
      </c>
      <c r="G270" t="s">
        <v>475</v>
      </c>
      <c r="H270" t="s">
        <v>476</v>
      </c>
      <c r="I270">
        <v>6.7519444440000003</v>
      </c>
      <c r="J270">
        <v>38.33361111</v>
      </c>
      <c r="K270">
        <v>500</v>
      </c>
      <c r="AV270" t="s">
        <v>903</v>
      </c>
      <c r="AW270">
        <v>420</v>
      </c>
      <c r="AX270">
        <v>0.18</v>
      </c>
      <c r="AY270">
        <v>1</v>
      </c>
      <c r="AZ270" t="s">
        <v>904</v>
      </c>
      <c r="BA270">
        <v>2015</v>
      </c>
      <c r="BB270">
        <v>2016</v>
      </c>
      <c r="BD270" t="s">
        <v>918</v>
      </c>
      <c r="BE270" t="s">
        <v>483</v>
      </c>
      <c r="BF270" s="3" t="s">
        <v>484</v>
      </c>
      <c r="BG270" t="s">
        <v>485</v>
      </c>
      <c r="BH270" t="s">
        <v>480</v>
      </c>
      <c r="BI270" t="s">
        <v>486</v>
      </c>
      <c r="BJ270">
        <v>53333</v>
      </c>
      <c r="IH270" t="s">
        <v>491</v>
      </c>
      <c r="II270" t="s">
        <v>492</v>
      </c>
      <c r="JJ270" t="s">
        <v>919</v>
      </c>
      <c r="JK270" s="46" t="s">
        <v>920</v>
      </c>
      <c r="JL270" t="s">
        <v>495</v>
      </c>
      <c r="JM270" s="8" t="s">
        <v>908</v>
      </c>
      <c r="JN270" s="4" t="s">
        <v>497</v>
      </c>
      <c r="JO270" t="s">
        <v>921</v>
      </c>
      <c r="MY270" t="s">
        <v>910</v>
      </c>
      <c r="MZ270">
        <v>70</v>
      </c>
      <c r="NA270" t="s">
        <v>911</v>
      </c>
      <c r="NB270" t="s">
        <v>548</v>
      </c>
      <c r="NC270" s="4" t="s">
        <v>511</v>
      </c>
      <c r="NJ270" t="s">
        <v>945</v>
      </c>
      <c r="NK270" t="s">
        <v>914</v>
      </c>
      <c r="NL270" s="4" t="s">
        <v>946</v>
      </c>
      <c r="NM270" s="6" t="s">
        <v>516</v>
      </c>
      <c r="NU270" t="s">
        <v>657</v>
      </c>
      <c r="NV270" t="s">
        <v>518</v>
      </c>
      <c r="NW270">
        <v>3728</v>
      </c>
      <c r="NX270" t="s">
        <v>480</v>
      </c>
      <c r="NY270" t="s">
        <v>480</v>
      </c>
      <c r="OB270" s="15">
        <v>3</v>
      </c>
      <c r="OU270" t="s">
        <v>941</v>
      </c>
      <c r="OV270" t="s">
        <v>518</v>
      </c>
      <c r="OX270">
        <v>2015</v>
      </c>
      <c r="OY270">
        <v>2016</v>
      </c>
      <c r="PB270" t="s">
        <v>522</v>
      </c>
      <c r="PC270" s="50">
        <v>46104</v>
      </c>
    </row>
    <row r="271" spans="1:419" ht="15.75" thickBot="1">
      <c r="A271" t="s">
        <v>469</v>
      </c>
      <c r="B271" t="s">
        <v>899</v>
      </c>
      <c r="C271" t="s">
        <v>900</v>
      </c>
      <c r="D271" s="59" t="s">
        <v>472</v>
      </c>
      <c r="E271" t="s">
        <v>940</v>
      </c>
      <c r="F271" s="4" t="s">
        <v>902</v>
      </c>
      <c r="G271" t="s">
        <v>475</v>
      </c>
      <c r="H271" t="s">
        <v>476</v>
      </c>
      <c r="I271">
        <v>6.7519444440000003</v>
      </c>
      <c r="J271">
        <v>38.33361111</v>
      </c>
      <c r="K271">
        <v>500</v>
      </c>
      <c r="AV271" t="s">
        <v>903</v>
      </c>
      <c r="AW271">
        <v>420</v>
      </c>
      <c r="AX271">
        <v>0.18</v>
      </c>
      <c r="AY271">
        <v>1</v>
      </c>
      <c r="AZ271" t="s">
        <v>904</v>
      </c>
      <c r="BA271">
        <v>2015</v>
      </c>
      <c r="BB271">
        <v>2016</v>
      </c>
      <c r="BD271" t="s">
        <v>922</v>
      </c>
      <c r="BE271" t="s">
        <v>593</v>
      </c>
      <c r="BF271" s="3" t="s">
        <v>484</v>
      </c>
      <c r="BG271" t="s">
        <v>485</v>
      </c>
      <c r="BH271" t="s">
        <v>480</v>
      </c>
      <c r="BI271" t="s">
        <v>486</v>
      </c>
      <c r="BJ271">
        <v>53333</v>
      </c>
      <c r="HQ271" t="s">
        <v>923</v>
      </c>
      <c r="IH271" t="s">
        <v>491</v>
      </c>
      <c r="II271" t="s">
        <v>492</v>
      </c>
      <c r="JJ271" t="s">
        <v>924</v>
      </c>
      <c r="JK271" s="75" t="s">
        <v>907</v>
      </c>
      <c r="JL271" t="s">
        <v>495</v>
      </c>
      <c r="JM271" t="s">
        <v>908</v>
      </c>
      <c r="JN271" s="4" t="s">
        <v>497</v>
      </c>
      <c r="JO271" t="s">
        <v>909</v>
      </c>
      <c r="KV271" t="s">
        <v>925</v>
      </c>
      <c r="MY271" t="s">
        <v>910</v>
      </c>
      <c r="MZ271">
        <v>70</v>
      </c>
      <c r="NA271" t="s">
        <v>911</v>
      </c>
      <c r="NB271" t="s">
        <v>548</v>
      </c>
      <c r="NC271" s="4" t="s">
        <v>511</v>
      </c>
      <c r="NJ271" t="s">
        <v>945</v>
      </c>
      <c r="NK271" t="s">
        <v>914</v>
      </c>
      <c r="NL271" s="4" t="s">
        <v>946</v>
      </c>
      <c r="NM271" s="6" t="s">
        <v>516</v>
      </c>
      <c r="NU271" t="s">
        <v>915</v>
      </c>
      <c r="NV271" t="s">
        <v>518</v>
      </c>
      <c r="NW271">
        <v>4248</v>
      </c>
      <c r="NX271" t="s">
        <v>480</v>
      </c>
      <c r="NY271" t="s">
        <v>480</v>
      </c>
      <c r="OB271" s="15">
        <v>3</v>
      </c>
      <c r="OU271" t="s">
        <v>941</v>
      </c>
      <c r="OV271" t="s">
        <v>518</v>
      </c>
      <c r="OX271">
        <v>2015</v>
      </c>
      <c r="OY271">
        <v>2016</v>
      </c>
      <c r="PB271" t="s">
        <v>522</v>
      </c>
      <c r="PC271" s="50">
        <v>46104</v>
      </c>
    </row>
    <row r="272" spans="1:419" ht="15.75" thickBot="1">
      <c r="A272" t="s">
        <v>469</v>
      </c>
      <c r="B272" t="s">
        <v>899</v>
      </c>
      <c r="C272" t="s">
        <v>900</v>
      </c>
      <c r="D272" s="59" t="s">
        <v>472</v>
      </c>
      <c r="E272" t="s">
        <v>940</v>
      </c>
      <c r="F272" s="4" t="s">
        <v>902</v>
      </c>
      <c r="G272" t="s">
        <v>475</v>
      </c>
      <c r="H272" t="s">
        <v>476</v>
      </c>
      <c r="I272">
        <v>6.7519444440000003</v>
      </c>
      <c r="J272">
        <v>38.33361111</v>
      </c>
      <c r="K272">
        <v>500</v>
      </c>
      <c r="AV272" t="s">
        <v>903</v>
      </c>
      <c r="AW272">
        <v>420</v>
      </c>
      <c r="AX272">
        <v>0.18</v>
      </c>
      <c r="AY272">
        <v>1</v>
      </c>
      <c r="AZ272" t="s">
        <v>904</v>
      </c>
      <c r="BA272">
        <v>2015</v>
      </c>
      <c r="BB272">
        <v>2016</v>
      </c>
      <c r="BD272" t="s">
        <v>926</v>
      </c>
      <c r="BE272" t="s">
        <v>536</v>
      </c>
      <c r="BF272" s="3" t="s">
        <v>484</v>
      </c>
      <c r="BG272" t="s">
        <v>485</v>
      </c>
      <c r="BH272" t="s">
        <v>480</v>
      </c>
      <c r="BI272" t="s">
        <v>486</v>
      </c>
      <c r="BJ272">
        <v>53333</v>
      </c>
      <c r="BK272" t="s">
        <v>537</v>
      </c>
      <c r="BL272" t="s">
        <v>927</v>
      </c>
      <c r="BM272" t="s">
        <v>480</v>
      </c>
      <c r="BN272" t="s">
        <v>486</v>
      </c>
      <c r="BO272">
        <v>266666</v>
      </c>
      <c r="EG272" s="9"/>
      <c r="EH272" s="9"/>
      <c r="EI272" s="9"/>
      <c r="EJ272" s="9"/>
      <c r="EK272" s="9"/>
      <c r="EL272" s="9"/>
      <c r="EM272" s="9"/>
      <c r="EN272" s="9"/>
      <c r="EO272" s="9"/>
      <c r="EP272" s="9"/>
      <c r="EQ272" s="9"/>
      <c r="ER272" s="9"/>
      <c r="ES272" s="9"/>
      <c r="ET272" s="9"/>
      <c r="EU272" s="9"/>
      <c r="EV272" s="9"/>
      <c r="EW272" s="9"/>
      <c r="EX272" s="9"/>
      <c r="EY272" s="9"/>
      <c r="EZ272" s="9"/>
      <c r="FA272" s="9"/>
      <c r="FB272" s="9"/>
      <c r="FC272" s="9"/>
      <c r="FD272" s="9"/>
      <c r="FE272" s="9"/>
      <c r="FF272" s="9"/>
      <c r="FG272" s="9"/>
      <c r="FH272" s="9"/>
      <c r="FI272" s="9"/>
      <c r="FJ272" s="9"/>
      <c r="FK272" s="9"/>
      <c r="FL272" s="9"/>
      <c r="FM272" s="9"/>
      <c r="FN272" s="9"/>
      <c r="FO272" s="9"/>
      <c r="FP272" s="9"/>
      <c r="FQ272" s="9"/>
      <c r="FR272" s="9"/>
      <c r="FS272" s="9"/>
      <c r="FT272" s="9"/>
      <c r="FU272" s="9"/>
      <c r="FV272" s="9"/>
      <c r="FW272" s="9"/>
      <c r="FX272" s="9"/>
      <c r="FY272" s="9"/>
      <c r="FZ272" s="9"/>
      <c r="GA272" s="9"/>
      <c r="GB272" s="9"/>
      <c r="GC272" s="9"/>
      <c r="GD272" s="9"/>
      <c r="GE272" s="9"/>
      <c r="GF272" s="9"/>
      <c r="GG272" s="9"/>
      <c r="GH272" s="9"/>
      <c r="GI272" s="9"/>
      <c r="GJ272" s="9"/>
      <c r="GK272" s="9"/>
      <c r="GL272" s="9"/>
      <c r="GM272" s="9"/>
      <c r="GN272" s="9"/>
      <c r="GO272" s="9"/>
      <c r="GP272" s="9"/>
      <c r="GQ272" s="9"/>
      <c r="GR272" s="9"/>
      <c r="GS272" s="9"/>
      <c r="GT272" s="9"/>
      <c r="GU272" s="9"/>
      <c r="GV272" s="9"/>
      <c r="GW272" s="9"/>
      <c r="GX272" s="9"/>
      <c r="GY272" s="9"/>
      <c r="GZ272" s="9"/>
      <c r="HA272" s="9"/>
      <c r="HB272" s="9"/>
      <c r="HC272" s="9"/>
      <c r="HD272" s="9"/>
      <c r="HE272" s="9"/>
      <c r="HF272" s="9"/>
      <c r="HG272" s="9"/>
      <c r="HH272" s="9"/>
      <c r="HI272" s="9"/>
      <c r="HJ272" s="9"/>
      <c r="HV272" s="50"/>
      <c r="HW272" s="50"/>
      <c r="IH272" t="s">
        <v>928</v>
      </c>
      <c r="II272" s="75" t="s">
        <v>929</v>
      </c>
      <c r="IJ272" t="s">
        <v>542</v>
      </c>
      <c r="IK272" t="s">
        <v>543</v>
      </c>
      <c r="IL272" t="s">
        <v>480</v>
      </c>
      <c r="IM272" t="s">
        <v>480</v>
      </c>
      <c r="IN272" t="s">
        <v>480</v>
      </c>
      <c r="JJ272" t="s">
        <v>930</v>
      </c>
      <c r="JK272" t="s">
        <v>920</v>
      </c>
      <c r="JL272" t="s">
        <v>495</v>
      </c>
      <c r="JM272" t="s">
        <v>908</v>
      </c>
      <c r="JN272" s="4" t="s">
        <v>497</v>
      </c>
      <c r="JO272" t="s">
        <v>921</v>
      </c>
      <c r="MY272" t="s">
        <v>910</v>
      </c>
      <c r="MZ272">
        <v>70</v>
      </c>
      <c r="NA272" t="s">
        <v>911</v>
      </c>
      <c r="NB272" t="s">
        <v>548</v>
      </c>
      <c r="NC272" s="4" t="s">
        <v>511</v>
      </c>
      <c r="ND272" t="s">
        <v>947</v>
      </c>
      <c r="NJ272" t="s">
        <v>945</v>
      </c>
      <c r="NK272" t="s">
        <v>914</v>
      </c>
      <c r="NL272" s="4" t="s">
        <v>946</v>
      </c>
      <c r="NM272" s="6" t="s">
        <v>516</v>
      </c>
      <c r="NV272" t="s">
        <v>518</v>
      </c>
      <c r="NW272">
        <v>4519</v>
      </c>
      <c r="NX272" t="s">
        <v>480</v>
      </c>
      <c r="NY272" t="s">
        <v>480</v>
      </c>
      <c r="OB272" s="15">
        <v>3</v>
      </c>
      <c r="OU272" t="s">
        <v>941</v>
      </c>
      <c r="OV272" t="s">
        <v>518</v>
      </c>
      <c r="OX272">
        <v>2015</v>
      </c>
      <c r="OY272">
        <v>2016</v>
      </c>
      <c r="PB272" t="s">
        <v>522</v>
      </c>
      <c r="PC272" s="50">
        <v>46104</v>
      </c>
    </row>
    <row r="273" spans="1:419" ht="15.75" thickBot="1">
      <c r="A273" t="s">
        <v>469</v>
      </c>
      <c r="B273" t="s">
        <v>899</v>
      </c>
      <c r="C273" t="s">
        <v>900</v>
      </c>
      <c r="D273" s="59" t="s">
        <v>472</v>
      </c>
      <c r="E273" t="s">
        <v>940</v>
      </c>
      <c r="F273" s="4" t="s">
        <v>902</v>
      </c>
      <c r="G273" t="s">
        <v>475</v>
      </c>
      <c r="H273" t="s">
        <v>476</v>
      </c>
      <c r="I273">
        <v>6.7519444440000003</v>
      </c>
      <c r="J273">
        <v>38.33361111</v>
      </c>
      <c r="K273">
        <v>500</v>
      </c>
      <c r="AV273" t="s">
        <v>903</v>
      </c>
      <c r="AW273">
        <v>420</v>
      </c>
      <c r="AX273">
        <v>0.18</v>
      </c>
      <c r="AY273">
        <v>1</v>
      </c>
      <c r="AZ273" t="s">
        <v>904</v>
      </c>
      <c r="BA273">
        <v>2015</v>
      </c>
      <c r="BB273">
        <v>2016</v>
      </c>
      <c r="BD273" t="s">
        <v>931</v>
      </c>
      <c r="BE273" t="s">
        <v>566</v>
      </c>
      <c r="BF273" s="3" t="s">
        <v>484</v>
      </c>
      <c r="BG273" t="s">
        <v>485</v>
      </c>
      <c r="BH273" t="s">
        <v>480</v>
      </c>
      <c r="BI273" t="s">
        <v>486</v>
      </c>
      <c r="BJ273">
        <v>53333</v>
      </c>
      <c r="BK273" t="s">
        <v>537</v>
      </c>
      <c r="BL273" t="s">
        <v>932</v>
      </c>
      <c r="BM273" t="s">
        <v>480</v>
      </c>
      <c r="BN273" t="s">
        <v>486</v>
      </c>
      <c r="BO273">
        <v>66666</v>
      </c>
      <c r="EG273" s="9"/>
      <c r="EH273" s="9"/>
      <c r="EI273" s="9"/>
      <c r="EJ273" s="9"/>
      <c r="EK273" s="9"/>
      <c r="EL273" s="9"/>
      <c r="EM273" s="9"/>
      <c r="EN273" s="9"/>
      <c r="EO273" s="9"/>
      <c r="EP273" s="9"/>
      <c r="EQ273" s="9"/>
      <c r="ER273" s="9"/>
      <c r="ES273" s="9"/>
      <c r="ET273" s="9"/>
      <c r="EU273" s="9"/>
      <c r="EV273" s="9"/>
      <c r="EW273" s="9"/>
      <c r="EX273" s="9"/>
      <c r="EY273" s="9"/>
      <c r="EZ273" s="9"/>
      <c r="FA273" s="9"/>
      <c r="FB273" s="9"/>
      <c r="FC273" s="9"/>
      <c r="FD273" s="9"/>
      <c r="FE273" s="9"/>
      <c r="FF273" s="9"/>
      <c r="FG273" s="9"/>
      <c r="FH273" s="9"/>
      <c r="FI273" s="9"/>
      <c r="FJ273" s="9"/>
      <c r="FK273" s="9"/>
      <c r="FL273" s="9"/>
      <c r="FM273" s="9"/>
      <c r="FN273" s="9"/>
      <c r="FO273" s="9"/>
      <c r="FP273" s="9"/>
      <c r="FQ273" s="9"/>
      <c r="FR273" s="9"/>
      <c r="FS273" s="9"/>
      <c r="FT273" s="9"/>
      <c r="FU273" s="9"/>
      <c r="FV273" s="9"/>
      <c r="FW273" s="9"/>
      <c r="FX273" s="9"/>
      <c r="FY273" s="9"/>
      <c r="FZ273" s="9"/>
      <c r="GA273" s="9"/>
      <c r="GB273" s="9"/>
      <c r="GC273" s="9"/>
      <c r="GD273" s="9"/>
      <c r="GE273" s="9"/>
      <c r="GF273" s="9"/>
      <c r="GG273" s="9"/>
      <c r="GH273" s="9"/>
      <c r="GI273" s="9"/>
      <c r="GJ273" s="9"/>
      <c r="GK273" s="9"/>
      <c r="GL273" s="9"/>
      <c r="GM273" s="9"/>
      <c r="GN273" s="9"/>
      <c r="GO273" s="9"/>
      <c r="GP273" s="9"/>
      <c r="GQ273" s="9"/>
      <c r="GR273" s="9"/>
      <c r="GS273" s="9"/>
      <c r="GT273" s="9"/>
      <c r="GU273" s="9"/>
      <c r="GV273" s="9"/>
      <c r="GW273" s="9"/>
      <c r="GX273" s="9"/>
      <c r="GY273" s="9"/>
      <c r="GZ273" s="9"/>
      <c r="HA273" s="9"/>
      <c r="HB273" s="9"/>
      <c r="HC273" s="9"/>
      <c r="HD273" s="9"/>
      <c r="HE273" s="9"/>
      <c r="HF273" s="9"/>
      <c r="HG273" s="9"/>
      <c r="HH273" s="9"/>
      <c r="HI273" s="9"/>
      <c r="HJ273" s="9"/>
      <c r="HV273" s="50"/>
      <c r="HW273" s="50"/>
      <c r="IH273" t="s">
        <v>933</v>
      </c>
      <c r="II273" s="75" t="s">
        <v>929</v>
      </c>
      <c r="IJ273" t="s">
        <v>542</v>
      </c>
      <c r="IK273" t="s">
        <v>543</v>
      </c>
      <c r="IL273" t="s">
        <v>480</v>
      </c>
      <c r="IM273" t="s">
        <v>480</v>
      </c>
      <c r="IN273" t="s">
        <v>480</v>
      </c>
      <c r="JJ273" t="s">
        <v>934</v>
      </c>
      <c r="JK273" t="s">
        <v>920</v>
      </c>
      <c r="JL273" t="s">
        <v>495</v>
      </c>
      <c r="JM273" t="s">
        <v>908</v>
      </c>
      <c r="JN273" s="4" t="s">
        <v>497</v>
      </c>
      <c r="JO273" t="s">
        <v>921</v>
      </c>
      <c r="MY273" t="s">
        <v>910</v>
      </c>
      <c r="MZ273">
        <v>70</v>
      </c>
      <c r="NA273" t="s">
        <v>911</v>
      </c>
      <c r="NB273" t="s">
        <v>548</v>
      </c>
      <c r="NC273" s="4" t="s">
        <v>511</v>
      </c>
      <c r="ND273" t="s">
        <v>935</v>
      </c>
      <c r="NJ273" t="s">
        <v>945</v>
      </c>
      <c r="NK273" t="s">
        <v>914</v>
      </c>
      <c r="NL273" s="4" t="s">
        <v>946</v>
      </c>
      <c r="NM273" s="6" t="s">
        <v>516</v>
      </c>
      <c r="NV273" t="s">
        <v>518</v>
      </c>
      <c r="NW273">
        <v>3707</v>
      </c>
      <c r="NX273" t="s">
        <v>480</v>
      </c>
      <c r="NY273" t="s">
        <v>480</v>
      </c>
      <c r="OB273" s="15">
        <v>3</v>
      </c>
      <c r="OU273" t="s">
        <v>941</v>
      </c>
      <c r="OV273" t="s">
        <v>518</v>
      </c>
      <c r="OX273">
        <v>2015</v>
      </c>
      <c r="OY273">
        <v>2016</v>
      </c>
      <c r="PB273" t="s">
        <v>522</v>
      </c>
      <c r="PC273" s="50">
        <v>46104</v>
      </c>
    </row>
    <row r="274" spans="1:419" ht="15.75" thickBot="1">
      <c r="A274" t="s">
        <v>469</v>
      </c>
      <c r="B274" t="s">
        <v>899</v>
      </c>
      <c r="C274" t="s">
        <v>900</v>
      </c>
      <c r="D274" s="59" t="s">
        <v>472</v>
      </c>
      <c r="E274" t="s">
        <v>940</v>
      </c>
      <c r="F274" s="4" t="s">
        <v>902</v>
      </c>
      <c r="G274" t="s">
        <v>475</v>
      </c>
      <c r="H274" t="s">
        <v>476</v>
      </c>
      <c r="I274">
        <v>6.7519444440000003</v>
      </c>
      <c r="J274">
        <v>38.33361111</v>
      </c>
      <c r="K274">
        <v>500</v>
      </c>
      <c r="AV274" t="s">
        <v>903</v>
      </c>
      <c r="AW274">
        <v>420</v>
      </c>
      <c r="AX274">
        <v>0.18</v>
      </c>
      <c r="AY274">
        <v>1</v>
      </c>
      <c r="AZ274" t="s">
        <v>904</v>
      </c>
      <c r="BA274">
        <v>2015</v>
      </c>
      <c r="BB274">
        <v>2016</v>
      </c>
      <c r="BD274" t="s">
        <v>936</v>
      </c>
      <c r="BE274" t="s">
        <v>602</v>
      </c>
      <c r="BF274" s="3" t="s">
        <v>484</v>
      </c>
      <c r="BG274" t="s">
        <v>485</v>
      </c>
      <c r="BH274" t="s">
        <v>480</v>
      </c>
      <c r="BI274" t="s">
        <v>486</v>
      </c>
      <c r="BJ274">
        <v>53333</v>
      </c>
      <c r="HQ274" t="s">
        <v>923</v>
      </c>
      <c r="IH274" t="s">
        <v>491</v>
      </c>
      <c r="II274" t="s">
        <v>492</v>
      </c>
      <c r="JJ274" t="s">
        <v>937</v>
      </c>
      <c r="JK274" t="s">
        <v>920</v>
      </c>
      <c r="JL274" t="s">
        <v>495</v>
      </c>
      <c r="JM274" t="s">
        <v>908</v>
      </c>
      <c r="JN274" s="4" t="s">
        <v>497</v>
      </c>
      <c r="JO274" t="s">
        <v>921</v>
      </c>
      <c r="MY274" t="s">
        <v>910</v>
      </c>
      <c r="MZ274">
        <v>70</v>
      </c>
      <c r="NA274" t="s">
        <v>911</v>
      </c>
      <c r="NB274" t="s">
        <v>548</v>
      </c>
      <c r="NC274" s="4" t="s">
        <v>511</v>
      </c>
      <c r="NJ274" t="s">
        <v>945</v>
      </c>
      <c r="NK274" t="s">
        <v>914</v>
      </c>
      <c r="NL274" s="4" t="s">
        <v>946</v>
      </c>
      <c r="NM274" s="6" t="s">
        <v>516</v>
      </c>
      <c r="NU274" t="s">
        <v>657</v>
      </c>
      <c r="NV274" t="s">
        <v>518</v>
      </c>
      <c r="NW274">
        <v>4783</v>
      </c>
      <c r="NX274" t="s">
        <v>480</v>
      </c>
      <c r="NY274" t="s">
        <v>480</v>
      </c>
      <c r="OB274" s="15">
        <v>3</v>
      </c>
      <c r="OU274" t="s">
        <v>941</v>
      </c>
      <c r="OV274" t="s">
        <v>518</v>
      </c>
      <c r="OX274">
        <v>2015</v>
      </c>
      <c r="OY274">
        <v>2016</v>
      </c>
      <c r="PB274" t="s">
        <v>522</v>
      </c>
      <c r="PC274" s="50">
        <v>46104</v>
      </c>
    </row>
    <row r="275" spans="1:419" ht="15.75" thickBot="1">
      <c r="A275" t="s">
        <v>469</v>
      </c>
      <c r="B275" t="s">
        <v>899</v>
      </c>
      <c r="C275" t="s">
        <v>900</v>
      </c>
      <c r="D275" s="59" t="s">
        <v>472</v>
      </c>
      <c r="E275" t="s">
        <v>901</v>
      </c>
      <c r="F275" s="4" t="s">
        <v>902</v>
      </c>
      <c r="G275" t="s">
        <v>475</v>
      </c>
      <c r="H275" t="s">
        <v>476</v>
      </c>
      <c r="I275">
        <v>7.971944444</v>
      </c>
      <c r="J275">
        <v>38.633055560000003</v>
      </c>
      <c r="K275">
        <v>200</v>
      </c>
      <c r="AV275" t="s">
        <v>903</v>
      </c>
      <c r="AW275">
        <v>420</v>
      </c>
      <c r="AX275">
        <v>2.5</v>
      </c>
      <c r="AY275">
        <v>1</v>
      </c>
      <c r="AZ275" t="s">
        <v>904</v>
      </c>
      <c r="BA275">
        <v>2015</v>
      </c>
      <c r="BB275">
        <v>2016</v>
      </c>
      <c r="BD275" t="s">
        <v>905</v>
      </c>
      <c r="BE275" t="s">
        <v>524</v>
      </c>
      <c r="BF275" s="3" t="s">
        <v>484</v>
      </c>
      <c r="BG275" t="s">
        <v>485</v>
      </c>
      <c r="BH275" t="s">
        <v>480</v>
      </c>
      <c r="BI275" s="4" t="s">
        <v>486</v>
      </c>
      <c r="BJ275">
        <v>53333</v>
      </c>
      <c r="EG275" s="9"/>
      <c r="EH275" s="9"/>
      <c r="EI275" s="9"/>
      <c r="EJ275" s="9"/>
      <c r="EK275" s="9"/>
      <c r="EL275" s="9"/>
      <c r="EM275" s="9"/>
      <c r="EN275" s="9"/>
      <c r="EO275" s="9"/>
      <c r="EP275" s="9"/>
      <c r="EQ275" s="9"/>
      <c r="ER275" s="9"/>
      <c r="ES275" s="9"/>
      <c r="ET275" s="9"/>
      <c r="EU275" s="9"/>
      <c r="EV275" s="9"/>
      <c r="EW275" s="9"/>
      <c r="EX275" s="9"/>
      <c r="EY275" s="9"/>
      <c r="EZ275" s="9"/>
      <c r="FA275" s="9"/>
      <c r="FB275" s="9"/>
      <c r="FC275" s="9"/>
      <c r="FD275" s="9"/>
      <c r="FE275" s="9"/>
      <c r="FF275" s="9"/>
      <c r="FG275" s="9"/>
      <c r="FH275" s="9"/>
      <c r="FI275" s="9"/>
      <c r="FJ275" s="9"/>
      <c r="FK275" s="9"/>
      <c r="FL275" s="9"/>
      <c r="FM275" s="9"/>
      <c r="FN275" s="9"/>
      <c r="FO275" s="9"/>
      <c r="FP275" s="9"/>
      <c r="FQ275" s="9"/>
      <c r="FR275" s="9"/>
      <c r="FS275" s="9"/>
      <c r="FT275" s="9"/>
      <c r="FU275" s="9"/>
      <c r="FV275" s="9"/>
      <c r="FW275" s="9"/>
      <c r="FX275" s="9"/>
      <c r="FY275" s="9"/>
      <c r="FZ275" s="9"/>
      <c r="GA275" s="9"/>
      <c r="GB275" s="9"/>
      <c r="GC275" s="9"/>
      <c r="GD275" s="9"/>
      <c r="GE275" s="9"/>
      <c r="GF275" s="9"/>
      <c r="GG275" s="9"/>
      <c r="GH275" s="9"/>
      <c r="GI275" s="9"/>
      <c r="GJ275" s="9"/>
      <c r="GK275" s="9"/>
      <c r="GL275" s="9"/>
      <c r="GM275" s="9"/>
      <c r="GN275" s="9"/>
      <c r="GO275" s="9"/>
      <c r="GP275" s="9"/>
      <c r="GQ275" s="9"/>
      <c r="GR275" s="9"/>
      <c r="GS275" s="9"/>
      <c r="GT275" s="9"/>
      <c r="GU275" s="9"/>
      <c r="GV275" s="9"/>
      <c r="GW275" s="9"/>
      <c r="GX275" s="9"/>
      <c r="GY275" s="9"/>
      <c r="GZ275" s="9"/>
      <c r="HA275" s="9"/>
      <c r="HB275" s="9"/>
      <c r="HC275" s="9"/>
      <c r="HD275" s="9"/>
      <c r="HE275" s="9"/>
      <c r="HF275" s="9"/>
      <c r="HG275" s="9"/>
      <c r="HH275" s="9"/>
      <c r="HI275" s="9"/>
      <c r="HJ275" s="9"/>
      <c r="HV275" s="50"/>
      <c r="HW275" s="50"/>
      <c r="IH275" t="s">
        <v>491</v>
      </c>
      <c r="II275" t="s">
        <v>492</v>
      </c>
      <c r="JJ275" t="s">
        <v>906</v>
      </c>
      <c r="JK275" s="75" t="s">
        <v>907</v>
      </c>
      <c r="JL275" s="8" t="s">
        <v>495</v>
      </c>
      <c r="JM275" s="8" t="s">
        <v>908</v>
      </c>
      <c r="JN275" s="4" t="s">
        <v>497</v>
      </c>
      <c r="JO275" t="s">
        <v>909</v>
      </c>
      <c r="MY275" t="s">
        <v>910</v>
      </c>
      <c r="MZ275">
        <v>70</v>
      </c>
      <c r="NA275" t="s">
        <v>911</v>
      </c>
      <c r="NB275" t="s">
        <v>548</v>
      </c>
      <c r="NC275" s="4"/>
      <c r="NJ275" t="s">
        <v>948</v>
      </c>
      <c r="NK275" t="s">
        <v>914</v>
      </c>
      <c r="NL275" s="78" t="s">
        <v>660</v>
      </c>
      <c r="NM275" s="6" t="s">
        <v>508</v>
      </c>
      <c r="NU275" t="s">
        <v>915</v>
      </c>
      <c r="NV275" t="s">
        <v>518</v>
      </c>
      <c r="NW275">
        <v>3564</v>
      </c>
      <c r="NX275" t="s">
        <v>480</v>
      </c>
      <c r="NY275" t="s">
        <v>480</v>
      </c>
      <c r="OB275" s="15">
        <v>3</v>
      </c>
      <c r="OU275" t="s">
        <v>917</v>
      </c>
      <c r="OV275" t="s">
        <v>518</v>
      </c>
      <c r="OX275">
        <v>2015</v>
      </c>
      <c r="OY275">
        <v>2016</v>
      </c>
      <c r="PB275" t="s">
        <v>522</v>
      </c>
      <c r="PC275" s="50">
        <v>46105</v>
      </c>
    </row>
    <row r="276" spans="1:419" ht="15.75" thickBot="1">
      <c r="A276" t="s">
        <v>469</v>
      </c>
      <c r="B276" t="s">
        <v>899</v>
      </c>
      <c r="C276" t="s">
        <v>900</v>
      </c>
      <c r="D276" s="59" t="s">
        <v>472</v>
      </c>
      <c r="E276" t="s">
        <v>901</v>
      </c>
      <c r="F276" s="4" t="s">
        <v>902</v>
      </c>
      <c r="G276" t="s">
        <v>475</v>
      </c>
      <c r="H276" t="s">
        <v>476</v>
      </c>
      <c r="I276">
        <v>7.971944444</v>
      </c>
      <c r="J276">
        <v>38.633055560000003</v>
      </c>
      <c r="K276">
        <v>200</v>
      </c>
      <c r="AV276" t="s">
        <v>903</v>
      </c>
      <c r="AW276">
        <v>420</v>
      </c>
      <c r="AX276">
        <v>2.5</v>
      </c>
      <c r="AY276">
        <v>1</v>
      </c>
      <c r="AZ276" t="s">
        <v>904</v>
      </c>
      <c r="BA276">
        <v>2015</v>
      </c>
      <c r="BB276">
        <v>2016</v>
      </c>
      <c r="BD276" t="s">
        <v>918</v>
      </c>
      <c r="BE276" t="s">
        <v>483</v>
      </c>
      <c r="BF276" s="3" t="s">
        <v>484</v>
      </c>
      <c r="BG276" t="s">
        <v>485</v>
      </c>
      <c r="BH276" t="s">
        <v>480</v>
      </c>
      <c r="BI276" t="s">
        <v>486</v>
      </c>
      <c r="BJ276">
        <v>53333</v>
      </c>
      <c r="EG276" s="9"/>
      <c r="EH276" s="9"/>
      <c r="EI276" s="9"/>
      <c r="EJ276" s="9"/>
      <c r="EK276" s="9"/>
      <c r="EL276" s="9"/>
      <c r="EM276" s="9"/>
      <c r="EN276" s="9"/>
      <c r="EO276" s="9"/>
      <c r="EP276" s="9"/>
      <c r="EQ276" s="9"/>
      <c r="ER276" s="9"/>
      <c r="ES276" s="9"/>
      <c r="ET276" s="9"/>
      <c r="EU276" s="9"/>
      <c r="EV276" s="9"/>
      <c r="EW276" s="9"/>
      <c r="EX276" s="9"/>
      <c r="EY276" s="9"/>
      <c r="EZ276" s="9"/>
      <c r="FA276" s="9"/>
      <c r="FB276" s="9"/>
      <c r="FC276" s="9"/>
      <c r="FD276" s="9"/>
      <c r="FE276" s="9"/>
      <c r="FF276" s="9"/>
      <c r="FG276" s="9"/>
      <c r="FH276" s="9"/>
      <c r="FI276" s="9"/>
      <c r="FJ276" s="9"/>
      <c r="FK276" s="9"/>
      <c r="FL276" s="9"/>
      <c r="FM276" s="9"/>
      <c r="FN276" s="9"/>
      <c r="FO276" s="9"/>
      <c r="FP276" s="9"/>
      <c r="FQ276" s="9"/>
      <c r="FR276" s="9"/>
      <c r="FS276" s="9"/>
      <c r="FT276" s="9"/>
      <c r="FU276" s="9"/>
      <c r="FV276" s="9"/>
      <c r="FW276" s="9"/>
      <c r="FX276" s="9"/>
      <c r="FY276" s="9"/>
      <c r="FZ276" s="9"/>
      <c r="GA276" s="9"/>
      <c r="GB276" s="9"/>
      <c r="GC276" s="9"/>
      <c r="GD276" s="9"/>
      <c r="GE276" s="9"/>
      <c r="GF276" s="9"/>
      <c r="GG276" s="9"/>
      <c r="GH276" s="9"/>
      <c r="GI276" s="9"/>
      <c r="GJ276" s="9"/>
      <c r="GK276" s="9"/>
      <c r="GL276" s="9"/>
      <c r="GM276" s="9"/>
      <c r="GN276" s="9"/>
      <c r="GO276" s="9"/>
      <c r="GP276" s="9"/>
      <c r="GQ276" s="9"/>
      <c r="GR276" s="9"/>
      <c r="GS276" s="9"/>
      <c r="GT276" s="9"/>
      <c r="GU276" s="9"/>
      <c r="GV276" s="9"/>
      <c r="GW276" s="9"/>
      <c r="GX276" s="9"/>
      <c r="GY276" s="9"/>
      <c r="GZ276" s="9"/>
      <c r="HA276" s="9"/>
      <c r="HB276" s="9"/>
      <c r="HC276" s="9"/>
      <c r="HD276" s="9"/>
      <c r="HE276" s="9"/>
      <c r="HF276" s="9"/>
      <c r="HG276" s="9"/>
      <c r="HH276" s="9"/>
      <c r="HI276" s="9"/>
      <c r="HJ276" s="9"/>
      <c r="HV276" s="50"/>
      <c r="HW276" s="50"/>
      <c r="IH276" t="s">
        <v>491</v>
      </c>
      <c r="II276" t="s">
        <v>492</v>
      </c>
      <c r="JJ276" t="s">
        <v>919</v>
      </c>
      <c r="JK276" s="46" t="s">
        <v>920</v>
      </c>
      <c r="JL276" s="8" t="s">
        <v>495</v>
      </c>
      <c r="JM276" s="8" t="s">
        <v>908</v>
      </c>
      <c r="JN276" s="4" t="s">
        <v>497</v>
      </c>
      <c r="JO276" t="s">
        <v>921</v>
      </c>
      <c r="MY276" t="s">
        <v>910</v>
      </c>
      <c r="MZ276">
        <v>70</v>
      </c>
      <c r="NA276" t="s">
        <v>911</v>
      </c>
      <c r="NB276" t="s">
        <v>548</v>
      </c>
      <c r="NC276" s="4"/>
      <c r="NJ276" t="s">
        <v>948</v>
      </c>
      <c r="NK276" t="s">
        <v>914</v>
      </c>
      <c r="NL276" s="78" t="s">
        <v>660</v>
      </c>
      <c r="NM276" s="6" t="s">
        <v>508</v>
      </c>
      <c r="NU276" t="s">
        <v>657</v>
      </c>
      <c r="NV276" t="s">
        <v>518</v>
      </c>
      <c r="NW276">
        <v>4211</v>
      </c>
      <c r="NX276" t="s">
        <v>480</v>
      </c>
      <c r="NY276" t="s">
        <v>480</v>
      </c>
      <c r="OB276" s="15">
        <v>3</v>
      </c>
      <c r="OU276" t="s">
        <v>917</v>
      </c>
      <c r="OV276" t="s">
        <v>518</v>
      </c>
      <c r="OX276">
        <v>2015</v>
      </c>
      <c r="OY276">
        <v>2016</v>
      </c>
      <c r="PB276" t="s">
        <v>522</v>
      </c>
      <c r="PC276" s="50">
        <v>46105</v>
      </c>
    </row>
    <row r="277" spans="1:419" ht="15.75" thickBot="1">
      <c r="A277" t="s">
        <v>469</v>
      </c>
      <c r="B277" t="s">
        <v>899</v>
      </c>
      <c r="C277" t="s">
        <v>900</v>
      </c>
      <c r="D277" s="59" t="s">
        <v>472</v>
      </c>
      <c r="E277" t="s">
        <v>901</v>
      </c>
      <c r="F277" s="4" t="s">
        <v>902</v>
      </c>
      <c r="G277" t="s">
        <v>475</v>
      </c>
      <c r="H277" t="s">
        <v>476</v>
      </c>
      <c r="I277">
        <v>7.971944444</v>
      </c>
      <c r="J277">
        <v>38.633055560000003</v>
      </c>
      <c r="K277">
        <v>200</v>
      </c>
      <c r="AV277" t="s">
        <v>903</v>
      </c>
      <c r="AW277">
        <v>420</v>
      </c>
      <c r="AX277">
        <v>2.5</v>
      </c>
      <c r="AY277">
        <v>1</v>
      </c>
      <c r="AZ277" t="s">
        <v>904</v>
      </c>
      <c r="BA277">
        <v>2015</v>
      </c>
      <c r="BB277">
        <v>2016</v>
      </c>
      <c r="BD277" t="s">
        <v>922</v>
      </c>
      <c r="BE277" t="s">
        <v>593</v>
      </c>
      <c r="BF277" s="3" t="s">
        <v>484</v>
      </c>
      <c r="BG277" t="s">
        <v>485</v>
      </c>
      <c r="BH277" t="s">
        <v>480</v>
      </c>
      <c r="BI277" t="s">
        <v>486</v>
      </c>
      <c r="BJ277">
        <v>53333</v>
      </c>
      <c r="EG277" s="9"/>
      <c r="EH277" s="9"/>
      <c r="EI277" s="9"/>
      <c r="EJ277" s="9"/>
      <c r="EK277" s="9"/>
      <c r="EL277" s="9"/>
      <c r="EM277" s="9"/>
      <c r="EN277" s="9"/>
      <c r="EO277" s="9"/>
      <c r="EP277" s="9"/>
      <c r="EQ277" s="9"/>
      <c r="ER277" s="9"/>
      <c r="ES277" s="9"/>
      <c r="ET277" s="9"/>
      <c r="EU277" s="9"/>
      <c r="EV277" s="9"/>
      <c r="EW277" s="9"/>
      <c r="EX277" s="9"/>
      <c r="EY277" s="9"/>
      <c r="EZ277" s="9"/>
      <c r="FA277" s="9"/>
      <c r="FB277" s="9"/>
      <c r="FC277" s="9"/>
      <c r="FD277" s="9"/>
      <c r="FE277" s="9"/>
      <c r="FF277" s="9"/>
      <c r="FG277" s="9"/>
      <c r="FH277" s="9"/>
      <c r="FI277" s="9"/>
      <c r="FJ277" s="9"/>
      <c r="FK277" s="9"/>
      <c r="FL277" s="9"/>
      <c r="FM277" s="9"/>
      <c r="FN277" s="9"/>
      <c r="FO277" s="9"/>
      <c r="FP277" s="9"/>
      <c r="FQ277" s="9"/>
      <c r="FR277" s="9"/>
      <c r="FS277" s="9"/>
      <c r="FT277" s="9"/>
      <c r="FU277" s="9"/>
      <c r="FV277" s="9"/>
      <c r="FW277" s="9"/>
      <c r="FX277" s="9"/>
      <c r="FY277" s="9"/>
      <c r="FZ277" s="9"/>
      <c r="GA277" s="9"/>
      <c r="GB277" s="9"/>
      <c r="GC277" s="9"/>
      <c r="GD277" s="9"/>
      <c r="GE277" s="9"/>
      <c r="GF277" s="9"/>
      <c r="GG277" s="9"/>
      <c r="GH277" s="9"/>
      <c r="GI277" s="9"/>
      <c r="GJ277" s="9"/>
      <c r="GK277" s="9"/>
      <c r="GL277" s="9"/>
      <c r="GM277" s="9"/>
      <c r="GN277" s="9"/>
      <c r="GO277" s="9"/>
      <c r="GP277" s="9"/>
      <c r="GQ277" s="9"/>
      <c r="GR277" s="9"/>
      <c r="GS277" s="9"/>
      <c r="GT277" s="9"/>
      <c r="GU277" s="9"/>
      <c r="GV277" s="9"/>
      <c r="GW277" s="9"/>
      <c r="GX277" s="9"/>
      <c r="GY277" s="9"/>
      <c r="GZ277" s="9"/>
      <c r="HA277" s="9"/>
      <c r="HB277" s="9"/>
      <c r="HC277" s="9"/>
      <c r="HD277" s="9"/>
      <c r="HE277" s="9"/>
      <c r="HF277" s="9"/>
      <c r="HG277" s="9"/>
      <c r="HH277" s="9"/>
      <c r="HI277" s="9"/>
      <c r="HJ277" s="9"/>
      <c r="HQ277" t="s">
        <v>923</v>
      </c>
      <c r="HV277" s="50"/>
      <c r="HW277" s="50"/>
      <c r="IH277" t="s">
        <v>491</v>
      </c>
      <c r="II277" t="s">
        <v>492</v>
      </c>
      <c r="JJ277" t="s">
        <v>924</v>
      </c>
      <c r="JK277" s="75" t="s">
        <v>907</v>
      </c>
      <c r="JL277" t="s">
        <v>495</v>
      </c>
      <c r="JM277" t="s">
        <v>908</v>
      </c>
      <c r="JN277" s="4" t="s">
        <v>497</v>
      </c>
      <c r="JO277" t="s">
        <v>909</v>
      </c>
      <c r="KV277" t="s">
        <v>925</v>
      </c>
      <c r="MY277" t="s">
        <v>910</v>
      </c>
      <c r="MZ277">
        <v>70</v>
      </c>
      <c r="NA277" t="s">
        <v>911</v>
      </c>
      <c r="NB277" t="s">
        <v>548</v>
      </c>
      <c r="NC277" s="4"/>
      <c r="NJ277" t="s">
        <v>948</v>
      </c>
      <c r="NK277" t="s">
        <v>914</v>
      </c>
      <c r="NL277" s="78" t="s">
        <v>660</v>
      </c>
      <c r="NM277" s="6" t="s">
        <v>508</v>
      </c>
      <c r="NU277" t="s">
        <v>915</v>
      </c>
      <c r="NV277" t="s">
        <v>518</v>
      </c>
      <c r="NW277">
        <v>4663</v>
      </c>
      <c r="NX277" t="s">
        <v>480</v>
      </c>
      <c r="NY277" t="s">
        <v>480</v>
      </c>
      <c r="OB277" s="15">
        <v>3</v>
      </c>
      <c r="OU277" t="s">
        <v>917</v>
      </c>
      <c r="OV277" t="s">
        <v>518</v>
      </c>
      <c r="OX277">
        <v>2015</v>
      </c>
      <c r="OY277">
        <v>2016</v>
      </c>
      <c r="PB277" t="s">
        <v>522</v>
      </c>
      <c r="PC277" s="50">
        <v>46105</v>
      </c>
    </row>
    <row r="278" spans="1:419" ht="15.75" thickBot="1">
      <c r="A278" t="s">
        <v>469</v>
      </c>
      <c r="B278" t="s">
        <v>899</v>
      </c>
      <c r="C278" t="s">
        <v>900</v>
      </c>
      <c r="D278" s="59" t="s">
        <v>472</v>
      </c>
      <c r="E278" t="s">
        <v>901</v>
      </c>
      <c r="F278" s="4" t="s">
        <v>902</v>
      </c>
      <c r="G278" t="s">
        <v>475</v>
      </c>
      <c r="H278" t="s">
        <v>476</v>
      </c>
      <c r="I278">
        <v>7.971944444</v>
      </c>
      <c r="J278">
        <v>38.633055560000003</v>
      </c>
      <c r="K278">
        <v>200</v>
      </c>
      <c r="AV278" t="s">
        <v>903</v>
      </c>
      <c r="AW278">
        <v>420</v>
      </c>
      <c r="AX278">
        <v>2.5</v>
      </c>
      <c r="AY278">
        <v>1</v>
      </c>
      <c r="AZ278" t="s">
        <v>904</v>
      </c>
      <c r="BA278">
        <v>2015</v>
      </c>
      <c r="BB278">
        <v>2016</v>
      </c>
      <c r="BD278" t="s">
        <v>926</v>
      </c>
      <c r="BE278" t="s">
        <v>536</v>
      </c>
      <c r="BF278" s="3" t="s">
        <v>484</v>
      </c>
      <c r="BG278" t="s">
        <v>485</v>
      </c>
      <c r="BH278" t="s">
        <v>480</v>
      </c>
      <c r="BI278" t="s">
        <v>486</v>
      </c>
      <c r="BJ278">
        <v>53333</v>
      </c>
      <c r="BK278" t="s">
        <v>537</v>
      </c>
      <c r="BL278" t="s">
        <v>927</v>
      </c>
      <c r="BM278" t="s">
        <v>480</v>
      </c>
      <c r="BN278" t="s">
        <v>486</v>
      </c>
      <c r="BO278">
        <v>266666</v>
      </c>
      <c r="EG278" s="9"/>
      <c r="EH278" s="9"/>
      <c r="EI278" s="9"/>
      <c r="EJ278" s="9"/>
      <c r="EK278" s="9"/>
      <c r="EL278" s="9"/>
      <c r="EM278" s="9"/>
      <c r="EN278" s="9"/>
      <c r="EO278" s="9"/>
      <c r="EP278" s="9"/>
      <c r="EQ278" s="9"/>
      <c r="ER278" s="9"/>
      <c r="ES278" s="9"/>
      <c r="ET278" s="9"/>
      <c r="EU278" s="9"/>
      <c r="EV278" s="9"/>
      <c r="EW278" s="9"/>
      <c r="EX278" s="9"/>
      <c r="EY278" s="9"/>
      <c r="EZ278" s="9"/>
      <c r="FA278" s="9"/>
      <c r="FB278" s="9"/>
      <c r="FC278" s="9"/>
      <c r="FD278" s="9"/>
      <c r="FE278" s="9"/>
      <c r="FF278" s="9"/>
      <c r="FG278" s="9"/>
      <c r="FH278" s="9"/>
      <c r="FI278" s="9"/>
      <c r="FJ278" s="9"/>
      <c r="FK278" s="9"/>
      <c r="FL278" s="9"/>
      <c r="FM278" s="9"/>
      <c r="FN278" s="9"/>
      <c r="FO278" s="9"/>
      <c r="FP278" s="9"/>
      <c r="FQ278" s="9"/>
      <c r="FR278" s="9"/>
      <c r="FS278" s="9"/>
      <c r="FT278" s="9"/>
      <c r="FU278" s="9"/>
      <c r="FV278" s="9"/>
      <c r="FW278" s="9"/>
      <c r="FX278" s="9"/>
      <c r="FY278" s="9"/>
      <c r="FZ278" s="9"/>
      <c r="GA278" s="9"/>
      <c r="GB278" s="9"/>
      <c r="GC278" s="9"/>
      <c r="GD278" s="9"/>
      <c r="GE278" s="9"/>
      <c r="GF278" s="9"/>
      <c r="GG278" s="9"/>
      <c r="GH278" s="9"/>
      <c r="GI278" s="9"/>
      <c r="GJ278" s="9"/>
      <c r="GK278" s="9"/>
      <c r="GL278" s="9"/>
      <c r="GM278" s="9"/>
      <c r="GN278" s="9"/>
      <c r="GO278" s="9"/>
      <c r="GP278" s="9"/>
      <c r="GQ278" s="9"/>
      <c r="GR278" s="9"/>
      <c r="GS278" s="9"/>
      <c r="GT278" s="9"/>
      <c r="GU278" s="9"/>
      <c r="GV278" s="9"/>
      <c r="GW278" s="9"/>
      <c r="GX278" s="9"/>
      <c r="GY278" s="9"/>
      <c r="GZ278" s="9"/>
      <c r="HA278" s="9"/>
      <c r="HB278" s="9"/>
      <c r="HC278" s="9"/>
      <c r="HD278" s="9"/>
      <c r="HE278" s="9"/>
      <c r="HF278" s="9"/>
      <c r="HG278" s="9"/>
      <c r="HH278" s="9"/>
      <c r="HI278" s="9"/>
      <c r="HJ278" s="9"/>
      <c r="HV278" s="50"/>
      <c r="HW278" s="50"/>
      <c r="IH278" t="s">
        <v>928</v>
      </c>
      <c r="II278" s="75" t="s">
        <v>929</v>
      </c>
      <c r="IJ278" t="s">
        <v>542</v>
      </c>
      <c r="IK278" t="s">
        <v>543</v>
      </c>
      <c r="IL278" t="s">
        <v>480</v>
      </c>
      <c r="IM278" t="s">
        <v>480</v>
      </c>
      <c r="IN278" t="s">
        <v>480</v>
      </c>
      <c r="JJ278" t="s">
        <v>930</v>
      </c>
      <c r="JK278" t="s">
        <v>920</v>
      </c>
      <c r="JL278" t="s">
        <v>495</v>
      </c>
      <c r="JM278" t="s">
        <v>908</v>
      </c>
      <c r="JN278" s="4" t="s">
        <v>497</v>
      </c>
      <c r="JO278" t="s">
        <v>921</v>
      </c>
      <c r="MY278" t="s">
        <v>910</v>
      </c>
      <c r="MZ278">
        <v>70</v>
      </c>
      <c r="NA278" t="s">
        <v>911</v>
      </c>
      <c r="NB278" t="s">
        <v>548</v>
      </c>
      <c r="NC278" s="4"/>
      <c r="NJ278" t="s">
        <v>948</v>
      </c>
      <c r="NK278" t="s">
        <v>914</v>
      </c>
      <c r="NL278" s="78" t="s">
        <v>660</v>
      </c>
      <c r="NM278" s="6" t="s">
        <v>508</v>
      </c>
      <c r="NV278" t="s">
        <v>518</v>
      </c>
      <c r="NW278">
        <v>3891</v>
      </c>
      <c r="NX278" t="s">
        <v>480</v>
      </c>
      <c r="NY278" t="s">
        <v>480</v>
      </c>
      <c r="OB278" s="15">
        <v>3</v>
      </c>
      <c r="OU278" t="s">
        <v>917</v>
      </c>
      <c r="OV278" t="s">
        <v>518</v>
      </c>
      <c r="OX278">
        <v>2015</v>
      </c>
      <c r="OY278">
        <v>2016</v>
      </c>
      <c r="PB278" t="s">
        <v>522</v>
      </c>
      <c r="PC278" s="50">
        <v>46105</v>
      </c>
    </row>
    <row r="279" spans="1:419" ht="15.75" thickBot="1">
      <c r="A279" t="s">
        <v>469</v>
      </c>
      <c r="B279" t="s">
        <v>899</v>
      </c>
      <c r="C279" t="s">
        <v>900</v>
      </c>
      <c r="D279" s="59" t="s">
        <v>472</v>
      </c>
      <c r="E279" t="s">
        <v>901</v>
      </c>
      <c r="F279" s="4" t="s">
        <v>902</v>
      </c>
      <c r="G279" t="s">
        <v>475</v>
      </c>
      <c r="H279" t="s">
        <v>476</v>
      </c>
      <c r="I279">
        <v>7.971944444</v>
      </c>
      <c r="J279">
        <v>38.633055560000003</v>
      </c>
      <c r="K279">
        <v>200</v>
      </c>
      <c r="AV279" t="s">
        <v>903</v>
      </c>
      <c r="AW279">
        <v>420</v>
      </c>
      <c r="AX279">
        <v>2.5</v>
      </c>
      <c r="AY279">
        <v>1</v>
      </c>
      <c r="AZ279" t="s">
        <v>904</v>
      </c>
      <c r="BA279">
        <v>2015</v>
      </c>
      <c r="BB279">
        <v>2016</v>
      </c>
      <c r="BD279" t="s">
        <v>931</v>
      </c>
      <c r="BE279" t="s">
        <v>566</v>
      </c>
      <c r="BF279" s="3" t="s">
        <v>484</v>
      </c>
      <c r="BG279" t="s">
        <v>485</v>
      </c>
      <c r="BH279" t="s">
        <v>480</v>
      </c>
      <c r="BI279" t="s">
        <v>486</v>
      </c>
      <c r="BJ279">
        <v>53333</v>
      </c>
      <c r="BK279" t="s">
        <v>537</v>
      </c>
      <c r="BL279" t="s">
        <v>932</v>
      </c>
      <c r="BM279" t="s">
        <v>480</v>
      </c>
      <c r="BN279" t="s">
        <v>486</v>
      </c>
      <c r="BO279">
        <v>66666</v>
      </c>
      <c r="EG279" s="9"/>
      <c r="EH279" s="9"/>
      <c r="EI279" s="9"/>
      <c r="EJ279" s="9"/>
      <c r="EK279" s="9"/>
      <c r="EL279" s="9"/>
      <c r="EM279" s="9"/>
      <c r="EN279" s="9"/>
      <c r="EO279" s="9"/>
      <c r="EP279" s="9"/>
      <c r="EQ279" s="9"/>
      <c r="ER279" s="9"/>
      <c r="ES279" s="9"/>
      <c r="ET279" s="9"/>
      <c r="EU279" s="9"/>
      <c r="EV279" s="9"/>
      <c r="EW279" s="9"/>
      <c r="EX279" s="9"/>
      <c r="EY279" s="9"/>
      <c r="EZ279" s="9"/>
      <c r="FA279" s="9"/>
      <c r="FB279" s="9"/>
      <c r="FC279" s="9"/>
      <c r="FD279" s="9"/>
      <c r="FE279" s="9"/>
      <c r="FF279" s="9"/>
      <c r="FG279" s="9"/>
      <c r="FH279" s="9"/>
      <c r="FI279" s="9"/>
      <c r="FJ279" s="9"/>
      <c r="FK279" s="9"/>
      <c r="FL279" s="9"/>
      <c r="FM279" s="9"/>
      <c r="FN279" s="9"/>
      <c r="FO279" s="9"/>
      <c r="FP279" s="9"/>
      <c r="FQ279" s="9"/>
      <c r="FR279" s="9"/>
      <c r="FS279" s="9"/>
      <c r="FT279" s="9"/>
      <c r="FU279" s="9"/>
      <c r="FV279" s="9"/>
      <c r="FW279" s="9"/>
      <c r="FX279" s="9"/>
      <c r="FY279" s="9"/>
      <c r="FZ279" s="9"/>
      <c r="GA279" s="9"/>
      <c r="GB279" s="9"/>
      <c r="GC279" s="9"/>
      <c r="GD279" s="9"/>
      <c r="GE279" s="9"/>
      <c r="GF279" s="9"/>
      <c r="GG279" s="9"/>
      <c r="GH279" s="9"/>
      <c r="GI279" s="9"/>
      <c r="GJ279" s="9"/>
      <c r="GK279" s="9"/>
      <c r="GL279" s="9"/>
      <c r="GM279" s="9"/>
      <c r="GN279" s="9"/>
      <c r="GO279" s="9"/>
      <c r="GP279" s="9"/>
      <c r="GQ279" s="9"/>
      <c r="GR279" s="9"/>
      <c r="GS279" s="9"/>
      <c r="GT279" s="9"/>
      <c r="GU279" s="9"/>
      <c r="GV279" s="9"/>
      <c r="GW279" s="9"/>
      <c r="GX279" s="9"/>
      <c r="GY279" s="9"/>
      <c r="GZ279" s="9"/>
      <c r="HA279" s="9"/>
      <c r="HB279" s="9"/>
      <c r="HC279" s="9"/>
      <c r="HD279" s="9"/>
      <c r="HE279" s="9"/>
      <c r="HF279" s="9"/>
      <c r="HG279" s="9"/>
      <c r="HH279" s="9"/>
      <c r="HI279" s="9"/>
      <c r="HJ279" s="9"/>
      <c r="HV279" s="50"/>
      <c r="HW279" s="50"/>
      <c r="IH279" t="s">
        <v>933</v>
      </c>
      <c r="II279" s="75" t="s">
        <v>929</v>
      </c>
      <c r="IJ279" t="s">
        <v>542</v>
      </c>
      <c r="IK279" t="s">
        <v>543</v>
      </c>
      <c r="IL279" t="s">
        <v>480</v>
      </c>
      <c r="IM279" t="s">
        <v>480</v>
      </c>
      <c r="IN279" t="s">
        <v>480</v>
      </c>
      <c r="JJ279" t="s">
        <v>934</v>
      </c>
      <c r="JK279" t="s">
        <v>920</v>
      </c>
      <c r="JL279" t="s">
        <v>495</v>
      </c>
      <c r="JM279" t="s">
        <v>908</v>
      </c>
      <c r="JN279" s="4" t="s">
        <v>497</v>
      </c>
      <c r="JO279" t="s">
        <v>921</v>
      </c>
      <c r="MY279" t="s">
        <v>910</v>
      </c>
      <c r="MZ279">
        <v>70</v>
      </c>
      <c r="NA279" t="s">
        <v>911</v>
      </c>
      <c r="NB279" t="s">
        <v>548</v>
      </c>
      <c r="NC279" s="4"/>
      <c r="NJ279" t="s">
        <v>948</v>
      </c>
      <c r="NK279" t="s">
        <v>914</v>
      </c>
      <c r="NL279" s="78" t="s">
        <v>660</v>
      </c>
      <c r="NM279" s="6" t="s">
        <v>508</v>
      </c>
      <c r="NV279" t="s">
        <v>518</v>
      </c>
      <c r="NW279">
        <v>4255</v>
      </c>
      <c r="NX279" t="s">
        <v>480</v>
      </c>
      <c r="NY279" t="s">
        <v>480</v>
      </c>
      <c r="OB279" s="15">
        <v>3</v>
      </c>
      <c r="OU279" t="s">
        <v>917</v>
      </c>
      <c r="OV279" t="s">
        <v>518</v>
      </c>
      <c r="OX279">
        <v>2015</v>
      </c>
      <c r="OY279">
        <v>2016</v>
      </c>
      <c r="PB279" t="s">
        <v>522</v>
      </c>
      <c r="PC279" s="50">
        <v>46105</v>
      </c>
    </row>
    <row r="280" spans="1:419" ht="15.75" thickBot="1">
      <c r="A280" t="s">
        <v>469</v>
      </c>
      <c r="B280" t="s">
        <v>899</v>
      </c>
      <c r="C280" t="s">
        <v>900</v>
      </c>
      <c r="D280" s="59" t="s">
        <v>472</v>
      </c>
      <c r="E280" t="s">
        <v>901</v>
      </c>
      <c r="F280" s="4" t="s">
        <v>902</v>
      </c>
      <c r="G280" t="s">
        <v>475</v>
      </c>
      <c r="H280" t="s">
        <v>476</v>
      </c>
      <c r="I280">
        <v>7.971944444</v>
      </c>
      <c r="J280">
        <v>38.633055560000003</v>
      </c>
      <c r="K280">
        <v>200</v>
      </c>
      <c r="AV280" t="s">
        <v>903</v>
      </c>
      <c r="AW280">
        <v>420</v>
      </c>
      <c r="AX280">
        <v>2.5</v>
      </c>
      <c r="AY280">
        <v>1</v>
      </c>
      <c r="AZ280" t="s">
        <v>904</v>
      </c>
      <c r="BA280">
        <v>2015</v>
      </c>
      <c r="BB280">
        <v>2016</v>
      </c>
      <c r="BD280" t="s">
        <v>936</v>
      </c>
      <c r="BE280" t="s">
        <v>602</v>
      </c>
      <c r="BF280" s="3" t="s">
        <v>484</v>
      </c>
      <c r="BG280" t="s">
        <v>485</v>
      </c>
      <c r="BH280" t="s">
        <v>480</v>
      </c>
      <c r="BI280" t="s">
        <v>486</v>
      </c>
      <c r="BJ280">
        <v>53333</v>
      </c>
      <c r="EG280" s="9"/>
      <c r="EH280" s="9"/>
      <c r="EI280" s="9"/>
      <c r="EJ280" s="9"/>
      <c r="EK280" s="9"/>
      <c r="EL280" s="9"/>
      <c r="EM280" s="9"/>
      <c r="EN280" s="9"/>
      <c r="EO280" s="9"/>
      <c r="EP280" s="9"/>
      <c r="EQ280" s="9"/>
      <c r="ER280" s="9"/>
      <c r="ES280" s="9"/>
      <c r="ET280" s="9"/>
      <c r="EU280" s="9"/>
      <c r="EV280" s="9"/>
      <c r="EW280" s="9"/>
      <c r="EX280" s="9"/>
      <c r="EY280" s="9"/>
      <c r="EZ280" s="9"/>
      <c r="FA280" s="9"/>
      <c r="FB280" s="9"/>
      <c r="FC280" s="9"/>
      <c r="FD280" s="9"/>
      <c r="FE280" s="9"/>
      <c r="FF280" s="9"/>
      <c r="FG280" s="9"/>
      <c r="FH280" s="9"/>
      <c r="FI280" s="9"/>
      <c r="FJ280" s="9"/>
      <c r="FK280" s="9"/>
      <c r="FL280" s="9"/>
      <c r="FM280" s="9"/>
      <c r="FN280" s="9"/>
      <c r="FO280" s="9"/>
      <c r="FP280" s="9"/>
      <c r="FQ280" s="9"/>
      <c r="FR280" s="9"/>
      <c r="FS280" s="9"/>
      <c r="FT280" s="9"/>
      <c r="FU280" s="9"/>
      <c r="FV280" s="9"/>
      <c r="FW280" s="9"/>
      <c r="FX280" s="9"/>
      <c r="FY280" s="9"/>
      <c r="FZ280" s="9"/>
      <c r="GA280" s="9"/>
      <c r="GB280" s="9"/>
      <c r="GC280" s="9"/>
      <c r="GD280" s="9"/>
      <c r="GE280" s="9"/>
      <c r="GF280" s="9"/>
      <c r="GG280" s="9"/>
      <c r="GH280" s="9"/>
      <c r="GI280" s="9"/>
      <c r="GJ280" s="9"/>
      <c r="GK280" s="9"/>
      <c r="GL280" s="9"/>
      <c r="GM280" s="9"/>
      <c r="GN280" s="9"/>
      <c r="GO280" s="9"/>
      <c r="GP280" s="9"/>
      <c r="GQ280" s="9"/>
      <c r="GR280" s="9"/>
      <c r="GS280" s="9"/>
      <c r="GT280" s="9"/>
      <c r="GU280" s="9"/>
      <c r="GV280" s="9"/>
      <c r="GW280" s="9"/>
      <c r="GX280" s="9"/>
      <c r="GY280" s="9"/>
      <c r="GZ280" s="9"/>
      <c r="HA280" s="9"/>
      <c r="HB280" s="9"/>
      <c r="HC280" s="9"/>
      <c r="HD280" s="9"/>
      <c r="HE280" s="9"/>
      <c r="HF280" s="9"/>
      <c r="HG280" s="9"/>
      <c r="HH280" s="9"/>
      <c r="HI280" s="9"/>
      <c r="HJ280" s="9"/>
      <c r="HQ280" t="s">
        <v>923</v>
      </c>
      <c r="HV280" s="50"/>
      <c r="HW280" s="50"/>
      <c r="IH280" t="s">
        <v>491</v>
      </c>
      <c r="II280" t="s">
        <v>492</v>
      </c>
      <c r="JJ280" t="s">
        <v>937</v>
      </c>
      <c r="JK280" t="s">
        <v>920</v>
      </c>
      <c r="JL280" t="s">
        <v>495</v>
      </c>
      <c r="JM280" t="s">
        <v>908</v>
      </c>
      <c r="JN280" s="4" t="s">
        <v>497</v>
      </c>
      <c r="JO280" t="s">
        <v>921</v>
      </c>
      <c r="MY280" t="s">
        <v>910</v>
      </c>
      <c r="MZ280">
        <v>70</v>
      </c>
      <c r="NA280" t="s">
        <v>911</v>
      </c>
      <c r="NB280" t="s">
        <v>548</v>
      </c>
      <c r="NC280" s="4"/>
      <c r="NJ280" t="s">
        <v>948</v>
      </c>
      <c r="NK280" t="s">
        <v>914</v>
      </c>
      <c r="NL280" s="78" t="s">
        <v>660</v>
      </c>
      <c r="NM280" s="6" t="s">
        <v>508</v>
      </c>
      <c r="NU280" t="s">
        <v>657</v>
      </c>
      <c r="NV280" t="s">
        <v>518</v>
      </c>
      <c r="NW280">
        <v>5259</v>
      </c>
      <c r="NX280" t="s">
        <v>480</v>
      </c>
      <c r="NY280" t="s">
        <v>480</v>
      </c>
      <c r="OB280" s="15">
        <v>3</v>
      </c>
      <c r="OU280" t="s">
        <v>917</v>
      </c>
      <c r="OV280" t="s">
        <v>518</v>
      </c>
      <c r="OX280">
        <v>2015</v>
      </c>
      <c r="OY280">
        <v>2016</v>
      </c>
      <c r="PB280" t="s">
        <v>522</v>
      </c>
      <c r="PC280" s="50">
        <v>46105</v>
      </c>
    </row>
    <row r="281" spans="1:419" ht="15.75" thickBot="1">
      <c r="A281" t="s">
        <v>469</v>
      </c>
      <c r="B281" t="s">
        <v>899</v>
      </c>
      <c r="C281" t="s">
        <v>900</v>
      </c>
      <c r="D281" s="59" t="s">
        <v>472</v>
      </c>
      <c r="E281" t="s">
        <v>901</v>
      </c>
      <c r="F281" s="4" t="s">
        <v>902</v>
      </c>
      <c r="G281" t="s">
        <v>475</v>
      </c>
      <c r="H281" t="s">
        <v>476</v>
      </c>
      <c r="I281">
        <v>7.971944444</v>
      </c>
      <c r="J281">
        <v>38.633055560000003</v>
      </c>
      <c r="K281">
        <v>200</v>
      </c>
      <c r="AV281" t="s">
        <v>903</v>
      </c>
      <c r="AW281">
        <v>420</v>
      </c>
      <c r="AX281">
        <v>2.5</v>
      </c>
      <c r="AY281">
        <v>1</v>
      </c>
      <c r="AZ281" t="s">
        <v>904</v>
      </c>
      <c r="BA281">
        <v>2015</v>
      </c>
      <c r="BB281">
        <v>2016</v>
      </c>
      <c r="BD281" t="s">
        <v>905</v>
      </c>
      <c r="BE281" t="s">
        <v>524</v>
      </c>
      <c r="BF281" s="3" t="s">
        <v>484</v>
      </c>
      <c r="BG281" t="s">
        <v>485</v>
      </c>
      <c r="BH281" t="s">
        <v>480</v>
      </c>
      <c r="BI281" s="4" t="s">
        <v>486</v>
      </c>
      <c r="BJ281">
        <v>53333</v>
      </c>
      <c r="EG281" s="9"/>
      <c r="EH281" s="9"/>
      <c r="EI281" s="9"/>
      <c r="EJ281" s="9"/>
      <c r="EK281" s="9"/>
      <c r="EL281" s="9"/>
      <c r="EM281" s="9"/>
      <c r="EN281" s="9"/>
      <c r="EO281" s="9"/>
      <c r="EP281" s="9"/>
      <c r="EQ281" s="9"/>
      <c r="ER281" s="9"/>
      <c r="ES281" s="9"/>
      <c r="ET281" s="9"/>
      <c r="EU281" s="9"/>
      <c r="EV281" s="9"/>
      <c r="EW281" s="9"/>
      <c r="EX281" s="9"/>
      <c r="EY281" s="9"/>
      <c r="EZ281" s="9"/>
      <c r="FA281" s="9"/>
      <c r="FB281" s="9"/>
      <c r="FC281" s="9"/>
      <c r="FD281" s="9"/>
      <c r="FE281" s="9"/>
      <c r="FF281" s="9"/>
      <c r="FG281" s="9"/>
      <c r="FH281" s="9"/>
      <c r="FI281" s="9"/>
      <c r="FJ281" s="9"/>
      <c r="FK281" s="9"/>
      <c r="FL281" s="9"/>
      <c r="FM281" s="9"/>
      <c r="FN281" s="9"/>
      <c r="FO281" s="9"/>
      <c r="FP281" s="9"/>
      <c r="FQ281" s="9"/>
      <c r="FR281" s="9"/>
      <c r="FS281" s="9"/>
      <c r="FT281" s="9"/>
      <c r="FU281" s="9"/>
      <c r="FV281" s="9"/>
      <c r="FW281" s="9"/>
      <c r="FX281" s="9"/>
      <c r="FY281" s="9"/>
      <c r="FZ281" s="9"/>
      <c r="GA281" s="9"/>
      <c r="GB281" s="9"/>
      <c r="GC281" s="9"/>
      <c r="GD281" s="9"/>
      <c r="GE281" s="9"/>
      <c r="GF281" s="9"/>
      <c r="GG281" s="9"/>
      <c r="GH281" s="9"/>
      <c r="GI281" s="9"/>
      <c r="GJ281" s="9"/>
      <c r="GK281" s="9"/>
      <c r="GL281" s="9"/>
      <c r="GM281" s="9"/>
      <c r="GN281" s="9"/>
      <c r="GO281" s="9"/>
      <c r="GP281" s="9"/>
      <c r="GQ281" s="9"/>
      <c r="GR281" s="9"/>
      <c r="GS281" s="9"/>
      <c r="GT281" s="9"/>
      <c r="GU281" s="9"/>
      <c r="GV281" s="9"/>
      <c r="GW281" s="9"/>
      <c r="GX281" s="9"/>
      <c r="GY281" s="9"/>
      <c r="GZ281" s="9"/>
      <c r="HA281" s="9"/>
      <c r="HB281" s="9"/>
      <c r="HC281" s="9"/>
      <c r="HD281" s="9"/>
      <c r="HE281" s="9"/>
      <c r="HF281" s="9"/>
      <c r="HG281" s="9"/>
      <c r="HH281" s="9"/>
      <c r="HI281" s="9"/>
      <c r="HJ281" s="9"/>
      <c r="HV281" s="50"/>
      <c r="HW281" s="50"/>
      <c r="IH281" t="s">
        <v>491</v>
      </c>
      <c r="II281" t="s">
        <v>492</v>
      </c>
      <c r="JJ281" t="s">
        <v>906</v>
      </c>
      <c r="JK281" s="75" t="s">
        <v>907</v>
      </c>
      <c r="JL281" s="8" t="s">
        <v>495</v>
      </c>
      <c r="JM281" s="8" t="s">
        <v>908</v>
      </c>
      <c r="JN281" s="4" t="s">
        <v>497</v>
      </c>
      <c r="JO281" t="s">
        <v>909</v>
      </c>
      <c r="MY281" t="s">
        <v>910</v>
      </c>
      <c r="MZ281">
        <v>70</v>
      </c>
      <c r="NA281" t="s">
        <v>911</v>
      </c>
      <c r="NB281" s="4" t="s">
        <v>511</v>
      </c>
      <c r="NJ281" t="s">
        <v>948</v>
      </c>
      <c r="NK281" t="s">
        <v>914</v>
      </c>
      <c r="NL281" s="4" t="s">
        <v>654</v>
      </c>
      <c r="NM281" s="6" t="s">
        <v>508</v>
      </c>
      <c r="NU281" t="s">
        <v>915</v>
      </c>
      <c r="NV281" t="s">
        <v>518</v>
      </c>
      <c r="NW281">
        <v>4812</v>
      </c>
      <c r="NX281" t="s">
        <v>480</v>
      </c>
      <c r="NY281" t="s">
        <v>480</v>
      </c>
      <c r="OB281" s="15">
        <v>3</v>
      </c>
      <c r="OU281" t="s">
        <v>917</v>
      </c>
      <c r="OV281" t="s">
        <v>518</v>
      </c>
      <c r="OX281">
        <v>2015</v>
      </c>
      <c r="OY281">
        <v>2016</v>
      </c>
      <c r="PB281" t="s">
        <v>522</v>
      </c>
      <c r="PC281" s="50">
        <v>46105</v>
      </c>
    </row>
    <row r="282" spans="1:419" ht="15.75" thickBot="1">
      <c r="A282" t="s">
        <v>469</v>
      </c>
      <c r="B282" t="s">
        <v>899</v>
      </c>
      <c r="C282" t="s">
        <v>900</v>
      </c>
      <c r="D282" s="59" t="s">
        <v>472</v>
      </c>
      <c r="E282" t="s">
        <v>901</v>
      </c>
      <c r="F282" s="4" t="s">
        <v>902</v>
      </c>
      <c r="G282" t="s">
        <v>475</v>
      </c>
      <c r="H282" t="s">
        <v>476</v>
      </c>
      <c r="I282">
        <v>7.971944444</v>
      </c>
      <c r="J282">
        <v>38.633055560000003</v>
      </c>
      <c r="K282">
        <v>200</v>
      </c>
      <c r="AV282" t="s">
        <v>903</v>
      </c>
      <c r="AW282">
        <v>420</v>
      </c>
      <c r="AX282">
        <v>2.5</v>
      </c>
      <c r="AY282">
        <v>1</v>
      </c>
      <c r="AZ282" t="s">
        <v>904</v>
      </c>
      <c r="BA282">
        <v>2015</v>
      </c>
      <c r="BB282">
        <v>2016</v>
      </c>
      <c r="BD282" t="s">
        <v>918</v>
      </c>
      <c r="BE282" t="s">
        <v>483</v>
      </c>
      <c r="BF282" s="3" t="s">
        <v>484</v>
      </c>
      <c r="BG282" t="s">
        <v>485</v>
      </c>
      <c r="BH282" t="s">
        <v>480</v>
      </c>
      <c r="BI282" t="s">
        <v>486</v>
      </c>
      <c r="BJ282">
        <v>53333</v>
      </c>
      <c r="EG282" s="9"/>
      <c r="EH282" s="9"/>
      <c r="EI282" s="9"/>
      <c r="EJ282" s="9"/>
      <c r="EK282" s="9"/>
      <c r="EL282" s="9"/>
      <c r="EM282" s="9"/>
      <c r="EN282" s="9"/>
      <c r="EO282" s="9"/>
      <c r="EP282" s="9"/>
      <c r="EQ282" s="9"/>
      <c r="ER282" s="9"/>
      <c r="ES282" s="9"/>
      <c r="ET282" s="9"/>
      <c r="EU282" s="9"/>
      <c r="EV282" s="9"/>
      <c r="EW282" s="9"/>
      <c r="EX282" s="9"/>
      <c r="EY282" s="9"/>
      <c r="EZ282" s="9"/>
      <c r="FA282" s="9"/>
      <c r="FB282" s="9"/>
      <c r="FC282" s="9"/>
      <c r="FD282" s="9"/>
      <c r="FE282" s="9"/>
      <c r="FF282" s="9"/>
      <c r="FG282" s="9"/>
      <c r="FH282" s="9"/>
      <c r="FI282" s="9"/>
      <c r="FJ282" s="9"/>
      <c r="FK282" s="9"/>
      <c r="FL282" s="9"/>
      <c r="FM282" s="9"/>
      <c r="FN282" s="9"/>
      <c r="FO282" s="9"/>
      <c r="FP282" s="9"/>
      <c r="FQ282" s="9"/>
      <c r="FR282" s="9"/>
      <c r="FS282" s="9"/>
      <c r="FT282" s="9"/>
      <c r="FU282" s="9"/>
      <c r="FV282" s="9"/>
      <c r="FW282" s="9"/>
      <c r="FX282" s="9"/>
      <c r="FY282" s="9"/>
      <c r="FZ282" s="9"/>
      <c r="GA282" s="9"/>
      <c r="GB282" s="9"/>
      <c r="GC282" s="9"/>
      <c r="GD282" s="9"/>
      <c r="GE282" s="9"/>
      <c r="GF282" s="9"/>
      <c r="GG282" s="9"/>
      <c r="GH282" s="9"/>
      <c r="GI282" s="9"/>
      <c r="GJ282" s="9"/>
      <c r="GK282" s="9"/>
      <c r="GL282" s="9"/>
      <c r="GM282" s="9"/>
      <c r="GN282" s="9"/>
      <c r="GO282" s="9"/>
      <c r="GP282" s="9"/>
      <c r="GQ282" s="9"/>
      <c r="GR282" s="9"/>
      <c r="GS282" s="9"/>
      <c r="GT282" s="9"/>
      <c r="GU282" s="9"/>
      <c r="GV282" s="9"/>
      <c r="GW282" s="9"/>
      <c r="GX282" s="9"/>
      <c r="GY282" s="9"/>
      <c r="GZ282" s="9"/>
      <c r="HA282" s="9"/>
      <c r="HB282" s="9"/>
      <c r="HC282" s="9"/>
      <c r="HD282" s="9"/>
      <c r="HE282" s="9"/>
      <c r="HF282" s="9"/>
      <c r="HG282" s="9"/>
      <c r="HH282" s="9"/>
      <c r="HI282" s="9"/>
      <c r="HJ282" s="9"/>
      <c r="HV282" s="50"/>
      <c r="HW282" s="50"/>
      <c r="IH282" t="s">
        <v>491</v>
      </c>
      <c r="II282" t="s">
        <v>492</v>
      </c>
      <c r="JJ282" t="s">
        <v>919</v>
      </c>
      <c r="JK282" s="46" t="s">
        <v>920</v>
      </c>
      <c r="JL282" s="8" t="s">
        <v>495</v>
      </c>
      <c r="JM282" s="8" t="s">
        <v>908</v>
      </c>
      <c r="JN282" s="4" t="s">
        <v>497</v>
      </c>
      <c r="JO282" t="s">
        <v>921</v>
      </c>
      <c r="MY282" t="s">
        <v>910</v>
      </c>
      <c r="MZ282">
        <v>70</v>
      </c>
      <c r="NA282" t="s">
        <v>911</v>
      </c>
      <c r="NB282" s="4" t="s">
        <v>511</v>
      </c>
      <c r="NJ282" t="s">
        <v>948</v>
      </c>
      <c r="NK282" t="s">
        <v>914</v>
      </c>
      <c r="NL282" s="4" t="s">
        <v>654</v>
      </c>
      <c r="NM282" s="6" t="s">
        <v>508</v>
      </c>
      <c r="NU282" t="s">
        <v>657</v>
      </c>
      <c r="NV282" t="s">
        <v>518</v>
      </c>
      <c r="NW282">
        <v>7230</v>
      </c>
      <c r="NX282" t="s">
        <v>480</v>
      </c>
      <c r="NY282" t="s">
        <v>480</v>
      </c>
      <c r="OB282" s="15">
        <v>3</v>
      </c>
      <c r="OU282" t="s">
        <v>917</v>
      </c>
      <c r="OV282" t="s">
        <v>518</v>
      </c>
      <c r="OX282">
        <v>2015</v>
      </c>
      <c r="OY282">
        <v>2016</v>
      </c>
      <c r="PB282" t="s">
        <v>522</v>
      </c>
      <c r="PC282" s="50">
        <v>46105</v>
      </c>
    </row>
    <row r="283" spans="1:419" ht="15.75" thickBot="1">
      <c r="A283" t="s">
        <v>469</v>
      </c>
      <c r="B283" t="s">
        <v>899</v>
      </c>
      <c r="C283" t="s">
        <v>900</v>
      </c>
      <c r="D283" s="59" t="s">
        <v>472</v>
      </c>
      <c r="E283" t="s">
        <v>901</v>
      </c>
      <c r="F283" s="4" t="s">
        <v>902</v>
      </c>
      <c r="G283" t="s">
        <v>475</v>
      </c>
      <c r="H283" t="s">
        <v>476</v>
      </c>
      <c r="I283">
        <v>7.971944444</v>
      </c>
      <c r="J283">
        <v>38.633055560000003</v>
      </c>
      <c r="K283">
        <v>200</v>
      </c>
      <c r="AV283" t="s">
        <v>903</v>
      </c>
      <c r="AW283">
        <v>420</v>
      </c>
      <c r="AX283">
        <v>2.5</v>
      </c>
      <c r="AY283">
        <v>1</v>
      </c>
      <c r="AZ283" t="s">
        <v>904</v>
      </c>
      <c r="BA283">
        <v>2015</v>
      </c>
      <c r="BB283">
        <v>2016</v>
      </c>
      <c r="BD283" t="s">
        <v>922</v>
      </c>
      <c r="BE283" t="s">
        <v>593</v>
      </c>
      <c r="BF283" s="3" t="s">
        <v>484</v>
      </c>
      <c r="BG283" t="s">
        <v>485</v>
      </c>
      <c r="BH283" t="s">
        <v>480</v>
      </c>
      <c r="BI283" t="s">
        <v>486</v>
      </c>
      <c r="BJ283">
        <v>53333</v>
      </c>
      <c r="EG283" s="9"/>
      <c r="EH283" s="9"/>
      <c r="EI283" s="9"/>
      <c r="EJ283" s="9"/>
      <c r="EK283" s="9"/>
      <c r="EL283" s="9"/>
      <c r="EM283" s="9"/>
      <c r="EN283" s="9"/>
      <c r="EO283" s="9"/>
      <c r="EP283" s="9"/>
      <c r="EQ283" s="9"/>
      <c r="ER283" s="9"/>
      <c r="ES283" s="9"/>
      <c r="ET283" s="9"/>
      <c r="EU283" s="9"/>
      <c r="EV283" s="9"/>
      <c r="EW283" s="9"/>
      <c r="EX283" s="9"/>
      <c r="EY283" s="9"/>
      <c r="EZ283" s="9"/>
      <c r="FA283" s="9"/>
      <c r="FB283" s="9"/>
      <c r="FC283" s="9"/>
      <c r="FD283" s="9"/>
      <c r="FE283" s="9"/>
      <c r="FF283" s="9"/>
      <c r="FG283" s="9"/>
      <c r="FH283" s="9"/>
      <c r="FI283" s="9"/>
      <c r="FJ283" s="9"/>
      <c r="FK283" s="9"/>
      <c r="FL283" s="9"/>
      <c r="FM283" s="9"/>
      <c r="FN283" s="9"/>
      <c r="FO283" s="9"/>
      <c r="FP283" s="9"/>
      <c r="FQ283" s="9"/>
      <c r="FR283" s="9"/>
      <c r="FS283" s="9"/>
      <c r="FT283" s="9"/>
      <c r="FU283" s="9"/>
      <c r="FV283" s="9"/>
      <c r="FW283" s="9"/>
      <c r="FX283" s="9"/>
      <c r="FY283" s="9"/>
      <c r="FZ283" s="9"/>
      <c r="GA283" s="9"/>
      <c r="GB283" s="9"/>
      <c r="GC283" s="9"/>
      <c r="GD283" s="9"/>
      <c r="GE283" s="9"/>
      <c r="GF283" s="9"/>
      <c r="GG283" s="9"/>
      <c r="GH283" s="9"/>
      <c r="GI283" s="9"/>
      <c r="GJ283" s="9"/>
      <c r="GK283" s="9"/>
      <c r="GL283" s="9"/>
      <c r="GM283" s="9"/>
      <c r="GN283" s="9"/>
      <c r="GO283" s="9"/>
      <c r="GP283" s="9"/>
      <c r="GQ283" s="9"/>
      <c r="GR283" s="9"/>
      <c r="GS283" s="9"/>
      <c r="GT283" s="9"/>
      <c r="GU283" s="9"/>
      <c r="GV283" s="9"/>
      <c r="GW283" s="9"/>
      <c r="GX283" s="9"/>
      <c r="GY283" s="9"/>
      <c r="GZ283" s="9"/>
      <c r="HA283" s="9"/>
      <c r="HB283" s="9"/>
      <c r="HC283" s="9"/>
      <c r="HD283" s="9"/>
      <c r="HE283" s="9"/>
      <c r="HF283" s="9"/>
      <c r="HG283" s="9"/>
      <c r="HH283" s="9"/>
      <c r="HI283" s="9"/>
      <c r="HJ283" s="9"/>
      <c r="HQ283" t="s">
        <v>923</v>
      </c>
      <c r="HV283" s="50"/>
      <c r="HW283" s="50"/>
      <c r="IH283" t="s">
        <v>491</v>
      </c>
      <c r="II283" t="s">
        <v>492</v>
      </c>
      <c r="JJ283" t="s">
        <v>924</v>
      </c>
      <c r="JK283" s="75" t="s">
        <v>907</v>
      </c>
      <c r="JL283" t="s">
        <v>495</v>
      </c>
      <c r="JM283" t="s">
        <v>908</v>
      </c>
      <c r="JN283" s="4" t="s">
        <v>497</v>
      </c>
      <c r="JO283" t="s">
        <v>909</v>
      </c>
      <c r="KV283" t="s">
        <v>925</v>
      </c>
      <c r="MY283" t="s">
        <v>910</v>
      </c>
      <c r="MZ283">
        <v>70</v>
      </c>
      <c r="NA283" t="s">
        <v>911</v>
      </c>
      <c r="NB283" s="4" t="s">
        <v>511</v>
      </c>
      <c r="NJ283" t="s">
        <v>948</v>
      </c>
      <c r="NK283" t="s">
        <v>914</v>
      </c>
      <c r="NL283" s="4" t="s">
        <v>654</v>
      </c>
      <c r="NM283" s="6" t="s">
        <v>508</v>
      </c>
      <c r="NU283" t="s">
        <v>915</v>
      </c>
      <c r="NV283" t="s">
        <v>518</v>
      </c>
      <c r="NW283">
        <v>5846</v>
      </c>
      <c r="NX283" t="s">
        <v>480</v>
      </c>
      <c r="NY283" t="s">
        <v>480</v>
      </c>
      <c r="OB283" s="15">
        <v>3</v>
      </c>
      <c r="OU283" t="s">
        <v>917</v>
      </c>
      <c r="OV283" t="s">
        <v>518</v>
      </c>
      <c r="OX283">
        <v>2015</v>
      </c>
      <c r="OY283">
        <v>2016</v>
      </c>
      <c r="PB283" t="s">
        <v>522</v>
      </c>
      <c r="PC283" s="50">
        <v>46105</v>
      </c>
    </row>
    <row r="284" spans="1:419" ht="15.75" thickBot="1">
      <c r="A284" t="s">
        <v>469</v>
      </c>
      <c r="B284" t="s">
        <v>899</v>
      </c>
      <c r="C284" t="s">
        <v>900</v>
      </c>
      <c r="D284" s="59" t="s">
        <v>472</v>
      </c>
      <c r="E284" t="s">
        <v>901</v>
      </c>
      <c r="F284" s="4" t="s">
        <v>902</v>
      </c>
      <c r="G284" t="s">
        <v>475</v>
      </c>
      <c r="H284" t="s">
        <v>476</v>
      </c>
      <c r="I284">
        <v>7.971944444</v>
      </c>
      <c r="J284">
        <v>38.633055560000003</v>
      </c>
      <c r="K284">
        <v>200</v>
      </c>
      <c r="AV284" t="s">
        <v>903</v>
      </c>
      <c r="AW284">
        <v>420</v>
      </c>
      <c r="AX284">
        <v>2.5</v>
      </c>
      <c r="AY284">
        <v>1</v>
      </c>
      <c r="AZ284" t="s">
        <v>904</v>
      </c>
      <c r="BA284">
        <v>2015</v>
      </c>
      <c r="BB284">
        <v>2016</v>
      </c>
      <c r="BD284" t="s">
        <v>926</v>
      </c>
      <c r="BE284" t="s">
        <v>536</v>
      </c>
      <c r="BF284" s="3" t="s">
        <v>484</v>
      </c>
      <c r="BG284" t="s">
        <v>485</v>
      </c>
      <c r="BH284" t="s">
        <v>480</v>
      </c>
      <c r="BI284" t="s">
        <v>486</v>
      </c>
      <c r="BJ284">
        <v>53333</v>
      </c>
      <c r="BK284" t="s">
        <v>537</v>
      </c>
      <c r="BL284" t="s">
        <v>927</v>
      </c>
      <c r="BM284" t="s">
        <v>480</v>
      </c>
      <c r="BN284" t="s">
        <v>486</v>
      </c>
      <c r="BO284">
        <v>266666</v>
      </c>
      <c r="EG284" s="9"/>
      <c r="EH284" s="9"/>
      <c r="EI284" s="9"/>
      <c r="EJ284" s="9"/>
      <c r="EK284" s="9"/>
      <c r="EL284" s="9"/>
      <c r="EM284" s="9"/>
      <c r="EN284" s="9"/>
      <c r="EO284" s="9"/>
      <c r="EP284" s="9"/>
      <c r="EQ284" s="9"/>
      <c r="ER284" s="9"/>
      <c r="ES284" s="9"/>
      <c r="ET284" s="9"/>
      <c r="EU284" s="9"/>
      <c r="EV284" s="9"/>
      <c r="EW284" s="9"/>
      <c r="EX284" s="9"/>
      <c r="EY284" s="9"/>
      <c r="EZ284" s="9"/>
      <c r="FA284" s="9"/>
      <c r="FB284" s="9"/>
      <c r="FC284" s="9"/>
      <c r="FD284" s="9"/>
      <c r="FE284" s="9"/>
      <c r="FF284" s="9"/>
      <c r="FG284" s="9"/>
      <c r="FH284" s="9"/>
      <c r="FI284" s="9"/>
      <c r="FJ284" s="9"/>
      <c r="FK284" s="9"/>
      <c r="FL284" s="9"/>
      <c r="FM284" s="9"/>
      <c r="FN284" s="9"/>
      <c r="FO284" s="9"/>
      <c r="FP284" s="9"/>
      <c r="FQ284" s="9"/>
      <c r="FR284" s="9"/>
      <c r="FS284" s="9"/>
      <c r="FT284" s="9"/>
      <c r="FU284" s="9"/>
      <c r="FV284" s="9"/>
      <c r="FW284" s="9"/>
      <c r="FX284" s="9"/>
      <c r="FY284" s="9"/>
      <c r="FZ284" s="9"/>
      <c r="GA284" s="9"/>
      <c r="GB284" s="9"/>
      <c r="GC284" s="9"/>
      <c r="GD284" s="9"/>
      <c r="GE284" s="9"/>
      <c r="GF284" s="9"/>
      <c r="GG284" s="9"/>
      <c r="GH284" s="9"/>
      <c r="GI284" s="9"/>
      <c r="GJ284" s="9"/>
      <c r="GK284" s="9"/>
      <c r="GL284" s="9"/>
      <c r="GM284" s="9"/>
      <c r="GN284" s="9"/>
      <c r="GO284" s="9"/>
      <c r="GP284" s="9"/>
      <c r="GQ284" s="9"/>
      <c r="GR284" s="9"/>
      <c r="GS284" s="9"/>
      <c r="GT284" s="9"/>
      <c r="GU284" s="9"/>
      <c r="GV284" s="9"/>
      <c r="GW284" s="9"/>
      <c r="GX284" s="9"/>
      <c r="GY284" s="9"/>
      <c r="GZ284" s="9"/>
      <c r="HA284" s="9"/>
      <c r="HB284" s="9"/>
      <c r="HC284" s="9"/>
      <c r="HD284" s="9"/>
      <c r="HE284" s="9"/>
      <c r="HF284" s="9"/>
      <c r="HG284" s="9"/>
      <c r="HH284" s="9"/>
      <c r="HI284" s="9"/>
      <c r="HJ284" s="9"/>
      <c r="HV284" s="50"/>
      <c r="HW284" s="50"/>
      <c r="IH284" t="s">
        <v>928</v>
      </c>
      <c r="II284" s="75" t="s">
        <v>929</v>
      </c>
      <c r="IJ284" t="s">
        <v>542</v>
      </c>
      <c r="IK284" t="s">
        <v>543</v>
      </c>
      <c r="IL284" t="s">
        <v>480</v>
      </c>
      <c r="IM284" t="s">
        <v>480</v>
      </c>
      <c r="IN284" t="s">
        <v>480</v>
      </c>
      <c r="JJ284" t="s">
        <v>930</v>
      </c>
      <c r="JK284" t="s">
        <v>920</v>
      </c>
      <c r="JL284" t="s">
        <v>495</v>
      </c>
      <c r="JM284" t="s">
        <v>908</v>
      </c>
      <c r="JN284" s="4" t="s">
        <v>497</v>
      </c>
      <c r="JO284" t="s">
        <v>921</v>
      </c>
      <c r="MY284" t="s">
        <v>910</v>
      </c>
      <c r="MZ284">
        <v>70</v>
      </c>
      <c r="NA284" t="s">
        <v>911</v>
      </c>
      <c r="NB284" s="4" t="s">
        <v>511</v>
      </c>
      <c r="NJ284" t="s">
        <v>948</v>
      </c>
      <c r="NK284" t="s">
        <v>914</v>
      </c>
      <c r="NL284" s="4" t="s">
        <v>654</v>
      </c>
      <c r="NM284" s="6" t="s">
        <v>508</v>
      </c>
      <c r="NV284" t="s">
        <v>518</v>
      </c>
      <c r="NW284">
        <v>6439</v>
      </c>
      <c r="NX284" t="s">
        <v>480</v>
      </c>
      <c r="NY284" t="s">
        <v>480</v>
      </c>
      <c r="OB284" s="15">
        <v>3</v>
      </c>
      <c r="OU284" t="s">
        <v>917</v>
      </c>
      <c r="OV284" t="s">
        <v>518</v>
      </c>
      <c r="OX284">
        <v>2015</v>
      </c>
      <c r="OY284">
        <v>2016</v>
      </c>
      <c r="PB284" t="s">
        <v>522</v>
      </c>
      <c r="PC284" s="50">
        <v>46105</v>
      </c>
    </row>
    <row r="285" spans="1:419" ht="15.75" thickBot="1">
      <c r="A285" t="s">
        <v>469</v>
      </c>
      <c r="B285" t="s">
        <v>899</v>
      </c>
      <c r="C285" t="s">
        <v>900</v>
      </c>
      <c r="D285" s="59" t="s">
        <v>472</v>
      </c>
      <c r="E285" t="s">
        <v>901</v>
      </c>
      <c r="F285" s="4" t="s">
        <v>902</v>
      </c>
      <c r="G285" t="s">
        <v>475</v>
      </c>
      <c r="H285" t="s">
        <v>476</v>
      </c>
      <c r="I285">
        <v>7.971944444</v>
      </c>
      <c r="J285">
        <v>38.633055560000003</v>
      </c>
      <c r="K285">
        <v>200</v>
      </c>
      <c r="AV285" t="s">
        <v>903</v>
      </c>
      <c r="AW285">
        <v>420</v>
      </c>
      <c r="AX285">
        <v>2.5</v>
      </c>
      <c r="AY285">
        <v>1</v>
      </c>
      <c r="AZ285" t="s">
        <v>904</v>
      </c>
      <c r="BA285">
        <v>2015</v>
      </c>
      <c r="BB285">
        <v>2016</v>
      </c>
      <c r="BD285" t="s">
        <v>931</v>
      </c>
      <c r="BE285" t="s">
        <v>566</v>
      </c>
      <c r="BF285" s="3" t="s">
        <v>484</v>
      </c>
      <c r="BG285" t="s">
        <v>485</v>
      </c>
      <c r="BH285" t="s">
        <v>480</v>
      </c>
      <c r="BI285" t="s">
        <v>486</v>
      </c>
      <c r="BJ285">
        <v>53333</v>
      </c>
      <c r="BK285" t="s">
        <v>537</v>
      </c>
      <c r="BL285" t="s">
        <v>932</v>
      </c>
      <c r="BM285" t="s">
        <v>480</v>
      </c>
      <c r="BN285" t="s">
        <v>486</v>
      </c>
      <c r="BO285">
        <v>66666</v>
      </c>
      <c r="EG285" s="9"/>
      <c r="EH285" s="9"/>
      <c r="EI285" s="9"/>
      <c r="EJ285" s="9"/>
      <c r="EK285" s="9"/>
      <c r="EL285" s="9"/>
      <c r="EM285" s="9"/>
      <c r="EN285" s="9"/>
      <c r="EO285" s="9"/>
      <c r="EP285" s="9"/>
      <c r="EQ285" s="9"/>
      <c r="ER285" s="9"/>
      <c r="ES285" s="9"/>
      <c r="ET285" s="9"/>
      <c r="EU285" s="9"/>
      <c r="EV285" s="9"/>
      <c r="EW285" s="9"/>
      <c r="EX285" s="9"/>
      <c r="EY285" s="9"/>
      <c r="EZ285" s="9"/>
      <c r="FA285" s="9"/>
      <c r="FB285" s="9"/>
      <c r="FC285" s="9"/>
      <c r="FD285" s="9"/>
      <c r="FE285" s="9"/>
      <c r="FF285" s="9"/>
      <c r="FG285" s="9"/>
      <c r="FH285" s="9"/>
      <c r="FI285" s="9"/>
      <c r="FJ285" s="9"/>
      <c r="FK285" s="9"/>
      <c r="FL285" s="9"/>
      <c r="FM285" s="9"/>
      <c r="FN285" s="9"/>
      <c r="FO285" s="9"/>
      <c r="FP285" s="9"/>
      <c r="FQ285" s="9"/>
      <c r="FR285" s="9"/>
      <c r="FS285" s="9"/>
      <c r="FT285" s="9"/>
      <c r="FU285" s="9"/>
      <c r="FV285" s="9"/>
      <c r="FW285" s="9"/>
      <c r="FX285" s="9"/>
      <c r="FY285" s="9"/>
      <c r="FZ285" s="9"/>
      <c r="GA285" s="9"/>
      <c r="GB285" s="9"/>
      <c r="GC285" s="9"/>
      <c r="GD285" s="9"/>
      <c r="GE285" s="9"/>
      <c r="GF285" s="9"/>
      <c r="GG285" s="9"/>
      <c r="GH285" s="9"/>
      <c r="GI285" s="9"/>
      <c r="GJ285" s="9"/>
      <c r="GK285" s="9"/>
      <c r="GL285" s="9"/>
      <c r="GM285" s="9"/>
      <c r="GN285" s="9"/>
      <c r="GO285" s="9"/>
      <c r="GP285" s="9"/>
      <c r="GQ285" s="9"/>
      <c r="GR285" s="9"/>
      <c r="GS285" s="9"/>
      <c r="GT285" s="9"/>
      <c r="GU285" s="9"/>
      <c r="GV285" s="9"/>
      <c r="GW285" s="9"/>
      <c r="GX285" s="9"/>
      <c r="GY285" s="9"/>
      <c r="GZ285" s="9"/>
      <c r="HA285" s="9"/>
      <c r="HB285" s="9"/>
      <c r="HC285" s="9"/>
      <c r="HD285" s="9"/>
      <c r="HE285" s="9"/>
      <c r="HF285" s="9"/>
      <c r="HG285" s="9"/>
      <c r="HH285" s="9"/>
      <c r="HI285" s="9"/>
      <c r="HJ285" s="9"/>
      <c r="HV285" s="50"/>
      <c r="HW285" s="50"/>
      <c r="IH285" t="s">
        <v>933</v>
      </c>
      <c r="II285" s="75" t="s">
        <v>929</v>
      </c>
      <c r="IJ285" t="s">
        <v>542</v>
      </c>
      <c r="IK285" t="s">
        <v>543</v>
      </c>
      <c r="IL285" t="s">
        <v>480</v>
      </c>
      <c r="IM285" t="s">
        <v>480</v>
      </c>
      <c r="IN285" t="s">
        <v>480</v>
      </c>
      <c r="JJ285" t="s">
        <v>934</v>
      </c>
      <c r="JK285" t="s">
        <v>920</v>
      </c>
      <c r="JL285" t="s">
        <v>495</v>
      </c>
      <c r="JM285" t="s">
        <v>908</v>
      </c>
      <c r="JN285" s="4" t="s">
        <v>497</v>
      </c>
      <c r="JO285" t="s">
        <v>921</v>
      </c>
      <c r="MY285" t="s">
        <v>910</v>
      </c>
      <c r="MZ285">
        <v>70</v>
      </c>
      <c r="NA285" t="s">
        <v>911</v>
      </c>
      <c r="NB285" s="4" t="s">
        <v>511</v>
      </c>
      <c r="NJ285" t="s">
        <v>948</v>
      </c>
      <c r="NK285" t="s">
        <v>914</v>
      </c>
      <c r="NL285" s="4" t="s">
        <v>654</v>
      </c>
      <c r="NM285" s="6" t="s">
        <v>508</v>
      </c>
      <c r="NV285" t="s">
        <v>518</v>
      </c>
      <c r="NW285">
        <v>5914</v>
      </c>
      <c r="NX285" t="s">
        <v>480</v>
      </c>
      <c r="NY285" t="s">
        <v>480</v>
      </c>
      <c r="OB285" s="15">
        <v>3</v>
      </c>
      <c r="OU285" t="s">
        <v>917</v>
      </c>
      <c r="OV285" t="s">
        <v>518</v>
      </c>
      <c r="OX285">
        <v>2015</v>
      </c>
      <c r="OY285">
        <v>2016</v>
      </c>
      <c r="PB285" t="s">
        <v>522</v>
      </c>
      <c r="PC285" s="50">
        <v>46105</v>
      </c>
    </row>
    <row r="286" spans="1:419" ht="15.75" thickBot="1">
      <c r="A286" t="s">
        <v>469</v>
      </c>
      <c r="B286" t="s">
        <v>899</v>
      </c>
      <c r="C286" t="s">
        <v>900</v>
      </c>
      <c r="D286" s="59" t="s">
        <v>472</v>
      </c>
      <c r="E286" t="s">
        <v>901</v>
      </c>
      <c r="F286" s="4" t="s">
        <v>902</v>
      </c>
      <c r="G286" t="s">
        <v>475</v>
      </c>
      <c r="H286" t="s">
        <v>476</v>
      </c>
      <c r="I286">
        <v>7.971944444</v>
      </c>
      <c r="J286">
        <v>38.633055560000003</v>
      </c>
      <c r="K286">
        <v>200</v>
      </c>
      <c r="AV286" t="s">
        <v>903</v>
      </c>
      <c r="AW286">
        <v>420</v>
      </c>
      <c r="AX286">
        <v>2.5</v>
      </c>
      <c r="AY286">
        <v>1</v>
      </c>
      <c r="AZ286" t="s">
        <v>904</v>
      </c>
      <c r="BA286">
        <v>2015</v>
      </c>
      <c r="BB286">
        <v>2016</v>
      </c>
      <c r="BD286" t="s">
        <v>936</v>
      </c>
      <c r="BE286" t="s">
        <v>602</v>
      </c>
      <c r="BF286" s="3" t="s">
        <v>484</v>
      </c>
      <c r="BG286" t="s">
        <v>485</v>
      </c>
      <c r="BH286" t="s">
        <v>480</v>
      </c>
      <c r="BI286" t="s">
        <v>486</v>
      </c>
      <c r="BJ286">
        <v>53333</v>
      </c>
      <c r="EG286" s="9"/>
      <c r="EH286" s="9"/>
      <c r="EI286" s="9"/>
      <c r="EJ286" s="9"/>
      <c r="EK286" s="9"/>
      <c r="EL286" s="9"/>
      <c r="EM286" s="9"/>
      <c r="EN286" s="9"/>
      <c r="EO286" s="9"/>
      <c r="EP286" s="9"/>
      <c r="EQ286" s="9"/>
      <c r="ER286" s="9"/>
      <c r="ES286" s="9"/>
      <c r="ET286" s="9"/>
      <c r="EU286" s="9"/>
      <c r="EV286" s="9"/>
      <c r="EW286" s="9"/>
      <c r="EX286" s="9"/>
      <c r="EY286" s="9"/>
      <c r="EZ286" s="9"/>
      <c r="FA286" s="9"/>
      <c r="FB286" s="9"/>
      <c r="FC286" s="9"/>
      <c r="FD286" s="9"/>
      <c r="FE286" s="9"/>
      <c r="FF286" s="9"/>
      <c r="FG286" s="9"/>
      <c r="FH286" s="9"/>
      <c r="FI286" s="9"/>
      <c r="FJ286" s="9"/>
      <c r="FK286" s="9"/>
      <c r="FL286" s="9"/>
      <c r="FM286" s="9"/>
      <c r="FN286" s="9"/>
      <c r="FO286" s="9"/>
      <c r="FP286" s="9"/>
      <c r="FQ286" s="9"/>
      <c r="FR286" s="9"/>
      <c r="FS286" s="9"/>
      <c r="FT286" s="9"/>
      <c r="FU286" s="9"/>
      <c r="FV286" s="9"/>
      <c r="FW286" s="9"/>
      <c r="FX286" s="9"/>
      <c r="FY286" s="9"/>
      <c r="FZ286" s="9"/>
      <c r="GA286" s="9"/>
      <c r="GB286" s="9"/>
      <c r="GC286" s="9"/>
      <c r="GD286" s="9"/>
      <c r="GE286" s="9"/>
      <c r="GF286" s="9"/>
      <c r="GG286" s="9"/>
      <c r="GH286" s="9"/>
      <c r="GI286" s="9"/>
      <c r="GJ286" s="9"/>
      <c r="GK286" s="9"/>
      <c r="GL286" s="9"/>
      <c r="GM286" s="9"/>
      <c r="GN286" s="9"/>
      <c r="GO286" s="9"/>
      <c r="GP286" s="9"/>
      <c r="GQ286" s="9"/>
      <c r="GR286" s="9"/>
      <c r="GS286" s="9"/>
      <c r="GT286" s="9"/>
      <c r="GU286" s="9"/>
      <c r="GV286" s="9"/>
      <c r="GW286" s="9"/>
      <c r="GX286" s="9"/>
      <c r="GY286" s="9"/>
      <c r="GZ286" s="9"/>
      <c r="HA286" s="9"/>
      <c r="HB286" s="9"/>
      <c r="HC286" s="9"/>
      <c r="HD286" s="9"/>
      <c r="HE286" s="9"/>
      <c r="HF286" s="9"/>
      <c r="HG286" s="9"/>
      <c r="HH286" s="9"/>
      <c r="HI286" s="9"/>
      <c r="HJ286" s="9"/>
      <c r="HQ286" t="s">
        <v>923</v>
      </c>
      <c r="HV286" s="50"/>
      <c r="HW286" s="50"/>
      <c r="IH286" t="s">
        <v>491</v>
      </c>
      <c r="II286" t="s">
        <v>492</v>
      </c>
      <c r="JJ286" t="s">
        <v>937</v>
      </c>
      <c r="JK286" t="s">
        <v>920</v>
      </c>
      <c r="JL286" t="s">
        <v>495</v>
      </c>
      <c r="JM286" t="s">
        <v>908</v>
      </c>
      <c r="JN286" s="4" t="s">
        <v>497</v>
      </c>
      <c r="JO286" t="s">
        <v>921</v>
      </c>
      <c r="MY286" t="s">
        <v>910</v>
      </c>
      <c r="MZ286">
        <v>70</v>
      </c>
      <c r="NA286" t="s">
        <v>911</v>
      </c>
      <c r="NB286" s="4" t="s">
        <v>511</v>
      </c>
      <c r="NJ286" t="s">
        <v>948</v>
      </c>
      <c r="NK286" t="s">
        <v>914</v>
      </c>
      <c r="NL286" s="4" t="s">
        <v>654</v>
      </c>
      <c r="NM286" s="6" t="s">
        <v>508</v>
      </c>
      <c r="NU286" t="s">
        <v>657</v>
      </c>
      <c r="NV286" t="s">
        <v>518</v>
      </c>
      <c r="NW286">
        <v>8296</v>
      </c>
      <c r="NX286" t="s">
        <v>480</v>
      </c>
      <c r="NY286" t="s">
        <v>480</v>
      </c>
      <c r="OB286" s="15">
        <v>3</v>
      </c>
      <c r="OU286" t="s">
        <v>917</v>
      </c>
      <c r="OV286" t="s">
        <v>518</v>
      </c>
      <c r="OX286">
        <v>2015</v>
      </c>
      <c r="OY286">
        <v>2016</v>
      </c>
      <c r="PB286" t="s">
        <v>522</v>
      </c>
      <c r="PC286" s="50">
        <v>46105</v>
      </c>
    </row>
    <row r="287" spans="1:419" ht="15.75" thickBot="1">
      <c r="A287" t="s">
        <v>469</v>
      </c>
      <c r="B287" t="s">
        <v>899</v>
      </c>
      <c r="C287" t="s">
        <v>900</v>
      </c>
      <c r="D287" s="59" t="s">
        <v>472</v>
      </c>
      <c r="E287" t="s">
        <v>938</v>
      </c>
      <c r="F287" s="4" t="s">
        <v>902</v>
      </c>
      <c r="G287" t="s">
        <v>475</v>
      </c>
      <c r="H287" t="s">
        <v>476</v>
      </c>
      <c r="I287">
        <v>7.306944444</v>
      </c>
      <c r="J287">
        <v>38.012222219999998</v>
      </c>
      <c r="K287">
        <v>600</v>
      </c>
      <c r="AV287" t="s">
        <v>903</v>
      </c>
      <c r="AW287">
        <v>420</v>
      </c>
      <c r="AX287">
        <v>1.5</v>
      </c>
      <c r="AY287">
        <v>1</v>
      </c>
      <c r="AZ287" t="s">
        <v>904</v>
      </c>
      <c r="BA287">
        <v>2015</v>
      </c>
      <c r="BB287">
        <v>2016</v>
      </c>
      <c r="BD287" t="s">
        <v>905</v>
      </c>
      <c r="BE287" t="s">
        <v>524</v>
      </c>
      <c r="BF287" s="3" t="s">
        <v>484</v>
      </c>
      <c r="BG287" t="s">
        <v>485</v>
      </c>
      <c r="BH287" t="s">
        <v>480</v>
      </c>
      <c r="BI287" s="4" t="s">
        <v>486</v>
      </c>
      <c r="BJ287">
        <v>53333</v>
      </c>
      <c r="EG287" s="9"/>
      <c r="EH287" s="9"/>
      <c r="EI287" s="9"/>
      <c r="EJ287" s="9"/>
      <c r="EK287" s="9"/>
      <c r="EL287" s="9"/>
      <c r="EM287" s="9"/>
      <c r="EN287" s="9"/>
      <c r="EO287" s="9"/>
      <c r="EP287" s="9"/>
      <c r="EQ287" s="9"/>
      <c r="ER287" s="9"/>
      <c r="ES287" s="9"/>
      <c r="ET287" s="9"/>
      <c r="EU287" s="9"/>
      <c r="EV287" s="9"/>
      <c r="EW287" s="9"/>
      <c r="EX287" s="9"/>
      <c r="EY287" s="9"/>
      <c r="EZ287" s="9"/>
      <c r="FA287" s="9"/>
      <c r="FB287" s="9"/>
      <c r="FC287" s="9"/>
      <c r="FD287" s="9"/>
      <c r="FE287" s="9"/>
      <c r="FF287" s="9"/>
      <c r="FG287" s="9"/>
      <c r="FH287" s="9"/>
      <c r="FI287" s="9"/>
      <c r="FJ287" s="9"/>
      <c r="FK287" s="9"/>
      <c r="FL287" s="9"/>
      <c r="FM287" s="9"/>
      <c r="FN287" s="9"/>
      <c r="FO287" s="9"/>
      <c r="FP287" s="9"/>
      <c r="FQ287" s="9"/>
      <c r="FR287" s="9"/>
      <c r="FS287" s="9"/>
      <c r="FT287" s="9"/>
      <c r="FU287" s="9"/>
      <c r="FV287" s="9"/>
      <c r="FW287" s="9"/>
      <c r="FX287" s="9"/>
      <c r="FY287" s="9"/>
      <c r="FZ287" s="9"/>
      <c r="GA287" s="9"/>
      <c r="GB287" s="9"/>
      <c r="GC287" s="9"/>
      <c r="GD287" s="9"/>
      <c r="GE287" s="9"/>
      <c r="GF287" s="9"/>
      <c r="GG287" s="9"/>
      <c r="GH287" s="9"/>
      <c r="GI287" s="9"/>
      <c r="GJ287" s="9"/>
      <c r="GK287" s="9"/>
      <c r="GL287" s="9"/>
      <c r="GM287" s="9"/>
      <c r="GN287" s="9"/>
      <c r="GO287" s="9"/>
      <c r="GP287" s="9"/>
      <c r="GQ287" s="9"/>
      <c r="GR287" s="9"/>
      <c r="GS287" s="9"/>
      <c r="GT287" s="9"/>
      <c r="GU287" s="9"/>
      <c r="GV287" s="9"/>
      <c r="GW287" s="9"/>
      <c r="GX287" s="9"/>
      <c r="GY287" s="9"/>
      <c r="GZ287" s="9"/>
      <c r="HA287" s="9"/>
      <c r="HB287" s="9"/>
      <c r="HC287" s="9"/>
      <c r="HD287" s="9"/>
      <c r="HE287" s="9"/>
      <c r="HF287" s="9"/>
      <c r="HG287" s="9"/>
      <c r="HH287" s="9"/>
      <c r="HI287" s="9"/>
      <c r="HJ287" s="9"/>
      <c r="HV287" s="50"/>
      <c r="HW287" s="50"/>
      <c r="IH287" t="s">
        <v>491</v>
      </c>
      <c r="II287" t="s">
        <v>492</v>
      </c>
      <c r="JJ287" t="s">
        <v>906</v>
      </c>
      <c r="JK287" s="75" t="s">
        <v>907</v>
      </c>
      <c r="JL287" s="8" t="s">
        <v>495</v>
      </c>
      <c r="JM287" s="8" t="s">
        <v>908</v>
      </c>
      <c r="JN287" s="4" t="s">
        <v>497</v>
      </c>
      <c r="JO287" t="s">
        <v>909</v>
      </c>
      <c r="MY287" t="s">
        <v>910</v>
      </c>
      <c r="MZ287">
        <v>70</v>
      </c>
      <c r="NA287" t="s">
        <v>911</v>
      </c>
      <c r="NB287" t="s">
        <v>548</v>
      </c>
      <c r="NC287" s="4"/>
      <c r="NJ287" t="s">
        <v>948</v>
      </c>
      <c r="NK287" t="s">
        <v>914</v>
      </c>
      <c r="NL287" s="78" t="s">
        <v>660</v>
      </c>
      <c r="NM287" s="6" t="s">
        <v>508</v>
      </c>
      <c r="NU287" t="s">
        <v>915</v>
      </c>
      <c r="NV287" t="s">
        <v>518</v>
      </c>
      <c r="NW287">
        <v>4034</v>
      </c>
      <c r="NX287" t="s">
        <v>480</v>
      </c>
      <c r="NY287" t="s">
        <v>480</v>
      </c>
      <c r="OB287" s="15">
        <v>3</v>
      </c>
      <c r="OU287" t="s">
        <v>939</v>
      </c>
      <c r="OV287" t="s">
        <v>518</v>
      </c>
      <c r="OX287">
        <v>2015</v>
      </c>
      <c r="OY287">
        <v>2016</v>
      </c>
      <c r="PB287" t="s">
        <v>522</v>
      </c>
      <c r="PC287" s="50">
        <v>46105</v>
      </c>
    </row>
    <row r="288" spans="1:419" ht="15.75" thickBot="1">
      <c r="A288" t="s">
        <v>469</v>
      </c>
      <c r="B288" t="s">
        <v>899</v>
      </c>
      <c r="C288" t="s">
        <v>900</v>
      </c>
      <c r="D288" s="59" t="s">
        <v>472</v>
      </c>
      <c r="E288" t="s">
        <v>938</v>
      </c>
      <c r="F288" s="4" t="s">
        <v>902</v>
      </c>
      <c r="G288" t="s">
        <v>475</v>
      </c>
      <c r="H288" t="s">
        <v>476</v>
      </c>
      <c r="I288">
        <v>7.306944444</v>
      </c>
      <c r="J288">
        <v>38.012222219999998</v>
      </c>
      <c r="K288">
        <v>600</v>
      </c>
      <c r="AV288" t="s">
        <v>903</v>
      </c>
      <c r="AW288">
        <v>420</v>
      </c>
      <c r="AX288">
        <v>1.5</v>
      </c>
      <c r="AY288">
        <v>1</v>
      </c>
      <c r="AZ288" t="s">
        <v>904</v>
      </c>
      <c r="BA288">
        <v>2015</v>
      </c>
      <c r="BB288">
        <v>2016</v>
      </c>
      <c r="BD288" t="s">
        <v>918</v>
      </c>
      <c r="BE288" t="s">
        <v>483</v>
      </c>
      <c r="BF288" s="3" t="s">
        <v>484</v>
      </c>
      <c r="BG288" t="s">
        <v>485</v>
      </c>
      <c r="BH288" t="s">
        <v>480</v>
      </c>
      <c r="BI288" t="s">
        <v>486</v>
      </c>
      <c r="BJ288">
        <v>53333</v>
      </c>
      <c r="EG288" s="9"/>
      <c r="EH288" s="9"/>
      <c r="EI288" s="9"/>
      <c r="EJ288" s="9"/>
      <c r="EK288" s="9"/>
      <c r="EL288" s="9"/>
      <c r="EM288" s="9"/>
      <c r="EN288" s="9"/>
      <c r="EO288" s="9"/>
      <c r="EP288" s="9"/>
      <c r="EQ288" s="9"/>
      <c r="ER288" s="9"/>
      <c r="ES288" s="9"/>
      <c r="ET288" s="9"/>
      <c r="EU288" s="9"/>
      <c r="EV288" s="9"/>
      <c r="EW288" s="9"/>
      <c r="EX288" s="9"/>
      <c r="EY288" s="9"/>
      <c r="EZ288" s="9"/>
      <c r="FA288" s="9"/>
      <c r="FB288" s="9"/>
      <c r="FC288" s="9"/>
      <c r="FD288" s="9"/>
      <c r="FE288" s="9"/>
      <c r="FF288" s="9"/>
      <c r="FG288" s="9"/>
      <c r="FH288" s="9"/>
      <c r="FI288" s="9"/>
      <c r="FJ288" s="9"/>
      <c r="FK288" s="9"/>
      <c r="FL288" s="9"/>
      <c r="FM288" s="9"/>
      <c r="FN288" s="9"/>
      <c r="FO288" s="9"/>
      <c r="FP288" s="9"/>
      <c r="FQ288" s="9"/>
      <c r="FR288" s="9"/>
      <c r="FS288" s="9"/>
      <c r="FT288" s="9"/>
      <c r="FU288" s="9"/>
      <c r="FV288" s="9"/>
      <c r="FW288" s="9"/>
      <c r="FX288" s="9"/>
      <c r="FY288" s="9"/>
      <c r="FZ288" s="9"/>
      <c r="GA288" s="9"/>
      <c r="GB288" s="9"/>
      <c r="GC288" s="9"/>
      <c r="GD288" s="9"/>
      <c r="GE288" s="9"/>
      <c r="GF288" s="9"/>
      <c r="GG288" s="9"/>
      <c r="GH288" s="9"/>
      <c r="GI288" s="9"/>
      <c r="GJ288" s="9"/>
      <c r="GK288" s="9"/>
      <c r="GL288" s="9"/>
      <c r="GM288" s="9"/>
      <c r="GN288" s="9"/>
      <c r="GO288" s="9"/>
      <c r="GP288" s="9"/>
      <c r="GQ288" s="9"/>
      <c r="GR288" s="9"/>
      <c r="GS288" s="9"/>
      <c r="GT288" s="9"/>
      <c r="GU288" s="9"/>
      <c r="GV288" s="9"/>
      <c r="GW288" s="9"/>
      <c r="GX288" s="9"/>
      <c r="GY288" s="9"/>
      <c r="GZ288" s="9"/>
      <c r="HA288" s="9"/>
      <c r="HB288" s="9"/>
      <c r="HC288" s="9"/>
      <c r="HD288" s="9"/>
      <c r="HE288" s="9"/>
      <c r="HF288" s="9"/>
      <c r="HG288" s="9"/>
      <c r="HH288" s="9"/>
      <c r="HI288" s="9"/>
      <c r="HJ288" s="9"/>
      <c r="HV288" s="50"/>
      <c r="HW288" s="50"/>
      <c r="IH288" t="s">
        <v>491</v>
      </c>
      <c r="II288" t="s">
        <v>492</v>
      </c>
      <c r="JJ288" t="s">
        <v>919</v>
      </c>
      <c r="JK288" s="46" t="s">
        <v>920</v>
      </c>
      <c r="JL288" t="s">
        <v>495</v>
      </c>
      <c r="JM288" s="8" t="s">
        <v>908</v>
      </c>
      <c r="JN288" s="4" t="s">
        <v>497</v>
      </c>
      <c r="JO288" t="s">
        <v>921</v>
      </c>
      <c r="MY288" t="s">
        <v>910</v>
      </c>
      <c r="MZ288">
        <v>70</v>
      </c>
      <c r="NA288" t="s">
        <v>911</v>
      </c>
      <c r="NB288" t="s">
        <v>548</v>
      </c>
      <c r="NC288" s="4"/>
      <c r="NJ288" t="s">
        <v>948</v>
      </c>
      <c r="NK288" t="s">
        <v>914</v>
      </c>
      <c r="NL288" s="78" t="s">
        <v>660</v>
      </c>
      <c r="NM288" s="6" t="s">
        <v>508</v>
      </c>
      <c r="NU288" t="s">
        <v>657</v>
      </c>
      <c r="NV288" t="s">
        <v>518</v>
      </c>
      <c r="NW288">
        <v>3957</v>
      </c>
      <c r="NX288" t="s">
        <v>480</v>
      </c>
      <c r="NY288" t="s">
        <v>480</v>
      </c>
      <c r="OB288" s="15">
        <v>3</v>
      </c>
      <c r="OU288" t="s">
        <v>939</v>
      </c>
      <c r="OV288" t="s">
        <v>518</v>
      </c>
      <c r="OX288">
        <v>2015</v>
      </c>
      <c r="OY288">
        <v>2016</v>
      </c>
      <c r="PB288" t="s">
        <v>522</v>
      </c>
      <c r="PC288" s="50">
        <v>46105</v>
      </c>
    </row>
    <row r="289" spans="1:419" ht="15.75" thickBot="1">
      <c r="A289" t="s">
        <v>469</v>
      </c>
      <c r="B289" t="s">
        <v>899</v>
      </c>
      <c r="C289" t="s">
        <v>900</v>
      </c>
      <c r="D289" s="59" t="s">
        <v>472</v>
      </c>
      <c r="E289" t="s">
        <v>938</v>
      </c>
      <c r="F289" s="4" t="s">
        <v>902</v>
      </c>
      <c r="G289" t="s">
        <v>475</v>
      </c>
      <c r="H289" t="s">
        <v>476</v>
      </c>
      <c r="I289">
        <v>7.306944444</v>
      </c>
      <c r="J289">
        <v>38.012222219999998</v>
      </c>
      <c r="K289">
        <v>600</v>
      </c>
      <c r="AV289" t="s">
        <v>903</v>
      </c>
      <c r="AW289">
        <v>420</v>
      </c>
      <c r="AX289">
        <v>1.5</v>
      </c>
      <c r="AY289">
        <v>1</v>
      </c>
      <c r="AZ289" t="s">
        <v>904</v>
      </c>
      <c r="BA289">
        <v>2015</v>
      </c>
      <c r="BB289">
        <v>2016</v>
      </c>
      <c r="BD289" t="s">
        <v>922</v>
      </c>
      <c r="BE289" t="s">
        <v>593</v>
      </c>
      <c r="BF289" s="3" t="s">
        <v>484</v>
      </c>
      <c r="BG289" t="s">
        <v>485</v>
      </c>
      <c r="BH289" t="s">
        <v>480</v>
      </c>
      <c r="BI289" t="s">
        <v>486</v>
      </c>
      <c r="BJ289">
        <v>53333</v>
      </c>
      <c r="EG289" s="9"/>
      <c r="EH289" s="9"/>
      <c r="EI289" s="9"/>
      <c r="EJ289" s="9"/>
      <c r="EK289" s="9"/>
      <c r="EL289" s="9"/>
      <c r="EM289" s="9"/>
      <c r="EN289" s="9"/>
      <c r="EO289" s="9"/>
      <c r="EP289" s="9"/>
      <c r="EQ289" s="9"/>
      <c r="ER289" s="9"/>
      <c r="ES289" s="9"/>
      <c r="ET289" s="9"/>
      <c r="EU289" s="9"/>
      <c r="EV289" s="9"/>
      <c r="EW289" s="9"/>
      <c r="EX289" s="9"/>
      <c r="EY289" s="9"/>
      <c r="EZ289" s="9"/>
      <c r="FA289" s="9"/>
      <c r="FB289" s="9"/>
      <c r="FC289" s="9"/>
      <c r="FD289" s="9"/>
      <c r="FE289" s="9"/>
      <c r="FF289" s="9"/>
      <c r="FG289" s="9"/>
      <c r="FH289" s="9"/>
      <c r="FI289" s="9"/>
      <c r="FJ289" s="9"/>
      <c r="FK289" s="9"/>
      <c r="FL289" s="9"/>
      <c r="FM289" s="9"/>
      <c r="FN289" s="9"/>
      <c r="FO289" s="9"/>
      <c r="FP289" s="9"/>
      <c r="FQ289" s="9"/>
      <c r="FR289" s="9"/>
      <c r="FS289" s="9"/>
      <c r="FT289" s="9"/>
      <c r="FU289" s="9"/>
      <c r="FV289" s="9"/>
      <c r="FW289" s="9"/>
      <c r="FX289" s="9"/>
      <c r="FY289" s="9"/>
      <c r="FZ289" s="9"/>
      <c r="GA289" s="9"/>
      <c r="GB289" s="9"/>
      <c r="GC289" s="9"/>
      <c r="GD289" s="9"/>
      <c r="GE289" s="9"/>
      <c r="GF289" s="9"/>
      <c r="GG289" s="9"/>
      <c r="GH289" s="9"/>
      <c r="GI289" s="9"/>
      <c r="GJ289" s="9"/>
      <c r="GK289" s="9"/>
      <c r="GL289" s="9"/>
      <c r="GM289" s="9"/>
      <c r="GN289" s="9"/>
      <c r="GO289" s="9"/>
      <c r="GP289" s="9"/>
      <c r="GQ289" s="9"/>
      <c r="GR289" s="9"/>
      <c r="GS289" s="9"/>
      <c r="GT289" s="9"/>
      <c r="GU289" s="9"/>
      <c r="GV289" s="9"/>
      <c r="GW289" s="9"/>
      <c r="GX289" s="9"/>
      <c r="GY289" s="9"/>
      <c r="GZ289" s="9"/>
      <c r="HA289" s="9"/>
      <c r="HB289" s="9"/>
      <c r="HC289" s="9"/>
      <c r="HD289" s="9"/>
      <c r="HE289" s="9"/>
      <c r="HF289" s="9"/>
      <c r="HG289" s="9"/>
      <c r="HH289" s="9"/>
      <c r="HI289" s="9"/>
      <c r="HJ289" s="9"/>
      <c r="HQ289" t="s">
        <v>923</v>
      </c>
      <c r="HV289" s="50"/>
      <c r="HW289" s="50"/>
      <c r="IH289" t="s">
        <v>491</v>
      </c>
      <c r="II289" t="s">
        <v>492</v>
      </c>
      <c r="JJ289" t="s">
        <v>924</v>
      </c>
      <c r="JK289" s="75" t="s">
        <v>907</v>
      </c>
      <c r="JL289" t="s">
        <v>495</v>
      </c>
      <c r="JM289" s="8" t="s">
        <v>908</v>
      </c>
      <c r="JN289" s="4" t="s">
        <v>497</v>
      </c>
      <c r="JO289" t="s">
        <v>909</v>
      </c>
      <c r="KV289" t="s">
        <v>925</v>
      </c>
      <c r="MY289" t="s">
        <v>910</v>
      </c>
      <c r="MZ289">
        <v>70</v>
      </c>
      <c r="NA289" t="s">
        <v>911</v>
      </c>
      <c r="NB289" t="s">
        <v>548</v>
      </c>
      <c r="NC289" s="4"/>
      <c r="NJ289" t="s">
        <v>948</v>
      </c>
      <c r="NK289" t="s">
        <v>914</v>
      </c>
      <c r="NL289" s="78" t="s">
        <v>660</v>
      </c>
      <c r="NM289" s="6" t="s">
        <v>508</v>
      </c>
      <c r="NU289" t="s">
        <v>915</v>
      </c>
      <c r="NV289" t="s">
        <v>518</v>
      </c>
      <c r="NW289">
        <v>5154</v>
      </c>
      <c r="NX289" t="s">
        <v>480</v>
      </c>
      <c r="NY289" t="s">
        <v>480</v>
      </c>
      <c r="OB289" s="15">
        <v>3</v>
      </c>
      <c r="OU289" t="s">
        <v>939</v>
      </c>
      <c r="OV289" t="s">
        <v>518</v>
      </c>
      <c r="OX289">
        <v>2015</v>
      </c>
      <c r="OY289">
        <v>2016</v>
      </c>
      <c r="PB289" t="s">
        <v>522</v>
      </c>
      <c r="PC289" s="50">
        <v>46105</v>
      </c>
    </row>
    <row r="290" spans="1:419" ht="15.75" thickBot="1">
      <c r="A290" t="s">
        <v>469</v>
      </c>
      <c r="B290" t="s">
        <v>899</v>
      </c>
      <c r="C290" t="s">
        <v>900</v>
      </c>
      <c r="D290" s="59" t="s">
        <v>472</v>
      </c>
      <c r="E290" t="s">
        <v>938</v>
      </c>
      <c r="F290" s="4" t="s">
        <v>902</v>
      </c>
      <c r="G290" t="s">
        <v>475</v>
      </c>
      <c r="H290" t="s">
        <v>476</v>
      </c>
      <c r="I290">
        <v>7.306944444</v>
      </c>
      <c r="J290">
        <v>38.012222219999998</v>
      </c>
      <c r="K290">
        <v>600</v>
      </c>
      <c r="AV290" t="s">
        <v>903</v>
      </c>
      <c r="AW290">
        <v>420</v>
      </c>
      <c r="AX290">
        <v>1.5</v>
      </c>
      <c r="AY290">
        <v>1</v>
      </c>
      <c r="AZ290" t="s">
        <v>904</v>
      </c>
      <c r="BA290">
        <v>2015</v>
      </c>
      <c r="BB290">
        <v>2016</v>
      </c>
      <c r="BD290" t="s">
        <v>926</v>
      </c>
      <c r="BE290" t="s">
        <v>536</v>
      </c>
      <c r="BF290" s="3" t="s">
        <v>484</v>
      </c>
      <c r="BG290" t="s">
        <v>485</v>
      </c>
      <c r="BH290" t="s">
        <v>480</v>
      </c>
      <c r="BI290" t="s">
        <v>486</v>
      </c>
      <c r="BJ290">
        <v>53333</v>
      </c>
      <c r="BK290" t="s">
        <v>537</v>
      </c>
      <c r="BL290" t="s">
        <v>927</v>
      </c>
      <c r="BM290" t="s">
        <v>480</v>
      </c>
      <c r="BN290" t="s">
        <v>486</v>
      </c>
      <c r="BO290">
        <v>266666</v>
      </c>
      <c r="EG290" s="9"/>
      <c r="EH290" s="9"/>
      <c r="EI290" s="9"/>
      <c r="EJ290" s="9"/>
      <c r="EK290" s="9"/>
      <c r="EL290" s="9"/>
      <c r="EM290" s="9"/>
      <c r="EN290" s="9"/>
      <c r="EO290" s="9"/>
      <c r="EP290" s="9"/>
      <c r="EQ290" s="9"/>
      <c r="ER290" s="9"/>
      <c r="ES290" s="9"/>
      <c r="ET290" s="9"/>
      <c r="EU290" s="9"/>
      <c r="EV290" s="9"/>
      <c r="EW290" s="9"/>
      <c r="EX290" s="9"/>
      <c r="EY290" s="9"/>
      <c r="EZ290" s="9"/>
      <c r="FA290" s="9"/>
      <c r="FB290" s="9"/>
      <c r="FC290" s="9"/>
      <c r="FD290" s="9"/>
      <c r="FE290" s="9"/>
      <c r="FF290" s="9"/>
      <c r="FG290" s="9"/>
      <c r="FH290" s="9"/>
      <c r="FI290" s="9"/>
      <c r="FJ290" s="9"/>
      <c r="FK290" s="9"/>
      <c r="FL290" s="9"/>
      <c r="FM290" s="9"/>
      <c r="FN290" s="9"/>
      <c r="FO290" s="9"/>
      <c r="FP290" s="9"/>
      <c r="FQ290" s="9"/>
      <c r="FR290" s="9"/>
      <c r="FS290" s="9"/>
      <c r="FT290" s="9"/>
      <c r="FU290" s="9"/>
      <c r="FV290" s="9"/>
      <c r="FW290" s="9"/>
      <c r="FX290" s="9"/>
      <c r="FY290" s="9"/>
      <c r="FZ290" s="9"/>
      <c r="GA290" s="9"/>
      <c r="GB290" s="9"/>
      <c r="GC290" s="9"/>
      <c r="GD290" s="9"/>
      <c r="GE290" s="9"/>
      <c r="GF290" s="9"/>
      <c r="GG290" s="9"/>
      <c r="GH290" s="9"/>
      <c r="GI290" s="9"/>
      <c r="GJ290" s="9"/>
      <c r="GK290" s="9"/>
      <c r="GL290" s="9"/>
      <c r="GM290" s="9"/>
      <c r="GN290" s="9"/>
      <c r="GO290" s="9"/>
      <c r="GP290" s="9"/>
      <c r="GQ290" s="9"/>
      <c r="GR290" s="9"/>
      <c r="GS290" s="9"/>
      <c r="GT290" s="9"/>
      <c r="GU290" s="9"/>
      <c r="GV290" s="9"/>
      <c r="GW290" s="9"/>
      <c r="GX290" s="9"/>
      <c r="GY290" s="9"/>
      <c r="GZ290" s="9"/>
      <c r="HA290" s="9"/>
      <c r="HB290" s="9"/>
      <c r="HC290" s="9"/>
      <c r="HD290" s="9"/>
      <c r="HE290" s="9"/>
      <c r="HF290" s="9"/>
      <c r="HG290" s="9"/>
      <c r="HH290" s="9"/>
      <c r="HI290" s="9"/>
      <c r="HJ290" s="9"/>
      <c r="HV290" s="50"/>
      <c r="HW290" s="50"/>
      <c r="IH290" t="s">
        <v>928</v>
      </c>
      <c r="II290" s="75" t="s">
        <v>929</v>
      </c>
      <c r="IJ290" t="s">
        <v>542</v>
      </c>
      <c r="IK290" t="s">
        <v>543</v>
      </c>
      <c r="IL290" t="s">
        <v>480</v>
      </c>
      <c r="IM290" t="s">
        <v>480</v>
      </c>
      <c r="IN290" t="s">
        <v>480</v>
      </c>
      <c r="JJ290" t="s">
        <v>930</v>
      </c>
      <c r="JK290" t="s">
        <v>920</v>
      </c>
      <c r="JL290" t="s">
        <v>495</v>
      </c>
      <c r="JM290" t="s">
        <v>908</v>
      </c>
      <c r="JN290" s="4" t="s">
        <v>497</v>
      </c>
      <c r="JO290" t="s">
        <v>921</v>
      </c>
      <c r="MY290" t="s">
        <v>910</v>
      </c>
      <c r="MZ290">
        <v>70</v>
      </c>
      <c r="NA290" t="s">
        <v>911</v>
      </c>
      <c r="NB290" t="s">
        <v>548</v>
      </c>
      <c r="NC290" s="4"/>
      <c r="NJ290" t="s">
        <v>948</v>
      </c>
      <c r="NK290" t="s">
        <v>914</v>
      </c>
      <c r="NL290" s="78" t="s">
        <v>660</v>
      </c>
      <c r="NM290" s="6" t="s">
        <v>508</v>
      </c>
      <c r="NV290" t="s">
        <v>518</v>
      </c>
      <c r="NW290">
        <v>4302</v>
      </c>
      <c r="NX290" t="s">
        <v>480</v>
      </c>
      <c r="NY290" t="s">
        <v>480</v>
      </c>
      <c r="OB290" s="15">
        <v>3</v>
      </c>
      <c r="OU290" t="s">
        <v>939</v>
      </c>
      <c r="OV290" t="s">
        <v>518</v>
      </c>
      <c r="OX290">
        <v>2015</v>
      </c>
      <c r="OY290">
        <v>2016</v>
      </c>
      <c r="PB290" t="s">
        <v>522</v>
      </c>
      <c r="PC290" s="50">
        <v>46105</v>
      </c>
    </row>
    <row r="291" spans="1:419" ht="15.75" thickBot="1">
      <c r="A291" t="s">
        <v>469</v>
      </c>
      <c r="B291" t="s">
        <v>899</v>
      </c>
      <c r="C291" t="s">
        <v>900</v>
      </c>
      <c r="D291" s="59" t="s">
        <v>472</v>
      </c>
      <c r="E291" t="s">
        <v>938</v>
      </c>
      <c r="F291" s="4" t="s">
        <v>902</v>
      </c>
      <c r="G291" t="s">
        <v>475</v>
      </c>
      <c r="H291" t="s">
        <v>476</v>
      </c>
      <c r="I291">
        <v>7.306944444</v>
      </c>
      <c r="J291">
        <v>38.012222219999998</v>
      </c>
      <c r="K291">
        <v>600</v>
      </c>
      <c r="AV291" t="s">
        <v>903</v>
      </c>
      <c r="AW291">
        <v>420</v>
      </c>
      <c r="AX291">
        <v>1.5</v>
      </c>
      <c r="AY291">
        <v>1</v>
      </c>
      <c r="AZ291" t="s">
        <v>904</v>
      </c>
      <c r="BA291">
        <v>2015</v>
      </c>
      <c r="BB291">
        <v>2016</v>
      </c>
      <c r="BD291" t="s">
        <v>931</v>
      </c>
      <c r="BE291" t="s">
        <v>566</v>
      </c>
      <c r="BF291" s="3" t="s">
        <v>484</v>
      </c>
      <c r="BG291" t="s">
        <v>485</v>
      </c>
      <c r="BH291" t="s">
        <v>480</v>
      </c>
      <c r="BI291" t="s">
        <v>486</v>
      </c>
      <c r="BJ291">
        <v>53333</v>
      </c>
      <c r="BK291" t="s">
        <v>537</v>
      </c>
      <c r="BL291" t="s">
        <v>932</v>
      </c>
      <c r="BM291" t="s">
        <v>480</v>
      </c>
      <c r="BN291" t="s">
        <v>486</v>
      </c>
      <c r="BO291">
        <v>66666</v>
      </c>
      <c r="EG291" s="9"/>
      <c r="EH291" s="9"/>
      <c r="EI291" s="9"/>
      <c r="EJ291" s="9"/>
      <c r="EK291" s="9"/>
      <c r="EL291" s="9"/>
      <c r="EM291" s="9"/>
      <c r="EN291" s="9"/>
      <c r="EO291" s="9"/>
      <c r="EP291" s="9"/>
      <c r="EQ291" s="9"/>
      <c r="ER291" s="9"/>
      <c r="ES291" s="9"/>
      <c r="ET291" s="9"/>
      <c r="EU291" s="9"/>
      <c r="EV291" s="9"/>
      <c r="EW291" s="9"/>
      <c r="EX291" s="9"/>
      <c r="EY291" s="9"/>
      <c r="EZ291" s="9"/>
      <c r="FA291" s="9"/>
      <c r="FB291" s="9"/>
      <c r="FC291" s="9"/>
      <c r="FD291" s="9"/>
      <c r="FE291" s="9"/>
      <c r="FF291" s="9"/>
      <c r="FG291" s="9"/>
      <c r="FH291" s="9"/>
      <c r="FI291" s="9"/>
      <c r="FJ291" s="9"/>
      <c r="FK291" s="9"/>
      <c r="FL291" s="9"/>
      <c r="FM291" s="9"/>
      <c r="FN291" s="9"/>
      <c r="FO291" s="9"/>
      <c r="FP291" s="9"/>
      <c r="FQ291" s="9"/>
      <c r="FR291" s="9"/>
      <c r="FS291" s="9"/>
      <c r="FT291" s="9"/>
      <c r="FU291" s="9"/>
      <c r="FV291" s="9"/>
      <c r="FW291" s="9"/>
      <c r="FX291" s="9"/>
      <c r="FY291" s="9"/>
      <c r="FZ291" s="9"/>
      <c r="GA291" s="9"/>
      <c r="GB291" s="9"/>
      <c r="GC291" s="9"/>
      <c r="GD291" s="9"/>
      <c r="GE291" s="9"/>
      <c r="GF291" s="9"/>
      <c r="GG291" s="9"/>
      <c r="GH291" s="9"/>
      <c r="GI291" s="9"/>
      <c r="GJ291" s="9"/>
      <c r="GK291" s="9"/>
      <c r="GL291" s="9"/>
      <c r="GM291" s="9"/>
      <c r="GN291" s="9"/>
      <c r="GO291" s="9"/>
      <c r="GP291" s="9"/>
      <c r="GQ291" s="9"/>
      <c r="GR291" s="9"/>
      <c r="GS291" s="9"/>
      <c r="GT291" s="9"/>
      <c r="GU291" s="9"/>
      <c r="GV291" s="9"/>
      <c r="GW291" s="9"/>
      <c r="GX291" s="9"/>
      <c r="GY291" s="9"/>
      <c r="GZ291" s="9"/>
      <c r="HA291" s="9"/>
      <c r="HB291" s="9"/>
      <c r="HC291" s="9"/>
      <c r="HD291" s="9"/>
      <c r="HE291" s="9"/>
      <c r="HF291" s="9"/>
      <c r="HG291" s="9"/>
      <c r="HH291" s="9"/>
      <c r="HI291" s="9"/>
      <c r="HJ291" s="9"/>
      <c r="HV291" s="50"/>
      <c r="HW291" s="50"/>
      <c r="IH291" t="s">
        <v>933</v>
      </c>
      <c r="II291" s="75" t="s">
        <v>929</v>
      </c>
      <c r="IJ291" t="s">
        <v>542</v>
      </c>
      <c r="IK291" t="s">
        <v>543</v>
      </c>
      <c r="IL291" t="s">
        <v>480</v>
      </c>
      <c r="IM291" t="s">
        <v>480</v>
      </c>
      <c r="IN291" t="s">
        <v>480</v>
      </c>
      <c r="JJ291" t="s">
        <v>934</v>
      </c>
      <c r="JK291" t="s">
        <v>920</v>
      </c>
      <c r="JL291" t="s">
        <v>495</v>
      </c>
      <c r="JM291" t="s">
        <v>908</v>
      </c>
      <c r="JN291" s="4" t="s">
        <v>497</v>
      </c>
      <c r="JO291" t="s">
        <v>921</v>
      </c>
      <c r="MY291" t="s">
        <v>910</v>
      </c>
      <c r="MZ291">
        <v>70</v>
      </c>
      <c r="NA291" t="s">
        <v>911</v>
      </c>
      <c r="NB291" t="s">
        <v>548</v>
      </c>
      <c r="NC291" s="4"/>
      <c r="NJ291" t="s">
        <v>948</v>
      </c>
      <c r="NK291" t="s">
        <v>914</v>
      </c>
      <c r="NL291" s="78" t="s">
        <v>660</v>
      </c>
      <c r="NM291" s="6" t="s">
        <v>508</v>
      </c>
      <c r="NV291" t="s">
        <v>518</v>
      </c>
      <c r="NW291">
        <v>4630</v>
      </c>
      <c r="NX291" t="s">
        <v>480</v>
      </c>
      <c r="NY291" t="s">
        <v>480</v>
      </c>
      <c r="OB291" s="15">
        <v>3</v>
      </c>
      <c r="OU291" t="s">
        <v>939</v>
      </c>
      <c r="OV291" t="s">
        <v>518</v>
      </c>
      <c r="OX291">
        <v>2015</v>
      </c>
      <c r="OY291">
        <v>2016</v>
      </c>
      <c r="PB291" t="s">
        <v>522</v>
      </c>
      <c r="PC291" s="50">
        <v>46105</v>
      </c>
    </row>
    <row r="292" spans="1:419" ht="15.75" thickBot="1">
      <c r="A292" t="s">
        <v>469</v>
      </c>
      <c r="B292" t="s">
        <v>899</v>
      </c>
      <c r="C292" t="s">
        <v>900</v>
      </c>
      <c r="D292" s="59" t="s">
        <v>472</v>
      </c>
      <c r="E292" t="s">
        <v>938</v>
      </c>
      <c r="F292" s="4" t="s">
        <v>902</v>
      </c>
      <c r="G292" t="s">
        <v>475</v>
      </c>
      <c r="H292" t="s">
        <v>476</v>
      </c>
      <c r="I292">
        <v>7.306944444</v>
      </c>
      <c r="J292">
        <v>38.012222219999998</v>
      </c>
      <c r="K292">
        <v>600</v>
      </c>
      <c r="AV292" t="s">
        <v>903</v>
      </c>
      <c r="AW292">
        <v>420</v>
      </c>
      <c r="AX292">
        <v>1.5</v>
      </c>
      <c r="AY292">
        <v>1</v>
      </c>
      <c r="AZ292" t="s">
        <v>904</v>
      </c>
      <c r="BA292">
        <v>2015</v>
      </c>
      <c r="BB292">
        <v>2016</v>
      </c>
      <c r="BD292" t="s">
        <v>936</v>
      </c>
      <c r="BE292" t="s">
        <v>602</v>
      </c>
      <c r="BF292" s="3" t="s">
        <v>484</v>
      </c>
      <c r="BG292" t="s">
        <v>485</v>
      </c>
      <c r="BH292" t="s">
        <v>480</v>
      </c>
      <c r="BI292" t="s">
        <v>486</v>
      </c>
      <c r="BJ292">
        <v>53333</v>
      </c>
      <c r="EG292" s="9"/>
      <c r="EH292" s="9"/>
      <c r="EI292" s="9"/>
      <c r="EJ292" s="9"/>
      <c r="EK292" s="9"/>
      <c r="EL292" s="9"/>
      <c r="EM292" s="9"/>
      <c r="EN292" s="9"/>
      <c r="EO292" s="9"/>
      <c r="EP292" s="9"/>
      <c r="EQ292" s="9"/>
      <c r="ER292" s="9"/>
      <c r="ES292" s="9"/>
      <c r="ET292" s="9"/>
      <c r="EU292" s="9"/>
      <c r="EV292" s="9"/>
      <c r="EW292" s="9"/>
      <c r="EX292" s="9"/>
      <c r="EY292" s="9"/>
      <c r="EZ292" s="9"/>
      <c r="FA292" s="9"/>
      <c r="FB292" s="9"/>
      <c r="FC292" s="9"/>
      <c r="FD292" s="9"/>
      <c r="FE292" s="9"/>
      <c r="FF292" s="9"/>
      <c r="FG292" s="9"/>
      <c r="FH292" s="9"/>
      <c r="FI292" s="9"/>
      <c r="FJ292" s="9"/>
      <c r="FK292" s="9"/>
      <c r="FL292" s="9"/>
      <c r="FM292" s="9"/>
      <c r="FN292" s="9"/>
      <c r="FO292" s="9"/>
      <c r="FP292" s="9"/>
      <c r="FQ292" s="9"/>
      <c r="FR292" s="9"/>
      <c r="FS292" s="9"/>
      <c r="FT292" s="9"/>
      <c r="FU292" s="9"/>
      <c r="FV292" s="9"/>
      <c r="FW292" s="9"/>
      <c r="FX292" s="9"/>
      <c r="FY292" s="9"/>
      <c r="FZ292" s="9"/>
      <c r="GA292" s="9"/>
      <c r="GB292" s="9"/>
      <c r="GC292" s="9"/>
      <c r="GD292" s="9"/>
      <c r="GE292" s="9"/>
      <c r="GF292" s="9"/>
      <c r="GG292" s="9"/>
      <c r="GH292" s="9"/>
      <c r="GI292" s="9"/>
      <c r="GJ292" s="9"/>
      <c r="GK292" s="9"/>
      <c r="GL292" s="9"/>
      <c r="GM292" s="9"/>
      <c r="GN292" s="9"/>
      <c r="GO292" s="9"/>
      <c r="GP292" s="9"/>
      <c r="GQ292" s="9"/>
      <c r="GR292" s="9"/>
      <c r="GS292" s="9"/>
      <c r="GT292" s="9"/>
      <c r="GU292" s="9"/>
      <c r="GV292" s="9"/>
      <c r="GW292" s="9"/>
      <c r="GX292" s="9"/>
      <c r="GY292" s="9"/>
      <c r="GZ292" s="9"/>
      <c r="HA292" s="9"/>
      <c r="HB292" s="9"/>
      <c r="HC292" s="9"/>
      <c r="HD292" s="9"/>
      <c r="HE292" s="9"/>
      <c r="HF292" s="9"/>
      <c r="HG292" s="9"/>
      <c r="HH292" s="9"/>
      <c r="HI292" s="9"/>
      <c r="HJ292" s="9"/>
      <c r="HQ292" t="s">
        <v>923</v>
      </c>
      <c r="HV292" s="50"/>
      <c r="HW292" s="50"/>
      <c r="IH292" t="s">
        <v>491</v>
      </c>
      <c r="II292" t="s">
        <v>492</v>
      </c>
      <c r="JJ292" t="s">
        <v>937</v>
      </c>
      <c r="JK292" t="s">
        <v>920</v>
      </c>
      <c r="JL292" t="s">
        <v>495</v>
      </c>
      <c r="JM292" s="8" t="s">
        <v>908</v>
      </c>
      <c r="JN292" s="4" t="s">
        <v>497</v>
      </c>
      <c r="JO292" t="s">
        <v>921</v>
      </c>
      <c r="MY292" t="s">
        <v>910</v>
      </c>
      <c r="MZ292">
        <v>70</v>
      </c>
      <c r="NA292" t="s">
        <v>911</v>
      </c>
      <c r="NB292" t="s">
        <v>548</v>
      </c>
      <c r="NC292" s="4"/>
      <c r="NJ292" t="s">
        <v>948</v>
      </c>
      <c r="NK292" t="s">
        <v>914</v>
      </c>
      <c r="NL292" s="78" t="s">
        <v>660</v>
      </c>
      <c r="NM292" s="6" t="s">
        <v>508</v>
      </c>
      <c r="NU292" t="s">
        <v>657</v>
      </c>
      <c r="NV292" t="s">
        <v>518</v>
      </c>
      <c r="NW292">
        <v>5955</v>
      </c>
      <c r="NX292" t="s">
        <v>480</v>
      </c>
      <c r="NY292" t="s">
        <v>480</v>
      </c>
      <c r="OB292" s="15">
        <v>3</v>
      </c>
      <c r="OU292" t="s">
        <v>939</v>
      </c>
      <c r="OV292" t="s">
        <v>518</v>
      </c>
      <c r="OX292">
        <v>2015</v>
      </c>
      <c r="OY292">
        <v>2016</v>
      </c>
      <c r="PB292" t="s">
        <v>522</v>
      </c>
      <c r="PC292" s="50">
        <v>46105</v>
      </c>
    </row>
    <row r="293" spans="1:419" ht="15.75" thickBot="1">
      <c r="A293" t="s">
        <v>469</v>
      </c>
      <c r="B293" t="s">
        <v>899</v>
      </c>
      <c r="C293" t="s">
        <v>900</v>
      </c>
      <c r="D293" s="59" t="s">
        <v>472</v>
      </c>
      <c r="E293" t="s">
        <v>938</v>
      </c>
      <c r="F293" s="4" t="s">
        <v>902</v>
      </c>
      <c r="G293" t="s">
        <v>475</v>
      </c>
      <c r="H293" t="s">
        <v>476</v>
      </c>
      <c r="I293">
        <v>7.306944444</v>
      </c>
      <c r="J293">
        <v>38.012222219999998</v>
      </c>
      <c r="K293">
        <v>600</v>
      </c>
      <c r="AV293" t="s">
        <v>903</v>
      </c>
      <c r="AW293">
        <v>420</v>
      </c>
      <c r="AX293">
        <v>1.5</v>
      </c>
      <c r="AY293">
        <v>1</v>
      </c>
      <c r="AZ293" t="s">
        <v>904</v>
      </c>
      <c r="BA293">
        <v>2015</v>
      </c>
      <c r="BB293">
        <v>2016</v>
      </c>
      <c r="BD293" t="s">
        <v>905</v>
      </c>
      <c r="BE293" t="s">
        <v>524</v>
      </c>
      <c r="BF293" s="3" t="s">
        <v>484</v>
      </c>
      <c r="BG293" t="s">
        <v>485</v>
      </c>
      <c r="BH293" t="s">
        <v>480</v>
      </c>
      <c r="BI293" s="4" t="s">
        <v>486</v>
      </c>
      <c r="BJ293">
        <v>53333</v>
      </c>
      <c r="EG293" s="9"/>
      <c r="EH293" s="9"/>
      <c r="EI293" s="9"/>
      <c r="EJ293" s="9"/>
      <c r="EK293" s="9"/>
      <c r="EL293" s="9"/>
      <c r="EM293" s="9"/>
      <c r="EN293" s="9"/>
      <c r="EO293" s="9"/>
      <c r="EP293" s="9"/>
      <c r="EQ293" s="9"/>
      <c r="ER293" s="9"/>
      <c r="ES293" s="9"/>
      <c r="ET293" s="9"/>
      <c r="EU293" s="9"/>
      <c r="EV293" s="9"/>
      <c r="EW293" s="9"/>
      <c r="EX293" s="9"/>
      <c r="EY293" s="9"/>
      <c r="EZ293" s="9"/>
      <c r="FA293" s="9"/>
      <c r="FB293" s="9"/>
      <c r="FC293" s="9"/>
      <c r="FD293" s="9"/>
      <c r="FE293" s="9"/>
      <c r="FF293" s="9"/>
      <c r="FG293" s="9"/>
      <c r="FH293" s="9"/>
      <c r="FI293" s="9"/>
      <c r="FJ293" s="9"/>
      <c r="FK293" s="9"/>
      <c r="FL293" s="9"/>
      <c r="FM293" s="9"/>
      <c r="FN293" s="9"/>
      <c r="FO293" s="9"/>
      <c r="FP293" s="9"/>
      <c r="FQ293" s="9"/>
      <c r="FR293" s="9"/>
      <c r="FS293" s="9"/>
      <c r="FT293" s="9"/>
      <c r="FU293" s="9"/>
      <c r="FV293" s="9"/>
      <c r="FW293" s="9"/>
      <c r="FX293" s="9"/>
      <c r="FY293" s="9"/>
      <c r="FZ293" s="9"/>
      <c r="GA293" s="9"/>
      <c r="GB293" s="9"/>
      <c r="GC293" s="9"/>
      <c r="GD293" s="9"/>
      <c r="GE293" s="9"/>
      <c r="GF293" s="9"/>
      <c r="GG293" s="9"/>
      <c r="GH293" s="9"/>
      <c r="GI293" s="9"/>
      <c r="GJ293" s="9"/>
      <c r="GK293" s="9"/>
      <c r="GL293" s="9"/>
      <c r="GM293" s="9"/>
      <c r="GN293" s="9"/>
      <c r="GO293" s="9"/>
      <c r="GP293" s="9"/>
      <c r="GQ293" s="9"/>
      <c r="GR293" s="9"/>
      <c r="GS293" s="9"/>
      <c r="GT293" s="9"/>
      <c r="GU293" s="9"/>
      <c r="GV293" s="9"/>
      <c r="GW293" s="9"/>
      <c r="GX293" s="9"/>
      <c r="GY293" s="9"/>
      <c r="GZ293" s="9"/>
      <c r="HA293" s="9"/>
      <c r="HB293" s="9"/>
      <c r="HC293" s="9"/>
      <c r="HD293" s="9"/>
      <c r="HE293" s="9"/>
      <c r="HF293" s="9"/>
      <c r="HG293" s="9"/>
      <c r="HH293" s="9"/>
      <c r="HI293" s="9"/>
      <c r="HJ293" s="9"/>
      <c r="HV293" s="50"/>
      <c r="HW293" s="50"/>
      <c r="IH293" t="s">
        <v>491</v>
      </c>
      <c r="II293" t="s">
        <v>492</v>
      </c>
      <c r="JJ293" t="s">
        <v>906</v>
      </c>
      <c r="JK293" s="75" t="s">
        <v>907</v>
      </c>
      <c r="JL293" s="8" t="s">
        <v>495</v>
      </c>
      <c r="JM293" s="8" t="s">
        <v>908</v>
      </c>
      <c r="JN293" s="4" t="s">
        <v>497</v>
      </c>
      <c r="JO293" t="s">
        <v>909</v>
      </c>
      <c r="MY293" t="s">
        <v>910</v>
      </c>
      <c r="MZ293">
        <v>70</v>
      </c>
      <c r="NA293" t="s">
        <v>911</v>
      </c>
      <c r="NB293" s="4" t="s">
        <v>511</v>
      </c>
      <c r="NJ293" t="s">
        <v>948</v>
      </c>
      <c r="NK293" t="s">
        <v>914</v>
      </c>
      <c r="NL293" s="4" t="s">
        <v>654</v>
      </c>
      <c r="NM293" s="6" t="s">
        <v>508</v>
      </c>
      <c r="NU293" t="s">
        <v>915</v>
      </c>
      <c r="NV293" t="s">
        <v>518</v>
      </c>
      <c r="NW293">
        <v>7034</v>
      </c>
      <c r="NX293" t="s">
        <v>480</v>
      </c>
      <c r="NY293" t="s">
        <v>480</v>
      </c>
      <c r="OB293" s="15">
        <v>3</v>
      </c>
      <c r="OU293" t="s">
        <v>939</v>
      </c>
      <c r="OV293" t="s">
        <v>518</v>
      </c>
      <c r="OX293">
        <v>2015</v>
      </c>
      <c r="OY293">
        <v>2016</v>
      </c>
      <c r="PB293" t="s">
        <v>522</v>
      </c>
      <c r="PC293" s="50">
        <v>46105</v>
      </c>
    </row>
    <row r="294" spans="1:419" ht="15.75" thickBot="1">
      <c r="A294" t="s">
        <v>469</v>
      </c>
      <c r="B294" t="s">
        <v>899</v>
      </c>
      <c r="C294" t="s">
        <v>900</v>
      </c>
      <c r="D294" s="59" t="s">
        <v>472</v>
      </c>
      <c r="E294" t="s">
        <v>938</v>
      </c>
      <c r="F294" s="4" t="s">
        <v>902</v>
      </c>
      <c r="G294" t="s">
        <v>475</v>
      </c>
      <c r="H294" t="s">
        <v>476</v>
      </c>
      <c r="I294">
        <v>7.306944444</v>
      </c>
      <c r="J294">
        <v>38.012222219999998</v>
      </c>
      <c r="K294">
        <v>600</v>
      </c>
      <c r="AV294" t="s">
        <v>903</v>
      </c>
      <c r="AW294">
        <v>420</v>
      </c>
      <c r="AX294">
        <v>1.5</v>
      </c>
      <c r="AY294">
        <v>1</v>
      </c>
      <c r="AZ294" t="s">
        <v>904</v>
      </c>
      <c r="BA294">
        <v>2015</v>
      </c>
      <c r="BB294">
        <v>2016</v>
      </c>
      <c r="BD294" t="s">
        <v>918</v>
      </c>
      <c r="BE294" t="s">
        <v>483</v>
      </c>
      <c r="BF294" s="3" t="s">
        <v>484</v>
      </c>
      <c r="BG294" t="s">
        <v>485</v>
      </c>
      <c r="BH294" t="s">
        <v>480</v>
      </c>
      <c r="BI294" t="s">
        <v>486</v>
      </c>
      <c r="BJ294">
        <v>53333</v>
      </c>
      <c r="EG294" s="9"/>
      <c r="EH294" s="9"/>
      <c r="EI294" s="9"/>
      <c r="EJ294" s="9"/>
      <c r="EK294" s="9"/>
      <c r="EL294" s="9"/>
      <c r="EM294" s="9"/>
      <c r="EN294" s="9"/>
      <c r="EO294" s="9"/>
      <c r="EP294" s="9"/>
      <c r="EQ294" s="9"/>
      <c r="ER294" s="9"/>
      <c r="ES294" s="9"/>
      <c r="ET294" s="9"/>
      <c r="EU294" s="9"/>
      <c r="EV294" s="9"/>
      <c r="EW294" s="9"/>
      <c r="EX294" s="9"/>
      <c r="EY294" s="9"/>
      <c r="EZ294" s="9"/>
      <c r="FA294" s="9"/>
      <c r="FB294" s="9"/>
      <c r="FC294" s="9"/>
      <c r="FD294" s="9"/>
      <c r="FE294" s="9"/>
      <c r="FF294" s="9"/>
      <c r="FG294" s="9"/>
      <c r="FH294" s="9"/>
      <c r="FI294" s="9"/>
      <c r="FJ294" s="9"/>
      <c r="FK294" s="9"/>
      <c r="FL294" s="9"/>
      <c r="FM294" s="9"/>
      <c r="FN294" s="9"/>
      <c r="FO294" s="9"/>
      <c r="FP294" s="9"/>
      <c r="FQ294" s="9"/>
      <c r="FR294" s="9"/>
      <c r="FS294" s="9"/>
      <c r="FT294" s="9"/>
      <c r="FU294" s="9"/>
      <c r="FV294" s="9"/>
      <c r="FW294" s="9"/>
      <c r="FX294" s="9"/>
      <c r="FY294" s="9"/>
      <c r="FZ294" s="9"/>
      <c r="GA294" s="9"/>
      <c r="GB294" s="9"/>
      <c r="GC294" s="9"/>
      <c r="GD294" s="9"/>
      <c r="GE294" s="9"/>
      <c r="GF294" s="9"/>
      <c r="GG294" s="9"/>
      <c r="GH294" s="9"/>
      <c r="GI294" s="9"/>
      <c r="GJ294" s="9"/>
      <c r="GK294" s="9"/>
      <c r="GL294" s="9"/>
      <c r="GM294" s="9"/>
      <c r="GN294" s="9"/>
      <c r="GO294" s="9"/>
      <c r="GP294" s="9"/>
      <c r="GQ294" s="9"/>
      <c r="GR294" s="9"/>
      <c r="GS294" s="9"/>
      <c r="GT294" s="9"/>
      <c r="GU294" s="9"/>
      <c r="GV294" s="9"/>
      <c r="GW294" s="9"/>
      <c r="GX294" s="9"/>
      <c r="GY294" s="9"/>
      <c r="GZ294" s="9"/>
      <c r="HA294" s="9"/>
      <c r="HB294" s="9"/>
      <c r="HC294" s="9"/>
      <c r="HD294" s="9"/>
      <c r="HE294" s="9"/>
      <c r="HF294" s="9"/>
      <c r="HG294" s="9"/>
      <c r="HH294" s="9"/>
      <c r="HI294" s="9"/>
      <c r="HJ294" s="9"/>
      <c r="HV294" s="50"/>
      <c r="HW294" s="50"/>
      <c r="IH294" t="s">
        <v>491</v>
      </c>
      <c r="II294" t="s">
        <v>492</v>
      </c>
      <c r="JJ294" t="s">
        <v>919</v>
      </c>
      <c r="JK294" s="46" t="s">
        <v>920</v>
      </c>
      <c r="JL294" t="s">
        <v>495</v>
      </c>
      <c r="JM294" s="8" t="s">
        <v>908</v>
      </c>
      <c r="JN294" s="4" t="s">
        <v>497</v>
      </c>
      <c r="JO294" t="s">
        <v>921</v>
      </c>
      <c r="MY294" t="s">
        <v>910</v>
      </c>
      <c r="MZ294">
        <v>70</v>
      </c>
      <c r="NA294" t="s">
        <v>911</v>
      </c>
      <c r="NB294" s="4" t="s">
        <v>511</v>
      </c>
      <c r="NJ294" t="s">
        <v>948</v>
      </c>
      <c r="NK294" t="s">
        <v>914</v>
      </c>
      <c r="NL294" s="4" t="s">
        <v>654</v>
      </c>
      <c r="NM294" s="6" t="s">
        <v>508</v>
      </c>
      <c r="NU294" t="s">
        <v>657</v>
      </c>
      <c r="NV294" t="s">
        <v>518</v>
      </c>
      <c r="NW294">
        <v>8196</v>
      </c>
      <c r="NX294" t="s">
        <v>480</v>
      </c>
      <c r="NY294" t="s">
        <v>480</v>
      </c>
      <c r="OB294" s="15">
        <v>3</v>
      </c>
      <c r="OU294" t="s">
        <v>939</v>
      </c>
      <c r="OV294" t="s">
        <v>518</v>
      </c>
      <c r="OX294">
        <v>2015</v>
      </c>
      <c r="OY294">
        <v>2016</v>
      </c>
      <c r="PB294" t="s">
        <v>522</v>
      </c>
      <c r="PC294" s="50">
        <v>46105</v>
      </c>
    </row>
    <row r="295" spans="1:419" ht="15.75" thickBot="1">
      <c r="A295" t="s">
        <v>469</v>
      </c>
      <c r="B295" t="s">
        <v>899</v>
      </c>
      <c r="C295" t="s">
        <v>900</v>
      </c>
      <c r="D295" s="59" t="s">
        <v>472</v>
      </c>
      <c r="E295" t="s">
        <v>938</v>
      </c>
      <c r="F295" s="4" t="s">
        <v>902</v>
      </c>
      <c r="G295" t="s">
        <v>475</v>
      </c>
      <c r="H295" t="s">
        <v>476</v>
      </c>
      <c r="I295">
        <v>7.306944444</v>
      </c>
      <c r="J295">
        <v>38.012222219999998</v>
      </c>
      <c r="K295">
        <v>600</v>
      </c>
      <c r="AV295" t="s">
        <v>903</v>
      </c>
      <c r="AW295">
        <v>420</v>
      </c>
      <c r="AX295">
        <v>1.5</v>
      </c>
      <c r="AY295">
        <v>1</v>
      </c>
      <c r="AZ295" t="s">
        <v>904</v>
      </c>
      <c r="BA295">
        <v>2015</v>
      </c>
      <c r="BB295">
        <v>2016</v>
      </c>
      <c r="BD295" t="s">
        <v>922</v>
      </c>
      <c r="BE295" t="s">
        <v>593</v>
      </c>
      <c r="BF295" s="3" t="s">
        <v>484</v>
      </c>
      <c r="BG295" t="s">
        <v>485</v>
      </c>
      <c r="BH295" t="s">
        <v>480</v>
      </c>
      <c r="BI295" t="s">
        <v>486</v>
      </c>
      <c r="BJ295">
        <v>53333</v>
      </c>
      <c r="EG295" s="9"/>
      <c r="EH295" s="9"/>
      <c r="EI295" s="9"/>
      <c r="EJ295" s="9"/>
      <c r="EK295" s="9"/>
      <c r="EL295" s="9"/>
      <c r="EM295" s="9"/>
      <c r="EN295" s="9"/>
      <c r="EO295" s="9"/>
      <c r="EP295" s="9"/>
      <c r="EQ295" s="9"/>
      <c r="ER295" s="9"/>
      <c r="ES295" s="9"/>
      <c r="ET295" s="9"/>
      <c r="EU295" s="9"/>
      <c r="EV295" s="9"/>
      <c r="EW295" s="9"/>
      <c r="EX295" s="9"/>
      <c r="EY295" s="9"/>
      <c r="EZ295" s="9"/>
      <c r="FA295" s="9"/>
      <c r="FB295" s="9"/>
      <c r="FC295" s="9"/>
      <c r="FD295" s="9"/>
      <c r="FE295" s="9"/>
      <c r="FF295" s="9"/>
      <c r="FG295" s="9"/>
      <c r="FH295" s="9"/>
      <c r="FI295" s="9"/>
      <c r="FJ295" s="9"/>
      <c r="FK295" s="9"/>
      <c r="FL295" s="9"/>
      <c r="FM295" s="9"/>
      <c r="FN295" s="9"/>
      <c r="FO295" s="9"/>
      <c r="FP295" s="9"/>
      <c r="FQ295" s="9"/>
      <c r="FR295" s="9"/>
      <c r="FS295" s="9"/>
      <c r="FT295" s="9"/>
      <c r="FU295" s="9"/>
      <c r="FV295" s="9"/>
      <c r="FW295" s="9"/>
      <c r="FX295" s="9"/>
      <c r="FY295" s="9"/>
      <c r="FZ295" s="9"/>
      <c r="GA295" s="9"/>
      <c r="GB295" s="9"/>
      <c r="GC295" s="9"/>
      <c r="GD295" s="9"/>
      <c r="GE295" s="9"/>
      <c r="GF295" s="9"/>
      <c r="GG295" s="9"/>
      <c r="GH295" s="9"/>
      <c r="GI295" s="9"/>
      <c r="GJ295" s="9"/>
      <c r="GK295" s="9"/>
      <c r="GL295" s="9"/>
      <c r="GM295" s="9"/>
      <c r="GN295" s="9"/>
      <c r="GO295" s="9"/>
      <c r="GP295" s="9"/>
      <c r="GQ295" s="9"/>
      <c r="GR295" s="9"/>
      <c r="GS295" s="9"/>
      <c r="GT295" s="9"/>
      <c r="GU295" s="9"/>
      <c r="GV295" s="9"/>
      <c r="GW295" s="9"/>
      <c r="GX295" s="9"/>
      <c r="GY295" s="9"/>
      <c r="GZ295" s="9"/>
      <c r="HA295" s="9"/>
      <c r="HB295" s="9"/>
      <c r="HC295" s="9"/>
      <c r="HD295" s="9"/>
      <c r="HE295" s="9"/>
      <c r="HF295" s="9"/>
      <c r="HG295" s="9"/>
      <c r="HH295" s="9"/>
      <c r="HI295" s="9"/>
      <c r="HJ295" s="9"/>
      <c r="HQ295" t="s">
        <v>923</v>
      </c>
      <c r="HV295" s="50"/>
      <c r="HW295" s="50"/>
      <c r="IH295" t="s">
        <v>491</v>
      </c>
      <c r="II295" t="s">
        <v>492</v>
      </c>
      <c r="JJ295" t="s">
        <v>924</v>
      </c>
      <c r="JK295" s="75" t="s">
        <v>907</v>
      </c>
      <c r="JL295" t="s">
        <v>495</v>
      </c>
      <c r="JM295" s="8" t="s">
        <v>908</v>
      </c>
      <c r="JN295" s="4" t="s">
        <v>497</v>
      </c>
      <c r="JO295" t="s">
        <v>909</v>
      </c>
      <c r="KV295" t="s">
        <v>925</v>
      </c>
      <c r="MY295" t="s">
        <v>910</v>
      </c>
      <c r="MZ295">
        <v>70</v>
      </c>
      <c r="NA295" t="s">
        <v>911</v>
      </c>
      <c r="NB295" s="4" t="s">
        <v>511</v>
      </c>
      <c r="NJ295" t="s">
        <v>948</v>
      </c>
      <c r="NK295" t="s">
        <v>914</v>
      </c>
      <c r="NL295" s="4" t="s">
        <v>654</v>
      </c>
      <c r="NM295" s="6" t="s">
        <v>508</v>
      </c>
      <c r="NU295" t="s">
        <v>915</v>
      </c>
      <c r="NV295" t="s">
        <v>518</v>
      </c>
      <c r="NW295">
        <v>8996</v>
      </c>
      <c r="NX295" t="s">
        <v>480</v>
      </c>
      <c r="NY295" t="s">
        <v>480</v>
      </c>
      <c r="OB295" s="15">
        <v>3</v>
      </c>
      <c r="OU295" t="s">
        <v>939</v>
      </c>
      <c r="OV295" t="s">
        <v>518</v>
      </c>
      <c r="OX295">
        <v>2015</v>
      </c>
      <c r="OY295">
        <v>2016</v>
      </c>
      <c r="PB295" t="s">
        <v>522</v>
      </c>
      <c r="PC295" s="50">
        <v>46105</v>
      </c>
    </row>
    <row r="296" spans="1:419" ht="15.75" thickBot="1">
      <c r="A296" t="s">
        <v>469</v>
      </c>
      <c r="B296" t="s">
        <v>899</v>
      </c>
      <c r="C296" t="s">
        <v>900</v>
      </c>
      <c r="D296" s="59" t="s">
        <v>472</v>
      </c>
      <c r="E296" t="s">
        <v>938</v>
      </c>
      <c r="F296" s="4" t="s">
        <v>902</v>
      </c>
      <c r="G296" t="s">
        <v>475</v>
      </c>
      <c r="H296" t="s">
        <v>476</v>
      </c>
      <c r="I296">
        <v>7.306944444</v>
      </c>
      <c r="J296">
        <v>38.012222219999998</v>
      </c>
      <c r="K296">
        <v>600</v>
      </c>
      <c r="AV296" t="s">
        <v>903</v>
      </c>
      <c r="AW296">
        <v>420</v>
      </c>
      <c r="AX296">
        <v>1.5</v>
      </c>
      <c r="AY296">
        <v>1</v>
      </c>
      <c r="AZ296" t="s">
        <v>904</v>
      </c>
      <c r="BA296">
        <v>2015</v>
      </c>
      <c r="BB296">
        <v>2016</v>
      </c>
      <c r="BD296" t="s">
        <v>926</v>
      </c>
      <c r="BE296" t="s">
        <v>536</v>
      </c>
      <c r="BF296" s="3" t="s">
        <v>484</v>
      </c>
      <c r="BG296" t="s">
        <v>485</v>
      </c>
      <c r="BH296" t="s">
        <v>480</v>
      </c>
      <c r="BI296" t="s">
        <v>486</v>
      </c>
      <c r="BJ296">
        <v>53333</v>
      </c>
      <c r="BK296" t="s">
        <v>537</v>
      </c>
      <c r="BL296" t="s">
        <v>927</v>
      </c>
      <c r="BM296" t="s">
        <v>480</v>
      </c>
      <c r="BN296" t="s">
        <v>486</v>
      </c>
      <c r="BO296">
        <v>266666</v>
      </c>
      <c r="EG296" s="9"/>
      <c r="EH296" s="9"/>
      <c r="EI296" s="9"/>
      <c r="EJ296" s="9"/>
      <c r="EK296" s="9"/>
      <c r="EL296" s="9"/>
      <c r="EM296" s="9"/>
      <c r="EN296" s="9"/>
      <c r="EO296" s="9"/>
      <c r="EP296" s="9"/>
      <c r="EQ296" s="9"/>
      <c r="ER296" s="9"/>
      <c r="ES296" s="9"/>
      <c r="ET296" s="9"/>
      <c r="EU296" s="9"/>
      <c r="EV296" s="9"/>
      <c r="EW296" s="9"/>
      <c r="EX296" s="9"/>
      <c r="EY296" s="9"/>
      <c r="EZ296" s="9"/>
      <c r="FA296" s="9"/>
      <c r="FB296" s="9"/>
      <c r="FC296" s="9"/>
      <c r="FD296" s="9"/>
      <c r="FE296" s="9"/>
      <c r="FF296" s="9"/>
      <c r="FG296" s="9"/>
      <c r="FH296" s="9"/>
      <c r="FI296" s="9"/>
      <c r="FJ296" s="9"/>
      <c r="FK296" s="9"/>
      <c r="FL296" s="9"/>
      <c r="FM296" s="9"/>
      <c r="FN296" s="9"/>
      <c r="FO296" s="9"/>
      <c r="FP296" s="9"/>
      <c r="FQ296" s="9"/>
      <c r="FR296" s="9"/>
      <c r="FS296" s="9"/>
      <c r="FT296" s="9"/>
      <c r="FU296" s="9"/>
      <c r="FV296" s="9"/>
      <c r="FW296" s="9"/>
      <c r="FX296" s="9"/>
      <c r="FY296" s="9"/>
      <c r="FZ296" s="9"/>
      <c r="GA296" s="9"/>
      <c r="GB296" s="9"/>
      <c r="GC296" s="9"/>
      <c r="GD296" s="9"/>
      <c r="GE296" s="9"/>
      <c r="GF296" s="9"/>
      <c r="GG296" s="9"/>
      <c r="GH296" s="9"/>
      <c r="GI296" s="9"/>
      <c r="GJ296" s="9"/>
      <c r="GK296" s="9"/>
      <c r="GL296" s="9"/>
      <c r="GM296" s="9"/>
      <c r="GN296" s="9"/>
      <c r="GO296" s="9"/>
      <c r="GP296" s="9"/>
      <c r="GQ296" s="9"/>
      <c r="GR296" s="9"/>
      <c r="GS296" s="9"/>
      <c r="GT296" s="9"/>
      <c r="GU296" s="9"/>
      <c r="GV296" s="9"/>
      <c r="GW296" s="9"/>
      <c r="GX296" s="9"/>
      <c r="GY296" s="9"/>
      <c r="GZ296" s="9"/>
      <c r="HA296" s="9"/>
      <c r="HB296" s="9"/>
      <c r="HC296" s="9"/>
      <c r="HD296" s="9"/>
      <c r="HE296" s="9"/>
      <c r="HF296" s="9"/>
      <c r="HG296" s="9"/>
      <c r="HH296" s="9"/>
      <c r="HI296" s="9"/>
      <c r="HJ296" s="9"/>
      <c r="HV296" s="50"/>
      <c r="HW296" s="50"/>
      <c r="IH296" t="s">
        <v>928</v>
      </c>
      <c r="II296" s="75" t="s">
        <v>929</v>
      </c>
      <c r="IJ296" t="s">
        <v>542</v>
      </c>
      <c r="IK296" t="s">
        <v>543</v>
      </c>
      <c r="IL296" t="s">
        <v>480</v>
      </c>
      <c r="IM296" t="s">
        <v>480</v>
      </c>
      <c r="IN296" t="s">
        <v>480</v>
      </c>
      <c r="JJ296" t="s">
        <v>930</v>
      </c>
      <c r="JK296" t="s">
        <v>920</v>
      </c>
      <c r="JL296" t="s">
        <v>495</v>
      </c>
      <c r="JM296" t="s">
        <v>908</v>
      </c>
      <c r="JN296" s="4" t="s">
        <v>497</v>
      </c>
      <c r="JO296" t="s">
        <v>921</v>
      </c>
      <c r="MY296" t="s">
        <v>910</v>
      </c>
      <c r="MZ296">
        <v>70</v>
      </c>
      <c r="NA296" t="s">
        <v>911</v>
      </c>
      <c r="NB296" s="4" t="s">
        <v>511</v>
      </c>
      <c r="NJ296" t="s">
        <v>948</v>
      </c>
      <c r="NK296" t="s">
        <v>914</v>
      </c>
      <c r="NL296" s="4" t="s">
        <v>654</v>
      </c>
      <c r="NM296" s="6" t="s">
        <v>508</v>
      </c>
      <c r="NV296" t="s">
        <v>518</v>
      </c>
      <c r="NW296">
        <v>7896</v>
      </c>
      <c r="NX296" t="s">
        <v>480</v>
      </c>
      <c r="NY296" t="s">
        <v>480</v>
      </c>
      <c r="OB296" s="15">
        <v>3</v>
      </c>
      <c r="OU296" t="s">
        <v>939</v>
      </c>
      <c r="OV296" t="s">
        <v>518</v>
      </c>
      <c r="OX296">
        <v>2015</v>
      </c>
      <c r="OY296">
        <v>2016</v>
      </c>
      <c r="PB296" t="s">
        <v>522</v>
      </c>
      <c r="PC296" s="50">
        <v>46105</v>
      </c>
    </row>
    <row r="297" spans="1:419" ht="15.75" thickBot="1">
      <c r="A297" t="s">
        <v>469</v>
      </c>
      <c r="B297" t="s">
        <v>899</v>
      </c>
      <c r="C297" t="s">
        <v>900</v>
      </c>
      <c r="D297" s="59" t="s">
        <v>472</v>
      </c>
      <c r="E297" t="s">
        <v>938</v>
      </c>
      <c r="F297" s="4" t="s">
        <v>902</v>
      </c>
      <c r="G297" t="s">
        <v>475</v>
      </c>
      <c r="H297" t="s">
        <v>476</v>
      </c>
      <c r="I297">
        <v>7.306944444</v>
      </c>
      <c r="J297">
        <v>38.012222219999998</v>
      </c>
      <c r="K297">
        <v>600</v>
      </c>
      <c r="AV297" t="s">
        <v>903</v>
      </c>
      <c r="AW297">
        <v>420</v>
      </c>
      <c r="AX297">
        <v>1.5</v>
      </c>
      <c r="AY297">
        <v>1</v>
      </c>
      <c r="AZ297" t="s">
        <v>904</v>
      </c>
      <c r="BA297">
        <v>2015</v>
      </c>
      <c r="BB297">
        <v>2016</v>
      </c>
      <c r="BD297" t="s">
        <v>931</v>
      </c>
      <c r="BE297" t="s">
        <v>566</v>
      </c>
      <c r="BF297" s="3" t="s">
        <v>484</v>
      </c>
      <c r="BG297" t="s">
        <v>485</v>
      </c>
      <c r="BH297" t="s">
        <v>480</v>
      </c>
      <c r="BI297" t="s">
        <v>486</v>
      </c>
      <c r="BJ297">
        <v>53333</v>
      </c>
      <c r="BK297" t="s">
        <v>537</v>
      </c>
      <c r="BL297" t="s">
        <v>932</v>
      </c>
      <c r="BM297" t="s">
        <v>480</v>
      </c>
      <c r="BN297" t="s">
        <v>486</v>
      </c>
      <c r="BO297">
        <v>66666</v>
      </c>
      <c r="EG297" s="9"/>
      <c r="EH297" s="9"/>
      <c r="EI297" s="9"/>
      <c r="EJ297" s="9"/>
      <c r="EK297" s="9"/>
      <c r="EL297" s="9"/>
      <c r="EM297" s="9"/>
      <c r="EN297" s="9"/>
      <c r="EO297" s="9"/>
      <c r="EP297" s="9"/>
      <c r="EQ297" s="9"/>
      <c r="ER297" s="9"/>
      <c r="ES297" s="9"/>
      <c r="ET297" s="9"/>
      <c r="EU297" s="9"/>
      <c r="EV297" s="9"/>
      <c r="EW297" s="9"/>
      <c r="EX297" s="9"/>
      <c r="EY297" s="9"/>
      <c r="EZ297" s="9"/>
      <c r="FA297" s="9"/>
      <c r="FB297" s="9"/>
      <c r="FC297" s="9"/>
      <c r="FD297" s="9"/>
      <c r="FE297" s="9"/>
      <c r="FF297" s="9"/>
      <c r="FG297" s="9"/>
      <c r="FH297" s="9"/>
      <c r="FI297" s="9"/>
      <c r="FJ297" s="9"/>
      <c r="FK297" s="9"/>
      <c r="FL297" s="9"/>
      <c r="FM297" s="9"/>
      <c r="FN297" s="9"/>
      <c r="FO297" s="9"/>
      <c r="FP297" s="9"/>
      <c r="FQ297" s="9"/>
      <c r="FR297" s="9"/>
      <c r="FS297" s="9"/>
      <c r="FT297" s="9"/>
      <c r="FU297" s="9"/>
      <c r="FV297" s="9"/>
      <c r="FW297" s="9"/>
      <c r="FX297" s="9"/>
      <c r="FY297" s="9"/>
      <c r="FZ297" s="9"/>
      <c r="GA297" s="9"/>
      <c r="GB297" s="9"/>
      <c r="GC297" s="9"/>
      <c r="GD297" s="9"/>
      <c r="GE297" s="9"/>
      <c r="GF297" s="9"/>
      <c r="GG297" s="9"/>
      <c r="GH297" s="9"/>
      <c r="GI297" s="9"/>
      <c r="GJ297" s="9"/>
      <c r="GK297" s="9"/>
      <c r="GL297" s="9"/>
      <c r="GM297" s="9"/>
      <c r="GN297" s="9"/>
      <c r="GO297" s="9"/>
      <c r="GP297" s="9"/>
      <c r="GQ297" s="9"/>
      <c r="GR297" s="9"/>
      <c r="GS297" s="9"/>
      <c r="GT297" s="9"/>
      <c r="GU297" s="9"/>
      <c r="GV297" s="9"/>
      <c r="GW297" s="9"/>
      <c r="GX297" s="9"/>
      <c r="GY297" s="9"/>
      <c r="GZ297" s="9"/>
      <c r="HA297" s="9"/>
      <c r="HB297" s="9"/>
      <c r="HC297" s="9"/>
      <c r="HD297" s="9"/>
      <c r="HE297" s="9"/>
      <c r="HF297" s="9"/>
      <c r="HG297" s="9"/>
      <c r="HH297" s="9"/>
      <c r="HI297" s="9"/>
      <c r="HJ297" s="9"/>
      <c r="HV297" s="50"/>
      <c r="HW297" s="50"/>
      <c r="IH297" t="s">
        <v>933</v>
      </c>
      <c r="II297" s="75" t="s">
        <v>929</v>
      </c>
      <c r="IJ297" t="s">
        <v>542</v>
      </c>
      <c r="IK297" t="s">
        <v>543</v>
      </c>
      <c r="IL297" t="s">
        <v>480</v>
      </c>
      <c r="IM297" t="s">
        <v>480</v>
      </c>
      <c r="IN297" t="s">
        <v>480</v>
      </c>
      <c r="JJ297" t="s">
        <v>934</v>
      </c>
      <c r="JK297" t="s">
        <v>920</v>
      </c>
      <c r="JL297" t="s">
        <v>495</v>
      </c>
      <c r="JM297" t="s">
        <v>908</v>
      </c>
      <c r="JN297" s="4" t="s">
        <v>497</v>
      </c>
      <c r="JO297" t="s">
        <v>921</v>
      </c>
      <c r="MY297" t="s">
        <v>910</v>
      </c>
      <c r="MZ297">
        <v>70</v>
      </c>
      <c r="NA297" t="s">
        <v>911</v>
      </c>
      <c r="NB297" s="4" t="s">
        <v>511</v>
      </c>
      <c r="NJ297" t="s">
        <v>948</v>
      </c>
      <c r="NK297" t="s">
        <v>914</v>
      </c>
      <c r="NL297" s="4" t="s">
        <v>654</v>
      </c>
      <c r="NM297" s="6" t="s">
        <v>508</v>
      </c>
      <c r="NV297" t="s">
        <v>518</v>
      </c>
      <c r="NW297">
        <v>8578</v>
      </c>
      <c r="NX297" t="s">
        <v>480</v>
      </c>
      <c r="NY297" t="s">
        <v>480</v>
      </c>
      <c r="OB297" s="15">
        <v>3</v>
      </c>
      <c r="OU297" t="s">
        <v>939</v>
      </c>
      <c r="OV297" t="s">
        <v>518</v>
      </c>
      <c r="OX297">
        <v>2015</v>
      </c>
      <c r="OY297">
        <v>2016</v>
      </c>
      <c r="PB297" t="s">
        <v>522</v>
      </c>
      <c r="PC297" s="50">
        <v>46105</v>
      </c>
    </row>
    <row r="298" spans="1:419" ht="15.75" thickBot="1">
      <c r="A298" t="s">
        <v>469</v>
      </c>
      <c r="B298" t="s">
        <v>899</v>
      </c>
      <c r="C298" t="s">
        <v>900</v>
      </c>
      <c r="D298" s="59" t="s">
        <v>472</v>
      </c>
      <c r="E298" t="s">
        <v>938</v>
      </c>
      <c r="F298" s="4" t="s">
        <v>902</v>
      </c>
      <c r="G298" t="s">
        <v>475</v>
      </c>
      <c r="H298" t="s">
        <v>476</v>
      </c>
      <c r="I298">
        <v>7.306944444</v>
      </c>
      <c r="J298">
        <v>38.012222219999998</v>
      </c>
      <c r="K298">
        <v>600</v>
      </c>
      <c r="AV298" t="s">
        <v>903</v>
      </c>
      <c r="AW298">
        <v>420</v>
      </c>
      <c r="AX298">
        <v>1.5</v>
      </c>
      <c r="AY298">
        <v>1</v>
      </c>
      <c r="AZ298" t="s">
        <v>904</v>
      </c>
      <c r="BA298">
        <v>2015</v>
      </c>
      <c r="BB298">
        <v>2016</v>
      </c>
      <c r="BD298" t="s">
        <v>936</v>
      </c>
      <c r="BE298" t="s">
        <v>602</v>
      </c>
      <c r="BF298" s="3" t="s">
        <v>484</v>
      </c>
      <c r="BG298" t="s">
        <v>485</v>
      </c>
      <c r="BH298" t="s">
        <v>480</v>
      </c>
      <c r="BI298" t="s">
        <v>486</v>
      </c>
      <c r="BJ298">
        <v>53333</v>
      </c>
      <c r="EG298" s="9"/>
      <c r="EH298" s="9"/>
      <c r="EI298" s="9"/>
      <c r="EJ298" s="9"/>
      <c r="EK298" s="9"/>
      <c r="EL298" s="9"/>
      <c r="EM298" s="9"/>
      <c r="EN298" s="9"/>
      <c r="EO298" s="9"/>
      <c r="EP298" s="9"/>
      <c r="EQ298" s="9"/>
      <c r="ER298" s="9"/>
      <c r="ES298" s="9"/>
      <c r="ET298" s="9"/>
      <c r="EU298" s="9"/>
      <c r="EV298" s="9"/>
      <c r="EW298" s="9"/>
      <c r="EX298" s="9"/>
      <c r="EY298" s="9"/>
      <c r="EZ298" s="9"/>
      <c r="FA298" s="9"/>
      <c r="FB298" s="9"/>
      <c r="FC298" s="9"/>
      <c r="FD298" s="9"/>
      <c r="FE298" s="9"/>
      <c r="FF298" s="9"/>
      <c r="FG298" s="9"/>
      <c r="FH298" s="9"/>
      <c r="FI298" s="9"/>
      <c r="FJ298" s="9"/>
      <c r="FK298" s="9"/>
      <c r="FL298" s="9"/>
      <c r="FM298" s="9"/>
      <c r="FN298" s="9"/>
      <c r="FO298" s="9"/>
      <c r="FP298" s="9"/>
      <c r="FQ298" s="9"/>
      <c r="FR298" s="9"/>
      <c r="FS298" s="9"/>
      <c r="FT298" s="9"/>
      <c r="FU298" s="9"/>
      <c r="FV298" s="9"/>
      <c r="FW298" s="9"/>
      <c r="FX298" s="9"/>
      <c r="FY298" s="9"/>
      <c r="FZ298" s="9"/>
      <c r="GA298" s="9"/>
      <c r="GB298" s="9"/>
      <c r="GC298" s="9"/>
      <c r="GD298" s="9"/>
      <c r="GE298" s="9"/>
      <c r="GF298" s="9"/>
      <c r="GG298" s="9"/>
      <c r="GH298" s="9"/>
      <c r="GI298" s="9"/>
      <c r="GJ298" s="9"/>
      <c r="GK298" s="9"/>
      <c r="GL298" s="9"/>
      <c r="GM298" s="9"/>
      <c r="GN298" s="9"/>
      <c r="GO298" s="9"/>
      <c r="GP298" s="9"/>
      <c r="GQ298" s="9"/>
      <c r="GR298" s="9"/>
      <c r="GS298" s="9"/>
      <c r="GT298" s="9"/>
      <c r="GU298" s="9"/>
      <c r="GV298" s="9"/>
      <c r="GW298" s="9"/>
      <c r="GX298" s="9"/>
      <c r="GY298" s="9"/>
      <c r="GZ298" s="9"/>
      <c r="HA298" s="9"/>
      <c r="HB298" s="9"/>
      <c r="HC298" s="9"/>
      <c r="HD298" s="9"/>
      <c r="HE298" s="9"/>
      <c r="HF298" s="9"/>
      <c r="HG298" s="9"/>
      <c r="HH298" s="9"/>
      <c r="HI298" s="9"/>
      <c r="HJ298" s="9"/>
      <c r="HQ298" t="s">
        <v>923</v>
      </c>
      <c r="HV298" s="50"/>
      <c r="HW298" s="50"/>
      <c r="IH298" t="s">
        <v>491</v>
      </c>
      <c r="II298" t="s">
        <v>492</v>
      </c>
      <c r="JJ298" t="s">
        <v>937</v>
      </c>
      <c r="JK298" t="s">
        <v>920</v>
      </c>
      <c r="JL298" t="s">
        <v>495</v>
      </c>
      <c r="JM298" s="8" t="s">
        <v>908</v>
      </c>
      <c r="JN298" s="4" t="s">
        <v>497</v>
      </c>
      <c r="JO298" t="s">
        <v>921</v>
      </c>
      <c r="MY298" t="s">
        <v>910</v>
      </c>
      <c r="MZ298">
        <v>70</v>
      </c>
      <c r="NA298" t="s">
        <v>911</v>
      </c>
      <c r="NB298" s="4" t="s">
        <v>511</v>
      </c>
      <c r="NJ298" t="s">
        <v>948</v>
      </c>
      <c r="NK298" t="s">
        <v>914</v>
      </c>
      <c r="NL298" s="4" t="s">
        <v>654</v>
      </c>
      <c r="NM298" s="6" t="s">
        <v>508</v>
      </c>
      <c r="NU298" t="s">
        <v>657</v>
      </c>
      <c r="NV298" t="s">
        <v>518</v>
      </c>
      <c r="NW298">
        <v>9375</v>
      </c>
      <c r="NX298" t="s">
        <v>480</v>
      </c>
      <c r="NY298" t="s">
        <v>480</v>
      </c>
      <c r="OB298" s="15">
        <v>3</v>
      </c>
      <c r="OU298" t="s">
        <v>939</v>
      </c>
      <c r="OV298" t="s">
        <v>518</v>
      </c>
      <c r="OX298">
        <v>2015</v>
      </c>
      <c r="OY298">
        <v>2016</v>
      </c>
      <c r="PB298" t="s">
        <v>522</v>
      </c>
      <c r="PC298" s="50">
        <v>46105</v>
      </c>
    </row>
    <row r="299" spans="1:419" ht="15.75" thickBot="1">
      <c r="A299" t="s">
        <v>469</v>
      </c>
      <c r="B299" t="s">
        <v>899</v>
      </c>
      <c r="C299" t="s">
        <v>900</v>
      </c>
      <c r="D299" s="59" t="s">
        <v>472</v>
      </c>
      <c r="E299" t="s">
        <v>940</v>
      </c>
      <c r="F299" s="4" t="s">
        <v>902</v>
      </c>
      <c r="G299" t="s">
        <v>475</v>
      </c>
      <c r="H299" t="s">
        <v>476</v>
      </c>
      <c r="I299">
        <v>6.7519444440000003</v>
      </c>
      <c r="J299">
        <v>38.33361111</v>
      </c>
      <c r="K299">
        <v>500</v>
      </c>
      <c r="AV299" t="s">
        <v>903</v>
      </c>
      <c r="AW299">
        <v>420</v>
      </c>
      <c r="AX299">
        <v>0.18</v>
      </c>
      <c r="AY299">
        <v>1</v>
      </c>
      <c r="AZ299" t="s">
        <v>904</v>
      </c>
      <c r="BA299">
        <v>2015</v>
      </c>
      <c r="BB299">
        <v>2016</v>
      </c>
      <c r="BD299" t="s">
        <v>905</v>
      </c>
      <c r="BE299" t="s">
        <v>524</v>
      </c>
      <c r="BF299" s="3" t="s">
        <v>484</v>
      </c>
      <c r="BG299" t="s">
        <v>485</v>
      </c>
      <c r="BH299" t="s">
        <v>480</v>
      </c>
      <c r="BI299" s="4" t="s">
        <v>486</v>
      </c>
      <c r="BJ299">
        <v>53333</v>
      </c>
      <c r="EG299" s="9"/>
      <c r="EH299" s="9"/>
      <c r="EI299" s="9"/>
      <c r="EJ299" s="9"/>
      <c r="EK299" s="9"/>
      <c r="EL299" s="9"/>
      <c r="EM299" s="9"/>
      <c r="EN299" s="9"/>
      <c r="EO299" s="9"/>
      <c r="EP299" s="9"/>
      <c r="EQ299" s="9"/>
      <c r="ER299" s="9"/>
      <c r="ES299" s="9"/>
      <c r="ET299" s="9"/>
      <c r="EU299" s="9"/>
      <c r="EV299" s="9"/>
      <c r="EW299" s="9"/>
      <c r="EX299" s="9"/>
      <c r="EY299" s="9"/>
      <c r="EZ299" s="9"/>
      <c r="FA299" s="9"/>
      <c r="FB299" s="9"/>
      <c r="FC299" s="9"/>
      <c r="FD299" s="9"/>
      <c r="FE299" s="9"/>
      <c r="FF299" s="9"/>
      <c r="FG299" s="9"/>
      <c r="FH299" s="9"/>
      <c r="FI299" s="9"/>
      <c r="FJ299" s="9"/>
      <c r="FK299" s="9"/>
      <c r="FL299" s="9"/>
      <c r="FM299" s="9"/>
      <c r="FN299" s="9"/>
      <c r="FO299" s="9"/>
      <c r="FP299" s="9"/>
      <c r="FQ299" s="9"/>
      <c r="FR299" s="9"/>
      <c r="FS299" s="9"/>
      <c r="FT299" s="9"/>
      <c r="FU299" s="9"/>
      <c r="FV299" s="9"/>
      <c r="FW299" s="9"/>
      <c r="FX299" s="9"/>
      <c r="FY299" s="9"/>
      <c r="FZ299" s="9"/>
      <c r="GA299" s="9"/>
      <c r="GB299" s="9"/>
      <c r="GC299" s="9"/>
      <c r="GD299" s="9"/>
      <c r="GE299" s="9"/>
      <c r="GF299" s="9"/>
      <c r="GG299" s="9"/>
      <c r="GH299" s="9"/>
      <c r="GI299" s="9"/>
      <c r="GJ299" s="9"/>
      <c r="GK299" s="9"/>
      <c r="GL299" s="9"/>
      <c r="GM299" s="9"/>
      <c r="GN299" s="9"/>
      <c r="GO299" s="9"/>
      <c r="GP299" s="9"/>
      <c r="GQ299" s="9"/>
      <c r="GR299" s="9"/>
      <c r="GS299" s="9"/>
      <c r="GT299" s="9"/>
      <c r="GU299" s="9"/>
      <c r="GV299" s="9"/>
      <c r="GW299" s="9"/>
      <c r="GX299" s="9"/>
      <c r="GY299" s="9"/>
      <c r="GZ299" s="9"/>
      <c r="HA299" s="9"/>
      <c r="HB299" s="9"/>
      <c r="HC299" s="9"/>
      <c r="HD299" s="9"/>
      <c r="HE299" s="9"/>
      <c r="HF299" s="9"/>
      <c r="HG299" s="9"/>
      <c r="HH299" s="9"/>
      <c r="HI299" s="9"/>
      <c r="HJ299" s="9"/>
      <c r="HV299" s="50"/>
      <c r="HW299" s="50"/>
      <c r="IH299" t="s">
        <v>491</v>
      </c>
      <c r="II299" t="s">
        <v>492</v>
      </c>
      <c r="JJ299" t="s">
        <v>906</v>
      </c>
      <c r="JK299" s="75" t="s">
        <v>907</v>
      </c>
      <c r="JL299" s="8" t="s">
        <v>495</v>
      </c>
      <c r="JM299" s="8" t="s">
        <v>908</v>
      </c>
      <c r="JN299" s="4" t="s">
        <v>497</v>
      </c>
      <c r="JO299" t="s">
        <v>909</v>
      </c>
      <c r="MY299" t="s">
        <v>910</v>
      </c>
      <c r="MZ299">
        <v>70</v>
      </c>
      <c r="NA299" t="s">
        <v>911</v>
      </c>
      <c r="NB299" t="s">
        <v>548</v>
      </c>
      <c r="NC299" s="4"/>
      <c r="NJ299" t="s">
        <v>948</v>
      </c>
      <c r="NK299" t="s">
        <v>914</v>
      </c>
      <c r="NL299" s="78" t="s">
        <v>660</v>
      </c>
      <c r="NM299" s="6" t="s">
        <v>508</v>
      </c>
      <c r="NU299" t="s">
        <v>915</v>
      </c>
      <c r="NV299" t="s">
        <v>518</v>
      </c>
      <c r="NW299">
        <v>5293</v>
      </c>
      <c r="NX299" t="s">
        <v>480</v>
      </c>
      <c r="NY299" t="s">
        <v>480</v>
      </c>
      <c r="OB299" s="15">
        <v>3</v>
      </c>
      <c r="OU299" t="s">
        <v>941</v>
      </c>
      <c r="OV299" t="s">
        <v>518</v>
      </c>
      <c r="OX299">
        <v>2015</v>
      </c>
      <c r="OY299">
        <v>2016</v>
      </c>
      <c r="PB299" t="s">
        <v>522</v>
      </c>
      <c r="PC299" s="50">
        <v>46105</v>
      </c>
    </row>
    <row r="300" spans="1:419" ht="15.75" thickBot="1">
      <c r="A300" t="s">
        <v>469</v>
      </c>
      <c r="B300" t="s">
        <v>899</v>
      </c>
      <c r="C300" t="s">
        <v>900</v>
      </c>
      <c r="D300" s="59" t="s">
        <v>472</v>
      </c>
      <c r="E300" t="s">
        <v>940</v>
      </c>
      <c r="F300" s="4" t="s">
        <v>902</v>
      </c>
      <c r="G300" t="s">
        <v>475</v>
      </c>
      <c r="H300" t="s">
        <v>476</v>
      </c>
      <c r="I300">
        <v>6.7519444440000003</v>
      </c>
      <c r="J300">
        <v>38.33361111</v>
      </c>
      <c r="K300">
        <v>500</v>
      </c>
      <c r="AV300" t="s">
        <v>903</v>
      </c>
      <c r="AW300">
        <v>420</v>
      </c>
      <c r="AX300">
        <v>0.18</v>
      </c>
      <c r="AY300">
        <v>1</v>
      </c>
      <c r="AZ300" t="s">
        <v>904</v>
      </c>
      <c r="BA300">
        <v>2015</v>
      </c>
      <c r="BB300">
        <v>2016</v>
      </c>
      <c r="BD300" t="s">
        <v>918</v>
      </c>
      <c r="BE300" t="s">
        <v>483</v>
      </c>
      <c r="BF300" s="3" t="s">
        <v>484</v>
      </c>
      <c r="BG300" t="s">
        <v>485</v>
      </c>
      <c r="BH300" t="s">
        <v>480</v>
      </c>
      <c r="BI300" t="s">
        <v>486</v>
      </c>
      <c r="BJ300">
        <v>53333</v>
      </c>
      <c r="EG300" s="9"/>
      <c r="EH300" s="9"/>
      <c r="EI300" s="9"/>
      <c r="EJ300" s="9"/>
      <c r="EK300" s="9"/>
      <c r="EL300" s="9"/>
      <c r="EM300" s="9"/>
      <c r="EN300" s="9"/>
      <c r="EO300" s="9"/>
      <c r="EP300" s="9"/>
      <c r="EQ300" s="9"/>
      <c r="ER300" s="9"/>
      <c r="ES300" s="9"/>
      <c r="ET300" s="9"/>
      <c r="EU300" s="9"/>
      <c r="EV300" s="9"/>
      <c r="EW300" s="9"/>
      <c r="EX300" s="9"/>
      <c r="EY300" s="9"/>
      <c r="EZ300" s="9"/>
      <c r="FA300" s="9"/>
      <c r="FB300" s="9"/>
      <c r="FC300" s="9"/>
      <c r="FD300" s="9"/>
      <c r="FE300" s="9"/>
      <c r="FF300" s="9"/>
      <c r="FG300" s="9"/>
      <c r="FH300" s="9"/>
      <c r="FI300" s="9"/>
      <c r="FJ300" s="9"/>
      <c r="FK300" s="9"/>
      <c r="FL300" s="9"/>
      <c r="FM300" s="9"/>
      <c r="FN300" s="9"/>
      <c r="FO300" s="9"/>
      <c r="FP300" s="9"/>
      <c r="FQ300" s="9"/>
      <c r="FR300" s="9"/>
      <c r="FS300" s="9"/>
      <c r="FT300" s="9"/>
      <c r="FU300" s="9"/>
      <c r="FV300" s="9"/>
      <c r="FW300" s="9"/>
      <c r="FX300" s="9"/>
      <c r="FY300" s="9"/>
      <c r="FZ300" s="9"/>
      <c r="GA300" s="9"/>
      <c r="GB300" s="9"/>
      <c r="GC300" s="9"/>
      <c r="GD300" s="9"/>
      <c r="GE300" s="9"/>
      <c r="GF300" s="9"/>
      <c r="GG300" s="9"/>
      <c r="GH300" s="9"/>
      <c r="GI300" s="9"/>
      <c r="GJ300" s="9"/>
      <c r="GK300" s="9"/>
      <c r="GL300" s="9"/>
      <c r="GM300" s="9"/>
      <c r="GN300" s="9"/>
      <c r="GO300" s="9"/>
      <c r="GP300" s="9"/>
      <c r="GQ300" s="9"/>
      <c r="GR300" s="9"/>
      <c r="GS300" s="9"/>
      <c r="GT300" s="9"/>
      <c r="GU300" s="9"/>
      <c r="GV300" s="9"/>
      <c r="GW300" s="9"/>
      <c r="GX300" s="9"/>
      <c r="GY300" s="9"/>
      <c r="GZ300" s="9"/>
      <c r="HA300" s="9"/>
      <c r="HB300" s="9"/>
      <c r="HC300" s="9"/>
      <c r="HD300" s="9"/>
      <c r="HE300" s="9"/>
      <c r="HF300" s="9"/>
      <c r="HG300" s="9"/>
      <c r="HH300" s="9"/>
      <c r="HI300" s="9"/>
      <c r="HJ300" s="9"/>
      <c r="HV300" s="50"/>
      <c r="HW300" s="50"/>
      <c r="IH300" t="s">
        <v>491</v>
      </c>
      <c r="II300" t="s">
        <v>492</v>
      </c>
      <c r="JJ300" t="s">
        <v>919</v>
      </c>
      <c r="JK300" s="46" t="s">
        <v>920</v>
      </c>
      <c r="JL300" t="s">
        <v>495</v>
      </c>
      <c r="JM300" s="8" t="s">
        <v>908</v>
      </c>
      <c r="JN300" s="4" t="s">
        <v>497</v>
      </c>
      <c r="JO300" t="s">
        <v>921</v>
      </c>
      <c r="MY300" t="s">
        <v>910</v>
      </c>
      <c r="MZ300">
        <v>70</v>
      </c>
      <c r="NA300" t="s">
        <v>911</v>
      </c>
      <c r="NB300" t="s">
        <v>548</v>
      </c>
      <c r="NC300" s="4"/>
      <c r="NJ300" t="s">
        <v>948</v>
      </c>
      <c r="NK300" t="s">
        <v>914</v>
      </c>
      <c r="NL300" s="78" t="s">
        <v>660</v>
      </c>
      <c r="NM300" s="6" t="s">
        <v>508</v>
      </c>
      <c r="NU300" t="s">
        <v>657</v>
      </c>
      <c r="NV300" t="s">
        <v>518</v>
      </c>
      <c r="NW300">
        <v>5312</v>
      </c>
      <c r="NX300" t="s">
        <v>480</v>
      </c>
      <c r="NY300" t="s">
        <v>480</v>
      </c>
      <c r="OB300" s="15">
        <v>3</v>
      </c>
      <c r="OU300" t="s">
        <v>941</v>
      </c>
      <c r="OV300" t="s">
        <v>518</v>
      </c>
      <c r="OX300">
        <v>2015</v>
      </c>
      <c r="OY300">
        <v>2016</v>
      </c>
      <c r="PB300" t="s">
        <v>522</v>
      </c>
      <c r="PC300" s="50">
        <v>46105</v>
      </c>
    </row>
    <row r="301" spans="1:419" ht="15.75" thickBot="1">
      <c r="A301" t="s">
        <v>469</v>
      </c>
      <c r="B301" t="s">
        <v>899</v>
      </c>
      <c r="C301" t="s">
        <v>900</v>
      </c>
      <c r="D301" s="59" t="s">
        <v>472</v>
      </c>
      <c r="E301" t="s">
        <v>940</v>
      </c>
      <c r="F301" s="4" t="s">
        <v>902</v>
      </c>
      <c r="G301" t="s">
        <v>475</v>
      </c>
      <c r="H301" t="s">
        <v>476</v>
      </c>
      <c r="I301">
        <v>6.7519444440000003</v>
      </c>
      <c r="J301">
        <v>38.33361111</v>
      </c>
      <c r="K301">
        <v>500</v>
      </c>
      <c r="AV301" t="s">
        <v>903</v>
      </c>
      <c r="AW301">
        <v>420</v>
      </c>
      <c r="AX301">
        <v>0.18</v>
      </c>
      <c r="AY301">
        <v>1</v>
      </c>
      <c r="AZ301" t="s">
        <v>904</v>
      </c>
      <c r="BA301">
        <v>2015</v>
      </c>
      <c r="BB301">
        <v>2016</v>
      </c>
      <c r="BD301" t="s">
        <v>922</v>
      </c>
      <c r="BE301" t="s">
        <v>593</v>
      </c>
      <c r="BF301" s="3" t="s">
        <v>484</v>
      </c>
      <c r="BG301" t="s">
        <v>485</v>
      </c>
      <c r="BH301" t="s">
        <v>480</v>
      </c>
      <c r="BI301" t="s">
        <v>486</v>
      </c>
      <c r="BJ301">
        <v>53333</v>
      </c>
      <c r="EG301" s="9"/>
      <c r="EH301" s="9"/>
      <c r="EI301" s="9"/>
      <c r="EJ301" s="9"/>
      <c r="EK301" s="9"/>
      <c r="EL301" s="9"/>
      <c r="EM301" s="9"/>
      <c r="EN301" s="9"/>
      <c r="EO301" s="9"/>
      <c r="EP301" s="9"/>
      <c r="EQ301" s="9"/>
      <c r="ER301" s="9"/>
      <c r="ES301" s="9"/>
      <c r="ET301" s="9"/>
      <c r="EU301" s="9"/>
      <c r="EV301" s="9"/>
      <c r="EW301" s="9"/>
      <c r="EX301" s="9"/>
      <c r="EY301" s="9"/>
      <c r="EZ301" s="9"/>
      <c r="FA301" s="9"/>
      <c r="FB301" s="9"/>
      <c r="FC301" s="9"/>
      <c r="FD301" s="9"/>
      <c r="FE301" s="9"/>
      <c r="FF301" s="9"/>
      <c r="FG301" s="9"/>
      <c r="FH301" s="9"/>
      <c r="FI301" s="9"/>
      <c r="FJ301" s="9"/>
      <c r="FK301" s="9"/>
      <c r="FL301" s="9"/>
      <c r="FM301" s="9"/>
      <c r="FN301" s="9"/>
      <c r="FO301" s="9"/>
      <c r="FP301" s="9"/>
      <c r="FQ301" s="9"/>
      <c r="FR301" s="9"/>
      <c r="FS301" s="9"/>
      <c r="FT301" s="9"/>
      <c r="FU301" s="9"/>
      <c r="FV301" s="9"/>
      <c r="FW301" s="9"/>
      <c r="FX301" s="9"/>
      <c r="FY301" s="9"/>
      <c r="FZ301" s="9"/>
      <c r="GA301" s="9"/>
      <c r="GB301" s="9"/>
      <c r="GC301" s="9"/>
      <c r="GD301" s="9"/>
      <c r="GE301" s="9"/>
      <c r="GF301" s="9"/>
      <c r="GG301" s="9"/>
      <c r="GH301" s="9"/>
      <c r="GI301" s="9"/>
      <c r="GJ301" s="9"/>
      <c r="GK301" s="9"/>
      <c r="GL301" s="9"/>
      <c r="GM301" s="9"/>
      <c r="GN301" s="9"/>
      <c r="GO301" s="9"/>
      <c r="GP301" s="9"/>
      <c r="GQ301" s="9"/>
      <c r="GR301" s="9"/>
      <c r="GS301" s="9"/>
      <c r="GT301" s="9"/>
      <c r="GU301" s="9"/>
      <c r="GV301" s="9"/>
      <c r="GW301" s="9"/>
      <c r="GX301" s="9"/>
      <c r="GY301" s="9"/>
      <c r="GZ301" s="9"/>
      <c r="HA301" s="9"/>
      <c r="HB301" s="9"/>
      <c r="HC301" s="9"/>
      <c r="HD301" s="9"/>
      <c r="HE301" s="9"/>
      <c r="HF301" s="9"/>
      <c r="HG301" s="9"/>
      <c r="HH301" s="9"/>
      <c r="HI301" s="9"/>
      <c r="HJ301" s="9"/>
      <c r="HQ301" t="s">
        <v>923</v>
      </c>
      <c r="HV301" s="50"/>
      <c r="HW301" s="50"/>
      <c r="IH301" t="s">
        <v>491</v>
      </c>
      <c r="II301" t="s">
        <v>492</v>
      </c>
      <c r="JJ301" t="s">
        <v>924</v>
      </c>
      <c r="JK301" s="75" t="s">
        <v>907</v>
      </c>
      <c r="JL301" t="s">
        <v>495</v>
      </c>
      <c r="JM301" t="s">
        <v>908</v>
      </c>
      <c r="JN301" s="4" t="s">
        <v>497</v>
      </c>
      <c r="JO301" t="s">
        <v>909</v>
      </c>
      <c r="KV301" t="s">
        <v>925</v>
      </c>
      <c r="MY301" t="s">
        <v>910</v>
      </c>
      <c r="MZ301">
        <v>70</v>
      </c>
      <c r="NA301" t="s">
        <v>911</v>
      </c>
      <c r="NB301" t="s">
        <v>548</v>
      </c>
      <c r="NC301" s="4"/>
      <c r="NJ301" t="s">
        <v>948</v>
      </c>
      <c r="NK301" t="s">
        <v>914</v>
      </c>
      <c r="NL301" s="78" t="s">
        <v>660</v>
      </c>
      <c r="NM301" s="6" t="s">
        <v>508</v>
      </c>
      <c r="NU301" t="s">
        <v>915</v>
      </c>
      <c r="NV301" t="s">
        <v>518</v>
      </c>
      <c r="NW301">
        <v>6827</v>
      </c>
      <c r="NX301" t="s">
        <v>480</v>
      </c>
      <c r="NY301" t="s">
        <v>480</v>
      </c>
      <c r="OB301" s="15">
        <v>3</v>
      </c>
      <c r="OU301" t="s">
        <v>941</v>
      </c>
      <c r="OV301" t="s">
        <v>518</v>
      </c>
      <c r="OX301">
        <v>2015</v>
      </c>
      <c r="OY301">
        <v>2016</v>
      </c>
      <c r="PB301" t="s">
        <v>522</v>
      </c>
      <c r="PC301" s="50">
        <v>46105</v>
      </c>
    </row>
    <row r="302" spans="1:419" ht="15.75" thickBot="1">
      <c r="A302" t="s">
        <v>469</v>
      </c>
      <c r="B302" t="s">
        <v>899</v>
      </c>
      <c r="C302" t="s">
        <v>900</v>
      </c>
      <c r="D302" s="59" t="s">
        <v>472</v>
      </c>
      <c r="E302" t="s">
        <v>940</v>
      </c>
      <c r="F302" s="4" t="s">
        <v>902</v>
      </c>
      <c r="G302" t="s">
        <v>475</v>
      </c>
      <c r="H302" t="s">
        <v>476</v>
      </c>
      <c r="I302">
        <v>6.7519444440000003</v>
      </c>
      <c r="J302">
        <v>38.33361111</v>
      </c>
      <c r="K302">
        <v>500</v>
      </c>
      <c r="AV302" t="s">
        <v>903</v>
      </c>
      <c r="AW302">
        <v>420</v>
      </c>
      <c r="AX302">
        <v>0.18</v>
      </c>
      <c r="AY302">
        <v>1</v>
      </c>
      <c r="AZ302" t="s">
        <v>904</v>
      </c>
      <c r="BA302">
        <v>2015</v>
      </c>
      <c r="BB302">
        <v>2016</v>
      </c>
      <c r="BD302" t="s">
        <v>926</v>
      </c>
      <c r="BE302" t="s">
        <v>536</v>
      </c>
      <c r="BF302" s="3" t="s">
        <v>484</v>
      </c>
      <c r="BG302" t="s">
        <v>485</v>
      </c>
      <c r="BH302" t="s">
        <v>480</v>
      </c>
      <c r="BI302" t="s">
        <v>486</v>
      </c>
      <c r="BJ302">
        <v>53333</v>
      </c>
      <c r="BK302" t="s">
        <v>537</v>
      </c>
      <c r="BL302" t="s">
        <v>927</v>
      </c>
      <c r="BM302" t="s">
        <v>480</v>
      </c>
      <c r="BN302" t="s">
        <v>486</v>
      </c>
      <c r="BO302">
        <v>266666</v>
      </c>
      <c r="EG302" s="9"/>
      <c r="EH302" s="9"/>
      <c r="EI302" s="9"/>
      <c r="EJ302" s="9"/>
      <c r="EK302" s="9"/>
      <c r="EL302" s="9"/>
      <c r="EM302" s="9"/>
      <c r="EN302" s="9"/>
      <c r="EO302" s="9"/>
      <c r="EP302" s="9"/>
      <c r="EQ302" s="9"/>
      <c r="ER302" s="9"/>
      <c r="ES302" s="9"/>
      <c r="ET302" s="9"/>
      <c r="EU302" s="9"/>
      <c r="EV302" s="9"/>
      <c r="EW302" s="9"/>
      <c r="EX302" s="9"/>
      <c r="EY302" s="9"/>
      <c r="EZ302" s="9"/>
      <c r="FA302" s="9"/>
      <c r="FB302" s="9"/>
      <c r="FC302" s="9"/>
      <c r="FD302" s="9"/>
      <c r="FE302" s="9"/>
      <c r="FF302" s="9"/>
      <c r="FG302" s="9"/>
      <c r="FH302" s="9"/>
      <c r="FI302" s="9"/>
      <c r="FJ302" s="9"/>
      <c r="FK302" s="9"/>
      <c r="FL302" s="9"/>
      <c r="FM302" s="9"/>
      <c r="FN302" s="9"/>
      <c r="FO302" s="9"/>
      <c r="FP302" s="9"/>
      <c r="FQ302" s="9"/>
      <c r="FR302" s="9"/>
      <c r="FS302" s="9"/>
      <c r="FT302" s="9"/>
      <c r="FU302" s="9"/>
      <c r="FV302" s="9"/>
      <c r="FW302" s="9"/>
      <c r="FX302" s="9"/>
      <c r="FY302" s="9"/>
      <c r="FZ302" s="9"/>
      <c r="GA302" s="9"/>
      <c r="GB302" s="9"/>
      <c r="GC302" s="9"/>
      <c r="GD302" s="9"/>
      <c r="GE302" s="9"/>
      <c r="GF302" s="9"/>
      <c r="GG302" s="9"/>
      <c r="GH302" s="9"/>
      <c r="GI302" s="9"/>
      <c r="GJ302" s="9"/>
      <c r="GK302" s="9"/>
      <c r="GL302" s="9"/>
      <c r="GM302" s="9"/>
      <c r="GN302" s="9"/>
      <c r="GO302" s="9"/>
      <c r="GP302" s="9"/>
      <c r="GQ302" s="9"/>
      <c r="GR302" s="9"/>
      <c r="GS302" s="9"/>
      <c r="GT302" s="9"/>
      <c r="GU302" s="9"/>
      <c r="GV302" s="9"/>
      <c r="GW302" s="9"/>
      <c r="GX302" s="9"/>
      <c r="GY302" s="9"/>
      <c r="GZ302" s="9"/>
      <c r="HA302" s="9"/>
      <c r="HB302" s="9"/>
      <c r="HC302" s="9"/>
      <c r="HD302" s="9"/>
      <c r="HE302" s="9"/>
      <c r="HF302" s="9"/>
      <c r="HG302" s="9"/>
      <c r="HH302" s="9"/>
      <c r="HI302" s="9"/>
      <c r="HJ302" s="9"/>
      <c r="HV302" s="50"/>
      <c r="HW302" s="50"/>
      <c r="IH302" t="s">
        <v>928</v>
      </c>
      <c r="II302" s="75" t="s">
        <v>929</v>
      </c>
      <c r="IJ302" t="s">
        <v>542</v>
      </c>
      <c r="IK302" t="s">
        <v>543</v>
      </c>
      <c r="IL302" t="s">
        <v>480</v>
      </c>
      <c r="IM302" t="s">
        <v>480</v>
      </c>
      <c r="IN302" t="s">
        <v>480</v>
      </c>
      <c r="JJ302" t="s">
        <v>930</v>
      </c>
      <c r="JK302" s="75" t="s">
        <v>494</v>
      </c>
      <c r="JL302" t="s">
        <v>495</v>
      </c>
      <c r="JM302" t="s">
        <v>908</v>
      </c>
      <c r="JN302" s="4" t="s">
        <v>497</v>
      </c>
      <c r="JO302" t="s">
        <v>921</v>
      </c>
      <c r="MY302" t="s">
        <v>910</v>
      </c>
      <c r="MZ302">
        <v>70</v>
      </c>
      <c r="NA302" t="s">
        <v>911</v>
      </c>
      <c r="NB302" t="s">
        <v>548</v>
      </c>
      <c r="NC302" s="4"/>
      <c r="NJ302" t="s">
        <v>948</v>
      </c>
      <c r="NK302" t="s">
        <v>914</v>
      </c>
      <c r="NL302" s="78" t="s">
        <v>660</v>
      </c>
      <c r="NM302" s="6" t="s">
        <v>508</v>
      </c>
      <c r="NV302" t="s">
        <v>518</v>
      </c>
      <c r="NW302">
        <v>5282</v>
      </c>
      <c r="NX302" t="s">
        <v>480</v>
      </c>
      <c r="NY302" t="s">
        <v>480</v>
      </c>
      <c r="OB302" s="15">
        <v>3</v>
      </c>
      <c r="OU302" t="s">
        <v>941</v>
      </c>
      <c r="OV302" t="s">
        <v>518</v>
      </c>
      <c r="OX302">
        <v>2015</v>
      </c>
      <c r="OY302">
        <v>2016</v>
      </c>
      <c r="PB302" t="s">
        <v>522</v>
      </c>
      <c r="PC302" s="50">
        <v>46105</v>
      </c>
    </row>
    <row r="303" spans="1:419" ht="15.75" thickBot="1">
      <c r="A303" t="s">
        <v>469</v>
      </c>
      <c r="B303" t="s">
        <v>899</v>
      </c>
      <c r="C303" t="s">
        <v>900</v>
      </c>
      <c r="D303" s="59" t="s">
        <v>472</v>
      </c>
      <c r="E303" t="s">
        <v>940</v>
      </c>
      <c r="F303" s="4" t="s">
        <v>902</v>
      </c>
      <c r="G303" t="s">
        <v>475</v>
      </c>
      <c r="H303" t="s">
        <v>476</v>
      </c>
      <c r="I303">
        <v>6.7519444440000003</v>
      </c>
      <c r="J303">
        <v>38.33361111</v>
      </c>
      <c r="K303">
        <v>500</v>
      </c>
      <c r="AV303" t="s">
        <v>903</v>
      </c>
      <c r="AW303">
        <v>420</v>
      </c>
      <c r="AX303">
        <v>0.18</v>
      </c>
      <c r="AY303">
        <v>1</v>
      </c>
      <c r="AZ303" t="s">
        <v>904</v>
      </c>
      <c r="BA303">
        <v>2015</v>
      </c>
      <c r="BB303">
        <v>2016</v>
      </c>
      <c r="BD303" t="s">
        <v>931</v>
      </c>
      <c r="BE303" t="s">
        <v>566</v>
      </c>
      <c r="BF303" s="3" t="s">
        <v>484</v>
      </c>
      <c r="BG303" t="s">
        <v>485</v>
      </c>
      <c r="BH303" t="s">
        <v>480</v>
      </c>
      <c r="BI303" t="s">
        <v>486</v>
      </c>
      <c r="BJ303">
        <v>53333</v>
      </c>
      <c r="BK303" t="s">
        <v>537</v>
      </c>
      <c r="BL303" t="s">
        <v>932</v>
      </c>
      <c r="BM303" t="s">
        <v>480</v>
      </c>
      <c r="BN303" t="s">
        <v>486</v>
      </c>
      <c r="BO303">
        <v>66666</v>
      </c>
      <c r="EG303" s="9"/>
      <c r="EH303" s="9"/>
      <c r="EI303" s="9"/>
      <c r="EJ303" s="9"/>
      <c r="EK303" s="9"/>
      <c r="EL303" s="9"/>
      <c r="EM303" s="9"/>
      <c r="EN303" s="9"/>
      <c r="EO303" s="9"/>
      <c r="EP303" s="9"/>
      <c r="EQ303" s="9"/>
      <c r="ER303" s="9"/>
      <c r="ES303" s="9"/>
      <c r="ET303" s="9"/>
      <c r="EU303" s="9"/>
      <c r="EV303" s="9"/>
      <c r="EW303" s="9"/>
      <c r="EX303" s="9"/>
      <c r="EY303" s="9"/>
      <c r="EZ303" s="9"/>
      <c r="FA303" s="9"/>
      <c r="FB303" s="9"/>
      <c r="FC303" s="9"/>
      <c r="FD303" s="9"/>
      <c r="FE303" s="9"/>
      <c r="FF303" s="9"/>
      <c r="FG303" s="9"/>
      <c r="FH303" s="9"/>
      <c r="FI303" s="9"/>
      <c r="FJ303" s="9"/>
      <c r="FK303" s="9"/>
      <c r="FL303" s="9"/>
      <c r="FM303" s="9"/>
      <c r="FN303" s="9"/>
      <c r="FO303" s="9"/>
      <c r="FP303" s="9"/>
      <c r="FQ303" s="9"/>
      <c r="FR303" s="9"/>
      <c r="FS303" s="9"/>
      <c r="FT303" s="9"/>
      <c r="FU303" s="9"/>
      <c r="FV303" s="9"/>
      <c r="FW303" s="9"/>
      <c r="FX303" s="9"/>
      <c r="FY303" s="9"/>
      <c r="FZ303" s="9"/>
      <c r="GA303" s="9"/>
      <c r="GB303" s="9"/>
      <c r="GC303" s="9"/>
      <c r="GD303" s="9"/>
      <c r="GE303" s="9"/>
      <c r="GF303" s="9"/>
      <c r="GG303" s="9"/>
      <c r="GH303" s="9"/>
      <c r="GI303" s="9"/>
      <c r="GJ303" s="9"/>
      <c r="GK303" s="9"/>
      <c r="GL303" s="9"/>
      <c r="GM303" s="9"/>
      <c r="GN303" s="9"/>
      <c r="GO303" s="9"/>
      <c r="GP303" s="9"/>
      <c r="GQ303" s="9"/>
      <c r="GR303" s="9"/>
      <c r="GS303" s="9"/>
      <c r="GT303" s="9"/>
      <c r="GU303" s="9"/>
      <c r="GV303" s="9"/>
      <c r="GW303" s="9"/>
      <c r="GX303" s="9"/>
      <c r="GY303" s="9"/>
      <c r="GZ303" s="9"/>
      <c r="HA303" s="9"/>
      <c r="HB303" s="9"/>
      <c r="HC303" s="9"/>
      <c r="HD303" s="9"/>
      <c r="HE303" s="9"/>
      <c r="HF303" s="9"/>
      <c r="HG303" s="9"/>
      <c r="HH303" s="9"/>
      <c r="HI303" s="9"/>
      <c r="HJ303" s="9"/>
      <c r="HV303" s="50"/>
      <c r="HW303" s="50"/>
      <c r="IH303" t="s">
        <v>933</v>
      </c>
      <c r="II303" s="75" t="s">
        <v>929</v>
      </c>
      <c r="IJ303" t="s">
        <v>542</v>
      </c>
      <c r="IK303" t="s">
        <v>543</v>
      </c>
      <c r="IL303" t="s">
        <v>480</v>
      </c>
      <c r="IM303" t="s">
        <v>480</v>
      </c>
      <c r="IN303" t="s">
        <v>480</v>
      </c>
      <c r="JJ303" t="s">
        <v>934</v>
      </c>
      <c r="JK303" s="75" t="s">
        <v>494</v>
      </c>
      <c r="JL303" t="s">
        <v>495</v>
      </c>
      <c r="JM303" t="s">
        <v>908</v>
      </c>
      <c r="JN303" s="4" t="s">
        <v>497</v>
      </c>
      <c r="JO303" t="s">
        <v>921</v>
      </c>
      <c r="MY303" t="s">
        <v>910</v>
      </c>
      <c r="MZ303">
        <v>70</v>
      </c>
      <c r="NA303" t="s">
        <v>911</v>
      </c>
      <c r="NB303" t="s">
        <v>548</v>
      </c>
      <c r="NC303" s="4"/>
      <c r="NJ303" t="s">
        <v>948</v>
      </c>
      <c r="NK303" t="s">
        <v>914</v>
      </c>
      <c r="NL303" s="78" t="s">
        <v>660</v>
      </c>
      <c r="NM303" s="6" t="s">
        <v>508</v>
      </c>
      <c r="NV303" t="s">
        <v>518</v>
      </c>
      <c r="NW303">
        <v>5683</v>
      </c>
      <c r="NX303" t="s">
        <v>480</v>
      </c>
      <c r="NY303" t="s">
        <v>480</v>
      </c>
      <c r="OB303" s="15">
        <v>3</v>
      </c>
      <c r="OU303" t="s">
        <v>941</v>
      </c>
      <c r="OV303" t="s">
        <v>518</v>
      </c>
      <c r="OX303">
        <v>2015</v>
      </c>
      <c r="OY303">
        <v>2016</v>
      </c>
      <c r="PB303" t="s">
        <v>522</v>
      </c>
      <c r="PC303" s="50">
        <v>46105</v>
      </c>
    </row>
    <row r="304" spans="1:419" ht="15.75" thickBot="1">
      <c r="A304" t="s">
        <v>469</v>
      </c>
      <c r="B304" t="s">
        <v>899</v>
      </c>
      <c r="C304" t="s">
        <v>900</v>
      </c>
      <c r="D304" s="59" t="s">
        <v>472</v>
      </c>
      <c r="E304" t="s">
        <v>940</v>
      </c>
      <c r="F304" s="4" t="s">
        <v>902</v>
      </c>
      <c r="G304" t="s">
        <v>475</v>
      </c>
      <c r="H304" t="s">
        <v>476</v>
      </c>
      <c r="I304">
        <v>6.7519444440000003</v>
      </c>
      <c r="J304">
        <v>38.33361111</v>
      </c>
      <c r="K304">
        <v>500</v>
      </c>
      <c r="AV304" t="s">
        <v>903</v>
      </c>
      <c r="AW304">
        <v>420</v>
      </c>
      <c r="AX304">
        <v>0.18</v>
      </c>
      <c r="AY304">
        <v>1</v>
      </c>
      <c r="AZ304" t="s">
        <v>904</v>
      </c>
      <c r="BA304">
        <v>2015</v>
      </c>
      <c r="BB304">
        <v>2016</v>
      </c>
      <c r="BD304" t="s">
        <v>936</v>
      </c>
      <c r="BE304" t="s">
        <v>602</v>
      </c>
      <c r="BF304" s="3" t="s">
        <v>484</v>
      </c>
      <c r="BG304" t="s">
        <v>485</v>
      </c>
      <c r="BH304" t="s">
        <v>480</v>
      </c>
      <c r="BI304" t="s">
        <v>486</v>
      </c>
      <c r="BJ304">
        <v>53333</v>
      </c>
      <c r="EG304" s="9"/>
      <c r="EH304" s="9"/>
      <c r="EI304" s="9"/>
      <c r="EJ304" s="9"/>
      <c r="EK304" s="9"/>
      <c r="EL304" s="9"/>
      <c r="EM304" s="9"/>
      <c r="EN304" s="9"/>
      <c r="EO304" s="9"/>
      <c r="EP304" s="9"/>
      <c r="EQ304" s="9"/>
      <c r="ER304" s="9"/>
      <c r="ES304" s="9"/>
      <c r="ET304" s="9"/>
      <c r="EU304" s="9"/>
      <c r="EV304" s="9"/>
      <c r="EW304" s="9"/>
      <c r="EX304" s="9"/>
      <c r="EY304" s="9"/>
      <c r="EZ304" s="9"/>
      <c r="FA304" s="9"/>
      <c r="FB304" s="9"/>
      <c r="FC304" s="9"/>
      <c r="FD304" s="9"/>
      <c r="FE304" s="9"/>
      <c r="FF304" s="9"/>
      <c r="FG304" s="9"/>
      <c r="FH304" s="9"/>
      <c r="FI304" s="9"/>
      <c r="FJ304" s="9"/>
      <c r="FK304" s="9"/>
      <c r="FL304" s="9"/>
      <c r="FM304" s="9"/>
      <c r="FN304" s="9"/>
      <c r="FO304" s="9"/>
      <c r="FP304" s="9"/>
      <c r="FQ304" s="9"/>
      <c r="FR304" s="9"/>
      <c r="FS304" s="9"/>
      <c r="FT304" s="9"/>
      <c r="FU304" s="9"/>
      <c r="FV304" s="9"/>
      <c r="FW304" s="9"/>
      <c r="FX304" s="9"/>
      <c r="FY304" s="9"/>
      <c r="FZ304" s="9"/>
      <c r="GA304" s="9"/>
      <c r="GB304" s="9"/>
      <c r="GC304" s="9"/>
      <c r="GD304" s="9"/>
      <c r="GE304" s="9"/>
      <c r="GF304" s="9"/>
      <c r="GG304" s="9"/>
      <c r="GH304" s="9"/>
      <c r="GI304" s="9"/>
      <c r="GJ304" s="9"/>
      <c r="GK304" s="9"/>
      <c r="GL304" s="9"/>
      <c r="GM304" s="9"/>
      <c r="GN304" s="9"/>
      <c r="GO304" s="9"/>
      <c r="GP304" s="9"/>
      <c r="GQ304" s="9"/>
      <c r="GR304" s="9"/>
      <c r="GS304" s="9"/>
      <c r="GT304" s="9"/>
      <c r="GU304" s="9"/>
      <c r="GV304" s="9"/>
      <c r="GW304" s="9"/>
      <c r="GX304" s="9"/>
      <c r="GY304" s="9"/>
      <c r="GZ304" s="9"/>
      <c r="HA304" s="9"/>
      <c r="HB304" s="9"/>
      <c r="HC304" s="9"/>
      <c r="HD304" s="9"/>
      <c r="HE304" s="9"/>
      <c r="HF304" s="9"/>
      <c r="HG304" s="9"/>
      <c r="HH304" s="9"/>
      <c r="HI304" s="9"/>
      <c r="HJ304" s="9"/>
      <c r="HQ304" t="s">
        <v>923</v>
      </c>
      <c r="HV304" s="50"/>
      <c r="HW304" s="50"/>
      <c r="IH304" t="s">
        <v>491</v>
      </c>
      <c r="II304" t="s">
        <v>492</v>
      </c>
      <c r="JJ304" t="s">
        <v>937</v>
      </c>
      <c r="JK304" s="75" t="s">
        <v>494</v>
      </c>
      <c r="JL304" t="s">
        <v>495</v>
      </c>
      <c r="JM304" t="s">
        <v>908</v>
      </c>
      <c r="JN304" s="4" t="s">
        <v>497</v>
      </c>
      <c r="JO304" t="s">
        <v>921</v>
      </c>
      <c r="MY304" t="s">
        <v>910</v>
      </c>
      <c r="MZ304">
        <v>70</v>
      </c>
      <c r="NA304" t="s">
        <v>911</v>
      </c>
      <c r="NB304" t="s">
        <v>548</v>
      </c>
      <c r="NC304" s="4"/>
      <c r="NJ304" t="s">
        <v>948</v>
      </c>
      <c r="NK304" t="s">
        <v>914</v>
      </c>
      <c r="NL304" s="80" t="s">
        <v>660</v>
      </c>
      <c r="NM304" s="6" t="s">
        <v>508</v>
      </c>
      <c r="NU304" t="s">
        <v>657</v>
      </c>
      <c r="NV304" t="s">
        <v>518</v>
      </c>
      <c r="NW304">
        <v>7440</v>
      </c>
      <c r="NX304" t="s">
        <v>480</v>
      </c>
      <c r="NY304" t="s">
        <v>480</v>
      </c>
      <c r="OB304" s="15">
        <v>3</v>
      </c>
      <c r="OU304" t="s">
        <v>941</v>
      </c>
      <c r="OV304" t="s">
        <v>518</v>
      </c>
      <c r="OX304">
        <v>2015</v>
      </c>
      <c r="OY304">
        <v>2016</v>
      </c>
      <c r="PB304" t="s">
        <v>522</v>
      </c>
      <c r="PC304" s="50">
        <v>46105</v>
      </c>
    </row>
    <row r="305" spans="1:419" ht="15.75" thickBot="1">
      <c r="A305" t="s">
        <v>469</v>
      </c>
      <c r="B305" t="s">
        <v>899</v>
      </c>
      <c r="C305" t="s">
        <v>900</v>
      </c>
      <c r="D305" s="59" t="s">
        <v>472</v>
      </c>
      <c r="E305" t="s">
        <v>940</v>
      </c>
      <c r="F305" s="4" t="s">
        <v>902</v>
      </c>
      <c r="G305" t="s">
        <v>475</v>
      </c>
      <c r="H305" t="s">
        <v>476</v>
      </c>
      <c r="I305">
        <v>6.7519444440000003</v>
      </c>
      <c r="J305">
        <v>38.33361111</v>
      </c>
      <c r="K305">
        <v>500</v>
      </c>
      <c r="AV305" t="s">
        <v>903</v>
      </c>
      <c r="AW305">
        <v>420</v>
      </c>
      <c r="AX305">
        <v>0.18</v>
      </c>
      <c r="AY305">
        <v>1</v>
      </c>
      <c r="AZ305" t="s">
        <v>904</v>
      </c>
      <c r="BA305">
        <v>2015</v>
      </c>
      <c r="BB305">
        <v>2016</v>
      </c>
      <c r="BD305" t="s">
        <v>905</v>
      </c>
      <c r="BE305" t="s">
        <v>524</v>
      </c>
      <c r="BF305" s="3" t="s">
        <v>484</v>
      </c>
      <c r="BG305" t="s">
        <v>485</v>
      </c>
      <c r="BH305" t="s">
        <v>480</v>
      </c>
      <c r="BI305" s="4" t="s">
        <v>486</v>
      </c>
      <c r="BJ305">
        <v>53333</v>
      </c>
      <c r="EG305" s="9"/>
      <c r="EH305" s="9"/>
      <c r="EI305" s="9"/>
      <c r="EJ305" s="9"/>
      <c r="EK305" s="9"/>
      <c r="EL305" s="9"/>
      <c r="EM305" s="9"/>
      <c r="EN305" s="9"/>
      <c r="EO305" s="9"/>
      <c r="EP305" s="9"/>
      <c r="EQ305" s="9"/>
      <c r="ER305" s="9"/>
      <c r="ES305" s="9"/>
      <c r="ET305" s="9"/>
      <c r="EU305" s="9"/>
      <c r="EV305" s="9"/>
      <c r="EW305" s="9"/>
      <c r="EX305" s="9"/>
      <c r="EY305" s="9"/>
      <c r="EZ305" s="9"/>
      <c r="FA305" s="9"/>
      <c r="FB305" s="9"/>
      <c r="FC305" s="9"/>
      <c r="FD305" s="9"/>
      <c r="FE305" s="9"/>
      <c r="FF305" s="9"/>
      <c r="FG305" s="9"/>
      <c r="FH305" s="9"/>
      <c r="FI305" s="9"/>
      <c r="FJ305" s="9"/>
      <c r="FK305" s="9"/>
      <c r="FL305" s="9"/>
      <c r="FM305" s="9"/>
      <c r="FN305" s="9"/>
      <c r="FO305" s="9"/>
      <c r="FP305" s="9"/>
      <c r="FQ305" s="9"/>
      <c r="FR305" s="9"/>
      <c r="FS305" s="9"/>
      <c r="FT305" s="9"/>
      <c r="FU305" s="9"/>
      <c r="FV305" s="9"/>
      <c r="FW305" s="9"/>
      <c r="FX305" s="9"/>
      <c r="FY305" s="9"/>
      <c r="FZ305" s="9"/>
      <c r="GA305" s="9"/>
      <c r="GB305" s="9"/>
      <c r="GC305" s="9"/>
      <c r="GD305" s="9"/>
      <c r="GE305" s="9"/>
      <c r="GF305" s="9"/>
      <c r="GG305" s="9"/>
      <c r="GH305" s="9"/>
      <c r="GI305" s="9"/>
      <c r="GJ305" s="9"/>
      <c r="GK305" s="9"/>
      <c r="GL305" s="9"/>
      <c r="GM305" s="9"/>
      <c r="GN305" s="9"/>
      <c r="GO305" s="9"/>
      <c r="GP305" s="9"/>
      <c r="GQ305" s="9"/>
      <c r="GR305" s="9"/>
      <c r="GS305" s="9"/>
      <c r="GT305" s="9"/>
      <c r="GU305" s="9"/>
      <c r="GV305" s="9"/>
      <c r="GW305" s="9"/>
      <c r="GX305" s="9"/>
      <c r="GY305" s="9"/>
      <c r="GZ305" s="9"/>
      <c r="HA305" s="9"/>
      <c r="HB305" s="9"/>
      <c r="HC305" s="9"/>
      <c r="HD305" s="9"/>
      <c r="HE305" s="9"/>
      <c r="HF305" s="9"/>
      <c r="HG305" s="9"/>
      <c r="HH305" s="9"/>
      <c r="HI305" s="9"/>
      <c r="HJ305" s="9"/>
      <c r="HV305" s="50"/>
      <c r="HW305" s="50"/>
      <c r="IH305" t="s">
        <v>491</v>
      </c>
      <c r="II305" t="s">
        <v>492</v>
      </c>
      <c r="JJ305" t="s">
        <v>906</v>
      </c>
      <c r="JK305" s="75" t="s">
        <v>907</v>
      </c>
      <c r="JL305" s="8" t="s">
        <v>495</v>
      </c>
      <c r="JM305" s="8" t="s">
        <v>908</v>
      </c>
      <c r="JN305" s="4" t="s">
        <v>497</v>
      </c>
      <c r="JO305" t="s">
        <v>909</v>
      </c>
      <c r="MY305" t="s">
        <v>910</v>
      </c>
      <c r="MZ305">
        <v>70</v>
      </c>
      <c r="NA305" t="s">
        <v>911</v>
      </c>
      <c r="NB305" s="4" t="s">
        <v>511</v>
      </c>
      <c r="NJ305" t="s">
        <v>948</v>
      </c>
      <c r="NK305" t="s">
        <v>914</v>
      </c>
      <c r="NL305" s="4" t="s">
        <v>654</v>
      </c>
      <c r="NM305" s="6" t="s">
        <v>508</v>
      </c>
      <c r="NU305" t="s">
        <v>915</v>
      </c>
      <c r="NV305" t="s">
        <v>518</v>
      </c>
      <c r="NW305">
        <v>7081</v>
      </c>
      <c r="NX305" t="s">
        <v>480</v>
      </c>
      <c r="NY305" t="s">
        <v>480</v>
      </c>
      <c r="OB305" s="15">
        <v>3</v>
      </c>
      <c r="OU305" t="s">
        <v>941</v>
      </c>
      <c r="OV305" t="s">
        <v>518</v>
      </c>
      <c r="OX305">
        <v>2015</v>
      </c>
      <c r="OY305">
        <v>2016</v>
      </c>
      <c r="PB305" t="s">
        <v>522</v>
      </c>
      <c r="PC305" s="50">
        <v>46105</v>
      </c>
    </row>
    <row r="306" spans="1:419" ht="15.75" thickBot="1">
      <c r="A306" t="s">
        <v>469</v>
      </c>
      <c r="B306" t="s">
        <v>899</v>
      </c>
      <c r="C306" t="s">
        <v>900</v>
      </c>
      <c r="D306" s="59" t="s">
        <v>472</v>
      </c>
      <c r="E306" t="s">
        <v>940</v>
      </c>
      <c r="F306" s="4" t="s">
        <v>902</v>
      </c>
      <c r="G306" t="s">
        <v>475</v>
      </c>
      <c r="H306" t="s">
        <v>476</v>
      </c>
      <c r="I306">
        <v>6.7519444440000003</v>
      </c>
      <c r="J306">
        <v>38.33361111</v>
      </c>
      <c r="K306">
        <v>500</v>
      </c>
      <c r="AV306" t="s">
        <v>903</v>
      </c>
      <c r="AW306">
        <v>420</v>
      </c>
      <c r="AX306">
        <v>0.18</v>
      </c>
      <c r="AY306">
        <v>1</v>
      </c>
      <c r="AZ306" t="s">
        <v>904</v>
      </c>
      <c r="BA306">
        <v>2015</v>
      </c>
      <c r="BB306">
        <v>2016</v>
      </c>
      <c r="BD306" t="s">
        <v>918</v>
      </c>
      <c r="BE306" t="s">
        <v>483</v>
      </c>
      <c r="BF306" s="3" t="s">
        <v>484</v>
      </c>
      <c r="BG306" t="s">
        <v>485</v>
      </c>
      <c r="BH306" t="s">
        <v>480</v>
      </c>
      <c r="BI306" t="s">
        <v>486</v>
      </c>
      <c r="BJ306">
        <v>53333</v>
      </c>
      <c r="EG306" s="9"/>
      <c r="EH306" s="9"/>
      <c r="EI306" s="9"/>
      <c r="EJ306" s="9"/>
      <c r="EK306" s="9"/>
      <c r="EL306" s="9"/>
      <c r="EM306" s="9"/>
      <c r="EN306" s="9"/>
      <c r="EO306" s="9"/>
      <c r="EP306" s="9"/>
      <c r="EQ306" s="9"/>
      <c r="ER306" s="9"/>
      <c r="ES306" s="9"/>
      <c r="ET306" s="9"/>
      <c r="EU306" s="9"/>
      <c r="EV306" s="9"/>
      <c r="EW306" s="9"/>
      <c r="EX306" s="9"/>
      <c r="EY306" s="9"/>
      <c r="EZ306" s="9"/>
      <c r="FA306" s="9"/>
      <c r="FB306" s="9"/>
      <c r="FC306" s="9"/>
      <c r="FD306" s="9"/>
      <c r="FE306" s="9"/>
      <c r="FF306" s="9"/>
      <c r="FG306" s="9"/>
      <c r="FH306" s="9"/>
      <c r="FI306" s="9"/>
      <c r="FJ306" s="9"/>
      <c r="FK306" s="9"/>
      <c r="FL306" s="9"/>
      <c r="FM306" s="9"/>
      <c r="FN306" s="9"/>
      <c r="FO306" s="9"/>
      <c r="FP306" s="9"/>
      <c r="FQ306" s="9"/>
      <c r="FR306" s="9"/>
      <c r="FS306" s="9"/>
      <c r="FT306" s="9"/>
      <c r="FU306" s="9"/>
      <c r="FV306" s="9"/>
      <c r="FW306" s="9"/>
      <c r="FX306" s="9"/>
      <c r="FY306" s="9"/>
      <c r="FZ306" s="9"/>
      <c r="GA306" s="9"/>
      <c r="GB306" s="9"/>
      <c r="GC306" s="9"/>
      <c r="GD306" s="9"/>
      <c r="GE306" s="9"/>
      <c r="GF306" s="9"/>
      <c r="GG306" s="9"/>
      <c r="GH306" s="9"/>
      <c r="GI306" s="9"/>
      <c r="GJ306" s="9"/>
      <c r="GK306" s="9"/>
      <c r="GL306" s="9"/>
      <c r="GM306" s="9"/>
      <c r="GN306" s="9"/>
      <c r="GO306" s="9"/>
      <c r="GP306" s="9"/>
      <c r="GQ306" s="9"/>
      <c r="GR306" s="9"/>
      <c r="GS306" s="9"/>
      <c r="GT306" s="9"/>
      <c r="GU306" s="9"/>
      <c r="GV306" s="9"/>
      <c r="GW306" s="9"/>
      <c r="GX306" s="9"/>
      <c r="GY306" s="9"/>
      <c r="GZ306" s="9"/>
      <c r="HA306" s="9"/>
      <c r="HB306" s="9"/>
      <c r="HC306" s="9"/>
      <c r="HD306" s="9"/>
      <c r="HE306" s="9"/>
      <c r="HF306" s="9"/>
      <c r="HG306" s="9"/>
      <c r="HH306" s="9"/>
      <c r="HI306" s="9"/>
      <c r="HJ306" s="9"/>
      <c r="HV306" s="50"/>
      <c r="HW306" s="50"/>
      <c r="IH306" t="s">
        <v>491</v>
      </c>
      <c r="II306" t="s">
        <v>492</v>
      </c>
      <c r="JJ306" t="s">
        <v>919</v>
      </c>
      <c r="JK306" s="46" t="s">
        <v>920</v>
      </c>
      <c r="JL306" t="s">
        <v>495</v>
      </c>
      <c r="JM306" s="8" t="s">
        <v>908</v>
      </c>
      <c r="JN306" s="4" t="s">
        <v>497</v>
      </c>
      <c r="JO306" t="s">
        <v>921</v>
      </c>
      <c r="MY306" t="s">
        <v>910</v>
      </c>
      <c r="MZ306">
        <v>70</v>
      </c>
      <c r="NA306" t="s">
        <v>911</v>
      </c>
      <c r="NB306" s="4" t="s">
        <v>511</v>
      </c>
      <c r="NJ306" t="s">
        <v>948</v>
      </c>
      <c r="NK306" t="s">
        <v>914</v>
      </c>
      <c r="NL306" s="4" t="s">
        <v>654</v>
      </c>
      <c r="NM306" s="6" t="s">
        <v>508</v>
      </c>
      <c r="NU306" t="s">
        <v>657</v>
      </c>
      <c r="NV306" t="s">
        <v>518</v>
      </c>
      <c r="NW306">
        <v>7914</v>
      </c>
      <c r="NX306" t="s">
        <v>480</v>
      </c>
      <c r="NY306" t="s">
        <v>480</v>
      </c>
      <c r="OB306" s="15">
        <v>3</v>
      </c>
      <c r="OU306" t="s">
        <v>941</v>
      </c>
      <c r="OV306" t="s">
        <v>518</v>
      </c>
      <c r="OX306">
        <v>2015</v>
      </c>
      <c r="OY306">
        <v>2016</v>
      </c>
      <c r="PB306" t="s">
        <v>522</v>
      </c>
      <c r="PC306" s="50">
        <v>46105</v>
      </c>
    </row>
    <row r="307" spans="1:419" ht="15.75" thickBot="1">
      <c r="A307" t="s">
        <v>469</v>
      </c>
      <c r="B307" t="s">
        <v>899</v>
      </c>
      <c r="C307" t="s">
        <v>900</v>
      </c>
      <c r="D307" s="59" t="s">
        <v>472</v>
      </c>
      <c r="E307" t="s">
        <v>940</v>
      </c>
      <c r="F307" s="4" t="s">
        <v>902</v>
      </c>
      <c r="G307" t="s">
        <v>475</v>
      </c>
      <c r="H307" t="s">
        <v>476</v>
      </c>
      <c r="I307">
        <v>6.7519444440000003</v>
      </c>
      <c r="J307">
        <v>38.33361111</v>
      </c>
      <c r="K307">
        <v>500</v>
      </c>
      <c r="AV307" t="s">
        <v>903</v>
      </c>
      <c r="AW307">
        <v>420</v>
      </c>
      <c r="AX307">
        <v>0.18</v>
      </c>
      <c r="AY307">
        <v>1</v>
      </c>
      <c r="AZ307" t="s">
        <v>904</v>
      </c>
      <c r="BA307">
        <v>2015</v>
      </c>
      <c r="BB307">
        <v>2016</v>
      </c>
      <c r="BD307" t="s">
        <v>922</v>
      </c>
      <c r="BE307" t="s">
        <v>593</v>
      </c>
      <c r="BF307" s="3" t="s">
        <v>484</v>
      </c>
      <c r="BG307" t="s">
        <v>485</v>
      </c>
      <c r="BH307" t="s">
        <v>480</v>
      </c>
      <c r="BI307" t="s">
        <v>486</v>
      </c>
      <c r="BJ307">
        <v>53333</v>
      </c>
      <c r="EG307" s="9"/>
      <c r="EH307" s="9"/>
      <c r="EI307" s="9"/>
      <c r="EJ307" s="9"/>
      <c r="EK307" s="9"/>
      <c r="EL307" s="9"/>
      <c r="EM307" s="9"/>
      <c r="EN307" s="9"/>
      <c r="EO307" s="9"/>
      <c r="EP307" s="9"/>
      <c r="EQ307" s="9"/>
      <c r="ER307" s="9"/>
      <c r="ES307" s="9"/>
      <c r="ET307" s="9"/>
      <c r="EU307" s="9"/>
      <c r="EV307" s="9"/>
      <c r="EW307" s="9"/>
      <c r="EX307" s="9"/>
      <c r="EY307" s="9"/>
      <c r="EZ307" s="9"/>
      <c r="FA307" s="9"/>
      <c r="FB307" s="9"/>
      <c r="FC307" s="9"/>
      <c r="FD307" s="9"/>
      <c r="FE307" s="9"/>
      <c r="FF307" s="9"/>
      <c r="FG307" s="9"/>
      <c r="FH307" s="9"/>
      <c r="FI307" s="9"/>
      <c r="FJ307" s="9"/>
      <c r="FK307" s="9"/>
      <c r="FL307" s="9"/>
      <c r="FM307" s="9"/>
      <c r="FN307" s="9"/>
      <c r="FO307" s="9"/>
      <c r="FP307" s="9"/>
      <c r="FQ307" s="9"/>
      <c r="FR307" s="9"/>
      <c r="FS307" s="9"/>
      <c r="FT307" s="9"/>
      <c r="FU307" s="9"/>
      <c r="FV307" s="9"/>
      <c r="FW307" s="9"/>
      <c r="FX307" s="9"/>
      <c r="FY307" s="9"/>
      <c r="FZ307" s="9"/>
      <c r="GA307" s="9"/>
      <c r="GB307" s="9"/>
      <c r="GC307" s="9"/>
      <c r="GD307" s="9"/>
      <c r="GE307" s="9"/>
      <c r="GF307" s="9"/>
      <c r="GG307" s="9"/>
      <c r="GH307" s="9"/>
      <c r="GI307" s="9"/>
      <c r="GJ307" s="9"/>
      <c r="GK307" s="9"/>
      <c r="GL307" s="9"/>
      <c r="GM307" s="9"/>
      <c r="GN307" s="9"/>
      <c r="GO307" s="9"/>
      <c r="GP307" s="9"/>
      <c r="GQ307" s="9"/>
      <c r="GR307" s="9"/>
      <c r="GS307" s="9"/>
      <c r="GT307" s="9"/>
      <c r="GU307" s="9"/>
      <c r="GV307" s="9"/>
      <c r="GW307" s="9"/>
      <c r="GX307" s="9"/>
      <c r="GY307" s="9"/>
      <c r="GZ307" s="9"/>
      <c r="HA307" s="9"/>
      <c r="HB307" s="9"/>
      <c r="HC307" s="9"/>
      <c r="HD307" s="9"/>
      <c r="HE307" s="9"/>
      <c r="HF307" s="9"/>
      <c r="HG307" s="9"/>
      <c r="HH307" s="9"/>
      <c r="HI307" s="9"/>
      <c r="HJ307" s="9"/>
      <c r="HQ307" t="s">
        <v>923</v>
      </c>
      <c r="HV307" s="50"/>
      <c r="HW307" s="50"/>
      <c r="IH307" t="s">
        <v>491</v>
      </c>
      <c r="II307" t="s">
        <v>492</v>
      </c>
      <c r="JJ307" t="s">
        <v>924</v>
      </c>
      <c r="JK307" s="75" t="s">
        <v>907</v>
      </c>
      <c r="JL307" t="s">
        <v>495</v>
      </c>
      <c r="JM307" t="s">
        <v>908</v>
      </c>
      <c r="JN307" s="4" t="s">
        <v>497</v>
      </c>
      <c r="JO307" t="s">
        <v>909</v>
      </c>
      <c r="KV307" t="s">
        <v>925</v>
      </c>
      <c r="MY307" t="s">
        <v>910</v>
      </c>
      <c r="MZ307">
        <v>70</v>
      </c>
      <c r="NA307" t="s">
        <v>911</v>
      </c>
      <c r="NB307" s="4" t="s">
        <v>511</v>
      </c>
      <c r="NJ307" t="s">
        <v>948</v>
      </c>
      <c r="NK307" t="s">
        <v>914</v>
      </c>
      <c r="NL307" s="4" t="s">
        <v>654</v>
      </c>
      <c r="NM307" s="6" t="s">
        <v>508</v>
      </c>
      <c r="NU307" t="s">
        <v>915</v>
      </c>
      <c r="NV307" t="s">
        <v>518</v>
      </c>
      <c r="NW307">
        <v>8418</v>
      </c>
      <c r="NX307" t="s">
        <v>480</v>
      </c>
      <c r="NY307" t="s">
        <v>480</v>
      </c>
      <c r="OB307" s="15">
        <v>3</v>
      </c>
      <c r="OU307" t="s">
        <v>941</v>
      </c>
      <c r="OV307" t="s">
        <v>518</v>
      </c>
      <c r="OX307">
        <v>2015</v>
      </c>
      <c r="OY307">
        <v>2016</v>
      </c>
      <c r="PB307" t="s">
        <v>522</v>
      </c>
      <c r="PC307" s="50">
        <v>46105</v>
      </c>
    </row>
    <row r="308" spans="1:419" ht="15.75" thickBot="1">
      <c r="A308" t="s">
        <v>469</v>
      </c>
      <c r="B308" t="s">
        <v>899</v>
      </c>
      <c r="C308" t="s">
        <v>900</v>
      </c>
      <c r="D308" s="59" t="s">
        <v>472</v>
      </c>
      <c r="E308" t="s">
        <v>940</v>
      </c>
      <c r="F308" s="4" t="s">
        <v>902</v>
      </c>
      <c r="G308" t="s">
        <v>475</v>
      </c>
      <c r="H308" t="s">
        <v>476</v>
      </c>
      <c r="I308">
        <v>6.7519444440000003</v>
      </c>
      <c r="J308">
        <v>38.33361111</v>
      </c>
      <c r="K308">
        <v>500</v>
      </c>
      <c r="AV308" t="s">
        <v>903</v>
      </c>
      <c r="AW308">
        <v>420</v>
      </c>
      <c r="AX308">
        <v>0.18</v>
      </c>
      <c r="AY308">
        <v>1</v>
      </c>
      <c r="AZ308" t="s">
        <v>904</v>
      </c>
      <c r="BA308">
        <v>2015</v>
      </c>
      <c r="BB308">
        <v>2016</v>
      </c>
      <c r="BD308" t="s">
        <v>926</v>
      </c>
      <c r="BE308" t="s">
        <v>536</v>
      </c>
      <c r="BF308" s="3" t="s">
        <v>484</v>
      </c>
      <c r="BG308" t="s">
        <v>485</v>
      </c>
      <c r="BH308" t="s">
        <v>480</v>
      </c>
      <c r="BI308" t="s">
        <v>486</v>
      </c>
      <c r="BJ308">
        <v>53333</v>
      </c>
      <c r="BK308" t="s">
        <v>537</v>
      </c>
      <c r="BL308" t="s">
        <v>927</v>
      </c>
      <c r="BM308" t="s">
        <v>480</v>
      </c>
      <c r="BN308" t="s">
        <v>486</v>
      </c>
      <c r="BO308">
        <v>266666</v>
      </c>
      <c r="EG308" s="9"/>
      <c r="EH308" s="9"/>
      <c r="EI308" s="9"/>
      <c r="EJ308" s="9"/>
      <c r="EK308" s="9"/>
      <c r="EL308" s="9"/>
      <c r="EM308" s="9"/>
      <c r="EN308" s="9"/>
      <c r="EO308" s="9"/>
      <c r="EP308" s="9"/>
      <c r="EQ308" s="9"/>
      <c r="ER308" s="9"/>
      <c r="ES308" s="9"/>
      <c r="ET308" s="9"/>
      <c r="EU308" s="9"/>
      <c r="EV308" s="9"/>
      <c r="EW308" s="9"/>
      <c r="EX308" s="9"/>
      <c r="EY308" s="9"/>
      <c r="EZ308" s="9"/>
      <c r="FA308" s="9"/>
      <c r="FB308" s="9"/>
      <c r="FC308" s="9"/>
      <c r="FD308" s="9"/>
      <c r="FE308" s="9"/>
      <c r="FF308" s="9"/>
      <c r="FG308" s="9"/>
      <c r="FH308" s="9"/>
      <c r="FI308" s="9"/>
      <c r="FJ308" s="9"/>
      <c r="FK308" s="9"/>
      <c r="FL308" s="9"/>
      <c r="FM308" s="9"/>
      <c r="FN308" s="9"/>
      <c r="FO308" s="9"/>
      <c r="FP308" s="9"/>
      <c r="FQ308" s="9"/>
      <c r="FR308" s="9"/>
      <c r="FS308" s="9"/>
      <c r="FT308" s="9"/>
      <c r="FU308" s="9"/>
      <c r="FV308" s="9"/>
      <c r="FW308" s="9"/>
      <c r="FX308" s="9"/>
      <c r="FY308" s="9"/>
      <c r="FZ308" s="9"/>
      <c r="GA308" s="9"/>
      <c r="GB308" s="9"/>
      <c r="GC308" s="9"/>
      <c r="GD308" s="9"/>
      <c r="GE308" s="9"/>
      <c r="GF308" s="9"/>
      <c r="GG308" s="9"/>
      <c r="GH308" s="9"/>
      <c r="GI308" s="9"/>
      <c r="GJ308" s="9"/>
      <c r="GK308" s="9"/>
      <c r="GL308" s="9"/>
      <c r="GM308" s="9"/>
      <c r="GN308" s="9"/>
      <c r="GO308" s="9"/>
      <c r="GP308" s="9"/>
      <c r="GQ308" s="9"/>
      <c r="GR308" s="9"/>
      <c r="GS308" s="9"/>
      <c r="GT308" s="9"/>
      <c r="GU308" s="9"/>
      <c r="GV308" s="9"/>
      <c r="GW308" s="9"/>
      <c r="GX308" s="9"/>
      <c r="GY308" s="9"/>
      <c r="GZ308" s="9"/>
      <c r="HA308" s="9"/>
      <c r="HB308" s="9"/>
      <c r="HC308" s="9"/>
      <c r="HD308" s="9"/>
      <c r="HE308" s="9"/>
      <c r="HF308" s="9"/>
      <c r="HG308" s="9"/>
      <c r="HH308" s="9"/>
      <c r="HI308" s="9"/>
      <c r="HJ308" s="9"/>
      <c r="HV308" s="50"/>
      <c r="HW308" s="50"/>
      <c r="IH308" t="s">
        <v>928</v>
      </c>
      <c r="II308" s="75" t="s">
        <v>929</v>
      </c>
      <c r="IJ308" t="s">
        <v>542</v>
      </c>
      <c r="IK308" t="s">
        <v>543</v>
      </c>
      <c r="IL308" t="s">
        <v>480</v>
      </c>
      <c r="IM308" t="s">
        <v>480</v>
      </c>
      <c r="IN308" t="s">
        <v>480</v>
      </c>
      <c r="JJ308" t="s">
        <v>930</v>
      </c>
      <c r="JK308" s="75" t="s">
        <v>494</v>
      </c>
      <c r="JL308" t="s">
        <v>495</v>
      </c>
      <c r="JM308" t="s">
        <v>908</v>
      </c>
      <c r="JN308" s="4" t="s">
        <v>497</v>
      </c>
      <c r="JO308" t="s">
        <v>921</v>
      </c>
      <c r="MY308" t="s">
        <v>910</v>
      </c>
      <c r="MZ308">
        <v>70</v>
      </c>
      <c r="NA308" t="s">
        <v>911</v>
      </c>
      <c r="NB308" s="4" t="s">
        <v>511</v>
      </c>
      <c r="NJ308" t="s">
        <v>948</v>
      </c>
      <c r="NK308" t="s">
        <v>914</v>
      </c>
      <c r="NL308" s="4" t="s">
        <v>654</v>
      </c>
      <c r="NM308" s="6" t="s">
        <v>508</v>
      </c>
      <c r="NV308" t="s">
        <v>518</v>
      </c>
      <c r="NW308">
        <v>6990</v>
      </c>
      <c r="NX308" t="s">
        <v>480</v>
      </c>
      <c r="NY308" t="s">
        <v>480</v>
      </c>
      <c r="OB308" s="15">
        <v>3</v>
      </c>
      <c r="OU308" t="s">
        <v>941</v>
      </c>
      <c r="OV308" t="s">
        <v>518</v>
      </c>
      <c r="OX308">
        <v>2015</v>
      </c>
      <c r="OY308">
        <v>2016</v>
      </c>
      <c r="PB308" t="s">
        <v>522</v>
      </c>
      <c r="PC308" s="50">
        <v>46105</v>
      </c>
    </row>
    <row r="309" spans="1:419" ht="15.75" thickBot="1">
      <c r="A309" t="s">
        <v>469</v>
      </c>
      <c r="B309" t="s">
        <v>899</v>
      </c>
      <c r="C309" t="s">
        <v>900</v>
      </c>
      <c r="D309" s="59" t="s">
        <v>472</v>
      </c>
      <c r="E309" t="s">
        <v>940</v>
      </c>
      <c r="F309" s="4" t="s">
        <v>902</v>
      </c>
      <c r="G309" t="s">
        <v>475</v>
      </c>
      <c r="H309" t="s">
        <v>476</v>
      </c>
      <c r="I309">
        <v>6.7519444440000003</v>
      </c>
      <c r="J309">
        <v>38.33361111</v>
      </c>
      <c r="K309">
        <v>500</v>
      </c>
      <c r="AV309" t="s">
        <v>903</v>
      </c>
      <c r="AW309">
        <v>420</v>
      </c>
      <c r="AX309">
        <v>0.18</v>
      </c>
      <c r="AY309">
        <v>1</v>
      </c>
      <c r="AZ309" t="s">
        <v>904</v>
      </c>
      <c r="BA309">
        <v>2015</v>
      </c>
      <c r="BB309">
        <v>2016</v>
      </c>
      <c r="BD309" t="s">
        <v>931</v>
      </c>
      <c r="BE309" t="s">
        <v>566</v>
      </c>
      <c r="BF309" s="3" t="s">
        <v>484</v>
      </c>
      <c r="BG309" t="s">
        <v>485</v>
      </c>
      <c r="BH309" t="s">
        <v>480</v>
      </c>
      <c r="BI309" t="s">
        <v>486</v>
      </c>
      <c r="BJ309">
        <v>53333</v>
      </c>
      <c r="BK309" t="s">
        <v>537</v>
      </c>
      <c r="BL309" t="s">
        <v>932</v>
      </c>
      <c r="BM309" t="s">
        <v>480</v>
      </c>
      <c r="BN309" t="s">
        <v>486</v>
      </c>
      <c r="BO309">
        <v>66666</v>
      </c>
      <c r="EG309" s="9"/>
      <c r="EH309" s="9"/>
      <c r="EI309" s="9"/>
      <c r="EJ309" s="9"/>
      <c r="EK309" s="9"/>
      <c r="EL309" s="9"/>
      <c r="EM309" s="9"/>
      <c r="EN309" s="9"/>
      <c r="EO309" s="9"/>
      <c r="EP309" s="9"/>
      <c r="EQ309" s="9"/>
      <c r="ER309" s="9"/>
      <c r="ES309" s="9"/>
      <c r="ET309" s="9"/>
      <c r="EU309" s="9"/>
      <c r="EV309" s="9"/>
      <c r="EW309" s="9"/>
      <c r="EX309" s="9"/>
      <c r="EY309" s="9"/>
      <c r="EZ309" s="9"/>
      <c r="FA309" s="9"/>
      <c r="FB309" s="9"/>
      <c r="FC309" s="9"/>
      <c r="FD309" s="9"/>
      <c r="FE309" s="9"/>
      <c r="FF309" s="9"/>
      <c r="FG309" s="9"/>
      <c r="FH309" s="9"/>
      <c r="FI309" s="9"/>
      <c r="FJ309" s="9"/>
      <c r="FK309" s="9"/>
      <c r="FL309" s="9"/>
      <c r="FM309" s="9"/>
      <c r="FN309" s="9"/>
      <c r="FO309" s="9"/>
      <c r="FP309" s="9"/>
      <c r="FQ309" s="9"/>
      <c r="FR309" s="9"/>
      <c r="FS309" s="9"/>
      <c r="FT309" s="9"/>
      <c r="FU309" s="9"/>
      <c r="FV309" s="9"/>
      <c r="FW309" s="9"/>
      <c r="FX309" s="9"/>
      <c r="FY309" s="9"/>
      <c r="FZ309" s="9"/>
      <c r="GA309" s="9"/>
      <c r="GB309" s="9"/>
      <c r="GC309" s="9"/>
      <c r="GD309" s="9"/>
      <c r="GE309" s="9"/>
      <c r="GF309" s="9"/>
      <c r="GG309" s="9"/>
      <c r="GH309" s="9"/>
      <c r="GI309" s="9"/>
      <c r="GJ309" s="9"/>
      <c r="GK309" s="9"/>
      <c r="GL309" s="9"/>
      <c r="GM309" s="9"/>
      <c r="GN309" s="9"/>
      <c r="GO309" s="9"/>
      <c r="GP309" s="9"/>
      <c r="GQ309" s="9"/>
      <c r="GR309" s="9"/>
      <c r="GS309" s="9"/>
      <c r="GT309" s="9"/>
      <c r="GU309" s="9"/>
      <c r="GV309" s="9"/>
      <c r="GW309" s="9"/>
      <c r="GX309" s="9"/>
      <c r="GY309" s="9"/>
      <c r="GZ309" s="9"/>
      <c r="HA309" s="9"/>
      <c r="HB309" s="9"/>
      <c r="HC309" s="9"/>
      <c r="HD309" s="9"/>
      <c r="HE309" s="9"/>
      <c r="HF309" s="9"/>
      <c r="HG309" s="9"/>
      <c r="HH309" s="9"/>
      <c r="HI309" s="9"/>
      <c r="HJ309" s="9"/>
      <c r="HV309" s="50"/>
      <c r="HW309" s="50"/>
      <c r="IH309" t="s">
        <v>933</v>
      </c>
      <c r="II309" s="75" t="s">
        <v>929</v>
      </c>
      <c r="IJ309" t="s">
        <v>542</v>
      </c>
      <c r="IK309" t="s">
        <v>543</v>
      </c>
      <c r="IL309" t="s">
        <v>480</v>
      </c>
      <c r="IM309" t="s">
        <v>480</v>
      </c>
      <c r="IN309" t="s">
        <v>480</v>
      </c>
      <c r="JJ309" t="s">
        <v>934</v>
      </c>
      <c r="JK309" s="75" t="s">
        <v>494</v>
      </c>
      <c r="JL309" t="s">
        <v>495</v>
      </c>
      <c r="JM309" t="s">
        <v>908</v>
      </c>
      <c r="JN309" s="4" t="s">
        <v>497</v>
      </c>
      <c r="JO309" t="s">
        <v>921</v>
      </c>
      <c r="MY309" t="s">
        <v>910</v>
      </c>
      <c r="MZ309">
        <v>70</v>
      </c>
      <c r="NA309" t="s">
        <v>911</v>
      </c>
      <c r="NB309" s="4" t="s">
        <v>511</v>
      </c>
      <c r="NJ309" t="s">
        <v>948</v>
      </c>
      <c r="NK309" t="s">
        <v>914</v>
      </c>
      <c r="NL309" s="4" t="s">
        <v>654</v>
      </c>
      <c r="NM309" s="6" t="s">
        <v>508</v>
      </c>
      <c r="NV309" t="s">
        <v>518</v>
      </c>
      <c r="NW309">
        <v>6788</v>
      </c>
      <c r="NX309" t="s">
        <v>480</v>
      </c>
      <c r="NY309" t="s">
        <v>480</v>
      </c>
      <c r="OB309" s="15">
        <v>3</v>
      </c>
      <c r="OU309" t="s">
        <v>941</v>
      </c>
      <c r="OV309" t="s">
        <v>518</v>
      </c>
      <c r="OX309">
        <v>2015</v>
      </c>
      <c r="OY309">
        <v>2016</v>
      </c>
      <c r="PB309" t="s">
        <v>522</v>
      </c>
      <c r="PC309" s="50">
        <v>46105</v>
      </c>
    </row>
    <row r="310" spans="1:419" ht="15.75" thickBot="1">
      <c r="A310" t="s">
        <v>469</v>
      </c>
      <c r="B310" t="s">
        <v>899</v>
      </c>
      <c r="C310" t="s">
        <v>900</v>
      </c>
      <c r="D310" s="59" t="s">
        <v>472</v>
      </c>
      <c r="E310" t="s">
        <v>940</v>
      </c>
      <c r="F310" s="4" t="s">
        <v>902</v>
      </c>
      <c r="G310" t="s">
        <v>475</v>
      </c>
      <c r="H310" t="s">
        <v>476</v>
      </c>
      <c r="I310">
        <v>6.7519444440000003</v>
      </c>
      <c r="J310">
        <v>38.33361111</v>
      </c>
      <c r="K310">
        <v>500</v>
      </c>
      <c r="AV310" t="s">
        <v>903</v>
      </c>
      <c r="AW310">
        <v>420</v>
      </c>
      <c r="AX310">
        <v>0.18</v>
      </c>
      <c r="AY310">
        <v>1</v>
      </c>
      <c r="AZ310" t="s">
        <v>904</v>
      </c>
      <c r="BA310">
        <v>2015</v>
      </c>
      <c r="BB310">
        <v>2016</v>
      </c>
      <c r="BD310" t="s">
        <v>936</v>
      </c>
      <c r="BE310" t="s">
        <v>602</v>
      </c>
      <c r="BF310" s="3" t="s">
        <v>484</v>
      </c>
      <c r="BG310" t="s">
        <v>485</v>
      </c>
      <c r="BH310" t="s">
        <v>480</v>
      </c>
      <c r="BI310" t="s">
        <v>486</v>
      </c>
      <c r="BJ310">
        <v>53333</v>
      </c>
      <c r="EG310" s="9"/>
      <c r="EH310" s="9"/>
      <c r="EI310" s="9"/>
      <c r="EJ310" s="9"/>
      <c r="EK310" s="9"/>
      <c r="EL310" s="9"/>
      <c r="EM310" s="9"/>
      <c r="EN310" s="9"/>
      <c r="EO310" s="9"/>
      <c r="EP310" s="9"/>
      <c r="EQ310" s="9"/>
      <c r="ER310" s="9"/>
      <c r="ES310" s="9"/>
      <c r="ET310" s="9"/>
      <c r="EU310" s="9"/>
      <c r="EV310" s="9"/>
      <c r="EW310" s="9"/>
      <c r="EX310" s="9"/>
      <c r="EY310" s="9"/>
      <c r="EZ310" s="9"/>
      <c r="FA310" s="9"/>
      <c r="FB310" s="9"/>
      <c r="FC310" s="9"/>
      <c r="FD310" s="9"/>
      <c r="FE310" s="9"/>
      <c r="FF310" s="9"/>
      <c r="FG310" s="9"/>
      <c r="FH310" s="9"/>
      <c r="FI310" s="9"/>
      <c r="FJ310" s="9"/>
      <c r="FK310" s="9"/>
      <c r="FL310" s="9"/>
      <c r="FM310" s="9"/>
      <c r="FN310" s="9"/>
      <c r="FO310" s="9"/>
      <c r="FP310" s="9"/>
      <c r="FQ310" s="9"/>
      <c r="FR310" s="9"/>
      <c r="FS310" s="9"/>
      <c r="FT310" s="9"/>
      <c r="FU310" s="9"/>
      <c r="FV310" s="9"/>
      <c r="FW310" s="9"/>
      <c r="FX310" s="9"/>
      <c r="FY310" s="9"/>
      <c r="FZ310" s="9"/>
      <c r="GA310" s="9"/>
      <c r="GB310" s="9"/>
      <c r="GC310" s="9"/>
      <c r="GD310" s="9"/>
      <c r="GE310" s="9"/>
      <c r="GF310" s="9"/>
      <c r="GG310" s="9"/>
      <c r="GH310" s="9"/>
      <c r="GI310" s="9"/>
      <c r="GJ310" s="9"/>
      <c r="GK310" s="9"/>
      <c r="GL310" s="9"/>
      <c r="GM310" s="9"/>
      <c r="GN310" s="9"/>
      <c r="GO310" s="9"/>
      <c r="GP310" s="9"/>
      <c r="GQ310" s="9"/>
      <c r="GR310" s="9"/>
      <c r="GS310" s="9"/>
      <c r="GT310" s="9"/>
      <c r="GU310" s="9"/>
      <c r="GV310" s="9"/>
      <c r="GW310" s="9"/>
      <c r="GX310" s="9"/>
      <c r="GY310" s="9"/>
      <c r="GZ310" s="9"/>
      <c r="HA310" s="9"/>
      <c r="HB310" s="9"/>
      <c r="HC310" s="9"/>
      <c r="HD310" s="9"/>
      <c r="HE310" s="9"/>
      <c r="HF310" s="9"/>
      <c r="HG310" s="9"/>
      <c r="HH310" s="9"/>
      <c r="HI310" s="9"/>
      <c r="HJ310" s="9"/>
      <c r="HQ310" t="s">
        <v>923</v>
      </c>
      <c r="HV310" s="50"/>
      <c r="HW310" s="50"/>
      <c r="IH310" t="s">
        <v>491</v>
      </c>
      <c r="II310" t="s">
        <v>492</v>
      </c>
      <c r="JJ310" t="s">
        <v>937</v>
      </c>
      <c r="JK310" s="75" t="s">
        <v>494</v>
      </c>
      <c r="JL310" t="s">
        <v>495</v>
      </c>
      <c r="JM310" t="s">
        <v>908</v>
      </c>
      <c r="JN310" s="4" t="s">
        <v>497</v>
      </c>
      <c r="JO310" t="s">
        <v>921</v>
      </c>
      <c r="MY310" t="s">
        <v>910</v>
      </c>
      <c r="MZ310">
        <v>70</v>
      </c>
      <c r="NA310" t="s">
        <v>911</v>
      </c>
      <c r="NB310" s="4" t="s">
        <v>511</v>
      </c>
      <c r="NJ310" t="s">
        <v>948</v>
      </c>
      <c r="NK310" t="s">
        <v>914</v>
      </c>
      <c r="NL310" s="4" t="s">
        <v>654</v>
      </c>
      <c r="NM310" s="6" t="s">
        <v>508</v>
      </c>
      <c r="NU310" t="s">
        <v>657</v>
      </c>
      <c r="NV310" t="s">
        <v>518</v>
      </c>
      <c r="NW310">
        <v>9668</v>
      </c>
      <c r="NX310" t="s">
        <v>480</v>
      </c>
      <c r="NY310" t="s">
        <v>480</v>
      </c>
      <c r="OB310" s="15">
        <v>3</v>
      </c>
      <c r="OU310" t="s">
        <v>941</v>
      </c>
      <c r="OV310" t="s">
        <v>518</v>
      </c>
      <c r="OX310">
        <v>2015</v>
      </c>
      <c r="OY310">
        <v>2016</v>
      </c>
      <c r="PB310" t="s">
        <v>522</v>
      </c>
      <c r="PC310" s="50">
        <v>46105</v>
      </c>
    </row>
    <row r="311" spans="1:419" ht="15.75" thickBot="1">
      <c r="A311" t="s">
        <v>469</v>
      </c>
      <c r="B311" t="s">
        <v>949</v>
      </c>
      <c r="C311" t="s">
        <v>863</v>
      </c>
      <c r="D311" s="4" t="s">
        <v>950</v>
      </c>
      <c r="E311" s="81" t="s">
        <v>951</v>
      </c>
      <c r="F311" s="81" t="s">
        <v>952</v>
      </c>
      <c r="G311" t="s">
        <v>475</v>
      </c>
      <c r="H311" t="s">
        <v>476</v>
      </c>
      <c r="I311">
        <v>12.133333329999999</v>
      </c>
      <c r="J311">
        <v>8.5333333329999999</v>
      </c>
      <c r="K311">
        <v>150</v>
      </c>
      <c r="AV311" t="s">
        <v>953</v>
      </c>
      <c r="AW311">
        <v>27</v>
      </c>
      <c r="AX311" t="s">
        <v>480</v>
      </c>
      <c r="AY311">
        <v>1</v>
      </c>
      <c r="AZ311" t="s">
        <v>954</v>
      </c>
      <c r="BA311">
        <v>1999</v>
      </c>
      <c r="BB311">
        <v>2000</v>
      </c>
      <c r="BD311" t="s">
        <v>955</v>
      </c>
      <c r="BE311" t="s">
        <v>524</v>
      </c>
      <c r="BF311" s="3" t="s">
        <v>484</v>
      </c>
      <c r="BG311" t="s">
        <v>538</v>
      </c>
      <c r="BH311" t="s">
        <v>956</v>
      </c>
      <c r="BI311" t="s">
        <v>480</v>
      </c>
      <c r="BJ311" t="s">
        <v>480</v>
      </c>
      <c r="EG311" s="9"/>
      <c r="EH311" s="9"/>
      <c r="EI311" s="9"/>
      <c r="EJ311" s="9"/>
      <c r="EK311" s="9"/>
      <c r="EL311" s="9"/>
      <c r="EM311" s="9"/>
      <c r="EN311" s="9"/>
      <c r="EO311" s="9"/>
      <c r="EP311" s="9"/>
      <c r="EQ311" s="9"/>
      <c r="ER311" s="9"/>
      <c r="ES311" s="9"/>
      <c r="ET311" s="9"/>
      <c r="EU311" s="9"/>
      <c r="EV311" s="9"/>
      <c r="EW311" s="9"/>
      <c r="EX311" s="9"/>
      <c r="EY311" s="9"/>
      <c r="EZ311" s="9"/>
      <c r="FA311" s="9"/>
      <c r="FB311" s="9"/>
      <c r="FC311" s="9"/>
      <c r="FD311" s="9"/>
      <c r="FE311" s="9"/>
      <c r="FF311" s="9"/>
      <c r="FG311" s="9"/>
      <c r="FH311" s="9"/>
      <c r="FI311" s="9"/>
      <c r="FJ311" s="9"/>
      <c r="FK311" s="9"/>
      <c r="FL311" s="9"/>
      <c r="FM311" s="9"/>
      <c r="FN311" s="9"/>
      <c r="FO311" s="9"/>
      <c r="FP311" s="9"/>
      <c r="FQ311" s="9"/>
      <c r="FR311" s="9"/>
      <c r="FS311" s="9"/>
      <c r="FT311" s="9"/>
      <c r="FU311" s="9"/>
      <c r="FV311" s="9"/>
      <c r="FW311" s="9"/>
      <c r="FX311" s="9"/>
      <c r="FY311" s="9"/>
      <c r="FZ311" s="9"/>
      <c r="GA311" s="9"/>
      <c r="GB311" s="9"/>
      <c r="GC311" s="9"/>
      <c r="GD311" s="9"/>
      <c r="GE311" s="9"/>
      <c r="GF311" s="9"/>
      <c r="GG311" s="9"/>
      <c r="GH311" s="9"/>
      <c r="GI311" s="9"/>
      <c r="GJ311" s="9"/>
      <c r="GK311" s="9"/>
      <c r="GL311" s="9"/>
      <c r="GM311" s="9"/>
      <c r="GN311" s="9"/>
      <c r="GO311" s="9"/>
      <c r="GP311" s="9"/>
      <c r="GQ311" s="9"/>
      <c r="GR311" s="9"/>
      <c r="GS311" s="9"/>
      <c r="GT311" s="9"/>
      <c r="GU311" s="9"/>
      <c r="GV311" s="9"/>
      <c r="GW311" s="9"/>
      <c r="GX311" s="9"/>
      <c r="GY311" s="9"/>
      <c r="GZ311" s="9"/>
      <c r="HA311" s="9"/>
      <c r="HB311" s="9"/>
      <c r="HC311" s="9"/>
      <c r="HD311" s="9"/>
      <c r="HE311" s="9"/>
      <c r="HF311" s="9"/>
      <c r="HG311" s="9"/>
      <c r="HH311" s="9"/>
      <c r="HI311" s="9"/>
      <c r="HJ311" s="9"/>
      <c r="HV311" s="50" t="s">
        <v>955</v>
      </c>
      <c r="HW311" t="s">
        <v>538</v>
      </c>
      <c r="HX311" t="s">
        <v>956</v>
      </c>
      <c r="HY311" s="12"/>
      <c r="HZ311" s="4" t="s">
        <v>957</v>
      </c>
      <c r="IA311" t="s">
        <v>958</v>
      </c>
      <c r="IH311" t="s">
        <v>955</v>
      </c>
      <c r="II311" t="s">
        <v>492</v>
      </c>
      <c r="JJ311" t="s">
        <v>959</v>
      </c>
      <c r="JK311" s="75" t="s">
        <v>494</v>
      </c>
      <c r="JL311" t="s">
        <v>495</v>
      </c>
      <c r="JM311" t="s">
        <v>960</v>
      </c>
      <c r="JN311" s="4" t="s">
        <v>961</v>
      </c>
      <c r="JO311" t="s">
        <v>962</v>
      </c>
      <c r="JP311" s="4"/>
      <c r="KI311" t="s">
        <v>963</v>
      </c>
      <c r="KJ311" t="s">
        <v>501</v>
      </c>
      <c r="KK311" s="8" t="s">
        <v>964</v>
      </c>
      <c r="KL311" s="4" t="s">
        <v>503</v>
      </c>
      <c r="KM311">
        <v>1</v>
      </c>
      <c r="MY311" t="s">
        <v>965</v>
      </c>
      <c r="MZ311">
        <v>27</v>
      </c>
      <c r="NA311" t="s">
        <v>966</v>
      </c>
      <c r="NB311" t="s">
        <v>538</v>
      </c>
      <c r="NJ311" t="s">
        <v>967</v>
      </c>
      <c r="NL311" s="4" t="s">
        <v>660</v>
      </c>
      <c r="NM311" t="s">
        <v>508</v>
      </c>
      <c r="NU311" t="s">
        <v>536</v>
      </c>
      <c r="NV311" t="s">
        <v>518</v>
      </c>
      <c r="NX311" s="2" t="s">
        <v>480</v>
      </c>
      <c r="OB311">
        <v>3</v>
      </c>
      <c r="OC311">
        <v>1142</v>
      </c>
      <c r="OD311" s="79" t="s">
        <v>480</v>
      </c>
      <c r="OU311" t="s">
        <v>968</v>
      </c>
      <c r="OW311">
        <v>1999</v>
      </c>
      <c r="PB311" t="s">
        <v>522</v>
      </c>
      <c r="PC311" s="50">
        <v>46104</v>
      </c>
    </row>
    <row r="312" spans="1:419" ht="15.75" thickBot="1">
      <c r="A312" t="s">
        <v>469</v>
      </c>
      <c r="B312" t="s">
        <v>949</v>
      </c>
      <c r="C312" t="s">
        <v>863</v>
      </c>
      <c r="D312" s="4" t="s">
        <v>950</v>
      </c>
      <c r="E312" s="81" t="s">
        <v>951</v>
      </c>
      <c r="F312" s="81" t="s">
        <v>952</v>
      </c>
      <c r="G312" t="s">
        <v>475</v>
      </c>
      <c r="H312" t="s">
        <v>476</v>
      </c>
      <c r="I312">
        <v>12.133333329999999</v>
      </c>
      <c r="J312">
        <v>8.5333333329999999</v>
      </c>
      <c r="K312">
        <v>150</v>
      </c>
      <c r="AV312" t="s">
        <v>953</v>
      </c>
      <c r="AW312">
        <v>27</v>
      </c>
      <c r="AX312" t="s">
        <v>480</v>
      </c>
      <c r="AY312">
        <v>1</v>
      </c>
      <c r="AZ312" t="s">
        <v>954</v>
      </c>
      <c r="BA312">
        <v>1999</v>
      </c>
      <c r="BB312">
        <v>2000</v>
      </c>
      <c r="BD312" t="s">
        <v>969</v>
      </c>
      <c r="BE312" t="s">
        <v>483</v>
      </c>
      <c r="BF312" s="3" t="s">
        <v>484</v>
      </c>
      <c r="BG312" t="s">
        <v>538</v>
      </c>
      <c r="BH312" t="s">
        <v>970</v>
      </c>
      <c r="BI312" t="s">
        <v>480</v>
      </c>
      <c r="BJ312" t="s">
        <v>480</v>
      </c>
      <c r="EG312" s="9"/>
      <c r="EH312" s="9"/>
      <c r="EI312" s="9"/>
      <c r="EJ312" s="9"/>
      <c r="EK312" s="9"/>
      <c r="EL312" s="9"/>
      <c r="EM312" s="9"/>
      <c r="EN312" s="9"/>
      <c r="EO312" s="9"/>
      <c r="EP312" s="9"/>
      <c r="EQ312" s="9"/>
      <c r="ER312" s="9"/>
      <c r="ES312" s="9"/>
      <c r="ET312" s="9"/>
      <c r="EU312" s="9"/>
      <c r="EV312" s="9"/>
      <c r="EW312" s="9"/>
      <c r="EX312" s="9"/>
      <c r="EY312" s="9"/>
      <c r="EZ312" s="9"/>
      <c r="FA312" s="9"/>
      <c r="FB312" s="9"/>
      <c r="FC312" s="9"/>
      <c r="FD312" s="9"/>
      <c r="FE312" s="9"/>
      <c r="FF312" s="9"/>
      <c r="FG312" s="9"/>
      <c r="FH312" s="9"/>
      <c r="FI312" s="9"/>
      <c r="FJ312" s="9"/>
      <c r="FK312" s="9"/>
      <c r="FL312" s="9"/>
      <c r="FM312" s="9"/>
      <c r="FN312" s="9"/>
      <c r="FO312" s="9"/>
      <c r="FP312" s="9"/>
      <c r="FQ312" s="9"/>
      <c r="FR312" s="9"/>
      <c r="FS312" s="9"/>
      <c r="FT312" s="9"/>
      <c r="FU312" s="9"/>
      <c r="FV312" s="9"/>
      <c r="FW312" s="9"/>
      <c r="FX312" s="9"/>
      <c r="FY312" s="9"/>
      <c r="FZ312" s="9"/>
      <c r="GA312" s="9"/>
      <c r="GB312" s="9"/>
      <c r="GC312" s="9"/>
      <c r="GD312" s="9"/>
      <c r="GE312" s="9"/>
      <c r="GF312" s="9"/>
      <c r="GG312" s="9"/>
      <c r="GH312" s="9"/>
      <c r="GI312" s="9"/>
      <c r="GJ312" s="9"/>
      <c r="GK312" s="9"/>
      <c r="GL312" s="9"/>
      <c r="GM312" s="9"/>
      <c r="GN312" s="9"/>
      <c r="GO312" s="9"/>
      <c r="GP312" s="9"/>
      <c r="GQ312" s="9"/>
      <c r="GR312" s="9"/>
      <c r="GS312" s="9"/>
      <c r="GT312" s="9"/>
      <c r="GU312" s="9"/>
      <c r="GV312" s="9"/>
      <c r="GW312" s="9"/>
      <c r="GX312" s="9"/>
      <c r="GY312" s="9"/>
      <c r="GZ312" s="9"/>
      <c r="HA312" s="9"/>
      <c r="HB312" s="9"/>
      <c r="HC312" s="9"/>
      <c r="HD312" s="9"/>
      <c r="HE312" s="9"/>
      <c r="HF312" s="9"/>
      <c r="HG312" s="9"/>
      <c r="HH312" s="9"/>
      <c r="HI312" s="9"/>
      <c r="HJ312" s="9"/>
      <c r="HV312" s="50" t="s">
        <v>969</v>
      </c>
      <c r="HW312" s="50" t="s">
        <v>538</v>
      </c>
      <c r="HX312" t="s">
        <v>970</v>
      </c>
      <c r="HY312" s="12"/>
      <c r="HZ312" t="s">
        <v>971</v>
      </c>
      <c r="IA312" t="s">
        <v>972</v>
      </c>
      <c r="IH312" t="s">
        <v>969</v>
      </c>
      <c r="II312" t="s">
        <v>492</v>
      </c>
      <c r="JJ312" t="s">
        <v>959</v>
      </c>
      <c r="JK312" s="75" t="s">
        <v>494</v>
      </c>
      <c r="JL312" t="s">
        <v>495</v>
      </c>
      <c r="JM312" t="s">
        <v>960</v>
      </c>
      <c r="JN312" s="4" t="s">
        <v>961</v>
      </c>
      <c r="JO312" t="s">
        <v>962</v>
      </c>
      <c r="JP312" s="4"/>
      <c r="KI312" t="s">
        <v>963</v>
      </c>
      <c r="KJ312" t="s">
        <v>501</v>
      </c>
      <c r="KK312" s="8" t="s">
        <v>964</v>
      </c>
      <c r="KL312" s="4" t="s">
        <v>503</v>
      </c>
      <c r="KM312">
        <v>1</v>
      </c>
      <c r="MY312" t="s">
        <v>965</v>
      </c>
      <c r="MZ312">
        <v>27</v>
      </c>
      <c r="NA312" t="s">
        <v>966</v>
      </c>
      <c r="NB312" t="s">
        <v>538</v>
      </c>
      <c r="NJ312" t="s">
        <v>967</v>
      </c>
      <c r="NL312" s="4" t="s">
        <v>660</v>
      </c>
      <c r="NM312" t="s">
        <v>508</v>
      </c>
      <c r="NU312" t="s">
        <v>566</v>
      </c>
      <c r="NV312" t="s">
        <v>518</v>
      </c>
      <c r="NX312" s="2" t="s">
        <v>480</v>
      </c>
      <c r="OB312">
        <v>3</v>
      </c>
      <c r="OC312">
        <v>1876</v>
      </c>
      <c r="OD312" s="79" t="s">
        <v>480</v>
      </c>
      <c r="OU312" t="s">
        <v>968</v>
      </c>
      <c r="OW312">
        <v>1999</v>
      </c>
      <c r="PB312" t="s">
        <v>522</v>
      </c>
      <c r="PC312" s="50">
        <v>46104</v>
      </c>
    </row>
    <row r="313" spans="1:419" ht="15.75" thickBot="1">
      <c r="A313" t="s">
        <v>469</v>
      </c>
      <c r="B313" t="s">
        <v>949</v>
      </c>
      <c r="C313" t="s">
        <v>863</v>
      </c>
      <c r="D313" s="4" t="s">
        <v>950</v>
      </c>
      <c r="E313" s="81" t="s">
        <v>951</v>
      </c>
      <c r="F313" s="81" t="s">
        <v>952</v>
      </c>
      <c r="G313" t="s">
        <v>475</v>
      </c>
      <c r="H313" t="s">
        <v>476</v>
      </c>
      <c r="I313">
        <v>12.133333329999999</v>
      </c>
      <c r="J313">
        <v>8.5333333329999999</v>
      </c>
      <c r="K313">
        <v>150</v>
      </c>
      <c r="AV313" t="s">
        <v>953</v>
      </c>
      <c r="AW313">
        <v>27</v>
      </c>
      <c r="AX313" t="s">
        <v>480</v>
      </c>
      <c r="AY313">
        <v>1</v>
      </c>
      <c r="AZ313" t="s">
        <v>954</v>
      </c>
      <c r="BA313">
        <v>1999</v>
      </c>
      <c r="BB313">
        <v>2000</v>
      </c>
      <c r="BD313" t="s">
        <v>973</v>
      </c>
      <c r="BE313" t="s">
        <v>593</v>
      </c>
      <c r="BF313" s="3" t="s">
        <v>484</v>
      </c>
      <c r="BG313" t="s">
        <v>538</v>
      </c>
      <c r="BH313" t="s">
        <v>974</v>
      </c>
      <c r="BI313" t="s">
        <v>480</v>
      </c>
      <c r="BJ313" t="s">
        <v>480</v>
      </c>
      <c r="EG313" s="9"/>
      <c r="EH313" s="9"/>
      <c r="EI313" s="9"/>
      <c r="EJ313" s="9"/>
      <c r="EK313" s="9"/>
      <c r="EL313" s="9"/>
      <c r="EM313" s="9"/>
      <c r="EN313" s="9"/>
      <c r="EO313" s="9"/>
      <c r="EP313" s="9"/>
      <c r="EQ313" s="9"/>
      <c r="ER313" s="9"/>
      <c r="ES313" s="9"/>
      <c r="ET313" s="9"/>
      <c r="EU313" s="9"/>
      <c r="EV313" s="9"/>
      <c r="EW313" s="9"/>
      <c r="EX313" s="9"/>
      <c r="EY313" s="9"/>
      <c r="EZ313" s="9"/>
      <c r="FA313" s="9"/>
      <c r="FB313" s="9"/>
      <c r="FC313" s="9"/>
      <c r="FD313" s="9"/>
      <c r="FE313" s="9"/>
      <c r="FF313" s="9"/>
      <c r="FG313" s="9"/>
      <c r="FH313" s="9"/>
      <c r="FI313" s="9"/>
      <c r="FJ313" s="9"/>
      <c r="FK313" s="9"/>
      <c r="FL313" s="9"/>
      <c r="FM313" s="9"/>
      <c r="FN313" s="9"/>
      <c r="FO313" s="9"/>
      <c r="FP313" s="9"/>
      <c r="FQ313" s="9"/>
      <c r="FR313" s="9"/>
      <c r="FS313" s="9"/>
      <c r="FT313" s="9"/>
      <c r="FU313" s="9"/>
      <c r="FV313" s="9"/>
      <c r="FW313" s="9"/>
      <c r="FX313" s="9"/>
      <c r="FY313" s="9"/>
      <c r="FZ313" s="9"/>
      <c r="GA313" s="9"/>
      <c r="GB313" s="9"/>
      <c r="GC313" s="9"/>
      <c r="GD313" s="9"/>
      <c r="GE313" s="9"/>
      <c r="GF313" s="9"/>
      <c r="GG313" s="9"/>
      <c r="GH313" s="9"/>
      <c r="GI313" s="9"/>
      <c r="GJ313" s="9"/>
      <c r="GK313" s="9"/>
      <c r="GL313" s="9"/>
      <c r="GM313" s="9"/>
      <c r="GN313" s="9"/>
      <c r="GO313" s="9"/>
      <c r="GP313" s="9"/>
      <c r="GQ313" s="9"/>
      <c r="GR313" s="9"/>
      <c r="GS313" s="9"/>
      <c r="GT313" s="9"/>
      <c r="GU313" s="9"/>
      <c r="GV313" s="9"/>
      <c r="GW313" s="9"/>
      <c r="GX313" s="9"/>
      <c r="GY313" s="9"/>
      <c r="GZ313" s="9"/>
      <c r="HA313" s="9"/>
      <c r="HB313" s="9"/>
      <c r="HC313" s="9"/>
      <c r="HD313" s="9"/>
      <c r="HE313" s="9"/>
      <c r="HF313" s="9"/>
      <c r="HG313" s="9"/>
      <c r="HH313" s="9"/>
      <c r="HI313" s="9"/>
      <c r="HJ313" s="9"/>
      <c r="HV313" s="50" t="s">
        <v>973</v>
      </c>
      <c r="HW313" s="50" t="s">
        <v>538</v>
      </c>
      <c r="HX313" t="s">
        <v>974</v>
      </c>
      <c r="HY313" s="12"/>
      <c r="HZ313" t="s">
        <v>971</v>
      </c>
      <c r="IA313" t="s">
        <v>972</v>
      </c>
      <c r="IH313" t="s">
        <v>973</v>
      </c>
      <c r="II313" t="s">
        <v>492</v>
      </c>
      <c r="JJ313" t="s">
        <v>959</v>
      </c>
      <c r="JK313" s="75" t="s">
        <v>494</v>
      </c>
      <c r="JL313" t="s">
        <v>495</v>
      </c>
      <c r="JM313" t="s">
        <v>960</v>
      </c>
      <c r="JN313" s="4" t="s">
        <v>961</v>
      </c>
      <c r="JO313" t="s">
        <v>962</v>
      </c>
      <c r="JP313" s="4"/>
      <c r="KI313" t="s">
        <v>963</v>
      </c>
      <c r="KJ313" t="s">
        <v>501</v>
      </c>
      <c r="KK313" s="8" t="s">
        <v>964</v>
      </c>
      <c r="KL313" s="4" t="s">
        <v>503</v>
      </c>
      <c r="KM313">
        <v>1</v>
      </c>
      <c r="MY313" t="s">
        <v>965</v>
      </c>
      <c r="MZ313">
        <v>27</v>
      </c>
      <c r="NA313" t="s">
        <v>966</v>
      </c>
      <c r="NB313" t="s">
        <v>538</v>
      </c>
      <c r="NJ313" t="s">
        <v>967</v>
      </c>
      <c r="NL313" s="4" t="s">
        <v>660</v>
      </c>
      <c r="NM313" t="s">
        <v>508</v>
      </c>
      <c r="NU313" t="s">
        <v>572</v>
      </c>
      <c r="NV313" t="s">
        <v>518</v>
      </c>
      <c r="NX313" s="2" t="s">
        <v>480</v>
      </c>
      <c r="OB313">
        <v>3</v>
      </c>
      <c r="OC313">
        <v>1454</v>
      </c>
      <c r="OD313" s="79" t="s">
        <v>480</v>
      </c>
      <c r="OU313" t="s">
        <v>968</v>
      </c>
      <c r="OW313">
        <v>1999</v>
      </c>
      <c r="PB313" t="s">
        <v>522</v>
      </c>
      <c r="PC313" s="50">
        <v>46104</v>
      </c>
    </row>
    <row r="314" spans="1:419" ht="15.75" thickBot="1">
      <c r="A314" t="s">
        <v>469</v>
      </c>
      <c r="B314" t="s">
        <v>949</v>
      </c>
      <c r="C314" t="s">
        <v>863</v>
      </c>
      <c r="D314" s="4" t="s">
        <v>950</v>
      </c>
      <c r="E314" s="81" t="s">
        <v>951</v>
      </c>
      <c r="F314" s="81" t="s">
        <v>952</v>
      </c>
      <c r="G314" t="s">
        <v>475</v>
      </c>
      <c r="H314" t="s">
        <v>476</v>
      </c>
      <c r="I314">
        <v>12.133333329999999</v>
      </c>
      <c r="J314">
        <v>8.5333333329999999</v>
      </c>
      <c r="K314">
        <v>150</v>
      </c>
      <c r="AV314" t="s">
        <v>953</v>
      </c>
      <c r="AW314">
        <v>27</v>
      </c>
      <c r="AX314" t="s">
        <v>480</v>
      </c>
      <c r="AY314">
        <v>1</v>
      </c>
      <c r="AZ314" t="s">
        <v>954</v>
      </c>
      <c r="BA314">
        <v>1999</v>
      </c>
      <c r="BB314">
        <v>2000</v>
      </c>
      <c r="BD314" t="s">
        <v>975</v>
      </c>
      <c r="BE314" t="s">
        <v>602</v>
      </c>
      <c r="BF314" s="3" t="s">
        <v>484</v>
      </c>
      <c r="BG314" t="s">
        <v>538</v>
      </c>
      <c r="BH314" t="s">
        <v>976</v>
      </c>
      <c r="BI314" t="s">
        <v>480</v>
      </c>
      <c r="BJ314" t="s">
        <v>480</v>
      </c>
      <c r="EG314" s="9"/>
      <c r="EH314" s="9"/>
      <c r="EI314" s="9"/>
      <c r="EJ314" s="9"/>
      <c r="EK314" s="9"/>
      <c r="EL314" s="9"/>
      <c r="EM314" s="9"/>
      <c r="EN314" s="9"/>
      <c r="EO314" s="9"/>
      <c r="EP314" s="9"/>
      <c r="EQ314" s="9"/>
      <c r="ER314" s="9"/>
      <c r="ES314" s="9"/>
      <c r="ET314" s="9"/>
      <c r="EU314" s="9"/>
      <c r="EV314" s="9"/>
      <c r="EW314" s="9"/>
      <c r="EX314" s="9"/>
      <c r="EY314" s="9"/>
      <c r="EZ314" s="9"/>
      <c r="FA314" s="9"/>
      <c r="FB314" s="9"/>
      <c r="FC314" s="9"/>
      <c r="FD314" s="9"/>
      <c r="FE314" s="9"/>
      <c r="FF314" s="9"/>
      <c r="FG314" s="9"/>
      <c r="FH314" s="9"/>
      <c r="FI314" s="9"/>
      <c r="FJ314" s="9"/>
      <c r="FK314" s="9"/>
      <c r="FL314" s="9"/>
      <c r="FM314" s="9"/>
      <c r="FN314" s="9"/>
      <c r="FO314" s="9"/>
      <c r="FP314" s="9"/>
      <c r="FQ314" s="9"/>
      <c r="FR314" s="9"/>
      <c r="FS314" s="9"/>
      <c r="FT314" s="9"/>
      <c r="FU314" s="9"/>
      <c r="FV314" s="9"/>
      <c r="FW314" s="9"/>
      <c r="FX314" s="9"/>
      <c r="FY314" s="9"/>
      <c r="FZ314" s="9"/>
      <c r="GA314" s="9"/>
      <c r="GB314" s="9"/>
      <c r="GC314" s="9"/>
      <c r="GD314" s="9"/>
      <c r="GE314" s="9"/>
      <c r="GF314" s="9"/>
      <c r="GG314" s="9"/>
      <c r="GH314" s="9"/>
      <c r="GI314" s="9"/>
      <c r="GJ314" s="9"/>
      <c r="GK314" s="9"/>
      <c r="GL314" s="9"/>
      <c r="GM314" s="9"/>
      <c r="GN314" s="9"/>
      <c r="GO314" s="9"/>
      <c r="GP314" s="9"/>
      <c r="GQ314" s="9"/>
      <c r="GR314" s="9"/>
      <c r="GS314" s="9"/>
      <c r="GT314" s="9"/>
      <c r="GU314" s="9"/>
      <c r="GV314" s="9"/>
      <c r="GW314" s="9"/>
      <c r="GX314" s="9"/>
      <c r="GY314" s="9"/>
      <c r="GZ314" s="9"/>
      <c r="HA314" s="9"/>
      <c r="HB314" s="9"/>
      <c r="HC314" s="9"/>
      <c r="HD314" s="9"/>
      <c r="HE314" s="9"/>
      <c r="HF314" s="9"/>
      <c r="HG314" s="9"/>
      <c r="HH314" s="9"/>
      <c r="HI314" s="9"/>
      <c r="HJ314" s="9"/>
      <c r="HV314" s="50" t="s">
        <v>975</v>
      </c>
      <c r="HW314" s="50" t="s">
        <v>538</v>
      </c>
      <c r="HX314" t="s">
        <v>976</v>
      </c>
      <c r="HY314" s="12"/>
      <c r="HZ314" t="s">
        <v>971</v>
      </c>
      <c r="IA314" t="s">
        <v>972</v>
      </c>
      <c r="IH314" t="s">
        <v>975</v>
      </c>
      <c r="II314" t="s">
        <v>492</v>
      </c>
      <c r="JJ314" t="s">
        <v>959</v>
      </c>
      <c r="JK314" s="75" t="s">
        <v>494</v>
      </c>
      <c r="JL314" t="s">
        <v>495</v>
      </c>
      <c r="JM314" t="s">
        <v>960</v>
      </c>
      <c r="JN314" s="4" t="s">
        <v>961</v>
      </c>
      <c r="JO314" t="s">
        <v>962</v>
      </c>
      <c r="JP314" s="4"/>
      <c r="KI314" t="s">
        <v>963</v>
      </c>
      <c r="KJ314" t="s">
        <v>501</v>
      </c>
      <c r="KK314" s="8" t="s">
        <v>964</v>
      </c>
      <c r="KL314" s="4" t="s">
        <v>503</v>
      </c>
      <c r="KM314">
        <v>1</v>
      </c>
      <c r="MY314" t="s">
        <v>965</v>
      </c>
      <c r="MZ314">
        <v>27</v>
      </c>
      <c r="NA314" t="s">
        <v>966</v>
      </c>
      <c r="NB314" t="s">
        <v>538</v>
      </c>
      <c r="NJ314" t="s">
        <v>967</v>
      </c>
      <c r="NL314" s="4" t="s">
        <v>660</v>
      </c>
      <c r="NM314" t="s">
        <v>508</v>
      </c>
      <c r="NU314" t="s">
        <v>553</v>
      </c>
      <c r="NV314" t="s">
        <v>518</v>
      </c>
      <c r="NX314" s="2" t="s">
        <v>480</v>
      </c>
      <c r="OB314">
        <v>3</v>
      </c>
      <c r="OC314">
        <v>1087</v>
      </c>
      <c r="OD314" s="79" t="s">
        <v>480</v>
      </c>
      <c r="OU314" t="s">
        <v>968</v>
      </c>
      <c r="OW314">
        <v>1999</v>
      </c>
      <c r="PB314" t="s">
        <v>522</v>
      </c>
      <c r="PC314" s="50">
        <v>46104</v>
      </c>
    </row>
    <row r="315" spans="1:419" ht="15.75" thickBot="1">
      <c r="A315" t="s">
        <v>469</v>
      </c>
      <c r="B315" t="s">
        <v>949</v>
      </c>
      <c r="C315" t="s">
        <v>863</v>
      </c>
      <c r="D315" s="4" t="s">
        <v>950</v>
      </c>
      <c r="E315" s="81" t="s">
        <v>951</v>
      </c>
      <c r="F315" s="81" t="s">
        <v>952</v>
      </c>
      <c r="G315" t="s">
        <v>475</v>
      </c>
      <c r="H315" t="s">
        <v>476</v>
      </c>
      <c r="I315">
        <v>12.133333329999999</v>
      </c>
      <c r="J315">
        <v>8.5333333329999999</v>
      </c>
      <c r="K315">
        <v>150</v>
      </c>
      <c r="AV315" t="s">
        <v>953</v>
      </c>
      <c r="AW315">
        <v>27</v>
      </c>
      <c r="AX315" t="s">
        <v>480</v>
      </c>
      <c r="AY315">
        <v>1</v>
      </c>
      <c r="AZ315" t="s">
        <v>954</v>
      </c>
      <c r="BA315">
        <v>1999</v>
      </c>
      <c r="BB315">
        <v>2000</v>
      </c>
      <c r="BD315" t="s">
        <v>977</v>
      </c>
      <c r="BE315" t="s">
        <v>621</v>
      </c>
      <c r="BF315" s="3" t="s">
        <v>484</v>
      </c>
      <c r="BG315" t="s">
        <v>538</v>
      </c>
      <c r="BH315" t="s">
        <v>978</v>
      </c>
      <c r="BI315" t="s">
        <v>480</v>
      </c>
      <c r="BJ315" t="s">
        <v>480</v>
      </c>
      <c r="EG315" s="9"/>
      <c r="EH315" s="9"/>
      <c r="EI315" s="9"/>
      <c r="EJ315" s="9"/>
      <c r="EK315" s="9"/>
      <c r="EL315" s="9"/>
      <c r="EM315" s="9"/>
      <c r="EN315" s="9"/>
      <c r="EO315" s="9"/>
      <c r="EP315" s="9"/>
      <c r="EQ315" s="9"/>
      <c r="ER315" s="9"/>
      <c r="ES315" s="9"/>
      <c r="ET315" s="9"/>
      <c r="EU315" s="9"/>
      <c r="EV315" s="9"/>
      <c r="EW315" s="9"/>
      <c r="EX315" s="9"/>
      <c r="EY315" s="9"/>
      <c r="EZ315" s="9"/>
      <c r="FA315" s="9"/>
      <c r="FB315" s="9"/>
      <c r="FC315" s="9"/>
      <c r="FD315" s="9"/>
      <c r="FE315" s="9"/>
      <c r="FF315" s="9"/>
      <c r="FG315" s="9"/>
      <c r="FH315" s="9"/>
      <c r="FI315" s="9"/>
      <c r="FJ315" s="9"/>
      <c r="FK315" s="9"/>
      <c r="FL315" s="9"/>
      <c r="FM315" s="9"/>
      <c r="FN315" s="9"/>
      <c r="FO315" s="9"/>
      <c r="FP315" s="9"/>
      <c r="FQ315" s="9"/>
      <c r="FR315" s="9"/>
      <c r="FS315" s="9"/>
      <c r="FT315" s="9"/>
      <c r="FU315" s="9"/>
      <c r="FV315" s="9"/>
      <c r="FW315" s="9"/>
      <c r="FX315" s="9"/>
      <c r="FY315" s="9"/>
      <c r="FZ315" s="9"/>
      <c r="GA315" s="9"/>
      <c r="GB315" s="9"/>
      <c r="GC315" s="9"/>
      <c r="GD315" s="9"/>
      <c r="GE315" s="9"/>
      <c r="GF315" s="9"/>
      <c r="GG315" s="9"/>
      <c r="GH315" s="9"/>
      <c r="GI315" s="9"/>
      <c r="GJ315" s="9"/>
      <c r="GK315" s="9"/>
      <c r="GL315" s="9"/>
      <c r="GM315" s="9"/>
      <c r="GN315" s="9"/>
      <c r="GO315" s="9"/>
      <c r="GP315" s="9"/>
      <c r="GQ315" s="9"/>
      <c r="GR315" s="9"/>
      <c r="GS315" s="9"/>
      <c r="GT315" s="9"/>
      <c r="GU315" s="9"/>
      <c r="GV315" s="9"/>
      <c r="GW315" s="9"/>
      <c r="GX315" s="9"/>
      <c r="GY315" s="9"/>
      <c r="GZ315" s="9"/>
      <c r="HA315" s="9"/>
      <c r="HB315" s="9"/>
      <c r="HC315" s="9"/>
      <c r="HD315" s="9"/>
      <c r="HE315" s="9"/>
      <c r="HF315" s="9"/>
      <c r="HG315" s="9"/>
      <c r="HH315" s="9"/>
      <c r="HI315" s="9"/>
      <c r="HJ315" s="9"/>
      <c r="HV315" s="50" t="s">
        <v>977</v>
      </c>
      <c r="HW315" s="50" t="s">
        <v>538</v>
      </c>
      <c r="HX315" t="s">
        <v>978</v>
      </c>
      <c r="HY315" s="12"/>
      <c r="HZ315" t="s">
        <v>971</v>
      </c>
      <c r="IA315" t="s">
        <v>972</v>
      </c>
      <c r="IH315" t="s">
        <v>977</v>
      </c>
      <c r="II315" t="s">
        <v>492</v>
      </c>
      <c r="JJ315" t="s">
        <v>959</v>
      </c>
      <c r="JK315" s="75" t="s">
        <v>494</v>
      </c>
      <c r="JL315" t="s">
        <v>495</v>
      </c>
      <c r="JM315" t="s">
        <v>960</v>
      </c>
      <c r="JN315" s="4" t="s">
        <v>961</v>
      </c>
      <c r="JO315" t="s">
        <v>962</v>
      </c>
      <c r="JP315" s="4"/>
      <c r="KI315" t="s">
        <v>963</v>
      </c>
      <c r="KJ315" t="s">
        <v>501</v>
      </c>
      <c r="KK315" s="8" t="s">
        <v>964</v>
      </c>
      <c r="KL315" s="4" t="s">
        <v>503</v>
      </c>
      <c r="KM315">
        <v>1</v>
      </c>
      <c r="MY315" t="s">
        <v>965</v>
      </c>
      <c r="MZ315">
        <v>27</v>
      </c>
      <c r="NA315" t="s">
        <v>966</v>
      </c>
      <c r="NB315" t="s">
        <v>538</v>
      </c>
      <c r="NJ315" t="s">
        <v>967</v>
      </c>
      <c r="NL315" s="4" t="s">
        <v>660</v>
      </c>
      <c r="NM315" t="s">
        <v>508</v>
      </c>
      <c r="NU315" t="s">
        <v>607</v>
      </c>
      <c r="NV315" t="s">
        <v>518</v>
      </c>
      <c r="NX315" s="2" t="s">
        <v>480</v>
      </c>
      <c r="OB315">
        <v>3</v>
      </c>
      <c r="OC315">
        <v>1069</v>
      </c>
      <c r="OD315" s="79" t="s">
        <v>480</v>
      </c>
      <c r="OU315" t="s">
        <v>968</v>
      </c>
      <c r="OW315">
        <v>1999</v>
      </c>
      <c r="PB315" t="s">
        <v>522</v>
      </c>
      <c r="PC315" s="50">
        <v>46104</v>
      </c>
    </row>
    <row r="316" spans="1:419" ht="15.75" thickBot="1">
      <c r="A316" t="s">
        <v>469</v>
      </c>
      <c r="B316" t="s">
        <v>949</v>
      </c>
      <c r="C316" t="s">
        <v>863</v>
      </c>
      <c r="D316" s="4" t="s">
        <v>950</v>
      </c>
      <c r="E316" s="81" t="s">
        <v>951</v>
      </c>
      <c r="F316" s="81" t="s">
        <v>952</v>
      </c>
      <c r="G316" t="s">
        <v>475</v>
      </c>
      <c r="H316" t="s">
        <v>476</v>
      </c>
      <c r="I316">
        <v>12.133333329999999</v>
      </c>
      <c r="J316">
        <v>8.5333333329999999</v>
      </c>
      <c r="K316">
        <v>150</v>
      </c>
      <c r="AV316" t="s">
        <v>953</v>
      </c>
      <c r="AW316">
        <v>27</v>
      </c>
      <c r="AX316" t="s">
        <v>480</v>
      </c>
      <c r="AY316">
        <v>1</v>
      </c>
      <c r="AZ316" t="s">
        <v>954</v>
      </c>
      <c r="BA316">
        <v>1999</v>
      </c>
      <c r="BB316">
        <v>2000</v>
      </c>
      <c r="BD316" t="s">
        <v>979</v>
      </c>
      <c r="BE316" t="s">
        <v>630</v>
      </c>
      <c r="BF316" s="3" t="s">
        <v>484</v>
      </c>
      <c r="BG316" t="s">
        <v>538</v>
      </c>
      <c r="BH316" t="s">
        <v>980</v>
      </c>
      <c r="BI316" t="s">
        <v>480</v>
      </c>
      <c r="BJ316" t="s">
        <v>480</v>
      </c>
      <c r="EG316" s="9"/>
      <c r="EH316" s="9"/>
      <c r="EI316" s="9"/>
      <c r="EJ316" s="9"/>
      <c r="EK316" s="9"/>
      <c r="EL316" s="9"/>
      <c r="EM316" s="9"/>
      <c r="EN316" s="9"/>
      <c r="EO316" s="9"/>
      <c r="EP316" s="9"/>
      <c r="EQ316" s="9"/>
      <c r="ER316" s="9"/>
      <c r="ES316" s="9"/>
      <c r="ET316" s="9"/>
      <c r="EU316" s="9"/>
      <c r="EV316" s="9"/>
      <c r="EW316" s="9"/>
      <c r="EX316" s="9"/>
      <c r="EY316" s="9"/>
      <c r="EZ316" s="9"/>
      <c r="FA316" s="9"/>
      <c r="FB316" s="9"/>
      <c r="FC316" s="9"/>
      <c r="FD316" s="9"/>
      <c r="FE316" s="9"/>
      <c r="FF316" s="9"/>
      <c r="FG316" s="9"/>
      <c r="FH316" s="9"/>
      <c r="FI316" s="9"/>
      <c r="FJ316" s="9"/>
      <c r="FK316" s="9"/>
      <c r="FL316" s="9"/>
      <c r="FM316" s="9"/>
      <c r="FN316" s="9"/>
      <c r="FO316" s="9"/>
      <c r="FP316" s="9"/>
      <c r="FQ316" s="9"/>
      <c r="FR316" s="9"/>
      <c r="FS316" s="9"/>
      <c r="FT316" s="9"/>
      <c r="FU316" s="9"/>
      <c r="FV316" s="9"/>
      <c r="FW316" s="9"/>
      <c r="FX316" s="9"/>
      <c r="FY316" s="9"/>
      <c r="FZ316" s="9"/>
      <c r="GA316" s="9"/>
      <c r="GB316" s="9"/>
      <c r="GC316" s="9"/>
      <c r="GD316" s="9"/>
      <c r="GE316" s="9"/>
      <c r="GF316" s="9"/>
      <c r="GG316" s="9"/>
      <c r="GH316" s="9"/>
      <c r="GI316" s="9"/>
      <c r="GJ316" s="9"/>
      <c r="GK316" s="9"/>
      <c r="GL316" s="9"/>
      <c r="GM316" s="9"/>
      <c r="GN316" s="9"/>
      <c r="GO316" s="9"/>
      <c r="GP316" s="9"/>
      <c r="GQ316" s="9"/>
      <c r="GR316" s="9"/>
      <c r="GS316" s="9"/>
      <c r="GT316" s="9"/>
      <c r="GU316" s="9"/>
      <c r="GV316" s="9"/>
      <c r="GW316" s="9"/>
      <c r="GX316" s="9"/>
      <c r="GY316" s="9"/>
      <c r="GZ316" s="9"/>
      <c r="HA316" s="9"/>
      <c r="HB316" s="9"/>
      <c r="HC316" s="9"/>
      <c r="HD316" s="9"/>
      <c r="HE316" s="9"/>
      <c r="HF316" s="9"/>
      <c r="HG316" s="9"/>
      <c r="HH316" s="9"/>
      <c r="HI316" s="9"/>
      <c r="HJ316" s="9"/>
      <c r="HV316" s="50" t="s">
        <v>979</v>
      </c>
      <c r="HW316" s="50" t="s">
        <v>538</v>
      </c>
      <c r="HX316" t="s">
        <v>980</v>
      </c>
      <c r="HY316" s="12"/>
      <c r="HZ316" t="s">
        <v>971</v>
      </c>
      <c r="IA316" t="s">
        <v>972</v>
      </c>
      <c r="IH316" t="s">
        <v>979</v>
      </c>
      <c r="II316" t="s">
        <v>492</v>
      </c>
      <c r="JJ316" t="s">
        <v>959</v>
      </c>
      <c r="JK316" s="75" t="s">
        <v>494</v>
      </c>
      <c r="JL316" t="s">
        <v>495</v>
      </c>
      <c r="JM316" t="s">
        <v>960</v>
      </c>
      <c r="JN316" s="4" t="s">
        <v>961</v>
      </c>
      <c r="JO316" t="s">
        <v>962</v>
      </c>
      <c r="JP316" s="4"/>
      <c r="KI316" t="s">
        <v>963</v>
      </c>
      <c r="KJ316" t="s">
        <v>501</v>
      </c>
      <c r="KK316" s="8" t="s">
        <v>964</v>
      </c>
      <c r="KL316" s="4" t="s">
        <v>503</v>
      </c>
      <c r="KM316">
        <v>1</v>
      </c>
      <c r="MY316" t="s">
        <v>965</v>
      </c>
      <c r="MZ316">
        <v>27</v>
      </c>
      <c r="NA316" t="s">
        <v>966</v>
      </c>
      <c r="NB316" t="s">
        <v>538</v>
      </c>
      <c r="NJ316" t="s">
        <v>967</v>
      </c>
      <c r="NL316" s="4" t="s">
        <v>660</v>
      </c>
      <c r="NM316" t="s">
        <v>508</v>
      </c>
      <c r="NU316" t="s">
        <v>611</v>
      </c>
      <c r="NV316" t="s">
        <v>518</v>
      </c>
      <c r="NX316" s="2" t="s">
        <v>480</v>
      </c>
      <c r="OB316">
        <v>3</v>
      </c>
      <c r="OC316">
        <v>920</v>
      </c>
      <c r="OD316" s="79" t="s">
        <v>480</v>
      </c>
      <c r="OU316" t="s">
        <v>968</v>
      </c>
      <c r="OW316">
        <v>1999</v>
      </c>
      <c r="PB316" t="s">
        <v>522</v>
      </c>
      <c r="PC316" s="50">
        <v>46104</v>
      </c>
    </row>
    <row r="317" spans="1:419" ht="15.75" thickBot="1">
      <c r="A317" t="s">
        <v>469</v>
      </c>
      <c r="B317" t="s">
        <v>949</v>
      </c>
      <c r="C317" t="s">
        <v>863</v>
      </c>
      <c r="D317" s="4" t="s">
        <v>950</v>
      </c>
      <c r="E317" s="81" t="s">
        <v>951</v>
      </c>
      <c r="F317" s="81" t="s">
        <v>952</v>
      </c>
      <c r="G317" t="s">
        <v>475</v>
      </c>
      <c r="H317" t="s">
        <v>476</v>
      </c>
      <c r="I317">
        <v>12.133333329999999</v>
      </c>
      <c r="J317">
        <v>8.5333333329999999</v>
      </c>
      <c r="K317">
        <v>150</v>
      </c>
      <c r="AV317" t="s">
        <v>953</v>
      </c>
      <c r="AW317">
        <v>46.5</v>
      </c>
      <c r="AX317" t="s">
        <v>480</v>
      </c>
      <c r="AY317">
        <v>1</v>
      </c>
      <c r="AZ317" t="s">
        <v>954</v>
      </c>
      <c r="BA317">
        <v>1999</v>
      </c>
      <c r="BB317">
        <v>2000</v>
      </c>
      <c r="BD317" t="s">
        <v>981</v>
      </c>
      <c r="BE317" t="s">
        <v>536</v>
      </c>
      <c r="BF317" s="3" t="s">
        <v>484</v>
      </c>
      <c r="BG317" t="s">
        <v>538</v>
      </c>
      <c r="BH317" t="s">
        <v>956</v>
      </c>
      <c r="BI317" t="s">
        <v>480</v>
      </c>
      <c r="BJ317" t="s">
        <v>480</v>
      </c>
      <c r="BK317" t="s">
        <v>537</v>
      </c>
      <c r="BL317" t="s">
        <v>982</v>
      </c>
      <c r="BM317" t="s">
        <v>480</v>
      </c>
      <c r="BN317" t="s">
        <v>480</v>
      </c>
      <c r="BO317" t="s">
        <v>480</v>
      </c>
      <c r="EG317" s="9"/>
      <c r="EH317" s="9"/>
      <c r="EI317" s="9"/>
      <c r="EJ317" s="9"/>
      <c r="EK317" s="9"/>
      <c r="EL317" s="9"/>
      <c r="EM317" s="9"/>
      <c r="EN317" s="9"/>
      <c r="EO317" s="9"/>
      <c r="EP317" s="9"/>
      <c r="EQ317" s="9"/>
      <c r="ER317" s="9"/>
      <c r="ES317" s="9"/>
      <c r="ET317" s="9"/>
      <c r="EU317" s="9"/>
      <c r="EV317" s="9"/>
      <c r="EW317" s="9"/>
      <c r="EX317" s="9"/>
      <c r="EY317" s="9"/>
      <c r="EZ317" s="9"/>
      <c r="FA317" s="9"/>
      <c r="FB317" s="9"/>
      <c r="FC317" s="9"/>
      <c r="FD317" s="9"/>
      <c r="FE317" s="9"/>
      <c r="FF317" s="9"/>
      <c r="FG317" s="9"/>
      <c r="FH317" s="9"/>
      <c r="FI317" s="9"/>
      <c r="FJ317" s="9"/>
      <c r="FK317" s="9"/>
      <c r="FL317" s="9"/>
      <c r="FM317" s="9"/>
      <c r="FN317" s="9"/>
      <c r="FO317" s="9"/>
      <c r="FP317" s="9"/>
      <c r="FQ317" s="9"/>
      <c r="FR317" s="9"/>
      <c r="FS317" s="9"/>
      <c r="FT317" s="9"/>
      <c r="FU317" s="9"/>
      <c r="FV317" s="9"/>
      <c r="FW317" s="9"/>
      <c r="FX317" s="9"/>
      <c r="FY317" s="9"/>
      <c r="FZ317" s="9"/>
      <c r="GA317" s="9"/>
      <c r="GB317" s="9"/>
      <c r="GC317" s="9"/>
      <c r="GD317" s="9"/>
      <c r="GE317" s="9"/>
      <c r="GF317" s="9"/>
      <c r="GG317" s="9"/>
      <c r="GH317" s="9"/>
      <c r="GI317" s="9"/>
      <c r="GJ317" s="9"/>
      <c r="GK317" s="9"/>
      <c r="GL317" s="9"/>
      <c r="GM317" s="9"/>
      <c r="GN317" s="9"/>
      <c r="GO317" s="9"/>
      <c r="GP317" s="9"/>
      <c r="GQ317" s="9"/>
      <c r="GR317" s="9"/>
      <c r="GS317" s="9"/>
      <c r="GT317" s="9"/>
      <c r="GU317" s="9"/>
      <c r="GV317" s="9"/>
      <c r="GW317" s="9"/>
      <c r="GX317" s="9"/>
      <c r="GY317" s="9"/>
      <c r="GZ317" s="9"/>
      <c r="HA317" s="9"/>
      <c r="HB317" s="9"/>
      <c r="HC317" s="9"/>
      <c r="HD317" s="9"/>
      <c r="HE317" s="9"/>
      <c r="HF317" s="9"/>
      <c r="HG317" s="9"/>
      <c r="HH317" s="9"/>
      <c r="HI317" s="9"/>
      <c r="HJ317" s="9"/>
      <c r="HV317" s="50" t="s">
        <v>955</v>
      </c>
      <c r="HW317" t="s">
        <v>538</v>
      </c>
      <c r="HX317" t="s">
        <v>956</v>
      </c>
      <c r="HY317" s="12"/>
      <c r="HZ317" s="4" t="s">
        <v>957</v>
      </c>
      <c r="IA317" t="s">
        <v>958</v>
      </c>
      <c r="IH317" t="s">
        <v>981</v>
      </c>
      <c r="II317" s="75" t="s">
        <v>929</v>
      </c>
      <c r="IJ317" t="s">
        <v>983</v>
      </c>
      <c r="IK317" t="s">
        <v>543</v>
      </c>
      <c r="IL317" s="79">
        <v>1999</v>
      </c>
      <c r="IM317" s="79" t="s">
        <v>480</v>
      </c>
      <c r="IN317" s="78" t="s">
        <v>480</v>
      </c>
      <c r="JJ317" t="s">
        <v>959</v>
      </c>
      <c r="JK317" s="75" t="s">
        <v>494</v>
      </c>
      <c r="JL317" t="s">
        <v>495</v>
      </c>
      <c r="JM317" t="s">
        <v>960</v>
      </c>
      <c r="JN317" s="4" t="s">
        <v>961</v>
      </c>
      <c r="JO317" t="s">
        <v>962</v>
      </c>
      <c r="JP317" s="4"/>
      <c r="KI317" t="s">
        <v>963</v>
      </c>
      <c r="KJ317" t="s">
        <v>501</v>
      </c>
      <c r="KK317" s="8" t="s">
        <v>964</v>
      </c>
      <c r="KL317" s="4" t="s">
        <v>503</v>
      </c>
      <c r="KM317">
        <v>1</v>
      </c>
      <c r="MY317" t="s">
        <v>965</v>
      </c>
      <c r="MZ317">
        <v>46.5</v>
      </c>
      <c r="NA317" t="s">
        <v>966</v>
      </c>
      <c r="NB317" t="s">
        <v>538</v>
      </c>
      <c r="NC317" t="s">
        <v>982</v>
      </c>
      <c r="NJ317" t="s">
        <v>984</v>
      </c>
      <c r="NL317" s="4" t="s">
        <v>660</v>
      </c>
      <c r="NM317" t="s">
        <v>508</v>
      </c>
      <c r="NV317" t="s">
        <v>518</v>
      </c>
      <c r="NX317" s="2" t="s">
        <v>480</v>
      </c>
      <c r="OB317">
        <v>3</v>
      </c>
      <c r="OC317">
        <v>367</v>
      </c>
      <c r="OD317" s="79" t="s">
        <v>480</v>
      </c>
      <c r="OE317" s="79" t="s">
        <v>480</v>
      </c>
      <c r="OF317" s="79" t="s">
        <v>480</v>
      </c>
      <c r="OM317">
        <v>0.18</v>
      </c>
      <c r="ON317" s="2" t="s">
        <v>480</v>
      </c>
      <c r="OO317">
        <v>0.84</v>
      </c>
      <c r="OP317" s="2" t="s">
        <v>480</v>
      </c>
      <c r="OS317">
        <v>1.03</v>
      </c>
      <c r="OT317" s="2" t="s">
        <v>480</v>
      </c>
      <c r="OU317" t="s">
        <v>985</v>
      </c>
      <c r="OW317">
        <v>1999</v>
      </c>
      <c r="PB317" t="s">
        <v>522</v>
      </c>
      <c r="PC317" s="50">
        <v>46104</v>
      </c>
    </row>
    <row r="318" spans="1:419" ht="15.75" thickBot="1">
      <c r="A318" t="s">
        <v>469</v>
      </c>
      <c r="B318" t="s">
        <v>949</v>
      </c>
      <c r="C318" t="s">
        <v>863</v>
      </c>
      <c r="D318" s="4" t="s">
        <v>950</v>
      </c>
      <c r="E318" s="81" t="s">
        <v>951</v>
      </c>
      <c r="F318" s="81" t="s">
        <v>952</v>
      </c>
      <c r="G318" t="s">
        <v>475</v>
      </c>
      <c r="H318" t="s">
        <v>476</v>
      </c>
      <c r="I318">
        <v>12.133333329999999</v>
      </c>
      <c r="J318">
        <v>8.5333333329999999</v>
      </c>
      <c r="K318">
        <v>150</v>
      </c>
      <c r="AV318" t="s">
        <v>953</v>
      </c>
      <c r="AW318">
        <v>46.5</v>
      </c>
      <c r="AX318" t="s">
        <v>480</v>
      </c>
      <c r="AY318">
        <v>1</v>
      </c>
      <c r="AZ318" t="s">
        <v>954</v>
      </c>
      <c r="BA318">
        <v>1999</v>
      </c>
      <c r="BB318">
        <v>2000</v>
      </c>
      <c r="BD318" t="s">
        <v>986</v>
      </c>
      <c r="BE318" t="s">
        <v>566</v>
      </c>
      <c r="BF318" s="3" t="s">
        <v>484</v>
      </c>
      <c r="BG318" t="s">
        <v>538</v>
      </c>
      <c r="BH318" t="s">
        <v>970</v>
      </c>
      <c r="BI318" t="s">
        <v>480</v>
      </c>
      <c r="BJ318" t="s">
        <v>480</v>
      </c>
      <c r="BK318" t="s">
        <v>537</v>
      </c>
      <c r="BL318" t="s">
        <v>982</v>
      </c>
      <c r="BM318" t="s">
        <v>480</v>
      </c>
      <c r="BN318" t="s">
        <v>480</v>
      </c>
      <c r="BO318" t="s">
        <v>480</v>
      </c>
      <c r="EG318" s="9"/>
      <c r="EH318" s="9"/>
      <c r="EI318" s="9"/>
      <c r="EJ318" s="9"/>
      <c r="EK318" s="9"/>
      <c r="EL318" s="9"/>
      <c r="EM318" s="9"/>
      <c r="EN318" s="9"/>
      <c r="EO318" s="9"/>
      <c r="EP318" s="9"/>
      <c r="EQ318" s="9"/>
      <c r="ER318" s="9"/>
      <c r="ES318" s="9"/>
      <c r="ET318" s="9"/>
      <c r="EU318" s="9"/>
      <c r="EV318" s="9"/>
      <c r="EW318" s="9"/>
      <c r="EX318" s="9"/>
      <c r="EY318" s="9"/>
      <c r="EZ318" s="9"/>
      <c r="FA318" s="9"/>
      <c r="FB318" s="9"/>
      <c r="FC318" s="9"/>
      <c r="FD318" s="9"/>
      <c r="FE318" s="9"/>
      <c r="FF318" s="9"/>
      <c r="FG318" s="9"/>
      <c r="FH318" s="9"/>
      <c r="FI318" s="9"/>
      <c r="FJ318" s="9"/>
      <c r="FK318" s="9"/>
      <c r="FL318" s="9"/>
      <c r="FM318" s="9"/>
      <c r="FN318" s="9"/>
      <c r="FO318" s="9"/>
      <c r="FP318" s="9"/>
      <c r="FQ318" s="9"/>
      <c r="FR318" s="9"/>
      <c r="FS318" s="9"/>
      <c r="FT318" s="9"/>
      <c r="FU318" s="9"/>
      <c r="FV318" s="9"/>
      <c r="FW318" s="9"/>
      <c r="FX318" s="9"/>
      <c r="FY318" s="9"/>
      <c r="FZ318" s="9"/>
      <c r="GA318" s="9"/>
      <c r="GB318" s="9"/>
      <c r="GC318" s="9"/>
      <c r="GD318" s="9"/>
      <c r="GE318" s="9"/>
      <c r="GF318" s="9"/>
      <c r="GG318" s="9"/>
      <c r="GH318" s="9"/>
      <c r="GI318" s="9"/>
      <c r="GJ318" s="9"/>
      <c r="GK318" s="9"/>
      <c r="GL318" s="9"/>
      <c r="GM318" s="9"/>
      <c r="GN318" s="9"/>
      <c r="GO318" s="9"/>
      <c r="GP318" s="9"/>
      <c r="GQ318" s="9"/>
      <c r="GR318" s="9"/>
      <c r="GS318" s="9"/>
      <c r="GT318" s="9"/>
      <c r="GU318" s="9"/>
      <c r="GV318" s="9"/>
      <c r="GW318" s="9"/>
      <c r="GX318" s="9"/>
      <c r="GY318" s="9"/>
      <c r="GZ318" s="9"/>
      <c r="HA318" s="9"/>
      <c r="HB318" s="9"/>
      <c r="HC318" s="9"/>
      <c r="HD318" s="9"/>
      <c r="HE318" s="9"/>
      <c r="HF318" s="9"/>
      <c r="HG318" s="9"/>
      <c r="HH318" s="9"/>
      <c r="HI318" s="9"/>
      <c r="HJ318" s="9"/>
      <c r="HV318" s="50" t="s">
        <v>969</v>
      </c>
      <c r="HW318" s="50" t="s">
        <v>538</v>
      </c>
      <c r="HX318" t="s">
        <v>970</v>
      </c>
      <c r="HY318" s="12"/>
      <c r="HZ318" t="s">
        <v>971</v>
      </c>
      <c r="IA318" t="s">
        <v>972</v>
      </c>
      <c r="IH318" t="s">
        <v>986</v>
      </c>
      <c r="II318" s="75" t="s">
        <v>929</v>
      </c>
      <c r="IJ318" t="s">
        <v>983</v>
      </c>
      <c r="IK318" t="s">
        <v>543</v>
      </c>
      <c r="IL318" s="79">
        <v>1999</v>
      </c>
      <c r="IM318" s="78" t="s">
        <v>480</v>
      </c>
      <c r="IN318" s="78" t="s">
        <v>480</v>
      </c>
      <c r="JJ318" t="s">
        <v>959</v>
      </c>
      <c r="JK318" s="75" t="s">
        <v>494</v>
      </c>
      <c r="JL318" t="s">
        <v>495</v>
      </c>
      <c r="JM318" t="s">
        <v>960</v>
      </c>
      <c r="JN318" s="4" t="s">
        <v>961</v>
      </c>
      <c r="JO318" t="s">
        <v>962</v>
      </c>
      <c r="JP318" s="4"/>
      <c r="KI318" t="s">
        <v>963</v>
      </c>
      <c r="KJ318" t="s">
        <v>501</v>
      </c>
      <c r="KK318" s="8" t="s">
        <v>964</v>
      </c>
      <c r="KL318" s="4" t="s">
        <v>503</v>
      </c>
      <c r="KM318">
        <v>1</v>
      </c>
      <c r="MY318" t="s">
        <v>965</v>
      </c>
      <c r="MZ318">
        <v>46.5</v>
      </c>
      <c r="NA318" t="s">
        <v>966</v>
      </c>
      <c r="NB318" t="s">
        <v>538</v>
      </c>
      <c r="NC318" t="s">
        <v>982</v>
      </c>
      <c r="NJ318" t="s">
        <v>984</v>
      </c>
      <c r="NL318" s="4" t="s">
        <v>660</v>
      </c>
      <c r="NM318" t="s">
        <v>508</v>
      </c>
      <c r="NV318" t="s">
        <v>518</v>
      </c>
      <c r="NX318" s="2" t="s">
        <v>480</v>
      </c>
      <c r="OB318">
        <v>3</v>
      </c>
      <c r="OC318">
        <v>702</v>
      </c>
      <c r="OD318" s="79" t="s">
        <v>480</v>
      </c>
      <c r="OE318" s="79" t="s">
        <v>480</v>
      </c>
      <c r="OF318" s="79" t="s">
        <v>480</v>
      </c>
      <c r="OM318">
        <v>0.35</v>
      </c>
      <c r="ON318" s="2" t="s">
        <v>480</v>
      </c>
      <c r="OO318">
        <v>0.81</v>
      </c>
      <c r="OP318" s="2" t="s">
        <v>480</v>
      </c>
      <c r="OS318">
        <v>1.1599999999999999</v>
      </c>
      <c r="OT318" s="2" t="s">
        <v>480</v>
      </c>
      <c r="OU318" t="s">
        <v>985</v>
      </c>
      <c r="OW318">
        <v>1999</v>
      </c>
      <c r="PB318" t="s">
        <v>522</v>
      </c>
      <c r="PC318" s="50">
        <v>46104</v>
      </c>
    </row>
    <row r="319" spans="1:419" ht="15.75" thickBot="1">
      <c r="A319" t="s">
        <v>469</v>
      </c>
      <c r="B319" t="s">
        <v>949</v>
      </c>
      <c r="C319" t="s">
        <v>863</v>
      </c>
      <c r="D319" s="4" t="s">
        <v>950</v>
      </c>
      <c r="E319" s="81" t="s">
        <v>951</v>
      </c>
      <c r="F319" s="81" t="s">
        <v>952</v>
      </c>
      <c r="G319" t="s">
        <v>475</v>
      </c>
      <c r="H319" t="s">
        <v>476</v>
      </c>
      <c r="I319">
        <v>12.133333329999999</v>
      </c>
      <c r="J319">
        <v>8.5333333329999999</v>
      </c>
      <c r="K319">
        <v>150</v>
      </c>
      <c r="AV319" t="s">
        <v>953</v>
      </c>
      <c r="AW319">
        <v>46.5</v>
      </c>
      <c r="AX319" t="s">
        <v>480</v>
      </c>
      <c r="AY319">
        <v>1</v>
      </c>
      <c r="AZ319" t="s">
        <v>954</v>
      </c>
      <c r="BA319">
        <v>1999</v>
      </c>
      <c r="BB319">
        <v>2000</v>
      </c>
      <c r="BD319" t="s">
        <v>987</v>
      </c>
      <c r="BE319" t="s">
        <v>572</v>
      </c>
      <c r="BF319" s="3" t="s">
        <v>484</v>
      </c>
      <c r="BG319" t="s">
        <v>538</v>
      </c>
      <c r="BH319" t="s">
        <v>974</v>
      </c>
      <c r="BI319" t="s">
        <v>480</v>
      </c>
      <c r="BJ319" t="s">
        <v>480</v>
      </c>
      <c r="BK319" t="s">
        <v>537</v>
      </c>
      <c r="BL319" t="s">
        <v>982</v>
      </c>
      <c r="BM319" t="s">
        <v>480</v>
      </c>
      <c r="BN319" t="s">
        <v>480</v>
      </c>
      <c r="BO319" t="s">
        <v>480</v>
      </c>
      <c r="EG319" s="9"/>
      <c r="EH319" s="9"/>
      <c r="EI319" s="9"/>
      <c r="EJ319" s="9"/>
      <c r="EK319" s="9"/>
      <c r="EL319" s="9"/>
      <c r="EM319" s="9"/>
      <c r="EN319" s="9"/>
      <c r="EO319" s="9"/>
      <c r="EP319" s="9"/>
      <c r="EQ319" s="9"/>
      <c r="ER319" s="9"/>
      <c r="ES319" s="9"/>
      <c r="ET319" s="9"/>
      <c r="EU319" s="9"/>
      <c r="EV319" s="9"/>
      <c r="EW319" s="9"/>
      <c r="EX319" s="9"/>
      <c r="EY319" s="9"/>
      <c r="EZ319" s="9"/>
      <c r="FA319" s="9"/>
      <c r="FB319" s="9"/>
      <c r="FC319" s="9"/>
      <c r="FD319" s="9"/>
      <c r="FE319" s="9"/>
      <c r="FF319" s="9"/>
      <c r="FG319" s="9"/>
      <c r="FH319" s="9"/>
      <c r="FI319" s="9"/>
      <c r="FJ319" s="9"/>
      <c r="FK319" s="9"/>
      <c r="FL319" s="9"/>
      <c r="FM319" s="9"/>
      <c r="FN319" s="9"/>
      <c r="FO319" s="9"/>
      <c r="FP319" s="9"/>
      <c r="FQ319" s="9"/>
      <c r="FR319" s="9"/>
      <c r="FS319" s="9"/>
      <c r="FT319" s="9"/>
      <c r="FU319" s="9"/>
      <c r="FV319" s="9"/>
      <c r="FW319" s="9"/>
      <c r="FX319" s="9"/>
      <c r="FY319" s="9"/>
      <c r="FZ319" s="9"/>
      <c r="GA319" s="9"/>
      <c r="GB319" s="9"/>
      <c r="GC319" s="9"/>
      <c r="GD319" s="9"/>
      <c r="GE319" s="9"/>
      <c r="GF319" s="9"/>
      <c r="GG319" s="9"/>
      <c r="GH319" s="9"/>
      <c r="GI319" s="9"/>
      <c r="GJ319" s="9"/>
      <c r="GK319" s="9"/>
      <c r="GL319" s="9"/>
      <c r="GM319" s="9"/>
      <c r="GN319" s="9"/>
      <c r="GO319" s="9"/>
      <c r="GP319" s="9"/>
      <c r="GQ319" s="9"/>
      <c r="GR319" s="9"/>
      <c r="GS319" s="9"/>
      <c r="GT319" s="9"/>
      <c r="GU319" s="9"/>
      <c r="GV319" s="9"/>
      <c r="GW319" s="9"/>
      <c r="GX319" s="9"/>
      <c r="GY319" s="9"/>
      <c r="GZ319" s="9"/>
      <c r="HA319" s="9"/>
      <c r="HB319" s="9"/>
      <c r="HC319" s="9"/>
      <c r="HD319" s="9"/>
      <c r="HE319" s="9"/>
      <c r="HF319" s="9"/>
      <c r="HG319" s="9"/>
      <c r="HH319" s="9"/>
      <c r="HI319" s="9"/>
      <c r="HJ319" s="9"/>
      <c r="HV319" s="50" t="s">
        <v>973</v>
      </c>
      <c r="HW319" s="50" t="s">
        <v>538</v>
      </c>
      <c r="HX319" t="s">
        <v>974</v>
      </c>
      <c r="HY319" s="12"/>
      <c r="HZ319" t="s">
        <v>971</v>
      </c>
      <c r="IA319" t="s">
        <v>972</v>
      </c>
      <c r="IH319" t="s">
        <v>987</v>
      </c>
      <c r="II319" s="75" t="s">
        <v>929</v>
      </c>
      <c r="IJ319" t="s">
        <v>983</v>
      </c>
      <c r="IK319" t="s">
        <v>543</v>
      </c>
      <c r="IL319" s="79">
        <v>1999</v>
      </c>
      <c r="IM319" s="79" t="s">
        <v>480</v>
      </c>
      <c r="IN319" s="78" t="s">
        <v>480</v>
      </c>
      <c r="JJ319" t="s">
        <v>959</v>
      </c>
      <c r="JK319" s="75" t="s">
        <v>494</v>
      </c>
      <c r="JL319" t="s">
        <v>495</v>
      </c>
      <c r="JM319" t="s">
        <v>960</v>
      </c>
      <c r="JN319" s="4" t="s">
        <v>961</v>
      </c>
      <c r="JO319" t="s">
        <v>962</v>
      </c>
      <c r="JP319" s="4"/>
      <c r="KI319" t="s">
        <v>963</v>
      </c>
      <c r="KJ319" t="s">
        <v>501</v>
      </c>
      <c r="KK319" s="8" t="s">
        <v>964</v>
      </c>
      <c r="KL319" s="4" t="s">
        <v>503</v>
      </c>
      <c r="KM319">
        <v>1</v>
      </c>
      <c r="MY319" t="s">
        <v>965</v>
      </c>
      <c r="MZ319">
        <v>46.5</v>
      </c>
      <c r="NA319" t="s">
        <v>966</v>
      </c>
      <c r="NB319" t="s">
        <v>538</v>
      </c>
      <c r="NC319" t="s">
        <v>982</v>
      </c>
      <c r="NJ319" t="s">
        <v>984</v>
      </c>
      <c r="NL319" s="4" t="s">
        <v>660</v>
      </c>
      <c r="NM319" t="s">
        <v>508</v>
      </c>
      <c r="NV319" t="s">
        <v>518</v>
      </c>
      <c r="NX319" s="2" t="s">
        <v>480</v>
      </c>
      <c r="OB319">
        <v>3</v>
      </c>
      <c r="OC319">
        <v>616</v>
      </c>
      <c r="OD319" s="79" t="s">
        <v>480</v>
      </c>
      <c r="OE319" s="79" t="s">
        <v>480</v>
      </c>
      <c r="OF319" s="79" t="s">
        <v>480</v>
      </c>
      <c r="OM319">
        <v>0.31</v>
      </c>
      <c r="ON319" s="2" t="s">
        <v>480</v>
      </c>
      <c r="OO319">
        <v>0.82</v>
      </c>
      <c r="OP319" s="2" t="s">
        <v>480</v>
      </c>
      <c r="OS319">
        <v>1.1200000000000001</v>
      </c>
      <c r="OT319" s="2" t="s">
        <v>480</v>
      </c>
      <c r="OU319" t="s">
        <v>985</v>
      </c>
      <c r="OW319">
        <v>1999</v>
      </c>
      <c r="PB319" t="s">
        <v>522</v>
      </c>
      <c r="PC319" s="50">
        <v>46104</v>
      </c>
    </row>
    <row r="320" spans="1:419" ht="15.75" thickBot="1">
      <c r="A320" t="s">
        <v>469</v>
      </c>
      <c r="B320" t="s">
        <v>949</v>
      </c>
      <c r="C320" t="s">
        <v>863</v>
      </c>
      <c r="D320" s="4" t="s">
        <v>950</v>
      </c>
      <c r="E320" s="81" t="s">
        <v>951</v>
      </c>
      <c r="F320" s="81" t="s">
        <v>952</v>
      </c>
      <c r="G320" t="s">
        <v>475</v>
      </c>
      <c r="H320" t="s">
        <v>476</v>
      </c>
      <c r="I320">
        <v>12.133333329999999</v>
      </c>
      <c r="J320">
        <v>8.5333333329999999</v>
      </c>
      <c r="K320">
        <v>150</v>
      </c>
      <c r="AV320" t="s">
        <v>953</v>
      </c>
      <c r="AW320">
        <v>46.5</v>
      </c>
      <c r="AX320" t="s">
        <v>480</v>
      </c>
      <c r="AY320">
        <v>1</v>
      </c>
      <c r="AZ320" t="s">
        <v>954</v>
      </c>
      <c r="BA320">
        <v>1999</v>
      </c>
      <c r="BB320">
        <v>2000</v>
      </c>
      <c r="BD320" t="s">
        <v>988</v>
      </c>
      <c r="BE320" t="s">
        <v>553</v>
      </c>
      <c r="BF320" s="3" t="s">
        <v>484</v>
      </c>
      <c r="BG320" t="s">
        <v>538</v>
      </c>
      <c r="BH320" t="s">
        <v>976</v>
      </c>
      <c r="BI320" t="s">
        <v>480</v>
      </c>
      <c r="BJ320" t="s">
        <v>480</v>
      </c>
      <c r="BK320" t="s">
        <v>537</v>
      </c>
      <c r="BL320" t="s">
        <v>982</v>
      </c>
      <c r="BM320" t="s">
        <v>480</v>
      </c>
      <c r="BN320" t="s">
        <v>480</v>
      </c>
      <c r="BO320" t="s">
        <v>480</v>
      </c>
      <c r="EG320" s="9"/>
      <c r="EH320" s="9"/>
      <c r="EI320" s="9"/>
      <c r="EJ320" s="9"/>
      <c r="EK320" s="9"/>
      <c r="EL320" s="9"/>
      <c r="EM320" s="9"/>
      <c r="EN320" s="9"/>
      <c r="EO320" s="9"/>
      <c r="EP320" s="9"/>
      <c r="EQ320" s="9"/>
      <c r="ER320" s="9"/>
      <c r="ES320" s="9"/>
      <c r="ET320" s="9"/>
      <c r="EU320" s="9"/>
      <c r="EV320" s="9"/>
      <c r="EW320" s="9"/>
      <c r="EX320" s="9"/>
      <c r="EY320" s="9"/>
      <c r="EZ320" s="9"/>
      <c r="FA320" s="9"/>
      <c r="FB320" s="9"/>
      <c r="FC320" s="9"/>
      <c r="FD320" s="9"/>
      <c r="FE320" s="9"/>
      <c r="FF320" s="9"/>
      <c r="FG320" s="9"/>
      <c r="FH320" s="9"/>
      <c r="FI320" s="9"/>
      <c r="FJ320" s="9"/>
      <c r="FK320" s="9"/>
      <c r="FL320" s="9"/>
      <c r="FM320" s="9"/>
      <c r="FN320" s="9"/>
      <c r="FO320" s="9"/>
      <c r="FP320" s="9"/>
      <c r="FQ320" s="9"/>
      <c r="FR320" s="9"/>
      <c r="FS320" s="9"/>
      <c r="FT320" s="9"/>
      <c r="FU320" s="9"/>
      <c r="FV320" s="9"/>
      <c r="FW320" s="9"/>
      <c r="FX320" s="9"/>
      <c r="FY320" s="9"/>
      <c r="FZ320" s="9"/>
      <c r="GA320" s="9"/>
      <c r="GB320" s="9"/>
      <c r="GC320" s="9"/>
      <c r="GD320" s="9"/>
      <c r="GE320" s="9"/>
      <c r="GF320" s="9"/>
      <c r="GG320" s="9"/>
      <c r="GH320" s="9"/>
      <c r="GI320" s="9"/>
      <c r="GJ320" s="9"/>
      <c r="GK320" s="9"/>
      <c r="GL320" s="9"/>
      <c r="GM320" s="9"/>
      <c r="GN320" s="9"/>
      <c r="GO320" s="9"/>
      <c r="GP320" s="9"/>
      <c r="GQ320" s="9"/>
      <c r="GR320" s="9"/>
      <c r="GS320" s="9"/>
      <c r="GT320" s="9"/>
      <c r="GU320" s="9"/>
      <c r="GV320" s="9"/>
      <c r="GW320" s="9"/>
      <c r="GX320" s="9"/>
      <c r="GY320" s="9"/>
      <c r="GZ320" s="9"/>
      <c r="HA320" s="9"/>
      <c r="HB320" s="9"/>
      <c r="HC320" s="9"/>
      <c r="HD320" s="9"/>
      <c r="HE320" s="9"/>
      <c r="HF320" s="9"/>
      <c r="HG320" s="9"/>
      <c r="HH320" s="9"/>
      <c r="HI320" s="9"/>
      <c r="HJ320" s="9"/>
      <c r="HV320" s="50" t="s">
        <v>975</v>
      </c>
      <c r="HW320" s="50" t="s">
        <v>538</v>
      </c>
      <c r="HX320" t="s">
        <v>976</v>
      </c>
      <c r="HY320" s="12"/>
      <c r="HZ320" t="s">
        <v>971</v>
      </c>
      <c r="IA320" t="s">
        <v>972</v>
      </c>
      <c r="IH320" t="s">
        <v>988</v>
      </c>
      <c r="II320" s="75" t="s">
        <v>929</v>
      </c>
      <c r="IJ320" t="s">
        <v>983</v>
      </c>
      <c r="IK320" t="s">
        <v>543</v>
      </c>
      <c r="IL320" s="79">
        <v>1999</v>
      </c>
      <c r="IM320" s="78" t="s">
        <v>480</v>
      </c>
      <c r="IN320" s="78" t="s">
        <v>480</v>
      </c>
      <c r="JJ320" t="s">
        <v>959</v>
      </c>
      <c r="JK320" s="75" t="s">
        <v>494</v>
      </c>
      <c r="JL320" t="s">
        <v>495</v>
      </c>
      <c r="JM320" t="s">
        <v>960</v>
      </c>
      <c r="JN320" s="4" t="s">
        <v>961</v>
      </c>
      <c r="JO320" t="s">
        <v>962</v>
      </c>
      <c r="JP320" s="4"/>
      <c r="KI320" t="s">
        <v>963</v>
      </c>
      <c r="KJ320" t="s">
        <v>501</v>
      </c>
      <c r="KK320" s="8" t="s">
        <v>964</v>
      </c>
      <c r="KL320" s="4" t="s">
        <v>503</v>
      </c>
      <c r="KM320">
        <v>1</v>
      </c>
      <c r="MY320" t="s">
        <v>965</v>
      </c>
      <c r="MZ320">
        <v>46.5</v>
      </c>
      <c r="NA320" t="s">
        <v>966</v>
      </c>
      <c r="NB320" t="s">
        <v>538</v>
      </c>
      <c r="NC320" t="s">
        <v>982</v>
      </c>
      <c r="NJ320" t="s">
        <v>984</v>
      </c>
      <c r="NL320" s="4" t="s">
        <v>660</v>
      </c>
      <c r="NM320" t="s">
        <v>508</v>
      </c>
      <c r="NV320" t="s">
        <v>518</v>
      </c>
      <c r="NX320" s="2" t="s">
        <v>480</v>
      </c>
      <c r="OB320">
        <v>3</v>
      </c>
      <c r="OC320">
        <v>487</v>
      </c>
      <c r="OD320" s="79" t="s">
        <v>480</v>
      </c>
      <c r="OE320" s="79" t="s">
        <v>480</v>
      </c>
      <c r="OF320" s="79" t="s">
        <v>480</v>
      </c>
      <c r="OM320">
        <v>0.24</v>
      </c>
      <c r="ON320" s="2" t="s">
        <v>480</v>
      </c>
      <c r="OO320">
        <v>0.81</v>
      </c>
      <c r="OP320" s="2" t="s">
        <v>480</v>
      </c>
      <c r="OS320">
        <v>1.06</v>
      </c>
      <c r="OT320" s="2" t="s">
        <v>480</v>
      </c>
      <c r="OU320" t="s">
        <v>985</v>
      </c>
      <c r="OW320">
        <v>1999</v>
      </c>
      <c r="PB320" t="s">
        <v>522</v>
      </c>
      <c r="PC320" s="50">
        <v>46104</v>
      </c>
    </row>
    <row r="321" spans="1:419" ht="15.75" thickBot="1">
      <c r="A321" t="s">
        <v>469</v>
      </c>
      <c r="B321" t="s">
        <v>949</v>
      </c>
      <c r="C321" t="s">
        <v>863</v>
      </c>
      <c r="D321" s="4" t="s">
        <v>950</v>
      </c>
      <c r="E321" s="81" t="s">
        <v>951</v>
      </c>
      <c r="F321" s="81" t="s">
        <v>952</v>
      </c>
      <c r="G321" t="s">
        <v>475</v>
      </c>
      <c r="H321" t="s">
        <v>476</v>
      </c>
      <c r="I321">
        <v>12.133333329999999</v>
      </c>
      <c r="J321">
        <v>8.5333333329999999</v>
      </c>
      <c r="K321">
        <v>150</v>
      </c>
      <c r="AV321" t="s">
        <v>953</v>
      </c>
      <c r="AW321">
        <v>46.5</v>
      </c>
      <c r="AX321" t="s">
        <v>480</v>
      </c>
      <c r="AY321">
        <v>1</v>
      </c>
      <c r="AZ321" t="s">
        <v>954</v>
      </c>
      <c r="BA321">
        <v>1999</v>
      </c>
      <c r="BB321">
        <v>2000</v>
      </c>
      <c r="BD321" t="s">
        <v>989</v>
      </c>
      <c r="BE321" t="s">
        <v>607</v>
      </c>
      <c r="BF321" s="3" t="s">
        <v>484</v>
      </c>
      <c r="BG321" t="s">
        <v>538</v>
      </c>
      <c r="BH321" t="s">
        <v>978</v>
      </c>
      <c r="BI321" t="s">
        <v>480</v>
      </c>
      <c r="BJ321" t="s">
        <v>480</v>
      </c>
      <c r="BK321" t="s">
        <v>537</v>
      </c>
      <c r="BL321" t="s">
        <v>982</v>
      </c>
      <c r="BM321" t="s">
        <v>480</v>
      </c>
      <c r="BN321" t="s">
        <v>480</v>
      </c>
      <c r="BO321" t="s">
        <v>480</v>
      </c>
      <c r="EG321" s="9"/>
      <c r="EH321" s="9"/>
      <c r="EI321" s="9"/>
      <c r="EJ321" s="9"/>
      <c r="EK321" s="9"/>
      <c r="EL321" s="9"/>
      <c r="EM321" s="9"/>
      <c r="EN321" s="9"/>
      <c r="EO321" s="9"/>
      <c r="EP321" s="9"/>
      <c r="EQ321" s="9"/>
      <c r="ER321" s="9"/>
      <c r="ES321" s="9"/>
      <c r="ET321" s="9"/>
      <c r="EU321" s="9"/>
      <c r="EV321" s="9"/>
      <c r="EW321" s="9"/>
      <c r="EX321" s="9"/>
      <c r="EY321" s="9"/>
      <c r="EZ321" s="9"/>
      <c r="FA321" s="9"/>
      <c r="FB321" s="9"/>
      <c r="FC321" s="9"/>
      <c r="FD321" s="9"/>
      <c r="FE321" s="9"/>
      <c r="FF321" s="9"/>
      <c r="FG321" s="9"/>
      <c r="FH321" s="9"/>
      <c r="FI321" s="9"/>
      <c r="FJ321" s="9"/>
      <c r="FK321" s="9"/>
      <c r="FL321" s="9"/>
      <c r="FM321" s="9"/>
      <c r="FN321" s="9"/>
      <c r="FO321" s="9"/>
      <c r="FP321" s="9"/>
      <c r="FQ321" s="9"/>
      <c r="FR321" s="9"/>
      <c r="FS321" s="9"/>
      <c r="FT321" s="9"/>
      <c r="FU321" s="9"/>
      <c r="FV321" s="9"/>
      <c r="FW321" s="9"/>
      <c r="FX321" s="9"/>
      <c r="FY321" s="9"/>
      <c r="FZ321" s="9"/>
      <c r="GA321" s="9"/>
      <c r="GB321" s="9"/>
      <c r="GC321" s="9"/>
      <c r="GD321" s="9"/>
      <c r="GE321" s="9"/>
      <c r="GF321" s="9"/>
      <c r="GG321" s="9"/>
      <c r="GH321" s="9"/>
      <c r="GI321" s="9"/>
      <c r="GJ321" s="9"/>
      <c r="GK321" s="9"/>
      <c r="GL321" s="9"/>
      <c r="GM321" s="9"/>
      <c r="GN321" s="9"/>
      <c r="GO321" s="9"/>
      <c r="GP321" s="9"/>
      <c r="GQ321" s="9"/>
      <c r="GR321" s="9"/>
      <c r="GS321" s="9"/>
      <c r="GT321" s="9"/>
      <c r="GU321" s="9"/>
      <c r="GV321" s="9"/>
      <c r="GW321" s="9"/>
      <c r="GX321" s="9"/>
      <c r="GY321" s="9"/>
      <c r="GZ321" s="9"/>
      <c r="HA321" s="9"/>
      <c r="HB321" s="9"/>
      <c r="HC321" s="9"/>
      <c r="HD321" s="9"/>
      <c r="HE321" s="9"/>
      <c r="HF321" s="9"/>
      <c r="HG321" s="9"/>
      <c r="HH321" s="9"/>
      <c r="HI321" s="9"/>
      <c r="HJ321" s="9"/>
      <c r="HV321" s="50" t="s">
        <v>977</v>
      </c>
      <c r="HW321" s="50" t="s">
        <v>538</v>
      </c>
      <c r="HX321" t="s">
        <v>978</v>
      </c>
      <c r="HY321" s="12"/>
      <c r="HZ321" t="s">
        <v>971</v>
      </c>
      <c r="IA321" t="s">
        <v>972</v>
      </c>
      <c r="IH321" t="s">
        <v>989</v>
      </c>
      <c r="II321" s="75" t="s">
        <v>929</v>
      </c>
      <c r="IJ321" t="s">
        <v>983</v>
      </c>
      <c r="IK321" t="s">
        <v>543</v>
      </c>
      <c r="IL321" s="79">
        <v>1999</v>
      </c>
      <c r="IM321" s="79" t="s">
        <v>480</v>
      </c>
      <c r="IN321" s="78" t="s">
        <v>480</v>
      </c>
      <c r="JJ321" t="s">
        <v>959</v>
      </c>
      <c r="JK321" s="75" t="s">
        <v>494</v>
      </c>
      <c r="JL321" t="s">
        <v>495</v>
      </c>
      <c r="JM321" t="s">
        <v>960</v>
      </c>
      <c r="JN321" s="4" t="s">
        <v>961</v>
      </c>
      <c r="JO321" t="s">
        <v>962</v>
      </c>
      <c r="JP321" s="4"/>
      <c r="KI321" t="s">
        <v>963</v>
      </c>
      <c r="KJ321" t="s">
        <v>501</v>
      </c>
      <c r="KK321" s="8" t="s">
        <v>964</v>
      </c>
      <c r="KL321" s="4" t="s">
        <v>503</v>
      </c>
      <c r="KM321">
        <v>1</v>
      </c>
      <c r="MY321" t="s">
        <v>965</v>
      </c>
      <c r="MZ321">
        <v>46.5</v>
      </c>
      <c r="NA321" t="s">
        <v>966</v>
      </c>
      <c r="NB321" t="s">
        <v>538</v>
      </c>
      <c r="NC321" t="s">
        <v>982</v>
      </c>
      <c r="NJ321" t="s">
        <v>984</v>
      </c>
      <c r="NL321" s="4" t="s">
        <v>660</v>
      </c>
      <c r="NM321" t="s">
        <v>508</v>
      </c>
      <c r="NV321" t="s">
        <v>518</v>
      </c>
      <c r="NX321" s="2" t="s">
        <v>480</v>
      </c>
      <c r="OB321">
        <v>3</v>
      </c>
      <c r="OC321">
        <v>434</v>
      </c>
      <c r="OD321" s="79" t="s">
        <v>480</v>
      </c>
      <c r="OE321" s="79" t="s">
        <v>480</v>
      </c>
      <c r="OF321" s="79" t="s">
        <v>480</v>
      </c>
      <c r="OM321">
        <v>0.22</v>
      </c>
      <c r="ON321" s="2" t="s">
        <v>480</v>
      </c>
      <c r="OO321">
        <v>0.8</v>
      </c>
      <c r="OP321" s="2" t="s">
        <v>480</v>
      </c>
      <c r="OS321">
        <v>1.02</v>
      </c>
      <c r="OT321" s="2" t="s">
        <v>480</v>
      </c>
      <c r="OU321" t="s">
        <v>985</v>
      </c>
      <c r="OW321">
        <v>1999</v>
      </c>
      <c r="PB321" t="s">
        <v>522</v>
      </c>
      <c r="PC321" s="50">
        <v>46104</v>
      </c>
    </row>
    <row r="322" spans="1:419" ht="15.75" thickBot="1">
      <c r="A322" t="s">
        <v>469</v>
      </c>
      <c r="B322" t="s">
        <v>949</v>
      </c>
      <c r="C322" t="s">
        <v>863</v>
      </c>
      <c r="D322" s="4" t="s">
        <v>950</v>
      </c>
      <c r="E322" s="81" t="s">
        <v>951</v>
      </c>
      <c r="F322" s="81" t="s">
        <v>952</v>
      </c>
      <c r="G322" t="s">
        <v>475</v>
      </c>
      <c r="H322" t="s">
        <v>476</v>
      </c>
      <c r="I322">
        <v>12.133333329999999</v>
      </c>
      <c r="J322">
        <v>8.5333333329999999</v>
      </c>
      <c r="K322">
        <v>150</v>
      </c>
      <c r="AV322" t="s">
        <v>953</v>
      </c>
      <c r="AW322">
        <v>46.5</v>
      </c>
      <c r="AX322" t="s">
        <v>480</v>
      </c>
      <c r="AY322">
        <v>1</v>
      </c>
      <c r="AZ322" t="s">
        <v>954</v>
      </c>
      <c r="BA322">
        <v>1999</v>
      </c>
      <c r="BB322">
        <v>2000</v>
      </c>
      <c r="BD322" t="s">
        <v>990</v>
      </c>
      <c r="BE322" t="s">
        <v>611</v>
      </c>
      <c r="BF322" s="3" t="s">
        <v>484</v>
      </c>
      <c r="BG322" t="s">
        <v>538</v>
      </c>
      <c r="BH322" t="s">
        <v>980</v>
      </c>
      <c r="BI322" t="s">
        <v>480</v>
      </c>
      <c r="BJ322" t="s">
        <v>480</v>
      </c>
      <c r="BK322" t="s">
        <v>537</v>
      </c>
      <c r="BL322" t="s">
        <v>982</v>
      </c>
      <c r="BM322" t="s">
        <v>480</v>
      </c>
      <c r="BN322" t="s">
        <v>480</v>
      </c>
      <c r="BO322" t="s">
        <v>480</v>
      </c>
      <c r="EG322" s="9"/>
      <c r="EH322" s="9"/>
      <c r="EI322" s="9"/>
      <c r="EJ322" s="9"/>
      <c r="EK322" s="9"/>
      <c r="EL322" s="9"/>
      <c r="EM322" s="9"/>
      <c r="EN322" s="9"/>
      <c r="EO322" s="9"/>
      <c r="EP322" s="9"/>
      <c r="EQ322" s="9"/>
      <c r="ER322" s="9"/>
      <c r="ES322" s="9"/>
      <c r="ET322" s="9"/>
      <c r="EU322" s="9"/>
      <c r="EV322" s="9"/>
      <c r="EW322" s="9"/>
      <c r="EX322" s="9"/>
      <c r="EY322" s="9"/>
      <c r="EZ322" s="9"/>
      <c r="FA322" s="9"/>
      <c r="FB322" s="9"/>
      <c r="FC322" s="9"/>
      <c r="FD322" s="9"/>
      <c r="FE322" s="9"/>
      <c r="FF322" s="9"/>
      <c r="FG322" s="9"/>
      <c r="FH322" s="9"/>
      <c r="FI322" s="9"/>
      <c r="FJ322" s="9"/>
      <c r="FK322" s="9"/>
      <c r="FL322" s="9"/>
      <c r="FM322" s="9"/>
      <c r="FN322" s="9"/>
      <c r="FO322" s="9"/>
      <c r="FP322" s="9"/>
      <c r="FQ322" s="9"/>
      <c r="FR322" s="9"/>
      <c r="FS322" s="9"/>
      <c r="FT322" s="9"/>
      <c r="FU322" s="9"/>
      <c r="FV322" s="9"/>
      <c r="FW322" s="9"/>
      <c r="FX322" s="9"/>
      <c r="FY322" s="9"/>
      <c r="FZ322" s="9"/>
      <c r="GA322" s="9"/>
      <c r="GB322" s="9"/>
      <c r="GC322" s="9"/>
      <c r="GD322" s="9"/>
      <c r="GE322" s="9"/>
      <c r="GF322" s="9"/>
      <c r="GG322" s="9"/>
      <c r="GH322" s="9"/>
      <c r="GI322" s="9"/>
      <c r="GJ322" s="9"/>
      <c r="GK322" s="9"/>
      <c r="GL322" s="9"/>
      <c r="GM322" s="9"/>
      <c r="GN322" s="9"/>
      <c r="GO322" s="9"/>
      <c r="GP322" s="9"/>
      <c r="GQ322" s="9"/>
      <c r="GR322" s="9"/>
      <c r="GS322" s="9"/>
      <c r="GT322" s="9"/>
      <c r="GU322" s="9"/>
      <c r="GV322" s="9"/>
      <c r="GW322" s="9"/>
      <c r="GX322" s="9"/>
      <c r="GY322" s="9"/>
      <c r="GZ322" s="9"/>
      <c r="HA322" s="9"/>
      <c r="HB322" s="9"/>
      <c r="HC322" s="9"/>
      <c r="HD322" s="9"/>
      <c r="HE322" s="9"/>
      <c r="HF322" s="9"/>
      <c r="HG322" s="9"/>
      <c r="HH322" s="9"/>
      <c r="HI322" s="9"/>
      <c r="HJ322" s="9"/>
      <c r="HV322" s="50" t="s">
        <v>979</v>
      </c>
      <c r="HW322" s="50" t="s">
        <v>538</v>
      </c>
      <c r="HX322" t="s">
        <v>980</v>
      </c>
      <c r="HY322" s="14"/>
      <c r="HZ322" t="s">
        <v>971</v>
      </c>
      <c r="IA322" t="s">
        <v>972</v>
      </c>
      <c r="IH322" t="s">
        <v>990</v>
      </c>
      <c r="II322" s="75" t="s">
        <v>929</v>
      </c>
      <c r="IJ322" t="s">
        <v>983</v>
      </c>
      <c r="IK322" t="s">
        <v>543</v>
      </c>
      <c r="IL322" s="79">
        <v>1999</v>
      </c>
      <c r="IM322" s="80" t="s">
        <v>480</v>
      </c>
      <c r="IN322" s="80" t="s">
        <v>480</v>
      </c>
      <c r="JJ322" t="s">
        <v>959</v>
      </c>
      <c r="JK322" s="75" t="s">
        <v>494</v>
      </c>
      <c r="JL322" t="s">
        <v>495</v>
      </c>
      <c r="JM322" t="s">
        <v>960</v>
      </c>
      <c r="JN322" s="4" t="s">
        <v>961</v>
      </c>
      <c r="JO322" t="s">
        <v>962</v>
      </c>
      <c r="JP322" s="4"/>
      <c r="KI322" t="s">
        <v>963</v>
      </c>
      <c r="KJ322" t="s">
        <v>501</v>
      </c>
      <c r="KK322" s="8" t="s">
        <v>964</v>
      </c>
      <c r="KL322" s="4" t="s">
        <v>503</v>
      </c>
      <c r="KM322">
        <v>1</v>
      </c>
      <c r="MY322" t="s">
        <v>965</v>
      </c>
      <c r="MZ322">
        <v>46.5</v>
      </c>
      <c r="NA322" t="s">
        <v>966</v>
      </c>
      <c r="NB322" t="s">
        <v>538</v>
      </c>
      <c r="NC322" t="s">
        <v>982</v>
      </c>
      <c r="NJ322" t="s">
        <v>984</v>
      </c>
      <c r="NL322" s="4" t="s">
        <v>660</v>
      </c>
      <c r="NM322" t="s">
        <v>508</v>
      </c>
      <c r="NV322" t="s">
        <v>518</v>
      </c>
      <c r="NX322" s="2" t="s">
        <v>480</v>
      </c>
      <c r="OB322">
        <v>3</v>
      </c>
      <c r="OC322">
        <v>606</v>
      </c>
      <c r="OD322" s="79" t="s">
        <v>480</v>
      </c>
      <c r="OE322" s="79" t="s">
        <v>480</v>
      </c>
      <c r="OF322" s="79" t="s">
        <v>480</v>
      </c>
      <c r="OM322">
        <v>0.3</v>
      </c>
      <c r="ON322" s="2" t="s">
        <v>480</v>
      </c>
      <c r="OO322">
        <v>0.74</v>
      </c>
      <c r="OP322" s="2" t="s">
        <v>480</v>
      </c>
      <c r="OS322">
        <v>1.04</v>
      </c>
      <c r="OT322" s="2" t="s">
        <v>480</v>
      </c>
      <c r="OU322" t="s">
        <v>985</v>
      </c>
      <c r="OW322">
        <v>1999</v>
      </c>
      <c r="PB322" t="s">
        <v>522</v>
      </c>
      <c r="PC322" s="50">
        <v>46104</v>
      </c>
    </row>
    <row r="323" spans="1:419" ht="15.75" thickBot="1">
      <c r="A323" t="s">
        <v>469</v>
      </c>
      <c r="B323" t="s">
        <v>949</v>
      </c>
      <c r="C323" t="s">
        <v>863</v>
      </c>
      <c r="D323" s="4" t="s">
        <v>950</v>
      </c>
      <c r="E323" s="81" t="s">
        <v>951</v>
      </c>
      <c r="F323" s="81" t="s">
        <v>952</v>
      </c>
      <c r="G323" t="s">
        <v>475</v>
      </c>
      <c r="H323" t="s">
        <v>476</v>
      </c>
      <c r="I323">
        <v>12.133333329999999</v>
      </c>
      <c r="J323">
        <v>8.5333333329999999</v>
      </c>
      <c r="K323">
        <v>150</v>
      </c>
      <c r="AV323" t="s">
        <v>953</v>
      </c>
      <c r="AW323">
        <v>27</v>
      </c>
      <c r="AX323" t="s">
        <v>480</v>
      </c>
      <c r="AY323">
        <v>1</v>
      </c>
      <c r="AZ323" t="s">
        <v>954</v>
      </c>
      <c r="BA323">
        <v>1999</v>
      </c>
      <c r="BB323">
        <v>2000</v>
      </c>
      <c r="BD323" t="s">
        <v>955</v>
      </c>
      <c r="BE323" t="s">
        <v>524</v>
      </c>
      <c r="BF323" s="3" t="s">
        <v>484</v>
      </c>
      <c r="BG323" t="s">
        <v>538</v>
      </c>
      <c r="BH323" t="s">
        <v>956</v>
      </c>
      <c r="BI323" t="s">
        <v>480</v>
      </c>
      <c r="BJ323" t="s">
        <v>480</v>
      </c>
      <c r="EG323" s="9"/>
      <c r="EH323" s="9"/>
      <c r="EI323" s="9"/>
      <c r="EJ323" s="9"/>
      <c r="EK323" s="9"/>
      <c r="EL323" s="9"/>
      <c r="EM323" s="9"/>
      <c r="EN323" s="9"/>
      <c r="EO323" s="9"/>
      <c r="EP323" s="9"/>
      <c r="EQ323" s="9"/>
      <c r="ER323" s="9"/>
      <c r="ES323" s="9"/>
      <c r="ET323" s="9"/>
      <c r="EU323" s="9"/>
      <c r="EV323" s="9"/>
      <c r="EW323" s="9"/>
      <c r="EX323" s="9"/>
      <c r="EY323" s="9"/>
      <c r="EZ323" s="9"/>
      <c r="FA323" s="9"/>
      <c r="FB323" s="9"/>
      <c r="FC323" s="9"/>
      <c r="FD323" s="9"/>
      <c r="FE323" s="9"/>
      <c r="FF323" s="9"/>
      <c r="FG323" s="9"/>
      <c r="FH323" s="9"/>
      <c r="FI323" s="9"/>
      <c r="FJ323" s="9"/>
      <c r="FK323" s="9"/>
      <c r="FL323" s="9"/>
      <c r="FM323" s="9"/>
      <c r="FN323" s="9"/>
      <c r="FO323" s="9"/>
      <c r="FP323" s="9"/>
      <c r="FQ323" s="9"/>
      <c r="FR323" s="9"/>
      <c r="FS323" s="9"/>
      <c r="FT323" s="9"/>
      <c r="FU323" s="9"/>
      <c r="FV323" s="9"/>
      <c r="FW323" s="9"/>
      <c r="FX323" s="9"/>
      <c r="FY323" s="9"/>
      <c r="FZ323" s="9"/>
      <c r="GA323" s="9"/>
      <c r="GB323" s="9"/>
      <c r="GC323" s="9"/>
      <c r="GD323" s="9"/>
      <c r="GE323" s="9"/>
      <c r="GF323" s="9"/>
      <c r="GG323" s="9"/>
      <c r="GH323" s="9"/>
      <c r="GI323" s="9"/>
      <c r="GJ323" s="9"/>
      <c r="GK323" s="9"/>
      <c r="GL323" s="9"/>
      <c r="GM323" s="9"/>
      <c r="GN323" s="9"/>
      <c r="GO323" s="9"/>
      <c r="GP323" s="9"/>
      <c r="GQ323" s="9"/>
      <c r="GR323" s="9"/>
      <c r="GS323" s="9"/>
      <c r="GT323" s="9"/>
      <c r="GU323" s="9"/>
      <c r="GV323" s="9"/>
      <c r="GW323" s="9"/>
      <c r="GX323" s="9"/>
      <c r="GY323" s="9"/>
      <c r="GZ323" s="9"/>
      <c r="HA323" s="9"/>
      <c r="HB323" s="9"/>
      <c r="HC323" s="9"/>
      <c r="HD323" s="9"/>
      <c r="HE323" s="9"/>
      <c r="HF323" s="9"/>
      <c r="HG323" s="9"/>
      <c r="HH323" s="9"/>
      <c r="HI323" s="9"/>
      <c r="HJ323" s="9"/>
      <c r="HV323" s="50" t="s">
        <v>955</v>
      </c>
      <c r="HW323" t="s">
        <v>538</v>
      </c>
      <c r="HX323" t="s">
        <v>956</v>
      </c>
      <c r="HY323" s="12"/>
      <c r="HZ323" s="4" t="s">
        <v>957</v>
      </c>
      <c r="IA323" t="s">
        <v>958</v>
      </c>
      <c r="IH323" t="s">
        <v>955</v>
      </c>
      <c r="II323" t="s">
        <v>492</v>
      </c>
      <c r="JJ323" t="s">
        <v>959</v>
      </c>
      <c r="JK323" s="75" t="s">
        <v>494</v>
      </c>
      <c r="JL323" t="s">
        <v>495</v>
      </c>
      <c r="JM323" t="s">
        <v>960</v>
      </c>
      <c r="JN323" s="4" t="s">
        <v>961</v>
      </c>
      <c r="JO323" t="s">
        <v>962</v>
      </c>
      <c r="JP323" s="4"/>
      <c r="KI323" t="s">
        <v>963</v>
      </c>
      <c r="KJ323" t="s">
        <v>501</v>
      </c>
      <c r="KK323" s="8" t="s">
        <v>964</v>
      </c>
      <c r="KL323" s="4" t="s">
        <v>503</v>
      </c>
      <c r="KM323">
        <v>1</v>
      </c>
      <c r="MY323" t="s">
        <v>965</v>
      </c>
      <c r="MZ323">
        <v>27</v>
      </c>
      <c r="NA323" t="s">
        <v>966</v>
      </c>
      <c r="NB323" t="s">
        <v>538</v>
      </c>
      <c r="NJ323" t="s">
        <v>967</v>
      </c>
      <c r="NL323" s="4" t="s">
        <v>660</v>
      </c>
      <c r="NM323" t="s">
        <v>508</v>
      </c>
      <c r="NU323" t="s">
        <v>536</v>
      </c>
      <c r="NV323" t="s">
        <v>518</v>
      </c>
      <c r="NX323" s="2" t="s">
        <v>480</v>
      </c>
      <c r="OB323">
        <v>3</v>
      </c>
      <c r="OC323">
        <v>1217</v>
      </c>
      <c r="OD323" s="79" t="s">
        <v>480</v>
      </c>
      <c r="OU323" t="s">
        <v>968</v>
      </c>
      <c r="OW323">
        <v>2000</v>
      </c>
      <c r="PB323" t="s">
        <v>522</v>
      </c>
      <c r="PC323" s="50">
        <v>46104</v>
      </c>
    </row>
    <row r="324" spans="1:419" ht="15.75" thickBot="1">
      <c r="A324" t="s">
        <v>469</v>
      </c>
      <c r="B324" t="s">
        <v>949</v>
      </c>
      <c r="C324" t="s">
        <v>863</v>
      </c>
      <c r="D324" s="4" t="s">
        <v>950</v>
      </c>
      <c r="E324" s="81" t="s">
        <v>951</v>
      </c>
      <c r="F324" s="81" t="s">
        <v>952</v>
      </c>
      <c r="G324" t="s">
        <v>475</v>
      </c>
      <c r="H324" t="s">
        <v>476</v>
      </c>
      <c r="I324">
        <v>12.133333329999999</v>
      </c>
      <c r="J324">
        <v>8.5333333329999999</v>
      </c>
      <c r="K324">
        <v>150</v>
      </c>
      <c r="AV324" t="s">
        <v>953</v>
      </c>
      <c r="AW324">
        <v>27</v>
      </c>
      <c r="AX324" t="s">
        <v>480</v>
      </c>
      <c r="AY324">
        <v>1</v>
      </c>
      <c r="AZ324" t="s">
        <v>954</v>
      </c>
      <c r="BA324">
        <v>1999</v>
      </c>
      <c r="BB324">
        <v>2000</v>
      </c>
      <c r="BD324" t="s">
        <v>969</v>
      </c>
      <c r="BE324" t="s">
        <v>483</v>
      </c>
      <c r="BF324" s="3" t="s">
        <v>484</v>
      </c>
      <c r="BG324" t="s">
        <v>538</v>
      </c>
      <c r="BH324" t="s">
        <v>970</v>
      </c>
      <c r="BI324" t="s">
        <v>480</v>
      </c>
      <c r="BJ324" t="s">
        <v>480</v>
      </c>
      <c r="EG324" s="9"/>
      <c r="EH324" s="9"/>
      <c r="EI324" s="9"/>
      <c r="EJ324" s="9"/>
      <c r="EK324" s="9"/>
      <c r="EL324" s="9"/>
      <c r="EM324" s="9"/>
      <c r="EN324" s="9"/>
      <c r="EO324" s="9"/>
      <c r="EP324" s="9"/>
      <c r="EQ324" s="9"/>
      <c r="ER324" s="9"/>
      <c r="ES324" s="9"/>
      <c r="ET324" s="9"/>
      <c r="EU324" s="9"/>
      <c r="EV324" s="9"/>
      <c r="EW324" s="9"/>
      <c r="EX324" s="9"/>
      <c r="EY324" s="9"/>
      <c r="EZ324" s="9"/>
      <c r="FA324" s="9"/>
      <c r="FB324" s="9"/>
      <c r="FC324" s="9"/>
      <c r="FD324" s="9"/>
      <c r="FE324" s="9"/>
      <c r="FF324" s="9"/>
      <c r="FG324" s="9"/>
      <c r="FH324" s="9"/>
      <c r="FI324" s="9"/>
      <c r="FJ324" s="9"/>
      <c r="FK324" s="9"/>
      <c r="FL324" s="9"/>
      <c r="FM324" s="9"/>
      <c r="FN324" s="9"/>
      <c r="FO324" s="9"/>
      <c r="FP324" s="9"/>
      <c r="FQ324" s="9"/>
      <c r="FR324" s="9"/>
      <c r="FS324" s="9"/>
      <c r="FT324" s="9"/>
      <c r="FU324" s="9"/>
      <c r="FV324" s="9"/>
      <c r="FW324" s="9"/>
      <c r="FX324" s="9"/>
      <c r="FY324" s="9"/>
      <c r="FZ324" s="9"/>
      <c r="GA324" s="9"/>
      <c r="GB324" s="9"/>
      <c r="GC324" s="9"/>
      <c r="GD324" s="9"/>
      <c r="GE324" s="9"/>
      <c r="GF324" s="9"/>
      <c r="GG324" s="9"/>
      <c r="GH324" s="9"/>
      <c r="GI324" s="9"/>
      <c r="GJ324" s="9"/>
      <c r="GK324" s="9"/>
      <c r="GL324" s="9"/>
      <c r="GM324" s="9"/>
      <c r="GN324" s="9"/>
      <c r="GO324" s="9"/>
      <c r="GP324" s="9"/>
      <c r="GQ324" s="9"/>
      <c r="GR324" s="9"/>
      <c r="GS324" s="9"/>
      <c r="GT324" s="9"/>
      <c r="GU324" s="9"/>
      <c r="GV324" s="9"/>
      <c r="GW324" s="9"/>
      <c r="GX324" s="9"/>
      <c r="GY324" s="9"/>
      <c r="GZ324" s="9"/>
      <c r="HA324" s="9"/>
      <c r="HB324" s="9"/>
      <c r="HC324" s="9"/>
      <c r="HD324" s="9"/>
      <c r="HE324" s="9"/>
      <c r="HF324" s="9"/>
      <c r="HG324" s="9"/>
      <c r="HH324" s="9"/>
      <c r="HI324" s="9"/>
      <c r="HJ324" s="9"/>
      <c r="HV324" s="50" t="s">
        <v>969</v>
      </c>
      <c r="HW324" s="50" t="s">
        <v>538</v>
      </c>
      <c r="HX324" t="s">
        <v>970</v>
      </c>
      <c r="HY324" s="12"/>
      <c r="HZ324" t="s">
        <v>971</v>
      </c>
      <c r="IA324" t="s">
        <v>972</v>
      </c>
      <c r="IH324" t="s">
        <v>969</v>
      </c>
      <c r="II324" t="s">
        <v>492</v>
      </c>
      <c r="JJ324" t="s">
        <v>959</v>
      </c>
      <c r="JK324" s="75" t="s">
        <v>494</v>
      </c>
      <c r="JL324" t="s">
        <v>495</v>
      </c>
      <c r="JM324" t="s">
        <v>960</v>
      </c>
      <c r="JN324" s="4" t="s">
        <v>961</v>
      </c>
      <c r="JO324" t="s">
        <v>962</v>
      </c>
      <c r="JP324" s="4"/>
      <c r="KI324" t="s">
        <v>963</v>
      </c>
      <c r="KJ324" t="s">
        <v>501</v>
      </c>
      <c r="KK324" s="8" t="s">
        <v>964</v>
      </c>
      <c r="KL324" s="4" t="s">
        <v>503</v>
      </c>
      <c r="KM324">
        <v>1</v>
      </c>
      <c r="MY324" t="s">
        <v>965</v>
      </c>
      <c r="MZ324">
        <v>27</v>
      </c>
      <c r="NA324" t="s">
        <v>966</v>
      </c>
      <c r="NB324" t="s">
        <v>538</v>
      </c>
      <c r="NJ324" t="s">
        <v>967</v>
      </c>
      <c r="NL324" s="4" t="s">
        <v>660</v>
      </c>
      <c r="NM324" t="s">
        <v>508</v>
      </c>
      <c r="NU324" t="s">
        <v>566</v>
      </c>
      <c r="NV324" t="s">
        <v>518</v>
      </c>
      <c r="NX324" s="2" t="s">
        <v>480</v>
      </c>
      <c r="OB324">
        <v>3</v>
      </c>
      <c r="OC324">
        <v>1576</v>
      </c>
      <c r="OD324" s="79" t="s">
        <v>480</v>
      </c>
      <c r="OU324" t="s">
        <v>968</v>
      </c>
      <c r="OW324">
        <v>2000</v>
      </c>
      <c r="PB324" t="s">
        <v>522</v>
      </c>
      <c r="PC324" s="50">
        <v>46104</v>
      </c>
    </row>
    <row r="325" spans="1:419" ht="15.75" thickBot="1">
      <c r="A325" t="s">
        <v>469</v>
      </c>
      <c r="B325" t="s">
        <v>949</v>
      </c>
      <c r="C325" t="s">
        <v>863</v>
      </c>
      <c r="D325" s="4" t="s">
        <v>950</v>
      </c>
      <c r="E325" s="81" t="s">
        <v>951</v>
      </c>
      <c r="F325" s="81" t="s">
        <v>952</v>
      </c>
      <c r="G325" t="s">
        <v>475</v>
      </c>
      <c r="H325" t="s">
        <v>476</v>
      </c>
      <c r="I325">
        <v>12.133333329999999</v>
      </c>
      <c r="J325">
        <v>8.5333333329999999</v>
      </c>
      <c r="K325">
        <v>150</v>
      </c>
      <c r="AV325" t="s">
        <v>953</v>
      </c>
      <c r="AW325">
        <v>27</v>
      </c>
      <c r="AX325" t="s">
        <v>480</v>
      </c>
      <c r="AY325">
        <v>1</v>
      </c>
      <c r="AZ325" t="s">
        <v>954</v>
      </c>
      <c r="BA325">
        <v>1999</v>
      </c>
      <c r="BB325">
        <v>2000</v>
      </c>
      <c r="BD325" t="s">
        <v>973</v>
      </c>
      <c r="BE325" t="s">
        <v>593</v>
      </c>
      <c r="BF325" s="3" t="s">
        <v>484</v>
      </c>
      <c r="BG325" t="s">
        <v>538</v>
      </c>
      <c r="BH325" t="s">
        <v>974</v>
      </c>
      <c r="BI325" t="s">
        <v>480</v>
      </c>
      <c r="BJ325" t="s">
        <v>480</v>
      </c>
      <c r="EG325" s="9"/>
      <c r="EH325" s="9"/>
      <c r="EI325" s="9"/>
      <c r="EJ325" s="9"/>
      <c r="EK325" s="9"/>
      <c r="EL325" s="9"/>
      <c r="EM325" s="9"/>
      <c r="EN325" s="9"/>
      <c r="EO325" s="9"/>
      <c r="EP325" s="9"/>
      <c r="EQ325" s="9"/>
      <c r="ER325" s="9"/>
      <c r="ES325" s="9"/>
      <c r="ET325" s="9"/>
      <c r="EU325" s="9"/>
      <c r="EV325" s="9"/>
      <c r="EW325" s="9"/>
      <c r="EX325" s="9"/>
      <c r="EY325" s="9"/>
      <c r="EZ325" s="9"/>
      <c r="FA325" s="9"/>
      <c r="FB325" s="9"/>
      <c r="FC325" s="9"/>
      <c r="FD325" s="9"/>
      <c r="FE325" s="9"/>
      <c r="FF325" s="9"/>
      <c r="FG325" s="9"/>
      <c r="FH325" s="9"/>
      <c r="FI325" s="9"/>
      <c r="FJ325" s="9"/>
      <c r="FK325" s="9"/>
      <c r="FL325" s="9"/>
      <c r="FM325" s="9"/>
      <c r="FN325" s="9"/>
      <c r="FO325" s="9"/>
      <c r="FP325" s="9"/>
      <c r="FQ325" s="9"/>
      <c r="FR325" s="9"/>
      <c r="FS325" s="9"/>
      <c r="FT325" s="9"/>
      <c r="FU325" s="9"/>
      <c r="FV325" s="9"/>
      <c r="FW325" s="9"/>
      <c r="FX325" s="9"/>
      <c r="FY325" s="9"/>
      <c r="FZ325" s="9"/>
      <c r="GA325" s="9"/>
      <c r="GB325" s="9"/>
      <c r="GC325" s="9"/>
      <c r="GD325" s="9"/>
      <c r="GE325" s="9"/>
      <c r="GF325" s="9"/>
      <c r="GG325" s="9"/>
      <c r="GH325" s="9"/>
      <c r="GI325" s="9"/>
      <c r="GJ325" s="9"/>
      <c r="GK325" s="9"/>
      <c r="GL325" s="9"/>
      <c r="GM325" s="9"/>
      <c r="GN325" s="9"/>
      <c r="GO325" s="9"/>
      <c r="GP325" s="9"/>
      <c r="GQ325" s="9"/>
      <c r="GR325" s="9"/>
      <c r="GS325" s="9"/>
      <c r="GT325" s="9"/>
      <c r="GU325" s="9"/>
      <c r="GV325" s="9"/>
      <c r="GW325" s="9"/>
      <c r="GX325" s="9"/>
      <c r="GY325" s="9"/>
      <c r="GZ325" s="9"/>
      <c r="HA325" s="9"/>
      <c r="HB325" s="9"/>
      <c r="HC325" s="9"/>
      <c r="HD325" s="9"/>
      <c r="HE325" s="9"/>
      <c r="HF325" s="9"/>
      <c r="HG325" s="9"/>
      <c r="HH325" s="9"/>
      <c r="HI325" s="9"/>
      <c r="HJ325" s="9"/>
      <c r="HV325" s="50" t="s">
        <v>973</v>
      </c>
      <c r="HW325" s="50" t="s">
        <v>538</v>
      </c>
      <c r="HX325" t="s">
        <v>974</v>
      </c>
      <c r="HY325" s="12"/>
      <c r="HZ325" t="s">
        <v>971</v>
      </c>
      <c r="IA325" t="s">
        <v>972</v>
      </c>
      <c r="IH325" t="s">
        <v>973</v>
      </c>
      <c r="II325" t="s">
        <v>492</v>
      </c>
      <c r="JJ325" t="s">
        <v>959</v>
      </c>
      <c r="JK325" s="75" t="s">
        <v>494</v>
      </c>
      <c r="JL325" t="s">
        <v>495</v>
      </c>
      <c r="JM325" t="s">
        <v>960</v>
      </c>
      <c r="JN325" s="4" t="s">
        <v>961</v>
      </c>
      <c r="JO325" t="s">
        <v>962</v>
      </c>
      <c r="JP325" s="4"/>
      <c r="KI325" t="s">
        <v>963</v>
      </c>
      <c r="KJ325" t="s">
        <v>501</v>
      </c>
      <c r="KK325" s="8" t="s">
        <v>964</v>
      </c>
      <c r="KL325" s="4" t="s">
        <v>503</v>
      </c>
      <c r="KM325">
        <v>1</v>
      </c>
      <c r="MY325" t="s">
        <v>965</v>
      </c>
      <c r="MZ325">
        <v>27</v>
      </c>
      <c r="NA325" t="s">
        <v>966</v>
      </c>
      <c r="NB325" t="s">
        <v>538</v>
      </c>
      <c r="NJ325" t="s">
        <v>967</v>
      </c>
      <c r="NL325" s="4" t="s">
        <v>660</v>
      </c>
      <c r="NM325" t="s">
        <v>508</v>
      </c>
      <c r="NU325" t="s">
        <v>572</v>
      </c>
      <c r="NV325" t="s">
        <v>518</v>
      </c>
      <c r="NX325" s="2" t="s">
        <v>480</v>
      </c>
      <c r="OB325">
        <v>3</v>
      </c>
      <c r="OC325">
        <v>1267</v>
      </c>
      <c r="OD325" s="79" t="s">
        <v>480</v>
      </c>
      <c r="OU325" t="s">
        <v>968</v>
      </c>
      <c r="OW325">
        <v>2000</v>
      </c>
      <c r="PB325" t="s">
        <v>522</v>
      </c>
      <c r="PC325" s="50">
        <v>46104</v>
      </c>
    </row>
    <row r="326" spans="1:419" ht="15.75" thickBot="1">
      <c r="A326" t="s">
        <v>469</v>
      </c>
      <c r="B326" t="s">
        <v>949</v>
      </c>
      <c r="C326" t="s">
        <v>863</v>
      </c>
      <c r="D326" s="4" t="s">
        <v>950</v>
      </c>
      <c r="E326" s="81" t="s">
        <v>951</v>
      </c>
      <c r="F326" s="81" t="s">
        <v>952</v>
      </c>
      <c r="G326" t="s">
        <v>475</v>
      </c>
      <c r="H326" t="s">
        <v>476</v>
      </c>
      <c r="I326">
        <v>12.133333329999999</v>
      </c>
      <c r="J326">
        <v>8.5333333329999999</v>
      </c>
      <c r="K326">
        <v>150</v>
      </c>
      <c r="AV326" t="s">
        <v>953</v>
      </c>
      <c r="AW326">
        <v>27</v>
      </c>
      <c r="AX326" t="s">
        <v>480</v>
      </c>
      <c r="AY326">
        <v>1</v>
      </c>
      <c r="AZ326" t="s">
        <v>954</v>
      </c>
      <c r="BA326">
        <v>1999</v>
      </c>
      <c r="BB326">
        <v>2000</v>
      </c>
      <c r="BD326" t="s">
        <v>975</v>
      </c>
      <c r="BE326" t="s">
        <v>602</v>
      </c>
      <c r="BF326" s="3" t="s">
        <v>484</v>
      </c>
      <c r="BG326" t="s">
        <v>538</v>
      </c>
      <c r="BH326" t="s">
        <v>976</v>
      </c>
      <c r="BI326" t="s">
        <v>480</v>
      </c>
      <c r="BJ326" t="s">
        <v>480</v>
      </c>
      <c r="EG326" s="9"/>
      <c r="EH326" s="9"/>
      <c r="EI326" s="9"/>
      <c r="EJ326" s="9"/>
      <c r="EK326" s="9"/>
      <c r="EL326" s="9"/>
      <c r="EM326" s="9"/>
      <c r="EN326" s="9"/>
      <c r="EO326" s="9"/>
      <c r="EP326" s="9"/>
      <c r="EQ326" s="9"/>
      <c r="ER326" s="9"/>
      <c r="ES326" s="9"/>
      <c r="ET326" s="9"/>
      <c r="EU326" s="9"/>
      <c r="EV326" s="9"/>
      <c r="EW326" s="9"/>
      <c r="EX326" s="9"/>
      <c r="EY326" s="9"/>
      <c r="EZ326" s="9"/>
      <c r="FA326" s="9"/>
      <c r="FB326" s="9"/>
      <c r="FC326" s="9"/>
      <c r="FD326" s="9"/>
      <c r="FE326" s="9"/>
      <c r="FF326" s="9"/>
      <c r="FG326" s="9"/>
      <c r="FH326" s="9"/>
      <c r="FI326" s="9"/>
      <c r="FJ326" s="9"/>
      <c r="FK326" s="9"/>
      <c r="FL326" s="9"/>
      <c r="FM326" s="9"/>
      <c r="FN326" s="9"/>
      <c r="FO326" s="9"/>
      <c r="FP326" s="9"/>
      <c r="FQ326" s="9"/>
      <c r="FR326" s="9"/>
      <c r="FS326" s="9"/>
      <c r="FT326" s="9"/>
      <c r="FU326" s="9"/>
      <c r="FV326" s="9"/>
      <c r="FW326" s="9"/>
      <c r="FX326" s="9"/>
      <c r="FY326" s="9"/>
      <c r="FZ326" s="9"/>
      <c r="GA326" s="9"/>
      <c r="GB326" s="9"/>
      <c r="GC326" s="9"/>
      <c r="GD326" s="9"/>
      <c r="GE326" s="9"/>
      <c r="GF326" s="9"/>
      <c r="GG326" s="9"/>
      <c r="GH326" s="9"/>
      <c r="GI326" s="9"/>
      <c r="GJ326" s="9"/>
      <c r="GK326" s="9"/>
      <c r="GL326" s="9"/>
      <c r="GM326" s="9"/>
      <c r="GN326" s="9"/>
      <c r="GO326" s="9"/>
      <c r="GP326" s="9"/>
      <c r="GQ326" s="9"/>
      <c r="GR326" s="9"/>
      <c r="GS326" s="9"/>
      <c r="GT326" s="9"/>
      <c r="GU326" s="9"/>
      <c r="GV326" s="9"/>
      <c r="GW326" s="9"/>
      <c r="GX326" s="9"/>
      <c r="GY326" s="9"/>
      <c r="GZ326" s="9"/>
      <c r="HA326" s="9"/>
      <c r="HB326" s="9"/>
      <c r="HC326" s="9"/>
      <c r="HD326" s="9"/>
      <c r="HE326" s="9"/>
      <c r="HF326" s="9"/>
      <c r="HG326" s="9"/>
      <c r="HH326" s="9"/>
      <c r="HI326" s="9"/>
      <c r="HJ326" s="9"/>
      <c r="HV326" s="50" t="s">
        <v>975</v>
      </c>
      <c r="HW326" s="50" t="s">
        <v>538</v>
      </c>
      <c r="HX326" t="s">
        <v>976</v>
      </c>
      <c r="HY326" s="12"/>
      <c r="HZ326" t="s">
        <v>971</v>
      </c>
      <c r="IA326" t="s">
        <v>972</v>
      </c>
      <c r="IH326" t="s">
        <v>975</v>
      </c>
      <c r="II326" t="s">
        <v>492</v>
      </c>
      <c r="JJ326" t="s">
        <v>959</v>
      </c>
      <c r="JK326" s="75" t="s">
        <v>494</v>
      </c>
      <c r="JL326" t="s">
        <v>495</v>
      </c>
      <c r="JM326" t="s">
        <v>960</v>
      </c>
      <c r="JN326" s="4" t="s">
        <v>961</v>
      </c>
      <c r="JO326" t="s">
        <v>962</v>
      </c>
      <c r="JP326" s="4"/>
      <c r="KI326" t="s">
        <v>963</v>
      </c>
      <c r="KJ326" t="s">
        <v>501</v>
      </c>
      <c r="KK326" s="8" t="s">
        <v>964</v>
      </c>
      <c r="KL326" s="4" t="s">
        <v>503</v>
      </c>
      <c r="KM326">
        <v>1</v>
      </c>
      <c r="MY326" t="s">
        <v>965</v>
      </c>
      <c r="MZ326">
        <v>27</v>
      </c>
      <c r="NA326" t="s">
        <v>966</v>
      </c>
      <c r="NB326" t="s">
        <v>538</v>
      </c>
      <c r="NJ326" t="s">
        <v>967</v>
      </c>
      <c r="NL326" s="4" t="s">
        <v>660</v>
      </c>
      <c r="NM326" t="s">
        <v>508</v>
      </c>
      <c r="NU326" t="s">
        <v>553</v>
      </c>
      <c r="NV326" t="s">
        <v>518</v>
      </c>
      <c r="NX326" s="2" t="s">
        <v>480</v>
      </c>
      <c r="OB326">
        <v>3</v>
      </c>
      <c r="OC326">
        <v>1370</v>
      </c>
      <c r="OD326" s="79" t="s">
        <v>480</v>
      </c>
      <c r="OU326" t="s">
        <v>968</v>
      </c>
      <c r="OW326">
        <v>2000</v>
      </c>
      <c r="PB326" t="s">
        <v>522</v>
      </c>
      <c r="PC326" s="50">
        <v>46104</v>
      </c>
    </row>
    <row r="327" spans="1:419" ht="15.75" thickBot="1">
      <c r="A327" t="s">
        <v>469</v>
      </c>
      <c r="B327" t="s">
        <v>949</v>
      </c>
      <c r="C327" t="s">
        <v>863</v>
      </c>
      <c r="D327" s="4" t="s">
        <v>950</v>
      </c>
      <c r="E327" s="81" t="s">
        <v>951</v>
      </c>
      <c r="F327" s="81" t="s">
        <v>952</v>
      </c>
      <c r="G327" t="s">
        <v>475</v>
      </c>
      <c r="H327" t="s">
        <v>476</v>
      </c>
      <c r="I327">
        <v>12.133333329999999</v>
      </c>
      <c r="J327">
        <v>8.5333333329999999</v>
      </c>
      <c r="K327">
        <v>150</v>
      </c>
      <c r="AV327" t="s">
        <v>953</v>
      </c>
      <c r="AW327">
        <v>27</v>
      </c>
      <c r="AX327" t="s">
        <v>480</v>
      </c>
      <c r="AY327">
        <v>1</v>
      </c>
      <c r="AZ327" t="s">
        <v>954</v>
      </c>
      <c r="BA327">
        <v>1999</v>
      </c>
      <c r="BB327">
        <v>2000</v>
      </c>
      <c r="BD327" t="s">
        <v>977</v>
      </c>
      <c r="BE327" t="s">
        <v>621</v>
      </c>
      <c r="BF327" s="3" t="s">
        <v>484</v>
      </c>
      <c r="BG327" t="s">
        <v>538</v>
      </c>
      <c r="BH327" t="s">
        <v>978</v>
      </c>
      <c r="BI327" t="s">
        <v>480</v>
      </c>
      <c r="BJ327" t="s">
        <v>480</v>
      </c>
      <c r="EG327" s="9"/>
      <c r="EH327" s="9"/>
      <c r="EI327" s="9"/>
      <c r="EJ327" s="9"/>
      <c r="EK327" s="9"/>
      <c r="EL327" s="9"/>
      <c r="EM327" s="9"/>
      <c r="EN327" s="9"/>
      <c r="EO327" s="9"/>
      <c r="EP327" s="9"/>
      <c r="EQ327" s="9"/>
      <c r="ER327" s="9"/>
      <c r="ES327" s="9"/>
      <c r="ET327" s="9"/>
      <c r="EU327" s="9"/>
      <c r="EV327" s="9"/>
      <c r="EW327" s="9"/>
      <c r="EX327" s="9"/>
      <c r="EY327" s="9"/>
      <c r="EZ327" s="9"/>
      <c r="FA327" s="9"/>
      <c r="FB327" s="9"/>
      <c r="FC327" s="9"/>
      <c r="FD327" s="9"/>
      <c r="FE327" s="9"/>
      <c r="FF327" s="9"/>
      <c r="FG327" s="9"/>
      <c r="FH327" s="9"/>
      <c r="FI327" s="9"/>
      <c r="FJ327" s="9"/>
      <c r="FK327" s="9"/>
      <c r="FL327" s="9"/>
      <c r="FM327" s="9"/>
      <c r="FN327" s="9"/>
      <c r="FO327" s="9"/>
      <c r="FP327" s="9"/>
      <c r="FQ327" s="9"/>
      <c r="FR327" s="9"/>
      <c r="FS327" s="9"/>
      <c r="FT327" s="9"/>
      <c r="FU327" s="9"/>
      <c r="FV327" s="9"/>
      <c r="FW327" s="9"/>
      <c r="FX327" s="9"/>
      <c r="FY327" s="9"/>
      <c r="FZ327" s="9"/>
      <c r="GA327" s="9"/>
      <c r="GB327" s="9"/>
      <c r="GC327" s="9"/>
      <c r="GD327" s="9"/>
      <c r="GE327" s="9"/>
      <c r="GF327" s="9"/>
      <c r="GG327" s="9"/>
      <c r="GH327" s="9"/>
      <c r="GI327" s="9"/>
      <c r="GJ327" s="9"/>
      <c r="GK327" s="9"/>
      <c r="GL327" s="9"/>
      <c r="GM327" s="9"/>
      <c r="GN327" s="9"/>
      <c r="GO327" s="9"/>
      <c r="GP327" s="9"/>
      <c r="GQ327" s="9"/>
      <c r="GR327" s="9"/>
      <c r="GS327" s="9"/>
      <c r="GT327" s="9"/>
      <c r="GU327" s="9"/>
      <c r="GV327" s="9"/>
      <c r="GW327" s="9"/>
      <c r="GX327" s="9"/>
      <c r="GY327" s="9"/>
      <c r="GZ327" s="9"/>
      <c r="HA327" s="9"/>
      <c r="HB327" s="9"/>
      <c r="HC327" s="9"/>
      <c r="HD327" s="9"/>
      <c r="HE327" s="9"/>
      <c r="HF327" s="9"/>
      <c r="HG327" s="9"/>
      <c r="HH327" s="9"/>
      <c r="HI327" s="9"/>
      <c r="HJ327" s="9"/>
      <c r="HV327" s="50" t="s">
        <v>977</v>
      </c>
      <c r="HW327" s="50" t="s">
        <v>538</v>
      </c>
      <c r="HX327" t="s">
        <v>978</v>
      </c>
      <c r="HY327" s="12"/>
      <c r="HZ327" t="s">
        <v>971</v>
      </c>
      <c r="IA327" t="s">
        <v>972</v>
      </c>
      <c r="IH327" t="s">
        <v>977</v>
      </c>
      <c r="II327" t="s">
        <v>492</v>
      </c>
      <c r="JJ327" t="s">
        <v>959</v>
      </c>
      <c r="JK327" s="75" t="s">
        <v>494</v>
      </c>
      <c r="JL327" t="s">
        <v>495</v>
      </c>
      <c r="JM327" t="s">
        <v>960</v>
      </c>
      <c r="JN327" s="4" t="s">
        <v>961</v>
      </c>
      <c r="JO327" t="s">
        <v>962</v>
      </c>
      <c r="JP327" s="4"/>
      <c r="KI327" t="s">
        <v>963</v>
      </c>
      <c r="KJ327" t="s">
        <v>501</v>
      </c>
      <c r="KK327" s="8" t="s">
        <v>964</v>
      </c>
      <c r="KL327" s="4" t="s">
        <v>503</v>
      </c>
      <c r="KM327">
        <v>1</v>
      </c>
      <c r="MY327" t="s">
        <v>965</v>
      </c>
      <c r="MZ327">
        <v>27</v>
      </c>
      <c r="NA327" t="s">
        <v>966</v>
      </c>
      <c r="NB327" t="s">
        <v>538</v>
      </c>
      <c r="NJ327" t="s">
        <v>967</v>
      </c>
      <c r="NL327" s="4" t="s">
        <v>660</v>
      </c>
      <c r="NM327" t="s">
        <v>508</v>
      </c>
      <c r="NU327" t="s">
        <v>607</v>
      </c>
      <c r="NV327" t="s">
        <v>518</v>
      </c>
      <c r="NX327" s="2" t="s">
        <v>480</v>
      </c>
      <c r="OB327">
        <v>3</v>
      </c>
      <c r="OC327">
        <v>554</v>
      </c>
      <c r="OD327" s="79" t="s">
        <v>480</v>
      </c>
      <c r="OU327" t="s">
        <v>968</v>
      </c>
      <c r="OW327">
        <v>2000</v>
      </c>
      <c r="PB327" t="s">
        <v>522</v>
      </c>
      <c r="PC327" s="50">
        <v>46104</v>
      </c>
    </row>
    <row r="328" spans="1:419" ht="15.75" thickBot="1">
      <c r="A328" t="s">
        <v>469</v>
      </c>
      <c r="B328" t="s">
        <v>949</v>
      </c>
      <c r="C328" t="s">
        <v>863</v>
      </c>
      <c r="D328" s="4" t="s">
        <v>950</v>
      </c>
      <c r="E328" s="81" t="s">
        <v>951</v>
      </c>
      <c r="F328" s="81" t="s">
        <v>952</v>
      </c>
      <c r="G328" t="s">
        <v>475</v>
      </c>
      <c r="H328" t="s">
        <v>476</v>
      </c>
      <c r="I328">
        <v>12.133333329999999</v>
      </c>
      <c r="J328">
        <v>8.5333333329999999</v>
      </c>
      <c r="K328">
        <v>150</v>
      </c>
      <c r="AV328" t="s">
        <v>953</v>
      </c>
      <c r="AW328">
        <v>27</v>
      </c>
      <c r="AX328" t="s">
        <v>480</v>
      </c>
      <c r="AY328">
        <v>1</v>
      </c>
      <c r="AZ328" t="s">
        <v>954</v>
      </c>
      <c r="BA328">
        <v>1999</v>
      </c>
      <c r="BB328">
        <v>2000</v>
      </c>
      <c r="BD328" t="s">
        <v>979</v>
      </c>
      <c r="BE328" t="s">
        <v>630</v>
      </c>
      <c r="BF328" s="3" t="s">
        <v>484</v>
      </c>
      <c r="BG328" t="s">
        <v>538</v>
      </c>
      <c r="BH328" t="s">
        <v>980</v>
      </c>
      <c r="BI328" t="s">
        <v>480</v>
      </c>
      <c r="BJ328" t="s">
        <v>480</v>
      </c>
      <c r="EG328" s="9"/>
      <c r="EH328" s="9"/>
      <c r="EI328" s="9"/>
      <c r="EJ328" s="9"/>
      <c r="EK328" s="9"/>
      <c r="EL328" s="9"/>
      <c r="EM328" s="9"/>
      <c r="EN328" s="9"/>
      <c r="EO328" s="9"/>
      <c r="EP328" s="9"/>
      <c r="EQ328" s="9"/>
      <c r="ER328" s="9"/>
      <c r="ES328" s="9"/>
      <c r="ET328" s="9"/>
      <c r="EU328" s="9"/>
      <c r="EV328" s="9"/>
      <c r="EW328" s="9"/>
      <c r="EX328" s="9"/>
      <c r="EY328" s="9"/>
      <c r="EZ328" s="9"/>
      <c r="FA328" s="9"/>
      <c r="FB328" s="9"/>
      <c r="FC328" s="9"/>
      <c r="FD328" s="9"/>
      <c r="FE328" s="9"/>
      <c r="FF328" s="9"/>
      <c r="FG328" s="9"/>
      <c r="FH328" s="9"/>
      <c r="FI328" s="9"/>
      <c r="FJ328" s="9"/>
      <c r="FK328" s="9"/>
      <c r="FL328" s="9"/>
      <c r="FM328" s="9"/>
      <c r="FN328" s="9"/>
      <c r="FO328" s="9"/>
      <c r="FP328" s="9"/>
      <c r="FQ328" s="9"/>
      <c r="FR328" s="9"/>
      <c r="FS328" s="9"/>
      <c r="FT328" s="9"/>
      <c r="FU328" s="9"/>
      <c r="FV328" s="9"/>
      <c r="FW328" s="9"/>
      <c r="FX328" s="9"/>
      <c r="FY328" s="9"/>
      <c r="FZ328" s="9"/>
      <c r="GA328" s="9"/>
      <c r="GB328" s="9"/>
      <c r="GC328" s="9"/>
      <c r="GD328" s="9"/>
      <c r="GE328" s="9"/>
      <c r="GF328" s="9"/>
      <c r="GG328" s="9"/>
      <c r="GH328" s="9"/>
      <c r="GI328" s="9"/>
      <c r="GJ328" s="9"/>
      <c r="GK328" s="9"/>
      <c r="GL328" s="9"/>
      <c r="GM328" s="9"/>
      <c r="GN328" s="9"/>
      <c r="GO328" s="9"/>
      <c r="GP328" s="9"/>
      <c r="GQ328" s="9"/>
      <c r="GR328" s="9"/>
      <c r="GS328" s="9"/>
      <c r="GT328" s="9"/>
      <c r="GU328" s="9"/>
      <c r="GV328" s="9"/>
      <c r="GW328" s="9"/>
      <c r="GX328" s="9"/>
      <c r="GY328" s="9"/>
      <c r="GZ328" s="9"/>
      <c r="HA328" s="9"/>
      <c r="HB328" s="9"/>
      <c r="HC328" s="9"/>
      <c r="HD328" s="9"/>
      <c r="HE328" s="9"/>
      <c r="HF328" s="9"/>
      <c r="HG328" s="9"/>
      <c r="HH328" s="9"/>
      <c r="HI328" s="9"/>
      <c r="HJ328" s="9"/>
      <c r="HV328" s="50" t="s">
        <v>979</v>
      </c>
      <c r="HW328" s="50" t="s">
        <v>538</v>
      </c>
      <c r="HX328" t="s">
        <v>980</v>
      </c>
      <c r="HY328" s="12"/>
      <c r="HZ328" t="s">
        <v>971</v>
      </c>
      <c r="IA328" t="s">
        <v>972</v>
      </c>
      <c r="IH328" t="s">
        <v>979</v>
      </c>
      <c r="II328" t="s">
        <v>492</v>
      </c>
      <c r="JJ328" t="s">
        <v>959</v>
      </c>
      <c r="JK328" s="75" t="s">
        <v>494</v>
      </c>
      <c r="JL328" t="s">
        <v>495</v>
      </c>
      <c r="JM328" t="s">
        <v>960</v>
      </c>
      <c r="JN328" s="4" t="s">
        <v>961</v>
      </c>
      <c r="JO328" t="s">
        <v>962</v>
      </c>
      <c r="JP328" s="4"/>
      <c r="KI328" t="s">
        <v>963</v>
      </c>
      <c r="KJ328" t="s">
        <v>501</v>
      </c>
      <c r="KK328" s="8" t="s">
        <v>964</v>
      </c>
      <c r="KL328" s="4" t="s">
        <v>503</v>
      </c>
      <c r="KM328">
        <v>1</v>
      </c>
      <c r="MY328" t="s">
        <v>965</v>
      </c>
      <c r="MZ328">
        <v>27</v>
      </c>
      <c r="NA328" t="s">
        <v>966</v>
      </c>
      <c r="NB328" t="s">
        <v>538</v>
      </c>
      <c r="NJ328" t="s">
        <v>967</v>
      </c>
      <c r="NL328" s="4" t="s">
        <v>660</v>
      </c>
      <c r="NM328" t="s">
        <v>508</v>
      </c>
      <c r="NU328" t="s">
        <v>611</v>
      </c>
      <c r="NV328" t="s">
        <v>518</v>
      </c>
      <c r="NX328" s="2" t="s">
        <v>480</v>
      </c>
      <c r="OB328">
        <v>3</v>
      </c>
      <c r="OC328">
        <v>1161</v>
      </c>
      <c r="OD328" s="79" t="s">
        <v>480</v>
      </c>
      <c r="OU328" t="s">
        <v>968</v>
      </c>
      <c r="OW328">
        <v>2000</v>
      </c>
      <c r="PB328" t="s">
        <v>522</v>
      </c>
      <c r="PC328" s="50">
        <v>46104</v>
      </c>
    </row>
    <row r="329" spans="1:419" ht="15.75" thickBot="1">
      <c r="A329" t="s">
        <v>469</v>
      </c>
      <c r="B329" t="s">
        <v>949</v>
      </c>
      <c r="C329" t="s">
        <v>863</v>
      </c>
      <c r="D329" s="4" t="s">
        <v>950</v>
      </c>
      <c r="E329" s="81" t="s">
        <v>951</v>
      </c>
      <c r="F329" s="81" t="s">
        <v>952</v>
      </c>
      <c r="G329" t="s">
        <v>475</v>
      </c>
      <c r="H329" t="s">
        <v>476</v>
      </c>
      <c r="I329">
        <v>12.133333329999999</v>
      </c>
      <c r="J329">
        <v>8.5333333329999999</v>
      </c>
      <c r="K329">
        <v>150</v>
      </c>
      <c r="AV329" t="s">
        <v>953</v>
      </c>
      <c r="AW329">
        <v>46.5</v>
      </c>
      <c r="AX329" t="s">
        <v>480</v>
      </c>
      <c r="AY329">
        <v>1</v>
      </c>
      <c r="AZ329" t="s">
        <v>954</v>
      </c>
      <c r="BA329">
        <v>1999</v>
      </c>
      <c r="BB329">
        <v>2000</v>
      </c>
      <c r="BD329" t="s">
        <v>981</v>
      </c>
      <c r="BE329" t="s">
        <v>536</v>
      </c>
      <c r="BF329" s="3" t="s">
        <v>484</v>
      </c>
      <c r="BG329" t="s">
        <v>538</v>
      </c>
      <c r="BH329" t="s">
        <v>956</v>
      </c>
      <c r="BI329" t="s">
        <v>480</v>
      </c>
      <c r="BJ329" t="s">
        <v>480</v>
      </c>
      <c r="BK329" t="s">
        <v>537</v>
      </c>
      <c r="BL329" t="s">
        <v>982</v>
      </c>
      <c r="BM329" t="s">
        <v>480</v>
      </c>
      <c r="BN329" t="s">
        <v>480</v>
      </c>
      <c r="BO329" t="s">
        <v>480</v>
      </c>
      <c r="EG329" s="9"/>
      <c r="EH329" s="9"/>
      <c r="EI329" s="9"/>
      <c r="EJ329" s="9"/>
      <c r="EK329" s="9"/>
      <c r="EL329" s="9"/>
      <c r="EM329" s="9"/>
      <c r="EN329" s="9"/>
      <c r="EO329" s="9"/>
      <c r="EP329" s="9"/>
      <c r="EQ329" s="9"/>
      <c r="ER329" s="9"/>
      <c r="ES329" s="9"/>
      <c r="ET329" s="9"/>
      <c r="EU329" s="9"/>
      <c r="EV329" s="9"/>
      <c r="EW329" s="9"/>
      <c r="EX329" s="9"/>
      <c r="EY329" s="9"/>
      <c r="EZ329" s="9"/>
      <c r="FA329" s="9"/>
      <c r="FB329" s="9"/>
      <c r="FC329" s="9"/>
      <c r="FD329" s="9"/>
      <c r="FE329" s="9"/>
      <c r="FF329" s="9"/>
      <c r="FG329" s="9"/>
      <c r="FH329" s="9"/>
      <c r="FI329" s="9"/>
      <c r="FJ329" s="9"/>
      <c r="FK329" s="9"/>
      <c r="FL329" s="9"/>
      <c r="FM329" s="9"/>
      <c r="FN329" s="9"/>
      <c r="FO329" s="9"/>
      <c r="FP329" s="9"/>
      <c r="FQ329" s="9"/>
      <c r="FR329" s="9"/>
      <c r="FS329" s="9"/>
      <c r="FT329" s="9"/>
      <c r="FU329" s="9"/>
      <c r="FV329" s="9"/>
      <c r="FW329" s="9"/>
      <c r="FX329" s="9"/>
      <c r="FY329" s="9"/>
      <c r="FZ329" s="9"/>
      <c r="GA329" s="9"/>
      <c r="GB329" s="9"/>
      <c r="GC329" s="9"/>
      <c r="GD329" s="9"/>
      <c r="GE329" s="9"/>
      <c r="GF329" s="9"/>
      <c r="GG329" s="9"/>
      <c r="GH329" s="9"/>
      <c r="GI329" s="9"/>
      <c r="GJ329" s="9"/>
      <c r="GK329" s="9"/>
      <c r="GL329" s="9"/>
      <c r="GM329" s="9"/>
      <c r="GN329" s="9"/>
      <c r="GO329" s="9"/>
      <c r="GP329" s="9"/>
      <c r="GQ329" s="9"/>
      <c r="GR329" s="9"/>
      <c r="GS329" s="9"/>
      <c r="GT329" s="9"/>
      <c r="GU329" s="9"/>
      <c r="GV329" s="9"/>
      <c r="GW329" s="9"/>
      <c r="GX329" s="9"/>
      <c r="GY329" s="9"/>
      <c r="GZ329" s="9"/>
      <c r="HA329" s="9"/>
      <c r="HB329" s="9"/>
      <c r="HC329" s="9"/>
      <c r="HD329" s="9"/>
      <c r="HE329" s="9"/>
      <c r="HF329" s="9"/>
      <c r="HG329" s="9"/>
      <c r="HH329" s="9"/>
      <c r="HI329" s="9"/>
      <c r="HJ329" s="9"/>
      <c r="HV329" s="50" t="s">
        <v>955</v>
      </c>
      <c r="HW329" t="s">
        <v>538</v>
      </c>
      <c r="HX329" t="s">
        <v>956</v>
      </c>
      <c r="HY329" s="12"/>
      <c r="HZ329" s="4" t="s">
        <v>957</v>
      </c>
      <c r="IA329" t="s">
        <v>958</v>
      </c>
      <c r="IH329" t="s">
        <v>981</v>
      </c>
      <c r="II329" s="75" t="s">
        <v>929</v>
      </c>
      <c r="IJ329" t="s">
        <v>983</v>
      </c>
      <c r="IK329" t="s">
        <v>543</v>
      </c>
      <c r="IL329" s="79">
        <v>1999</v>
      </c>
      <c r="IM329" s="79" t="s">
        <v>480</v>
      </c>
      <c r="IN329" s="78" t="s">
        <v>480</v>
      </c>
      <c r="JJ329" t="s">
        <v>959</v>
      </c>
      <c r="JK329" s="75" t="s">
        <v>494</v>
      </c>
      <c r="JL329" t="s">
        <v>495</v>
      </c>
      <c r="JM329" t="s">
        <v>960</v>
      </c>
      <c r="JN329" s="4" t="s">
        <v>961</v>
      </c>
      <c r="JO329" t="s">
        <v>962</v>
      </c>
      <c r="JP329" s="4"/>
      <c r="KI329" t="s">
        <v>963</v>
      </c>
      <c r="KJ329" t="s">
        <v>501</v>
      </c>
      <c r="KK329" s="8" t="s">
        <v>964</v>
      </c>
      <c r="KL329" s="4" t="s">
        <v>503</v>
      </c>
      <c r="KM329">
        <v>1</v>
      </c>
      <c r="MY329" t="s">
        <v>965</v>
      </c>
      <c r="MZ329">
        <v>46.5</v>
      </c>
      <c r="NA329" t="s">
        <v>966</v>
      </c>
      <c r="NB329" t="s">
        <v>538</v>
      </c>
      <c r="NC329" t="s">
        <v>982</v>
      </c>
      <c r="NJ329" t="s">
        <v>984</v>
      </c>
      <c r="NL329" s="4" t="s">
        <v>660</v>
      </c>
      <c r="NM329" t="s">
        <v>508</v>
      </c>
      <c r="NV329" t="s">
        <v>518</v>
      </c>
      <c r="NX329" s="2" t="s">
        <v>480</v>
      </c>
      <c r="OB329">
        <v>3</v>
      </c>
      <c r="OC329">
        <v>691</v>
      </c>
      <c r="OD329" s="79" t="s">
        <v>480</v>
      </c>
      <c r="OE329" s="79" t="s">
        <v>480</v>
      </c>
      <c r="OF329" s="79" t="s">
        <v>480</v>
      </c>
      <c r="OM329">
        <v>0.35</v>
      </c>
      <c r="ON329" s="2" t="s">
        <v>480</v>
      </c>
      <c r="OO329">
        <v>0.78</v>
      </c>
      <c r="OP329" s="2" t="s">
        <v>480</v>
      </c>
      <c r="OS329">
        <v>1.1299999999999999</v>
      </c>
      <c r="OT329" s="2" t="s">
        <v>480</v>
      </c>
      <c r="OU329" t="s">
        <v>985</v>
      </c>
      <c r="OW329">
        <v>2000</v>
      </c>
      <c r="PB329" t="s">
        <v>522</v>
      </c>
      <c r="PC329" s="50">
        <v>46104</v>
      </c>
    </row>
    <row r="330" spans="1:419" ht="15.75" thickBot="1">
      <c r="A330" t="s">
        <v>469</v>
      </c>
      <c r="B330" t="s">
        <v>949</v>
      </c>
      <c r="C330" t="s">
        <v>863</v>
      </c>
      <c r="D330" s="4" t="s">
        <v>950</v>
      </c>
      <c r="E330" s="81" t="s">
        <v>951</v>
      </c>
      <c r="F330" s="81" t="s">
        <v>952</v>
      </c>
      <c r="G330" t="s">
        <v>475</v>
      </c>
      <c r="H330" t="s">
        <v>476</v>
      </c>
      <c r="I330">
        <v>12.133333329999999</v>
      </c>
      <c r="J330">
        <v>8.5333333329999999</v>
      </c>
      <c r="K330">
        <v>150</v>
      </c>
      <c r="AV330" t="s">
        <v>953</v>
      </c>
      <c r="AW330">
        <v>46.5</v>
      </c>
      <c r="AX330" t="s">
        <v>480</v>
      </c>
      <c r="AY330">
        <v>1</v>
      </c>
      <c r="AZ330" t="s">
        <v>954</v>
      </c>
      <c r="BA330">
        <v>1999</v>
      </c>
      <c r="BB330">
        <v>2000</v>
      </c>
      <c r="BD330" t="s">
        <v>986</v>
      </c>
      <c r="BE330" t="s">
        <v>566</v>
      </c>
      <c r="BF330" s="3" t="s">
        <v>484</v>
      </c>
      <c r="BG330" t="s">
        <v>538</v>
      </c>
      <c r="BH330" t="s">
        <v>970</v>
      </c>
      <c r="BI330" t="s">
        <v>480</v>
      </c>
      <c r="BJ330" t="s">
        <v>480</v>
      </c>
      <c r="BK330" t="s">
        <v>537</v>
      </c>
      <c r="BL330" t="s">
        <v>982</v>
      </c>
      <c r="BM330" t="s">
        <v>480</v>
      </c>
      <c r="BN330" t="s">
        <v>480</v>
      </c>
      <c r="BO330" t="s">
        <v>480</v>
      </c>
      <c r="EG330" s="9"/>
      <c r="EH330" s="9"/>
      <c r="EI330" s="9"/>
      <c r="EJ330" s="9"/>
      <c r="EK330" s="9"/>
      <c r="EL330" s="9"/>
      <c r="EM330" s="9"/>
      <c r="EN330" s="9"/>
      <c r="EO330" s="9"/>
      <c r="EP330" s="9"/>
      <c r="EQ330" s="9"/>
      <c r="ER330" s="9"/>
      <c r="ES330" s="9"/>
      <c r="ET330" s="9"/>
      <c r="EU330" s="9"/>
      <c r="EV330" s="9"/>
      <c r="EW330" s="9"/>
      <c r="EX330" s="9"/>
      <c r="EY330" s="9"/>
      <c r="EZ330" s="9"/>
      <c r="FA330" s="9"/>
      <c r="FB330" s="9"/>
      <c r="FC330" s="9"/>
      <c r="FD330" s="9"/>
      <c r="FE330" s="9"/>
      <c r="FF330" s="9"/>
      <c r="FG330" s="9"/>
      <c r="FH330" s="9"/>
      <c r="FI330" s="9"/>
      <c r="FJ330" s="9"/>
      <c r="FK330" s="9"/>
      <c r="FL330" s="9"/>
      <c r="FM330" s="9"/>
      <c r="FN330" s="9"/>
      <c r="FO330" s="9"/>
      <c r="FP330" s="9"/>
      <c r="FQ330" s="9"/>
      <c r="FR330" s="9"/>
      <c r="FS330" s="9"/>
      <c r="FT330" s="9"/>
      <c r="FU330" s="9"/>
      <c r="FV330" s="9"/>
      <c r="FW330" s="9"/>
      <c r="FX330" s="9"/>
      <c r="FY330" s="9"/>
      <c r="FZ330" s="9"/>
      <c r="GA330" s="9"/>
      <c r="GB330" s="9"/>
      <c r="GC330" s="9"/>
      <c r="GD330" s="9"/>
      <c r="GE330" s="9"/>
      <c r="GF330" s="9"/>
      <c r="GG330" s="9"/>
      <c r="GH330" s="9"/>
      <c r="GI330" s="9"/>
      <c r="GJ330" s="9"/>
      <c r="GK330" s="9"/>
      <c r="GL330" s="9"/>
      <c r="GM330" s="9"/>
      <c r="GN330" s="9"/>
      <c r="GO330" s="9"/>
      <c r="GP330" s="9"/>
      <c r="GQ330" s="9"/>
      <c r="GR330" s="9"/>
      <c r="GS330" s="9"/>
      <c r="GT330" s="9"/>
      <c r="GU330" s="9"/>
      <c r="GV330" s="9"/>
      <c r="GW330" s="9"/>
      <c r="GX330" s="9"/>
      <c r="GY330" s="9"/>
      <c r="GZ330" s="9"/>
      <c r="HA330" s="9"/>
      <c r="HB330" s="9"/>
      <c r="HC330" s="9"/>
      <c r="HD330" s="9"/>
      <c r="HE330" s="9"/>
      <c r="HF330" s="9"/>
      <c r="HG330" s="9"/>
      <c r="HH330" s="9"/>
      <c r="HI330" s="9"/>
      <c r="HJ330" s="9"/>
      <c r="HV330" s="50" t="s">
        <v>969</v>
      </c>
      <c r="HW330" s="50" t="s">
        <v>538</v>
      </c>
      <c r="HX330" t="s">
        <v>970</v>
      </c>
      <c r="HY330" s="12"/>
      <c r="HZ330" t="s">
        <v>971</v>
      </c>
      <c r="IA330" t="s">
        <v>972</v>
      </c>
      <c r="IH330" t="s">
        <v>986</v>
      </c>
      <c r="II330" s="75" t="s">
        <v>929</v>
      </c>
      <c r="IJ330" t="s">
        <v>983</v>
      </c>
      <c r="IK330" t="s">
        <v>543</v>
      </c>
      <c r="IL330" s="79">
        <v>1999</v>
      </c>
      <c r="IM330" s="78" t="s">
        <v>480</v>
      </c>
      <c r="IN330" s="78" t="s">
        <v>480</v>
      </c>
      <c r="JJ330" t="s">
        <v>959</v>
      </c>
      <c r="JK330" s="75" t="s">
        <v>494</v>
      </c>
      <c r="JL330" t="s">
        <v>495</v>
      </c>
      <c r="JM330" t="s">
        <v>960</v>
      </c>
      <c r="JN330" s="4" t="s">
        <v>961</v>
      </c>
      <c r="JO330" t="s">
        <v>962</v>
      </c>
      <c r="JP330" s="4"/>
      <c r="KI330" t="s">
        <v>963</v>
      </c>
      <c r="KJ330" t="s">
        <v>501</v>
      </c>
      <c r="KK330" s="8" t="s">
        <v>964</v>
      </c>
      <c r="KL330" s="4" t="s">
        <v>503</v>
      </c>
      <c r="KM330">
        <v>1</v>
      </c>
      <c r="MY330" t="s">
        <v>965</v>
      </c>
      <c r="MZ330">
        <v>46.5</v>
      </c>
      <c r="NA330" t="s">
        <v>966</v>
      </c>
      <c r="NB330" t="s">
        <v>538</v>
      </c>
      <c r="NC330" t="s">
        <v>982</v>
      </c>
      <c r="NJ330" t="s">
        <v>984</v>
      </c>
      <c r="NL330" s="4" t="s">
        <v>660</v>
      </c>
      <c r="NM330" t="s">
        <v>508</v>
      </c>
      <c r="NV330" t="s">
        <v>518</v>
      </c>
      <c r="NX330" s="2" t="s">
        <v>480</v>
      </c>
      <c r="OB330">
        <v>3</v>
      </c>
      <c r="OC330">
        <v>1019</v>
      </c>
      <c r="OD330" s="79" t="s">
        <v>480</v>
      </c>
      <c r="OE330" s="79" t="s">
        <v>480</v>
      </c>
      <c r="OF330" s="79" t="s">
        <v>480</v>
      </c>
      <c r="OM330">
        <v>0.51</v>
      </c>
      <c r="ON330" s="2" t="s">
        <v>480</v>
      </c>
      <c r="OO330">
        <v>0.85</v>
      </c>
      <c r="OP330" s="2" t="s">
        <v>480</v>
      </c>
      <c r="OS330">
        <v>1.37</v>
      </c>
      <c r="OT330" s="2" t="s">
        <v>480</v>
      </c>
      <c r="OU330" t="s">
        <v>985</v>
      </c>
      <c r="OW330">
        <v>2000</v>
      </c>
      <c r="PB330" t="s">
        <v>522</v>
      </c>
      <c r="PC330" s="50">
        <v>46104</v>
      </c>
    </row>
    <row r="331" spans="1:419" ht="15.75" thickBot="1">
      <c r="A331" t="s">
        <v>469</v>
      </c>
      <c r="B331" t="s">
        <v>949</v>
      </c>
      <c r="C331" t="s">
        <v>863</v>
      </c>
      <c r="D331" s="4" t="s">
        <v>950</v>
      </c>
      <c r="E331" s="81" t="s">
        <v>951</v>
      </c>
      <c r="F331" s="81" t="s">
        <v>952</v>
      </c>
      <c r="G331" t="s">
        <v>475</v>
      </c>
      <c r="H331" t="s">
        <v>476</v>
      </c>
      <c r="I331">
        <v>12.133333329999999</v>
      </c>
      <c r="J331">
        <v>8.5333333329999999</v>
      </c>
      <c r="K331">
        <v>150</v>
      </c>
      <c r="AV331" t="s">
        <v>953</v>
      </c>
      <c r="AW331">
        <v>46.5</v>
      </c>
      <c r="AX331" t="s">
        <v>480</v>
      </c>
      <c r="AY331">
        <v>1</v>
      </c>
      <c r="AZ331" t="s">
        <v>954</v>
      </c>
      <c r="BA331">
        <v>1999</v>
      </c>
      <c r="BB331">
        <v>2000</v>
      </c>
      <c r="BD331" t="s">
        <v>987</v>
      </c>
      <c r="BE331" t="s">
        <v>572</v>
      </c>
      <c r="BF331" s="3" t="s">
        <v>484</v>
      </c>
      <c r="BG331" t="s">
        <v>538</v>
      </c>
      <c r="BH331" t="s">
        <v>974</v>
      </c>
      <c r="BI331" t="s">
        <v>480</v>
      </c>
      <c r="BJ331" t="s">
        <v>480</v>
      </c>
      <c r="BK331" t="s">
        <v>537</v>
      </c>
      <c r="BL331" t="s">
        <v>982</v>
      </c>
      <c r="BM331" t="s">
        <v>480</v>
      </c>
      <c r="BN331" t="s">
        <v>480</v>
      </c>
      <c r="BO331" t="s">
        <v>480</v>
      </c>
      <c r="EG331" s="9"/>
      <c r="EH331" s="9"/>
      <c r="EI331" s="9"/>
      <c r="EJ331" s="9"/>
      <c r="EK331" s="9"/>
      <c r="EL331" s="9"/>
      <c r="EM331" s="9"/>
      <c r="EN331" s="9"/>
      <c r="EO331" s="9"/>
      <c r="EP331" s="9"/>
      <c r="EQ331" s="9"/>
      <c r="ER331" s="9"/>
      <c r="ES331" s="9"/>
      <c r="ET331" s="9"/>
      <c r="EU331" s="9"/>
      <c r="EV331" s="9"/>
      <c r="EW331" s="9"/>
      <c r="EX331" s="9"/>
      <c r="EY331" s="9"/>
      <c r="EZ331" s="9"/>
      <c r="FA331" s="9"/>
      <c r="FB331" s="9"/>
      <c r="FC331" s="9"/>
      <c r="FD331" s="9"/>
      <c r="FE331" s="9"/>
      <c r="FF331" s="9"/>
      <c r="FG331" s="9"/>
      <c r="FH331" s="9"/>
      <c r="FI331" s="9"/>
      <c r="FJ331" s="9"/>
      <c r="FK331" s="9"/>
      <c r="FL331" s="9"/>
      <c r="FM331" s="9"/>
      <c r="FN331" s="9"/>
      <c r="FO331" s="9"/>
      <c r="FP331" s="9"/>
      <c r="FQ331" s="9"/>
      <c r="FR331" s="9"/>
      <c r="FS331" s="9"/>
      <c r="FT331" s="9"/>
      <c r="FU331" s="9"/>
      <c r="FV331" s="9"/>
      <c r="FW331" s="9"/>
      <c r="FX331" s="9"/>
      <c r="FY331" s="9"/>
      <c r="FZ331" s="9"/>
      <c r="GA331" s="9"/>
      <c r="GB331" s="9"/>
      <c r="GC331" s="9"/>
      <c r="GD331" s="9"/>
      <c r="GE331" s="9"/>
      <c r="GF331" s="9"/>
      <c r="GG331" s="9"/>
      <c r="GH331" s="9"/>
      <c r="GI331" s="9"/>
      <c r="GJ331" s="9"/>
      <c r="GK331" s="9"/>
      <c r="GL331" s="9"/>
      <c r="GM331" s="9"/>
      <c r="GN331" s="9"/>
      <c r="GO331" s="9"/>
      <c r="GP331" s="9"/>
      <c r="GQ331" s="9"/>
      <c r="GR331" s="9"/>
      <c r="GS331" s="9"/>
      <c r="GT331" s="9"/>
      <c r="GU331" s="9"/>
      <c r="GV331" s="9"/>
      <c r="GW331" s="9"/>
      <c r="GX331" s="9"/>
      <c r="GY331" s="9"/>
      <c r="GZ331" s="9"/>
      <c r="HA331" s="9"/>
      <c r="HB331" s="9"/>
      <c r="HC331" s="9"/>
      <c r="HD331" s="9"/>
      <c r="HE331" s="9"/>
      <c r="HF331" s="9"/>
      <c r="HG331" s="9"/>
      <c r="HH331" s="9"/>
      <c r="HI331" s="9"/>
      <c r="HJ331" s="9"/>
      <c r="HV331" s="50" t="s">
        <v>973</v>
      </c>
      <c r="HW331" s="50" t="s">
        <v>538</v>
      </c>
      <c r="HX331" t="s">
        <v>974</v>
      </c>
      <c r="HY331" s="12"/>
      <c r="HZ331" t="s">
        <v>971</v>
      </c>
      <c r="IA331" t="s">
        <v>972</v>
      </c>
      <c r="IH331" t="s">
        <v>987</v>
      </c>
      <c r="II331" s="75" t="s">
        <v>929</v>
      </c>
      <c r="IJ331" t="s">
        <v>983</v>
      </c>
      <c r="IK331" t="s">
        <v>543</v>
      </c>
      <c r="IL331" s="79">
        <v>1999</v>
      </c>
      <c r="IM331" s="79" t="s">
        <v>480</v>
      </c>
      <c r="IN331" s="78" t="s">
        <v>480</v>
      </c>
      <c r="JJ331" t="s">
        <v>959</v>
      </c>
      <c r="JK331" s="75" t="s">
        <v>494</v>
      </c>
      <c r="JL331" t="s">
        <v>495</v>
      </c>
      <c r="JM331" t="s">
        <v>960</v>
      </c>
      <c r="JN331" s="4" t="s">
        <v>961</v>
      </c>
      <c r="JO331" t="s">
        <v>962</v>
      </c>
      <c r="JP331" s="4"/>
      <c r="KI331" t="s">
        <v>963</v>
      </c>
      <c r="KJ331" t="s">
        <v>501</v>
      </c>
      <c r="KK331" s="8" t="s">
        <v>964</v>
      </c>
      <c r="KL331" s="4" t="s">
        <v>503</v>
      </c>
      <c r="KM331">
        <v>1</v>
      </c>
      <c r="MY331" t="s">
        <v>965</v>
      </c>
      <c r="MZ331">
        <v>46.5</v>
      </c>
      <c r="NA331" t="s">
        <v>966</v>
      </c>
      <c r="NB331" t="s">
        <v>538</v>
      </c>
      <c r="NC331" t="s">
        <v>982</v>
      </c>
      <c r="NJ331" t="s">
        <v>984</v>
      </c>
      <c r="NL331" s="4" t="s">
        <v>660</v>
      </c>
      <c r="NM331" t="s">
        <v>508</v>
      </c>
      <c r="NV331" t="s">
        <v>518</v>
      </c>
      <c r="NX331" s="2" t="s">
        <v>480</v>
      </c>
      <c r="OB331">
        <v>3</v>
      </c>
      <c r="OC331">
        <v>795</v>
      </c>
      <c r="OD331" s="79" t="s">
        <v>480</v>
      </c>
      <c r="OE331" s="79" t="s">
        <v>480</v>
      </c>
      <c r="OF331" s="79" t="s">
        <v>480</v>
      </c>
      <c r="OM331">
        <v>0.4</v>
      </c>
      <c r="ON331" s="2" t="s">
        <v>480</v>
      </c>
      <c r="OO331">
        <v>0.86</v>
      </c>
      <c r="OP331" s="2" t="s">
        <v>480</v>
      </c>
      <c r="OS331">
        <v>1.26</v>
      </c>
      <c r="OT331" s="2" t="s">
        <v>480</v>
      </c>
      <c r="OU331" t="s">
        <v>985</v>
      </c>
      <c r="OW331">
        <v>2000</v>
      </c>
      <c r="PB331" t="s">
        <v>522</v>
      </c>
      <c r="PC331" s="50">
        <v>46104</v>
      </c>
    </row>
    <row r="332" spans="1:419" ht="15.75" thickBot="1">
      <c r="A332" t="s">
        <v>469</v>
      </c>
      <c r="B332" t="s">
        <v>949</v>
      </c>
      <c r="C332" t="s">
        <v>863</v>
      </c>
      <c r="D332" s="4" t="s">
        <v>950</v>
      </c>
      <c r="E332" s="81" t="s">
        <v>951</v>
      </c>
      <c r="F332" s="81" t="s">
        <v>952</v>
      </c>
      <c r="G332" t="s">
        <v>475</v>
      </c>
      <c r="H332" t="s">
        <v>476</v>
      </c>
      <c r="I332">
        <v>12.133333329999999</v>
      </c>
      <c r="J332">
        <v>8.5333333329999999</v>
      </c>
      <c r="K332">
        <v>150</v>
      </c>
      <c r="AV332" t="s">
        <v>953</v>
      </c>
      <c r="AW332">
        <v>46.5</v>
      </c>
      <c r="AX332" t="s">
        <v>480</v>
      </c>
      <c r="AY332">
        <v>1</v>
      </c>
      <c r="AZ332" t="s">
        <v>954</v>
      </c>
      <c r="BA332">
        <v>1999</v>
      </c>
      <c r="BB332">
        <v>2000</v>
      </c>
      <c r="BD332" t="s">
        <v>988</v>
      </c>
      <c r="BE332" t="s">
        <v>553</v>
      </c>
      <c r="BF332" s="3" t="s">
        <v>484</v>
      </c>
      <c r="BG332" t="s">
        <v>538</v>
      </c>
      <c r="BH332" t="s">
        <v>976</v>
      </c>
      <c r="BI332" t="s">
        <v>480</v>
      </c>
      <c r="BJ332" t="s">
        <v>480</v>
      </c>
      <c r="BK332" t="s">
        <v>537</v>
      </c>
      <c r="BL332" t="s">
        <v>982</v>
      </c>
      <c r="BM332" t="s">
        <v>480</v>
      </c>
      <c r="BN332" t="s">
        <v>480</v>
      </c>
      <c r="BO332" t="s">
        <v>480</v>
      </c>
      <c r="EG332" s="9"/>
      <c r="EH332" s="9"/>
      <c r="EI332" s="9"/>
      <c r="EJ332" s="9"/>
      <c r="EK332" s="9"/>
      <c r="EL332" s="9"/>
      <c r="EM332" s="9"/>
      <c r="EN332" s="9"/>
      <c r="EO332" s="9"/>
      <c r="EP332" s="9"/>
      <c r="EQ332" s="9"/>
      <c r="ER332" s="9"/>
      <c r="ES332" s="9"/>
      <c r="ET332" s="9"/>
      <c r="EU332" s="9"/>
      <c r="EV332" s="9"/>
      <c r="EW332" s="9"/>
      <c r="EX332" s="9"/>
      <c r="EY332" s="9"/>
      <c r="EZ332" s="9"/>
      <c r="FA332" s="9"/>
      <c r="FB332" s="9"/>
      <c r="FC332" s="9"/>
      <c r="FD332" s="9"/>
      <c r="FE332" s="9"/>
      <c r="FF332" s="9"/>
      <c r="FG332" s="9"/>
      <c r="FH332" s="9"/>
      <c r="FI332" s="9"/>
      <c r="FJ332" s="9"/>
      <c r="FK332" s="9"/>
      <c r="FL332" s="9"/>
      <c r="FM332" s="9"/>
      <c r="FN332" s="9"/>
      <c r="FO332" s="9"/>
      <c r="FP332" s="9"/>
      <c r="FQ332" s="9"/>
      <c r="FR332" s="9"/>
      <c r="FS332" s="9"/>
      <c r="FT332" s="9"/>
      <c r="FU332" s="9"/>
      <c r="FV332" s="9"/>
      <c r="FW332" s="9"/>
      <c r="FX332" s="9"/>
      <c r="FY332" s="9"/>
      <c r="FZ332" s="9"/>
      <c r="GA332" s="9"/>
      <c r="GB332" s="9"/>
      <c r="GC332" s="9"/>
      <c r="GD332" s="9"/>
      <c r="GE332" s="9"/>
      <c r="GF332" s="9"/>
      <c r="GG332" s="9"/>
      <c r="GH332" s="9"/>
      <c r="GI332" s="9"/>
      <c r="GJ332" s="9"/>
      <c r="GK332" s="9"/>
      <c r="GL332" s="9"/>
      <c r="GM332" s="9"/>
      <c r="GN332" s="9"/>
      <c r="GO332" s="9"/>
      <c r="GP332" s="9"/>
      <c r="GQ332" s="9"/>
      <c r="GR332" s="9"/>
      <c r="GS332" s="9"/>
      <c r="GT332" s="9"/>
      <c r="GU332" s="9"/>
      <c r="GV332" s="9"/>
      <c r="GW332" s="9"/>
      <c r="GX332" s="9"/>
      <c r="GY332" s="9"/>
      <c r="GZ332" s="9"/>
      <c r="HA332" s="9"/>
      <c r="HB332" s="9"/>
      <c r="HC332" s="9"/>
      <c r="HD332" s="9"/>
      <c r="HE332" s="9"/>
      <c r="HF332" s="9"/>
      <c r="HG332" s="9"/>
      <c r="HH332" s="9"/>
      <c r="HI332" s="9"/>
      <c r="HJ332" s="9"/>
      <c r="HV332" s="50" t="s">
        <v>975</v>
      </c>
      <c r="HW332" s="50" t="s">
        <v>538</v>
      </c>
      <c r="HX332" t="s">
        <v>976</v>
      </c>
      <c r="HY332" s="12"/>
      <c r="HZ332" t="s">
        <v>971</v>
      </c>
      <c r="IA332" t="s">
        <v>972</v>
      </c>
      <c r="IH332" t="s">
        <v>988</v>
      </c>
      <c r="II332" s="75" t="s">
        <v>929</v>
      </c>
      <c r="IJ332" t="s">
        <v>983</v>
      </c>
      <c r="IK332" t="s">
        <v>543</v>
      </c>
      <c r="IL332" s="79">
        <v>1999</v>
      </c>
      <c r="IM332" s="78" t="s">
        <v>480</v>
      </c>
      <c r="IN332" s="78" t="s">
        <v>480</v>
      </c>
      <c r="JJ332" t="s">
        <v>959</v>
      </c>
      <c r="JK332" s="75" t="s">
        <v>494</v>
      </c>
      <c r="JL332" t="s">
        <v>495</v>
      </c>
      <c r="JM332" t="s">
        <v>960</v>
      </c>
      <c r="JN332" s="4" t="s">
        <v>961</v>
      </c>
      <c r="JO332" t="s">
        <v>962</v>
      </c>
      <c r="JP332" s="4"/>
      <c r="KI332" t="s">
        <v>963</v>
      </c>
      <c r="KJ332" t="s">
        <v>501</v>
      </c>
      <c r="KK332" s="8" t="s">
        <v>964</v>
      </c>
      <c r="KL332" s="4" t="s">
        <v>503</v>
      </c>
      <c r="KM332">
        <v>1</v>
      </c>
      <c r="MY332" t="s">
        <v>965</v>
      </c>
      <c r="MZ332">
        <v>46.5</v>
      </c>
      <c r="NA332" t="s">
        <v>966</v>
      </c>
      <c r="NB332" t="s">
        <v>538</v>
      </c>
      <c r="NC332" t="s">
        <v>982</v>
      </c>
      <c r="NJ332" t="s">
        <v>984</v>
      </c>
      <c r="NL332" s="4" t="s">
        <v>660</v>
      </c>
      <c r="NM332" t="s">
        <v>508</v>
      </c>
      <c r="NV332" t="s">
        <v>518</v>
      </c>
      <c r="NX332" s="2" t="s">
        <v>480</v>
      </c>
      <c r="OB332">
        <v>3</v>
      </c>
      <c r="OC332">
        <v>765</v>
      </c>
      <c r="OD332" s="79" t="s">
        <v>480</v>
      </c>
      <c r="OE332" s="79" t="s">
        <v>480</v>
      </c>
      <c r="OF332" s="79" t="s">
        <v>480</v>
      </c>
      <c r="OM332">
        <v>0.39</v>
      </c>
      <c r="ON332" s="2" t="s">
        <v>480</v>
      </c>
      <c r="OO332">
        <v>0.82</v>
      </c>
      <c r="OP332" s="2" t="s">
        <v>480</v>
      </c>
      <c r="OS332">
        <v>1.21</v>
      </c>
      <c r="OT332" s="2" t="s">
        <v>480</v>
      </c>
      <c r="OU332" t="s">
        <v>985</v>
      </c>
      <c r="OW332">
        <v>2000</v>
      </c>
      <c r="PB332" t="s">
        <v>522</v>
      </c>
      <c r="PC332" s="50">
        <v>46104</v>
      </c>
    </row>
    <row r="333" spans="1:419" ht="15.75" thickBot="1">
      <c r="A333" t="s">
        <v>469</v>
      </c>
      <c r="B333" t="s">
        <v>949</v>
      </c>
      <c r="C333" t="s">
        <v>863</v>
      </c>
      <c r="D333" s="4" t="s">
        <v>950</v>
      </c>
      <c r="E333" s="81" t="s">
        <v>951</v>
      </c>
      <c r="F333" s="81" t="s">
        <v>952</v>
      </c>
      <c r="G333" t="s">
        <v>475</v>
      </c>
      <c r="H333" t="s">
        <v>476</v>
      </c>
      <c r="I333">
        <v>12.133333329999999</v>
      </c>
      <c r="J333">
        <v>8.5333333329999999</v>
      </c>
      <c r="K333">
        <v>150</v>
      </c>
      <c r="AV333" t="s">
        <v>953</v>
      </c>
      <c r="AW333">
        <v>46.5</v>
      </c>
      <c r="AX333" t="s">
        <v>480</v>
      </c>
      <c r="AY333">
        <v>1</v>
      </c>
      <c r="AZ333" t="s">
        <v>954</v>
      </c>
      <c r="BA333">
        <v>1999</v>
      </c>
      <c r="BB333">
        <v>2000</v>
      </c>
      <c r="BD333" t="s">
        <v>989</v>
      </c>
      <c r="BE333" t="s">
        <v>607</v>
      </c>
      <c r="BF333" s="3" t="s">
        <v>484</v>
      </c>
      <c r="BG333" t="s">
        <v>538</v>
      </c>
      <c r="BH333" t="s">
        <v>978</v>
      </c>
      <c r="BI333" t="s">
        <v>480</v>
      </c>
      <c r="BJ333" t="s">
        <v>480</v>
      </c>
      <c r="BK333" t="s">
        <v>537</v>
      </c>
      <c r="BL333" t="s">
        <v>982</v>
      </c>
      <c r="BM333" t="s">
        <v>480</v>
      </c>
      <c r="BN333" t="s">
        <v>480</v>
      </c>
      <c r="BO333" t="s">
        <v>480</v>
      </c>
      <c r="EG333" s="9"/>
      <c r="EH333" s="9"/>
      <c r="EI333" s="9"/>
      <c r="EJ333" s="9"/>
      <c r="EK333" s="9"/>
      <c r="EL333" s="9"/>
      <c r="EM333" s="9"/>
      <c r="EN333" s="9"/>
      <c r="EO333" s="9"/>
      <c r="EP333" s="9"/>
      <c r="EQ333" s="9"/>
      <c r="ER333" s="9"/>
      <c r="ES333" s="9"/>
      <c r="ET333" s="9"/>
      <c r="EU333" s="9"/>
      <c r="EV333" s="9"/>
      <c r="EW333" s="9"/>
      <c r="EX333" s="9"/>
      <c r="EY333" s="9"/>
      <c r="EZ333" s="9"/>
      <c r="FA333" s="9"/>
      <c r="FB333" s="9"/>
      <c r="FC333" s="9"/>
      <c r="FD333" s="9"/>
      <c r="FE333" s="9"/>
      <c r="FF333" s="9"/>
      <c r="FG333" s="9"/>
      <c r="FH333" s="9"/>
      <c r="FI333" s="9"/>
      <c r="FJ333" s="9"/>
      <c r="FK333" s="9"/>
      <c r="FL333" s="9"/>
      <c r="FM333" s="9"/>
      <c r="FN333" s="9"/>
      <c r="FO333" s="9"/>
      <c r="FP333" s="9"/>
      <c r="FQ333" s="9"/>
      <c r="FR333" s="9"/>
      <c r="FS333" s="9"/>
      <c r="FT333" s="9"/>
      <c r="FU333" s="9"/>
      <c r="FV333" s="9"/>
      <c r="FW333" s="9"/>
      <c r="FX333" s="9"/>
      <c r="FY333" s="9"/>
      <c r="FZ333" s="9"/>
      <c r="GA333" s="9"/>
      <c r="GB333" s="9"/>
      <c r="GC333" s="9"/>
      <c r="GD333" s="9"/>
      <c r="GE333" s="9"/>
      <c r="GF333" s="9"/>
      <c r="GG333" s="9"/>
      <c r="GH333" s="9"/>
      <c r="GI333" s="9"/>
      <c r="GJ333" s="9"/>
      <c r="GK333" s="9"/>
      <c r="GL333" s="9"/>
      <c r="GM333" s="9"/>
      <c r="GN333" s="9"/>
      <c r="GO333" s="9"/>
      <c r="GP333" s="9"/>
      <c r="GQ333" s="9"/>
      <c r="GR333" s="9"/>
      <c r="GS333" s="9"/>
      <c r="GT333" s="9"/>
      <c r="GU333" s="9"/>
      <c r="GV333" s="9"/>
      <c r="GW333" s="9"/>
      <c r="GX333" s="9"/>
      <c r="GY333" s="9"/>
      <c r="GZ333" s="9"/>
      <c r="HA333" s="9"/>
      <c r="HB333" s="9"/>
      <c r="HC333" s="9"/>
      <c r="HD333" s="9"/>
      <c r="HE333" s="9"/>
      <c r="HF333" s="9"/>
      <c r="HG333" s="9"/>
      <c r="HH333" s="9"/>
      <c r="HI333" s="9"/>
      <c r="HJ333" s="9"/>
      <c r="HV333" s="50" t="s">
        <v>977</v>
      </c>
      <c r="HW333" s="50" t="s">
        <v>538</v>
      </c>
      <c r="HX333" t="s">
        <v>978</v>
      </c>
      <c r="HY333" s="12"/>
      <c r="HZ333" t="s">
        <v>971</v>
      </c>
      <c r="IA333" t="s">
        <v>972</v>
      </c>
      <c r="IH333" t="s">
        <v>989</v>
      </c>
      <c r="II333" s="75" t="s">
        <v>929</v>
      </c>
      <c r="IJ333" t="s">
        <v>983</v>
      </c>
      <c r="IK333" t="s">
        <v>543</v>
      </c>
      <c r="IL333" s="79">
        <v>1999</v>
      </c>
      <c r="IM333" s="79" t="s">
        <v>480</v>
      </c>
      <c r="IN333" s="78" t="s">
        <v>480</v>
      </c>
      <c r="JJ333" t="s">
        <v>959</v>
      </c>
      <c r="JK333" s="75" t="s">
        <v>494</v>
      </c>
      <c r="JL333" t="s">
        <v>495</v>
      </c>
      <c r="JM333" t="s">
        <v>960</v>
      </c>
      <c r="JN333" s="4" t="s">
        <v>961</v>
      </c>
      <c r="JO333" t="s">
        <v>962</v>
      </c>
      <c r="JP333" s="4"/>
      <c r="KI333" t="s">
        <v>963</v>
      </c>
      <c r="KJ333" t="s">
        <v>501</v>
      </c>
      <c r="KK333" s="8" t="s">
        <v>964</v>
      </c>
      <c r="KL333" s="4" t="s">
        <v>503</v>
      </c>
      <c r="KM333">
        <v>1</v>
      </c>
      <c r="MY333" t="s">
        <v>965</v>
      </c>
      <c r="MZ333">
        <v>46.5</v>
      </c>
      <c r="NA333" t="s">
        <v>966</v>
      </c>
      <c r="NB333" t="s">
        <v>538</v>
      </c>
      <c r="NC333" t="s">
        <v>982</v>
      </c>
      <c r="NJ333" t="s">
        <v>984</v>
      </c>
      <c r="NL333" s="4" t="s">
        <v>660</v>
      </c>
      <c r="NM333" t="s">
        <v>508</v>
      </c>
      <c r="NV333" t="s">
        <v>518</v>
      </c>
      <c r="NX333" s="2" t="s">
        <v>480</v>
      </c>
      <c r="OB333">
        <v>3</v>
      </c>
      <c r="OC333">
        <v>511</v>
      </c>
      <c r="OD333" s="79" t="s">
        <v>480</v>
      </c>
      <c r="OE333" s="79" t="s">
        <v>480</v>
      </c>
      <c r="OF333" s="79" t="s">
        <v>480</v>
      </c>
      <c r="OM333">
        <v>0.26</v>
      </c>
      <c r="ON333" s="2" t="s">
        <v>480</v>
      </c>
      <c r="OO333">
        <v>0.82</v>
      </c>
      <c r="OP333" s="2" t="s">
        <v>480</v>
      </c>
      <c r="OS333">
        <v>1.08</v>
      </c>
      <c r="OT333" s="2" t="s">
        <v>480</v>
      </c>
      <c r="OU333" t="s">
        <v>985</v>
      </c>
      <c r="OW333">
        <v>2000</v>
      </c>
      <c r="PB333" t="s">
        <v>522</v>
      </c>
      <c r="PC333" s="50">
        <v>46104</v>
      </c>
    </row>
    <row r="334" spans="1:419" ht="15.75" thickBot="1">
      <c r="A334" t="s">
        <v>469</v>
      </c>
      <c r="B334" t="s">
        <v>949</v>
      </c>
      <c r="C334" t="s">
        <v>863</v>
      </c>
      <c r="D334" s="4" t="s">
        <v>950</v>
      </c>
      <c r="E334" s="81" t="s">
        <v>951</v>
      </c>
      <c r="F334" s="81" t="s">
        <v>952</v>
      </c>
      <c r="G334" t="s">
        <v>475</v>
      </c>
      <c r="H334" t="s">
        <v>476</v>
      </c>
      <c r="I334">
        <v>12.133333329999999</v>
      </c>
      <c r="J334">
        <v>8.5333333329999999</v>
      </c>
      <c r="K334">
        <v>150</v>
      </c>
      <c r="AV334" t="s">
        <v>953</v>
      </c>
      <c r="AW334">
        <v>46.5</v>
      </c>
      <c r="AX334" t="s">
        <v>480</v>
      </c>
      <c r="AY334">
        <v>1</v>
      </c>
      <c r="AZ334" t="s">
        <v>954</v>
      </c>
      <c r="BA334">
        <v>1999</v>
      </c>
      <c r="BB334">
        <v>2000</v>
      </c>
      <c r="BD334" t="s">
        <v>990</v>
      </c>
      <c r="BE334" t="s">
        <v>611</v>
      </c>
      <c r="BF334" s="3" t="s">
        <v>484</v>
      </c>
      <c r="BG334" t="s">
        <v>538</v>
      </c>
      <c r="BH334" t="s">
        <v>980</v>
      </c>
      <c r="BI334" t="s">
        <v>480</v>
      </c>
      <c r="BJ334" t="s">
        <v>480</v>
      </c>
      <c r="BK334" t="s">
        <v>537</v>
      </c>
      <c r="BL334" t="s">
        <v>982</v>
      </c>
      <c r="BM334" t="s">
        <v>480</v>
      </c>
      <c r="BN334" t="s">
        <v>480</v>
      </c>
      <c r="BO334" t="s">
        <v>480</v>
      </c>
      <c r="EG334" s="9"/>
      <c r="EH334" s="9"/>
      <c r="EI334" s="9"/>
      <c r="EJ334" s="9"/>
      <c r="EK334" s="9"/>
      <c r="EL334" s="9"/>
      <c r="EM334" s="9"/>
      <c r="EN334" s="9"/>
      <c r="EO334" s="9"/>
      <c r="EP334" s="9"/>
      <c r="EQ334" s="9"/>
      <c r="ER334" s="9"/>
      <c r="ES334" s="9"/>
      <c r="ET334" s="9"/>
      <c r="EU334" s="9"/>
      <c r="EV334" s="9"/>
      <c r="EW334" s="9"/>
      <c r="EX334" s="9"/>
      <c r="EY334" s="9"/>
      <c r="EZ334" s="9"/>
      <c r="FA334" s="9"/>
      <c r="FB334" s="9"/>
      <c r="FC334" s="9"/>
      <c r="FD334" s="9"/>
      <c r="FE334" s="9"/>
      <c r="FF334" s="9"/>
      <c r="FG334" s="9"/>
      <c r="FH334" s="9"/>
      <c r="FI334" s="9"/>
      <c r="FJ334" s="9"/>
      <c r="FK334" s="9"/>
      <c r="FL334" s="9"/>
      <c r="FM334" s="9"/>
      <c r="FN334" s="9"/>
      <c r="FO334" s="9"/>
      <c r="FP334" s="9"/>
      <c r="FQ334" s="9"/>
      <c r="FR334" s="9"/>
      <c r="FS334" s="9"/>
      <c r="FT334" s="9"/>
      <c r="FU334" s="9"/>
      <c r="FV334" s="9"/>
      <c r="FW334" s="9"/>
      <c r="FX334" s="9"/>
      <c r="FY334" s="9"/>
      <c r="FZ334" s="9"/>
      <c r="GA334" s="9"/>
      <c r="GB334" s="9"/>
      <c r="GC334" s="9"/>
      <c r="GD334" s="9"/>
      <c r="GE334" s="9"/>
      <c r="GF334" s="9"/>
      <c r="GG334" s="9"/>
      <c r="GH334" s="9"/>
      <c r="GI334" s="9"/>
      <c r="GJ334" s="9"/>
      <c r="GK334" s="9"/>
      <c r="GL334" s="9"/>
      <c r="GM334" s="9"/>
      <c r="GN334" s="9"/>
      <c r="GO334" s="9"/>
      <c r="GP334" s="9"/>
      <c r="GQ334" s="9"/>
      <c r="GR334" s="9"/>
      <c r="GS334" s="9"/>
      <c r="GT334" s="9"/>
      <c r="GU334" s="9"/>
      <c r="GV334" s="9"/>
      <c r="GW334" s="9"/>
      <c r="GX334" s="9"/>
      <c r="GY334" s="9"/>
      <c r="GZ334" s="9"/>
      <c r="HA334" s="9"/>
      <c r="HB334" s="9"/>
      <c r="HC334" s="9"/>
      <c r="HD334" s="9"/>
      <c r="HE334" s="9"/>
      <c r="HF334" s="9"/>
      <c r="HG334" s="9"/>
      <c r="HH334" s="9"/>
      <c r="HI334" s="9"/>
      <c r="HJ334" s="9"/>
      <c r="HV334" s="50" t="s">
        <v>979</v>
      </c>
      <c r="HW334" s="50" t="s">
        <v>538</v>
      </c>
      <c r="HX334" t="s">
        <v>980</v>
      </c>
      <c r="HY334" s="14"/>
      <c r="HZ334" t="s">
        <v>971</v>
      </c>
      <c r="IA334" t="s">
        <v>972</v>
      </c>
      <c r="IH334" t="s">
        <v>990</v>
      </c>
      <c r="II334" s="75" t="s">
        <v>929</v>
      </c>
      <c r="IJ334" t="s">
        <v>983</v>
      </c>
      <c r="IK334" t="s">
        <v>543</v>
      </c>
      <c r="IL334" s="2">
        <v>1999</v>
      </c>
      <c r="IM334" s="80" t="s">
        <v>480</v>
      </c>
      <c r="IN334" s="80" t="s">
        <v>480</v>
      </c>
      <c r="JJ334" t="s">
        <v>959</v>
      </c>
      <c r="JK334" s="75" t="s">
        <v>494</v>
      </c>
      <c r="JL334" t="s">
        <v>495</v>
      </c>
      <c r="JM334" t="s">
        <v>960</v>
      </c>
      <c r="JN334" s="4" t="s">
        <v>961</v>
      </c>
      <c r="JO334" t="s">
        <v>962</v>
      </c>
      <c r="JP334" s="4"/>
      <c r="KI334" t="s">
        <v>963</v>
      </c>
      <c r="KJ334" t="s">
        <v>501</v>
      </c>
      <c r="KK334" s="8" t="s">
        <v>964</v>
      </c>
      <c r="KL334" s="4" t="s">
        <v>503</v>
      </c>
      <c r="KM334">
        <v>1</v>
      </c>
      <c r="MY334" t="s">
        <v>965</v>
      </c>
      <c r="MZ334">
        <v>46.5</v>
      </c>
      <c r="NA334" t="s">
        <v>966</v>
      </c>
      <c r="NB334" t="s">
        <v>538</v>
      </c>
      <c r="NC334" t="s">
        <v>982</v>
      </c>
      <c r="NJ334" t="s">
        <v>984</v>
      </c>
      <c r="NL334" s="4" t="s">
        <v>660</v>
      </c>
      <c r="NM334" t="s">
        <v>508</v>
      </c>
      <c r="NV334" t="s">
        <v>518</v>
      </c>
      <c r="NX334" s="2" t="s">
        <v>480</v>
      </c>
      <c r="OB334">
        <v>3</v>
      </c>
      <c r="OC334">
        <v>779</v>
      </c>
      <c r="OD334" s="2" t="s">
        <v>480</v>
      </c>
      <c r="OE334" s="79" t="s">
        <v>480</v>
      </c>
      <c r="OF334" s="79" t="s">
        <v>480</v>
      </c>
      <c r="OM334">
        <v>0.39</v>
      </c>
      <c r="ON334" s="2" t="s">
        <v>480</v>
      </c>
      <c r="OO334">
        <v>0.83</v>
      </c>
      <c r="OP334" s="2" t="s">
        <v>480</v>
      </c>
      <c r="OS334">
        <v>1.22</v>
      </c>
      <c r="OT334" s="2" t="s">
        <v>480</v>
      </c>
      <c r="OU334" t="s">
        <v>985</v>
      </c>
      <c r="OW334">
        <v>2000</v>
      </c>
      <c r="PB334" t="s">
        <v>522</v>
      </c>
      <c r="PC334" s="50">
        <v>46104</v>
      </c>
    </row>
    <row r="335" spans="1:419" ht="15.75" thickBot="1">
      <c r="A335" t="s">
        <v>469</v>
      </c>
      <c r="B335" t="s">
        <v>991</v>
      </c>
      <c r="C335" t="s">
        <v>863</v>
      </c>
      <c r="D335" s="4" t="s">
        <v>950</v>
      </c>
      <c r="E335" s="83" t="s">
        <v>992</v>
      </c>
      <c r="F335" s="83" t="s">
        <v>952</v>
      </c>
      <c r="G335" s="79" t="s">
        <v>475</v>
      </c>
      <c r="H335" s="79" t="s">
        <v>476</v>
      </c>
      <c r="I335">
        <v>7.2166666666666597</v>
      </c>
      <c r="J335">
        <v>8.18333333333333</v>
      </c>
      <c r="K335" s="78">
        <v>200</v>
      </c>
      <c r="AV335" t="s">
        <v>993</v>
      </c>
      <c r="AW335">
        <v>5.7000000000000002E-2</v>
      </c>
      <c r="AX335" s="79" t="s">
        <v>480</v>
      </c>
      <c r="AY335">
        <v>1</v>
      </c>
      <c r="AZ335" t="s">
        <v>994</v>
      </c>
      <c r="BA335">
        <v>2004</v>
      </c>
      <c r="BC335">
        <v>2004.1</v>
      </c>
      <c r="BD335" t="s">
        <v>995</v>
      </c>
      <c r="BE335" t="s">
        <v>536</v>
      </c>
      <c r="BF335" s="69" t="s">
        <v>484</v>
      </c>
      <c r="BG335" t="s">
        <v>485</v>
      </c>
      <c r="BH335" t="s">
        <v>996</v>
      </c>
      <c r="BI335" s="79" t="s">
        <v>486</v>
      </c>
      <c r="BJ335">
        <v>38000</v>
      </c>
      <c r="BK335" t="s">
        <v>537</v>
      </c>
      <c r="BL335" t="s">
        <v>554</v>
      </c>
      <c r="BM335" t="s">
        <v>997</v>
      </c>
      <c r="BN335" s="79" t="s">
        <v>486</v>
      </c>
      <c r="BO335">
        <v>266660</v>
      </c>
      <c r="EG335" s="9"/>
      <c r="EH335" s="9"/>
      <c r="EI335" s="9"/>
      <c r="EJ335" s="9"/>
      <c r="EK335" s="9"/>
      <c r="EL335" s="9"/>
      <c r="EM335" s="9"/>
      <c r="EN335" s="9"/>
      <c r="EO335" s="9"/>
      <c r="EP335" s="9"/>
      <c r="EQ335" s="9"/>
      <c r="ER335" s="9"/>
      <c r="ES335" s="9"/>
      <c r="ET335" s="9"/>
      <c r="EU335" s="9"/>
      <c r="EV335" s="9"/>
      <c r="EW335" s="9"/>
      <c r="EX335" s="9"/>
      <c r="EY335" s="9"/>
      <c r="EZ335" s="9"/>
      <c r="FA335" s="9"/>
      <c r="FB335" s="9"/>
      <c r="FC335" s="9"/>
      <c r="FD335" s="9"/>
      <c r="FE335" s="9"/>
      <c r="FF335" s="9"/>
      <c r="FG335" s="9"/>
      <c r="FH335" s="9"/>
      <c r="FI335" s="9"/>
      <c r="FJ335" s="9"/>
      <c r="FK335" s="9"/>
      <c r="FL335" s="9"/>
      <c r="FM335" s="9"/>
      <c r="FN335" s="9"/>
      <c r="FO335" s="9"/>
      <c r="FP335" s="9"/>
      <c r="FQ335" s="9"/>
      <c r="FR335" s="9"/>
      <c r="FS335" s="9"/>
      <c r="FT335" s="9"/>
      <c r="FU335" s="9"/>
      <c r="FV335" s="9"/>
      <c r="FW335" s="9"/>
      <c r="FX335" s="9"/>
      <c r="FY335" s="9"/>
      <c r="FZ335" s="9"/>
      <c r="GA335" s="9"/>
      <c r="GB335" s="9"/>
      <c r="GC335" s="9"/>
      <c r="GD335" s="9"/>
      <c r="GE335" s="9"/>
      <c r="GF335" s="9"/>
      <c r="GG335" s="9"/>
      <c r="GH335" s="9"/>
      <c r="GI335" s="9"/>
      <c r="GJ335" s="9"/>
      <c r="GK335" s="9"/>
      <c r="GL335" s="9"/>
      <c r="GM335" s="9"/>
      <c r="GN335" s="9"/>
      <c r="GO335" s="9"/>
      <c r="GP335" s="9"/>
      <c r="GQ335" s="9"/>
      <c r="GR335" s="9"/>
      <c r="GS335" s="9"/>
      <c r="GT335" s="9"/>
      <c r="GU335" s="9"/>
      <c r="GV335" s="9"/>
      <c r="GW335" s="9"/>
      <c r="GX335" s="9"/>
      <c r="GY335" s="9"/>
      <c r="GZ335" s="9"/>
      <c r="HA335" s="9"/>
      <c r="HB335" s="9"/>
      <c r="HC335" s="9"/>
      <c r="HD335" s="9"/>
      <c r="HE335" s="9"/>
      <c r="HF335" s="9"/>
      <c r="HG335" s="9"/>
      <c r="HH335" s="9"/>
      <c r="HI335" s="9"/>
      <c r="HJ335" s="9"/>
      <c r="HT335" s="50">
        <v>38127</v>
      </c>
      <c r="HV335" s="50"/>
      <c r="HW335" s="50"/>
      <c r="IH335" t="s">
        <v>998</v>
      </c>
      <c r="II335" s="79" t="s">
        <v>882</v>
      </c>
      <c r="IJ335" t="s">
        <v>542</v>
      </c>
      <c r="IK335" s="79" t="s">
        <v>543</v>
      </c>
      <c r="IN335" s="78" t="s">
        <v>480</v>
      </c>
      <c r="JJ335" t="s">
        <v>999</v>
      </c>
      <c r="JK335" s="75" t="s">
        <v>494</v>
      </c>
      <c r="JL335" s="79" t="s">
        <v>495</v>
      </c>
      <c r="JP335" s="84" t="s">
        <v>508</v>
      </c>
      <c r="JQ335">
        <v>100</v>
      </c>
      <c r="JT335">
        <v>81</v>
      </c>
      <c r="JU335">
        <v>65</v>
      </c>
      <c r="KE335" t="s">
        <v>1000</v>
      </c>
      <c r="KF335" s="12" t="s">
        <v>1001</v>
      </c>
      <c r="KI335" t="s">
        <v>1002</v>
      </c>
      <c r="KJ335" t="s">
        <v>501</v>
      </c>
      <c r="KK335" s="8" t="s">
        <v>1003</v>
      </c>
      <c r="KL335" s="84" t="s">
        <v>503</v>
      </c>
      <c r="KM335">
        <v>18</v>
      </c>
      <c r="MY335" t="s">
        <v>1004</v>
      </c>
      <c r="MZ335">
        <v>6.3</v>
      </c>
      <c r="NA335" t="s">
        <v>1005</v>
      </c>
      <c r="NB335" t="s">
        <v>485</v>
      </c>
      <c r="NC335" t="s">
        <v>554</v>
      </c>
      <c r="NJ335" t="s">
        <v>1006</v>
      </c>
      <c r="NK335" t="s">
        <v>1007</v>
      </c>
      <c r="NL335" s="4" t="s">
        <v>946</v>
      </c>
      <c r="NM335" s="6" t="s">
        <v>1008</v>
      </c>
      <c r="NV335" t="s">
        <v>518</v>
      </c>
      <c r="NW335">
        <v>180529.9</v>
      </c>
      <c r="NX335" s="79" t="s">
        <v>480</v>
      </c>
      <c r="NY335" s="79" t="s">
        <v>480</v>
      </c>
      <c r="OB335">
        <v>3</v>
      </c>
      <c r="OU335" t="s">
        <v>1009</v>
      </c>
      <c r="OV335" s="79"/>
      <c r="OW335">
        <v>2004</v>
      </c>
      <c r="OZ335" t="s">
        <v>1010</v>
      </c>
      <c r="PB335" s="79" t="s">
        <v>522</v>
      </c>
      <c r="PC335" s="50">
        <v>46105</v>
      </c>
    </row>
    <row r="336" spans="1:419" ht="15.75" thickBot="1">
      <c r="A336" t="s">
        <v>469</v>
      </c>
      <c r="B336" t="s">
        <v>991</v>
      </c>
      <c r="C336" t="s">
        <v>863</v>
      </c>
      <c r="D336" s="4" t="s">
        <v>950</v>
      </c>
      <c r="E336" s="83" t="s">
        <v>992</v>
      </c>
      <c r="F336" s="83" t="s">
        <v>952</v>
      </c>
      <c r="G336" s="79" t="s">
        <v>475</v>
      </c>
      <c r="H336" s="79" t="s">
        <v>476</v>
      </c>
      <c r="I336">
        <v>7.2166666666666597</v>
      </c>
      <c r="J336">
        <v>8.18333333333333</v>
      </c>
      <c r="K336" s="78">
        <v>200</v>
      </c>
      <c r="AV336" t="s">
        <v>993</v>
      </c>
      <c r="AW336">
        <v>5.7000000000000002E-2</v>
      </c>
      <c r="AX336" s="79" t="s">
        <v>480</v>
      </c>
      <c r="AY336">
        <v>1</v>
      </c>
      <c r="AZ336" t="s">
        <v>994</v>
      </c>
      <c r="BA336">
        <v>2004</v>
      </c>
      <c r="BC336">
        <v>2004.1</v>
      </c>
      <c r="BD336" t="s">
        <v>1011</v>
      </c>
      <c r="BE336" t="s">
        <v>566</v>
      </c>
      <c r="BF336" s="69" t="s">
        <v>484</v>
      </c>
      <c r="BG336" t="s">
        <v>485</v>
      </c>
      <c r="BH336" t="s">
        <v>996</v>
      </c>
      <c r="BI336" s="79" t="s">
        <v>486</v>
      </c>
      <c r="BJ336">
        <v>38000</v>
      </c>
      <c r="BK336" t="s">
        <v>537</v>
      </c>
      <c r="BL336" t="s">
        <v>554</v>
      </c>
      <c r="BM336" t="s">
        <v>1012</v>
      </c>
      <c r="BN336" s="79" t="s">
        <v>486</v>
      </c>
      <c r="BO336">
        <v>266660</v>
      </c>
      <c r="EG336" s="9"/>
      <c r="EH336" s="9"/>
      <c r="EI336" s="9"/>
      <c r="EJ336" s="9"/>
      <c r="EK336" s="9"/>
      <c r="EL336" s="9"/>
      <c r="EM336" s="9"/>
      <c r="EN336" s="9"/>
      <c r="EO336" s="9"/>
      <c r="EP336" s="9"/>
      <c r="EQ336" s="9"/>
      <c r="ER336" s="9"/>
      <c r="ES336" s="9"/>
      <c r="ET336" s="9"/>
      <c r="EU336" s="9"/>
      <c r="EV336" s="9"/>
      <c r="EW336" s="9"/>
      <c r="EX336" s="9"/>
      <c r="EY336" s="9"/>
      <c r="EZ336" s="9"/>
      <c r="FA336" s="9"/>
      <c r="FB336" s="9"/>
      <c r="FC336" s="9"/>
      <c r="FD336" s="9"/>
      <c r="FE336" s="9"/>
      <c r="FF336" s="9"/>
      <c r="FG336" s="9"/>
      <c r="FH336" s="9"/>
      <c r="FI336" s="9"/>
      <c r="FJ336" s="9"/>
      <c r="FK336" s="9"/>
      <c r="FL336" s="9"/>
      <c r="FM336" s="9"/>
      <c r="FN336" s="9"/>
      <c r="FO336" s="9"/>
      <c r="FP336" s="9"/>
      <c r="FQ336" s="9"/>
      <c r="FR336" s="9"/>
      <c r="FS336" s="9"/>
      <c r="FT336" s="9"/>
      <c r="FU336" s="9"/>
      <c r="FV336" s="9"/>
      <c r="FW336" s="9"/>
      <c r="FX336" s="9"/>
      <c r="FY336" s="9"/>
      <c r="FZ336" s="9"/>
      <c r="GA336" s="9"/>
      <c r="GB336" s="9"/>
      <c r="GC336" s="9"/>
      <c r="GD336" s="9"/>
      <c r="GE336" s="9"/>
      <c r="GF336" s="9"/>
      <c r="GG336" s="9"/>
      <c r="GH336" s="9"/>
      <c r="GI336" s="9"/>
      <c r="GJ336" s="9"/>
      <c r="GK336" s="9"/>
      <c r="GL336" s="9"/>
      <c r="GM336" s="9"/>
      <c r="GN336" s="9"/>
      <c r="GO336" s="9"/>
      <c r="GP336" s="9"/>
      <c r="GQ336" s="9"/>
      <c r="GR336" s="9"/>
      <c r="GS336" s="9"/>
      <c r="GT336" s="9"/>
      <c r="GU336" s="9"/>
      <c r="GV336" s="9"/>
      <c r="GW336" s="9"/>
      <c r="GX336" s="9"/>
      <c r="GY336" s="9"/>
      <c r="GZ336" s="9"/>
      <c r="HA336" s="9"/>
      <c r="HB336" s="9"/>
      <c r="HC336" s="9"/>
      <c r="HD336" s="9"/>
      <c r="HE336" s="9"/>
      <c r="HF336" s="9"/>
      <c r="HG336" s="9"/>
      <c r="HH336" s="9"/>
      <c r="HI336" s="9"/>
      <c r="HJ336" s="9"/>
      <c r="HT336" s="50">
        <v>38127</v>
      </c>
      <c r="HV336" s="50"/>
      <c r="HW336" s="50"/>
      <c r="IH336" t="s">
        <v>998</v>
      </c>
      <c r="II336" s="79" t="s">
        <v>882</v>
      </c>
      <c r="IJ336" t="s">
        <v>542</v>
      </c>
      <c r="IK336" s="79" t="s">
        <v>543</v>
      </c>
      <c r="IN336" s="78" t="s">
        <v>480</v>
      </c>
      <c r="JJ336" t="s">
        <v>999</v>
      </c>
      <c r="JK336" s="75" t="s">
        <v>494</v>
      </c>
      <c r="JL336" s="79" t="s">
        <v>495</v>
      </c>
      <c r="JP336" s="84" t="s">
        <v>508</v>
      </c>
      <c r="JQ336">
        <v>100</v>
      </c>
      <c r="JT336">
        <v>81</v>
      </c>
      <c r="JU336">
        <v>65</v>
      </c>
      <c r="KE336" t="s">
        <v>1000</v>
      </c>
      <c r="KF336" s="12" t="s">
        <v>1001</v>
      </c>
      <c r="KI336" t="s">
        <v>1002</v>
      </c>
      <c r="KJ336" t="s">
        <v>501</v>
      </c>
      <c r="KK336" s="8" t="s">
        <v>1003</v>
      </c>
      <c r="KL336" s="84" t="s">
        <v>503</v>
      </c>
      <c r="KM336">
        <v>18</v>
      </c>
      <c r="MY336" t="s">
        <v>1004</v>
      </c>
      <c r="MZ336">
        <v>6.3</v>
      </c>
      <c r="NA336" t="s">
        <v>1005</v>
      </c>
      <c r="NB336" t="s">
        <v>485</v>
      </c>
      <c r="NC336" t="s">
        <v>554</v>
      </c>
      <c r="NJ336" t="s">
        <v>1006</v>
      </c>
      <c r="NK336" t="s">
        <v>1007</v>
      </c>
      <c r="NL336" s="4" t="s">
        <v>946</v>
      </c>
      <c r="NM336" s="6" t="s">
        <v>1008</v>
      </c>
      <c r="NV336" t="s">
        <v>518</v>
      </c>
      <c r="NW336">
        <v>273279.7</v>
      </c>
      <c r="NX336" s="79" t="s">
        <v>480</v>
      </c>
      <c r="NY336" s="79" t="s">
        <v>480</v>
      </c>
      <c r="OB336">
        <v>3</v>
      </c>
      <c r="OU336" t="s">
        <v>1009</v>
      </c>
      <c r="OV336" s="79"/>
      <c r="OW336">
        <v>2004</v>
      </c>
      <c r="OZ336" t="s">
        <v>1010</v>
      </c>
      <c r="PB336" s="79" t="s">
        <v>522</v>
      </c>
      <c r="PC336" s="50">
        <v>46105</v>
      </c>
    </row>
    <row r="337" spans="1:419" ht="15.75" thickBot="1">
      <c r="A337" t="s">
        <v>469</v>
      </c>
      <c r="B337" t="s">
        <v>991</v>
      </c>
      <c r="C337" t="s">
        <v>863</v>
      </c>
      <c r="D337" s="4" t="s">
        <v>950</v>
      </c>
      <c r="E337" s="83" t="s">
        <v>992</v>
      </c>
      <c r="F337" s="83" t="s">
        <v>952</v>
      </c>
      <c r="G337" s="79" t="s">
        <v>475</v>
      </c>
      <c r="H337" s="79" t="s">
        <v>476</v>
      </c>
      <c r="I337">
        <v>7.2166666666666597</v>
      </c>
      <c r="J337">
        <v>8.18333333333333</v>
      </c>
      <c r="K337" s="78">
        <v>200</v>
      </c>
      <c r="AV337" t="s">
        <v>993</v>
      </c>
      <c r="AW337">
        <v>5.7000000000000002E-2</v>
      </c>
      <c r="AX337" s="79" t="s">
        <v>480</v>
      </c>
      <c r="AY337">
        <v>1</v>
      </c>
      <c r="AZ337" t="s">
        <v>994</v>
      </c>
      <c r="BA337">
        <v>2004</v>
      </c>
      <c r="BC337">
        <v>2004.1</v>
      </c>
      <c r="BD337" t="s">
        <v>1013</v>
      </c>
      <c r="BE337" t="s">
        <v>572</v>
      </c>
      <c r="BF337" s="69" t="s">
        <v>484</v>
      </c>
      <c r="BG337" t="s">
        <v>485</v>
      </c>
      <c r="BH337" t="s">
        <v>996</v>
      </c>
      <c r="BI337" s="79" t="s">
        <v>486</v>
      </c>
      <c r="BJ337">
        <v>44440</v>
      </c>
      <c r="BK337" t="s">
        <v>537</v>
      </c>
      <c r="BL337" t="s">
        <v>554</v>
      </c>
      <c r="BM337" t="s">
        <v>997</v>
      </c>
      <c r="BN337" s="79" t="s">
        <v>486</v>
      </c>
      <c r="BO337">
        <v>266660</v>
      </c>
      <c r="EG337" s="9"/>
      <c r="EH337" s="9"/>
      <c r="EI337" s="9"/>
      <c r="EJ337" s="9"/>
      <c r="EK337" s="9"/>
      <c r="EL337" s="9"/>
      <c r="EM337" s="9"/>
      <c r="EN337" s="9"/>
      <c r="EO337" s="9"/>
      <c r="EP337" s="9"/>
      <c r="EQ337" s="9"/>
      <c r="ER337" s="9"/>
      <c r="ES337" s="9"/>
      <c r="ET337" s="9"/>
      <c r="EU337" s="9"/>
      <c r="EV337" s="9"/>
      <c r="EW337" s="9"/>
      <c r="EX337" s="9"/>
      <c r="EY337" s="9"/>
      <c r="EZ337" s="9"/>
      <c r="FA337" s="9"/>
      <c r="FB337" s="9"/>
      <c r="FC337" s="9"/>
      <c r="FD337" s="9"/>
      <c r="FE337" s="9"/>
      <c r="FF337" s="9"/>
      <c r="FG337" s="9"/>
      <c r="FH337" s="9"/>
      <c r="FI337" s="9"/>
      <c r="FJ337" s="9"/>
      <c r="FK337" s="9"/>
      <c r="FL337" s="9"/>
      <c r="FM337" s="9"/>
      <c r="FN337" s="9"/>
      <c r="FO337" s="9"/>
      <c r="FP337" s="9"/>
      <c r="FQ337" s="9"/>
      <c r="FR337" s="9"/>
      <c r="FS337" s="9"/>
      <c r="FT337" s="9"/>
      <c r="FU337" s="9"/>
      <c r="FV337" s="9"/>
      <c r="FW337" s="9"/>
      <c r="FX337" s="9"/>
      <c r="FY337" s="9"/>
      <c r="FZ337" s="9"/>
      <c r="GA337" s="9"/>
      <c r="GB337" s="9"/>
      <c r="GC337" s="9"/>
      <c r="GD337" s="9"/>
      <c r="GE337" s="9"/>
      <c r="GF337" s="9"/>
      <c r="GG337" s="9"/>
      <c r="GH337" s="9"/>
      <c r="GI337" s="9"/>
      <c r="GJ337" s="9"/>
      <c r="GK337" s="9"/>
      <c r="GL337" s="9"/>
      <c r="GM337" s="9"/>
      <c r="GN337" s="9"/>
      <c r="GO337" s="9"/>
      <c r="GP337" s="9"/>
      <c r="GQ337" s="9"/>
      <c r="GR337" s="9"/>
      <c r="GS337" s="9"/>
      <c r="GT337" s="9"/>
      <c r="GU337" s="9"/>
      <c r="GV337" s="9"/>
      <c r="GW337" s="9"/>
      <c r="GX337" s="9"/>
      <c r="GY337" s="9"/>
      <c r="GZ337" s="9"/>
      <c r="HA337" s="9"/>
      <c r="HB337" s="9"/>
      <c r="HC337" s="9"/>
      <c r="HD337" s="9"/>
      <c r="HE337" s="9"/>
      <c r="HF337" s="9"/>
      <c r="HG337" s="9"/>
      <c r="HH337" s="9"/>
      <c r="HI337" s="9"/>
      <c r="HJ337" s="9"/>
      <c r="HT337" s="50">
        <v>38127</v>
      </c>
      <c r="HV337" s="50"/>
      <c r="HW337" s="50"/>
      <c r="IH337" t="s">
        <v>998</v>
      </c>
      <c r="II337" s="79" t="s">
        <v>882</v>
      </c>
      <c r="IJ337" t="s">
        <v>542</v>
      </c>
      <c r="IK337" s="79" t="s">
        <v>543</v>
      </c>
      <c r="IN337" s="78" t="s">
        <v>480</v>
      </c>
      <c r="JJ337" t="s">
        <v>999</v>
      </c>
      <c r="JK337" s="75" t="s">
        <v>494</v>
      </c>
      <c r="JL337" s="79" t="s">
        <v>495</v>
      </c>
      <c r="JP337" s="84" t="s">
        <v>508</v>
      </c>
      <c r="JQ337">
        <v>100</v>
      </c>
      <c r="JT337">
        <v>81</v>
      </c>
      <c r="JU337">
        <v>65</v>
      </c>
      <c r="KE337" t="s">
        <v>1000</v>
      </c>
      <c r="KF337" s="12" t="s">
        <v>1001</v>
      </c>
      <c r="KI337" t="s">
        <v>1002</v>
      </c>
      <c r="KJ337" t="s">
        <v>501</v>
      </c>
      <c r="KK337" s="8" t="s">
        <v>1003</v>
      </c>
      <c r="KL337" s="84" t="s">
        <v>503</v>
      </c>
      <c r="KM337">
        <v>18</v>
      </c>
      <c r="MY337" t="s">
        <v>1004</v>
      </c>
      <c r="MZ337">
        <v>6.3</v>
      </c>
      <c r="NA337" t="s">
        <v>1005</v>
      </c>
      <c r="NB337" t="s">
        <v>485</v>
      </c>
      <c r="NC337" t="s">
        <v>554</v>
      </c>
      <c r="NJ337" t="s">
        <v>1006</v>
      </c>
      <c r="NK337" t="s">
        <v>1007</v>
      </c>
      <c r="NL337" s="4" t="s">
        <v>946</v>
      </c>
      <c r="NM337" s="6" t="s">
        <v>1008</v>
      </c>
      <c r="NV337" t="s">
        <v>518</v>
      </c>
      <c r="NW337">
        <v>241269.8</v>
      </c>
      <c r="NX337" s="79" t="s">
        <v>480</v>
      </c>
      <c r="NY337" s="79" t="s">
        <v>480</v>
      </c>
      <c r="OB337">
        <v>3</v>
      </c>
      <c r="OU337" t="s">
        <v>1009</v>
      </c>
      <c r="OV337" s="79"/>
      <c r="OW337">
        <v>2004</v>
      </c>
      <c r="OZ337" t="s">
        <v>1010</v>
      </c>
      <c r="PB337" s="79" t="s">
        <v>522</v>
      </c>
      <c r="PC337" s="50">
        <v>46105</v>
      </c>
    </row>
    <row r="338" spans="1:419" ht="15.75" thickBot="1">
      <c r="A338" t="s">
        <v>469</v>
      </c>
      <c r="B338" t="s">
        <v>991</v>
      </c>
      <c r="C338" t="s">
        <v>863</v>
      </c>
      <c r="D338" s="4" t="s">
        <v>950</v>
      </c>
      <c r="E338" s="83" t="s">
        <v>992</v>
      </c>
      <c r="F338" s="83" t="s">
        <v>952</v>
      </c>
      <c r="G338" s="79" t="s">
        <v>475</v>
      </c>
      <c r="H338" s="79" t="s">
        <v>476</v>
      </c>
      <c r="I338">
        <v>7.2166666666666597</v>
      </c>
      <c r="J338">
        <v>8.18333333333333</v>
      </c>
      <c r="K338" s="78">
        <v>200</v>
      </c>
      <c r="AV338" t="s">
        <v>993</v>
      </c>
      <c r="AW338">
        <v>5.7000000000000002E-2</v>
      </c>
      <c r="AX338" s="79" t="s">
        <v>480</v>
      </c>
      <c r="AY338">
        <v>1</v>
      </c>
      <c r="AZ338" t="s">
        <v>994</v>
      </c>
      <c r="BA338">
        <v>2004</v>
      </c>
      <c r="BC338">
        <v>2004.1</v>
      </c>
      <c r="BD338" t="s">
        <v>1014</v>
      </c>
      <c r="BE338" t="s">
        <v>553</v>
      </c>
      <c r="BF338" s="69" t="s">
        <v>484</v>
      </c>
      <c r="BG338" t="s">
        <v>485</v>
      </c>
      <c r="BH338" t="s">
        <v>996</v>
      </c>
      <c r="BI338" s="79" t="s">
        <v>486</v>
      </c>
      <c r="BJ338">
        <v>44440</v>
      </c>
      <c r="BK338" t="s">
        <v>537</v>
      </c>
      <c r="BL338" t="s">
        <v>554</v>
      </c>
      <c r="BM338" t="s">
        <v>1012</v>
      </c>
      <c r="BN338" s="79" t="s">
        <v>486</v>
      </c>
      <c r="BO338">
        <v>266660</v>
      </c>
      <c r="EG338" s="9"/>
      <c r="EH338" s="9"/>
      <c r="EI338" s="9"/>
      <c r="EJ338" s="9"/>
      <c r="EK338" s="9"/>
      <c r="EL338" s="9"/>
      <c r="EM338" s="9"/>
      <c r="EN338" s="9"/>
      <c r="EO338" s="9"/>
      <c r="EP338" s="9"/>
      <c r="EQ338" s="9"/>
      <c r="ER338" s="9"/>
      <c r="ES338" s="9"/>
      <c r="ET338" s="9"/>
      <c r="EU338" s="9"/>
      <c r="EV338" s="9"/>
      <c r="EW338" s="9"/>
      <c r="EX338" s="9"/>
      <c r="EY338" s="9"/>
      <c r="EZ338" s="9"/>
      <c r="FA338" s="9"/>
      <c r="FB338" s="9"/>
      <c r="FC338" s="9"/>
      <c r="FD338" s="9"/>
      <c r="FE338" s="9"/>
      <c r="FF338" s="9"/>
      <c r="FG338" s="9"/>
      <c r="FH338" s="9"/>
      <c r="FI338" s="9"/>
      <c r="FJ338" s="9"/>
      <c r="FK338" s="9"/>
      <c r="FL338" s="9"/>
      <c r="FM338" s="9"/>
      <c r="FN338" s="9"/>
      <c r="FO338" s="9"/>
      <c r="FP338" s="9"/>
      <c r="FQ338" s="9"/>
      <c r="FR338" s="9"/>
      <c r="FS338" s="9"/>
      <c r="FT338" s="9"/>
      <c r="FU338" s="9"/>
      <c r="FV338" s="9"/>
      <c r="FW338" s="9"/>
      <c r="FX338" s="9"/>
      <c r="FY338" s="9"/>
      <c r="FZ338" s="9"/>
      <c r="GA338" s="9"/>
      <c r="GB338" s="9"/>
      <c r="GC338" s="9"/>
      <c r="GD338" s="9"/>
      <c r="GE338" s="9"/>
      <c r="GF338" s="9"/>
      <c r="GG338" s="9"/>
      <c r="GH338" s="9"/>
      <c r="GI338" s="9"/>
      <c r="GJ338" s="9"/>
      <c r="GK338" s="9"/>
      <c r="GL338" s="9"/>
      <c r="GM338" s="9"/>
      <c r="GN338" s="9"/>
      <c r="GO338" s="9"/>
      <c r="GP338" s="9"/>
      <c r="GQ338" s="9"/>
      <c r="GR338" s="9"/>
      <c r="GS338" s="9"/>
      <c r="GT338" s="9"/>
      <c r="GU338" s="9"/>
      <c r="GV338" s="9"/>
      <c r="GW338" s="9"/>
      <c r="GX338" s="9"/>
      <c r="GY338" s="9"/>
      <c r="GZ338" s="9"/>
      <c r="HA338" s="9"/>
      <c r="HB338" s="9"/>
      <c r="HC338" s="9"/>
      <c r="HD338" s="9"/>
      <c r="HE338" s="9"/>
      <c r="HF338" s="9"/>
      <c r="HG338" s="9"/>
      <c r="HH338" s="9"/>
      <c r="HI338" s="9"/>
      <c r="HJ338" s="9"/>
      <c r="HT338" s="50">
        <v>38127</v>
      </c>
      <c r="HV338" s="50"/>
      <c r="HW338" s="50"/>
      <c r="IH338" t="s">
        <v>998</v>
      </c>
      <c r="II338" s="79" t="s">
        <v>882</v>
      </c>
      <c r="IJ338" t="s">
        <v>542</v>
      </c>
      <c r="IK338" s="79" t="s">
        <v>543</v>
      </c>
      <c r="IN338" s="78" t="s">
        <v>480</v>
      </c>
      <c r="JJ338" t="s">
        <v>999</v>
      </c>
      <c r="JK338" s="75" t="s">
        <v>494</v>
      </c>
      <c r="JL338" s="79" t="s">
        <v>495</v>
      </c>
      <c r="JP338" s="84" t="s">
        <v>508</v>
      </c>
      <c r="JQ338">
        <v>100</v>
      </c>
      <c r="JT338">
        <v>81</v>
      </c>
      <c r="JU338">
        <v>65</v>
      </c>
      <c r="KE338" t="s">
        <v>1000</v>
      </c>
      <c r="KF338" s="12" t="s">
        <v>1001</v>
      </c>
      <c r="KI338" t="s">
        <v>1002</v>
      </c>
      <c r="KJ338" t="s">
        <v>501</v>
      </c>
      <c r="KK338" s="8" t="s">
        <v>1003</v>
      </c>
      <c r="KL338" s="84" t="s">
        <v>503</v>
      </c>
      <c r="KM338">
        <v>18</v>
      </c>
      <c r="MY338" t="s">
        <v>1004</v>
      </c>
      <c r="MZ338">
        <v>6.3</v>
      </c>
      <c r="NA338" t="s">
        <v>1005</v>
      </c>
      <c r="NB338" t="s">
        <v>485</v>
      </c>
      <c r="NC338" t="s">
        <v>554</v>
      </c>
      <c r="NJ338" t="s">
        <v>1006</v>
      </c>
      <c r="NK338" t="s">
        <v>1007</v>
      </c>
      <c r="NL338" s="4" t="s">
        <v>946</v>
      </c>
      <c r="NM338" s="6" t="s">
        <v>1008</v>
      </c>
      <c r="NV338" t="s">
        <v>518</v>
      </c>
      <c r="NW338">
        <v>231216.9</v>
      </c>
      <c r="NX338" s="79" t="s">
        <v>480</v>
      </c>
      <c r="NY338" s="79" t="s">
        <v>480</v>
      </c>
      <c r="OB338">
        <v>3</v>
      </c>
      <c r="OU338" t="s">
        <v>1009</v>
      </c>
      <c r="OV338" s="79"/>
      <c r="OW338">
        <v>2004</v>
      </c>
      <c r="OZ338" t="s">
        <v>1010</v>
      </c>
      <c r="PB338" s="79" t="s">
        <v>522</v>
      </c>
      <c r="PC338" s="50">
        <v>46105</v>
      </c>
    </row>
    <row r="339" spans="1:419" ht="15.75" thickBot="1">
      <c r="A339" t="s">
        <v>469</v>
      </c>
      <c r="B339" t="s">
        <v>991</v>
      </c>
      <c r="C339" t="s">
        <v>863</v>
      </c>
      <c r="D339" s="4" t="s">
        <v>950</v>
      </c>
      <c r="E339" s="83" t="s">
        <v>992</v>
      </c>
      <c r="F339" s="83" t="s">
        <v>952</v>
      </c>
      <c r="G339" s="79" t="s">
        <v>475</v>
      </c>
      <c r="H339" s="79" t="s">
        <v>476</v>
      </c>
      <c r="I339">
        <v>7.2166666666666597</v>
      </c>
      <c r="J339">
        <v>8.18333333333333</v>
      </c>
      <c r="K339" s="78">
        <v>200</v>
      </c>
      <c r="AV339" t="s">
        <v>993</v>
      </c>
      <c r="AW339">
        <v>5.7000000000000002E-2</v>
      </c>
      <c r="AX339" s="79" t="s">
        <v>480</v>
      </c>
      <c r="AY339">
        <v>1</v>
      </c>
      <c r="AZ339" t="s">
        <v>994</v>
      </c>
      <c r="BA339">
        <v>2004</v>
      </c>
      <c r="BC339">
        <v>2004.1</v>
      </c>
      <c r="BD339" t="s">
        <v>1015</v>
      </c>
      <c r="BE339" t="s">
        <v>607</v>
      </c>
      <c r="BF339" s="69" t="s">
        <v>484</v>
      </c>
      <c r="BG339" t="s">
        <v>485</v>
      </c>
      <c r="BH339" t="s">
        <v>996</v>
      </c>
      <c r="BI339" s="79" t="s">
        <v>486</v>
      </c>
      <c r="BJ339">
        <v>53330</v>
      </c>
      <c r="BK339" t="s">
        <v>537</v>
      </c>
      <c r="BL339" t="s">
        <v>554</v>
      </c>
      <c r="BM339" t="s">
        <v>997</v>
      </c>
      <c r="BN339" s="79" t="s">
        <v>486</v>
      </c>
      <c r="BO339">
        <v>266660</v>
      </c>
      <c r="EG339" s="9"/>
      <c r="EH339" s="9"/>
      <c r="EI339" s="9"/>
      <c r="EJ339" s="9"/>
      <c r="EK339" s="9"/>
      <c r="EL339" s="9"/>
      <c r="EM339" s="9"/>
      <c r="EN339" s="9"/>
      <c r="EO339" s="9"/>
      <c r="EP339" s="9"/>
      <c r="EQ339" s="9"/>
      <c r="ER339" s="9"/>
      <c r="ES339" s="9"/>
      <c r="ET339" s="9"/>
      <c r="EU339" s="9"/>
      <c r="EV339" s="9"/>
      <c r="EW339" s="9"/>
      <c r="EX339" s="9"/>
      <c r="EY339" s="9"/>
      <c r="EZ339" s="9"/>
      <c r="FA339" s="9"/>
      <c r="FB339" s="9"/>
      <c r="FC339" s="9"/>
      <c r="FD339" s="9"/>
      <c r="FE339" s="9"/>
      <c r="FF339" s="9"/>
      <c r="FG339" s="9"/>
      <c r="FH339" s="9"/>
      <c r="FI339" s="9"/>
      <c r="FJ339" s="9"/>
      <c r="FK339" s="9"/>
      <c r="FL339" s="9"/>
      <c r="FM339" s="9"/>
      <c r="FN339" s="9"/>
      <c r="FO339" s="9"/>
      <c r="FP339" s="9"/>
      <c r="FQ339" s="9"/>
      <c r="FR339" s="9"/>
      <c r="FS339" s="9"/>
      <c r="FT339" s="9"/>
      <c r="FU339" s="9"/>
      <c r="FV339" s="9"/>
      <c r="FW339" s="9"/>
      <c r="FX339" s="9"/>
      <c r="FY339" s="9"/>
      <c r="FZ339" s="9"/>
      <c r="GA339" s="9"/>
      <c r="GB339" s="9"/>
      <c r="GC339" s="9"/>
      <c r="GD339" s="9"/>
      <c r="GE339" s="9"/>
      <c r="GF339" s="9"/>
      <c r="GG339" s="9"/>
      <c r="GH339" s="9"/>
      <c r="GI339" s="9"/>
      <c r="GJ339" s="9"/>
      <c r="GK339" s="9"/>
      <c r="GL339" s="9"/>
      <c r="GM339" s="9"/>
      <c r="GN339" s="9"/>
      <c r="GO339" s="9"/>
      <c r="GP339" s="9"/>
      <c r="GQ339" s="9"/>
      <c r="GR339" s="9"/>
      <c r="GS339" s="9"/>
      <c r="GT339" s="9"/>
      <c r="GU339" s="9"/>
      <c r="GV339" s="9"/>
      <c r="GW339" s="9"/>
      <c r="GX339" s="9"/>
      <c r="GY339" s="9"/>
      <c r="GZ339" s="9"/>
      <c r="HA339" s="9"/>
      <c r="HB339" s="9"/>
      <c r="HC339" s="9"/>
      <c r="HD339" s="9"/>
      <c r="HE339" s="9"/>
      <c r="HF339" s="9"/>
      <c r="HG339" s="9"/>
      <c r="HH339" s="9"/>
      <c r="HI339" s="9"/>
      <c r="HJ339" s="9"/>
      <c r="HT339" s="50">
        <v>38127</v>
      </c>
      <c r="HV339" s="50"/>
      <c r="HW339" s="50"/>
      <c r="IH339" t="s">
        <v>998</v>
      </c>
      <c r="II339" s="79" t="s">
        <v>882</v>
      </c>
      <c r="IJ339" t="s">
        <v>542</v>
      </c>
      <c r="IK339" s="79" t="s">
        <v>543</v>
      </c>
      <c r="IN339" s="78" t="s">
        <v>480</v>
      </c>
      <c r="JJ339" t="s">
        <v>999</v>
      </c>
      <c r="JK339" s="75" t="s">
        <v>494</v>
      </c>
      <c r="JL339" s="79" t="s">
        <v>495</v>
      </c>
      <c r="JP339" s="84" t="s">
        <v>508</v>
      </c>
      <c r="JQ339">
        <v>100</v>
      </c>
      <c r="JT339">
        <v>81</v>
      </c>
      <c r="JU339">
        <v>65</v>
      </c>
      <c r="KE339" t="s">
        <v>1000</v>
      </c>
      <c r="KF339" s="12" t="s">
        <v>1001</v>
      </c>
      <c r="KI339" t="s">
        <v>1002</v>
      </c>
      <c r="KJ339" t="s">
        <v>501</v>
      </c>
      <c r="KK339" s="8" t="s">
        <v>1003</v>
      </c>
      <c r="KL339" s="84" t="s">
        <v>503</v>
      </c>
      <c r="KM339">
        <v>18</v>
      </c>
      <c r="MY339" t="s">
        <v>1004</v>
      </c>
      <c r="MZ339">
        <v>6.3</v>
      </c>
      <c r="NA339" t="s">
        <v>1005</v>
      </c>
      <c r="NB339" t="s">
        <v>485</v>
      </c>
      <c r="NC339" t="s">
        <v>554</v>
      </c>
      <c r="NJ339" t="s">
        <v>1006</v>
      </c>
      <c r="NK339" t="s">
        <v>1007</v>
      </c>
      <c r="NL339" s="4" t="s">
        <v>946</v>
      </c>
      <c r="NM339" s="6" t="s">
        <v>1008</v>
      </c>
      <c r="NV339" t="s">
        <v>518</v>
      </c>
      <c r="NW339">
        <v>293121.8</v>
      </c>
      <c r="NX339" s="79" t="s">
        <v>480</v>
      </c>
      <c r="NY339" s="79" t="s">
        <v>480</v>
      </c>
      <c r="OB339">
        <v>3</v>
      </c>
      <c r="OU339" t="s">
        <v>1009</v>
      </c>
      <c r="OV339" s="79"/>
      <c r="OW339">
        <v>2004</v>
      </c>
      <c r="OZ339" t="s">
        <v>1010</v>
      </c>
      <c r="PB339" s="79" t="s">
        <v>522</v>
      </c>
      <c r="PC339" s="50">
        <v>46105</v>
      </c>
    </row>
    <row r="340" spans="1:419" ht="15.75" thickBot="1">
      <c r="A340" t="s">
        <v>469</v>
      </c>
      <c r="B340" t="s">
        <v>991</v>
      </c>
      <c r="C340" t="s">
        <v>863</v>
      </c>
      <c r="D340" s="4" t="s">
        <v>950</v>
      </c>
      <c r="E340" s="83" t="s">
        <v>992</v>
      </c>
      <c r="F340" s="83" t="s">
        <v>952</v>
      </c>
      <c r="G340" s="79" t="s">
        <v>475</v>
      </c>
      <c r="H340" s="79" t="s">
        <v>476</v>
      </c>
      <c r="I340">
        <v>7.2166666666666597</v>
      </c>
      <c r="J340">
        <v>8.18333333333333</v>
      </c>
      <c r="K340" s="78">
        <v>200</v>
      </c>
      <c r="AV340" t="s">
        <v>993</v>
      </c>
      <c r="AW340">
        <v>5.7000000000000002E-2</v>
      </c>
      <c r="AX340" s="79" t="s">
        <v>480</v>
      </c>
      <c r="AY340">
        <v>1</v>
      </c>
      <c r="AZ340" t="s">
        <v>994</v>
      </c>
      <c r="BA340">
        <v>2004</v>
      </c>
      <c r="BC340">
        <v>2004.1</v>
      </c>
      <c r="BD340" t="s">
        <v>1016</v>
      </c>
      <c r="BE340" t="s">
        <v>611</v>
      </c>
      <c r="BF340" s="69" t="s">
        <v>484</v>
      </c>
      <c r="BG340" t="s">
        <v>485</v>
      </c>
      <c r="BH340" t="s">
        <v>996</v>
      </c>
      <c r="BI340" s="79" t="s">
        <v>486</v>
      </c>
      <c r="BJ340">
        <v>53330</v>
      </c>
      <c r="BK340" t="s">
        <v>537</v>
      </c>
      <c r="BL340" t="s">
        <v>554</v>
      </c>
      <c r="BM340" t="s">
        <v>1012</v>
      </c>
      <c r="BN340" s="79" t="s">
        <v>486</v>
      </c>
      <c r="BO340">
        <v>266660</v>
      </c>
      <c r="EG340" s="9"/>
      <c r="EH340" s="9"/>
      <c r="EI340" s="9"/>
      <c r="EJ340" s="9"/>
      <c r="EK340" s="9"/>
      <c r="EL340" s="9"/>
      <c r="EM340" s="9"/>
      <c r="EN340" s="9"/>
      <c r="EO340" s="9"/>
      <c r="EP340" s="9"/>
      <c r="EQ340" s="9"/>
      <c r="ER340" s="9"/>
      <c r="ES340" s="9"/>
      <c r="ET340" s="9"/>
      <c r="EU340" s="9"/>
      <c r="EV340" s="9"/>
      <c r="EW340" s="9"/>
      <c r="EX340" s="9"/>
      <c r="EY340" s="9"/>
      <c r="EZ340" s="9"/>
      <c r="FA340" s="9"/>
      <c r="FB340" s="9"/>
      <c r="FC340" s="9"/>
      <c r="FD340" s="9"/>
      <c r="FE340" s="9"/>
      <c r="FF340" s="9"/>
      <c r="FG340" s="9"/>
      <c r="FH340" s="9"/>
      <c r="FI340" s="9"/>
      <c r="FJ340" s="9"/>
      <c r="FK340" s="9"/>
      <c r="FL340" s="9"/>
      <c r="FM340" s="9"/>
      <c r="FN340" s="9"/>
      <c r="FO340" s="9"/>
      <c r="FP340" s="9"/>
      <c r="FQ340" s="9"/>
      <c r="FR340" s="9"/>
      <c r="FS340" s="9"/>
      <c r="FT340" s="9"/>
      <c r="FU340" s="9"/>
      <c r="FV340" s="9"/>
      <c r="FW340" s="9"/>
      <c r="FX340" s="9"/>
      <c r="FY340" s="9"/>
      <c r="FZ340" s="9"/>
      <c r="GA340" s="9"/>
      <c r="GB340" s="9"/>
      <c r="GC340" s="9"/>
      <c r="GD340" s="9"/>
      <c r="GE340" s="9"/>
      <c r="GF340" s="9"/>
      <c r="GG340" s="9"/>
      <c r="GH340" s="9"/>
      <c r="GI340" s="9"/>
      <c r="GJ340" s="9"/>
      <c r="GK340" s="9"/>
      <c r="GL340" s="9"/>
      <c r="GM340" s="9"/>
      <c r="GN340" s="9"/>
      <c r="GO340" s="9"/>
      <c r="GP340" s="9"/>
      <c r="GQ340" s="9"/>
      <c r="GR340" s="9"/>
      <c r="GS340" s="9"/>
      <c r="GT340" s="9"/>
      <c r="GU340" s="9"/>
      <c r="GV340" s="9"/>
      <c r="GW340" s="9"/>
      <c r="GX340" s="9"/>
      <c r="GY340" s="9"/>
      <c r="GZ340" s="9"/>
      <c r="HA340" s="9"/>
      <c r="HB340" s="9"/>
      <c r="HC340" s="9"/>
      <c r="HD340" s="9"/>
      <c r="HE340" s="9"/>
      <c r="HF340" s="9"/>
      <c r="HG340" s="9"/>
      <c r="HH340" s="9"/>
      <c r="HI340" s="9"/>
      <c r="HJ340" s="9"/>
      <c r="HT340" s="50">
        <v>38127</v>
      </c>
      <c r="HV340" s="50"/>
      <c r="HW340" s="50"/>
      <c r="IH340" t="s">
        <v>998</v>
      </c>
      <c r="II340" s="79" t="s">
        <v>882</v>
      </c>
      <c r="IJ340" t="s">
        <v>542</v>
      </c>
      <c r="IK340" s="79" t="s">
        <v>543</v>
      </c>
      <c r="IN340" s="78" t="s">
        <v>480</v>
      </c>
      <c r="JJ340" t="s">
        <v>999</v>
      </c>
      <c r="JK340" s="75" t="s">
        <v>494</v>
      </c>
      <c r="JL340" s="79" t="s">
        <v>495</v>
      </c>
      <c r="JP340" s="84" t="s">
        <v>508</v>
      </c>
      <c r="JQ340">
        <v>100</v>
      </c>
      <c r="JT340">
        <v>81</v>
      </c>
      <c r="JU340">
        <v>65</v>
      </c>
      <c r="KE340" t="s">
        <v>1000</v>
      </c>
      <c r="KF340" s="12" t="s">
        <v>1001</v>
      </c>
      <c r="KI340" t="s">
        <v>1002</v>
      </c>
      <c r="KJ340" t="s">
        <v>501</v>
      </c>
      <c r="KK340" s="8" t="s">
        <v>1003</v>
      </c>
      <c r="KL340" s="84" t="s">
        <v>503</v>
      </c>
      <c r="KM340">
        <v>18</v>
      </c>
      <c r="MY340" t="s">
        <v>1004</v>
      </c>
      <c r="MZ340">
        <v>6.3</v>
      </c>
      <c r="NA340" t="s">
        <v>1005</v>
      </c>
      <c r="NB340" t="s">
        <v>485</v>
      </c>
      <c r="NC340" t="s">
        <v>554</v>
      </c>
      <c r="NJ340" t="s">
        <v>1006</v>
      </c>
      <c r="NK340" t="s">
        <v>1007</v>
      </c>
      <c r="NL340" s="4" t="s">
        <v>946</v>
      </c>
      <c r="NM340" s="6" t="s">
        <v>1008</v>
      </c>
      <c r="NV340" t="s">
        <v>518</v>
      </c>
      <c r="NW340">
        <v>267995</v>
      </c>
      <c r="NX340" s="79" t="s">
        <v>480</v>
      </c>
      <c r="NY340" s="79" t="s">
        <v>480</v>
      </c>
      <c r="OB340">
        <v>3</v>
      </c>
      <c r="OU340" t="s">
        <v>1009</v>
      </c>
      <c r="OV340" s="79"/>
      <c r="OW340">
        <v>2004</v>
      </c>
      <c r="OZ340" t="s">
        <v>1010</v>
      </c>
      <c r="PB340" s="79" t="s">
        <v>522</v>
      </c>
      <c r="PC340" s="50">
        <v>46105</v>
      </c>
    </row>
    <row r="341" spans="1:419" ht="15.75" thickBot="1">
      <c r="A341" t="s">
        <v>469</v>
      </c>
      <c r="B341" t="s">
        <v>991</v>
      </c>
      <c r="C341" t="s">
        <v>863</v>
      </c>
      <c r="D341" s="4" t="s">
        <v>950</v>
      </c>
      <c r="E341" s="83" t="s">
        <v>992</v>
      </c>
      <c r="F341" s="83" t="s">
        <v>952</v>
      </c>
      <c r="G341" s="79" t="s">
        <v>475</v>
      </c>
      <c r="H341" s="79" t="s">
        <v>476</v>
      </c>
      <c r="I341">
        <v>7.2166666666666597</v>
      </c>
      <c r="J341">
        <v>8.18333333333333</v>
      </c>
      <c r="K341" s="78">
        <v>200</v>
      </c>
      <c r="AV341" t="s">
        <v>993</v>
      </c>
      <c r="AW341">
        <v>5.7000000000000002E-2</v>
      </c>
      <c r="AX341" s="79" t="s">
        <v>480</v>
      </c>
      <c r="AY341">
        <v>1</v>
      </c>
      <c r="AZ341" t="s">
        <v>994</v>
      </c>
      <c r="BA341">
        <v>2004</v>
      </c>
      <c r="BC341">
        <v>2004.1</v>
      </c>
      <c r="BD341" t="s">
        <v>1017</v>
      </c>
      <c r="BE341" t="s">
        <v>524</v>
      </c>
      <c r="BF341" s="69" t="s">
        <v>484</v>
      </c>
      <c r="BG341" t="s">
        <v>554</v>
      </c>
      <c r="BH341" t="s">
        <v>997</v>
      </c>
      <c r="BI341" s="79" t="s">
        <v>486</v>
      </c>
      <c r="BJ341">
        <v>266660</v>
      </c>
      <c r="EG341" s="9"/>
      <c r="EH341" s="9"/>
      <c r="EI341" s="9"/>
      <c r="EJ341" s="9"/>
      <c r="EK341" s="9"/>
      <c r="EL341" s="9"/>
      <c r="EM341" s="9"/>
      <c r="EN341" s="9"/>
      <c r="EO341" s="9"/>
      <c r="EP341" s="9"/>
      <c r="EQ341" s="9"/>
      <c r="ER341" s="9"/>
      <c r="ES341" s="9"/>
      <c r="ET341" s="9"/>
      <c r="EU341" s="9"/>
      <c r="EV341" s="9"/>
      <c r="EW341" s="9"/>
      <c r="EX341" s="9"/>
      <c r="EY341" s="9"/>
      <c r="EZ341" s="9"/>
      <c r="FA341" s="9"/>
      <c r="FB341" s="9"/>
      <c r="FC341" s="9"/>
      <c r="FD341" s="9"/>
      <c r="FE341" s="9"/>
      <c r="FF341" s="9"/>
      <c r="FG341" s="9"/>
      <c r="FH341" s="9"/>
      <c r="FI341" s="9"/>
      <c r="FJ341" s="9"/>
      <c r="FK341" s="9"/>
      <c r="FL341" s="9"/>
      <c r="FM341" s="9"/>
      <c r="FN341" s="9"/>
      <c r="FO341" s="9"/>
      <c r="FP341" s="9"/>
      <c r="FQ341" s="9"/>
      <c r="FR341" s="9"/>
      <c r="FS341" s="9"/>
      <c r="FT341" s="9"/>
      <c r="FU341" s="9"/>
      <c r="FV341" s="9"/>
      <c r="FW341" s="9"/>
      <c r="FX341" s="9"/>
      <c r="FY341" s="9"/>
      <c r="FZ341" s="9"/>
      <c r="GA341" s="9"/>
      <c r="GB341" s="9"/>
      <c r="GC341" s="9"/>
      <c r="GD341" s="9"/>
      <c r="GE341" s="9"/>
      <c r="GF341" s="9"/>
      <c r="GG341" s="9"/>
      <c r="GH341" s="9"/>
      <c r="GI341" s="9"/>
      <c r="GJ341" s="9"/>
      <c r="GK341" s="9"/>
      <c r="GL341" s="9"/>
      <c r="GM341" s="9"/>
      <c r="GN341" s="9"/>
      <c r="GO341" s="9"/>
      <c r="GP341" s="9"/>
      <c r="GQ341" s="9"/>
      <c r="GR341" s="9"/>
      <c r="GS341" s="9"/>
      <c r="GT341" s="9"/>
      <c r="GU341" s="9"/>
      <c r="GV341" s="9"/>
      <c r="GW341" s="9"/>
      <c r="GX341" s="9"/>
      <c r="GY341" s="9"/>
      <c r="GZ341" s="9"/>
      <c r="HA341" s="9"/>
      <c r="HB341" s="9"/>
      <c r="HC341" s="9"/>
      <c r="HD341" s="9"/>
      <c r="HE341" s="9"/>
      <c r="HF341" s="9"/>
      <c r="HG341" s="9"/>
      <c r="HH341" s="9"/>
      <c r="HI341" s="9"/>
      <c r="HJ341" s="9"/>
      <c r="HT341" s="50">
        <v>38127</v>
      </c>
      <c r="HV341" s="50"/>
      <c r="HW341" s="50"/>
      <c r="IH341" t="s">
        <v>1018</v>
      </c>
      <c r="II341" s="79" t="s">
        <v>492</v>
      </c>
      <c r="IJ341" t="s">
        <v>542</v>
      </c>
      <c r="IK341" s="79" t="s">
        <v>543</v>
      </c>
      <c r="IN341" s="78" t="s">
        <v>480</v>
      </c>
      <c r="JJ341" t="s">
        <v>999</v>
      </c>
      <c r="JK341" s="75" t="s">
        <v>494</v>
      </c>
      <c r="JL341" s="79" t="s">
        <v>495</v>
      </c>
      <c r="JP341" s="84" t="s">
        <v>508</v>
      </c>
      <c r="JQ341">
        <v>10</v>
      </c>
      <c r="JT341">
        <v>36</v>
      </c>
      <c r="JU341">
        <v>20</v>
      </c>
      <c r="KE341" t="s">
        <v>1000</v>
      </c>
      <c r="KF341" s="12" t="s">
        <v>1001</v>
      </c>
      <c r="KI341" t="s">
        <v>1002</v>
      </c>
      <c r="KJ341" t="s">
        <v>501</v>
      </c>
      <c r="KK341" s="8" t="s">
        <v>1003</v>
      </c>
      <c r="KL341" s="84" t="s">
        <v>503</v>
      </c>
      <c r="KM341">
        <v>18</v>
      </c>
      <c r="MY341" t="s">
        <v>1004</v>
      </c>
      <c r="MZ341">
        <v>6.3</v>
      </c>
      <c r="NA341" t="s">
        <v>1019</v>
      </c>
      <c r="NB341" t="s">
        <v>554</v>
      </c>
      <c r="NJ341" t="s">
        <v>1006</v>
      </c>
      <c r="NK341" t="s">
        <v>1007</v>
      </c>
      <c r="NL341" s="4" t="s">
        <v>946</v>
      </c>
      <c r="NM341" s="6" t="s">
        <v>1008</v>
      </c>
      <c r="NU341" t="s">
        <v>1020</v>
      </c>
      <c r="NV341" t="s">
        <v>518</v>
      </c>
      <c r="NW341">
        <v>15924.1</v>
      </c>
      <c r="NX341" s="79" t="s">
        <v>480</v>
      </c>
      <c r="NY341" s="79" t="s">
        <v>480</v>
      </c>
      <c r="OB341">
        <v>3</v>
      </c>
      <c r="OU341" t="s">
        <v>1009</v>
      </c>
      <c r="OV341" s="79"/>
      <c r="OW341">
        <v>2004</v>
      </c>
      <c r="OZ341" t="s">
        <v>1010</v>
      </c>
      <c r="PB341" s="79" t="s">
        <v>522</v>
      </c>
      <c r="PC341" s="50">
        <v>46105</v>
      </c>
    </row>
    <row r="342" spans="1:419" ht="15.75" thickBot="1">
      <c r="A342" t="s">
        <v>469</v>
      </c>
      <c r="B342" t="s">
        <v>991</v>
      </c>
      <c r="C342" t="s">
        <v>863</v>
      </c>
      <c r="D342" s="4" t="s">
        <v>950</v>
      </c>
      <c r="E342" s="83" t="s">
        <v>992</v>
      </c>
      <c r="F342" s="83" t="s">
        <v>952</v>
      </c>
      <c r="G342" s="79" t="s">
        <v>475</v>
      </c>
      <c r="H342" s="79" t="s">
        <v>476</v>
      </c>
      <c r="I342">
        <v>7.2166666666666597</v>
      </c>
      <c r="J342">
        <v>8.18333333333333</v>
      </c>
      <c r="K342" s="78">
        <v>200</v>
      </c>
      <c r="AV342" t="s">
        <v>993</v>
      </c>
      <c r="AW342">
        <v>5.7000000000000002E-2</v>
      </c>
      <c r="AX342" s="79" t="s">
        <v>480</v>
      </c>
      <c r="AY342">
        <v>1</v>
      </c>
      <c r="AZ342" t="s">
        <v>994</v>
      </c>
      <c r="BA342">
        <v>2004</v>
      </c>
      <c r="BC342">
        <v>2004.1</v>
      </c>
      <c r="BD342" t="s">
        <v>1021</v>
      </c>
      <c r="BE342" t="s">
        <v>483</v>
      </c>
      <c r="BF342" s="69" t="s">
        <v>484</v>
      </c>
      <c r="BG342" t="s">
        <v>554</v>
      </c>
      <c r="BH342" t="s">
        <v>1012</v>
      </c>
      <c r="BI342" s="79" t="s">
        <v>486</v>
      </c>
      <c r="BJ342">
        <v>266660</v>
      </c>
      <c r="EG342" s="9"/>
      <c r="EH342" s="9"/>
      <c r="EI342" s="9"/>
      <c r="EJ342" s="9"/>
      <c r="EK342" s="9"/>
      <c r="EL342" s="9"/>
      <c r="EM342" s="9"/>
      <c r="EN342" s="9"/>
      <c r="EO342" s="9"/>
      <c r="EP342" s="9"/>
      <c r="EQ342" s="9"/>
      <c r="ER342" s="9"/>
      <c r="ES342" s="9"/>
      <c r="ET342" s="9"/>
      <c r="EU342" s="9"/>
      <c r="EV342" s="9"/>
      <c r="EW342" s="9"/>
      <c r="EX342" s="9"/>
      <c r="EY342" s="9"/>
      <c r="EZ342" s="9"/>
      <c r="FA342" s="9"/>
      <c r="FB342" s="9"/>
      <c r="FC342" s="9"/>
      <c r="FD342" s="9"/>
      <c r="FE342" s="9"/>
      <c r="FF342" s="9"/>
      <c r="FG342" s="9"/>
      <c r="FH342" s="9"/>
      <c r="FI342" s="9"/>
      <c r="FJ342" s="9"/>
      <c r="FK342" s="9"/>
      <c r="FL342" s="9"/>
      <c r="FM342" s="9"/>
      <c r="FN342" s="9"/>
      <c r="FO342" s="9"/>
      <c r="FP342" s="9"/>
      <c r="FQ342" s="9"/>
      <c r="FR342" s="9"/>
      <c r="FS342" s="9"/>
      <c r="FT342" s="9"/>
      <c r="FU342" s="9"/>
      <c r="FV342" s="9"/>
      <c r="FW342" s="9"/>
      <c r="FX342" s="9"/>
      <c r="FY342" s="9"/>
      <c r="FZ342" s="9"/>
      <c r="GA342" s="9"/>
      <c r="GB342" s="9"/>
      <c r="GC342" s="9"/>
      <c r="GD342" s="9"/>
      <c r="GE342" s="9"/>
      <c r="GF342" s="9"/>
      <c r="GG342" s="9"/>
      <c r="GH342" s="9"/>
      <c r="GI342" s="9"/>
      <c r="GJ342" s="9"/>
      <c r="GK342" s="9"/>
      <c r="GL342" s="9"/>
      <c r="GM342" s="9"/>
      <c r="GN342" s="9"/>
      <c r="GO342" s="9"/>
      <c r="GP342" s="9"/>
      <c r="GQ342" s="9"/>
      <c r="GR342" s="9"/>
      <c r="GS342" s="9"/>
      <c r="GT342" s="9"/>
      <c r="GU342" s="9"/>
      <c r="GV342" s="9"/>
      <c r="GW342" s="9"/>
      <c r="GX342" s="9"/>
      <c r="GY342" s="9"/>
      <c r="GZ342" s="9"/>
      <c r="HA342" s="9"/>
      <c r="HB342" s="9"/>
      <c r="HC342" s="9"/>
      <c r="HD342" s="9"/>
      <c r="HE342" s="9"/>
      <c r="HF342" s="9"/>
      <c r="HG342" s="9"/>
      <c r="HH342" s="9"/>
      <c r="HI342" s="9"/>
      <c r="HJ342" s="9"/>
      <c r="HT342" s="50">
        <v>38127</v>
      </c>
      <c r="HV342" s="50"/>
      <c r="HW342" s="50"/>
      <c r="IH342" t="s">
        <v>1018</v>
      </c>
      <c r="II342" s="79" t="s">
        <v>492</v>
      </c>
      <c r="IJ342" t="s">
        <v>542</v>
      </c>
      <c r="IK342" s="79" t="s">
        <v>543</v>
      </c>
      <c r="IN342" s="78" t="s">
        <v>480</v>
      </c>
      <c r="JJ342" t="s">
        <v>999</v>
      </c>
      <c r="JK342" s="75" t="s">
        <v>494</v>
      </c>
      <c r="JL342" s="79" t="s">
        <v>495</v>
      </c>
      <c r="JP342" s="84" t="s">
        <v>508</v>
      </c>
      <c r="JQ342">
        <v>10</v>
      </c>
      <c r="JT342">
        <v>36</v>
      </c>
      <c r="JU342">
        <v>20</v>
      </c>
      <c r="KE342" t="s">
        <v>1000</v>
      </c>
      <c r="KF342" s="12" t="s">
        <v>1001</v>
      </c>
      <c r="KI342" t="s">
        <v>1002</v>
      </c>
      <c r="KJ342" t="s">
        <v>501</v>
      </c>
      <c r="KK342" s="8" t="s">
        <v>1003</v>
      </c>
      <c r="KL342" s="84" t="s">
        <v>503</v>
      </c>
      <c r="KM342">
        <v>18</v>
      </c>
      <c r="MY342" t="s">
        <v>1004</v>
      </c>
      <c r="MZ342">
        <v>6.3</v>
      </c>
      <c r="NA342" t="s">
        <v>1019</v>
      </c>
      <c r="NB342" t="s">
        <v>554</v>
      </c>
      <c r="NJ342" t="s">
        <v>1006</v>
      </c>
      <c r="NK342" t="s">
        <v>1007</v>
      </c>
      <c r="NL342" s="4" t="s">
        <v>946</v>
      </c>
      <c r="NM342" s="6" t="s">
        <v>1008</v>
      </c>
      <c r="NU342" t="s">
        <v>1022</v>
      </c>
      <c r="NV342" t="s">
        <v>518</v>
      </c>
      <c r="NW342">
        <v>133333.20000000001</v>
      </c>
      <c r="NX342" s="79" t="s">
        <v>480</v>
      </c>
      <c r="NY342" s="79" t="s">
        <v>480</v>
      </c>
      <c r="OB342">
        <v>3</v>
      </c>
      <c r="OU342" t="s">
        <v>1009</v>
      </c>
      <c r="OV342" s="79"/>
      <c r="OW342">
        <v>2004</v>
      </c>
      <c r="OZ342" t="s">
        <v>1010</v>
      </c>
      <c r="PB342" s="79" t="s">
        <v>522</v>
      </c>
      <c r="PC342" s="50">
        <v>46105</v>
      </c>
    </row>
    <row r="343" spans="1:419" ht="15.75" thickBot="1">
      <c r="A343" t="s">
        <v>469</v>
      </c>
      <c r="B343" t="s">
        <v>991</v>
      </c>
      <c r="C343" t="s">
        <v>863</v>
      </c>
      <c r="D343" s="4" t="s">
        <v>950</v>
      </c>
      <c r="E343" s="83" t="s">
        <v>992</v>
      </c>
      <c r="F343" s="83" t="s">
        <v>952</v>
      </c>
      <c r="G343" s="79" t="s">
        <v>475</v>
      </c>
      <c r="H343" s="79" t="s">
        <v>476</v>
      </c>
      <c r="I343">
        <v>7.2166666666666597</v>
      </c>
      <c r="J343">
        <v>8.18333333333333</v>
      </c>
      <c r="K343" s="78">
        <v>200</v>
      </c>
      <c r="AV343" t="s">
        <v>993</v>
      </c>
      <c r="AW343">
        <v>5.7000000000000002E-2</v>
      </c>
      <c r="AX343" s="79" t="s">
        <v>480</v>
      </c>
      <c r="AY343">
        <v>1</v>
      </c>
      <c r="AZ343" t="s">
        <v>994</v>
      </c>
      <c r="BA343">
        <v>2004</v>
      </c>
      <c r="BC343">
        <v>2004.1</v>
      </c>
      <c r="BD343" t="s">
        <v>1023</v>
      </c>
      <c r="BE343" t="s">
        <v>593</v>
      </c>
      <c r="BF343" s="69" t="s">
        <v>484</v>
      </c>
      <c r="BG343" t="s">
        <v>485</v>
      </c>
      <c r="BH343" t="s">
        <v>996</v>
      </c>
      <c r="BI343" s="79" t="s">
        <v>486</v>
      </c>
      <c r="BJ343">
        <v>53330</v>
      </c>
      <c r="EG343" s="9"/>
      <c r="EH343" s="9"/>
      <c r="EI343" s="9"/>
      <c r="EJ343" s="9"/>
      <c r="EK343" s="9"/>
      <c r="EL343" s="9"/>
      <c r="EM343" s="9"/>
      <c r="EN343" s="9"/>
      <c r="EO343" s="9"/>
      <c r="EP343" s="9"/>
      <c r="EQ343" s="9"/>
      <c r="ER343" s="9"/>
      <c r="ES343" s="9"/>
      <c r="ET343" s="9"/>
      <c r="EU343" s="9"/>
      <c r="EV343" s="9"/>
      <c r="EW343" s="9"/>
      <c r="EX343" s="9"/>
      <c r="EY343" s="9"/>
      <c r="EZ343" s="9"/>
      <c r="FA343" s="9"/>
      <c r="FB343" s="9"/>
      <c r="FC343" s="9"/>
      <c r="FD343" s="9"/>
      <c r="FE343" s="9"/>
      <c r="FF343" s="9"/>
      <c r="FG343" s="9"/>
      <c r="FH343" s="9"/>
      <c r="FI343" s="9"/>
      <c r="FJ343" s="9"/>
      <c r="FK343" s="9"/>
      <c r="FL343" s="9"/>
      <c r="FM343" s="9"/>
      <c r="FN343" s="9"/>
      <c r="FO343" s="9"/>
      <c r="FP343" s="9"/>
      <c r="FQ343" s="9"/>
      <c r="FR343" s="9"/>
      <c r="FS343" s="9"/>
      <c r="FT343" s="9"/>
      <c r="FU343" s="9"/>
      <c r="FV343" s="9"/>
      <c r="FW343" s="9"/>
      <c r="FX343" s="9"/>
      <c r="FY343" s="9"/>
      <c r="FZ343" s="9"/>
      <c r="GA343" s="9"/>
      <c r="GB343" s="9"/>
      <c r="GC343" s="9"/>
      <c r="GD343" s="9"/>
      <c r="GE343" s="9"/>
      <c r="GF343" s="9"/>
      <c r="GG343" s="9"/>
      <c r="GH343" s="9"/>
      <c r="GI343" s="9"/>
      <c r="GJ343" s="9"/>
      <c r="GK343" s="9"/>
      <c r="GL343" s="9"/>
      <c r="GM343" s="9"/>
      <c r="GN343" s="9"/>
      <c r="GO343" s="9"/>
      <c r="GP343" s="9"/>
      <c r="GQ343" s="9"/>
      <c r="GR343" s="9"/>
      <c r="GS343" s="9"/>
      <c r="GT343" s="9"/>
      <c r="GU343" s="9"/>
      <c r="GV343" s="9"/>
      <c r="GW343" s="9"/>
      <c r="GX343" s="9"/>
      <c r="GY343" s="9"/>
      <c r="GZ343" s="9"/>
      <c r="HA343" s="9"/>
      <c r="HB343" s="9"/>
      <c r="HC343" s="9"/>
      <c r="HD343" s="9"/>
      <c r="HE343" s="9"/>
      <c r="HF343" s="9"/>
      <c r="HG343" s="9"/>
      <c r="HH343" s="9"/>
      <c r="HI343" s="9"/>
      <c r="HJ343" s="9"/>
      <c r="HT343" s="50">
        <v>38127</v>
      </c>
      <c r="HV343" s="50"/>
      <c r="HW343" s="50"/>
      <c r="IH343" t="s">
        <v>1018</v>
      </c>
      <c r="II343" s="79" t="s">
        <v>492</v>
      </c>
      <c r="IJ343" t="s">
        <v>542</v>
      </c>
      <c r="IK343" s="79" t="s">
        <v>543</v>
      </c>
      <c r="IN343" s="78" t="s">
        <v>480</v>
      </c>
      <c r="JJ343" t="s">
        <v>999</v>
      </c>
      <c r="JK343" s="75" t="s">
        <v>494</v>
      </c>
      <c r="JL343" s="79" t="s">
        <v>495</v>
      </c>
      <c r="JP343" s="84" t="s">
        <v>508</v>
      </c>
      <c r="JQ343">
        <v>90</v>
      </c>
      <c r="JT343">
        <v>45</v>
      </c>
      <c r="JU343">
        <v>45</v>
      </c>
      <c r="KE343" t="s">
        <v>1000</v>
      </c>
      <c r="KF343" s="12" t="s">
        <v>1001</v>
      </c>
      <c r="KI343" t="s">
        <v>1002</v>
      </c>
      <c r="KJ343" t="s">
        <v>501</v>
      </c>
      <c r="KK343" s="8" t="s">
        <v>1003</v>
      </c>
      <c r="KL343" s="84" t="s">
        <v>503</v>
      </c>
      <c r="KM343">
        <v>18</v>
      </c>
      <c r="MY343" t="s">
        <v>1004</v>
      </c>
      <c r="MZ343">
        <v>6.3</v>
      </c>
      <c r="NA343" t="s">
        <v>1024</v>
      </c>
      <c r="NB343" t="s">
        <v>485</v>
      </c>
      <c r="NJ343" t="s">
        <v>1006</v>
      </c>
      <c r="NK343" t="s">
        <v>1007</v>
      </c>
      <c r="NL343" s="4" t="s">
        <v>946</v>
      </c>
      <c r="NM343" s="6" t="s">
        <v>1008</v>
      </c>
      <c r="NU343" t="s">
        <v>1025</v>
      </c>
      <c r="NV343" t="s">
        <v>518</v>
      </c>
      <c r="NW343">
        <v>204232.8</v>
      </c>
      <c r="NX343" s="79" t="s">
        <v>480</v>
      </c>
      <c r="NY343" s="79" t="s">
        <v>480</v>
      </c>
      <c r="OB343">
        <v>3</v>
      </c>
      <c r="OU343" t="s">
        <v>1009</v>
      </c>
      <c r="OV343" s="79"/>
      <c r="OW343">
        <v>2004</v>
      </c>
      <c r="OZ343" t="s">
        <v>1010</v>
      </c>
      <c r="PB343" s="79" t="s">
        <v>522</v>
      </c>
      <c r="PC343" s="50">
        <v>46105</v>
      </c>
    </row>
    <row r="344" spans="1:419" ht="15.75" thickBot="1">
      <c r="A344" t="s">
        <v>469</v>
      </c>
      <c r="B344" t="s">
        <v>991</v>
      </c>
      <c r="C344" t="s">
        <v>863</v>
      </c>
      <c r="D344" s="4" t="s">
        <v>950</v>
      </c>
      <c r="E344" s="83" t="s">
        <v>992</v>
      </c>
      <c r="F344" s="83" t="s">
        <v>952</v>
      </c>
      <c r="G344" s="79" t="s">
        <v>475</v>
      </c>
      <c r="H344" s="79" t="s">
        <v>476</v>
      </c>
      <c r="I344">
        <v>7.2166666666666597</v>
      </c>
      <c r="J344">
        <v>8.18333333333333</v>
      </c>
      <c r="K344" s="78">
        <v>200</v>
      </c>
      <c r="AV344" t="s">
        <v>993</v>
      </c>
      <c r="AW344">
        <v>5.7000000000000002E-2</v>
      </c>
      <c r="AX344" s="79" t="s">
        <v>480</v>
      </c>
      <c r="AY344">
        <v>1</v>
      </c>
      <c r="AZ344" t="s">
        <v>1026</v>
      </c>
      <c r="BA344">
        <v>2004</v>
      </c>
      <c r="BC344">
        <v>2004.2</v>
      </c>
      <c r="BD344" t="s">
        <v>995</v>
      </c>
      <c r="BE344" t="s">
        <v>536</v>
      </c>
      <c r="BF344" s="69" t="s">
        <v>484</v>
      </c>
      <c r="BG344" t="s">
        <v>485</v>
      </c>
      <c r="BH344" t="s">
        <v>996</v>
      </c>
      <c r="BI344" s="79" t="s">
        <v>486</v>
      </c>
      <c r="BJ344">
        <v>38000</v>
      </c>
      <c r="BK344" t="s">
        <v>537</v>
      </c>
      <c r="BL344" t="s">
        <v>554</v>
      </c>
      <c r="BM344" t="s">
        <v>997</v>
      </c>
      <c r="BN344" s="79" t="s">
        <v>486</v>
      </c>
      <c r="BO344">
        <v>266660</v>
      </c>
      <c r="EG344" s="9"/>
      <c r="EH344" s="9"/>
      <c r="EI344" s="9"/>
      <c r="EJ344" s="9"/>
      <c r="EK344" s="9"/>
      <c r="EL344" s="9"/>
      <c r="EM344" s="9"/>
      <c r="EN344" s="9"/>
      <c r="EO344" s="9"/>
      <c r="EP344" s="9"/>
      <c r="EQ344" s="9"/>
      <c r="ER344" s="9"/>
      <c r="ES344" s="9"/>
      <c r="ET344" s="9"/>
      <c r="EU344" s="9"/>
      <c r="EV344" s="9"/>
      <c r="EW344" s="9"/>
      <c r="EX344" s="9"/>
      <c r="EY344" s="9"/>
      <c r="EZ344" s="9"/>
      <c r="FA344" s="9"/>
      <c r="FB344" s="9"/>
      <c r="FC344" s="9"/>
      <c r="FD344" s="9"/>
      <c r="FE344" s="9"/>
      <c r="FF344" s="9"/>
      <c r="FG344" s="9"/>
      <c r="FH344" s="9"/>
      <c r="FI344" s="9"/>
      <c r="FJ344" s="9"/>
      <c r="FK344" s="9"/>
      <c r="FL344" s="9"/>
      <c r="FM344" s="9"/>
      <c r="FN344" s="9"/>
      <c r="FO344" s="9"/>
      <c r="FP344" s="9"/>
      <c r="FQ344" s="9"/>
      <c r="FR344" s="9"/>
      <c r="FS344" s="9"/>
      <c r="FT344" s="9"/>
      <c r="FU344" s="9"/>
      <c r="FV344" s="9"/>
      <c r="FW344" s="9"/>
      <c r="FX344" s="9"/>
      <c r="FY344" s="9"/>
      <c r="FZ344" s="9"/>
      <c r="GA344" s="9"/>
      <c r="GB344" s="9"/>
      <c r="GC344" s="9"/>
      <c r="GD344" s="9"/>
      <c r="GE344" s="9"/>
      <c r="GF344" s="9"/>
      <c r="GG344" s="9"/>
      <c r="GH344" s="9"/>
      <c r="GI344" s="9"/>
      <c r="GJ344" s="9"/>
      <c r="GK344" s="9"/>
      <c r="GL344" s="9"/>
      <c r="GM344" s="9"/>
      <c r="GN344" s="9"/>
      <c r="GO344" s="9"/>
      <c r="GP344" s="9"/>
      <c r="GQ344" s="9"/>
      <c r="GR344" s="9"/>
      <c r="GS344" s="9"/>
      <c r="GT344" s="9"/>
      <c r="GU344" s="9"/>
      <c r="GV344" s="9"/>
      <c r="GW344" s="9"/>
      <c r="GX344" s="9"/>
      <c r="GY344" s="9"/>
      <c r="GZ344" s="9"/>
      <c r="HA344" s="9"/>
      <c r="HB344" s="9"/>
      <c r="HC344" s="9"/>
      <c r="HD344" s="9"/>
      <c r="HE344" s="9"/>
      <c r="HF344" s="9"/>
      <c r="HG344" s="9"/>
      <c r="HH344" s="9"/>
      <c r="HI344" s="9"/>
      <c r="HJ344" s="9"/>
      <c r="HT344" s="50">
        <v>45494</v>
      </c>
      <c r="HV344" s="50"/>
      <c r="HW344" s="50"/>
      <c r="IH344" t="s">
        <v>998</v>
      </c>
      <c r="II344" s="79" t="s">
        <v>882</v>
      </c>
      <c r="IJ344" t="s">
        <v>542</v>
      </c>
      <c r="IK344" s="79" t="s">
        <v>543</v>
      </c>
      <c r="IN344" s="78" t="s">
        <v>480</v>
      </c>
      <c r="JJ344" t="s">
        <v>999</v>
      </c>
      <c r="JK344" s="75" t="s">
        <v>494</v>
      </c>
      <c r="JL344" s="79" t="s">
        <v>495</v>
      </c>
      <c r="JP344" s="84" t="s">
        <v>508</v>
      </c>
      <c r="JQ344">
        <v>100</v>
      </c>
      <c r="JT344">
        <v>81</v>
      </c>
      <c r="JU344">
        <v>65</v>
      </c>
      <c r="KE344" t="s">
        <v>1000</v>
      </c>
      <c r="KF344" s="12" t="s">
        <v>1001</v>
      </c>
      <c r="KI344" t="s">
        <v>1002</v>
      </c>
      <c r="KJ344" t="s">
        <v>501</v>
      </c>
      <c r="KK344" s="8" t="s">
        <v>1003</v>
      </c>
      <c r="KL344" s="84" t="s">
        <v>503</v>
      </c>
      <c r="KM344">
        <v>18</v>
      </c>
      <c r="MY344" t="s">
        <v>1004</v>
      </c>
      <c r="MZ344">
        <v>6.3</v>
      </c>
      <c r="NA344" t="s">
        <v>1005</v>
      </c>
      <c r="NB344" t="s">
        <v>485</v>
      </c>
      <c r="NC344" t="s">
        <v>554</v>
      </c>
      <c r="NJ344" t="s">
        <v>1006</v>
      </c>
      <c r="NK344" t="s">
        <v>1007</v>
      </c>
      <c r="NL344" s="4" t="s">
        <v>946</v>
      </c>
      <c r="NM344" s="6" t="s">
        <v>1008</v>
      </c>
      <c r="NV344" t="s">
        <v>518</v>
      </c>
      <c r="NW344">
        <v>234391.1</v>
      </c>
      <c r="NX344" s="79" t="s">
        <v>480</v>
      </c>
      <c r="NY344" s="79" t="s">
        <v>480</v>
      </c>
      <c r="OB344">
        <v>3</v>
      </c>
      <c r="OU344" t="s">
        <v>1027</v>
      </c>
      <c r="OV344" s="79"/>
      <c r="OW344">
        <v>2004</v>
      </c>
      <c r="OZ344" t="s">
        <v>1028</v>
      </c>
      <c r="PB344" s="79" t="s">
        <v>522</v>
      </c>
      <c r="PC344" s="50">
        <v>46105</v>
      </c>
    </row>
    <row r="345" spans="1:419" ht="15.75" thickBot="1">
      <c r="A345" t="s">
        <v>469</v>
      </c>
      <c r="B345" t="s">
        <v>991</v>
      </c>
      <c r="C345" t="s">
        <v>863</v>
      </c>
      <c r="D345" s="4" t="s">
        <v>950</v>
      </c>
      <c r="E345" s="83" t="s">
        <v>992</v>
      </c>
      <c r="F345" s="83" t="s">
        <v>952</v>
      </c>
      <c r="G345" s="79" t="s">
        <v>475</v>
      </c>
      <c r="H345" s="79" t="s">
        <v>476</v>
      </c>
      <c r="I345">
        <v>7.2166666666666597</v>
      </c>
      <c r="J345">
        <v>8.18333333333333</v>
      </c>
      <c r="K345" s="78">
        <v>200</v>
      </c>
      <c r="AV345" t="s">
        <v>993</v>
      </c>
      <c r="AW345">
        <v>5.7000000000000002E-2</v>
      </c>
      <c r="AX345" s="79" t="s">
        <v>480</v>
      </c>
      <c r="AY345">
        <v>1</v>
      </c>
      <c r="AZ345" t="s">
        <v>1026</v>
      </c>
      <c r="BA345">
        <v>2004</v>
      </c>
      <c r="BC345">
        <v>2004.2</v>
      </c>
      <c r="BD345" t="s">
        <v>1011</v>
      </c>
      <c r="BE345" t="s">
        <v>566</v>
      </c>
      <c r="BF345" s="69" t="s">
        <v>484</v>
      </c>
      <c r="BG345" t="s">
        <v>485</v>
      </c>
      <c r="BH345" t="s">
        <v>996</v>
      </c>
      <c r="BI345" s="79" t="s">
        <v>486</v>
      </c>
      <c r="BJ345">
        <v>38000</v>
      </c>
      <c r="BK345" t="s">
        <v>537</v>
      </c>
      <c r="BL345" t="s">
        <v>554</v>
      </c>
      <c r="BM345" t="s">
        <v>1012</v>
      </c>
      <c r="BN345" s="79" t="s">
        <v>486</v>
      </c>
      <c r="BO345">
        <v>266660</v>
      </c>
      <c r="EG345" s="9"/>
      <c r="EH345" s="9"/>
      <c r="EI345" s="9"/>
      <c r="EJ345" s="9"/>
      <c r="EK345" s="9"/>
      <c r="EL345" s="9"/>
      <c r="EM345" s="9"/>
      <c r="EN345" s="9"/>
      <c r="EO345" s="9"/>
      <c r="EP345" s="9"/>
      <c r="EQ345" s="9"/>
      <c r="ER345" s="9"/>
      <c r="ES345" s="9"/>
      <c r="ET345" s="9"/>
      <c r="EU345" s="9"/>
      <c r="EV345" s="9"/>
      <c r="EW345" s="9"/>
      <c r="EX345" s="9"/>
      <c r="EY345" s="9"/>
      <c r="EZ345" s="9"/>
      <c r="FA345" s="9"/>
      <c r="FB345" s="9"/>
      <c r="FC345" s="9"/>
      <c r="FD345" s="9"/>
      <c r="FE345" s="9"/>
      <c r="FF345" s="9"/>
      <c r="FG345" s="9"/>
      <c r="FH345" s="9"/>
      <c r="FI345" s="9"/>
      <c r="FJ345" s="9"/>
      <c r="FK345" s="9"/>
      <c r="FL345" s="9"/>
      <c r="FM345" s="9"/>
      <c r="FN345" s="9"/>
      <c r="FO345" s="9"/>
      <c r="FP345" s="9"/>
      <c r="FQ345" s="9"/>
      <c r="FR345" s="9"/>
      <c r="FS345" s="9"/>
      <c r="FT345" s="9"/>
      <c r="FU345" s="9"/>
      <c r="FV345" s="9"/>
      <c r="FW345" s="9"/>
      <c r="FX345" s="9"/>
      <c r="FY345" s="9"/>
      <c r="FZ345" s="9"/>
      <c r="GA345" s="9"/>
      <c r="GB345" s="9"/>
      <c r="GC345" s="9"/>
      <c r="GD345" s="9"/>
      <c r="GE345" s="9"/>
      <c r="GF345" s="9"/>
      <c r="GG345" s="9"/>
      <c r="GH345" s="9"/>
      <c r="GI345" s="9"/>
      <c r="GJ345" s="9"/>
      <c r="GK345" s="9"/>
      <c r="GL345" s="9"/>
      <c r="GM345" s="9"/>
      <c r="GN345" s="9"/>
      <c r="GO345" s="9"/>
      <c r="GP345" s="9"/>
      <c r="GQ345" s="9"/>
      <c r="GR345" s="9"/>
      <c r="GS345" s="9"/>
      <c r="GT345" s="9"/>
      <c r="GU345" s="9"/>
      <c r="GV345" s="9"/>
      <c r="GW345" s="9"/>
      <c r="GX345" s="9"/>
      <c r="GY345" s="9"/>
      <c r="GZ345" s="9"/>
      <c r="HA345" s="9"/>
      <c r="HB345" s="9"/>
      <c r="HC345" s="9"/>
      <c r="HD345" s="9"/>
      <c r="HE345" s="9"/>
      <c r="HF345" s="9"/>
      <c r="HG345" s="9"/>
      <c r="HH345" s="9"/>
      <c r="HI345" s="9"/>
      <c r="HJ345" s="9"/>
      <c r="HT345" s="50">
        <v>45494</v>
      </c>
      <c r="HV345" s="50"/>
      <c r="HW345" s="50"/>
      <c r="IH345" t="s">
        <v>998</v>
      </c>
      <c r="II345" s="79" t="s">
        <v>882</v>
      </c>
      <c r="IJ345" t="s">
        <v>542</v>
      </c>
      <c r="IK345" s="79" t="s">
        <v>543</v>
      </c>
      <c r="IN345" s="78" t="s">
        <v>480</v>
      </c>
      <c r="JJ345" t="s">
        <v>999</v>
      </c>
      <c r="JK345" s="75" t="s">
        <v>494</v>
      </c>
      <c r="JL345" s="79" t="s">
        <v>495</v>
      </c>
      <c r="JP345" s="84" t="s">
        <v>508</v>
      </c>
      <c r="JQ345">
        <v>100</v>
      </c>
      <c r="JT345">
        <v>81</v>
      </c>
      <c r="JU345">
        <v>65</v>
      </c>
      <c r="KE345" t="s">
        <v>1000</v>
      </c>
      <c r="KF345" s="12" t="s">
        <v>1001</v>
      </c>
      <c r="KI345" t="s">
        <v>1002</v>
      </c>
      <c r="KJ345" t="s">
        <v>501</v>
      </c>
      <c r="KK345" s="8" t="s">
        <v>1003</v>
      </c>
      <c r="KL345" s="84" t="s">
        <v>503</v>
      </c>
      <c r="KM345">
        <v>18</v>
      </c>
      <c r="MY345" t="s">
        <v>1004</v>
      </c>
      <c r="MZ345">
        <v>6.3</v>
      </c>
      <c r="NA345" t="s">
        <v>1005</v>
      </c>
      <c r="NB345" t="s">
        <v>485</v>
      </c>
      <c r="NC345" t="s">
        <v>554</v>
      </c>
      <c r="NJ345" t="s">
        <v>1006</v>
      </c>
      <c r="NK345" t="s">
        <v>1007</v>
      </c>
      <c r="NL345" s="4" t="s">
        <v>946</v>
      </c>
      <c r="NM345" s="6" t="s">
        <v>1008</v>
      </c>
      <c r="NV345" t="s">
        <v>518</v>
      </c>
      <c r="NW345">
        <v>179762</v>
      </c>
      <c r="NX345" s="79" t="s">
        <v>480</v>
      </c>
      <c r="NY345" s="79" t="s">
        <v>480</v>
      </c>
      <c r="OB345">
        <v>3</v>
      </c>
      <c r="OU345" t="s">
        <v>1027</v>
      </c>
      <c r="OV345" s="79"/>
      <c r="OW345">
        <v>2004</v>
      </c>
      <c r="OZ345" t="s">
        <v>1028</v>
      </c>
      <c r="PB345" s="79" t="s">
        <v>522</v>
      </c>
      <c r="PC345" s="50">
        <v>46105</v>
      </c>
    </row>
    <row r="346" spans="1:419" ht="15.75" thickBot="1">
      <c r="A346" t="s">
        <v>469</v>
      </c>
      <c r="B346" t="s">
        <v>991</v>
      </c>
      <c r="C346" t="s">
        <v>863</v>
      </c>
      <c r="D346" s="4" t="s">
        <v>950</v>
      </c>
      <c r="E346" s="83" t="s">
        <v>992</v>
      </c>
      <c r="F346" s="83" t="s">
        <v>952</v>
      </c>
      <c r="G346" s="79" t="s">
        <v>475</v>
      </c>
      <c r="H346" s="79" t="s">
        <v>476</v>
      </c>
      <c r="I346">
        <v>7.2166666666666597</v>
      </c>
      <c r="J346">
        <v>8.18333333333333</v>
      </c>
      <c r="K346" s="78">
        <v>200</v>
      </c>
      <c r="AV346" t="s">
        <v>993</v>
      </c>
      <c r="AW346">
        <v>5.7000000000000002E-2</v>
      </c>
      <c r="AX346" s="79" t="s">
        <v>480</v>
      </c>
      <c r="AY346">
        <v>1</v>
      </c>
      <c r="AZ346" t="s">
        <v>1026</v>
      </c>
      <c r="BA346">
        <v>2004</v>
      </c>
      <c r="BC346">
        <v>2004.2</v>
      </c>
      <c r="BD346" t="s">
        <v>1013</v>
      </c>
      <c r="BE346" t="s">
        <v>572</v>
      </c>
      <c r="BF346" s="69" t="s">
        <v>484</v>
      </c>
      <c r="BG346" t="s">
        <v>485</v>
      </c>
      <c r="BH346" t="s">
        <v>996</v>
      </c>
      <c r="BI346" s="79" t="s">
        <v>486</v>
      </c>
      <c r="BJ346">
        <v>44440</v>
      </c>
      <c r="BK346" t="s">
        <v>537</v>
      </c>
      <c r="BL346" t="s">
        <v>554</v>
      </c>
      <c r="BM346" t="s">
        <v>997</v>
      </c>
      <c r="BN346" s="79" t="s">
        <v>486</v>
      </c>
      <c r="BO346">
        <v>266660</v>
      </c>
      <c r="EG346" s="9"/>
      <c r="EH346" s="9"/>
      <c r="EI346" s="9"/>
      <c r="EJ346" s="9"/>
      <c r="EK346" s="9"/>
      <c r="EL346" s="9"/>
      <c r="EM346" s="9"/>
      <c r="EN346" s="9"/>
      <c r="EO346" s="9"/>
      <c r="EP346" s="9"/>
      <c r="EQ346" s="9"/>
      <c r="ER346" s="9"/>
      <c r="ES346" s="9"/>
      <c r="ET346" s="9"/>
      <c r="EU346" s="9"/>
      <c r="EV346" s="9"/>
      <c r="EW346" s="9"/>
      <c r="EX346" s="9"/>
      <c r="EY346" s="9"/>
      <c r="EZ346" s="9"/>
      <c r="FA346" s="9"/>
      <c r="FB346" s="9"/>
      <c r="FC346" s="9"/>
      <c r="FD346" s="9"/>
      <c r="FE346" s="9"/>
      <c r="FF346" s="9"/>
      <c r="FG346" s="9"/>
      <c r="FH346" s="9"/>
      <c r="FI346" s="9"/>
      <c r="FJ346" s="9"/>
      <c r="FK346" s="9"/>
      <c r="FL346" s="9"/>
      <c r="FM346" s="9"/>
      <c r="FN346" s="9"/>
      <c r="FO346" s="9"/>
      <c r="FP346" s="9"/>
      <c r="FQ346" s="9"/>
      <c r="FR346" s="9"/>
      <c r="FS346" s="9"/>
      <c r="FT346" s="9"/>
      <c r="FU346" s="9"/>
      <c r="FV346" s="9"/>
      <c r="FW346" s="9"/>
      <c r="FX346" s="9"/>
      <c r="FY346" s="9"/>
      <c r="FZ346" s="9"/>
      <c r="GA346" s="9"/>
      <c r="GB346" s="9"/>
      <c r="GC346" s="9"/>
      <c r="GD346" s="9"/>
      <c r="GE346" s="9"/>
      <c r="GF346" s="9"/>
      <c r="GG346" s="9"/>
      <c r="GH346" s="9"/>
      <c r="GI346" s="9"/>
      <c r="GJ346" s="9"/>
      <c r="GK346" s="9"/>
      <c r="GL346" s="9"/>
      <c r="GM346" s="9"/>
      <c r="GN346" s="9"/>
      <c r="GO346" s="9"/>
      <c r="GP346" s="9"/>
      <c r="GQ346" s="9"/>
      <c r="GR346" s="9"/>
      <c r="GS346" s="9"/>
      <c r="GT346" s="9"/>
      <c r="GU346" s="9"/>
      <c r="GV346" s="9"/>
      <c r="GW346" s="9"/>
      <c r="GX346" s="9"/>
      <c r="GY346" s="9"/>
      <c r="GZ346" s="9"/>
      <c r="HA346" s="9"/>
      <c r="HB346" s="9"/>
      <c r="HC346" s="9"/>
      <c r="HD346" s="9"/>
      <c r="HE346" s="9"/>
      <c r="HF346" s="9"/>
      <c r="HG346" s="9"/>
      <c r="HH346" s="9"/>
      <c r="HI346" s="9"/>
      <c r="HJ346" s="9"/>
      <c r="HT346" s="50">
        <v>45494</v>
      </c>
      <c r="HV346" s="50"/>
      <c r="HW346" s="50"/>
      <c r="IH346" t="s">
        <v>998</v>
      </c>
      <c r="II346" s="79" t="s">
        <v>882</v>
      </c>
      <c r="IJ346" t="s">
        <v>542</v>
      </c>
      <c r="IK346" s="79" t="s">
        <v>543</v>
      </c>
      <c r="IN346" s="78" t="s">
        <v>480</v>
      </c>
      <c r="JJ346" t="s">
        <v>999</v>
      </c>
      <c r="JK346" s="75" t="s">
        <v>494</v>
      </c>
      <c r="JL346" s="79" t="s">
        <v>495</v>
      </c>
      <c r="JP346" s="84" t="s">
        <v>508</v>
      </c>
      <c r="JQ346">
        <v>100</v>
      </c>
      <c r="JT346">
        <v>81</v>
      </c>
      <c r="JU346">
        <v>65</v>
      </c>
      <c r="KE346" t="s">
        <v>1000</v>
      </c>
      <c r="KF346" s="12" t="s">
        <v>1001</v>
      </c>
      <c r="KI346" t="s">
        <v>1002</v>
      </c>
      <c r="KJ346" t="s">
        <v>501</v>
      </c>
      <c r="KK346" s="8" t="s">
        <v>1003</v>
      </c>
      <c r="KL346" s="84" t="s">
        <v>503</v>
      </c>
      <c r="KM346">
        <v>18</v>
      </c>
      <c r="MY346" t="s">
        <v>1004</v>
      </c>
      <c r="MZ346">
        <v>6.3</v>
      </c>
      <c r="NA346" t="s">
        <v>1005</v>
      </c>
      <c r="NB346" t="s">
        <v>485</v>
      </c>
      <c r="NC346" t="s">
        <v>554</v>
      </c>
      <c r="NJ346" t="s">
        <v>1006</v>
      </c>
      <c r="NK346" t="s">
        <v>1007</v>
      </c>
      <c r="NL346" s="4" t="s">
        <v>946</v>
      </c>
      <c r="NM346" s="6" t="s">
        <v>1008</v>
      </c>
      <c r="NV346" t="s">
        <v>518</v>
      </c>
      <c r="NW346">
        <v>253040.7</v>
      </c>
      <c r="NX346" s="79" t="s">
        <v>480</v>
      </c>
      <c r="NY346" s="79" t="s">
        <v>480</v>
      </c>
      <c r="OB346">
        <v>3</v>
      </c>
      <c r="OU346" t="s">
        <v>1027</v>
      </c>
      <c r="OV346" s="79"/>
      <c r="OW346">
        <v>2004</v>
      </c>
      <c r="OZ346" t="s">
        <v>1028</v>
      </c>
      <c r="PB346" s="79" t="s">
        <v>522</v>
      </c>
      <c r="PC346" s="50">
        <v>46105</v>
      </c>
    </row>
    <row r="347" spans="1:419" ht="15.75" thickBot="1">
      <c r="A347" t="s">
        <v>469</v>
      </c>
      <c r="B347" t="s">
        <v>991</v>
      </c>
      <c r="C347" t="s">
        <v>863</v>
      </c>
      <c r="D347" s="4" t="s">
        <v>950</v>
      </c>
      <c r="E347" s="83" t="s">
        <v>992</v>
      </c>
      <c r="F347" s="83" t="s">
        <v>952</v>
      </c>
      <c r="G347" s="79" t="s">
        <v>475</v>
      </c>
      <c r="H347" s="79" t="s">
        <v>476</v>
      </c>
      <c r="I347">
        <v>7.2166666666666597</v>
      </c>
      <c r="J347">
        <v>8.18333333333333</v>
      </c>
      <c r="K347" s="78">
        <v>200</v>
      </c>
      <c r="AV347" t="s">
        <v>993</v>
      </c>
      <c r="AW347">
        <v>5.7000000000000002E-2</v>
      </c>
      <c r="AX347" s="79" t="s">
        <v>480</v>
      </c>
      <c r="AY347">
        <v>1</v>
      </c>
      <c r="AZ347" t="s">
        <v>1026</v>
      </c>
      <c r="BA347">
        <v>2004</v>
      </c>
      <c r="BC347">
        <v>2004.2</v>
      </c>
      <c r="BD347" t="s">
        <v>1014</v>
      </c>
      <c r="BE347" t="s">
        <v>553</v>
      </c>
      <c r="BF347" s="69" t="s">
        <v>484</v>
      </c>
      <c r="BG347" t="s">
        <v>485</v>
      </c>
      <c r="BH347" t="s">
        <v>996</v>
      </c>
      <c r="BI347" s="79" t="s">
        <v>486</v>
      </c>
      <c r="BJ347">
        <v>44440</v>
      </c>
      <c r="BK347" t="s">
        <v>537</v>
      </c>
      <c r="BL347" t="s">
        <v>554</v>
      </c>
      <c r="BM347" t="s">
        <v>1012</v>
      </c>
      <c r="BN347" s="79" t="s">
        <v>486</v>
      </c>
      <c r="BO347">
        <v>266660</v>
      </c>
      <c r="EG347" s="9"/>
      <c r="EH347" s="9"/>
      <c r="EI347" s="9"/>
      <c r="EJ347" s="9"/>
      <c r="EK347" s="9"/>
      <c r="EL347" s="9"/>
      <c r="EM347" s="9"/>
      <c r="EN347" s="9"/>
      <c r="EO347" s="9"/>
      <c r="EP347" s="9"/>
      <c r="EQ347" s="9"/>
      <c r="ER347" s="9"/>
      <c r="ES347" s="9"/>
      <c r="ET347" s="9"/>
      <c r="EU347" s="9"/>
      <c r="EV347" s="9"/>
      <c r="EW347" s="9"/>
      <c r="EX347" s="9"/>
      <c r="EY347" s="9"/>
      <c r="EZ347" s="9"/>
      <c r="FA347" s="9"/>
      <c r="FB347" s="9"/>
      <c r="FC347" s="9"/>
      <c r="FD347" s="9"/>
      <c r="FE347" s="9"/>
      <c r="FF347" s="9"/>
      <c r="FG347" s="9"/>
      <c r="FH347" s="9"/>
      <c r="FI347" s="9"/>
      <c r="FJ347" s="9"/>
      <c r="FK347" s="9"/>
      <c r="FL347" s="9"/>
      <c r="FM347" s="9"/>
      <c r="FN347" s="9"/>
      <c r="FO347" s="9"/>
      <c r="FP347" s="9"/>
      <c r="FQ347" s="9"/>
      <c r="FR347" s="9"/>
      <c r="FS347" s="9"/>
      <c r="FT347" s="9"/>
      <c r="FU347" s="9"/>
      <c r="FV347" s="9"/>
      <c r="FW347" s="9"/>
      <c r="FX347" s="9"/>
      <c r="FY347" s="9"/>
      <c r="FZ347" s="9"/>
      <c r="GA347" s="9"/>
      <c r="GB347" s="9"/>
      <c r="GC347" s="9"/>
      <c r="GD347" s="9"/>
      <c r="GE347" s="9"/>
      <c r="GF347" s="9"/>
      <c r="GG347" s="9"/>
      <c r="GH347" s="9"/>
      <c r="GI347" s="9"/>
      <c r="GJ347" s="9"/>
      <c r="GK347" s="9"/>
      <c r="GL347" s="9"/>
      <c r="GM347" s="9"/>
      <c r="GN347" s="9"/>
      <c r="GO347" s="9"/>
      <c r="GP347" s="9"/>
      <c r="GQ347" s="9"/>
      <c r="GR347" s="9"/>
      <c r="GS347" s="9"/>
      <c r="GT347" s="9"/>
      <c r="GU347" s="9"/>
      <c r="GV347" s="9"/>
      <c r="GW347" s="9"/>
      <c r="GX347" s="9"/>
      <c r="GY347" s="9"/>
      <c r="GZ347" s="9"/>
      <c r="HA347" s="9"/>
      <c r="HB347" s="9"/>
      <c r="HC347" s="9"/>
      <c r="HD347" s="9"/>
      <c r="HE347" s="9"/>
      <c r="HF347" s="9"/>
      <c r="HG347" s="9"/>
      <c r="HH347" s="9"/>
      <c r="HI347" s="9"/>
      <c r="HJ347" s="9"/>
      <c r="HT347" s="50">
        <v>45494</v>
      </c>
      <c r="HV347" s="50"/>
      <c r="HW347" s="50"/>
      <c r="IH347" t="s">
        <v>998</v>
      </c>
      <c r="II347" s="79" t="s">
        <v>882</v>
      </c>
      <c r="IJ347" t="s">
        <v>542</v>
      </c>
      <c r="IK347" s="79" t="s">
        <v>543</v>
      </c>
      <c r="IN347" s="78" t="s">
        <v>480</v>
      </c>
      <c r="JJ347" t="s">
        <v>999</v>
      </c>
      <c r="JK347" s="75" t="s">
        <v>494</v>
      </c>
      <c r="JL347" s="79" t="s">
        <v>495</v>
      </c>
      <c r="JP347" s="84" t="s">
        <v>508</v>
      </c>
      <c r="JQ347">
        <v>100</v>
      </c>
      <c r="JT347">
        <v>81</v>
      </c>
      <c r="JU347">
        <v>65</v>
      </c>
      <c r="KE347" t="s">
        <v>1000</v>
      </c>
      <c r="KF347" s="12" t="s">
        <v>1001</v>
      </c>
      <c r="KI347" t="s">
        <v>1002</v>
      </c>
      <c r="KJ347" t="s">
        <v>501</v>
      </c>
      <c r="KK347" s="8" t="s">
        <v>1003</v>
      </c>
      <c r="KL347" s="84" t="s">
        <v>503</v>
      </c>
      <c r="KM347">
        <v>18</v>
      </c>
      <c r="MY347" t="s">
        <v>1004</v>
      </c>
      <c r="MZ347">
        <v>6.3</v>
      </c>
      <c r="NA347" t="s">
        <v>1005</v>
      </c>
      <c r="NB347" t="s">
        <v>485</v>
      </c>
      <c r="NC347" t="s">
        <v>554</v>
      </c>
      <c r="NJ347" t="s">
        <v>1006</v>
      </c>
      <c r="NK347" t="s">
        <v>1007</v>
      </c>
      <c r="NL347" s="4" t="s">
        <v>946</v>
      </c>
      <c r="NM347" s="6" t="s">
        <v>1008</v>
      </c>
      <c r="NV347" t="s">
        <v>518</v>
      </c>
      <c r="NW347">
        <v>213844.7</v>
      </c>
      <c r="NX347" s="79" t="s">
        <v>480</v>
      </c>
      <c r="NY347" s="79" t="s">
        <v>480</v>
      </c>
      <c r="OB347">
        <v>3</v>
      </c>
      <c r="OU347" t="s">
        <v>1027</v>
      </c>
      <c r="OV347" s="79"/>
      <c r="OW347">
        <v>2004</v>
      </c>
      <c r="OZ347" t="s">
        <v>1028</v>
      </c>
      <c r="PB347" s="79" t="s">
        <v>522</v>
      </c>
      <c r="PC347" s="50">
        <v>46105</v>
      </c>
    </row>
    <row r="348" spans="1:419" ht="15.75" thickBot="1">
      <c r="A348" t="s">
        <v>469</v>
      </c>
      <c r="B348" t="s">
        <v>991</v>
      </c>
      <c r="C348" t="s">
        <v>863</v>
      </c>
      <c r="D348" s="4" t="s">
        <v>950</v>
      </c>
      <c r="E348" s="83" t="s">
        <v>992</v>
      </c>
      <c r="F348" s="83" t="s">
        <v>952</v>
      </c>
      <c r="G348" s="79" t="s">
        <v>475</v>
      </c>
      <c r="H348" s="79" t="s">
        <v>476</v>
      </c>
      <c r="I348">
        <v>7.2166666666666597</v>
      </c>
      <c r="J348">
        <v>8.18333333333333</v>
      </c>
      <c r="K348" s="78">
        <v>200</v>
      </c>
      <c r="AV348" t="s">
        <v>993</v>
      </c>
      <c r="AW348">
        <v>5.7000000000000002E-2</v>
      </c>
      <c r="AX348" s="79" t="s">
        <v>480</v>
      </c>
      <c r="AY348">
        <v>1</v>
      </c>
      <c r="AZ348" t="s">
        <v>1026</v>
      </c>
      <c r="BA348">
        <v>2004</v>
      </c>
      <c r="BC348">
        <v>2004.2</v>
      </c>
      <c r="BD348" t="s">
        <v>1015</v>
      </c>
      <c r="BE348" t="s">
        <v>607</v>
      </c>
      <c r="BF348" s="69" t="s">
        <v>484</v>
      </c>
      <c r="BG348" t="s">
        <v>485</v>
      </c>
      <c r="BH348" t="s">
        <v>996</v>
      </c>
      <c r="BI348" s="79" t="s">
        <v>486</v>
      </c>
      <c r="BJ348">
        <v>53330</v>
      </c>
      <c r="BK348" t="s">
        <v>537</v>
      </c>
      <c r="BL348" t="s">
        <v>554</v>
      </c>
      <c r="BM348" t="s">
        <v>997</v>
      </c>
      <c r="BN348" s="79" t="s">
        <v>486</v>
      </c>
      <c r="BO348">
        <v>266660</v>
      </c>
      <c r="EG348" s="9"/>
      <c r="EH348" s="9"/>
      <c r="EI348" s="9"/>
      <c r="EJ348" s="9"/>
      <c r="EK348" s="9"/>
      <c r="EL348" s="9"/>
      <c r="EM348" s="9"/>
      <c r="EN348" s="9"/>
      <c r="EO348" s="9"/>
      <c r="EP348" s="9"/>
      <c r="EQ348" s="9"/>
      <c r="ER348" s="9"/>
      <c r="ES348" s="9"/>
      <c r="ET348" s="9"/>
      <c r="EU348" s="9"/>
      <c r="EV348" s="9"/>
      <c r="EW348" s="9"/>
      <c r="EX348" s="9"/>
      <c r="EY348" s="9"/>
      <c r="EZ348" s="9"/>
      <c r="FA348" s="9"/>
      <c r="FB348" s="9"/>
      <c r="FC348" s="9"/>
      <c r="FD348" s="9"/>
      <c r="FE348" s="9"/>
      <c r="FF348" s="9"/>
      <c r="FG348" s="9"/>
      <c r="FH348" s="9"/>
      <c r="FI348" s="9"/>
      <c r="FJ348" s="9"/>
      <c r="FK348" s="9"/>
      <c r="FL348" s="9"/>
      <c r="FM348" s="9"/>
      <c r="FN348" s="9"/>
      <c r="FO348" s="9"/>
      <c r="FP348" s="9"/>
      <c r="FQ348" s="9"/>
      <c r="FR348" s="9"/>
      <c r="FS348" s="9"/>
      <c r="FT348" s="9"/>
      <c r="FU348" s="9"/>
      <c r="FV348" s="9"/>
      <c r="FW348" s="9"/>
      <c r="FX348" s="9"/>
      <c r="FY348" s="9"/>
      <c r="FZ348" s="9"/>
      <c r="GA348" s="9"/>
      <c r="GB348" s="9"/>
      <c r="GC348" s="9"/>
      <c r="GD348" s="9"/>
      <c r="GE348" s="9"/>
      <c r="GF348" s="9"/>
      <c r="GG348" s="9"/>
      <c r="GH348" s="9"/>
      <c r="GI348" s="9"/>
      <c r="GJ348" s="9"/>
      <c r="GK348" s="9"/>
      <c r="GL348" s="9"/>
      <c r="GM348" s="9"/>
      <c r="GN348" s="9"/>
      <c r="GO348" s="9"/>
      <c r="GP348" s="9"/>
      <c r="GQ348" s="9"/>
      <c r="GR348" s="9"/>
      <c r="GS348" s="9"/>
      <c r="GT348" s="9"/>
      <c r="GU348" s="9"/>
      <c r="GV348" s="9"/>
      <c r="GW348" s="9"/>
      <c r="GX348" s="9"/>
      <c r="GY348" s="9"/>
      <c r="GZ348" s="9"/>
      <c r="HA348" s="9"/>
      <c r="HB348" s="9"/>
      <c r="HC348" s="9"/>
      <c r="HD348" s="9"/>
      <c r="HE348" s="9"/>
      <c r="HF348" s="9"/>
      <c r="HG348" s="9"/>
      <c r="HH348" s="9"/>
      <c r="HI348" s="9"/>
      <c r="HJ348" s="9"/>
      <c r="HT348" s="50">
        <v>45494</v>
      </c>
      <c r="HV348" s="50"/>
      <c r="HW348" s="50"/>
      <c r="IH348" t="s">
        <v>998</v>
      </c>
      <c r="II348" s="79" t="s">
        <v>882</v>
      </c>
      <c r="IJ348" t="s">
        <v>542</v>
      </c>
      <c r="IK348" s="79" t="s">
        <v>543</v>
      </c>
      <c r="IN348" s="78" t="s">
        <v>480</v>
      </c>
      <c r="JJ348" t="s">
        <v>999</v>
      </c>
      <c r="JK348" s="75" t="s">
        <v>494</v>
      </c>
      <c r="JL348" s="79" t="s">
        <v>495</v>
      </c>
      <c r="JP348" s="84" t="s">
        <v>508</v>
      </c>
      <c r="JQ348">
        <v>100</v>
      </c>
      <c r="JT348">
        <v>81</v>
      </c>
      <c r="JU348">
        <v>65</v>
      </c>
      <c r="KE348" t="s">
        <v>1000</v>
      </c>
      <c r="KF348" s="12" t="s">
        <v>1001</v>
      </c>
      <c r="KI348" t="s">
        <v>1002</v>
      </c>
      <c r="KJ348" t="s">
        <v>501</v>
      </c>
      <c r="KK348" s="8" t="s">
        <v>1003</v>
      </c>
      <c r="KL348" s="84" t="s">
        <v>503</v>
      </c>
      <c r="KM348">
        <v>18</v>
      </c>
      <c r="MY348" t="s">
        <v>1004</v>
      </c>
      <c r="MZ348">
        <v>6.3</v>
      </c>
      <c r="NA348" t="s">
        <v>1005</v>
      </c>
      <c r="NB348" t="s">
        <v>485</v>
      </c>
      <c r="NC348" t="s">
        <v>554</v>
      </c>
      <c r="NJ348" t="s">
        <v>1006</v>
      </c>
      <c r="NK348" t="s">
        <v>1007</v>
      </c>
      <c r="NL348" s="4" t="s">
        <v>946</v>
      </c>
      <c r="NM348" s="6" t="s">
        <v>1008</v>
      </c>
      <c r="NV348" t="s">
        <v>518</v>
      </c>
      <c r="NW348">
        <v>283069.7</v>
      </c>
      <c r="NX348" s="79" t="s">
        <v>480</v>
      </c>
      <c r="NY348" s="79" t="s">
        <v>480</v>
      </c>
      <c r="OB348">
        <v>3</v>
      </c>
      <c r="OU348" t="s">
        <v>1027</v>
      </c>
      <c r="OV348" s="79"/>
      <c r="OW348">
        <v>2004</v>
      </c>
      <c r="OZ348" t="s">
        <v>1028</v>
      </c>
      <c r="PB348" s="79" t="s">
        <v>522</v>
      </c>
      <c r="PC348" s="50">
        <v>46105</v>
      </c>
    </row>
    <row r="349" spans="1:419" ht="15.75" thickBot="1">
      <c r="A349" t="s">
        <v>469</v>
      </c>
      <c r="B349" t="s">
        <v>991</v>
      </c>
      <c r="C349" t="s">
        <v>863</v>
      </c>
      <c r="D349" s="4" t="s">
        <v>950</v>
      </c>
      <c r="E349" s="83" t="s">
        <v>992</v>
      </c>
      <c r="F349" s="83" t="s">
        <v>952</v>
      </c>
      <c r="G349" s="79" t="s">
        <v>475</v>
      </c>
      <c r="H349" s="79" t="s">
        <v>476</v>
      </c>
      <c r="I349">
        <v>7.2166666666666597</v>
      </c>
      <c r="J349">
        <v>8.18333333333333</v>
      </c>
      <c r="K349" s="78">
        <v>200</v>
      </c>
      <c r="AV349" t="s">
        <v>993</v>
      </c>
      <c r="AW349">
        <v>5.7000000000000002E-2</v>
      </c>
      <c r="AX349" s="79" t="s">
        <v>480</v>
      </c>
      <c r="AY349">
        <v>1</v>
      </c>
      <c r="AZ349" t="s">
        <v>1026</v>
      </c>
      <c r="BA349">
        <v>2004</v>
      </c>
      <c r="BC349">
        <v>2004.2</v>
      </c>
      <c r="BD349" t="s">
        <v>1016</v>
      </c>
      <c r="BE349" t="s">
        <v>611</v>
      </c>
      <c r="BF349" s="69" t="s">
        <v>484</v>
      </c>
      <c r="BG349" t="s">
        <v>485</v>
      </c>
      <c r="BH349" t="s">
        <v>996</v>
      </c>
      <c r="BI349" s="79" t="s">
        <v>486</v>
      </c>
      <c r="BJ349">
        <v>53330</v>
      </c>
      <c r="BK349" t="s">
        <v>537</v>
      </c>
      <c r="BL349" t="s">
        <v>554</v>
      </c>
      <c r="BM349" t="s">
        <v>1012</v>
      </c>
      <c r="BN349" s="79" t="s">
        <v>486</v>
      </c>
      <c r="BO349">
        <v>266660</v>
      </c>
      <c r="EG349" s="9"/>
      <c r="EH349" s="9"/>
      <c r="EI349" s="9"/>
      <c r="EJ349" s="9"/>
      <c r="EK349" s="9"/>
      <c r="EL349" s="9"/>
      <c r="EM349" s="9"/>
      <c r="EN349" s="9"/>
      <c r="EO349" s="9"/>
      <c r="EP349" s="9"/>
      <c r="EQ349" s="9"/>
      <c r="ER349" s="9"/>
      <c r="ES349" s="9"/>
      <c r="ET349" s="9"/>
      <c r="EU349" s="9"/>
      <c r="EV349" s="9"/>
      <c r="EW349" s="9"/>
      <c r="EX349" s="9"/>
      <c r="EY349" s="9"/>
      <c r="EZ349" s="9"/>
      <c r="FA349" s="9"/>
      <c r="FB349" s="9"/>
      <c r="FC349" s="9"/>
      <c r="FD349" s="9"/>
      <c r="FE349" s="9"/>
      <c r="FF349" s="9"/>
      <c r="FG349" s="9"/>
      <c r="FH349" s="9"/>
      <c r="FI349" s="9"/>
      <c r="FJ349" s="9"/>
      <c r="FK349" s="9"/>
      <c r="FL349" s="9"/>
      <c r="FM349" s="9"/>
      <c r="FN349" s="9"/>
      <c r="FO349" s="9"/>
      <c r="FP349" s="9"/>
      <c r="FQ349" s="9"/>
      <c r="FR349" s="9"/>
      <c r="FS349" s="9"/>
      <c r="FT349" s="9"/>
      <c r="FU349" s="9"/>
      <c r="FV349" s="9"/>
      <c r="FW349" s="9"/>
      <c r="FX349" s="9"/>
      <c r="FY349" s="9"/>
      <c r="FZ349" s="9"/>
      <c r="GA349" s="9"/>
      <c r="GB349" s="9"/>
      <c r="GC349" s="9"/>
      <c r="GD349" s="9"/>
      <c r="GE349" s="9"/>
      <c r="GF349" s="9"/>
      <c r="GG349" s="9"/>
      <c r="GH349" s="9"/>
      <c r="GI349" s="9"/>
      <c r="GJ349" s="9"/>
      <c r="GK349" s="9"/>
      <c r="GL349" s="9"/>
      <c r="GM349" s="9"/>
      <c r="GN349" s="9"/>
      <c r="GO349" s="9"/>
      <c r="GP349" s="9"/>
      <c r="GQ349" s="9"/>
      <c r="GR349" s="9"/>
      <c r="GS349" s="9"/>
      <c r="GT349" s="9"/>
      <c r="GU349" s="9"/>
      <c r="GV349" s="9"/>
      <c r="GW349" s="9"/>
      <c r="GX349" s="9"/>
      <c r="GY349" s="9"/>
      <c r="GZ349" s="9"/>
      <c r="HA349" s="9"/>
      <c r="HB349" s="9"/>
      <c r="HC349" s="9"/>
      <c r="HD349" s="9"/>
      <c r="HE349" s="9"/>
      <c r="HF349" s="9"/>
      <c r="HG349" s="9"/>
      <c r="HH349" s="9"/>
      <c r="HI349" s="9"/>
      <c r="HJ349" s="9"/>
      <c r="HT349" s="50">
        <v>45494</v>
      </c>
      <c r="HV349" s="50"/>
      <c r="HW349" s="50"/>
      <c r="IH349" t="s">
        <v>998</v>
      </c>
      <c r="II349" s="79" t="s">
        <v>882</v>
      </c>
      <c r="IJ349" t="s">
        <v>542</v>
      </c>
      <c r="IK349" s="79" t="s">
        <v>543</v>
      </c>
      <c r="IN349" s="78" t="s">
        <v>480</v>
      </c>
      <c r="JJ349" t="s">
        <v>999</v>
      </c>
      <c r="JK349" s="75" t="s">
        <v>494</v>
      </c>
      <c r="JL349" s="79" t="s">
        <v>495</v>
      </c>
      <c r="JP349" s="84" t="s">
        <v>508</v>
      </c>
      <c r="JQ349">
        <v>100</v>
      </c>
      <c r="JT349">
        <v>81</v>
      </c>
      <c r="JU349">
        <v>65</v>
      </c>
      <c r="KE349" t="s">
        <v>1000</v>
      </c>
      <c r="KF349" s="12" t="s">
        <v>1001</v>
      </c>
      <c r="KI349" t="s">
        <v>1002</v>
      </c>
      <c r="KJ349" t="s">
        <v>501</v>
      </c>
      <c r="KK349" s="8" t="s">
        <v>1003</v>
      </c>
      <c r="KL349" s="84" t="s">
        <v>503</v>
      </c>
      <c r="KM349">
        <v>18</v>
      </c>
      <c r="MY349" t="s">
        <v>1004</v>
      </c>
      <c r="MZ349">
        <v>6.3</v>
      </c>
      <c r="NA349" t="s">
        <v>1005</v>
      </c>
      <c r="NB349" t="s">
        <v>485</v>
      </c>
      <c r="NC349" t="s">
        <v>554</v>
      </c>
      <c r="NJ349" t="s">
        <v>1006</v>
      </c>
      <c r="NK349" t="s">
        <v>1007</v>
      </c>
      <c r="NL349" s="4" t="s">
        <v>946</v>
      </c>
      <c r="NM349" s="6" t="s">
        <v>1008</v>
      </c>
      <c r="NV349" t="s">
        <v>518</v>
      </c>
      <c r="NW349">
        <v>264418.7</v>
      </c>
      <c r="NX349" s="79" t="s">
        <v>480</v>
      </c>
      <c r="NY349" s="79" t="s">
        <v>480</v>
      </c>
      <c r="OB349">
        <v>3</v>
      </c>
      <c r="OU349" t="s">
        <v>1027</v>
      </c>
      <c r="OV349" s="79"/>
      <c r="OW349">
        <v>2004</v>
      </c>
      <c r="OZ349" t="s">
        <v>1028</v>
      </c>
      <c r="PB349" s="79" t="s">
        <v>522</v>
      </c>
      <c r="PC349" s="50">
        <v>46105</v>
      </c>
    </row>
    <row r="350" spans="1:419" ht="15.75" thickBot="1">
      <c r="A350" t="s">
        <v>469</v>
      </c>
      <c r="B350" t="s">
        <v>991</v>
      </c>
      <c r="C350" t="s">
        <v>863</v>
      </c>
      <c r="D350" s="4" t="s">
        <v>950</v>
      </c>
      <c r="E350" s="83" t="s">
        <v>992</v>
      </c>
      <c r="F350" s="83" t="s">
        <v>952</v>
      </c>
      <c r="G350" s="79" t="s">
        <v>475</v>
      </c>
      <c r="H350" s="79" t="s">
        <v>476</v>
      </c>
      <c r="I350">
        <v>7.2166666666666597</v>
      </c>
      <c r="J350">
        <v>8.18333333333333</v>
      </c>
      <c r="K350" s="78">
        <v>200</v>
      </c>
      <c r="AV350" t="s">
        <v>993</v>
      </c>
      <c r="AW350">
        <v>5.7000000000000002E-2</v>
      </c>
      <c r="AX350" s="79" t="s">
        <v>480</v>
      </c>
      <c r="AY350">
        <v>1</v>
      </c>
      <c r="AZ350" t="s">
        <v>1026</v>
      </c>
      <c r="BA350">
        <v>2004</v>
      </c>
      <c r="BC350">
        <v>2004.2</v>
      </c>
      <c r="BD350" t="s">
        <v>1017</v>
      </c>
      <c r="BE350" t="s">
        <v>524</v>
      </c>
      <c r="BF350" s="69" t="s">
        <v>484</v>
      </c>
      <c r="BG350" t="s">
        <v>554</v>
      </c>
      <c r="BH350" t="s">
        <v>997</v>
      </c>
      <c r="BI350" s="79" t="s">
        <v>486</v>
      </c>
      <c r="BJ350">
        <v>266660</v>
      </c>
      <c r="EG350" s="9"/>
      <c r="EH350" s="9"/>
      <c r="EI350" s="9"/>
      <c r="EJ350" s="9"/>
      <c r="EK350" s="9"/>
      <c r="EL350" s="9"/>
      <c r="EM350" s="9"/>
      <c r="EN350" s="9"/>
      <c r="EO350" s="9"/>
      <c r="EP350" s="9"/>
      <c r="EQ350" s="9"/>
      <c r="ER350" s="9"/>
      <c r="ES350" s="9"/>
      <c r="ET350" s="9"/>
      <c r="EU350" s="9"/>
      <c r="EV350" s="9"/>
      <c r="EW350" s="9"/>
      <c r="EX350" s="9"/>
      <c r="EY350" s="9"/>
      <c r="EZ350" s="9"/>
      <c r="FA350" s="9"/>
      <c r="FB350" s="9"/>
      <c r="FC350" s="9"/>
      <c r="FD350" s="9"/>
      <c r="FE350" s="9"/>
      <c r="FF350" s="9"/>
      <c r="FG350" s="9"/>
      <c r="FH350" s="9"/>
      <c r="FI350" s="9"/>
      <c r="FJ350" s="9"/>
      <c r="FK350" s="9"/>
      <c r="FL350" s="9"/>
      <c r="FM350" s="9"/>
      <c r="FN350" s="9"/>
      <c r="FO350" s="9"/>
      <c r="FP350" s="9"/>
      <c r="FQ350" s="9"/>
      <c r="FR350" s="9"/>
      <c r="FS350" s="9"/>
      <c r="FT350" s="9"/>
      <c r="FU350" s="9"/>
      <c r="FV350" s="9"/>
      <c r="FW350" s="9"/>
      <c r="FX350" s="9"/>
      <c r="FY350" s="9"/>
      <c r="FZ350" s="9"/>
      <c r="GA350" s="9"/>
      <c r="GB350" s="9"/>
      <c r="GC350" s="9"/>
      <c r="GD350" s="9"/>
      <c r="GE350" s="9"/>
      <c r="GF350" s="9"/>
      <c r="GG350" s="9"/>
      <c r="GH350" s="9"/>
      <c r="GI350" s="9"/>
      <c r="GJ350" s="9"/>
      <c r="GK350" s="9"/>
      <c r="GL350" s="9"/>
      <c r="GM350" s="9"/>
      <c r="GN350" s="9"/>
      <c r="GO350" s="9"/>
      <c r="GP350" s="9"/>
      <c r="GQ350" s="9"/>
      <c r="GR350" s="9"/>
      <c r="GS350" s="9"/>
      <c r="GT350" s="9"/>
      <c r="GU350" s="9"/>
      <c r="GV350" s="9"/>
      <c r="GW350" s="9"/>
      <c r="GX350" s="9"/>
      <c r="GY350" s="9"/>
      <c r="GZ350" s="9"/>
      <c r="HA350" s="9"/>
      <c r="HB350" s="9"/>
      <c r="HC350" s="9"/>
      <c r="HD350" s="9"/>
      <c r="HE350" s="9"/>
      <c r="HF350" s="9"/>
      <c r="HG350" s="9"/>
      <c r="HH350" s="9"/>
      <c r="HI350" s="9"/>
      <c r="HJ350" s="9"/>
      <c r="HT350" s="50">
        <v>45494</v>
      </c>
      <c r="HV350" s="50"/>
      <c r="HW350" s="50"/>
      <c r="IH350" t="s">
        <v>1018</v>
      </c>
      <c r="II350" s="79" t="s">
        <v>492</v>
      </c>
      <c r="IJ350" t="s">
        <v>542</v>
      </c>
      <c r="IK350" s="79" t="s">
        <v>543</v>
      </c>
      <c r="IN350" s="78" t="s">
        <v>480</v>
      </c>
      <c r="JJ350" t="s">
        <v>999</v>
      </c>
      <c r="JK350" s="75" t="s">
        <v>494</v>
      </c>
      <c r="JL350" s="79" t="s">
        <v>495</v>
      </c>
      <c r="JP350" s="84" t="s">
        <v>508</v>
      </c>
      <c r="JQ350">
        <v>10</v>
      </c>
      <c r="JT350">
        <v>36</v>
      </c>
      <c r="JU350">
        <v>20</v>
      </c>
      <c r="KE350" t="s">
        <v>1000</v>
      </c>
      <c r="KF350" s="12" t="s">
        <v>1001</v>
      </c>
      <c r="KI350" t="s">
        <v>1002</v>
      </c>
      <c r="KJ350" t="s">
        <v>501</v>
      </c>
      <c r="KK350" s="8" t="s">
        <v>1003</v>
      </c>
      <c r="KL350" s="84" t="s">
        <v>503</v>
      </c>
      <c r="KM350">
        <v>18</v>
      </c>
      <c r="MY350" t="s">
        <v>1004</v>
      </c>
      <c r="MZ350">
        <v>6.3</v>
      </c>
      <c r="NA350" t="s">
        <v>1019</v>
      </c>
      <c r="NB350" t="s">
        <v>554</v>
      </c>
      <c r="NJ350" t="s">
        <v>1006</v>
      </c>
      <c r="NK350" t="s">
        <v>1007</v>
      </c>
      <c r="NL350" s="4" t="s">
        <v>946</v>
      </c>
      <c r="NM350" s="6" t="s">
        <v>1008</v>
      </c>
      <c r="NU350" t="s">
        <v>1020</v>
      </c>
      <c r="NV350" t="s">
        <v>518</v>
      </c>
      <c r="NW350">
        <v>98016.25</v>
      </c>
      <c r="NX350" s="79" t="s">
        <v>480</v>
      </c>
      <c r="NY350" s="79" t="s">
        <v>480</v>
      </c>
      <c r="OB350">
        <v>3</v>
      </c>
      <c r="OU350" t="s">
        <v>1027</v>
      </c>
      <c r="OV350" s="79"/>
      <c r="OW350">
        <v>2004</v>
      </c>
      <c r="OZ350" t="s">
        <v>1028</v>
      </c>
      <c r="PB350" s="79" t="s">
        <v>522</v>
      </c>
      <c r="PC350" s="50">
        <v>46105</v>
      </c>
    </row>
    <row r="351" spans="1:419" ht="15.75" thickBot="1">
      <c r="A351" t="s">
        <v>469</v>
      </c>
      <c r="B351" t="s">
        <v>991</v>
      </c>
      <c r="C351" t="s">
        <v>863</v>
      </c>
      <c r="D351" s="4" t="s">
        <v>950</v>
      </c>
      <c r="E351" s="83" t="s">
        <v>992</v>
      </c>
      <c r="F351" s="83" t="s">
        <v>952</v>
      </c>
      <c r="G351" s="79" t="s">
        <v>475</v>
      </c>
      <c r="H351" s="79" t="s">
        <v>476</v>
      </c>
      <c r="I351">
        <v>7.2166666666666597</v>
      </c>
      <c r="J351">
        <v>8.18333333333333</v>
      </c>
      <c r="K351" s="78">
        <v>200</v>
      </c>
      <c r="AV351" t="s">
        <v>993</v>
      </c>
      <c r="AW351">
        <v>5.7000000000000002E-2</v>
      </c>
      <c r="AX351" s="79" t="s">
        <v>480</v>
      </c>
      <c r="AY351">
        <v>1</v>
      </c>
      <c r="AZ351" t="s">
        <v>1026</v>
      </c>
      <c r="BA351">
        <v>2004</v>
      </c>
      <c r="BC351">
        <v>2004.2</v>
      </c>
      <c r="BD351" t="s">
        <v>1021</v>
      </c>
      <c r="BE351" t="s">
        <v>483</v>
      </c>
      <c r="BF351" s="69" t="s">
        <v>484</v>
      </c>
      <c r="BG351" t="s">
        <v>554</v>
      </c>
      <c r="BH351" t="s">
        <v>1012</v>
      </c>
      <c r="BI351" s="79" t="s">
        <v>486</v>
      </c>
      <c r="BJ351">
        <v>266660</v>
      </c>
      <c r="EG351" s="9"/>
      <c r="EH351" s="9"/>
      <c r="EI351" s="9"/>
      <c r="EJ351" s="9"/>
      <c r="EK351" s="9"/>
      <c r="EL351" s="9"/>
      <c r="EM351" s="9"/>
      <c r="EN351" s="9"/>
      <c r="EO351" s="9"/>
      <c r="EP351" s="9"/>
      <c r="EQ351" s="9"/>
      <c r="ER351" s="9"/>
      <c r="ES351" s="9"/>
      <c r="ET351" s="9"/>
      <c r="EU351" s="9"/>
      <c r="EV351" s="9"/>
      <c r="EW351" s="9"/>
      <c r="EX351" s="9"/>
      <c r="EY351" s="9"/>
      <c r="EZ351" s="9"/>
      <c r="FA351" s="9"/>
      <c r="FB351" s="9"/>
      <c r="FC351" s="9"/>
      <c r="FD351" s="9"/>
      <c r="FE351" s="9"/>
      <c r="FF351" s="9"/>
      <c r="FG351" s="9"/>
      <c r="FH351" s="9"/>
      <c r="FI351" s="9"/>
      <c r="FJ351" s="9"/>
      <c r="FK351" s="9"/>
      <c r="FL351" s="9"/>
      <c r="FM351" s="9"/>
      <c r="FN351" s="9"/>
      <c r="FO351" s="9"/>
      <c r="FP351" s="9"/>
      <c r="FQ351" s="9"/>
      <c r="FR351" s="9"/>
      <c r="FS351" s="9"/>
      <c r="FT351" s="9"/>
      <c r="FU351" s="9"/>
      <c r="FV351" s="9"/>
      <c r="FW351" s="9"/>
      <c r="FX351" s="9"/>
      <c r="FY351" s="9"/>
      <c r="FZ351" s="9"/>
      <c r="GA351" s="9"/>
      <c r="GB351" s="9"/>
      <c r="GC351" s="9"/>
      <c r="GD351" s="9"/>
      <c r="GE351" s="9"/>
      <c r="GF351" s="9"/>
      <c r="GG351" s="9"/>
      <c r="GH351" s="9"/>
      <c r="GI351" s="9"/>
      <c r="GJ351" s="9"/>
      <c r="GK351" s="9"/>
      <c r="GL351" s="9"/>
      <c r="GM351" s="9"/>
      <c r="GN351" s="9"/>
      <c r="GO351" s="9"/>
      <c r="GP351" s="9"/>
      <c r="GQ351" s="9"/>
      <c r="GR351" s="9"/>
      <c r="GS351" s="9"/>
      <c r="GT351" s="9"/>
      <c r="GU351" s="9"/>
      <c r="GV351" s="9"/>
      <c r="GW351" s="9"/>
      <c r="GX351" s="9"/>
      <c r="GY351" s="9"/>
      <c r="GZ351" s="9"/>
      <c r="HA351" s="9"/>
      <c r="HB351" s="9"/>
      <c r="HC351" s="9"/>
      <c r="HD351" s="9"/>
      <c r="HE351" s="9"/>
      <c r="HF351" s="9"/>
      <c r="HG351" s="9"/>
      <c r="HH351" s="9"/>
      <c r="HI351" s="9"/>
      <c r="HJ351" s="9"/>
      <c r="HT351" s="50">
        <v>45494</v>
      </c>
      <c r="HV351" s="50"/>
      <c r="HW351" s="50"/>
      <c r="IH351" t="s">
        <v>1018</v>
      </c>
      <c r="II351" s="79" t="s">
        <v>492</v>
      </c>
      <c r="IJ351" t="s">
        <v>542</v>
      </c>
      <c r="IK351" s="79" t="s">
        <v>543</v>
      </c>
      <c r="IN351" s="78" t="s">
        <v>480</v>
      </c>
      <c r="JJ351" t="s">
        <v>999</v>
      </c>
      <c r="JK351" s="75" t="s">
        <v>494</v>
      </c>
      <c r="JL351" s="79" t="s">
        <v>495</v>
      </c>
      <c r="JP351" s="84" t="s">
        <v>508</v>
      </c>
      <c r="JQ351">
        <v>10</v>
      </c>
      <c r="JT351">
        <v>36</v>
      </c>
      <c r="JU351">
        <v>20</v>
      </c>
      <c r="KE351" t="s">
        <v>1000</v>
      </c>
      <c r="KF351" s="12" t="s">
        <v>1001</v>
      </c>
      <c r="KI351" t="s">
        <v>1002</v>
      </c>
      <c r="KJ351" t="s">
        <v>501</v>
      </c>
      <c r="KK351" s="8" t="s">
        <v>1003</v>
      </c>
      <c r="KL351" s="84" t="s">
        <v>503</v>
      </c>
      <c r="KM351">
        <v>18</v>
      </c>
      <c r="MY351" t="s">
        <v>1004</v>
      </c>
      <c r="MZ351">
        <v>6.3</v>
      </c>
      <c r="NA351" t="s">
        <v>1019</v>
      </c>
      <c r="NB351" t="s">
        <v>554</v>
      </c>
      <c r="NJ351" t="s">
        <v>1006</v>
      </c>
      <c r="NK351" t="s">
        <v>1007</v>
      </c>
      <c r="NL351" s="4" t="s">
        <v>946</v>
      </c>
      <c r="NM351" s="6" t="s">
        <v>1008</v>
      </c>
      <c r="NU351" t="s">
        <v>1022</v>
      </c>
      <c r="NV351" t="s">
        <v>518</v>
      </c>
      <c r="NW351">
        <v>92989.8</v>
      </c>
      <c r="NX351" s="79" t="s">
        <v>480</v>
      </c>
      <c r="NY351" s="79" t="s">
        <v>480</v>
      </c>
      <c r="OB351">
        <v>3</v>
      </c>
      <c r="OU351" t="s">
        <v>1027</v>
      </c>
      <c r="OV351" s="79"/>
      <c r="OW351">
        <v>2004</v>
      </c>
      <c r="OZ351" t="s">
        <v>1028</v>
      </c>
      <c r="PB351" s="79" t="s">
        <v>522</v>
      </c>
      <c r="PC351" s="50">
        <v>46105</v>
      </c>
    </row>
    <row r="352" spans="1:419" ht="15.75" thickBot="1">
      <c r="A352" t="s">
        <v>469</v>
      </c>
      <c r="B352" t="s">
        <v>991</v>
      </c>
      <c r="C352" t="s">
        <v>863</v>
      </c>
      <c r="D352" s="4" t="s">
        <v>950</v>
      </c>
      <c r="E352" s="85" t="s">
        <v>992</v>
      </c>
      <c r="F352" s="83" t="s">
        <v>952</v>
      </c>
      <c r="G352" s="2" t="s">
        <v>475</v>
      </c>
      <c r="H352" s="2" t="s">
        <v>476</v>
      </c>
      <c r="I352">
        <v>7.2166666666666597</v>
      </c>
      <c r="J352">
        <v>8.18333333333333</v>
      </c>
      <c r="K352" s="78">
        <v>200</v>
      </c>
      <c r="AV352" t="s">
        <v>993</v>
      </c>
      <c r="AW352">
        <v>5.7000000000000002E-2</v>
      </c>
      <c r="AX352" s="2" t="s">
        <v>480</v>
      </c>
      <c r="AY352">
        <v>1</v>
      </c>
      <c r="AZ352" t="s">
        <v>1026</v>
      </c>
      <c r="BA352">
        <v>2004</v>
      </c>
      <c r="BC352">
        <v>2004.2</v>
      </c>
      <c r="BD352" t="s">
        <v>1023</v>
      </c>
      <c r="BE352" t="s">
        <v>593</v>
      </c>
      <c r="BF352" s="86" t="s">
        <v>484</v>
      </c>
      <c r="BG352" t="s">
        <v>485</v>
      </c>
      <c r="BH352" t="s">
        <v>996</v>
      </c>
      <c r="BI352" s="2" t="s">
        <v>486</v>
      </c>
      <c r="BJ352">
        <v>53330</v>
      </c>
      <c r="EG352" s="9"/>
      <c r="EH352" s="9"/>
      <c r="EI352" s="9"/>
      <c r="EJ352" s="9"/>
      <c r="EK352" s="9"/>
      <c r="EL352" s="9"/>
      <c r="EM352" s="9"/>
      <c r="EN352" s="9"/>
      <c r="EO352" s="9"/>
      <c r="EP352" s="9"/>
      <c r="EQ352" s="9"/>
      <c r="ER352" s="9"/>
      <c r="ES352" s="9"/>
      <c r="ET352" s="9"/>
      <c r="EU352" s="9"/>
      <c r="EV352" s="9"/>
      <c r="EW352" s="9"/>
      <c r="EX352" s="9"/>
      <c r="EY352" s="9"/>
      <c r="EZ352" s="9"/>
      <c r="FA352" s="9"/>
      <c r="FB352" s="9"/>
      <c r="FC352" s="9"/>
      <c r="FD352" s="9"/>
      <c r="FE352" s="9"/>
      <c r="FF352" s="9"/>
      <c r="FG352" s="9"/>
      <c r="FH352" s="9"/>
      <c r="FI352" s="9"/>
      <c r="FJ352" s="9"/>
      <c r="FK352" s="9"/>
      <c r="FL352" s="9"/>
      <c r="FM352" s="9"/>
      <c r="FN352" s="9"/>
      <c r="FO352" s="9"/>
      <c r="FP352" s="9"/>
      <c r="FQ352" s="9"/>
      <c r="FR352" s="9"/>
      <c r="FS352" s="9"/>
      <c r="FT352" s="9"/>
      <c r="FU352" s="9"/>
      <c r="FV352" s="9"/>
      <c r="FW352" s="9"/>
      <c r="FX352" s="9"/>
      <c r="FY352" s="9"/>
      <c r="FZ352" s="9"/>
      <c r="GA352" s="9"/>
      <c r="GB352" s="9"/>
      <c r="GC352" s="9"/>
      <c r="GD352" s="9"/>
      <c r="GE352" s="9"/>
      <c r="GF352" s="9"/>
      <c r="GG352" s="9"/>
      <c r="GH352" s="9"/>
      <c r="GI352" s="9"/>
      <c r="GJ352" s="9"/>
      <c r="GK352" s="9"/>
      <c r="GL352" s="9"/>
      <c r="GM352" s="9"/>
      <c r="GN352" s="9"/>
      <c r="GO352" s="9"/>
      <c r="GP352" s="9"/>
      <c r="GQ352" s="9"/>
      <c r="GR352" s="9"/>
      <c r="GS352" s="9"/>
      <c r="GT352" s="9"/>
      <c r="GU352" s="9"/>
      <c r="GV352" s="9"/>
      <c r="GW352" s="9"/>
      <c r="GX352" s="9"/>
      <c r="GY352" s="9"/>
      <c r="GZ352" s="9"/>
      <c r="HA352" s="9"/>
      <c r="HB352" s="9"/>
      <c r="HC352" s="9"/>
      <c r="HD352" s="9"/>
      <c r="HE352" s="9"/>
      <c r="HF352" s="9"/>
      <c r="HG352" s="9"/>
      <c r="HH352" s="9"/>
      <c r="HI352" s="9"/>
      <c r="HJ352" s="9"/>
      <c r="HT352" s="50">
        <v>45494</v>
      </c>
      <c r="HV352" s="50"/>
      <c r="HW352" s="50"/>
      <c r="IH352" t="s">
        <v>1018</v>
      </c>
      <c r="II352" s="2" t="s">
        <v>492</v>
      </c>
      <c r="IJ352" t="s">
        <v>542</v>
      </c>
      <c r="IK352" s="2" t="s">
        <v>543</v>
      </c>
      <c r="IN352" s="80" t="s">
        <v>480</v>
      </c>
      <c r="JJ352" t="s">
        <v>999</v>
      </c>
      <c r="JK352" s="87" t="s">
        <v>494</v>
      </c>
      <c r="JL352" s="2" t="s">
        <v>495</v>
      </c>
      <c r="JP352" s="88" t="s">
        <v>508</v>
      </c>
      <c r="JQ352">
        <v>90</v>
      </c>
      <c r="JT352">
        <v>45</v>
      </c>
      <c r="JU352">
        <v>45</v>
      </c>
      <c r="KE352" t="s">
        <v>1000</v>
      </c>
      <c r="KF352" s="14" t="s">
        <v>1001</v>
      </c>
      <c r="KI352" t="s">
        <v>1002</v>
      </c>
      <c r="KJ352" t="s">
        <v>501</v>
      </c>
      <c r="KK352" s="8" t="s">
        <v>1003</v>
      </c>
      <c r="KL352" s="88" t="s">
        <v>503</v>
      </c>
      <c r="KM352">
        <v>18</v>
      </c>
      <c r="MY352" t="s">
        <v>1004</v>
      </c>
      <c r="MZ352">
        <v>6.3</v>
      </c>
      <c r="NA352" t="s">
        <v>1024</v>
      </c>
      <c r="NB352" t="s">
        <v>485</v>
      </c>
      <c r="NJ352" t="s">
        <v>1006</v>
      </c>
      <c r="NK352" t="s">
        <v>1007</v>
      </c>
      <c r="NL352" s="4" t="s">
        <v>946</v>
      </c>
      <c r="NM352" s="6" t="s">
        <v>1008</v>
      </c>
      <c r="NU352" t="s">
        <v>1025</v>
      </c>
      <c r="NV352" t="s">
        <v>518</v>
      </c>
      <c r="NW352">
        <v>218452.5</v>
      </c>
      <c r="NX352" s="2" t="s">
        <v>480</v>
      </c>
      <c r="NY352" s="2" t="s">
        <v>480</v>
      </c>
      <c r="OB352">
        <v>3</v>
      </c>
      <c r="OU352" t="s">
        <v>1027</v>
      </c>
      <c r="OV352" s="2"/>
      <c r="OW352">
        <v>2004</v>
      </c>
      <c r="OZ352" t="s">
        <v>1028</v>
      </c>
      <c r="PB352" s="2" t="s">
        <v>522</v>
      </c>
      <c r="PC352" s="50">
        <v>46105</v>
      </c>
    </row>
    <row r="353" spans="1:419" ht="15.75" thickBot="1">
      <c r="A353" t="s">
        <v>469</v>
      </c>
      <c r="B353" t="s">
        <v>991</v>
      </c>
      <c r="C353" t="s">
        <v>863</v>
      </c>
      <c r="D353" s="4" t="s">
        <v>950</v>
      </c>
      <c r="E353" s="83" t="s">
        <v>992</v>
      </c>
      <c r="F353" s="83" t="s">
        <v>952</v>
      </c>
      <c r="G353" s="79" t="s">
        <v>475</v>
      </c>
      <c r="H353" s="79" t="s">
        <v>476</v>
      </c>
      <c r="I353">
        <v>7.2166666666666597</v>
      </c>
      <c r="J353">
        <v>8.18333333333333</v>
      </c>
      <c r="K353" s="78">
        <v>200</v>
      </c>
      <c r="AV353" t="s">
        <v>993</v>
      </c>
      <c r="AW353">
        <v>5.7000000000000002E-2</v>
      </c>
      <c r="AX353" s="79" t="s">
        <v>480</v>
      </c>
      <c r="AY353">
        <v>1</v>
      </c>
      <c r="AZ353" t="s">
        <v>994</v>
      </c>
      <c r="BA353">
        <v>2004</v>
      </c>
      <c r="BC353">
        <v>2004.1</v>
      </c>
      <c r="BD353" t="s">
        <v>995</v>
      </c>
      <c r="BE353" t="s">
        <v>536</v>
      </c>
      <c r="BF353" s="69" t="s">
        <v>484</v>
      </c>
      <c r="BG353" t="s">
        <v>485</v>
      </c>
      <c r="BH353" t="s">
        <v>996</v>
      </c>
      <c r="BI353" s="79" t="s">
        <v>486</v>
      </c>
      <c r="BJ353">
        <v>38000</v>
      </c>
      <c r="BK353" t="s">
        <v>537</v>
      </c>
      <c r="BL353" t="s">
        <v>554</v>
      </c>
      <c r="BM353" t="s">
        <v>997</v>
      </c>
      <c r="BN353" s="79" t="s">
        <v>486</v>
      </c>
      <c r="BO353">
        <v>266660</v>
      </c>
      <c r="EG353" s="9"/>
      <c r="EH353" s="9"/>
      <c r="EI353" s="9"/>
      <c r="EJ353" s="9"/>
      <c r="EK353" s="9"/>
      <c r="EL353" s="9"/>
      <c r="EM353" s="9"/>
      <c r="EN353" s="9"/>
      <c r="EO353" s="9"/>
      <c r="EP353" s="9"/>
      <c r="EQ353" s="9"/>
      <c r="ER353" s="9"/>
      <c r="ES353" s="9"/>
      <c r="ET353" s="9"/>
      <c r="EU353" s="9"/>
      <c r="EV353" s="9"/>
      <c r="EW353" s="9"/>
      <c r="EX353" s="9"/>
      <c r="EY353" s="9"/>
      <c r="EZ353" s="9"/>
      <c r="FA353" s="9"/>
      <c r="FB353" s="9"/>
      <c r="FC353" s="9"/>
      <c r="FD353" s="9"/>
      <c r="FE353" s="9"/>
      <c r="FF353" s="9"/>
      <c r="FG353" s="9"/>
      <c r="FH353" s="9"/>
      <c r="FI353" s="9"/>
      <c r="FJ353" s="9"/>
      <c r="FK353" s="9"/>
      <c r="FL353" s="9"/>
      <c r="FM353" s="9"/>
      <c r="FN353" s="9"/>
      <c r="FO353" s="9"/>
      <c r="FP353" s="9"/>
      <c r="FQ353" s="9"/>
      <c r="FR353" s="9"/>
      <c r="FS353" s="9"/>
      <c r="FT353" s="9"/>
      <c r="FU353" s="9"/>
      <c r="FV353" s="9"/>
      <c r="FW353" s="9"/>
      <c r="FX353" s="9"/>
      <c r="FY353" s="9"/>
      <c r="FZ353" s="9"/>
      <c r="GA353" s="9"/>
      <c r="GB353" s="9"/>
      <c r="GC353" s="9"/>
      <c r="GD353" s="9"/>
      <c r="GE353" s="9"/>
      <c r="GF353" s="9"/>
      <c r="GG353" s="9"/>
      <c r="GH353" s="9"/>
      <c r="GI353" s="9"/>
      <c r="GJ353" s="9"/>
      <c r="GK353" s="9"/>
      <c r="GL353" s="9"/>
      <c r="GM353" s="9"/>
      <c r="GN353" s="9"/>
      <c r="GO353" s="9"/>
      <c r="GP353" s="9"/>
      <c r="GQ353" s="9"/>
      <c r="GR353" s="9"/>
      <c r="GS353" s="9"/>
      <c r="GT353" s="9"/>
      <c r="GU353" s="9"/>
      <c r="GV353" s="9"/>
      <c r="GW353" s="9"/>
      <c r="GX353" s="9"/>
      <c r="GY353" s="9"/>
      <c r="GZ353" s="9"/>
      <c r="HA353" s="9"/>
      <c r="HB353" s="9"/>
      <c r="HC353" s="9"/>
      <c r="HD353" s="9"/>
      <c r="HE353" s="9"/>
      <c r="HF353" s="9"/>
      <c r="HG353" s="9"/>
      <c r="HH353" s="9"/>
      <c r="HI353" s="9"/>
      <c r="HJ353" s="9"/>
      <c r="HT353" s="50">
        <v>38127</v>
      </c>
      <c r="HV353" s="50"/>
      <c r="HW353" s="50"/>
      <c r="IH353" t="s">
        <v>998</v>
      </c>
      <c r="II353" s="79" t="s">
        <v>882</v>
      </c>
      <c r="IJ353" t="s">
        <v>542</v>
      </c>
      <c r="IK353" s="79" t="s">
        <v>543</v>
      </c>
      <c r="IN353" s="78" t="s">
        <v>480</v>
      </c>
      <c r="JJ353" t="s">
        <v>999</v>
      </c>
      <c r="JK353" s="75" t="s">
        <v>494</v>
      </c>
      <c r="JL353" s="79" t="s">
        <v>495</v>
      </c>
      <c r="JP353" s="84" t="s">
        <v>508</v>
      </c>
      <c r="JQ353">
        <v>100</v>
      </c>
      <c r="JT353">
        <v>81</v>
      </c>
      <c r="JU353">
        <v>65</v>
      </c>
      <c r="KE353" t="s">
        <v>1000</v>
      </c>
      <c r="KF353" s="12" t="s">
        <v>1001</v>
      </c>
      <c r="KI353" t="s">
        <v>1002</v>
      </c>
      <c r="KJ353" t="s">
        <v>501</v>
      </c>
      <c r="KK353" s="8" t="s">
        <v>1003</v>
      </c>
      <c r="KL353" s="84" t="s">
        <v>503</v>
      </c>
      <c r="KM353">
        <v>18</v>
      </c>
      <c r="MY353" t="s">
        <v>1004</v>
      </c>
      <c r="MZ353">
        <v>6.3</v>
      </c>
      <c r="NA353" t="s">
        <v>1005</v>
      </c>
      <c r="NB353" t="s">
        <v>485</v>
      </c>
      <c r="NC353" t="s">
        <v>554</v>
      </c>
      <c r="NJ353" t="s">
        <v>1005</v>
      </c>
      <c r="NL353" s="4" t="s">
        <v>1029</v>
      </c>
      <c r="NM353" s="79"/>
      <c r="NV353" t="s">
        <v>518</v>
      </c>
      <c r="NX353" s="2" t="s">
        <v>480</v>
      </c>
      <c r="NY353" s="79"/>
      <c r="OB353">
        <v>3</v>
      </c>
      <c r="OM353">
        <v>0.53</v>
      </c>
      <c r="ON353" s="78" t="s">
        <v>480</v>
      </c>
      <c r="OO353">
        <v>0.39</v>
      </c>
      <c r="OP353" s="78" t="s">
        <v>480</v>
      </c>
      <c r="OQ353" s="144"/>
      <c r="OR353" s="144"/>
      <c r="OS353">
        <v>0.92</v>
      </c>
      <c r="OT353" s="78" t="s">
        <v>480</v>
      </c>
      <c r="OU353" t="s">
        <v>1030</v>
      </c>
      <c r="OV353" s="79"/>
      <c r="OW353">
        <v>2004</v>
      </c>
      <c r="OZ353" t="s">
        <v>1010</v>
      </c>
      <c r="PB353" s="79" t="s">
        <v>522</v>
      </c>
      <c r="PC353" s="50">
        <v>46105</v>
      </c>
    </row>
    <row r="354" spans="1:419" ht="15.75" thickBot="1">
      <c r="A354" t="s">
        <v>469</v>
      </c>
      <c r="B354" t="s">
        <v>991</v>
      </c>
      <c r="C354" t="s">
        <v>863</v>
      </c>
      <c r="D354" s="4" t="s">
        <v>950</v>
      </c>
      <c r="E354" s="83" t="s">
        <v>992</v>
      </c>
      <c r="F354" s="83" t="s">
        <v>952</v>
      </c>
      <c r="G354" s="79" t="s">
        <v>475</v>
      </c>
      <c r="H354" s="79" t="s">
        <v>476</v>
      </c>
      <c r="I354">
        <v>7.2166666666666597</v>
      </c>
      <c r="J354">
        <v>8.18333333333333</v>
      </c>
      <c r="K354" s="78">
        <v>200</v>
      </c>
      <c r="AV354" t="s">
        <v>993</v>
      </c>
      <c r="AW354">
        <v>5.7000000000000002E-2</v>
      </c>
      <c r="AX354" s="79" t="s">
        <v>480</v>
      </c>
      <c r="AY354">
        <v>1</v>
      </c>
      <c r="AZ354" t="s">
        <v>994</v>
      </c>
      <c r="BA354">
        <v>2004</v>
      </c>
      <c r="BC354">
        <v>2004.1</v>
      </c>
      <c r="BD354" t="s">
        <v>1011</v>
      </c>
      <c r="BE354" t="s">
        <v>566</v>
      </c>
      <c r="BF354" s="69" t="s">
        <v>484</v>
      </c>
      <c r="BG354" t="s">
        <v>485</v>
      </c>
      <c r="BH354" t="s">
        <v>996</v>
      </c>
      <c r="BI354" s="79" t="s">
        <v>486</v>
      </c>
      <c r="BJ354">
        <v>38000</v>
      </c>
      <c r="BK354" t="s">
        <v>537</v>
      </c>
      <c r="BL354" t="s">
        <v>554</v>
      </c>
      <c r="BM354" t="s">
        <v>1012</v>
      </c>
      <c r="BN354" s="79" t="s">
        <v>486</v>
      </c>
      <c r="BO354">
        <v>266660</v>
      </c>
      <c r="EG354" s="9"/>
      <c r="EH354" s="9"/>
      <c r="EI354" s="9"/>
      <c r="EJ354" s="9"/>
      <c r="EK354" s="9"/>
      <c r="EL354" s="9"/>
      <c r="EM354" s="9"/>
      <c r="EN354" s="9"/>
      <c r="EO354" s="9"/>
      <c r="EP354" s="9"/>
      <c r="EQ354" s="9"/>
      <c r="ER354" s="9"/>
      <c r="ES354" s="9"/>
      <c r="ET354" s="9"/>
      <c r="EU354" s="9"/>
      <c r="EV354" s="9"/>
      <c r="EW354" s="9"/>
      <c r="EX354" s="9"/>
      <c r="EY354" s="9"/>
      <c r="EZ354" s="9"/>
      <c r="FA354" s="9"/>
      <c r="FB354" s="9"/>
      <c r="FC354" s="9"/>
      <c r="FD354" s="9"/>
      <c r="FE354" s="9"/>
      <c r="FF354" s="9"/>
      <c r="FG354" s="9"/>
      <c r="FH354" s="9"/>
      <c r="FI354" s="9"/>
      <c r="FJ354" s="9"/>
      <c r="FK354" s="9"/>
      <c r="FL354" s="9"/>
      <c r="FM354" s="9"/>
      <c r="FN354" s="9"/>
      <c r="FO354" s="9"/>
      <c r="FP354" s="9"/>
      <c r="FQ354" s="9"/>
      <c r="FR354" s="9"/>
      <c r="FS354" s="9"/>
      <c r="FT354" s="9"/>
      <c r="FU354" s="9"/>
      <c r="FV354" s="9"/>
      <c r="FW354" s="9"/>
      <c r="FX354" s="9"/>
      <c r="FY354" s="9"/>
      <c r="FZ354" s="9"/>
      <c r="GA354" s="9"/>
      <c r="GB354" s="9"/>
      <c r="GC354" s="9"/>
      <c r="GD354" s="9"/>
      <c r="GE354" s="9"/>
      <c r="GF354" s="9"/>
      <c r="GG354" s="9"/>
      <c r="GH354" s="9"/>
      <c r="GI354" s="9"/>
      <c r="GJ354" s="9"/>
      <c r="GK354" s="9"/>
      <c r="GL354" s="9"/>
      <c r="GM354" s="9"/>
      <c r="GN354" s="9"/>
      <c r="GO354" s="9"/>
      <c r="GP354" s="9"/>
      <c r="GQ354" s="9"/>
      <c r="GR354" s="9"/>
      <c r="GS354" s="9"/>
      <c r="GT354" s="9"/>
      <c r="GU354" s="9"/>
      <c r="GV354" s="9"/>
      <c r="GW354" s="9"/>
      <c r="GX354" s="9"/>
      <c r="GY354" s="9"/>
      <c r="GZ354" s="9"/>
      <c r="HA354" s="9"/>
      <c r="HB354" s="9"/>
      <c r="HC354" s="9"/>
      <c r="HD354" s="9"/>
      <c r="HE354" s="9"/>
      <c r="HF354" s="9"/>
      <c r="HG354" s="9"/>
      <c r="HH354" s="9"/>
      <c r="HI354" s="9"/>
      <c r="HJ354" s="9"/>
      <c r="HT354" s="50">
        <v>38127</v>
      </c>
      <c r="HV354" s="50"/>
      <c r="HW354" s="50"/>
      <c r="IH354" t="s">
        <v>998</v>
      </c>
      <c r="II354" s="79" t="s">
        <v>882</v>
      </c>
      <c r="IJ354" t="s">
        <v>542</v>
      </c>
      <c r="IK354" s="79" t="s">
        <v>543</v>
      </c>
      <c r="IN354" s="78" t="s">
        <v>480</v>
      </c>
      <c r="JJ354" t="s">
        <v>999</v>
      </c>
      <c r="JK354" s="75" t="s">
        <v>494</v>
      </c>
      <c r="JL354" s="79" t="s">
        <v>495</v>
      </c>
      <c r="JP354" s="84" t="s">
        <v>508</v>
      </c>
      <c r="JQ354">
        <v>100</v>
      </c>
      <c r="JT354">
        <v>81</v>
      </c>
      <c r="JU354">
        <v>65</v>
      </c>
      <c r="KE354" t="s">
        <v>1000</v>
      </c>
      <c r="KF354" s="12" t="s">
        <v>1001</v>
      </c>
      <c r="KI354" t="s">
        <v>1002</v>
      </c>
      <c r="KJ354" t="s">
        <v>501</v>
      </c>
      <c r="KK354" s="8" t="s">
        <v>1003</v>
      </c>
      <c r="KL354" s="84" t="s">
        <v>503</v>
      </c>
      <c r="KM354">
        <v>18</v>
      </c>
      <c r="MY354" t="s">
        <v>1004</v>
      </c>
      <c r="MZ354">
        <v>6.3</v>
      </c>
      <c r="NA354" t="s">
        <v>1005</v>
      </c>
      <c r="NB354" t="s">
        <v>485</v>
      </c>
      <c r="NC354" t="s">
        <v>554</v>
      </c>
      <c r="NJ354" t="s">
        <v>1031</v>
      </c>
      <c r="NL354" s="4" t="s">
        <v>1029</v>
      </c>
      <c r="NM354" s="79"/>
      <c r="NV354" t="s">
        <v>518</v>
      </c>
      <c r="NX354" s="2" t="s">
        <v>480</v>
      </c>
      <c r="NY354" s="79"/>
      <c r="OB354">
        <v>3</v>
      </c>
      <c r="OM354">
        <v>0.61</v>
      </c>
      <c r="ON354" s="78" t="s">
        <v>480</v>
      </c>
      <c r="OO354">
        <v>1.02</v>
      </c>
      <c r="OP354" s="78" t="s">
        <v>480</v>
      </c>
      <c r="OQ354" s="144"/>
      <c r="OR354" s="144"/>
      <c r="OS354">
        <v>1.63</v>
      </c>
      <c r="OT354" s="78" t="s">
        <v>480</v>
      </c>
      <c r="OU354" t="s">
        <v>1030</v>
      </c>
      <c r="OV354" s="79"/>
      <c r="OW354">
        <v>2004</v>
      </c>
      <c r="OZ354" t="s">
        <v>1010</v>
      </c>
      <c r="PB354" s="79" t="s">
        <v>522</v>
      </c>
      <c r="PC354" s="50">
        <v>46105</v>
      </c>
    </row>
    <row r="355" spans="1:419" ht="15.75" thickBot="1">
      <c r="A355" t="s">
        <v>469</v>
      </c>
      <c r="B355" t="s">
        <v>991</v>
      </c>
      <c r="C355" t="s">
        <v>863</v>
      </c>
      <c r="D355" s="4" t="s">
        <v>950</v>
      </c>
      <c r="E355" s="83" t="s">
        <v>992</v>
      </c>
      <c r="F355" s="83" t="s">
        <v>952</v>
      </c>
      <c r="G355" s="79" t="s">
        <v>475</v>
      </c>
      <c r="H355" s="79" t="s">
        <v>476</v>
      </c>
      <c r="I355">
        <v>7.2166666666666597</v>
      </c>
      <c r="J355">
        <v>8.18333333333333</v>
      </c>
      <c r="K355" s="78">
        <v>200</v>
      </c>
      <c r="AV355" t="s">
        <v>993</v>
      </c>
      <c r="AW355">
        <v>5.7000000000000002E-2</v>
      </c>
      <c r="AX355" s="79" t="s">
        <v>480</v>
      </c>
      <c r="AY355">
        <v>1</v>
      </c>
      <c r="AZ355" t="s">
        <v>994</v>
      </c>
      <c r="BA355">
        <v>2004</v>
      </c>
      <c r="BC355">
        <v>2004.1</v>
      </c>
      <c r="BD355" t="s">
        <v>1013</v>
      </c>
      <c r="BE355" t="s">
        <v>572</v>
      </c>
      <c r="BF355" s="69" t="s">
        <v>484</v>
      </c>
      <c r="BG355" t="s">
        <v>485</v>
      </c>
      <c r="BH355" t="s">
        <v>996</v>
      </c>
      <c r="BI355" s="79" t="s">
        <v>486</v>
      </c>
      <c r="BJ355">
        <v>44440</v>
      </c>
      <c r="BK355" t="s">
        <v>537</v>
      </c>
      <c r="BL355" t="s">
        <v>554</v>
      </c>
      <c r="BM355" t="s">
        <v>997</v>
      </c>
      <c r="BN355" s="79" t="s">
        <v>486</v>
      </c>
      <c r="BO355">
        <v>266660</v>
      </c>
      <c r="EG355" s="9"/>
      <c r="EH355" s="9"/>
      <c r="EI355" s="9"/>
      <c r="EJ355" s="9"/>
      <c r="EK355" s="9"/>
      <c r="EL355" s="9"/>
      <c r="EM355" s="9"/>
      <c r="EN355" s="9"/>
      <c r="EO355" s="9"/>
      <c r="EP355" s="9"/>
      <c r="EQ355" s="9"/>
      <c r="ER355" s="9"/>
      <c r="ES355" s="9"/>
      <c r="ET355" s="9"/>
      <c r="EU355" s="9"/>
      <c r="EV355" s="9"/>
      <c r="EW355" s="9"/>
      <c r="EX355" s="9"/>
      <c r="EY355" s="9"/>
      <c r="EZ355" s="9"/>
      <c r="FA355" s="9"/>
      <c r="FB355" s="9"/>
      <c r="FC355" s="9"/>
      <c r="FD355" s="9"/>
      <c r="FE355" s="9"/>
      <c r="FF355" s="9"/>
      <c r="FG355" s="9"/>
      <c r="FH355" s="9"/>
      <c r="FI355" s="9"/>
      <c r="FJ355" s="9"/>
      <c r="FK355" s="9"/>
      <c r="FL355" s="9"/>
      <c r="FM355" s="9"/>
      <c r="FN355" s="9"/>
      <c r="FO355" s="9"/>
      <c r="FP355" s="9"/>
      <c r="FQ355" s="9"/>
      <c r="FR355" s="9"/>
      <c r="FS355" s="9"/>
      <c r="FT355" s="9"/>
      <c r="FU355" s="9"/>
      <c r="FV355" s="9"/>
      <c r="FW355" s="9"/>
      <c r="FX355" s="9"/>
      <c r="FY355" s="9"/>
      <c r="FZ355" s="9"/>
      <c r="GA355" s="9"/>
      <c r="GB355" s="9"/>
      <c r="GC355" s="9"/>
      <c r="GD355" s="9"/>
      <c r="GE355" s="9"/>
      <c r="GF355" s="9"/>
      <c r="GG355" s="9"/>
      <c r="GH355" s="9"/>
      <c r="GI355" s="9"/>
      <c r="GJ355" s="9"/>
      <c r="GK355" s="9"/>
      <c r="GL355" s="9"/>
      <c r="GM355" s="9"/>
      <c r="GN355" s="9"/>
      <c r="GO355" s="9"/>
      <c r="GP355" s="9"/>
      <c r="GQ355" s="9"/>
      <c r="GR355" s="9"/>
      <c r="GS355" s="9"/>
      <c r="GT355" s="9"/>
      <c r="GU355" s="9"/>
      <c r="GV355" s="9"/>
      <c r="GW355" s="9"/>
      <c r="GX355" s="9"/>
      <c r="GY355" s="9"/>
      <c r="GZ355" s="9"/>
      <c r="HA355" s="9"/>
      <c r="HB355" s="9"/>
      <c r="HC355" s="9"/>
      <c r="HD355" s="9"/>
      <c r="HE355" s="9"/>
      <c r="HF355" s="9"/>
      <c r="HG355" s="9"/>
      <c r="HH355" s="9"/>
      <c r="HI355" s="9"/>
      <c r="HJ355" s="9"/>
      <c r="HT355" s="50">
        <v>38127</v>
      </c>
      <c r="HV355" s="50"/>
      <c r="HW355" s="50"/>
      <c r="IH355" t="s">
        <v>998</v>
      </c>
      <c r="II355" s="79" t="s">
        <v>882</v>
      </c>
      <c r="IJ355" t="s">
        <v>542</v>
      </c>
      <c r="IK355" s="79" t="s">
        <v>543</v>
      </c>
      <c r="IN355" s="78" t="s">
        <v>480</v>
      </c>
      <c r="JJ355" t="s">
        <v>999</v>
      </c>
      <c r="JK355" s="75" t="s">
        <v>494</v>
      </c>
      <c r="JL355" s="79" t="s">
        <v>495</v>
      </c>
      <c r="JP355" s="84" t="s">
        <v>508</v>
      </c>
      <c r="JQ355">
        <v>100</v>
      </c>
      <c r="JT355">
        <v>81</v>
      </c>
      <c r="JU355">
        <v>65</v>
      </c>
      <c r="KE355" t="s">
        <v>1000</v>
      </c>
      <c r="KF355" s="12" t="s">
        <v>1001</v>
      </c>
      <c r="KI355" t="s">
        <v>1002</v>
      </c>
      <c r="KJ355" t="s">
        <v>501</v>
      </c>
      <c r="KK355" s="8" t="s">
        <v>1003</v>
      </c>
      <c r="KL355" s="84" t="s">
        <v>503</v>
      </c>
      <c r="KM355">
        <v>18</v>
      </c>
      <c r="MY355" t="s">
        <v>1004</v>
      </c>
      <c r="MZ355">
        <v>6.3</v>
      </c>
      <c r="NA355" t="s">
        <v>1005</v>
      </c>
      <c r="NB355" t="s">
        <v>485</v>
      </c>
      <c r="NC355" t="s">
        <v>554</v>
      </c>
      <c r="NJ355" t="s">
        <v>1031</v>
      </c>
      <c r="NL355" s="4" t="s">
        <v>1029</v>
      </c>
      <c r="NM355" s="79"/>
      <c r="NV355" t="s">
        <v>518</v>
      </c>
      <c r="NX355" s="2" t="s">
        <v>480</v>
      </c>
      <c r="NY355" s="79"/>
      <c r="OB355">
        <v>3</v>
      </c>
      <c r="OM355">
        <v>0.78</v>
      </c>
      <c r="ON355" s="78" t="s">
        <v>480</v>
      </c>
      <c r="OO355">
        <v>0.42</v>
      </c>
      <c r="OP355" s="78" t="s">
        <v>480</v>
      </c>
      <c r="OQ355" s="144"/>
      <c r="OR355" s="144"/>
      <c r="OS355">
        <v>1.2</v>
      </c>
      <c r="OT355" s="78" t="s">
        <v>480</v>
      </c>
      <c r="OU355" t="s">
        <v>1030</v>
      </c>
      <c r="OV355" s="79"/>
      <c r="OW355">
        <v>2004</v>
      </c>
      <c r="OZ355" t="s">
        <v>1010</v>
      </c>
      <c r="PB355" s="79" t="s">
        <v>522</v>
      </c>
      <c r="PC355" s="50">
        <v>46105</v>
      </c>
    </row>
    <row r="356" spans="1:419" ht="15.75" thickBot="1">
      <c r="A356" t="s">
        <v>469</v>
      </c>
      <c r="B356" t="s">
        <v>991</v>
      </c>
      <c r="C356" t="s">
        <v>863</v>
      </c>
      <c r="D356" s="4" t="s">
        <v>950</v>
      </c>
      <c r="E356" s="83" t="s">
        <v>992</v>
      </c>
      <c r="F356" s="83" t="s">
        <v>952</v>
      </c>
      <c r="G356" s="79" t="s">
        <v>475</v>
      </c>
      <c r="H356" s="79" t="s">
        <v>476</v>
      </c>
      <c r="I356">
        <v>7.2166666666666597</v>
      </c>
      <c r="J356">
        <v>8.18333333333333</v>
      </c>
      <c r="K356" s="78">
        <v>200</v>
      </c>
      <c r="AV356" t="s">
        <v>993</v>
      </c>
      <c r="AW356">
        <v>5.7000000000000002E-2</v>
      </c>
      <c r="AX356" s="79" t="s">
        <v>480</v>
      </c>
      <c r="AY356">
        <v>1</v>
      </c>
      <c r="AZ356" t="s">
        <v>994</v>
      </c>
      <c r="BA356">
        <v>2004</v>
      </c>
      <c r="BC356">
        <v>2004.1</v>
      </c>
      <c r="BD356" t="s">
        <v>1014</v>
      </c>
      <c r="BE356" t="s">
        <v>553</v>
      </c>
      <c r="BF356" s="69" t="s">
        <v>484</v>
      </c>
      <c r="BG356" t="s">
        <v>485</v>
      </c>
      <c r="BH356" t="s">
        <v>996</v>
      </c>
      <c r="BI356" s="79" t="s">
        <v>486</v>
      </c>
      <c r="BJ356">
        <v>44440</v>
      </c>
      <c r="BK356" t="s">
        <v>537</v>
      </c>
      <c r="BL356" t="s">
        <v>554</v>
      </c>
      <c r="BM356" t="s">
        <v>1012</v>
      </c>
      <c r="BN356" s="79" t="s">
        <v>486</v>
      </c>
      <c r="BO356">
        <v>266660</v>
      </c>
      <c r="EG356" s="9"/>
      <c r="EH356" s="9"/>
      <c r="EI356" s="9"/>
      <c r="EJ356" s="9"/>
      <c r="EK356" s="9"/>
      <c r="EL356" s="9"/>
      <c r="EM356" s="9"/>
      <c r="EN356" s="9"/>
      <c r="EO356" s="9"/>
      <c r="EP356" s="9"/>
      <c r="EQ356" s="9"/>
      <c r="ER356" s="9"/>
      <c r="ES356" s="9"/>
      <c r="ET356" s="9"/>
      <c r="EU356" s="9"/>
      <c r="EV356" s="9"/>
      <c r="EW356" s="9"/>
      <c r="EX356" s="9"/>
      <c r="EY356" s="9"/>
      <c r="EZ356" s="9"/>
      <c r="FA356" s="9"/>
      <c r="FB356" s="9"/>
      <c r="FC356" s="9"/>
      <c r="FD356" s="9"/>
      <c r="FE356" s="9"/>
      <c r="FF356" s="9"/>
      <c r="FG356" s="9"/>
      <c r="FH356" s="9"/>
      <c r="FI356" s="9"/>
      <c r="FJ356" s="9"/>
      <c r="FK356" s="9"/>
      <c r="FL356" s="9"/>
      <c r="FM356" s="9"/>
      <c r="FN356" s="9"/>
      <c r="FO356" s="9"/>
      <c r="FP356" s="9"/>
      <c r="FQ356" s="9"/>
      <c r="FR356" s="9"/>
      <c r="FS356" s="9"/>
      <c r="FT356" s="9"/>
      <c r="FU356" s="9"/>
      <c r="FV356" s="9"/>
      <c r="FW356" s="9"/>
      <c r="FX356" s="9"/>
      <c r="FY356" s="9"/>
      <c r="FZ356" s="9"/>
      <c r="GA356" s="9"/>
      <c r="GB356" s="9"/>
      <c r="GC356" s="9"/>
      <c r="GD356" s="9"/>
      <c r="GE356" s="9"/>
      <c r="GF356" s="9"/>
      <c r="GG356" s="9"/>
      <c r="GH356" s="9"/>
      <c r="GI356" s="9"/>
      <c r="GJ356" s="9"/>
      <c r="GK356" s="9"/>
      <c r="GL356" s="9"/>
      <c r="GM356" s="9"/>
      <c r="GN356" s="9"/>
      <c r="GO356" s="9"/>
      <c r="GP356" s="9"/>
      <c r="GQ356" s="9"/>
      <c r="GR356" s="9"/>
      <c r="GS356" s="9"/>
      <c r="GT356" s="9"/>
      <c r="GU356" s="9"/>
      <c r="GV356" s="9"/>
      <c r="GW356" s="9"/>
      <c r="GX356" s="9"/>
      <c r="GY356" s="9"/>
      <c r="GZ356" s="9"/>
      <c r="HA356" s="9"/>
      <c r="HB356" s="9"/>
      <c r="HC356" s="9"/>
      <c r="HD356" s="9"/>
      <c r="HE356" s="9"/>
      <c r="HF356" s="9"/>
      <c r="HG356" s="9"/>
      <c r="HH356" s="9"/>
      <c r="HI356" s="9"/>
      <c r="HJ356" s="9"/>
      <c r="HT356" s="50">
        <v>38127</v>
      </c>
      <c r="HV356" s="50"/>
      <c r="HW356" s="50"/>
      <c r="IH356" t="s">
        <v>998</v>
      </c>
      <c r="II356" s="79" t="s">
        <v>882</v>
      </c>
      <c r="IJ356" t="s">
        <v>542</v>
      </c>
      <c r="IK356" s="79" t="s">
        <v>543</v>
      </c>
      <c r="IN356" s="78" t="s">
        <v>480</v>
      </c>
      <c r="JJ356" t="s">
        <v>999</v>
      </c>
      <c r="JK356" s="75" t="s">
        <v>494</v>
      </c>
      <c r="JL356" s="79" t="s">
        <v>495</v>
      </c>
      <c r="JP356" s="84" t="s">
        <v>508</v>
      </c>
      <c r="JQ356">
        <v>100</v>
      </c>
      <c r="JT356">
        <v>81</v>
      </c>
      <c r="JU356">
        <v>65</v>
      </c>
      <c r="KE356" t="s">
        <v>1000</v>
      </c>
      <c r="KF356" s="12" t="s">
        <v>1001</v>
      </c>
      <c r="KI356" t="s">
        <v>1002</v>
      </c>
      <c r="KJ356" t="s">
        <v>501</v>
      </c>
      <c r="KK356" s="8" t="s">
        <v>1003</v>
      </c>
      <c r="KL356" s="84" t="s">
        <v>503</v>
      </c>
      <c r="KM356">
        <v>18</v>
      </c>
      <c r="MY356" t="s">
        <v>1004</v>
      </c>
      <c r="MZ356">
        <v>6.3</v>
      </c>
      <c r="NA356" t="s">
        <v>1005</v>
      </c>
      <c r="NB356" t="s">
        <v>485</v>
      </c>
      <c r="NC356" t="s">
        <v>554</v>
      </c>
      <c r="NJ356" t="s">
        <v>1031</v>
      </c>
      <c r="NL356" s="4" t="s">
        <v>1029</v>
      </c>
      <c r="NM356" s="79"/>
      <c r="NV356" t="s">
        <v>518</v>
      </c>
      <c r="NX356" s="2" t="s">
        <v>480</v>
      </c>
      <c r="NY356" s="79"/>
      <c r="OB356">
        <v>3</v>
      </c>
      <c r="OM356">
        <v>0.62</v>
      </c>
      <c r="ON356" s="78" t="s">
        <v>480</v>
      </c>
      <c r="OO356">
        <v>0.68</v>
      </c>
      <c r="OP356" s="78" t="s">
        <v>480</v>
      </c>
      <c r="OQ356" s="144"/>
      <c r="OR356" s="144"/>
      <c r="OS356">
        <v>1.3</v>
      </c>
      <c r="OT356" s="78" t="s">
        <v>480</v>
      </c>
      <c r="OU356" t="s">
        <v>1030</v>
      </c>
      <c r="OV356" s="79"/>
      <c r="OW356">
        <v>2004</v>
      </c>
      <c r="OZ356" t="s">
        <v>1010</v>
      </c>
      <c r="PB356" s="79" t="s">
        <v>522</v>
      </c>
      <c r="PC356" s="50">
        <v>46105</v>
      </c>
    </row>
    <row r="357" spans="1:419" ht="15.75" thickBot="1">
      <c r="A357" t="s">
        <v>469</v>
      </c>
      <c r="B357" t="s">
        <v>991</v>
      </c>
      <c r="C357" t="s">
        <v>863</v>
      </c>
      <c r="D357" s="4" t="s">
        <v>950</v>
      </c>
      <c r="E357" s="83" t="s">
        <v>992</v>
      </c>
      <c r="F357" s="83" t="s">
        <v>952</v>
      </c>
      <c r="G357" s="79" t="s">
        <v>475</v>
      </c>
      <c r="H357" s="79" t="s">
        <v>476</v>
      </c>
      <c r="I357">
        <v>7.2166666666666597</v>
      </c>
      <c r="J357">
        <v>8.18333333333333</v>
      </c>
      <c r="K357" s="78">
        <v>200</v>
      </c>
      <c r="AV357" t="s">
        <v>993</v>
      </c>
      <c r="AW357">
        <v>5.7000000000000002E-2</v>
      </c>
      <c r="AX357" s="79" t="s">
        <v>480</v>
      </c>
      <c r="AY357">
        <v>1</v>
      </c>
      <c r="AZ357" t="s">
        <v>994</v>
      </c>
      <c r="BA357">
        <v>2004</v>
      </c>
      <c r="BC357">
        <v>2004.1</v>
      </c>
      <c r="BD357" t="s">
        <v>1015</v>
      </c>
      <c r="BE357" t="s">
        <v>607</v>
      </c>
      <c r="BF357" s="69" t="s">
        <v>484</v>
      </c>
      <c r="BG357" t="s">
        <v>485</v>
      </c>
      <c r="BH357" t="s">
        <v>996</v>
      </c>
      <c r="BI357" s="79" t="s">
        <v>486</v>
      </c>
      <c r="BJ357">
        <v>53330</v>
      </c>
      <c r="BK357" t="s">
        <v>537</v>
      </c>
      <c r="BL357" t="s">
        <v>554</v>
      </c>
      <c r="BM357" t="s">
        <v>997</v>
      </c>
      <c r="BN357" s="79" t="s">
        <v>486</v>
      </c>
      <c r="BO357">
        <v>266660</v>
      </c>
      <c r="EG357" s="9"/>
      <c r="EH357" s="9"/>
      <c r="EI357" s="9"/>
      <c r="EJ357" s="9"/>
      <c r="EK357" s="9"/>
      <c r="EL357" s="9"/>
      <c r="EM357" s="9"/>
      <c r="EN357" s="9"/>
      <c r="EO357" s="9"/>
      <c r="EP357" s="9"/>
      <c r="EQ357" s="9"/>
      <c r="ER357" s="9"/>
      <c r="ES357" s="9"/>
      <c r="ET357" s="9"/>
      <c r="EU357" s="9"/>
      <c r="EV357" s="9"/>
      <c r="EW357" s="9"/>
      <c r="EX357" s="9"/>
      <c r="EY357" s="9"/>
      <c r="EZ357" s="9"/>
      <c r="FA357" s="9"/>
      <c r="FB357" s="9"/>
      <c r="FC357" s="9"/>
      <c r="FD357" s="9"/>
      <c r="FE357" s="9"/>
      <c r="FF357" s="9"/>
      <c r="FG357" s="9"/>
      <c r="FH357" s="9"/>
      <c r="FI357" s="9"/>
      <c r="FJ357" s="9"/>
      <c r="FK357" s="9"/>
      <c r="FL357" s="9"/>
      <c r="FM357" s="9"/>
      <c r="FN357" s="9"/>
      <c r="FO357" s="9"/>
      <c r="FP357" s="9"/>
      <c r="FQ357" s="9"/>
      <c r="FR357" s="9"/>
      <c r="FS357" s="9"/>
      <c r="FT357" s="9"/>
      <c r="FU357" s="9"/>
      <c r="FV357" s="9"/>
      <c r="FW357" s="9"/>
      <c r="FX357" s="9"/>
      <c r="FY357" s="9"/>
      <c r="FZ357" s="9"/>
      <c r="GA357" s="9"/>
      <c r="GB357" s="9"/>
      <c r="GC357" s="9"/>
      <c r="GD357" s="9"/>
      <c r="GE357" s="9"/>
      <c r="GF357" s="9"/>
      <c r="GG357" s="9"/>
      <c r="GH357" s="9"/>
      <c r="GI357" s="9"/>
      <c r="GJ357" s="9"/>
      <c r="GK357" s="9"/>
      <c r="GL357" s="9"/>
      <c r="GM357" s="9"/>
      <c r="GN357" s="9"/>
      <c r="GO357" s="9"/>
      <c r="GP357" s="9"/>
      <c r="GQ357" s="9"/>
      <c r="GR357" s="9"/>
      <c r="GS357" s="9"/>
      <c r="GT357" s="9"/>
      <c r="GU357" s="9"/>
      <c r="GV357" s="9"/>
      <c r="GW357" s="9"/>
      <c r="GX357" s="9"/>
      <c r="GY357" s="9"/>
      <c r="GZ357" s="9"/>
      <c r="HA357" s="9"/>
      <c r="HB357" s="9"/>
      <c r="HC357" s="9"/>
      <c r="HD357" s="9"/>
      <c r="HE357" s="9"/>
      <c r="HF357" s="9"/>
      <c r="HG357" s="9"/>
      <c r="HH357" s="9"/>
      <c r="HI357" s="9"/>
      <c r="HJ357" s="9"/>
      <c r="HT357" s="50">
        <v>38127</v>
      </c>
      <c r="HV357" s="50"/>
      <c r="HW357" s="50"/>
      <c r="IH357" t="s">
        <v>998</v>
      </c>
      <c r="II357" s="79" t="s">
        <v>882</v>
      </c>
      <c r="IJ357" t="s">
        <v>542</v>
      </c>
      <c r="IK357" s="79" t="s">
        <v>543</v>
      </c>
      <c r="IN357" s="78" t="s">
        <v>480</v>
      </c>
      <c r="JJ357" t="s">
        <v>999</v>
      </c>
      <c r="JK357" s="75" t="s">
        <v>494</v>
      </c>
      <c r="JL357" s="79" t="s">
        <v>495</v>
      </c>
      <c r="JP357" s="84" t="s">
        <v>508</v>
      </c>
      <c r="JQ357">
        <v>100</v>
      </c>
      <c r="JT357">
        <v>81</v>
      </c>
      <c r="JU357">
        <v>65</v>
      </c>
      <c r="KE357" t="s">
        <v>1000</v>
      </c>
      <c r="KF357" s="12" t="s">
        <v>1001</v>
      </c>
      <c r="KI357" t="s">
        <v>1002</v>
      </c>
      <c r="KJ357" t="s">
        <v>501</v>
      </c>
      <c r="KK357" s="8" t="s">
        <v>1003</v>
      </c>
      <c r="KL357" s="84" t="s">
        <v>503</v>
      </c>
      <c r="KM357">
        <v>18</v>
      </c>
      <c r="MY357" t="s">
        <v>1004</v>
      </c>
      <c r="MZ357">
        <v>6.3</v>
      </c>
      <c r="NA357" t="s">
        <v>1005</v>
      </c>
      <c r="NB357" t="s">
        <v>485</v>
      </c>
      <c r="NC357" t="s">
        <v>554</v>
      </c>
      <c r="NJ357" t="s">
        <v>1031</v>
      </c>
      <c r="NL357" s="4" t="s">
        <v>1029</v>
      </c>
      <c r="NM357" s="79"/>
      <c r="NV357" t="s">
        <v>518</v>
      </c>
      <c r="NX357" s="2" t="s">
        <v>480</v>
      </c>
      <c r="NY357" s="79"/>
      <c r="OB357">
        <v>3</v>
      </c>
      <c r="OM357">
        <v>1.01</v>
      </c>
      <c r="ON357" s="78" t="s">
        <v>480</v>
      </c>
      <c r="OO357">
        <v>0.42</v>
      </c>
      <c r="OP357" s="78" t="s">
        <v>480</v>
      </c>
      <c r="OQ357" s="144"/>
      <c r="OR357" s="144"/>
      <c r="OS357">
        <v>1.42</v>
      </c>
      <c r="OT357" s="78" t="s">
        <v>480</v>
      </c>
      <c r="OU357" t="s">
        <v>1030</v>
      </c>
      <c r="OV357" s="79"/>
      <c r="OW357">
        <v>2004</v>
      </c>
      <c r="OZ357" t="s">
        <v>1010</v>
      </c>
      <c r="PB357" s="79" t="s">
        <v>522</v>
      </c>
      <c r="PC357" s="50">
        <v>46105</v>
      </c>
    </row>
    <row r="358" spans="1:419" ht="15.75" thickBot="1">
      <c r="A358" t="s">
        <v>469</v>
      </c>
      <c r="B358" t="s">
        <v>991</v>
      </c>
      <c r="C358" t="s">
        <v>863</v>
      </c>
      <c r="D358" s="4" t="s">
        <v>950</v>
      </c>
      <c r="E358" s="83" t="s">
        <v>992</v>
      </c>
      <c r="F358" s="83" t="s">
        <v>952</v>
      </c>
      <c r="G358" s="79" t="s">
        <v>475</v>
      </c>
      <c r="H358" s="79" t="s">
        <v>476</v>
      </c>
      <c r="I358">
        <v>7.2166666666666597</v>
      </c>
      <c r="J358">
        <v>8.18333333333333</v>
      </c>
      <c r="K358" s="78">
        <v>200</v>
      </c>
      <c r="AV358" t="s">
        <v>993</v>
      </c>
      <c r="AW358">
        <v>5.7000000000000002E-2</v>
      </c>
      <c r="AX358" s="79" t="s">
        <v>480</v>
      </c>
      <c r="AY358">
        <v>1</v>
      </c>
      <c r="AZ358" t="s">
        <v>994</v>
      </c>
      <c r="BA358">
        <v>2004</v>
      </c>
      <c r="BC358">
        <v>2004.1</v>
      </c>
      <c r="BD358" t="s">
        <v>1016</v>
      </c>
      <c r="BE358" t="s">
        <v>611</v>
      </c>
      <c r="BF358" s="69" t="s">
        <v>484</v>
      </c>
      <c r="BG358" t="s">
        <v>485</v>
      </c>
      <c r="BH358" t="s">
        <v>996</v>
      </c>
      <c r="BI358" s="79" t="s">
        <v>486</v>
      </c>
      <c r="BJ358">
        <v>53330</v>
      </c>
      <c r="BK358" t="s">
        <v>537</v>
      </c>
      <c r="BL358" t="s">
        <v>554</v>
      </c>
      <c r="BM358" t="s">
        <v>1012</v>
      </c>
      <c r="BN358" s="79" t="s">
        <v>486</v>
      </c>
      <c r="BO358">
        <v>266660</v>
      </c>
      <c r="EG358" s="9"/>
      <c r="EH358" s="9"/>
      <c r="EI358" s="9"/>
      <c r="EJ358" s="9"/>
      <c r="EK358" s="9"/>
      <c r="EL358" s="9"/>
      <c r="EM358" s="9"/>
      <c r="EN358" s="9"/>
      <c r="EO358" s="9"/>
      <c r="EP358" s="9"/>
      <c r="EQ358" s="9"/>
      <c r="ER358" s="9"/>
      <c r="ES358" s="9"/>
      <c r="ET358" s="9"/>
      <c r="EU358" s="9"/>
      <c r="EV358" s="9"/>
      <c r="EW358" s="9"/>
      <c r="EX358" s="9"/>
      <c r="EY358" s="9"/>
      <c r="EZ358" s="9"/>
      <c r="FA358" s="9"/>
      <c r="FB358" s="9"/>
      <c r="FC358" s="9"/>
      <c r="FD358" s="9"/>
      <c r="FE358" s="9"/>
      <c r="FF358" s="9"/>
      <c r="FG358" s="9"/>
      <c r="FH358" s="9"/>
      <c r="FI358" s="9"/>
      <c r="FJ358" s="9"/>
      <c r="FK358" s="9"/>
      <c r="FL358" s="9"/>
      <c r="FM358" s="9"/>
      <c r="FN358" s="9"/>
      <c r="FO358" s="9"/>
      <c r="FP358" s="9"/>
      <c r="FQ358" s="9"/>
      <c r="FR358" s="9"/>
      <c r="FS358" s="9"/>
      <c r="FT358" s="9"/>
      <c r="FU358" s="9"/>
      <c r="FV358" s="9"/>
      <c r="FW358" s="9"/>
      <c r="FX358" s="9"/>
      <c r="FY358" s="9"/>
      <c r="FZ358" s="9"/>
      <c r="GA358" s="9"/>
      <c r="GB358" s="9"/>
      <c r="GC358" s="9"/>
      <c r="GD358" s="9"/>
      <c r="GE358" s="9"/>
      <c r="GF358" s="9"/>
      <c r="GG358" s="9"/>
      <c r="GH358" s="9"/>
      <c r="GI358" s="9"/>
      <c r="GJ358" s="9"/>
      <c r="GK358" s="9"/>
      <c r="GL358" s="9"/>
      <c r="GM358" s="9"/>
      <c r="GN358" s="9"/>
      <c r="GO358" s="9"/>
      <c r="GP358" s="9"/>
      <c r="GQ358" s="9"/>
      <c r="GR358" s="9"/>
      <c r="GS358" s="9"/>
      <c r="GT358" s="9"/>
      <c r="GU358" s="9"/>
      <c r="GV358" s="9"/>
      <c r="GW358" s="9"/>
      <c r="GX358" s="9"/>
      <c r="GY358" s="9"/>
      <c r="GZ358" s="9"/>
      <c r="HA358" s="9"/>
      <c r="HB358" s="9"/>
      <c r="HC358" s="9"/>
      <c r="HD358" s="9"/>
      <c r="HE358" s="9"/>
      <c r="HF358" s="9"/>
      <c r="HG358" s="9"/>
      <c r="HH358" s="9"/>
      <c r="HI358" s="9"/>
      <c r="HJ358" s="9"/>
      <c r="HT358" s="50">
        <v>38127</v>
      </c>
      <c r="HV358" s="50"/>
      <c r="HW358" s="50"/>
      <c r="IH358" t="s">
        <v>998</v>
      </c>
      <c r="II358" s="79" t="s">
        <v>882</v>
      </c>
      <c r="IJ358" t="s">
        <v>542</v>
      </c>
      <c r="IK358" s="79" t="s">
        <v>543</v>
      </c>
      <c r="IN358" s="78" t="s">
        <v>480</v>
      </c>
      <c r="JJ358" t="s">
        <v>999</v>
      </c>
      <c r="JK358" s="75" t="s">
        <v>494</v>
      </c>
      <c r="JL358" s="79" t="s">
        <v>495</v>
      </c>
      <c r="JP358" s="84" t="s">
        <v>508</v>
      </c>
      <c r="JQ358">
        <v>100</v>
      </c>
      <c r="JT358">
        <v>81</v>
      </c>
      <c r="JU358">
        <v>65</v>
      </c>
      <c r="KE358" t="s">
        <v>1000</v>
      </c>
      <c r="KF358" s="12" t="s">
        <v>1001</v>
      </c>
      <c r="KI358" t="s">
        <v>1002</v>
      </c>
      <c r="KJ358" t="s">
        <v>501</v>
      </c>
      <c r="KK358" s="8" t="s">
        <v>1003</v>
      </c>
      <c r="KL358" s="84" t="s">
        <v>503</v>
      </c>
      <c r="KM358">
        <v>18</v>
      </c>
      <c r="MY358" t="s">
        <v>1004</v>
      </c>
      <c r="MZ358">
        <v>6.3</v>
      </c>
      <c r="NA358" t="s">
        <v>1005</v>
      </c>
      <c r="NB358" t="s">
        <v>485</v>
      </c>
      <c r="NC358" t="s">
        <v>554</v>
      </c>
      <c r="NJ358" t="s">
        <v>1031</v>
      </c>
      <c r="NL358" s="4" t="s">
        <v>1029</v>
      </c>
      <c r="NM358" s="79"/>
      <c r="NV358" t="s">
        <v>518</v>
      </c>
      <c r="NX358" s="2" t="s">
        <v>480</v>
      </c>
      <c r="NY358" s="79"/>
      <c r="OB358">
        <v>3</v>
      </c>
      <c r="OM358">
        <v>0.81</v>
      </c>
      <c r="ON358" s="78" t="s">
        <v>480</v>
      </c>
      <c r="OO358">
        <v>0.64</v>
      </c>
      <c r="OP358" s="78" t="s">
        <v>480</v>
      </c>
      <c r="OQ358" s="144"/>
      <c r="OR358" s="144"/>
      <c r="OS358">
        <v>1.45</v>
      </c>
      <c r="OT358" s="78" t="s">
        <v>480</v>
      </c>
      <c r="OU358" t="s">
        <v>1030</v>
      </c>
      <c r="OV358" s="79"/>
      <c r="OW358">
        <v>2004</v>
      </c>
      <c r="OZ358" t="s">
        <v>1010</v>
      </c>
      <c r="PB358" s="79" t="s">
        <v>522</v>
      </c>
      <c r="PC358" s="50">
        <v>46105</v>
      </c>
    </row>
    <row r="359" spans="1:419" ht="15.75" thickBot="1">
      <c r="A359" t="s">
        <v>469</v>
      </c>
      <c r="B359" t="s">
        <v>991</v>
      </c>
      <c r="C359" t="s">
        <v>863</v>
      </c>
      <c r="D359" s="4" t="s">
        <v>950</v>
      </c>
      <c r="E359" s="83" t="s">
        <v>992</v>
      </c>
      <c r="F359" s="83" t="s">
        <v>952</v>
      </c>
      <c r="G359" s="79" t="s">
        <v>475</v>
      </c>
      <c r="H359" s="79" t="s">
        <v>476</v>
      </c>
      <c r="I359">
        <v>7.2166666666666597</v>
      </c>
      <c r="J359">
        <v>8.18333333333333</v>
      </c>
      <c r="K359" s="78">
        <v>200</v>
      </c>
      <c r="AV359" t="s">
        <v>993</v>
      </c>
      <c r="AW359">
        <v>5.7000000000000002E-2</v>
      </c>
      <c r="AX359" s="79" t="s">
        <v>480</v>
      </c>
      <c r="AY359">
        <v>1</v>
      </c>
      <c r="AZ359" t="s">
        <v>994</v>
      </c>
      <c r="BA359">
        <v>2004</v>
      </c>
      <c r="BC359">
        <v>2004.1</v>
      </c>
      <c r="BD359" t="s">
        <v>1017</v>
      </c>
      <c r="BE359" t="s">
        <v>524</v>
      </c>
      <c r="BF359" s="69" t="s">
        <v>484</v>
      </c>
      <c r="BG359" t="s">
        <v>554</v>
      </c>
      <c r="BH359" t="s">
        <v>997</v>
      </c>
      <c r="BI359" s="79" t="s">
        <v>486</v>
      </c>
      <c r="BJ359">
        <v>266660</v>
      </c>
      <c r="EG359" s="9"/>
      <c r="EH359" s="9"/>
      <c r="EI359" s="9"/>
      <c r="EJ359" s="9"/>
      <c r="EK359" s="9"/>
      <c r="EL359" s="9"/>
      <c r="EM359" s="9"/>
      <c r="EN359" s="9"/>
      <c r="EO359" s="9"/>
      <c r="EP359" s="9"/>
      <c r="EQ359" s="9"/>
      <c r="ER359" s="9"/>
      <c r="ES359" s="9"/>
      <c r="ET359" s="9"/>
      <c r="EU359" s="9"/>
      <c r="EV359" s="9"/>
      <c r="EW359" s="9"/>
      <c r="EX359" s="9"/>
      <c r="EY359" s="9"/>
      <c r="EZ359" s="9"/>
      <c r="FA359" s="9"/>
      <c r="FB359" s="9"/>
      <c r="FC359" s="9"/>
      <c r="FD359" s="9"/>
      <c r="FE359" s="9"/>
      <c r="FF359" s="9"/>
      <c r="FG359" s="9"/>
      <c r="FH359" s="9"/>
      <c r="FI359" s="9"/>
      <c r="FJ359" s="9"/>
      <c r="FK359" s="9"/>
      <c r="FL359" s="9"/>
      <c r="FM359" s="9"/>
      <c r="FN359" s="9"/>
      <c r="FO359" s="9"/>
      <c r="FP359" s="9"/>
      <c r="FQ359" s="9"/>
      <c r="FR359" s="9"/>
      <c r="FS359" s="9"/>
      <c r="FT359" s="9"/>
      <c r="FU359" s="9"/>
      <c r="FV359" s="9"/>
      <c r="FW359" s="9"/>
      <c r="FX359" s="9"/>
      <c r="FY359" s="9"/>
      <c r="FZ359" s="9"/>
      <c r="GA359" s="9"/>
      <c r="GB359" s="9"/>
      <c r="GC359" s="9"/>
      <c r="GD359" s="9"/>
      <c r="GE359" s="9"/>
      <c r="GF359" s="9"/>
      <c r="GG359" s="9"/>
      <c r="GH359" s="9"/>
      <c r="GI359" s="9"/>
      <c r="GJ359" s="9"/>
      <c r="GK359" s="9"/>
      <c r="GL359" s="9"/>
      <c r="GM359" s="9"/>
      <c r="GN359" s="9"/>
      <c r="GO359" s="9"/>
      <c r="GP359" s="9"/>
      <c r="GQ359" s="9"/>
      <c r="GR359" s="9"/>
      <c r="GS359" s="9"/>
      <c r="GT359" s="9"/>
      <c r="GU359" s="9"/>
      <c r="GV359" s="9"/>
      <c r="GW359" s="9"/>
      <c r="GX359" s="9"/>
      <c r="GY359" s="9"/>
      <c r="GZ359" s="9"/>
      <c r="HA359" s="9"/>
      <c r="HB359" s="9"/>
      <c r="HC359" s="9"/>
      <c r="HD359" s="9"/>
      <c r="HE359" s="9"/>
      <c r="HF359" s="9"/>
      <c r="HG359" s="9"/>
      <c r="HH359" s="9"/>
      <c r="HI359" s="9"/>
      <c r="HJ359" s="9"/>
      <c r="HT359" s="50">
        <v>38127</v>
      </c>
      <c r="HV359" s="50"/>
      <c r="HW359" s="50"/>
      <c r="IH359" t="s">
        <v>1018</v>
      </c>
      <c r="II359" s="79" t="s">
        <v>492</v>
      </c>
      <c r="IJ359" t="s">
        <v>542</v>
      </c>
      <c r="IK359" s="79" t="s">
        <v>543</v>
      </c>
      <c r="IN359" s="78" t="s">
        <v>480</v>
      </c>
      <c r="JJ359" t="s">
        <v>999</v>
      </c>
      <c r="JK359" s="75" t="s">
        <v>494</v>
      </c>
      <c r="JL359" s="79" t="s">
        <v>495</v>
      </c>
      <c r="JP359" s="84" t="s">
        <v>508</v>
      </c>
      <c r="JQ359">
        <v>10</v>
      </c>
      <c r="JT359">
        <v>36</v>
      </c>
      <c r="JU359">
        <v>20</v>
      </c>
      <c r="KE359" t="s">
        <v>1000</v>
      </c>
      <c r="KF359" s="12" t="s">
        <v>1001</v>
      </c>
      <c r="KI359" t="s">
        <v>1002</v>
      </c>
      <c r="KJ359" t="s">
        <v>501</v>
      </c>
      <c r="KK359" s="8" t="s">
        <v>1003</v>
      </c>
      <c r="KL359" s="84" t="s">
        <v>503</v>
      </c>
      <c r="KM359">
        <v>18</v>
      </c>
      <c r="MY359" t="s">
        <v>1004</v>
      </c>
      <c r="MZ359">
        <v>6.3</v>
      </c>
      <c r="NA359" t="s">
        <v>1019</v>
      </c>
      <c r="NB359" t="s">
        <v>554</v>
      </c>
      <c r="NJ359" t="s">
        <v>1019</v>
      </c>
      <c r="NL359" s="4" t="s">
        <v>1029</v>
      </c>
      <c r="NM359" s="79"/>
      <c r="NU359" t="s">
        <v>1020</v>
      </c>
      <c r="NV359" t="s">
        <v>518</v>
      </c>
      <c r="NX359" s="2" t="s">
        <v>480</v>
      </c>
      <c r="NY359" s="79"/>
      <c r="OB359">
        <v>3</v>
      </c>
      <c r="OU359" t="s">
        <v>1030</v>
      </c>
      <c r="OV359" s="79"/>
      <c r="OW359">
        <v>2004</v>
      </c>
      <c r="OZ359" t="s">
        <v>1010</v>
      </c>
      <c r="PB359" s="79" t="s">
        <v>522</v>
      </c>
      <c r="PC359" s="50">
        <v>46105</v>
      </c>
    </row>
    <row r="360" spans="1:419" ht="15.75" thickBot="1">
      <c r="A360" t="s">
        <v>469</v>
      </c>
      <c r="B360" t="s">
        <v>991</v>
      </c>
      <c r="C360" t="s">
        <v>863</v>
      </c>
      <c r="D360" s="4" t="s">
        <v>950</v>
      </c>
      <c r="E360" s="83" t="s">
        <v>992</v>
      </c>
      <c r="F360" s="83" t="s">
        <v>952</v>
      </c>
      <c r="G360" s="79" t="s">
        <v>475</v>
      </c>
      <c r="H360" s="79" t="s">
        <v>476</v>
      </c>
      <c r="I360">
        <v>7.2166666666666597</v>
      </c>
      <c r="J360">
        <v>8.18333333333333</v>
      </c>
      <c r="K360" s="78">
        <v>200</v>
      </c>
      <c r="AV360" t="s">
        <v>993</v>
      </c>
      <c r="AW360">
        <v>5.7000000000000002E-2</v>
      </c>
      <c r="AX360" s="79" t="s">
        <v>480</v>
      </c>
      <c r="AY360">
        <v>1</v>
      </c>
      <c r="AZ360" t="s">
        <v>994</v>
      </c>
      <c r="BA360">
        <v>2004</v>
      </c>
      <c r="BC360">
        <v>2004.1</v>
      </c>
      <c r="BD360" t="s">
        <v>1021</v>
      </c>
      <c r="BE360" t="s">
        <v>483</v>
      </c>
      <c r="BF360" s="69" t="s">
        <v>484</v>
      </c>
      <c r="BG360" t="s">
        <v>554</v>
      </c>
      <c r="BH360" t="s">
        <v>1012</v>
      </c>
      <c r="BI360" s="79" t="s">
        <v>486</v>
      </c>
      <c r="BJ360">
        <v>266660</v>
      </c>
      <c r="EG360" s="9"/>
      <c r="EH360" s="9"/>
      <c r="EI360" s="9"/>
      <c r="EJ360" s="9"/>
      <c r="EK360" s="9"/>
      <c r="EL360" s="9"/>
      <c r="EM360" s="9"/>
      <c r="EN360" s="9"/>
      <c r="EO360" s="9"/>
      <c r="EP360" s="9"/>
      <c r="EQ360" s="9"/>
      <c r="ER360" s="9"/>
      <c r="ES360" s="9"/>
      <c r="ET360" s="9"/>
      <c r="EU360" s="9"/>
      <c r="EV360" s="9"/>
      <c r="EW360" s="9"/>
      <c r="EX360" s="9"/>
      <c r="EY360" s="9"/>
      <c r="EZ360" s="9"/>
      <c r="FA360" s="9"/>
      <c r="FB360" s="9"/>
      <c r="FC360" s="9"/>
      <c r="FD360" s="9"/>
      <c r="FE360" s="9"/>
      <c r="FF360" s="9"/>
      <c r="FG360" s="9"/>
      <c r="FH360" s="9"/>
      <c r="FI360" s="9"/>
      <c r="FJ360" s="9"/>
      <c r="FK360" s="9"/>
      <c r="FL360" s="9"/>
      <c r="FM360" s="9"/>
      <c r="FN360" s="9"/>
      <c r="FO360" s="9"/>
      <c r="FP360" s="9"/>
      <c r="FQ360" s="9"/>
      <c r="FR360" s="9"/>
      <c r="FS360" s="9"/>
      <c r="FT360" s="9"/>
      <c r="FU360" s="9"/>
      <c r="FV360" s="9"/>
      <c r="FW360" s="9"/>
      <c r="FX360" s="9"/>
      <c r="FY360" s="9"/>
      <c r="FZ360" s="9"/>
      <c r="GA360" s="9"/>
      <c r="GB360" s="9"/>
      <c r="GC360" s="9"/>
      <c r="GD360" s="9"/>
      <c r="GE360" s="9"/>
      <c r="GF360" s="9"/>
      <c r="GG360" s="9"/>
      <c r="GH360" s="9"/>
      <c r="GI360" s="9"/>
      <c r="GJ360" s="9"/>
      <c r="GK360" s="9"/>
      <c r="GL360" s="9"/>
      <c r="GM360" s="9"/>
      <c r="GN360" s="9"/>
      <c r="GO360" s="9"/>
      <c r="GP360" s="9"/>
      <c r="GQ360" s="9"/>
      <c r="GR360" s="9"/>
      <c r="GS360" s="9"/>
      <c r="GT360" s="9"/>
      <c r="GU360" s="9"/>
      <c r="GV360" s="9"/>
      <c r="GW360" s="9"/>
      <c r="GX360" s="9"/>
      <c r="GY360" s="9"/>
      <c r="GZ360" s="9"/>
      <c r="HA360" s="9"/>
      <c r="HB360" s="9"/>
      <c r="HC360" s="9"/>
      <c r="HD360" s="9"/>
      <c r="HE360" s="9"/>
      <c r="HF360" s="9"/>
      <c r="HG360" s="9"/>
      <c r="HH360" s="9"/>
      <c r="HI360" s="9"/>
      <c r="HJ360" s="9"/>
      <c r="HT360" s="50">
        <v>38127</v>
      </c>
      <c r="HV360" s="50"/>
      <c r="HW360" s="50"/>
      <c r="IH360" t="s">
        <v>1018</v>
      </c>
      <c r="II360" s="79" t="s">
        <v>492</v>
      </c>
      <c r="IJ360" t="s">
        <v>542</v>
      </c>
      <c r="IK360" s="79" t="s">
        <v>543</v>
      </c>
      <c r="IN360" s="78" t="s">
        <v>480</v>
      </c>
      <c r="JJ360" t="s">
        <v>999</v>
      </c>
      <c r="JK360" s="75" t="s">
        <v>494</v>
      </c>
      <c r="JL360" s="79" t="s">
        <v>495</v>
      </c>
      <c r="JP360" s="84" t="s">
        <v>508</v>
      </c>
      <c r="JQ360">
        <v>10</v>
      </c>
      <c r="JT360">
        <v>36</v>
      </c>
      <c r="JU360">
        <v>20</v>
      </c>
      <c r="KE360" t="s">
        <v>1000</v>
      </c>
      <c r="KF360" s="12" t="s">
        <v>1001</v>
      </c>
      <c r="KI360" t="s">
        <v>1002</v>
      </c>
      <c r="KJ360" t="s">
        <v>501</v>
      </c>
      <c r="KK360" s="8" t="s">
        <v>1003</v>
      </c>
      <c r="KL360" s="84" t="s">
        <v>503</v>
      </c>
      <c r="KM360">
        <v>18</v>
      </c>
      <c r="MY360" t="s">
        <v>1004</v>
      </c>
      <c r="MZ360">
        <v>6.3</v>
      </c>
      <c r="NA360" t="s">
        <v>1019</v>
      </c>
      <c r="NB360" t="s">
        <v>554</v>
      </c>
      <c r="NJ360" t="s">
        <v>1019</v>
      </c>
      <c r="NL360" s="4" t="s">
        <v>1029</v>
      </c>
      <c r="NM360" s="79"/>
      <c r="NU360" t="s">
        <v>1022</v>
      </c>
      <c r="NV360" t="s">
        <v>518</v>
      </c>
      <c r="NX360" s="2" t="s">
        <v>480</v>
      </c>
      <c r="NY360" s="79"/>
      <c r="OB360">
        <v>3</v>
      </c>
      <c r="OU360" t="s">
        <v>1030</v>
      </c>
      <c r="OV360" s="79"/>
      <c r="OW360">
        <v>2004</v>
      </c>
      <c r="OZ360" t="s">
        <v>1010</v>
      </c>
      <c r="PB360" s="79" t="s">
        <v>522</v>
      </c>
      <c r="PC360" s="50">
        <v>46105</v>
      </c>
    </row>
    <row r="361" spans="1:419" ht="15.75" thickBot="1">
      <c r="A361" t="s">
        <v>469</v>
      </c>
      <c r="B361" t="s">
        <v>991</v>
      </c>
      <c r="C361" t="s">
        <v>863</v>
      </c>
      <c r="D361" s="4" t="s">
        <v>950</v>
      </c>
      <c r="E361" s="83" t="s">
        <v>992</v>
      </c>
      <c r="F361" s="83" t="s">
        <v>952</v>
      </c>
      <c r="G361" s="79" t="s">
        <v>475</v>
      </c>
      <c r="H361" s="79" t="s">
        <v>476</v>
      </c>
      <c r="I361">
        <v>7.2166666666666597</v>
      </c>
      <c r="J361">
        <v>8.18333333333333</v>
      </c>
      <c r="K361" s="78">
        <v>200</v>
      </c>
      <c r="AV361" t="s">
        <v>993</v>
      </c>
      <c r="AW361">
        <v>5.7000000000000002E-2</v>
      </c>
      <c r="AX361" s="79" t="s">
        <v>480</v>
      </c>
      <c r="AY361">
        <v>1</v>
      </c>
      <c r="AZ361" t="s">
        <v>994</v>
      </c>
      <c r="BA361">
        <v>2004</v>
      </c>
      <c r="BC361">
        <v>2004.1</v>
      </c>
      <c r="BD361" t="s">
        <v>1023</v>
      </c>
      <c r="BE361" t="s">
        <v>593</v>
      </c>
      <c r="BF361" s="69" t="s">
        <v>484</v>
      </c>
      <c r="BG361" t="s">
        <v>485</v>
      </c>
      <c r="BH361" t="s">
        <v>996</v>
      </c>
      <c r="BI361" s="79" t="s">
        <v>486</v>
      </c>
      <c r="BJ361">
        <v>53330</v>
      </c>
      <c r="EG361" s="9"/>
      <c r="EH361" s="9"/>
      <c r="EI361" s="9"/>
      <c r="EJ361" s="9"/>
      <c r="EK361" s="9"/>
      <c r="EL361" s="9"/>
      <c r="EM361" s="9"/>
      <c r="EN361" s="9"/>
      <c r="EO361" s="9"/>
      <c r="EP361" s="9"/>
      <c r="EQ361" s="9"/>
      <c r="ER361" s="9"/>
      <c r="ES361" s="9"/>
      <c r="ET361" s="9"/>
      <c r="EU361" s="9"/>
      <c r="EV361" s="9"/>
      <c r="EW361" s="9"/>
      <c r="EX361" s="9"/>
      <c r="EY361" s="9"/>
      <c r="EZ361" s="9"/>
      <c r="FA361" s="9"/>
      <c r="FB361" s="9"/>
      <c r="FC361" s="9"/>
      <c r="FD361" s="9"/>
      <c r="FE361" s="9"/>
      <c r="FF361" s="9"/>
      <c r="FG361" s="9"/>
      <c r="FH361" s="9"/>
      <c r="FI361" s="9"/>
      <c r="FJ361" s="9"/>
      <c r="FK361" s="9"/>
      <c r="FL361" s="9"/>
      <c r="FM361" s="9"/>
      <c r="FN361" s="9"/>
      <c r="FO361" s="9"/>
      <c r="FP361" s="9"/>
      <c r="FQ361" s="9"/>
      <c r="FR361" s="9"/>
      <c r="FS361" s="9"/>
      <c r="FT361" s="9"/>
      <c r="FU361" s="9"/>
      <c r="FV361" s="9"/>
      <c r="FW361" s="9"/>
      <c r="FX361" s="9"/>
      <c r="FY361" s="9"/>
      <c r="FZ361" s="9"/>
      <c r="GA361" s="9"/>
      <c r="GB361" s="9"/>
      <c r="GC361" s="9"/>
      <c r="GD361" s="9"/>
      <c r="GE361" s="9"/>
      <c r="GF361" s="9"/>
      <c r="GG361" s="9"/>
      <c r="GH361" s="9"/>
      <c r="GI361" s="9"/>
      <c r="GJ361" s="9"/>
      <c r="GK361" s="9"/>
      <c r="GL361" s="9"/>
      <c r="GM361" s="9"/>
      <c r="GN361" s="9"/>
      <c r="GO361" s="9"/>
      <c r="GP361" s="9"/>
      <c r="GQ361" s="9"/>
      <c r="GR361" s="9"/>
      <c r="GS361" s="9"/>
      <c r="GT361" s="9"/>
      <c r="GU361" s="9"/>
      <c r="GV361" s="9"/>
      <c r="GW361" s="9"/>
      <c r="GX361" s="9"/>
      <c r="GY361" s="9"/>
      <c r="GZ361" s="9"/>
      <c r="HA361" s="9"/>
      <c r="HB361" s="9"/>
      <c r="HC361" s="9"/>
      <c r="HD361" s="9"/>
      <c r="HE361" s="9"/>
      <c r="HF361" s="9"/>
      <c r="HG361" s="9"/>
      <c r="HH361" s="9"/>
      <c r="HI361" s="9"/>
      <c r="HJ361" s="9"/>
      <c r="HT361" s="50">
        <v>38127</v>
      </c>
      <c r="HV361" s="50"/>
      <c r="HW361" s="50"/>
      <c r="IH361" t="s">
        <v>1018</v>
      </c>
      <c r="II361" s="79" t="s">
        <v>492</v>
      </c>
      <c r="IJ361" t="s">
        <v>542</v>
      </c>
      <c r="IK361" s="79" t="s">
        <v>543</v>
      </c>
      <c r="IN361" s="78" t="s">
        <v>480</v>
      </c>
      <c r="JJ361" t="s">
        <v>999</v>
      </c>
      <c r="JK361" s="75" t="s">
        <v>494</v>
      </c>
      <c r="JL361" s="79" t="s">
        <v>495</v>
      </c>
      <c r="JP361" s="84" t="s">
        <v>508</v>
      </c>
      <c r="JQ361">
        <v>90</v>
      </c>
      <c r="JT361">
        <v>45</v>
      </c>
      <c r="JU361">
        <v>45</v>
      </c>
      <c r="KE361" t="s">
        <v>1000</v>
      </c>
      <c r="KF361" s="12" t="s">
        <v>1001</v>
      </c>
      <c r="KI361" t="s">
        <v>1002</v>
      </c>
      <c r="KJ361" t="s">
        <v>501</v>
      </c>
      <c r="KK361" s="8" t="s">
        <v>1003</v>
      </c>
      <c r="KL361" s="84" t="s">
        <v>503</v>
      </c>
      <c r="KM361">
        <v>18</v>
      </c>
      <c r="MY361" t="s">
        <v>1004</v>
      </c>
      <c r="MZ361">
        <v>6.3</v>
      </c>
      <c r="NA361" t="s">
        <v>1024</v>
      </c>
      <c r="NB361" t="s">
        <v>485</v>
      </c>
      <c r="NJ361" t="s">
        <v>1024</v>
      </c>
      <c r="NL361" s="4" t="s">
        <v>1029</v>
      </c>
      <c r="NM361" s="79"/>
      <c r="NU361" t="s">
        <v>1025</v>
      </c>
      <c r="NV361" t="s">
        <v>518</v>
      </c>
      <c r="NX361" s="2" t="s">
        <v>480</v>
      </c>
      <c r="NY361" s="79"/>
      <c r="OB361">
        <v>3</v>
      </c>
      <c r="OU361" t="s">
        <v>1030</v>
      </c>
      <c r="OV361" s="79"/>
      <c r="OW361">
        <v>2004</v>
      </c>
      <c r="OZ361" t="s">
        <v>1010</v>
      </c>
      <c r="PB361" s="79" t="s">
        <v>522</v>
      </c>
      <c r="PC361" s="50">
        <v>46105</v>
      </c>
    </row>
    <row r="362" spans="1:419" ht="15.75" thickBot="1">
      <c r="A362" t="s">
        <v>469</v>
      </c>
      <c r="B362" t="s">
        <v>991</v>
      </c>
      <c r="C362" t="s">
        <v>863</v>
      </c>
      <c r="D362" s="4" t="s">
        <v>950</v>
      </c>
      <c r="E362" s="83" t="s">
        <v>992</v>
      </c>
      <c r="F362" s="83" t="s">
        <v>952</v>
      </c>
      <c r="G362" s="79" t="s">
        <v>475</v>
      </c>
      <c r="H362" s="79" t="s">
        <v>476</v>
      </c>
      <c r="I362">
        <v>7.2166666666666597</v>
      </c>
      <c r="J362">
        <v>8.18333333333333</v>
      </c>
      <c r="K362" s="78">
        <v>200</v>
      </c>
      <c r="AV362" t="s">
        <v>993</v>
      </c>
      <c r="AW362">
        <v>5.7000000000000002E-2</v>
      </c>
      <c r="AX362" s="79" t="s">
        <v>480</v>
      </c>
      <c r="AY362">
        <v>1</v>
      </c>
      <c r="AZ362" t="s">
        <v>1026</v>
      </c>
      <c r="BA362">
        <v>2004</v>
      </c>
      <c r="BC362">
        <v>2004.2</v>
      </c>
      <c r="BD362" t="s">
        <v>995</v>
      </c>
      <c r="BE362" t="s">
        <v>536</v>
      </c>
      <c r="BF362" s="69" t="s">
        <v>484</v>
      </c>
      <c r="BG362" t="s">
        <v>485</v>
      </c>
      <c r="BH362" t="s">
        <v>996</v>
      </c>
      <c r="BI362" s="79" t="s">
        <v>486</v>
      </c>
      <c r="BJ362">
        <v>38000</v>
      </c>
      <c r="BK362" t="s">
        <v>537</v>
      </c>
      <c r="BL362" t="s">
        <v>554</v>
      </c>
      <c r="BM362" t="s">
        <v>997</v>
      </c>
      <c r="BN362" s="79" t="s">
        <v>486</v>
      </c>
      <c r="BO362">
        <v>266660</v>
      </c>
      <c r="EG362" s="9"/>
      <c r="EH362" s="9"/>
      <c r="EI362" s="9"/>
      <c r="EJ362" s="9"/>
      <c r="EK362" s="9"/>
      <c r="EL362" s="9"/>
      <c r="EM362" s="9"/>
      <c r="EN362" s="9"/>
      <c r="EO362" s="9"/>
      <c r="EP362" s="9"/>
      <c r="EQ362" s="9"/>
      <c r="ER362" s="9"/>
      <c r="ES362" s="9"/>
      <c r="ET362" s="9"/>
      <c r="EU362" s="9"/>
      <c r="EV362" s="9"/>
      <c r="EW362" s="9"/>
      <c r="EX362" s="9"/>
      <c r="EY362" s="9"/>
      <c r="EZ362" s="9"/>
      <c r="FA362" s="9"/>
      <c r="FB362" s="9"/>
      <c r="FC362" s="9"/>
      <c r="FD362" s="9"/>
      <c r="FE362" s="9"/>
      <c r="FF362" s="9"/>
      <c r="FG362" s="9"/>
      <c r="FH362" s="9"/>
      <c r="FI362" s="9"/>
      <c r="FJ362" s="9"/>
      <c r="FK362" s="9"/>
      <c r="FL362" s="9"/>
      <c r="FM362" s="9"/>
      <c r="FN362" s="9"/>
      <c r="FO362" s="9"/>
      <c r="FP362" s="9"/>
      <c r="FQ362" s="9"/>
      <c r="FR362" s="9"/>
      <c r="FS362" s="9"/>
      <c r="FT362" s="9"/>
      <c r="FU362" s="9"/>
      <c r="FV362" s="9"/>
      <c r="FW362" s="9"/>
      <c r="FX362" s="9"/>
      <c r="FY362" s="9"/>
      <c r="FZ362" s="9"/>
      <c r="GA362" s="9"/>
      <c r="GB362" s="9"/>
      <c r="GC362" s="9"/>
      <c r="GD362" s="9"/>
      <c r="GE362" s="9"/>
      <c r="GF362" s="9"/>
      <c r="GG362" s="9"/>
      <c r="GH362" s="9"/>
      <c r="GI362" s="9"/>
      <c r="GJ362" s="9"/>
      <c r="GK362" s="9"/>
      <c r="GL362" s="9"/>
      <c r="GM362" s="9"/>
      <c r="GN362" s="9"/>
      <c r="GO362" s="9"/>
      <c r="GP362" s="9"/>
      <c r="GQ362" s="9"/>
      <c r="GR362" s="9"/>
      <c r="GS362" s="9"/>
      <c r="GT362" s="9"/>
      <c r="GU362" s="9"/>
      <c r="GV362" s="9"/>
      <c r="GW362" s="9"/>
      <c r="GX362" s="9"/>
      <c r="GY362" s="9"/>
      <c r="GZ362" s="9"/>
      <c r="HA362" s="9"/>
      <c r="HB362" s="9"/>
      <c r="HC362" s="9"/>
      <c r="HD362" s="9"/>
      <c r="HE362" s="9"/>
      <c r="HF362" s="9"/>
      <c r="HG362" s="9"/>
      <c r="HH362" s="9"/>
      <c r="HI362" s="9"/>
      <c r="HJ362" s="9"/>
      <c r="HT362" s="50">
        <v>45494</v>
      </c>
      <c r="HV362" s="50"/>
      <c r="HW362" s="50"/>
      <c r="IH362" t="s">
        <v>998</v>
      </c>
      <c r="II362" s="79" t="s">
        <v>882</v>
      </c>
      <c r="IJ362" t="s">
        <v>542</v>
      </c>
      <c r="IK362" s="79" t="s">
        <v>543</v>
      </c>
      <c r="IN362" s="78" t="s">
        <v>480</v>
      </c>
      <c r="JJ362" t="s">
        <v>999</v>
      </c>
      <c r="JK362" s="75" t="s">
        <v>494</v>
      </c>
      <c r="JL362" s="79" t="s">
        <v>495</v>
      </c>
      <c r="JP362" s="84" t="s">
        <v>508</v>
      </c>
      <c r="JQ362">
        <v>100</v>
      </c>
      <c r="JT362">
        <v>81</v>
      </c>
      <c r="JU362">
        <v>65</v>
      </c>
      <c r="KE362" t="s">
        <v>1000</v>
      </c>
      <c r="KF362" s="12" t="s">
        <v>1001</v>
      </c>
      <c r="KI362" t="s">
        <v>1002</v>
      </c>
      <c r="KJ362" t="s">
        <v>501</v>
      </c>
      <c r="KK362" s="8" t="s">
        <v>1003</v>
      </c>
      <c r="KL362" s="84" t="s">
        <v>503</v>
      </c>
      <c r="KM362">
        <v>18</v>
      </c>
      <c r="MY362" t="s">
        <v>1004</v>
      </c>
      <c r="MZ362">
        <v>6.3</v>
      </c>
      <c r="NA362" t="s">
        <v>1005</v>
      </c>
      <c r="NB362" t="s">
        <v>485</v>
      </c>
      <c r="NC362" t="s">
        <v>554</v>
      </c>
      <c r="NJ362" t="s">
        <v>1005</v>
      </c>
      <c r="NL362" s="4" t="s">
        <v>1029</v>
      </c>
      <c r="NM362" s="79"/>
      <c r="NV362" t="s">
        <v>518</v>
      </c>
      <c r="NX362" s="2" t="s">
        <v>480</v>
      </c>
      <c r="NY362" s="79"/>
      <c r="OB362">
        <v>3</v>
      </c>
      <c r="OM362">
        <v>0.79</v>
      </c>
      <c r="ON362" s="78" t="s">
        <v>480</v>
      </c>
      <c r="OO362">
        <v>0.44</v>
      </c>
      <c r="OP362" s="78" t="s">
        <v>480</v>
      </c>
      <c r="OQ362" s="144"/>
      <c r="OR362" s="144"/>
      <c r="OS362">
        <v>1.23</v>
      </c>
      <c r="OT362" s="78" t="s">
        <v>480</v>
      </c>
      <c r="OU362" t="s">
        <v>1027</v>
      </c>
      <c r="OV362" s="79"/>
      <c r="OW362">
        <v>2004</v>
      </c>
      <c r="OZ362" t="s">
        <v>1028</v>
      </c>
      <c r="PB362" s="79" t="s">
        <v>522</v>
      </c>
      <c r="PC362" s="50">
        <v>46105</v>
      </c>
    </row>
    <row r="363" spans="1:419" ht="15.75" thickBot="1">
      <c r="A363" t="s">
        <v>469</v>
      </c>
      <c r="B363" t="s">
        <v>991</v>
      </c>
      <c r="C363" t="s">
        <v>863</v>
      </c>
      <c r="D363" s="4" t="s">
        <v>950</v>
      </c>
      <c r="E363" s="83" t="s">
        <v>992</v>
      </c>
      <c r="F363" s="83" t="s">
        <v>952</v>
      </c>
      <c r="G363" s="79" t="s">
        <v>475</v>
      </c>
      <c r="H363" s="79" t="s">
        <v>476</v>
      </c>
      <c r="I363">
        <v>7.2166666666666597</v>
      </c>
      <c r="J363">
        <v>8.18333333333333</v>
      </c>
      <c r="K363" s="78">
        <v>200</v>
      </c>
      <c r="AV363" t="s">
        <v>993</v>
      </c>
      <c r="AW363">
        <v>5.7000000000000002E-2</v>
      </c>
      <c r="AX363" s="79" t="s">
        <v>480</v>
      </c>
      <c r="AY363">
        <v>1</v>
      </c>
      <c r="AZ363" t="s">
        <v>1026</v>
      </c>
      <c r="BA363">
        <v>2004</v>
      </c>
      <c r="BC363">
        <v>2004.2</v>
      </c>
      <c r="BD363" t="s">
        <v>1011</v>
      </c>
      <c r="BE363" t="s">
        <v>566</v>
      </c>
      <c r="BF363" s="69" t="s">
        <v>484</v>
      </c>
      <c r="BG363" t="s">
        <v>485</v>
      </c>
      <c r="BH363" t="s">
        <v>996</v>
      </c>
      <c r="BI363" s="79" t="s">
        <v>486</v>
      </c>
      <c r="BJ363">
        <v>38000</v>
      </c>
      <c r="BK363" t="s">
        <v>537</v>
      </c>
      <c r="BL363" t="s">
        <v>554</v>
      </c>
      <c r="BM363" t="s">
        <v>1012</v>
      </c>
      <c r="BN363" s="79" t="s">
        <v>486</v>
      </c>
      <c r="BO363">
        <v>266660</v>
      </c>
      <c r="EG363" s="9"/>
      <c r="EH363" s="9"/>
      <c r="EI363" s="9"/>
      <c r="EJ363" s="9"/>
      <c r="EK363" s="9"/>
      <c r="EL363" s="9"/>
      <c r="EM363" s="9"/>
      <c r="EN363" s="9"/>
      <c r="EO363" s="9"/>
      <c r="EP363" s="9"/>
      <c r="EQ363" s="9"/>
      <c r="ER363" s="9"/>
      <c r="ES363" s="9"/>
      <c r="ET363" s="9"/>
      <c r="EU363" s="9"/>
      <c r="EV363" s="9"/>
      <c r="EW363" s="9"/>
      <c r="EX363" s="9"/>
      <c r="EY363" s="9"/>
      <c r="EZ363" s="9"/>
      <c r="FA363" s="9"/>
      <c r="FB363" s="9"/>
      <c r="FC363" s="9"/>
      <c r="FD363" s="9"/>
      <c r="FE363" s="9"/>
      <c r="FF363" s="9"/>
      <c r="FG363" s="9"/>
      <c r="FH363" s="9"/>
      <c r="FI363" s="9"/>
      <c r="FJ363" s="9"/>
      <c r="FK363" s="9"/>
      <c r="FL363" s="9"/>
      <c r="FM363" s="9"/>
      <c r="FN363" s="9"/>
      <c r="FO363" s="9"/>
      <c r="FP363" s="9"/>
      <c r="FQ363" s="9"/>
      <c r="FR363" s="9"/>
      <c r="FS363" s="9"/>
      <c r="FT363" s="9"/>
      <c r="FU363" s="9"/>
      <c r="FV363" s="9"/>
      <c r="FW363" s="9"/>
      <c r="FX363" s="9"/>
      <c r="FY363" s="9"/>
      <c r="FZ363" s="9"/>
      <c r="GA363" s="9"/>
      <c r="GB363" s="9"/>
      <c r="GC363" s="9"/>
      <c r="GD363" s="9"/>
      <c r="GE363" s="9"/>
      <c r="GF363" s="9"/>
      <c r="GG363" s="9"/>
      <c r="GH363" s="9"/>
      <c r="GI363" s="9"/>
      <c r="GJ363" s="9"/>
      <c r="GK363" s="9"/>
      <c r="GL363" s="9"/>
      <c r="GM363" s="9"/>
      <c r="GN363" s="9"/>
      <c r="GO363" s="9"/>
      <c r="GP363" s="9"/>
      <c r="GQ363" s="9"/>
      <c r="GR363" s="9"/>
      <c r="GS363" s="9"/>
      <c r="GT363" s="9"/>
      <c r="GU363" s="9"/>
      <c r="GV363" s="9"/>
      <c r="GW363" s="9"/>
      <c r="GX363" s="9"/>
      <c r="GY363" s="9"/>
      <c r="GZ363" s="9"/>
      <c r="HA363" s="9"/>
      <c r="HB363" s="9"/>
      <c r="HC363" s="9"/>
      <c r="HD363" s="9"/>
      <c r="HE363" s="9"/>
      <c r="HF363" s="9"/>
      <c r="HG363" s="9"/>
      <c r="HH363" s="9"/>
      <c r="HI363" s="9"/>
      <c r="HJ363" s="9"/>
      <c r="HT363" s="50">
        <v>45494</v>
      </c>
      <c r="HV363" s="50"/>
      <c r="HW363" s="50"/>
      <c r="IH363" t="s">
        <v>998</v>
      </c>
      <c r="II363" s="79" t="s">
        <v>882</v>
      </c>
      <c r="IJ363" t="s">
        <v>542</v>
      </c>
      <c r="IK363" s="79" t="s">
        <v>543</v>
      </c>
      <c r="IN363" s="78" t="s">
        <v>480</v>
      </c>
      <c r="JJ363" t="s">
        <v>999</v>
      </c>
      <c r="JK363" s="75" t="s">
        <v>494</v>
      </c>
      <c r="JL363" s="79" t="s">
        <v>495</v>
      </c>
      <c r="JP363" s="84" t="s">
        <v>508</v>
      </c>
      <c r="JQ363">
        <v>100</v>
      </c>
      <c r="JT363">
        <v>81</v>
      </c>
      <c r="JU363">
        <v>65</v>
      </c>
      <c r="KE363" t="s">
        <v>1000</v>
      </c>
      <c r="KF363" s="12" t="s">
        <v>1001</v>
      </c>
      <c r="KI363" t="s">
        <v>1002</v>
      </c>
      <c r="KJ363" t="s">
        <v>501</v>
      </c>
      <c r="KK363" s="8" t="s">
        <v>1003</v>
      </c>
      <c r="KL363" s="84" t="s">
        <v>503</v>
      </c>
      <c r="KM363">
        <v>18</v>
      </c>
      <c r="MY363" t="s">
        <v>1004</v>
      </c>
      <c r="MZ363">
        <v>6.3</v>
      </c>
      <c r="NA363" t="s">
        <v>1005</v>
      </c>
      <c r="NB363" t="s">
        <v>485</v>
      </c>
      <c r="NC363" t="s">
        <v>554</v>
      </c>
      <c r="NJ363" t="s">
        <v>1031</v>
      </c>
      <c r="NL363" s="4" t="s">
        <v>1029</v>
      </c>
      <c r="NM363" s="79"/>
      <c r="NV363" t="s">
        <v>518</v>
      </c>
      <c r="NX363" s="2" t="s">
        <v>480</v>
      </c>
      <c r="NY363" s="79"/>
      <c r="OB363">
        <v>3</v>
      </c>
      <c r="OM363">
        <v>0.55000000000000004</v>
      </c>
      <c r="ON363" s="78" t="s">
        <v>480</v>
      </c>
      <c r="OO363">
        <v>0.49</v>
      </c>
      <c r="OP363" s="78" t="s">
        <v>480</v>
      </c>
      <c r="OQ363" s="144"/>
      <c r="OR363" s="144"/>
      <c r="OS363">
        <v>1.04</v>
      </c>
      <c r="OT363" s="78" t="s">
        <v>480</v>
      </c>
      <c r="OU363" t="s">
        <v>1027</v>
      </c>
      <c r="OV363" s="79"/>
      <c r="OW363">
        <v>2004</v>
      </c>
      <c r="OZ363" t="s">
        <v>1028</v>
      </c>
      <c r="PB363" s="79" t="s">
        <v>522</v>
      </c>
      <c r="PC363" s="50">
        <v>46105</v>
      </c>
    </row>
    <row r="364" spans="1:419" ht="15.75" thickBot="1">
      <c r="A364" t="s">
        <v>469</v>
      </c>
      <c r="B364" t="s">
        <v>991</v>
      </c>
      <c r="C364" t="s">
        <v>863</v>
      </c>
      <c r="D364" s="4" t="s">
        <v>950</v>
      </c>
      <c r="E364" s="83" t="s">
        <v>992</v>
      </c>
      <c r="F364" s="83" t="s">
        <v>952</v>
      </c>
      <c r="G364" s="79" t="s">
        <v>475</v>
      </c>
      <c r="H364" s="79" t="s">
        <v>476</v>
      </c>
      <c r="I364">
        <v>7.2166666666666597</v>
      </c>
      <c r="J364">
        <v>8.18333333333333</v>
      </c>
      <c r="K364" s="78">
        <v>200</v>
      </c>
      <c r="AV364" t="s">
        <v>993</v>
      </c>
      <c r="AW364">
        <v>5.7000000000000002E-2</v>
      </c>
      <c r="AX364" s="79" t="s">
        <v>480</v>
      </c>
      <c r="AY364">
        <v>1</v>
      </c>
      <c r="AZ364" t="s">
        <v>1026</v>
      </c>
      <c r="BA364">
        <v>2004</v>
      </c>
      <c r="BC364">
        <v>2004.2</v>
      </c>
      <c r="BD364" t="s">
        <v>1013</v>
      </c>
      <c r="BE364" t="s">
        <v>572</v>
      </c>
      <c r="BF364" s="69" t="s">
        <v>484</v>
      </c>
      <c r="BG364" t="s">
        <v>485</v>
      </c>
      <c r="BH364" t="s">
        <v>996</v>
      </c>
      <c r="BI364" s="79" t="s">
        <v>486</v>
      </c>
      <c r="BJ364">
        <v>44440</v>
      </c>
      <c r="BK364" t="s">
        <v>537</v>
      </c>
      <c r="BL364" t="s">
        <v>554</v>
      </c>
      <c r="BM364" t="s">
        <v>997</v>
      </c>
      <c r="BN364" s="79" t="s">
        <v>486</v>
      </c>
      <c r="BO364">
        <v>266660</v>
      </c>
      <c r="EG364" s="9"/>
      <c r="EH364" s="9"/>
      <c r="EI364" s="9"/>
      <c r="EJ364" s="9"/>
      <c r="EK364" s="9"/>
      <c r="EL364" s="9"/>
      <c r="EM364" s="9"/>
      <c r="EN364" s="9"/>
      <c r="EO364" s="9"/>
      <c r="EP364" s="9"/>
      <c r="EQ364" s="9"/>
      <c r="ER364" s="9"/>
      <c r="ES364" s="9"/>
      <c r="ET364" s="9"/>
      <c r="EU364" s="9"/>
      <c r="EV364" s="9"/>
      <c r="EW364" s="9"/>
      <c r="EX364" s="9"/>
      <c r="EY364" s="9"/>
      <c r="EZ364" s="9"/>
      <c r="FA364" s="9"/>
      <c r="FB364" s="9"/>
      <c r="FC364" s="9"/>
      <c r="FD364" s="9"/>
      <c r="FE364" s="9"/>
      <c r="FF364" s="9"/>
      <c r="FG364" s="9"/>
      <c r="FH364" s="9"/>
      <c r="FI364" s="9"/>
      <c r="FJ364" s="9"/>
      <c r="FK364" s="9"/>
      <c r="FL364" s="9"/>
      <c r="FM364" s="9"/>
      <c r="FN364" s="9"/>
      <c r="FO364" s="9"/>
      <c r="FP364" s="9"/>
      <c r="FQ364" s="9"/>
      <c r="FR364" s="9"/>
      <c r="FS364" s="9"/>
      <c r="FT364" s="9"/>
      <c r="FU364" s="9"/>
      <c r="FV364" s="9"/>
      <c r="FW364" s="9"/>
      <c r="FX364" s="9"/>
      <c r="FY364" s="9"/>
      <c r="FZ364" s="9"/>
      <c r="GA364" s="9"/>
      <c r="GB364" s="9"/>
      <c r="GC364" s="9"/>
      <c r="GD364" s="9"/>
      <c r="GE364" s="9"/>
      <c r="GF364" s="9"/>
      <c r="GG364" s="9"/>
      <c r="GH364" s="9"/>
      <c r="GI364" s="9"/>
      <c r="GJ364" s="9"/>
      <c r="GK364" s="9"/>
      <c r="GL364" s="9"/>
      <c r="GM364" s="9"/>
      <c r="GN364" s="9"/>
      <c r="GO364" s="9"/>
      <c r="GP364" s="9"/>
      <c r="GQ364" s="9"/>
      <c r="GR364" s="9"/>
      <c r="GS364" s="9"/>
      <c r="GT364" s="9"/>
      <c r="GU364" s="9"/>
      <c r="GV364" s="9"/>
      <c r="GW364" s="9"/>
      <c r="GX364" s="9"/>
      <c r="GY364" s="9"/>
      <c r="GZ364" s="9"/>
      <c r="HA364" s="9"/>
      <c r="HB364" s="9"/>
      <c r="HC364" s="9"/>
      <c r="HD364" s="9"/>
      <c r="HE364" s="9"/>
      <c r="HF364" s="9"/>
      <c r="HG364" s="9"/>
      <c r="HH364" s="9"/>
      <c r="HI364" s="9"/>
      <c r="HJ364" s="9"/>
      <c r="HT364" s="50">
        <v>45494</v>
      </c>
      <c r="HV364" s="50"/>
      <c r="HW364" s="50"/>
      <c r="IH364" t="s">
        <v>998</v>
      </c>
      <c r="II364" s="79" t="s">
        <v>882</v>
      </c>
      <c r="IJ364" t="s">
        <v>542</v>
      </c>
      <c r="IK364" s="79" t="s">
        <v>543</v>
      </c>
      <c r="IN364" s="78" t="s">
        <v>480</v>
      </c>
      <c r="JJ364" t="s">
        <v>999</v>
      </c>
      <c r="JK364" s="75" t="s">
        <v>494</v>
      </c>
      <c r="JL364" s="79" t="s">
        <v>495</v>
      </c>
      <c r="JP364" s="84" t="s">
        <v>508</v>
      </c>
      <c r="JQ364">
        <v>100</v>
      </c>
      <c r="JT364">
        <v>81</v>
      </c>
      <c r="JU364">
        <v>65</v>
      </c>
      <c r="KE364" t="s">
        <v>1000</v>
      </c>
      <c r="KF364" s="12" t="s">
        <v>1001</v>
      </c>
      <c r="KI364" t="s">
        <v>1002</v>
      </c>
      <c r="KJ364" t="s">
        <v>501</v>
      </c>
      <c r="KK364" s="8" t="s">
        <v>1003</v>
      </c>
      <c r="KL364" s="84" t="s">
        <v>503</v>
      </c>
      <c r="KM364">
        <v>18</v>
      </c>
      <c r="MY364" t="s">
        <v>1004</v>
      </c>
      <c r="MZ364">
        <v>6.3</v>
      </c>
      <c r="NA364" t="s">
        <v>1005</v>
      </c>
      <c r="NB364" t="s">
        <v>485</v>
      </c>
      <c r="NC364" t="s">
        <v>554</v>
      </c>
      <c r="NJ364" t="s">
        <v>1031</v>
      </c>
      <c r="NL364" s="4" t="s">
        <v>1029</v>
      </c>
      <c r="NM364" s="79"/>
      <c r="NV364" t="s">
        <v>518</v>
      </c>
      <c r="NX364" s="2" t="s">
        <v>480</v>
      </c>
      <c r="NY364" s="79"/>
      <c r="OB364">
        <v>3</v>
      </c>
      <c r="OM364">
        <v>0.8</v>
      </c>
      <c r="ON364" s="78" t="s">
        <v>480</v>
      </c>
      <c r="OO364">
        <v>0.59</v>
      </c>
      <c r="OP364" s="78" t="s">
        <v>480</v>
      </c>
      <c r="OQ364" s="144"/>
      <c r="OR364" s="144"/>
      <c r="OS364">
        <v>1.39</v>
      </c>
      <c r="OT364" s="78" t="s">
        <v>480</v>
      </c>
      <c r="OU364" t="s">
        <v>1027</v>
      </c>
      <c r="OV364" s="79"/>
      <c r="OW364">
        <v>2004</v>
      </c>
      <c r="OZ364" t="s">
        <v>1028</v>
      </c>
      <c r="PB364" s="79" t="s">
        <v>522</v>
      </c>
      <c r="PC364" s="50">
        <v>46105</v>
      </c>
    </row>
    <row r="365" spans="1:419" ht="15.75" thickBot="1">
      <c r="A365" t="s">
        <v>469</v>
      </c>
      <c r="B365" t="s">
        <v>991</v>
      </c>
      <c r="C365" t="s">
        <v>863</v>
      </c>
      <c r="D365" s="4" t="s">
        <v>950</v>
      </c>
      <c r="E365" s="83" t="s">
        <v>992</v>
      </c>
      <c r="F365" s="83" t="s">
        <v>952</v>
      </c>
      <c r="G365" s="79" t="s">
        <v>475</v>
      </c>
      <c r="H365" s="79" t="s">
        <v>476</v>
      </c>
      <c r="I365">
        <v>7.2166666666666597</v>
      </c>
      <c r="J365">
        <v>8.18333333333333</v>
      </c>
      <c r="K365" s="78">
        <v>200</v>
      </c>
      <c r="AV365" t="s">
        <v>993</v>
      </c>
      <c r="AW365">
        <v>5.7000000000000002E-2</v>
      </c>
      <c r="AX365" s="79" t="s">
        <v>480</v>
      </c>
      <c r="AY365">
        <v>1</v>
      </c>
      <c r="AZ365" t="s">
        <v>1026</v>
      </c>
      <c r="BA365">
        <v>2004</v>
      </c>
      <c r="BC365">
        <v>2004.2</v>
      </c>
      <c r="BD365" t="s">
        <v>1014</v>
      </c>
      <c r="BE365" t="s">
        <v>553</v>
      </c>
      <c r="BF365" s="69" t="s">
        <v>484</v>
      </c>
      <c r="BG365" t="s">
        <v>485</v>
      </c>
      <c r="BH365" t="s">
        <v>996</v>
      </c>
      <c r="BI365" s="79" t="s">
        <v>486</v>
      </c>
      <c r="BJ365">
        <v>44440</v>
      </c>
      <c r="BK365" t="s">
        <v>537</v>
      </c>
      <c r="BL365" t="s">
        <v>554</v>
      </c>
      <c r="BM365" t="s">
        <v>1012</v>
      </c>
      <c r="BN365" s="79" t="s">
        <v>486</v>
      </c>
      <c r="BO365">
        <v>266660</v>
      </c>
      <c r="EG365" s="9"/>
      <c r="EH365" s="9"/>
      <c r="EI365" s="9"/>
      <c r="EJ365" s="9"/>
      <c r="EK365" s="9"/>
      <c r="EL365" s="9"/>
      <c r="EM365" s="9"/>
      <c r="EN365" s="9"/>
      <c r="EO365" s="9"/>
      <c r="EP365" s="9"/>
      <c r="EQ365" s="9"/>
      <c r="ER365" s="9"/>
      <c r="ES365" s="9"/>
      <c r="ET365" s="9"/>
      <c r="EU365" s="9"/>
      <c r="EV365" s="9"/>
      <c r="EW365" s="9"/>
      <c r="EX365" s="9"/>
      <c r="EY365" s="9"/>
      <c r="EZ365" s="9"/>
      <c r="FA365" s="9"/>
      <c r="FB365" s="9"/>
      <c r="FC365" s="9"/>
      <c r="FD365" s="9"/>
      <c r="FE365" s="9"/>
      <c r="FF365" s="9"/>
      <c r="FG365" s="9"/>
      <c r="FH365" s="9"/>
      <c r="FI365" s="9"/>
      <c r="FJ365" s="9"/>
      <c r="FK365" s="9"/>
      <c r="FL365" s="9"/>
      <c r="FM365" s="9"/>
      <c r="FN365" s="9"/>
      <c r="FO365" s="9"/>
      <c r="FP365" s="9"/>
      <c r="FQ365" s="9"/>
      <c r="FR365" s="9"/>
      <c r="FS365" s="9"/>
      <c r="FT365" s="9"/>
      <c r="FU365" s="9"/>
      <c r="FV365" s="9"/>
      <c r="FW365" s="9"/>
      <c r="FX365" s="9"/>
      <c r="FY365" s="9"/>
      <c r="FZ365" s="9"/>
      <c r="GA365" s="9"/>
      <c r="GB365" s="9"/>
      <c r="GC365" s="9"/>
      <c r="GD365" s="9"/>
      <c r="GE365" s="9"/>
      <c r="GF365" s="9"/>
      <c r="GG365" s="9"/>
      <c r="GH365" s="9"/>
      <c r="GI365" s="9"/>
      <c r="GJ365" s="9"/>
      <c r="GK365" s="9"/>
      <c r="GL365" s="9"/>
      <c r="GM365" s="9"/>
      <c r="GN365" s="9"/>
      <c r="GO365" s="9"/>
      <c r="GP365" s="9"/>
      <c r="GQ365" s="9"/>
      <c r="GR365" s="9"/>
      <c r="GS365" s="9"/>
      <c r="GT365" s="9"/>
      <c r="GU365" s="9"/>
      <c r="GV365" s="9"/>
      <c r="GW365" s="9"/>
      <c r="GX365" s="9"/>
      <c r="GY365" s="9"/>
      <c r="GZ365" s="9"/>
      <c r="HA365" s="9"/>
      <c r="HB365" s="9"/>
      <c r="HC365" s="9"/>
      <c r="HD365" s="9"/>
      <c r="HE365" s="9"/>
      <c r="HF365" s="9"/>
      <c r="HG365" s="9"/>
      <c r="HH365" s="9"/>
      <c r="HI365" s="9"/>
      <c r="HJ365" s="9"/>
      <c r="HT365" s="50">
        <v>45494</v>
      </c>
      <c r="HV365" s="50"/>
      <c r="HW365" s="50"/>
      <c r="IH365" t="s">
        <v>998</v>
      </c>
      <c r="II365" s="79" t="s">
        <v>882</v>
      </c>
      <c r="IJ365" t="s">
        <v>542</v>
      </c>
      <c r="IK365" s="79" t="s">
        <v>543</v>
      </c>
      <c r="IN365" s="78" t="s">
        <v>480</v>
      </c>
      <c r="JJ365" t="s">
        <v>999</v>
      </c>
      <c r="JK365" s="75" t="s">
        <v>494</v>
      </c>
      <c r="JL365" s="79" t="s">
        <v>495</v>
      </c>
      <c r="JP365" s="84" t="s">
        <v>508</v>
      </c>
      <c r="JQ365">
        <v>100</v>
      </c>
      <c r="JT365">
        <v>81</v>
      </c>
      <c r="JU365">
        <v>65</v>
      </c>
      <c r="KE365" t="s">
        <v>1000</v>
      </c>
      <c r="KF365" s="12" t="s">
        <v>1001</v>
      </c>
      <c r="KI365" t="s">
        <v>1002</v>
      </c>
      <c r="KJ365" t="s">
        <v>501</v>
      </c>
      <c r="KK365" s="8" t="s">
        <v>1003</v>
      </c>
      <c r="KL365" s="84" t="s">
        <v>503</v>
      </c>
      <c r="KM365">
        <v>18</v>
      </c>
      <c r="MY365" t="s">
        <v>1004</v>
      </c>
      <c r="MZ365">
        <v>6.3</v>
      </c>
      <c r="NA365" t="s">
        <v>1005</v>
      </c>
      <c r="NB365" t="s">
        <v>485</v>
      </c>
      <c r="NC365" t="s">
        <v>554</v>
      </c>
      <c r="NJ365" t="s">
        <v>1031</v>
      </c>
      <c r="NL365" s="4" t="s">
        <v>1029</v>
      </c>
      <c r="NM365" s="79"/>
      <c r="NV365" t="s">
        <v>518</v>
      </c>
      <c r="NX365" s="2" t="s">
        <v>480</v>
      </c>
      <c r="NY365" s="79"/>
      <c r="OB365">
        <v>3</v>
      </c>
      <c r="OM365">
        <v>0.66</v>
      </c>
      <c r="ON365" s="78" t="s">
        <v>480</v>
      </c>
      <c r="OO365">
        <v>0.57999999999999996</v>
      </c>
      <c r="OP365" s="78" t="s">
        <v>480</v>
      </c>
      <c r="OQ365" s="144"/>
      <c r="OR365" s="144"/>
      <c r="OS365">
        <v>1.24</v>
      </c>
      <c r="OT365" s="78" t="s">
        <v>480</v>
      </c>
      <c r="OU365" t="s">
        <v>1027</v>
      </c>
      <c r="OV365" s="79"/>
      <c r="OW365">
        <v>2004</v>
      </c>
      <c r="OZ365" t="s">
        <v>1028</v>
      </c>
      <c r="PB365" s="79" t="s">
        <v>522</v>
      </c>
      <c r="PC365" s="50">
        <v>46105</v>
      </c>
    </row>
    <row r="366" spans="1:419" ht="15.75" thickBot="1">
      <c r="A366" t="s">
        <v>469</v>
      </c>
      <c r="B366" t="s">
        <v>991</v>
      </c>
      <c r="C366" t="s">
        <v>863</v>
      </c>
      <c r="D366" s="4" t="s">
        <v>950</v>
      </c>
      <c r="E366" s="83" t="s">
        <v>992</v>
      </c>
      <c r="F366" s="83" t="s">
        <v>952</v>
      </c>
      <c r="G366" s="79" t="s">
        <v>475</v>
      </c>
      <c r="H366" s="79" t="s">
        <v>476</v>
      </c>
      <c r="I366">
        <v>7.2166666666666597</v>
      </c>
      <c r="J366">
        <v>8.18333333333333</v>
      </c>
      <c r="K366" s="78">
        <v>200</v>
      </c>
      <c r="AV366" t="s">
        <v>993</v>
      </c>
      <c r="AW366">
        <v>5.7000000000000002E-2</v>
      </c>
      <c r="AX366" s="79" t="s">
        <v>480</v>
      </c>
      <c r="AY366">
        <v>1</v>
      </c>
      <c r="AZ366" t="s">
        <v>1026</v>
      </c>
      <c r="BA366">
        <v>2004</v>
      </c>
      <c r="BC366">
        <v>2004.2</v>
      </c>
      <c r="BD366" t="s">
        <v>1015</v>
      </c>
      <c r="BE366" t="s">
        <v>607</v>
      </c>
      <c r="BF366" s="69" t="s">
        <v>484</v>
      </c>
      <c r="BG366" t="s">
        <v>485</v>
      </c>
      <c r="BH366" t="s">
        <v>996</v>
      </c>
      <c r="BI366" s="79" t="s">
        <v>486</v>
      </c>
      <c r="BJ366">
        <v>53330</v>
      </c>
      <c r="BK366" t="s">
        <v>537</v>
      </c>
      <c r="BL366" t="s">
        <v>554</v>
      </c>
      <c r="BM366" t="s">
        <v>997</v>
      </c>
      <c r="BN366" s="79" t="s">
        <v>486</v>
      </c>
      <c r="BO366">
        <v>266660</v>
      </c>
      <c r="EG366" s="9"/>
      <c r="EH366" s="9"/>
      <c r="EI366" s="9"/>
      <c r="EJ366" s="9"/>
      <c r="EK366" s="9"/>
      <c r="EL366" s="9"/>
      <c r="EM366" s="9"/>
      <c r="EN366" s="9"/>
      <c r="EO366" s="9"/>
      <c r="EP366" s="9"/>
      <c r="EQ366" s="9"/>
      <c r="ER366" s="9"/>
      <c r="ES366" s="9"/>
      <c r="ET366" s="9"/>
      <c r="EU366" s="9"/>
      <c r="EV366" s="9"/>
      <c r="EW366" s="9"/>
      <c r="EX366" s="9"/>
      <c r="EY366" s="9"/>
      <c r="EZ366" s="9"/>
      <c r="FA366" s="9"/>
      <c r="FB366" s="9"/>
      <c r="FC366" s="9"/>
      <c r="FD366" s="9"/>
      <c r="FE366" s="9"/>
      <c r="FF366" s="9"/>
      <c r="FG366" s="9"/>
      <c r="FH366" s="9"/>
      <c r="FI366" s="9"/>
      <c r="FJ366" s="9"/>
      <c r="FK366" s="9"/>
      <c r="FL366" s="9"/>
      <c r="FM366" s="9"/>
      <c r="FN366" s="9"/>
      <c r="FO366" s="9"/>
      <c r="FP366" s="9"/>
      <c r="FQ366" s="9"/>
      <c r="FR366" s="9"/>
      <c r="FS366" s="9"/>
      <c r="FT366" s="9"/>
      <c r="FU366" s="9"/>
      <c r="FV366" s="9"/>
      <c r="FW366" s="9"/>
      <c r="FX366" s="9"/>
      <c r="FY366" s="9"/>
      <c r="FZ366" s="9"/>
      <c r="GA366" s="9"/>
      <c r="GB366" s="9"/>
      <c r="GC366" s="9"/>
      <c r="GD366" s="9"/>
      <c r="GE366" s="9"/>
      <c r="GF366" s="9"/>
      <c r="GG366" s="9"/>
      <c r="GH366" s="9"/>
      <c r="GI366" s="9"/>
      <c r="GJ366" s="9"/>
      <c r="GK366" s="9"/>
      <c r="GL366" s="9"/>
      <c r="GM366" s="9"/>
      <c r="GN366" s="9"/>
      <c r="GO366" s="9"/>
      <c r="GP366" s="9"/>
      <c r="GQ366" s="9"/>
      <c r="GR366" s="9"/>
      <c r="GS366" s="9"/>
      <c r="GT366" s="9"/>
      <c r="GU366" s="9"/>
      <c r="GV366" s="9"/>
      <c r="GW366" s="9"/>
      <c r="GX366" s="9"/>
      <c r="GY366" s="9"/>
      <c r="GZ366" s="9"/>
      <c r="HA366" s="9"/>
      <c r="HB366" s="9"/>
      <c r="HC366" s="9"/>
      <c r="HD366" s="9"/>
      <c r="HE366" s="9"/>
      <c r="HF366" s="9"/>
      <c r="HG366" s="9"/>
      <c r="HH366" s="9"/>
      <c r="HI366" s="9"/>
      <c r="HJ366" s="9"/>
      <c r="HT366" s="50">
        <v>45494</v>
      </c>
      <c r="HV366" s="50"/>
      <c r="HW366" s="50"/>
      <c r="IH366" t="s">
        <v>998</v>
      </c>
      <c r="II366" s="79" t="s">
        <v>882</v>
      </c>
      <c r="IJ366" t="s">
        <v>542</v>
      </c>
      <c r="IK366" s="79" t="s">
        <v>543</v>
      </c>
      <c r="IN366" s="78" t="s">
        <v>480</v>
      </c>
      <c r="JJ366" t="s">
        <v>999</v>
      </c>
      <c r="JK366" s="75" t="s">
        <v>494</v>
      </c>
      <c r="JL366" s="79" t="s">
        <v>495</v>
      </c>
      <c r="JP366" s="84" t="s">
        <v>508</v>
      </c>
      <c r="JQ366">
        <v>100</v>
      </c>
      <c r="JT366">
        <v>81</v>
      </c>
      <c r="JU366">
        <v>65</v>
      </c>
      <c r="KE366" t="s">
        <v>1000</v>
      </c>
      <c r="KF366" s="12" t="s">
        <v>1001</v>
      </c>
      <c r="KI366" t="s">
        <v>1002</v>
      </c>
      <c r="KJ366" t="s">
        <v>501</v>
      </c>
      <c r="KK366" s="8" t="s">
        <v>1003</v>
      </c>
      <c r="KL366" s="84" t="s">
        <v>503</v>
      </c>
      <c r="KM366">
        <v>18</v>
      </c>
      <c r="MY366" t="s">
        <v>1004</v>
      </c>
      <c r="MZ366">
        <v>6.3</v>
      </c>
      <c r="NA366" t="s">
        <v>1005</v>
      </c>
      <c r="NB366" t="s">
        <v>485</v>
      </c>
      <c r="NC366" t="s">
        <v>554</v>
      </c>
      <c r="NJ366" t="s">
        <v>1031</v>
      </c>
      <c r="NL366" s="4" t="s">
        <v>1029</v>
      </c>
      <c r="NM366" s="79"/>
      <c r="NV366" t="s">
        <v>518</v>
      </c>
      <c r="NX366" s="2" t="s">
        <v>480</v>
      </c>
      <c r="NY366" s="79"/>
      <c r="OB366">
        <v>3</v>
      </c>
      <c r="OM366">
        <v>1.91</v>
      </c>
      <c r="ON366" s="78" t="s">
        <v>480</v>
      </c>
      <c r="OO366">
        <v>0.64</v>
      </c>
      <c r="OP366" s="78" t="s">
        <v>480</v>
      </c>
      <c r="OQ366" s="144"/>
      <c r="OR366" s="144"/>
      <c r="OS366">
        <v>1.55</v>
      </c>
      <c r="OT366" s="78" t="s">
        <v>480</v>
      </c>
      <c r="OU366" t="s">
        <v>1027</v>
      </c>
      <c r="OV366" s="79"/>
      <c r="OW366">
        <v>2004</v>
      </c>
      <c r="OZ366" t="s">
        <v>1028</v>
      </c>
      <c r="PB366" s="79" t="s">
        <v>522</v>
      </c>
      <c r="PC366" s="50">
        <v>46105</v>
      </c>
    </row>
    <row r="367" spans="1:419" ht="15.75" thickBot="1">
      <c r="A367" t="s">
        <v>469</v>
      </c>
      <c r="B367" t="s">
        <v>991</v>
      </c>
      <c r="C367" t="s">
        <v>863</v>
      </c>
      <c r="D367" s="4" t="s">
        <v>950</v>
      </c>
      <c r="E367" s="83" t="s">
        <v>992</v>
      </c>
      <c r="F367" s="83" t="s">
        <v>952</v>
      </c>
      <c r="G367" s="79" t="s">
        <v>475</v>
      </c>
      <c r="H367" s="79" t="s">
        <v>476</v>
      </c>
      <c r="I367">
        <v>7.2166666666666597</v>
      </c>
      <c r="J367">
        <v>8.18333333333333</v>
      </c>
      <c r="K367" s="78">
        <v>200</v>
      </c>
      <c r="AV367" t="s">
        <v>993</v>
      </c>
      <c r="AW367">
        <v>5.7000000000000002E-2</v>
      </c>
      <c r="AX367" s="79" t="s">
        <v>480</v>
      </c>
      <c r="AY367">
        <v>1</v>
      </c>
      <c r="AZ367" t="s">
        <v>1026</v>
      </c>
      <c r="BA367">
        <v>2004</v>
      </c>
      <c r="BC367">
        <v>2004.2</v>
      </c>
      <c r="BD367" t="s">
        <v>1016</v>
      </c>
      <c r="BE367" t="s">
        <v>611</v>
      </c>
      <c r="BF367" s="69" t="s">
        <v>484</v>
      </c>
      <c r="BG367" t="s">
        <v>485</v>
      </c>
      <c r="BH367" t="s">
        <v>996</v>
      </c>
      <c r="BI367" s="79" t="s">
        <v>486</v>
      </c>
      <c r="BJ367">
        <v>53330</v>
      </c>
      <c r="BK367" t="s">
        <v>537</v>
      </c>
      <c r="BL367" t="s">
        <v>554</v>
      </c>
      <c r="BM367" t="s">
        <v>1012</v>
      </c>
      <c r="BN367" s="79" t="s">
        <v>486</v>
      </c>
      <c r="BO367">
        <v>266660</v>
      </c>
      <c r="EG367" s="9"/>
      <c r="EH367" s="9"/>
      <c r="EI367" s="9"/>
      <c r="EJ367" s="9"/>
      <c r="EK367" s="9"/>
      <c r="EL367" s="9"/>
      <c r="EM367" s="9"/>
      <c r="EN367" s="9"/>
      <c r="EO367" s="9"/>
      <c r="EP367" s="9"/>
      <c r="EQ367" s="9"/>
      <c r="ER367" s="9"/>
      <c r="ES367" s="9"/>
      <c r="ET367" s="9"/>
      <c r="EU367" s="9"/>
      <c r="EV367" s="9"/>
      <c r="EW367" s="9"/>
      <c r="EX367" s="9"/>
      <c r="EY367" s="9"/>
      <c r="EZ367" s="9"/>
      <c r="FA367" s="9"/>
      <c r="FB367" s="9"/>
      <c r="FC367" s="9"/>
      <c r="FD367" s="9"/>
      <c r="FE367" s="9"/>
      <c r="FF367" s="9"/>
      <c r="FG367" s="9"/>
      <c r="FH367" s="9"/>
      <c r="FI367" s="9"/>
      <c r="FJ367" s="9"/>
      <c r="FK367" s="9"/>
      <c r="FL367" s="9"/>
      <c r="FM367" s="9"/>
      <c r="FN367" s="9"/>
      <c r="FO367" s="9"/>
      <c r="FP367" s="9"/>
      <c r="FQ367" s="9"/>
      <c r="FR367" s="9"/>
      <c r="FS367" s="9"/>
      <c r="FT367" s="9"/>
      <c r="FU367" s="9"/>
      <c r="FV367" s="9"/>
      <c r="FW367" s="9"/>
      <c r="FX367" s="9"/>
      <c r="FY367" s="9"/>
      <c r="FZ367" s="9"/>
      <c r="GA367" s="9"/>
      <c r="GB367" s="9"/>
      <c r="GC367" s="9"/>
      <c r="GD367" s="9"/>
      <c r="GE367" s="9"/>
      <c r="GF367" s="9"/>
      <c r="GG367" s="9"/>
      <c r="GH367" s="9"/>
      <c r="GI367" s="9"/>
      <c r="GJ367" s="9"/>
      <c r="GK367" s="9"/>
      <c r="GL367" s="9"/>
      <c r="GM367" s="9"/>
      <c r="GN367" s="9"/>
      <c r="GO367" s="9"/>
      <c r="GP367" s="9"/>
      <c r="GQ367" s="9"/>
      <c r="GR367" s="9"/>
      <c r="GS367" s="9"/>
      <c r="GT367" s="9"/>
      <c r="GU367" s="9"/>
      <c r="GV367" s="9"/>
      <c r="GW367" s="9"/>
      <c r="GX367" s="9"/>
      <c r="GY367" s="9"/>
      <c r="GZ367" s="9"/>
      <c r="HA367" s="9"/>
      <c r="HB367" s="9"/>
      <c r="HC367" s="9"/>
      <c r="HD367" s="9"/>
      <c r="HE367" s="9"/>
      <c r="HF367" s="9"/>
      <c r="HG367" s="9"/>
      <c r="HH367" s="9"/>
      <c r="HI367" s="9"/>
      <c r="HJ367" s="9"/>
      <c r="HT367" s="50">
        <v>45494</v>
      </c>
      <c r="HV367" s="50"/>
      <c r="HW367" s="50"/>
      <c r="IH367" t="s">
        <v>998</v>
      </c>
      <c r="II367" s="79" t="s">
        <v>882</v>
      </c>
      <c r="IJ367" t="s">
        <v>542</v>
      </c>
      <c r="IK367" s="79" t="s">
        <v>543</v>
      </c>
      <c r="IN367" s="78" t="s">
        <v>480</v>
      </c>
      <c r="JJ367" t="s">
        <v>999</v>
      </c>
      <c r="JK367" s="75" t="s">
        <v>494</v>
      </c>
      <c r="JL367" s="79" t="s">
        <v>495</v>
      </c>
      <c r="JP367" s="84" t="s">
        <v>508</v>
      </c>
      <c r="JQ367">
        <v>100</v>
      </c>
      <c r="JT367">
        <v>81</v>
      </c>
      <c r="JU367">
        <v>65</v>
      </c>
      <c r="KE367" t="s">
        <v>1000</v>
      </c>
      <c r="KF367" s="12" t="s">
        <v>1001</v>
      </c>
      <c r="KI367" t="s">
        <v>1002</v>
      </c>
      <c r="KJ367" t="s">
        <v>501</v>
      </c>
      <c r="KK367" s="8" t="s">
        <v>1003</v>
      </c>
      <c r="KL367" s="84" t="s">
        <v>503</v>
      </c>
      <c r="KM367">
        <v>18</v>
      </c>
      <c r="MY367" t="s">
        <v>1004</v>
      </c>
      <c r="MZ367">
        <v>6.3</v>
      </c>
      <c r="NA367" t="s">
        <v>1005</v>
      </c>
      <c r="NB367" t="s">
        <v>485</v>
      </c>
      <c r="NC367" t="s">
        <v>554</v>
      </c>
      <c r="NJ367" t="s">
        <v>1031</v>
      </c>
      <c r="NL367" s="4" t="s">
        <v>1029</v>
      </c>
      <c r="NM367" s="79"/>
      <c r="NV367" t="s">
        <v>518</v>
      </c>
      <c r="NX367" s="2" t="s">
        <v>480</v>
      </c>
      <c r="NY367" s="79"/>
      <c r="OB367">
        <v>3</v>
      </c>
      <c r="OM367">
        <v>0.89</v>
      </c>
      <c r="ON367" s="78" t="s">
        <v>480</v>
      </c>
      <c r="OO367">
        <v>0.51</v>
      </c>
      <c r="OP367" s="78" t="s">
        <v>480</v>
      </c>
      <c r="OQ367" s="144"/>
      <c r="OR367" s="144"/>
      <c r="OS367">
        <v>1.41</v>
      </c>
      <c r="OT367" s="78" t="s">
        <v>480</v>
      </c>
      <c r="OU367" t="s">
        <v>1027</v>
      </c>
      <c r="OV367" s="79"/>
      <c r="OW367">
        <v>2004</v>
      </c>
      <c r="OZ367" t="s">
        <v>1028</v>
      </c>
      <c r="PB367" s="79" t="s">
        <v>522</v>
      </c>
      <c r="PC367" s="50">
        <v>46105</v>
      </c>
    </row>
    <row r="368" spans="1:419" ht="15.75" thickBot="1">
      <c r="A368" t="s">
        <v>469</v>
      </c>
      <c r="B368" t="s">
        <v>991</v>
      </c>
      <c r="C368" t="s">
        <v>863</v>
      </c>
      <c r="D368" s="4" t="s">
        <v>950</v>
      </c>
      <c r="E368" s="83" t="s">
        <v>992</v>
      </c>
      <c r="F368" s="83" t="s">
        <v>952</v>
      </c>
      <c r="G368" s="79" t="s">
        <v>475</v>
      </c>
      <c r="H368" s="79" t="s">
        <v>476</v>
      </c>
      <c r="I368">
        <v>7.2166666666666597</v>
      </c>
      <c r="J368">
        <v>8.18333333333333</v>
      </c>
      <c r="K368" s="78">
        <v>200</v>
      </c>
      <c r="AV368" t="s">
        <v>993</v>
      </c>
      <c r="AW368">
        <v>5.7000000000000002E-2</v>
      </c>
      <c r="AX368" s="79" t="s">
        <v>480</v>
      </c>
      <c r="AY368">
        <v>1</v>
      </c>
      <c r="AZ368" t="s">
        <v>1026</v>
      </c>
      <c r="BA368">
        <v>2004</v>
      </c>
      <c r="BC368">
        <v>2004.2</v>
      </c>
      <c r="BD368" t="s">
        <v>1017</v>
      </c>
      <c r="BE368" t="s">
        <v>524</v>
      </c>
      <c r="BF368" s="69" t="s">
        <v>484</v>
      </c>
      <c r="BG368" t="s">
        <v>554</v>
      </c>
      <c r="BH368" t="s">
        <v>997</v>
      </c>
      <c r="BI368" s="79" t="s">
        <v>486</v>
      </c>
      <c r="BJ368">
        <v>266660</v>
      </c>
      <c r="EG368" s="9"/>
      <c r="EH368" s="9"/>
      <c r="EI368" s="9"/>
      <c r="EJ368" s="9"/>
      <c r="EK368" s="9"/>
      <c r="EL368" s="9"/>
      <c r="EM368" s="9"/>
      <c r="EN368" s="9"/>
      <c r="EO368" s="9"/>
      <c r="EP368" s="9"/>
      <c r="EQ368" s="9"/>
      <c r="ER368" s="9"/>
      <c r="ES368" s="9"/>
      <c r="ET368" s="9"/>
      <c r="EU368" s="9"/>
      <c r="EV368" s="9"/>
      <c r="EW368" s="9"/>
      <c r="EX368" s="9"/>
      <c r="EY368" s="9"/>
      <c r="EZ368" s="9"/>
      <c r="FA368" s="9"/>
      <c r="FB368" s="9"/>
      <c r="FC368" s="9"/>
      <c r="FD368" s="9"/>
      <c r="FE368" s="9"/>
      <c r="FF368" s="9"/>
      <c r="FG368" s="9"/>
      <c r="FH368" s="9"/>
      <c r="FI368" s="9"/>
      <c r="FJ368" s="9"/>
      <c r="FK368" s="9"/>
      <c r="FL368" s="9"/>
      <c r="FM368" s="9"/>
      <c r="FN368" s="9"/>
      <c r="FO368" s="9"/>
      <c r="FP368" s="9"/>
      <c r="FQ368" s="9"/>
      <c r="FR368" s="9"/>
      <c r="FS368" s="9"/>
      <c r="FT368" s="9"/>
      <c r="FU368" s="9"/>
      <c r="FV368" s="9"/>
      <c r="FW368" s="9"/>
      <c r="FX368" s="9"/>
      <c r="FY368" s="9"/>
      <c r="FZ368" s="9"/>
      <c r="GA368" s="9"/>
      <c r="GB368" s="9"/>
      <c r="GC368" s="9"/>
      <c r="GD368" s="9"/>
      <c r="GE368" s="9"/>
      <c r="GF368" s="9"/>
      <c r="GG368" s="9"/>
      <c r="GH368" s="9"/>
      <c r="GI368" s="9"/>
      <c r="GJ368" s="9"/>
      <c r="GK368" s="9"/>
      <c r="GL368" s="9"/>
      <c r="GM368" s="9"/>
      <c r="GN368" s="9"/>
      <c r="GO368" s="9"/>
      <c r="GP368" s="9"/>
      <c r="GQ368" s="9"/>
      <c r="GR368" s="9"/>
      <c r="GS368" s="9"/>
      <c r="GT368" s="9"/>
      <c r="GU368" s="9"/>
      <c r="GV368" s="9"/>
      <c r="GW368" s="9"/>
      <c r="GX368" s="9"/>
      <c r="GY368" s="9"/>
      <c r="GZ368" s="9"/>
      <c r="HA368" s="9"/>
      <c r="HB368" s="9"/>
      <c r="HC368" s="9"/>
      <c r="HD368" s="9"/>
      <c r="HE368" s="9"/>
      <c r="HF368" s="9"/>
      <c r="HG368" s="9"/>
      <c r="HH368" s="9"/>
      <c r="HI368" s="9"/>
      <c r="HJ368" s="9"/>
      <c r="HT368" s="50">
        <v>45494</v>
      </c>
      <c r="HV368" s="50"/>
      <c r="HW368" s="50"/>
      <c r="IH368" t="s">
        <v>1018</v>
      </c>
      <c r="II368" s="79" t="s">
        <v>492</v>
      </c>
      <c r="IJ368" t="s">
        <v>542</v>
      </c>
      <c r="IK368" s="79" t="s">
        <v>543</v>
      </c>
      <c r="IN368" s="78" t="s">
        <v>480</v>
      </c>
      <c r="JJ368" t="s">
        <v>999</v>
      </c>
      <c r="JK368" s="75" t="s">
        <v>494</v>
      </c>
      <c r="JL368" s="79" t="s">
        <v>495</v>
      </c>
      <c r="JP368" s="84" t="s">
        <v>508</v>
      </c>
      <c r="JQ368">
        <v>10</v>
      </c>
      <c r="JT368">
        <v>36</v>
      </c>
      <c r="JU368">
        <v>20</v>
      </c>
      <c r="KE368" t="s">
        <v>1000</v>
      </c>
      <c r="KF368" s="12" t="s">
        <v>1001</v>
      </c>
      <c r="KI368" t="s">
        <v>1002</v>
      </c>
      <c r="KJ368" t="s">
        <v>501</v>
      </c>
      <c r="KK368" s="8" t="s">
        <v>1003</v>
      </c>
      <c r="KL368" s="84" t="s">
        <v>503</v>
      </c>
      <c r="KM368">
        <v>18</v>
      </c>
      <c r="MY368" t="s">
        <v>1004</v>
      </c>
      <c r="MZ368">
        <v>6.3</v>
      </c>
      <c r="NA368" t="s">
        <v>1019</v>
      </c>
      <c r="NB368" t="s">
        <v>554</v>
      </c>
      <c r="NJ368" t="s">
        <v>1019</v>
      </c>
      <c r="NL368" s="4" t="s">
        <v>1029</v>
      </c>
      <c r="NM368" s="79"/>
      <c r="NU368" t="s">
        <v>1020</v>
      </c>
      <c r="NV368" t="s">
        <v>518</v>
      </c>
      <c r="NX368" s="2" t="s">
        <v>480</v>
      </c>
      <c r="NY368" s="79"/>
      <c r="OB368">
        <v>3</v>
      </c>
      <c r="OU368" t="s">
        <v>1027</v>
      </c>
      <c r="OV368" s="79"/>
      <c r="OW368">
        <v>2004</v>
      </c>
      <c r="OZ368" t="s">
        <v>1028</v>
      </c>
      <c r="PB368" s="79" t="s">
        <v>522</v>
      </c>
      <c r="PC368" s="50">
        <v>46105</v>
      </c>
    </row>
    <row r="369" spans="1:419" ht="15.75" thickBot="1">
      <c r="A369" t="s">
        <v>469</v>
      </c>
      <c r="B369" t="s">
        <v>991</v>
      </c>
      <c r="C369" t="s">
        <v>863</v>
      </c>
      <c r="D369" s="4" t="s">
        <v>950</v>
      </c>
      <c r="E369" s="83" t="s">
        <v>992</v>
      </c>
      <c r="F369" s="83" t="s">
        <v>952</v>
      </c>
      <c r="G369" s="79" t="s">
        <v>475</v>
      </c>
      <c r="H369" s="79" t="s">
        <v>476</v>
      </c>
      <c r="I369">
        <v>7.2166666666666597</v>
      </c>
      <c r="J369">
        <v>8.18333333333333</v>
      </c>
      <c r="K369" s="78">
        <v>200</v>
      </c>
      <c r="AV369" t="s">
        <v>993</v>
      </c>
      <c r="AW369">
        <v>5.7000000000000002E-2</v>
      </c>
      <c r="AX369" s="79" t="s">
        <v>480</v>
      </c>
      <c r="AY369">
        <v>1</v>
      </c>
      <c r="AZ369" t="s">
        <v>1026</v>
      </c>
      <c r="BA369">
        <v>2004</v>
      </c>
      <c r="BC369">
        <v>2004.2</v>
      </c>
      <c r="BD369" t="s">
        <v>1021</v>
      </c>
      <c r="BE369" t="s">
        <v>483</v>
      </c>
      <c r="BF369" s="69" t="s">
        <v>484</v>
      </c>
      <c r="BG369" t="s">
        <v>554</v>
      </c>
      <c r="BH369" t="s">
        <v>1012</v>
      </c>
      <c r="BI369" s="79" t="s">
        <v>486</v>
      </c>
      <c r="BJ369">
        <v>266660</v>
      </c>
      <c r="EG369" s="9"/>
      <c r="EH369" s="9"/>
      <c r="EI369" s="9"/>
      <c r="EJ369" s="9"/>
      <c r="EK369" s="9"/>
      <c r="EL369" s="9"/>
      <c r="EM369" s="9"/>
      <c r="EN369" s="9"/>
      <c r="EO369" s="9"/>
      <c r="EP369" s="9"/>
      <c r="EQ369" s="9"/>
      <c r="ER369" s="9"/>
      <c r="ES369" s="9"/>
      <c r="ET369" s="9"/>
      <c r="EU369" s="9"/>
      <c r="EV369" s="9"/>
      <c r="EW369" s="9"/>
      <c r="EX369" s="9"/>
      <c r="EY369" s="9"/>
      <c r="EZ369" s="9"/>
      <c r="FA369" s="9"/>
      <c r="FB369" s="9"/>
      <c r="FC369" s="9"/>
      <c r="FD369" s="9"/>
      <c r="FE369" s="9"/>
      <c r="FF369" s="9"/>
      <c r="FG369" s="9"/>
      <c r="FH369" s="9"/>
      <c r="FI369" s="9"/>
      <c r="FJ369" s="9"/>
      <c r="FK369" s="9"/>
      <c r="FL369" s="9"/>
      <c r="FM369" s="9"/>
      <c r="FN369" s="9"/>
      <c r="FO369" s="9"/>
      <c r="FP369" s="9"/>
      <c r="FQ369" s="9"/>
      <c r="FR369" s="9"/>
      <c r="FS369" s="9"/>
      <c r="FT369" s="9"/>
      <c r="FU369" s="9"/>
      <c r="FV369" s="9"/>
      <c r="FW369" s="9"/>
      <c r="FX369" s="9"/>
      <c r="FY369" s="9"/>
      <c r="FZ369" s="9"/>
      <c r="GA369" s="9"/>
      <c r="GB369" s="9"/>
      <c r="GC369" s="9"/>
      <c r="GD369" s="9"/>
      <c r="GE369" s="9"/>
      <c r="GF369" s="9"/>
      <c r="GG369" s="9"/>
      <c r="GH369" s="9"/>
      <c r="GI369" s="9"/>
      <c r="GJ369" s="9"/>
      <c r="GK369" s="9"/>
      <c r="GL369" s="9"/>
      <c r="GM369" s="9"/>
      <c r="GN369" s="9"/>
      <c r="GO369" s="9"/>
      <c r="GP369" s="9"/>
      <c r="GQ369" s="9"/>
      <c r="GR369" s="9"/>
      <c r="GS369" s="9"/>
      <c r="GT369" s="9"/>
      <c r="GU369" s="9"/>
      <c r="GV369" s="9"/>
      <c r="GW369" s="9"/>
      <c r="GX369" s="9"/>
      <c r="GY369" s="9"/>
      <c r="GZ369" s="9"/>
      <c r="HA369" s="9"/>
      <c r="HB369" s="9"/>
      <c r="HC369" s="9"/>
      <c r="HD369" s="9"/>
      <c r="HE369" s="9"/>
      <c r="HF369" s="9"/>
      <c r="HG369" s="9"/>
      <c r="HH369" s="9"/>
      <c r="HI369" s="9"/>
      <c r="HJ369" s="9"/>
      <c r="HT369" s="50">
        <v>45494</v>
      </c>
      <c r="HV369" s="50"/>
      <c r="HW369" s="50"/>
      <c r="IH369" t="s">
        <v>1018</v>
      </c>
      <c r="II369" s="79" t="s">
        <v>492</v>
      </c>
      <c r="IJ369" t="s">
        <v>542</v>
      </c>
      <c r="IK369" s="79" t="s">
        <v>543</v>
      </c>
      <c r="IN369" s="78" t="s">
        <v>480</v>
      </c>
      <c r="JJ369" t="s">
        <v>999</v>
      </c>
      <c r="JK369" s="75" t="s">
        <v>494</v>
      </c>
      <c r="JL369" s="79" t="s">
        <v>495</v>
      </c>
      <c r="JP369" s="84" t="s">
        <v>508</v>
      </c>
      <c r="JQ369">
        <v>10</v>
      </c>
      <c r="JT369">
        <v>36</v>
      </c>
      <c r="JU369">
        <v>20</v>
      </c>
      <c r="KE369" t="s">
        <v>1000</v>
      </c>
      <c r="KF369" s="12" t="s">
        <v>1001</v>
      </c>
      <c r="KI369" t="s">
        <v>1002</v>
      </c>
      <c r="KJ369" t="s">
        <v>501</v>
      </c>
      <c r="KK369" s="8" t="s">
        <v>1003</v>
      </c>
      <c r="KL369" s="84" t="s">
        <v>503</v>
      </c>
      <c r="KM369">
        <v>18</v>
      </c>
      <c r="MY369" t="s">
        <v>1004</v>
      </c>
      <c r="MZ369">
        <v>6.3</v>
      </c>
      <c r="NA369" t="s">
        <v>1019</v>
      </c>
      <c r="NB369" t="s">
        <v>554</v>
      </c>
      <c r="NJ369" t="s">
        <v>1019</v>
      </c>
      <c r="NL369" s="4" t="s">
        <v>1029</v>
      </c>
      <c r="NM369" s="79"/>
      <c r="NU369" t="s">
        <v>1022</v>
      </c>
      <c r="NV369" t="s">
        <v>518</v>
      </c>
      <c r="NX369" s="2" t="s">
        <v>480</v>
      </c>
      <c r="NY369" s="79"/>
      <c r="OB369">
        <v>3</v>
      </c>
      <c r="OU369" t="s">
        <v>1027</v>
      </c>
      <c r="OV369" s="79"/>
      <c r="OW369">
        <v>2004</v>
      </c>
      <c r="OZ369" t="s">
        <v>1028</v>
      </c>
      <c r="PB369" s="79" t="s">
        <v>522</v>
      </c>
      <c r="PC369" s="50">
        <v>46105</v>
      </c>
    </row>
    <row r="370" spans="1:419" ht="15.75" thickBot="1">
      <c r="A370" t="s">
        <v>469</v>
      </c>
      <c r="B370" t="s">
        <v>991</v>
      </c>
      <c r="C370" t="s">
        <v>863</v>
      </c>
      <c r="D370" s="4" t="s">
        <v>950</v>
      </c>
      <c r="E370" s="85" t="s">
        <v>992</v>
      </c>
      <c r="F370" s="83" t="s">
        <v>952</v>
      </c>
      <c r="G370" s="2" t="s">
        <v>475</v>
      </c>
      <c r="H370" s="2" t="s">
        <v>476</v>
      </c>
      <c r="I370">
        <v>7.2166666666666597</v>
      </c>
      <c r="J370">
        <v>8.18333333333333</v>
      </c>
      <c r="K370" s="78">
        <v>200</v>
      </c>
      <c r="AV370" t="s">
        <v>993</v>
      </c>
      <c r="AW370">
        <v>5.7000000000000002E-2</v>
      </c>
      <c r="AX370" s="2" t="s">
        <v>480</v>
      </c>
      <c r="AY370">
        <v>1</v>
      </c>
      <c r="AZ370" t="s">
        <v>1026</v>
      </c>
      <c r="BA370">
        <v>2004</v>
      </c>
      <c r="BC370">
        <v>2004.2</v>
      </c>
      <c r="BD370" t="s">
        <v>1023</v>
      </c>
      <c r="BE370" t="s">
        <v>593</v>
      </c>
      <c r="BF370" s="86" t="s">
        <v>484</v>
      </c>
      <c r="BG370" t="s">
        <v>485</v>
      </c>
      <c r="BH370" t="s">
        <v>996</v>
      </c>
      <c r="BI370" s="2" t="s">
        <v>486</v>
      </c>
      <c r="BJ370">
        <v>53330</v>
      </c>
      <c r="EG370" s="9"/>
      <c r="EH370" s="9"/>
      <c r="EI370" s="9"/>
      <c r="EJ370" s="9"/>
      <c r="EK370" s="9"/>
      <c r="EL370" s="9"/>
      <c r="EM370" s="9"/>
      <c r="EN370" s="9"/>
      <c r="EO370" s="9"/>
      <c r="EP370" s="9"/>
      <c r="EQ370" s="9"/>
      <c r="ER370" s="9"/>
      <c r="ES370" s="9"/>
      <c r="ET370" s="9"/>
      <c r="EU370" s="9"/>
      <c r="EV370" s="9"/>
      <c r="EW370" s="9"/>
      <c r="EX370" s="9"/>
      <c r="EY370" s="9"/>
      <c r="EZ370" s="9"/>
      <c r="FA370" s="9"/>
      <c r="FB370" s="9"/>
      <c r="FC370" s="9"/>
      <c r="FD370" s="9"/>
      <c r="FE370" s="9"/>
      <c r="FF370" s="9"/>
      <c r="FG370" s="9"/>
      <c r="FH370" s="9"/>
      <c r="FI370" s="9"/>
      <c r="FJ370" s="9"/>
      <c r="FK370" s="9"/>
      <c r="FL370" s="9"/>
      <c r="FM370" s="9"/>
      <c r="FN370" s="9"/>
      <c r="FO370" s="9"/>
      <c r="FP370" s="9"/>
      <c r="FQ370" s="9"/>
      <c r="FR370" s="9"/>
      <c r="FS370" s="9"/>
      <c r="FT370" s="9"/>
      <c r="FU370" s="9"/>
      <c r="FV370" s="9"/>
      <c r="FW370" s="9"/>
      <c r="FX370" s="9"/>
      <c r="FY370" s="9"/>
      <c r="FZ370" s="9"/>
      <c r="GA370" s="9"/>
      <c r="GB370" s="9"/>
      <c r="GC370" s="9"/>
      <c r="GD370" s="9"/>
      <c r="GE370" s="9"/>
      <c r="GF370" s="9"/>
      <c r="GG370" s="9"/>
      <c r="GH370" s="9"/>
      <c r="GI370" s="9"/>
      <c r="GJ370" s="9"/>
      <c r="GK370" s="9"/>
      <c r="GL370" s="9"/>
      <c r="GM370" s="9"/>
      <c r="GN370" s="9"/>
      <c r="GO370" s="9"/>
      <c r="GP370" s="9"/>
      <c r="GQ370" s="9"/>
      <c r="GR370" s="9"/>
      <c r="GS370" s="9"/>
      <c r="GT370" s="9"/>
      <c r="GU370" s="9"/>
      <c r="GV370" s="9"/>
      <c r="GW370" s="9"/>
      <c r="GX370" s="9"/>
      <c r="GY370" s="9"/>
      <c r="GZ370" s="9"/>
      <c r="HA370" s="9"/>
      <c r="HB370" s="9"/>
      <c r="HC370" s="9"/>
      <c r="HD370" s="9"/>
      <c r="HE370" s="9"/>
      <c r="HF370" s="9"/>
      <c r="HG370" s="9"/>
      <c r="HH370" s="9"/>
      <c r="HI370" s="9"/>
      <c r="HJ370" s="9"/>
      <c r="HT370" s="50">
        <v>45494</v>
      </c>
      <c r="HV370" s="50"/>
      <c r="HW370" s="50"/>
      <c r="IH370" t="s">
        <v>1018</v>
      </c>
      <c r="II370" s="2" t="s">
        <v>492</v>
      </c>
      <c r="IJ370" t="s">
        <v>542</v>
      </c>
      <c r="IK370" s="2" t="s">
        <v>543</v>
      </c>
      <c r="IN370" s="80" t="s">
        <v>480</v>
      </c>
      <c r="JJ370" t="s">
        <v>999</v>
      </c>
      <c r="JK370" s="87" t="s">
        <v>494</v>
      </c>
      <c r="JL370" s="2" t="s">
        <v>495</v>
      </c>
      <c r="JP370" s="88" t="s">
        <v>508</v>
      </c>
      <c r="JQ370">
        <v>90</v>
      </c>
      <c r="JT370">
        <v>45</v>
      </c>
      <c r="JU370">
        <v>45</v>
      </c>
      <c r="KE370" t="s">
        <v>1000</v>
      </c>
      <c r="KF370" s="14" t="s">
        <v>1001</v>
      </c>
      <c r="KI370" t="s">
        <v>1002</v>
      </c>
      <c r="KJ370" t="s">
        <v>501</v>
      </c>
      <c r="KK370" s="8" t="s">
        <v>1003</v>
      </c>
      <c r="KL370" s="88" t="s">
        <v>503</v>
      </c>
      <c r="KM370">
        <v>18</v>
      </c>
      <c r="MY370" t="s">
        <v>1004</v>
      </c>
      <c r="MZ370">
        <v>6.3</v>
      </c>
      <c r="NA370" t="s">
        <v>1024</v>
      </c>
      <c r="NB370" t="s">
        <v>485</v>
      </c>
      <c r="NJ370" t="s">
        <v>1024</v>
      </c>
      <c r="NL370" s="4" t="s">
        <v>1029</v>
      </c>
      <c r="NM370" s="2"/>
      <c r="NU370" t="s">
        <v>1025</v>
      </c>
      <c r="NV370" t="s">
        <v>518</v>
      </c>
      <c r="NX370" s="2" t="s">
        <v>480</v>
      </c>
      <c r="NY370" s="2"/>
      <c r="OB370">
        <v>3</v>
      </c>
      <c r="OU370" t="s">
        <v>1027</v>
      </c>
      <c r="OV370" s="2"/>
      <c r="OW370">
        <v>2004</v>
      </c>
      <c r="OZ370" t="s">
        <v>1028</v>
      </c>
      <c r="PB370" s="2" t="s">
        <v>522</v>
      </c>
      <c r="PC370" s="50">
        <v>46105</v>
      </c>
    </row>
    <row r="371" spans="1:419" ht="15.75" thickBot="1">
      <c r="A371" t="s">
        <v>469</v>
      </c>
      <c r="B371" t="s">
        <v>1032</v>
      </c>
      <c r="C371" t="s">
        <v>863</v>
      </c>
      <c r="D371" s="4" t="s">
        <v>950</v>
      </c>
      <c r="E371" t="s">
        <v>1033</v>
      </c>
      <c r="F371" s="89" t="s">
        <v>952</v>
      </c>
      <c r="G371" s="78" t="s">
        <v>475</v>
      </c>
      <c r="H371" s="78" t="s">
        <v>476</v>
      </c>
      <c r="I371">
        <v>7.25</v>
      </c>
      <c r="J371">
        <v>3.4166666669999999</v>
      </c>
      <c r="K371" s="78">
        <v>1000</v>
      </c>
      <c r="AV371" t="s">
        <v>1034</v>
      </c>
      <c r="AW371">
        <v>3240</v>
      </c>
      <c r="AX371">
        <v>1.2E-2</v>
      </c>
      <c r="AY371">
        <v>1</v>
      </c>
      <c r="BA371">
        <v>2006</v>
      </c>
      <c r="BB371">
        <v>2007</v>
      </c>
      <c r="BD371" t="s">
        <v>1035</v>
      </c>
      <c r="BE371" t="s">
        <v>536</v>
      </c>
      <c r="BF371" s="69" t="s">
        <v>484</v>
      </c>
      <c r="BG371" t="s">
        <v>1036</v>
      </c>
      <c r="BH371" t="s">
        <v>1037</v>
      </c>
      <c r="BI371" s="78" t="s">
        <v>486</v>
      </c>
      <c r="BJ371">
        <v>1330</v>
      </c>
      <c r="BK371" t="s">
        <v>537</v>
      </c>
      <c r="BL371" t="s">
        <v>1038</v>
      </c>
      <c r="BM371" t="s">
        <v>866</v>
      </c>
      <c r="BN371" s="78" t="s">
        <v>486</v>
      </c>
      <c r="BO371">
        <v>20000</v>
      </c>
      <c r="EG371" s="9"/>
      <c r="EH371" s="9"/>
      <c r="EI371" s="9"/>
      <c r="EJ371" s="9"/>
      <c r="EK371" s="9"/>
      <c r="EL371" s="9"/>
      <c r="EM371" s="9"/>
      <c r="EN371" s="9"/>
      <c r="EO371" s="9"/>
      <c r="EP371" s="9"/>
      <c r="EQ371" s="9"/>
      <c r="ER371" s="9"/>
      <c r="ES371" s="9"/>
      <c r="ET371" s="9"/>
      <c r="EU371" s="9"/>
      <c r="EV371" s="9"/>
      <c r="EW371" s="9"/>
      <c r="EX371" s="9"/>
      <c r="EY371" s="9"/>
      <c r="EZ371" s="9"/>
      <c r="FA371" s="9"/>
      <c r="FB371" s="9"/>
      <c r="FC371" s="9"/>
      <c r="FD371" s="9"/>
      <c r="FE371" s="9"/>
      <c r="FF371" s="9"/>
      <c r="FG371" s="9"/>
      <c r="FH371" s="9"/>
      <c r="FI371" s="9"/>
      <c r="FJ371" s="9"/>
      <c r="FK371" s="9"/>
      <c r="FL371" s="9"/>
      <c r="FM371" s="9"/>
      <c r="FN371" s="9"/>
      <c r="FO371" s="9"/>
      <c r="FP371" s="9"/>
      <c r="FQ371" s="9"/>
      <c r="FR371" s="9"/>
      <c r="FS371" s="9"/>
      <c r="FT371" s="9"/>
      <c r="FU371" s="9"/>
      <c r="FV371" s="9"/>
      <c r="FW371" s="9"/>
      <c r="FX371" s="9"/>
      <c r="FY371" s="9"/>
      <c r="FZ371" s="9"/>
      <c r="GA371" s="9"/>
      <c r="GB371" s="9"/>
      <c r="GC371" s="9"/>
      <c r="GD371" s="9"/>
      <c r="GE371" s="9"/>
      <c r="GF371" s="9"/>
      <c r="GG371" s="9"/>
      <c r="GH371" s="9"/>
      <c r="GI371" s="9"/>
      <c r="GJ371" s="9"/>
      <c r="GK371" s="9"/>
      <c r="GL371" s="9"/>
      <c r="GM371" s="9"/>
      <c r="GN371" s="9"/>
      <c r="GO371" s="9"/>
      <c r="GP371" s="9"/>
      <c r="GQ371" s="9"/>
      <c r="GR371" s="9"/>
      <c r="GS371" s="9"/>
      <c r="GT371" s="9"/>
      <c r="GU371" s="9"/>
      <c r="GV371" s="9"/>
      <c r="GW371" s="9"/>
      <c r="GX371" s="9"/>
      <c r="GY371" s="9"/>
      <c r="GZ371" s="9"/>
      <c r="HA371" s="9"/>
      <c r="HB371" s="9"/>
      <c r="HC371" s="9"/>
      <c r="HD371" s="9"/>
      <c r="HE371" s="9"/>
      <c r="HF371" s="9"/>
      <c r="HG371" s="9"/>
      <c r="HH371" s="9"/>
      <c r="HI371" s="9"/>
      <c r="HJ371" s="9"/>
      <c r="HT371" s="90">
        <v>38838</v>
      </c>
      <c r="HV371" s="50"/>
      <c r="HW371" s="50"/>
      <c r="IH371" t="s">
        <v>1035</v>
      </c>
      <c r="II371" s="78" t="s">
        <v>882</v>
      </c>
      <c r="IJ371" s="17" t="s">
        <v>542</v>
      </c>
      <c r="IK371" t="s">
        <v>543</v>
      </c>
      <c r="IL371">
        <v>2006</v>
      </c>
      <c r="IN371" s="78" t="s">
        <v>480</v>
      </c>
      <c r="JJ371" t="s">
        <v>1035</v>
      </c>
      <c r="JK371" s="75" t="s">
        <v>682</v>
      </c>
      <c r="MY371" t="s">
        <v>1039</v>
      </c>
      <c r="MZ371">
        <v>120</v>
      </c>
      <c r="NA371" t="s">
        <v>1040</v>
      </c>
      <c r="NB371" t="s">
        <v>1038</v>
      </c>
      <c r="NC371" t="s">
        <v>1041</v>
      </c>
      <c r="NJ371" t="s">
        <v>1042</v>
      </c>
      <c r="NL371" s="92" t="s">
        <v>946</v>
      </c>
      <c r="NM371" s="91" t="s">
        <v>1008</v>
      </c>
      <c r="NV371" t="s">
        <v>518</v>
      </c>
      <c r="NW371">
        <v>721899.99</v>
      </c>
      <c r="NX371" s="79" t="s">
        <v>480</v>
      </c>
      <c r="NY371" s="79" t="s">
        <v>480</v>
      </c>
      <c r="NZ371" s="93"/>
      <c r="OB371">
        <v>3</v>
      </c>
      <c r="OU371" t="s">
        <v>1043</v>
      </c>
      <c r="OV371" s="3" t="s">
        <v>1044</v>
      </c>
      <c r="OX371">
        <v>2006</v>
      </c>
      <c r="OY371">
        <v>2007</v>
      </c>
      <c r="PB371" t="s">
        <v>522</v>
      </c>
      <c r="PC371" s="50">
        <v>46105</v>
      </c>
    </row>
    <row r="372" spans="1:419" ht="15.75" thickBot="1">
      <c r="A372" t="s">
        <v>469</v>
      </c>
      <c r="B372" t="s">
        <v>1032</v>
      </c>
      <c r="C372" t="s">
        <v>863</v>
      </c>
      <c r="D372" s="4" t="s">
        <v>950</v>
      </c>
      <c r="E372" t="s">
        <v>1033</v>
      </c>
      <c r="F372" s="89" t="s">
        <v>952</v>
      </c>
      <c r="G372" s="78" t="s">
        <v>475</v>
      </c>
      <c r="H372" s="78" t="s">
        <v>476</v>
      </c>
      <c r="I372">
        <v>7.25</v>
      </c>
      <c r="J372">
        <v>3.4166666669999999</v>
      </c>
      <c r="K372" s="78">
        <v>1000</v>
      </c>
      <c r="AV372" t="s">
        <v>1034</v>
      </c>
      <c r="AW372">
        <v>3240</v>
      </c>
      <c r="AX372">
        <v>1.2E-2</v>
      </c>
      <c r="AY372">
        <v>1</v>
      </c>
      <c r="BA372">
        <v>2006</v>
      </c>
      <c r="BB372">
        <v>2007</v>
      </c>
      <c r="BD372" t="s">
        <v>1045</v>
      </c>
      <c r="BE372" t="s">
        <v>524</v>
      </c>
      <c r="BF372" s="69" t="s">
        <v>484</v>
      </c>
      <c r="BG372" t="s">
        <v>1036</v>
      </c>
      <c r="BH372" t="s">
        <v>1037</v>
      </c>
      <c r="BI372" s="78" t="s">
        <v>486</v>
      </c>
      <c r="BJ372">
        <v>1330</v>
      </c>
      <c r="EG372" s="9"/>
      <c r="EH372" s="9"/>
      <c r="EI372" s="9"/>
      <c r="EJ372" s="9"/>
      <c r="EK372" s="9"/>
      <c r="EL372" s="9"/>
      <c r="EM372" s="9"/>
      <c r="EN372" s="9"/>
      <c r="EO372" s="9"/>
      <c r="EP372" s="9"/>
      <c r="EQ372" s="9"/>
      <c r="ER372" s="9"/>
      <c r="ES372" s="9"/>
      <c r="ET372" s="9"/>
      <c r="EU372" s="9"/>
      <c r="EV372" s="9"/>
      <c r="EW372" s="9"/>
      <c r="EX372" s="9"/>
      <c r="EY372" s="9"/>
      <c r="EZ372" s="9"/>
      <c r="FA372" s="9"/>
      <c r="FB372" s="9"/>
      <c r="FC372" s="9"/>
      <c r="FD372" s="9"/>
      <c r="FE372" s="9"/>
      <c r="FF372" s="9"/>
      <c r="FG372" s="9"/>
      <c r="FH372" s="9"/>
      <c r="FI372" s="9"/>
      <c r="FJ372" s="9"/>
      <c r="FK372" s="9"/>
      <c r="FL372" s="9"/>
      <c r="FM372" s="9"/>
      <c r="FN372" s="9"/>
      <c r="FO372" s="9"/>
      <c r="FP372" s="9"/>
      <c r="FQ372" s="9"/>
      <c r="FR372" s="9"/>
      <c r="FS372" s="9"/>
      <c r="FT372" s="9"/>
      <c r="FU372" s="9"/>
      <c r="FV372" s="9"/>
      <c r="FW372" s="9"/>
      <c r="FX372" s="9"/>
      <c r="FY372" s="9"/>
      <c r="FZ372" s="9"/>
      <c r="GA372" s="9"/>
      <c r="GB372" s="9"/>
      <c r="GC372" s="9"/>
      <c r="GD372" s="9"/>
      <c r="GE372" s="9"/>
      <c r="GF372" s="9"/>
      <c r="GG372" s="9"/>
      <c r="GH372" s="9"/>
      <c r="GI372" s="9"/>
      <c r="GJ372" s="9"/>
      <c r="GK372" s="9"/>
      <c r="GL372" s="9"/>
      <c r="GM372" s="9"/>
      <c r="GN372" s="9"/>
      <c r="GO372" s="9"/>
      <c r="GP372" s="9"/>
      <c r="GQ372" s="9"/>
      <c r="GR372" s="9"/>
      <c r="GS372" s="9"/>
      <c r="GT372" s="9"/>
      <c r="GU372" s="9"/>
      <c r="GV372" s="9"/>
      <c r="GW372" s="9"/>
      <c r="GX372" s="9"/>
      <c r="GY372" s="9"/>
      <c r="GZ372" s="9"/>
      <c r="HA372" s="9"/>
      <c r="HB372" s="9"/>
      <c r="HC372" s="9"/>
      <c r="HD372" s="9"/>
      <c r="HE372" s="9"/>
      <c r="HF372" s="9"/>
      <c r="HG372" s="9"/>
      <c r="HH372" s="9"/>
      <c r="HI372" s="9"/>
      <c r="HJ372" s="9"/>
      <c r="HT372" s="90">
        <v>38838</v>
      </c>
      <c r="HV372" s="50"/>
      <c r="HW372" s="50"/>
      <c r="IH372" t="s">
        <v>1045</v>
      </c>
      <c r="II372" t="s">
        <v>492</v>
      </c>
      <c r="IJ372" s="17"/>
      <c r="IN372" s="78"/>
      <c r="JJ372" t="s">
        <v>1045</v>
      </c>
      <c r="JK372" s="75" t="s">
        <v>682</v>
      </c>
      <c r="MY372" t="s">
        <v>1039</v>
      </c>
      <c r="MZ372">
        <v>120</v>
      </c>
      <c r="NA372" t="s">
        <v>1046</v>
      </c>
      <c r="NB372" t="s">
        <v>1041</v>
      </c>
      <c r="NC372" t="s">
        <v>1047</v>
      </c>
      <c r="NJ372" t="s">
        <v>1042</v>
      </c>
      <c r="NL372" s="92" t="s">
        <v>946</v>
      </c>
      <c r="NM372" s="91" t="s">
        <v>1008</v>
      </c>
      <c r="NU372" t="s">
        <v>536</v>
      </c>
      <c r="NV372" t="s">
        <v>518</v>
      </c>
      <c r="NW372">
        <v>469786.76</v>
      </c>
      <c r="NX372" s="79" t="s">
        <v>480</v>
      </c>
      <c r="NY372" s="79" t="s">
        <v>480</v>
      </c>
      <c r="NZ372" s="93"/>
      <c r="OB372">
        <v>3</v>
      </c>
      <c r="OU372" t="s">
        <v>1043</v>
      </c>
      <c r="OV372" s="3" t="s">
        <v>1044</v>
      </c>
      <c r="OX372">
        <v>2006</v>
      </c>
      <c r="OY372">
        <v>2007</v>
      </c>
      <c r="PB372" t="s">
        <v>522</v>
      </c>
      <c r="PC372" s="50">
        <v>46105</v>
      </c>
    </row>
    <row r="373" spans="1:419" ht="15.75" thickBot="1">
      <c r="A373" t="s">
        <v>469</v>
      </c>
      <c r="B373" t="s">
        <v>1032</v>
      </c>
      <c r="C373" t="s">
        <v>863</v>
      </c>
      <c r="D373" s="4" t="s">
        <v>950</v>
      </c>
      <c r="E373" t="s">
        <v>1033</v>
      </c>
      <c r="F373" s="89" t="s">
        <v>952</v>
      </c>
      <c r="G373" s="78" t="s">
        <v>475</v>
      </c>
      <c r="H373" s="78" t="s">
        <v>476</v>
      </c>
      <c r="I373">
        <v>7.25</v>
      </c>
      <c r="J373">
        <v>3.4166666669999999</v>
      </c>
      <c r="K373" s="78">
        <v>1000</v>
      </c>
      <c r="AV373" t="s">
        <v>1034</v>
      </c>
      <c r="AW373">
        <v>3240</v>
      </c>
      <c r="AX373">
        <v>1.2E-2</v>
      </c>
      <c r="AY373">
        <v>1</v>
      </c>
      <c r="BA373">
        <v>2006</v>
      </c>
      <c r="BB373">
        <v>2007</v>
      </c>
      <c r="BD373" t="s">
        <v>1048</v>
      </c>
      <c r="BE373" t="s">
        <v>483</v>
      </c>
      <c r="BF373" s="69" t="s">
        <v>484</v>
      </c>
      <c r="BG373" t="s">
        <v>1038</v>
      </c>
      <c r="BH373" t="s">
        <v>1049</v>
      </c>
      <c r="BI373" s="78" t="s">
        <v>486</v>
      </c>
      <c r="BJ373">
        <v>20000</v>
      </c>
      <c r="EG373" s="9"/>
      <c r="EH373" s="9"/>
      <c r="EI373" s="9"/>
      <c r="EJ373" s="9"/>
      <c r="EK373" s="9"/>
      <c r="EL373" s="9"/>
      <c r="EM373" s="9"/>
      <c r="EN373" s="9"/>
      <c r="EO373" s="9"/>
      <c r="EP373" s="9"/>
      <c r="EQ373" s="9"/>
      <c r="ER373" s="9"/>
      <c r="ES373" s="9"/>
      <c r="ET373" s="9"/>
      <c r="EU373" s="9"/>
      <c r="EV373" s="9"/>
      <c r="EW373" s="9"/>
      <c r="EX373" s="9"/>
      <c r="EY373" s="9"/>
      <c r="EZ373" s="9"/>
      <c r="FA373" s="9"/>
      <c r="FB373" s="9"/>
      <c r="FC373" s="9"/>
      <c r="FD373" s="9"/>
      <c r="FE373" s="9"/>
      <c r="FF373" s="9"/>
      <c r="FG373" s="9"/>
      <c r="FH373" s="9"/>
      <c r="FI373" s="9"/>
      <c r="FJ373" s="9"/>
      <c r="FK373" s="9"/>
      <c r="FL373" s="9"/>
      <c r="FM373" s="9"/>
      <c r="FN373" s="9"/>
      <c r="FO373" s="9"/>
      <c r="FP373" s="9"/>
      <c r="FQ373" s="9"/>
      <c r="FR373" s="9"/>
      <c r="FS373" s="9"/>
      <c r="FT373" s="9"/>
      <c r="FU373" s="9"/>
      <c r="FV373" s="9"/>
      <c r="FW373" s="9"/>
      <c r="FX373" s="9"/>
      <c r="FY373" s="9"/>
      <c r="FZ373" s="9"/>
      <c r="GA373" s="9"/>
      <c r="GB373" s="9"/>
      <c r="GC373" s="9"/>
      <c r="GD373" s="9"/>
      <c r="GE373" s="9"/>
      <c r="GF373" s="9"/>
      <c r="GG373" s="9"/>
      <c r="GH373" s="9"/>
      <c r="GI373" s="9"/>
      <c r="GJ373" s="9"/>
      <c r="GK373" s="9"/>
      <c r="GL373" s="9"/>
      <c r="GM373" s="9"/>
      <c r="GN373" s="9"/>
      <c r="GO373" s="9"/>
      <c r="GP373" s="9"/>
      <c r="GQ373" s="9"/>
      <c r="GR373" s="9"/>
      <c r="GS373" s="9"/>
      <c r="GT373" s="9"/>
      <c r="GU373" s="9"/>
      <c r="GV373" s="9"/>
      <c r="GW373" s="9"/>
      <c r="GX373" s="9"/>
      <c r="GY373" s="9"/>
      <c r="GZ373" s="9"/>
      <c r="HA373" s="9"/>
      <c r="HB373" s="9"/>
      <c r="HC373" s="9"/>
      <c r="HD373" s="9"/>
      <c r="HE373" s="9"/>
      <c r="HF373" s="9"/>
      <c r="HG373" s="9"/>
      <c r="HH373" s="9"/>
      <c r="HI373" s="9"/>
      <c r="HJ373" s="9"/>
      <c r="HT373" s="90">
        <v>38838</v>
      </c>
      <c r="HV373" s="50"/>
      <c r="HW373" s="50"/>
      <c r="IH373" t="s">
        <v>1048</v>
      </c>
      <c r="II373" t="s">
        <v>492</v>
      </c>
      <c r="IJ373" s="17"/>
      <c r="IN373" s="78"/>
      <c r="JJ373" t="s">
        <v>1048</v>
      </c>
      <c r="JK373" s="75" t="s">
        <v>682</v>
      </c>
      <c r="MY373" t="s">
        <v>1039</v>
      </c>
      <c r="MZ373">
        <v>120</v>
      </c>
      <c r="NA373" t="s">
        <v>1050</v>
      </c>
      <c r="NB373" t="s">
        <v>1038</v>
      </c>
      <c r="NJ373" t="s">
        <v>1042</v>
      </c>
      <c r="NL373" s="92" t="s">
        <v>946</v>
      </c>
      <c r="NM373" s="91" t="s">
        <v>1008</v>
      </c>
      <c r="NU373" t="s">
        <v>536</v>
      </c>
      <c r="NV373" t="s">
        <v>518</v>
      </c>
      <c r="NW373">
        <v>255239.79</v>
      </c>
      <c r="NX373" s="79" t="s">
        <v>480</v>
      </c>
      <c r="NY373" s="79" t="s">
        <v>480</v>
      </c>
      <c r="NZ373" s="93"/>
      <c r="OB373">
        <v>3</v>
      </c>
      <c r="OU373" t="s">
        <v>1043</v>
      </c>
      <c r="OV373" s="3" t="s">
        <v>1044</v>
      </c>
      <c r="OX373">
        <v>2006</v>
      </c>
      <c r="OY373">
        <v>2007</v>
      </c>
      <c r="PB373" t="s">
        <v>522</v>
      </c>
      <c r="PC373" s="50">
        <v>46105</v>
      </c>
    </row>
    <row r="374" spans="1:419" ht="15.75" thickBot="1">
      <c r="A374" t="s">
        <v>469</v>
      </c>
      <c r="B374" t="s">
        <v>1032</v>
      </c>
      <c r="C374" t="s">
        <v>863</v>
      </c>
      <c r="D374" s="4" t="s">
        <v>950</v>
      </c>
      <c r="E374" t="s">
        <v>1033</v>
      </c>
      <c r="F374" s="89" t="s">
        <v>952</v>
      </c>
      <c r="G374" s="78" t="s">
        <v>475</v>
      </c>
      <c r="H374" s="78" t="s">
        <v>476</v>
      </c>
      <c r="I374">
        <v>7.25</v>
      </c>
      <c r="J374">
        <v>3.4166666669999999</v>
      </c>
      <c r="K374" s="78">
        <v>1000</v>
      </c>
      <c r="AV374" t="s">
        <v>1034</v>
      </c>
      <c r="AW374">
        <v>3240</v>
      </c>
      <c r="AX374">
        <v>1.2E-2</v>
      </c>
      <c r="AY374">
        <v>1</v>
      </c>
      <c r="BA374">
        <v>2006</v>
      </c>
      <c r="BB374">
        <v>2007</v>
      </c>
      <c r="BD374" t="s">
        <v>1051</v>
      </c>
      <c r="BE374" t="s">
        <v>593</v>
      </c>
      <c r="BF374" s="69" t="s">
        <v>484</v>
      </c>
      <c r="BG374" t="s">
        <v>1038</v>
      </c>
      <c r="BH374" t="s">
        <v>866</v>
      </c>
      <c r="BI374" s="78" t="s">
        <v>486</v>
      </c>
      <c r="BJ374">
        <v>20000</v>
      </c>
      <c r="EG374" s="9"/>
      <c r="EH374" s="9"/>
      <c r="EI374" s="9"/>
      <c r="EJ374" s="9"/>
      <c r="EK374" s="9"/>
      <c r="EL374" s="9"/>
      <c r="EM374" s="9"/>
      <c r="EN374" s="9"/>
      <c r="EO374" s="9"/>
      <c r="EP374" s="9"/>
      <c r="EQ374" s="9"/>
      <c r="ER374" s="9"/>
      <c r="ES374" s="9"/>
      <c r="ET374" s="9"/>
      <c r="EU374" s="9"/>
      <c r="EV374" s="9"/>
      <c r="EW374" s="9"/>
      <c r="EX374" s="9"/>
      <c r="EY374" s="9"/>
      <c r="EZ374" s="9"/>
      <c r="FA374" s="9"/>
      <c r="FB374" s="9"/>
      <c r="FC374" s="9"/>
      <c r="FD374" s="9"/>
      <c r="FE374" s="9"/>
      <c r="FF374" s="9"/>
      <c r="FG374" s="9"/>
      <c r="FH374" s="9"/>
      <c r="FI374" s="9"/>
      <c r="FJ374" s="9"/>
      <c r="FK374" s="9"/>
      <c r="FL374" s="9"/>
      <c r="FM374" s="9"/>
      <c r="FN374" s="9"/>
      <c r="FO374" s="9"/>
      <c r="FP374" s="9"/>
      <c r="FQ374" s="9"/>
      <c r="FR374" s="9"/>
      <c r="FS374" s="9"/>
      <c r="FT374" s="9"/>
      <c r="FU374" s="9"/>
      <c r="FV374" s="9"/>
      <c r="FW374" s="9"/>
      <c r="FX374" s="9"/>
      <c r="FY374" s="9"/>
      <c r="FZ374" s="9"/>
      <c r="GA374" s="9"/>
      <c r="GB374" s="9"/>
      <c r="GC374" s="9"/>
      <c r="GD374" s="9"/>
      <c r="GE374" s="9"/>
      <c r="GF374" s="9"/>
      <c r="GG374" s="9"/>
      <c r="GH374" s="9"/>
      <c r="GI374" s="9"/>
      <c r="GJ374" s="9"/>
      <c r="GK374" s="9"/>
      <c r="GL374" s="9"/>
      <c r="GM374" s="9"/>
      <c r="GN374" s="9"/>
      <c r="GO374" s="9"/>
      <c r="GP374" s="9"/>
      <c r="GQ374" s="9"/>
      <c r="GR374" s="9"/>
      <c r="GS374" s="9"/>
      <c r="GT374" s="9"/>
      <c r="GU374" s="9"/>
      <c r="GV374" s="9"/>
      <c r="GW374" s="9"/>
      <c r="GX374" s="9"/>
      <c r="GY374" s="9"/>
      <c r="GZ374" s="9"/>
      <c r="HA374" s="9"/>
      <c r="HB374" s="9"/>
      <c r="HC374" s="9"/>
      <c r="HD374" s="9"/>
      <c r="HE374" s="9"/>
      <c r="HF374" s="9"/>
      <c r="HG374" s="9"/>
      <c r="HH374" s="9"/>
      <c r="HI374" s="9"/>
      <c r="HJ374" s="9"/>
      <c r="HT374" s="90">
        <v>38838</v>
      </c>
      <c r="HV374" s="50"/>
      <c r="HW374" s="50"/>
      <c r="IH374" t="s">
        <v>1051</v>
      </c>
      <c r="II374" t="s">
        <v>492</v>
      </c>
      <c r="IJ374" s="17"/>
      <c r="JJ374" t="s">
        <v>1051</v>
      </c>
      <c r="JK374" s="75" t="s">
        <v>595</v>
      </c>
      <c r="JV374" s="8" t="s">
        <v>595</v>
      </c>
      <c r="JW374" s="8" t="s">
        <v>1052</v>
      </c>
      <c r="JX374" t="s">
        <v>508</v>
      </c>
      <c r="JY374">
        <v>40000</v>
      </c>
      <c r="MY374" t="s">
        <v>1039</v>
      </c>
      <c r="MZ374">
        <v>120</v>
      </c>
      <c r="NA374" t="s">
        <v>1050</v>
      </c>
      <c r="NB374" t="s">
        <v>1038</v>
      </c>
      <c r="NJ374" t="s">
        <v>1042</v>
      </c>
      <c r="NL374" s="92" t="s">
        <v>946</v>
      </c>
      <c r="NM374" s="91" t="s">
        <v>1008</v>
      </c>
      <c r="NU374" t="s">
        <v>566</v>
      </c>
      <c r="NV374" t="s">
        <v>518</v>
      </c>
      <c r="NW374">
        <v>508799.08999999997</v>
      </c>
      <c r="NX374" s="79" t="s">
        <v>480</v>
      </c>
      <c r="NY374" s="79" t="s">
        <v>480</v>
      </c>
      <c r="NZ374" s="93"/>
      <c r="OB374">
        <v>3</v>
      </c>
      <c r="OU374" t="s">
        <v>1053</v>
      </c>
      <c r="OV374" s="3" t="s">
        <v>1044</v>
      </c>
      <c r="OX374">
        <v>2006</v>
      </c>
      <c r="OY374">
        <v>2007</v>
      </c>
      <c r="PB374" t="s">
        <v>522</v>
      </c>
      <c r="PC374" s="50">
        <v>46105</v>
      </c>
    </row>
    <row r="375" spans="1:419" ht="15.75" thickBot="1">
      <c r="A375" t="s">
        <v>469</v>
      </c>
      <c r="B375" t="s">
        <v>1032</v>
      </c>
      <c r="C375" t="s">
        <v>863</v>
      </c>
      <c r="D375" s="4" t="s">
        <v>950</v>
      </c>
      <c r="E375" t="s">
        <v>1033</v>
      </c>
      <c r="F375" s="89" t="s">
        <v>952</v>
      </c>
      <c r="G375" s="78" t="s">
        <v>475</v>
      </c>
      <c r="H375" s="78" t="s">
        <v>476</v>
      </c>
      <c r="I375">
        <v>7.25</v>
      </c>
      <c r="J375">
        <v>3.4166666669999999</v>
      </c>
      <c r="K375" s="78">
        <v>1000</v>
      </c>
      <c r="AV375" t="s">
        <v>1034</v>
      </c>
      <c r="AW375">
        <v>3240</v>
      </c>
      <c r="AX375">
        <v>1.2E-2</v>
      </c>
      <c r="AY375">
        <v>1</v>
      </c>
      <c r="BA375">
        <v>2006</v>
      </c>
      <c r="BB375">
        <v>2007</v>
      </c>
      <c r="BD375" t="s">
        <v>1054</v>
      </c>
      <c r="BE375" t="s">
        <v>602</v>
      </c>
      <c r="BF375" s="69" t="s">
        <v>484</v>
      </c>
      <c r="BG375" t="s">
        <v>1038</v>
      </c>
      <c r="BH375" t="s">
        <v>866</v>
      </c>
      <c r="BI375" s="78" t="s">
        <v>486</v>
      </c>
      <c r="BJ375">
        <v>20000</v>
      </c>
      <c r="EG375" s="9"/>
      <c r="EH375" s="9"/>
      <c r="EI375" s="9"/>
      <c r="EJ375" s="9"/>
      <c r="EK375" s="9"/>
      <c r="EL375" s="9"/>
      <c r="EM375" s="9"/>
      <c r="EN375" s="9"/>
      <c r="EO375" s="9"/>
      <c r="EP375" s="9"/>
      <c r="EQ375" s="9"/>
      <c r="ER375" s="9"/>
      <c r="ES375" s="9"/>
      <c r="ET375" s="9"/>
      <c r="EU375" s="9"/>
      <c r="EV375" s="9"/>
      <c r="EW375" s="9"/>
      <c r="EX375" s="9"/>
      <c r="EY375" s="9"/>
      <c r="EZ375" s="9"/>
      <c r="FA375" s="9"/>
      <c r="FB375" s="9"/>
      <c r="FC375" s="9"/>
      <c r="FD375" s="9"/>
      <c r="FE375" s="9"/>
      <c r="FF375" s="9"/>
      <c r="FG375" s="9"/>
      <c r="FH375" s="9"/>
      <c r="FI375" s="9"/>
      <c r="FJ375" s="9"/>
      <c r="FK375" s="9"/>
      <c r="FL375" s="9"/>
      <c r="FM375" s="9"/>
      <c r="FN375" s="9"/>
      <c r="FO375" s="9"/>
      <c r="FP375" s="9"/>
      <c r="FQ375" s="9"/>
      <c r="FR375" s="9"/>
      <c r="FS375" s="9"/>
      <c r="FT375" s="9"/>
      <c r="FU375" s="9"/>
      <c r="FV375" s="9"/>
      <c r="FW375" s="9"/>
      <c r="FX375" s="9"/>
      <c r="FY375" s="9"/>
      <c r="FZ375" s="9"/>
      <c r="GA375" s="9"/>
      <c r="GB375" s="9"/>
      <c r="GC375" s="9"/>
      <c r="GD375" s="9"/>
      <c r="GE375" s="9"/>
      <c r="GF375" s="9"/>
      <c r="GG375" s="9"/>
      <c r="GH375" s="9"/>
      <c r="GI375" s="9"/>
      <c r="GJ375" s="9"/>
      <c r="GK375" s="9"/>
      <c r="GL375" s="9"/>
      <c r="GM375" s="9"/>
      <c r="GN375" s="9"/>
      <c r="GO375" s="9"/>
      <c r="GP375" s="9"/>
      <c r="GQ375" s="9"/>
      <c r="GR375" s="9"/>
      <c r="GS375" s="9"/>
      <c r="GT375" s="9"/>
      <c r="GU375" s="9"/>
      <c r="GV375" s="9"/>
      <c r="GW375" s="9"/>
      <c r="GX375" s="9"/>
      <c r="GY375" s="9"/>
      <c r="GZ375" s="9"/>
      <c r="HA375" s="9"/>
      <c r="HB375" s="9"/>
      <c r="HC375" s="9"/>
      <c r="HD375" s="9"/>
      <c r="HE375" s="9"/>
      <c r="HF375" s="9"/>
      <c r="HG375" s="9"/>
      <c r="HH375" s="9"/>
      <c r="HI375" s="9"/>
      <c r="HJ375" s="9"/>
      <c r="HT375" s="90">
        <v>38838</v>
      </c>
      <c r="HV375" s="50"/>
      <c r="HW375" s="50"/>
      <c r="IH375" t="s">
        <v>1054</v>
      </c>
      <c r="II375" t="s">
        <v>492</v>
      </c>
      <c r="IJ375" s="17"/>
      <c r="JJ375" t="s">
        <v>1054</v>
      </c>
      <c r="JK375" s="75" t="s">
        <v>595</v>
      </c>
      <c r="JV375" s="8" t="s">
        <v>595</v>
      </c>
      <c r="JW375" s="8" t="s">
        <v>1052</v>
      </c>
      <c r="JX375" t="s">
        <v>508</v>
      </c>
      <c r="JY375">
        <v>80000</v>
      </c>
      <c r="MY375" t="s">
        <v>1039</v>
      </c>
      <c r="MZ375">
        <v>120</v>
      </c>
      <c r="NA375" t="s">
        <v>1050</v>
      </c>
      <c r="NB375" t="s">
        <v>1038</v>
      </c>
      <c r="NJ375" t="s">
        <v>1042</v>
      </c>
      <c r="NL375" s="92" t="s">
        <v>946</v>
      </c>
      <c r="NM375" s="91" t="s">
        <v>1008</v>
      </c>
      <c r="NU375" t="s">
        <v>572</v>
      </c>
      <c r="NV375" t="s">
        <v>518</v>
      </c>
      <c r="NW375">
        <v>453134.65</v>
      </c>
      <c r="NX375" s="79" t="s">
        <v>480</v>
      </c>
      <c r="NY375" s="79" t="s">
        <v>480</v>
      </c>
      <c r="NZ375" s="93"/>
      <c r="OB375">
        <v>3</v>
      </c>
      <c r="OU375" t="s">
        <v>1053</v>
      </c>
      <c r="OV375" s="3" t="s">
        <v>1044</v>
      </c>
      <c r="OX375">
        <v>2006</v>
      </c>
      <c r="OY375">
        <v>2007</v>
      </c>
      <c r="PB375" t="s">
        <v>522</v>
      </c>
      <c r="PC375" s="50">
        <v>46105</v>
      </c>
    </row>
    <row r="376" spans="1:419" ht="15.75" thickBot="1">
      <c r="A376" t="s">
        <v>469</v>
      </c>
      <c r="B376" t="s">
        <v>1032</v>
      </c>
      <c r="C376" t="s">
        <v>863</v>
      </c>
      <c r="D376" s="4" t="s">
        <v>950</v>
      </c>
      <c r="E376" t="s">
        <v>1033</v>
      </c>
      <c r="F376" s="89" t="s">
        <v>952</v>
      </c>
      <c r="G376" s="78" t="s">
        <v>475</v>
      </c>
      <c r="H376" s="78" t="s">
        <v>476</v>
      </c>
      <c r="I376">
        <v>7.25</v>
      </c>
      <c r="J376">
        <v>3.4166666669999999</v>
      </c>
      <c r="K376" s="78">
        <v>1000</v>
      </c>
      <c r="AV376" t="s">
        <v>1034</v>
      </c>
      <c r="AW376">
        <v>3240</v>
      </c>
      <c r="AX376">
        <v>1.2E-2</v>
      </c>
      <c r="AY376">
        <v>1</v>
      </c>
      <c r="BA376">
        <v>2006</v>
      </c>
      <c r="BB376">
        <v>2007</v>
      </c>
      <c r="BD376" t="s">
        <v>1055</v>
      </c>
      <c r="BE376" t="s">
        <v>621</v>
      </c>
      <c r="BF376" s="69" t="s">
        <v>484</v>
      </c>
      <c r="BG376" t="s">
        <v>1036</v>
      </c>
      <c r="BH376" t="s">
        <v>1037</v>
      </c>
      <c r="BI376" s="78" t="s">
        <v>486</v>
      </c>
      <c r="BJ376">
        <v>1330</v>
      </c>
      <c r="EG376" s="9"/>
      <c r="EH376" s="9"/>
      <c r="EI376" s="9"/>
      <c r="EJ376" s="9"/>
      <c r="EK376" s="9"/>
      <c r="EL376" s="9"/>
      <c r="EM376" s="9"/>
      <c r="EN376" s="9"/>
      <c r="EO376" s="9"/>
      <c r="EP376" s="9"/>
      <c r="EQ376" s="9"/>
      <c r="ER376" s="9"/>
      <c r="ES376" s="9"/>
      <c r="ET376" s="9"/>
      <c r="EU376" s="9"/>
      <c r="EV376" s="9"/>
      <c r="EW376" s="9"/>
      <c r="EX376" s="9"/>
      <c r="EY376" s="9"/>
      <c r="EZ376" s="9"/>
      <c r="FA376" s="9"/>
      <c r="FB376" s="9"/>
      <c r="FC376" s="9"/>
      <c r="FD376" s="9"/>
      <c r="FE376" s="9"/>
      <c r="FF376" s="9"/>
      <c r="FG376" s="9"/>
      <c r="FH376" s="9"/>
      <c r="FI376" s="9"/>
      <c r="FJ376" s="9"/>
      <c r="FK376" s="9"/>
      <c r="FL376" s="9"/>
      <c r="FM376" s="9"/>
      <c r="FN376" s="9"/>
      <c r="FO376" s="9"/>
      <c r="FP376" s="9"/>
      <c r="FQ376" s="9"/>
      <c r="FR376" s="9"/>
      <c r="FS376" s="9"/>
      <c r="FT376" s="9"/>
      <c r="FU376" s="9"/>
      <c r="FV376" s="9"/>
      <c r="FW376" s="9"/>
      <c r="FX376" s="9"/>
      <c r="FY376" s="9"/>
      <c r="FZ376" s="9"/>
      <c r="GA376" s="9"/>
      <c r="GB376" s="9"/>
      <c r="GC376" s="9"/>
      <c r="GD376" s="9"/>
      <c r="GE376" s="9"/>
      <c r="GF376" s="9"/>
      <c r="GG376" s="9"/>
      <c r="GH376" s="9"/>
      <c r="GI376" s="9"/>
      <c r="GJ376" s="9"/>
      <c r="GK376" s="9"/>
      <c r="GL376" s="9"/>
      <c r="GM376" s="9"/>
      <c r="GN376" s="9"/>
      <c r="GO376" s="9"/>
      <c r="GP376" s="9"/>
      <c r="GQ376" s="9"/>
      <c r="GR376" s="9"/>
      <c r="GS376" s="9"/>
      <c r="GT376" s="9"/>
      <c r="GU376" s="9"/>
      <c r="GV376" s="9"/>
      <c r="GW376" s="9"/>
      <c r="GX376" s="9"/>
      <c r="GY376" s="9"/>
      <c r="GZ376" s="9"/>
      <c r="HA376" s="9"/>
      <c r="HB376" s="9"/>
      <c r="HC376" s="9"/>
      <c r="HD376" s="9"/>
      <c r="HE376" s="9"/>
      <c r="HF376" s="9"/>
      <c r="HG376" s="9"/>
      <c r="HH376" s="9"/>
      <c r="HI376" s="9"/>
      <c r="HJ376" s="9"/>
      <c r="HT376" s="90">
        <v>38838</v>
      </c>
      <c r="HV376" s="50"/>
      <c r="HW376" s="50"/>
      <c r="IH376" t="s">
        <v>1055</v>
      </c>
      <c r="II376" t="s">
        <v>492</v>
      </c>
      <c r="IJ376" s="17"/>
      <c r="JJ376" t="s">
        <v>1055</v>
      </c>
      <c r="JK376" s="75" t="s">
        <v>595</v>
      </c>
      <c r="JV376" s="8" t="s">
        <v>595</v>
      </c>
      <c r="JW376" s="8" t="s">
        <v>1052</v>
      </c>
      <c r="JX376" t="s">
        <v>508</v>
      </c>
      <c r="JY376">
        <v>40000</v>
      </c>
      <c r="MY376" t="s">
        <v>1039</v>
      </c>
      <c r="MZ376">
        <v>120</v>
      </c>
      <c r="NA376" t="s">
        <v>1046</v>
      </c>
      <c r="NB376" t="s">
        <v>1041</v>
      </c>
      <c r="NC376" t="s">
        <v>1047</v>
      </c>
      <c r="NJ376" t="s">
        <v>1042</v>
      </c>
      <c r="NL376" s="92" t="s">
        <v>946</v>
      </c>
      <c r="NM376" s="91" t="s">
        <v>1008</v>
      </c>
      <c r="NU376" t="s">
        <v>566</v>
      </c>
      <c r="NV376" t="s">
        <v>518</v>
      </c>
      <c r="NW376" s="93">
        <v>735248.37</v>
      </c>
      <c r="NX376" s="79" t="s">
        <v>480</v>
      </c>
      <c r="NY376" s="79" t="s">
        <v>480</v>
      </c>
      <c r="NZ376" s="93"/>
      <c r="OB376">
        <v>3</v>
      </c>
      <c r="OU376" t="s">
        <v>1056</v>
      </c>
      <c r="OV376" s="3" t="s">
        <v>1044</v>
      </c>
      <c r="OX376">
        <v>2006</v>
      </c>
      <c r="OY376">
        <v>2007</v>
      </c>
      <c r="PB376" t="s">
        <v>522</v>
      </c>
      <c r="PC376" s="50">
        <v>46105</v>
      </c>
    </row>
    <row r="377" spans="1:419" ht="15.75" thickBot="1">
      <c r="A377" t="s">
        <v>469</v>
      </c>
      <c r="B377" t="s">
        <v>1032</v>
      </c>
      <c r="C377" t="s">
        <v>863</v>
      </c>
      <c r="D377" s="4" t="s">
        <v>950</v>
      </c>
      <c r="E377" t="s">
        <v>1033</v>
      </c>
      <c r="F377" s="89" t="s">
        <v>952</v>
      </c>
      <c r="G377" s="78" t="s">
        <v>475</v>
      </c>
      <c r="H377" s="78" t="s">
        <v>476</v>
      </c>
      <c r="I377">
        <v>7.25</v>
      </c>
      <c r="J377">
        <v>3.4166666669999999</v>
      </c>
      <c r="K377" s="78">
        <v>1000</v>
      </c>
      <c r="AV377" t="s">
        <v>1034</v>
      </c>
      <c r="AW377">
        <v>3240</v>
      </c>
      <c r="AX377">
        <v>1.2E-2</v>
      </c>
      <c r="AY377">
        <v>1</v>
      </c>
      <c r="BA377">
        <v>2006</v>
      </c>
      <c r="BB377">
        <v>2007</v>
      </c>
      <c r="BD377" t="s">
        <v>1057</v>
      </c>
      <c r="BE377" t="s">
        <v>630</v>
      </c>
      <c r="BF377" s="69" t="s">
        <v>484</v>
      </c>
      <c r="BG377" t="s">
        <v>1036</v>
      </c>
      <c r="BH377" t="s">
        <v>1037</v>
      </c>
      <c r="BI377" s="78" t="s">
        <v>486</v>
      </c>
      <c r="BJ377">
        <v>1330</v>
      </c>
      <c r="EG377" s="9"/>
      <c r="EH377" s="9"/>
      <c r="EI377" s="9"/>
      <c r="EJ377" s="9"/>
      <c r="EK377" s="9"/>
      <c r="EL377" s="9"/>
      <c r="EM377" s="9"/>
      <c r="EN377" s="9"/>
      <c r="EO377" s="9"/>
      <c r="EP377" s="9"/>
      <c r="EQ377" s="9"/>
      <c r="ER377" s="9"/>
      <c r="ES377" s="9"/>
      <c r="ET377" s="9"/>
      <c r="EU377" s="9"/>
      <c r="EV377" s="9"/>
      <c r="EW377" s="9"/>
      <c r="EX377" s="9"/>
      <c r="EY377" s="9"/>
      <c r="EZ377" s="9"/>
      <c r="FA377" s="9"/>
      <c r="FB377" s="9"/>
      <c r="FC377" s="9"/>
      <c r="FD377" s="9"/>
      <c r="FE377" s="9"/>
      <c r="FF377" s="9"/>
      <c r="FG377" s="9"/>
      <c r="FH377" s="9"/>
      <c r="FI377" s="9"/>
      <c r="FJ377" s="9"/>
      <c r="FK377" s="9"/>
      <c r="FL377" s="9"/>
      <c r="FM377" s="9"/>
      <c r="FN377" s="9"/>
      <c r="FO377" s="9"/>
      <c r="FP377" s="9"/>
      <c r="FQ377" s="9"/>
      <c r="FR377" s="9"/>
      <c r="FS377" s="9"/>
      <c r="FT377" s="9"/>
      <c r="FU377" s="9"/>
      <c r="FV377" s="9"/>
      <c r="FW377" s="9"/>
      <c r="FX377" s="9"/>
      <c r="FY377" s="9"/>
      <c r="FZ377" s="9"/>
      <c r="GA377" s="9"/>
      <c r="GB377" s="9"/>
      <c r="GC377" s="9"/>
      <c r="GD377" s="9"/>
      <c r="GE377" s="9"/>
      <c r="GF377" s="9"/>
      <c r="GG377" s="9"/>
      <c r="GH377" s="9"/>
      <c r="GI377" s="9"/>
      <c r="GJ377" s="9"/>
      <c r="GK377" s="9"/>
      <c r="GL377" s="9"/>
      <c r="GM377" s="9"/>
      <c r="GN377" s="9"/>
      <c r="GO377" s="9"/>
      <c r="GP377" s="9"/>
      <c r="GQ377" s="9"/>
      <c r="GR377" s="9"/>
      <c r="GS377" s="9"/>
      <c r="GT377" s="9"/>
      <c r="GU377" s="9"/>
      <c r="GV377" s="9"/>
      <c r="GW377" s="9"/>
      <c r="GX377" s="9"/>
      <c r="GY377" s="9"/>
      <c r="GZ377" s="9"/>
      <c r="HA377" s="9"/>
      <c r="HB377" s="9"/>
      <c r="HC377" s="9"/>
      <c r="HD377" s="9"/>
      <c r="HE377" s="9"/>
      <c r="HF377" s="9"/>
      <c r="HG377" s="9"/>
      <c r="HH377" s="9"/>
      <c r="HI377" s="9"/>
      <c r="HJ377" s="9"/>
      <c r="HT377" s="90">
        <v>38838</v>
      </c>
      <c r="HV377" s="50"/>
      <c r="HW377" s="50"/>
      <c r="IH377" t="s">
        <v>1057</v>
      </c>
      <c r="II377" t="s">
        <v>492</v>
      </c>
      <c r="IJ377" s="17"/>
      <c r="JJ377" t="s">
        <v>1057</v>
      </c>
      <c r="JK377" s="75" t="s">
        <v>595</v>
      </c>
      <c r="JV377" s="8" t="s">
        <v>595</v>
      </c>
      <c r="JW377" s="8" t="s">
        <v>1052</v>
      </c>
      <c r="JX377" t="s">
        <v>508</v>
      </c>
      <c r="JY377">
        <v>80000</v>
      </c>
      <c r="MY377" t="s">
        <v>1039</v>
      </c>
      <c r="MZ377">
        <v>120</v>
      </c>
      <c r="NA377" t="s">
        <v>1046</v>
      </c>
      <c r="NB377" t="s">
        <v>1041</v>
      </c>
      <c r="NC377" t="s">
        <v>1047</v>
      </c>
      <c r="NJ377" t="s">
        <v>1042</v>
      </c>
      <c r="NL377" s="92" t="s">
        <v>946</v>
      </c>
      <c r="NM377" s="91" t="s">
        <v>1008</v>
      </c>
      <c r="NU377" t="s">
        <v>572</v>
      </c>
      <c r="NV377" t="s">
        <v>518</v>
      </c>
      <c r="NW377" s="93">
        <v>931907.17</v>
      </c>
      <c r="NX377" s="79" t="s">
        <v>480</v>
      </c>
      <c r="NY377" s="79" t="s">
        <v>480</v>
      </c>
      <c r="NZ377" s="93"/>
      <c r="OB377">
        <v>3</v>
      </c>
      <c r="OU377" t="s">
        <v>1056</v>
      </c>
      <c r="OV377" s="3" t="s">
        <v>1044</v>
      </c>
      <c r="OX377">
        <v>2006</v>
      </c>
      <c r="OY377">
        <v>2007</v>
      </c>
      <c r="PB377" t="s">
        <v>522</v>
      </c>
      <c r="PC377" s="50">
        <v>46105</v>
      </c>
    </row>
    <row r="378" spans="1:419" ht="15.75" thickBot="1">
      <c r="A378" t="s">
        <v>469</v>
      </c>
      <c r="B378" t="s">
        <v>1032</v>
      </c>
      <c r="C378" t="s">
        <v>863</v>
      </c>
      <c r="D378" s="4" t="s">
        <v>950</v>
      </c>
      <c r="E378" t="s">
        <v>1033</v>
      </c>
      <c r="F378" s="89" t="s">
        <v>952</v>
      </c>
      <c r="G378" s="78" t="s">
        <v>475</v>
      </c>
      <c r="H378" s="78" t="s">
        <v>476</v>
      </c>
      <c r="I378">
        <v>7.25</v>
      </c>
      <c r="J378">
        <v>3.4166666669999999</v>
      </c>
      <c r="K378" s="78">
        <v>1000</v>
      </c>
      <c r="AV378" t="s">
        <v>1034</v>
      </c>
      <c r="AW378">
        <v>3240</v>
      </c>
      <c r="AX378">
        <v>1.2E-2</v>
      </c>
      <c r="AY378">
        <v>1</v>
      </c>
      <c r="BA378">
        <v>2006</v>
      </c>
      <c r="BB378">
        <v>2007</v>
      </c>
      <c r="BD378" t="s">
        <v>1058</v>
      </c>
      <c r="BE378" t="s">
        <v>566</v>
      </c>
      <c r="BF378" s="69" t="s">
        <v>484</v>
      </c>
      <c r="BG378" t="s">
        <v>1036</v>
      </c>
      <c r="BH378" t="s">
        <v>1037</v>
      </c>
      <c r="BI378" s="78" t="s">
        <v>486</v>
      </c>
      <c r="BJ378">
        <v>1330</v>
      </c>
      <c r="BK378" t="s">
        <v>537</v>
      </c>
      <c r="BL378" t="s">
        <v>1038</v>
      </c>
      <c r="BM378" t="s">
        <v>866</v>
      </c>
      <c r="BN378" s="78" t="s">
        <v>486</v>
      </c>
      <c r="BO378">
        <v>20000</v>
      </c>
      <c r="EG378" s="9"/>
      <c r="EH378" s="9"/>
      <c r="EI378" s="9"/>
      <c r="EJ378" s="9"/>
      <c r="EK378" s="9"/>
      <c r="EL378" s="9"/>
      <c r="EM378" s="9"/>
      <c r="EN378" s="9"/>
      <c r="EO378" s="9"/>
      <c r="EP378" s="9"/>
      <c r="EQ378" s="9"/>
      <c r="ER378" s="9"/>
      <c r="ES378" s="9"/>
      <c r="ET378" s="9"/>
      <c r="EU378" s="9"/>
      <c r="EV378" s="9"/>
      <c r="EW378" s="9"/>
      <c r="EX378" s="9"/>
      <c r="EY378" s="9"/>
      <c r="EZ378" s="9"/>
      <c r="FA378" s="9"/>
      <c r="FB378" s="9"/>
      <c r="FC378" s="9"/>
      <c r="FD378" s="9"/>
      <c r="FE378" s="9"/>
      <c r="FF378" s="9"/>
      <c r="FG378" s="9"/>
      <c r="FH378" s="9"/>
      <c r="FI378" s="9"/>
      <c r="FJ378" s="9"/>
      <c r="FK378" s="9"/>
      <c r="FL378" s="9"/>
      <c r="FM378" s="9"/>
      <c r="FN378" s="9"/>
      <c r="FO378" s="9"/>
      <c r="FP378" s="9"/>
      <c r="FQ378" s="9"/>
      <c r="FR378" s="9"/>
      <c r="FS378" s="9"/>
      <c r="FT378" s="9"/>
      <c r="FU378" s="9"/>
      <c r="FV378" s="9"/>
      <c r="FW378" s="9"/>
      <c r="FX378" s="9"/>
      <c r="FY378" s="9"/>
      <c r="FZ378" s="9"/>
      <c r="GA378" s="9"/>
      <c r="GB378" s="9"/>
      <c r="GC378" s="9"/>
      <c r="GD378" s="9"/>
      <c r="GE378" s="9"/>
      <c r="GF378" s="9"/>
      <c r="GG378" s="9"/>
      <c r="GH378" s="9"/>
      <c r="GI378" s="9"/>
      <c r="GJ378" s="9"/>
      <c r="GK378" s="9"/>
      <c r="GL378" s="9"/>
      <c r="GM378" s="9"/>
      <c r="GN378" s="9"/>
      <c r="GO378" s="9"/>
      <c r="GP378" s="9"/>
      <c r="GQ378" s="9"/>
      <c r="GR378" s="9"/>
      <c r="GS378" s="9"/>
      <c r="GT378" s="9"/>
      <c r="GU378" s="9"/>
      <c r="GV378" s="9"/>
      <c r="GW378" s="9"/>
      <c r="GX378" s="9"/>
      <c r="GY378" s="9"/>
      <c r="GZ378" s="9"/>
      <c r="HA378" s="9"/>
      <c r="HB378" s="9"/>
      <c r="HC378" s="9"/>
      <c r="HD378" s="9"/>
      <c r="HE378" s="9"/>
      <c r="HF378" s="9"/>
      <c r="HG378" s="9"/>
      <c r="HH378" s="9"/>
      <c r="HI378" s="9"/>
      <c r="HJ378" s="9"/>
      <c r="HT378" s="90">
        <v>38838</v>
      </c>
      <c r="HV378" s="50"/>
      <c r="HW378" s="50"/>
      <c r="IH378" t="s">
        <v>1058</v>
      </c>
      <c r="II378" s="78" t="s">
        <v>882</v>
      </c>
      <c r="IJ378" s="17" t="s">
        <v>542</v>
      </c>
      <c r="IK378" t="s">
        <v>543</v>
      </c>
      <c r="IL378">
        <v>2006</v>
      </c>
      <c r="IN378" s="78" t="s">
        <v>480</v>
      </c>
      <c r="JJ378" t="s">
        <v>1058</v>
      </c>
      <c r="JK378" s="75" t="s">
        <v>595</v>
      </c>
      <c r="JV378" s="8" t="s">
        <v>595</v>
      </c>
      <c r="JW378" s="8" t="s">
        <v>1052</v>
      </c>
      <c r="JX378" t="s">
        <v>508</v>
      </c>
      <c r="JY378">
        <v>40000</v>
      </c>
      <c r="MY378" t="s">
        <v>1039</v>
      </c>
      <c r="MZ378">
        <v>120</v>
      </c>
      <c r="NA378" t="s">
        <v>1040</v>
      </c>
      <c r="NB378" t="s">
        <v>1038</v>
      </c>
      <c r="NC378" t="s">
        <v>1041</v>
      </c>
      <c r="ND378" t="s">
        <v>1047</v>
      </c>
      <c r="NJ378" t="s">
        <v>1042</v>
      </c>
      <c r="NL378" s="92" t="s">
        <v>946</v>
      </c>
      <c r="NM378" s="91" t="s">
        <v>1008</v>
      </c>
      <c r="NV378" t="s">
        <v>518</v>
      </c>
      <c r="NW378">
        <v>940163.19</v>
      </c>
      <c r="NX378" s="79" t="s">
        <v>480</v>
      </c>
      <c r="NY378" s="79" t="s">
        <v>480</v>
      </c>
      <c r="NZ378" s="93"/>
      <c r="OB378">
        <v>3</v>
      </c>
      <c r="OU378" t="s">
        <v>1059</v>
      </c>
      <c r="OV378" s="3" t="s">
        <v>1044</v>
      </c>
      <c r="OX378">
        <v>2006</v>
      </c>
      <c r="OY378">
        <v>2007</v>
      </c>
      <c r="PB378" t="s">
        <v>522</v>
      </c>
      <c r="PC378" s="50">
        <v>46105</v>
      </c>
    </row>
    <row r="379" spans="1:419" ht="15.75" thickBot="1">
      <c r="A379" t="s">
        <v>469</v>
      </c>
      <c r="B379" t="s">
        <v>1032</v>
      </c>
      <c r="C379" t="s">
        <v>863</v>
      </c>
      <c r="D379" s="4" t="s">
        <v>950</v>
      </c>
      <c r="E379" t="s">
        <v>1033</v>
      </c>
      <c r="F379" s="89" t="s">
        <v>952</v>
      </c>
      <c r="G379" s="78" t="s">
        <v>475</v>
      </c>
      <c r="H379" s="78" t="s">
        <v>476</v>
      </c>
      <c r="I379">
        <v>7.25</v>
      </c>
      <c r="J379">
        <v>3.4166666669999999</v>
      </c>
      <c r="K379" s="78">
        <v>1000</v>
      </c>
      <c r="AV379" t="s">
        <v>1034</v>
      </c>
      <c r="AW379">
        <v>3240</v>
      </c>
      <c r="AX379">
        <v>1.2E-2</v>
      </c>
      <c r="AY379">
        <v>1</v>
      </c>
      <c r="BA379">
        <v>2006</v>
      </c>
      <c r="BB379">
        <v>2007</v>
      </c>
      <c r="BD379" t="s">
        <v>1060</v>
      </c>
      <c r="BE379" t="s">
        <v>572</v>
      </c>
      <c r="BF379" s="69" t="s">
        <v>484</v>
      </c>
      <c r="BG379" t="s">
        <v>1036</v>
      </c>
      <c r="BH379" t="s">
        <v>1037</v>
      </c>
      <c r="BI379" s="78" t="s">
        <v>486</v>
      </c>
      <c r="BJ379">
        <v>1330</v>
      </c>
      <c r="BK379" t="s">
        <v>537</v>
      </c>
      <c r="BL379" t="s">
        <v>1038</v>
      </c>
      <c r="BM379" t="s">
        <v>866</v>
      </c>
      <c r="BN379" s="78" t="s">
        <v>486</v>
      </c>
      <c r="BO379">
        <v>20000</v>
      </c>
      <c r="EG379" s="9"/>
      <c r="EH379" s="9"/>
      <c r="EI379" s="9"/>
      <c r="EJ379" s="9"/>
      <c r="EK379" s="9"/>
      <c r="EL379" s="9"/>
      <c r="EM379" s="9"/>
      <c r="EN379" s="9"/>
      <c r="EO379" s="9"/>
      <c r="EP379" s="9"/>
      <c r="EQ379" s="9"/>
      <c r="ER379" s="9"/>
      <c r="ES379" s="9"/>
      <c r="ET379" s="9"/>
      <c r="EU379" s="9"/>
      <c r="EV379" s="9"/>
      <c r="EW379" s="9"/>
      <c r="EX379" s="9"/>
      <c r="EY379" s="9"/>
      <c r="EZ379" s="9"/>
      <c r="FA379" s="9"/>
      <c r="FB379" s="9"/>
      <c r="FC379" s="9"/>
      <c r="FD379" s="9"/>
      <c r="FE379" s="9"/>
      <c r="FF379" s="9"/>
      <c r="FG379" s="9"/>
      <c r="FH379" s="9"/>
      <c r="FI379" s="9"/>
      <c r="FJ379" s="9"/>
      <c r="FK379" s="9"/>
      <c r="FL379" s="9"/>
      <c r="FM379" s="9"/>
      <c r="FN379" s="9"/>
      <c r="FO379" s="9"/>
      <c r="FP379" s="9"/>
      <c r="FQ379" s="9"/>
      <c r="FR379" s="9"/>
      <c r="FS379" s="9"/>
      <c r="FT379" s="9"/>
      <c r="FU379" s="9"/>
      <c r="FV379" s="9"/>
      <c r="FW379" s="9"/>
      <c r="FX379" s="9"/>
      <c r="FY379" s="9"/>
      <c r="FZ379" s="9"/>
      <c r="GA379" s="9"/>
      <c r="GB379" s="9"/>
      <c r="GC379" s="9"/>
      <c r="GD379" s="9"/>
      <c r="GE379" s="9"/>
      <c r="GF379" s="9"/>
      <c r="GG379" s="9"/>
      <c r="GH379" s="9"/>
      <c r="GI379" s="9"/>
      <c r="GJ379" s="9"/>
      <c r="GK379" s="9"/>
      <c r="GL379" s="9"/>
      <c r="GM379" s="9"/>
      <c r="GN379" s="9"/>
      <c r="GO379" s="9"/>
      <c r="GP379" s="9"/>
      <c r="GQ379" s="9"/>
      <c r="GR379" s="9"/>
      <c r="GS379" s="9"/>
      <c r="GT379" s="9"/>
      <c r="GU379" s="9"/>
      <c r="GV379" s="9"/>
      <c r="GW379" s="9"/>
      <c r="GX379" s="9"/>
      <c r="GY379" s="9"/>
      <c r="GZ379" s="9"/>
      <c r="HA379" s="9"/>
      <c r="HB379" s="9"/>
      <c r="HC379" s="9"/>
      <c r="HD379" s="9"/>
      <c r="HE379" s="9"/>
      <c r="HF379" s="9"/>
      <c r="HG379" s="9"/>
      <c r="HH379" s="9"/>
      <c r="HI379" s="9"/>
      <c r="HJ379" s="9"/>
      <c r="HT379" s="90">
        <v>38838</v>
      </c>
      <c r="HV379" s="50"/>
      <c r="HW379" s="50"/>
      <c r="IH379" t="s">
        <v>1060</v>
      </c>
      <c r="II379" s="78" t="s">
        <v>882</v>
      </c>
      <c r="IJ379" s="17" t="s">
        <v>542</v>
      </c>
      <c r="IK379" t="s">
        <v>543</v>
      </c>
      <c r="IL379">
        <v>2006</v>
      </c>
      <c r="IN379" s="78" t="s">
        <v>480</v>
      </c>
      <c r="JJ379" t="s">
        <v>1060</v>
      </c>
      <c r="JK379" s="75" t="s">
        <v>595</v>
      </c>
      <c r="JV379" s="8" t="s">
        <v>595</v>
      </c>
      <c r="JW379" s="8" t="s">
        <v>1052</v>
      </c>
      <c r="JX379" t="s">
        <v>508</v>
      </c>
      <c r="JY379">
        <v>80000</v>
      </c>
      <c r="MY379" t="s">
        <v>1039</v>
      </c>
      <c r="MZ379">
        <v>120</v>
      </c>
      <c r="NA379" t="s">
        <v>1040</v>
      </c>
      <c r="NB379" t="s">
        <v>1038</v>
      </c>
      <c r="NC379" t="s">
        <v>1041</v>
      </c>
      <c r="ND379" t="s">
        <v>1047</v>
      </c>
      <c r="NJ379" t="s">
        <v>1042</v>
      </c>
      <c r="NL379" s="92" t="s">
        <v>946</v>
      </c>
      <c r="NM379" s="91" t="s">
        <v>1008</v>
      </c>
      <c r="NV379" t="s">
        <v>518</v>
      </c>
      <c r="NW379" s="93">
        <v>1011907.38</v>
      </c>
      <c r="NX379" s="79" t="s">
        <v>480</v>
      </c>
      <c r="NY379" s="79" t="s">
        <v>480</v>
      </c>
      <c r="NZ379" s="93"/>
      <c r="OB379">
        <v>3</v>
      </c>
      <c r="OU379" t="s">
        <v>1059</v>
      </c>
      <c r="OV379" s="3" t="s">
        <v>1044</v>
      </c>
      <c r="OX379">
        <v>2006</v>
      </c>
      <c r="OY379">
        <v>2007</v>
      </c>
      <c r="PB379" t="s">
        <v>522</v>
      </c>
      <c r="PC379" s="50">
        <v>46105</v>
      </c>
    </row>
    <row r="380" spans="1:419" ht="15.75" thickBot="1">
      <c r="A380" t="s">
        <v>469</v>
      </c>
      <c r="B380" t="s">
        <v>1032</v>
      </c>
      <c r="C380" t="s">
        <v>863</v>
      </c>
      <c r="D380" s="4" t="s">
        <v>950</v>
      </c>
      <c r="E380" t="s">
        <v>1033</v>
      </c>
      <c r="F380" s="89" t="s">
        <v>952</v>
      </c>
      <c r="G380" s="78" t="s">
        <v>475</v>
      </c>
      <c r="H380" s="78" t="s">
        <v>476</v>
      </c>
      <c r="I380">
        <v>7.25</v>
      </c>
      <c r="J380">
        <v>3.4166666669999999</v>
      </c>
      <c r="K380" s="78">
        <v>1000</v>
      </c>
      <c r="AV380" t="s">
        <v>1034</v>
      </c>
      <c r="AW380">
        <v>3240</v>
      </c>
      <c r="AX380">
        <v>1.2E-2</v>
      </c>
      <c r="AY380">
        <v>1</v>
      </c>
      <c r="BA380">
        <v>2006</v>
      </c>
      <c r="BB380">
        <v>2007</v>
      </c>
      <c r="BD380" t="s">
        <v>1035</v>
      </c>
      <c r="BE380" t="s">
        <v>536</v>
      </c>
      <c r="BF380" s="69" t="s">
        <v>484</v>
      </c>
      <c r="BG380" t="s">
        <v>1036</v>
      </c>
      <c r="BH380" t="s">
        <v>1037</v>
      </c>
      <c r="BI380" s="78" t="s">
        <v>486</v>
      </c>
      <c r="BJ380">
        <v>1330</v>
      </c>
      <c r="BK380" t="s">
        <v>537</v>
      </c>
      <c r="BL380" t="s">
        <v>1038</v>
      </c>
      <c r="BM380" t="s">
        <v>866</v>
      </c>
      <c r="BN380" s="78" t="s">
        <v>486</v>
      </c>
      <c r="BO380">
        <v>20000</v>
      </c>
      <c r="EG380" s="9"/>
      <c r="EH380" s="9"/>
      <c r="EI380" s="9"/>
      <c r="EJ380" s="9"/>
      <c r="EK380" s="9"/>
      <c r="EL380" s="9"/>
      <c r="EM380" s="9"/>
      <c r="EN380" s="9"/>
      <c r="EO380" s="9"/>
      <c r="EP380" s="9"/>
      <c r="EQ380" s="9"/>
      <c r="ER380" s="9"/>
      <c r="ES380" s="9"/>
      <c r="ET380" s="9"/>
      <c r="EU380" s="9"/>
      <c r="EV380" s="9"/>
      <c r="EW380" s="9"/>
      <c r="EX380" s="9"/>
      <c r="EY380" s="9"/>
      <c r="EZ380" s="9"/>
      <c r="FA380" s="9"/>
      <c r="FB380" s="9"/>
      <c r="FC380" s="9"/>
      <c r="FD380" s="9"/>
      <c r="FE380" s="9"/>
      <c r="FF380" s="9"/>
      <c r="FG380" s="9"/>
      <c r="FH380" s="9"/>
      <c r="FI380" s="9"/>
      <c r="FJ380" s="9"/>
      <c r="FK380" s="9"/>
      <c r="FL380" s="9"/>
      <c r="FM380" s="9"/>
      <c r="FN380" s="9"/>
      <c r="FO380" s="9"/>
      <c r="FP380" s="9"/>
      <c r="FQ380" s="9"/>
      <c r="FR380" s="9"/>
      <c r="FS380" s="9"/>
      <c r="FT380" s="9"/>
      <c r="FU380" s="9"/>
      <c r="FV380" s="9"/>
      <c r="FW380" s="9"/>
      <c r="FX380" s="9"/>
      <c r="FY380" s="9"/>
      <c r="FZ380" s="9"/>
      <c r="GA380" s="9"/>
      <c r="GB380" s="9"/>
      <c r="GC380" s="9"/>
      <c r="GD380" s="9"/>
      <c r="GE380" s="9"/>
      <c r="GF380" s="9"/>
      <c r="GG380" s="9"/>
      <c r="GH380" s="9"/>
      <c r="GI380" s="9"/>
      <c r="GJ380" s="9"/>
      <c r="GK380" s="9"/>
      <c r="GL380" s="9"/>
      <c r="GM380" s="9"/>
      <c r="GN380" s="9"/>
      <c r="GO380" s="9"/>
      <c r="GP380" s="9"/>
      <c r="GQ380" s="9"/>
      <c r="GR380" s="9"/>
      <c r="GS380" s="9"/>
      <c r="GT380" s="9"/>
      <c r="GU380" s="9"/>
      <c r="GV380" s="9"/>
      <c r="GW380" s="9"/>
      <c r="GX380" s="9"/>
      <c r="GY380" s="9"/>
      <c r="GZ380" s="9"/>
      <c r="HA380" s="9"/>
      <c r="HB380" s="9"/>
      <c r="HC380" s="9"/>
      <c r="HD380" s="9"/>
      <c r="HE380" s="9"/>
      <c r="HF380" s="9"/>
      <c r="HG380" s="9"/>
      <c r="HH380" s="9"/>
      <c r="HI380" s="9"/>
      <c r="HJ380" s="9"/>
      <c r="HT380" s="90">
        <v>38838</v>
      </c>
      <c r="HV380" s="50"/>
      <c r="HW380" s="50"/>
      <c r="IH380" t="s">
        <v>1035</v>
      </c>
      <c r="II380" s="78" t="s">
        <v>882</v>
      </c>
      <c r="IJ380" s="17" t="s">
        <v>542</v>
      </c>
      <c r="IK380" t="s">
        <v>543</v>
      </c>
      <c r="IL380">
        <v>2006</v>
      </c>
      <c r="IN380" s="78" t="s">
        <v>480</v>
      </c>
      <c r="JJ380" t="s">
        <v>1035</v>
      </c>
      <c r="JK380" s="75" t="s">
        <v>682</v>
      </c>
      <c r="MY380" t="s">
        <v>1061</v>
      </c>
      <c r="MZ380">
        <v>120</v>
      </c>
      <c r="NI380" s="78" t="s">
        <v>1062</v>
      </c>
      <c r="NJ380" t="s">
        <v>1063</v>
      </c>
      <c r="NL380" s="92" t="s">
        <v>625</v>
      </c>
      <c r="NM380" s="91" t="s">
        <v>1008</v>
      </c>
      <c r="NV380" t="s">
        <v>518</v>
      </c>
      <c r="NW380">
        <v>115491.47</v>
      </c>
      <c r="NX380" s="79" t="s">
        <v>480</v>
      </c>
      <c r="NY380" s="79" t="s">
        <v>480</v>
      </c>
      <c r="NZ380" s="93"/>
      <c r="OB380">
        <v>3</v>
      </c>
      <c r="OU380" t="s">
        <v>1043</v>
      </c>
      <c r="OV380" s="3" t="s">
        <v>1044</v>
      </c>
      <c r="OX380">
        <v>2006</v>
      </c>
      <c r="OY380">
        <v>2007</v>
      </c>
      <c r="PB380" t="s">
        <v>522</v>
      </c>
      <c r="PC380" s="50">
        <v>46105</v>
      </c>
    </row>
    <row r="381" spans="1:419" ht="15.75" thickBot="1">
      <c r="A381" t="s">
        <v>469</v>
      </c>
      <c r="B381" t="s">
        <v>1032</v>
      </c>
      <c r="C381" t="s">
        <v>863</v>
      </c>
      <c r="D381" s="4" t="s">
        <v>950</v>
      </c>
      <c r="E381" t="s">
        <v>1033</v>
      </c>
      <c r="F381" s="89" t="s">
        <v>952</v>
      </c>
      <c r="G381" s="78" t="s">
        <v>475</v>
      </c>
      <c r="H381" s="78" t="s">
        <v>476</v>
      </c>
      <c r="I381">
        <v>7.25</v>
      </c>
      <c r="J381">
        <v>3.4166666669999999</v>
      </c>
      <c r="K381" s="78">
        <v>1000</v>
      </c>
      <c r="AV381" t="s">
        <v>1034</v>
      </c>
      <c r="AW381">
        <v>3240</v>
      </c>
      <c r="AX381">
        <v>1.2E-2</v>
      </c>
      <c r="AY381">
        <v>1</v>
      </c>
      <c r="BA381">
        <v>2006</v>
      </c>
      <c r="BB381">
        <v>2007</v>
      </c>
      <c r="BD381" t="s">
        <v>1045</v>
      </c>
      <c r="BE381" t="s">
        <v>524</v>
      </c>
      <c r="BF381" s="69" t="s">
        <v>484</v>
      </c>
      <c r="BG381" t="s">
        <v>1036</v>
      </c>
      <c r="BH381" t="s">
        <v>1037</v>
      </c>
      <c r="BI381" s="78" t="s">
        <v>486</v>
      </c>
      <c r="BJ381">
        <v>1330</v>
      </c>
      <c r="EG381" s="9"/>
      <c r="EH381" s="9"/>
      <c r="EI381" s="9"/>
      <c r="EJ381" s="9"/>
      <c r="EK381" s="9"/>
      <c r="EL381" s="9"/>
      <c r="EM381" s="9"/>
      <c r="EN381" s="9"/>
      <c r="EO381" s="9"/>
      <c r="EP381" s="9"/>
      <c r="EQ381" s="9"/>
      <c r="ER381" s="9"/>
      <c r="ES381" s="9"/>
      <c r="ET381" s="9"/>
      <c r="EU381" s="9"/>
      <c r="EV381" s="9"/>
      <c r="EW381" s="9"/>
      <c r="EX381" s="9"/>
      <c r="EY381" s="9"/>
      <c r="EZ381" s="9"/>
      <c r="FA381" s="9"/>
      <c r="FB381" s="9"/>
      <c r="FC381" s="9"/>
      <c r="FD381" s="9"/>
      <c r="FE381" s="9"/>
      <c r="FF381" s="9"/>
      <c r="FG381" s="9"/>
      <c r="FH381" s="9"/>
      <c r="FI381" s="9"/>
      <c r="FJ381" s="9"/>
      <c r="FK381" s="9"/>
      <c r="FL381" s="9"/>
      <c r="FM381" s="9"/>
      <c r="FN381" s="9"/>
      <c r="FO381" s="9"/>
      <c r="FP381" s="9"/>
      <c r="FQ381" s="9"/>
      <c r="FR381" s="9"/>
      <c r="FS381" s="9"/>
      <c r="FT381" s="9"/>
      <c r="FU381" s="9"/>
      <c r="FV381" s="9"/>
      <c r="FW381" s="9"/>
      <c r="FX381" s="9"/>
      <c r="FY381" s="9"/>
      <c r="FZ381" s="9"/>
      <c r="GA381" s="9"/>
      <c r="GB381" s="9"/>
      <c r="GC381" s="9"/>
      <c r="GD381" s="9"/>
      <c r="GE381" s="9"/>
      <c r="GF381" s="9"/>
      <c r="GG381" s="9"/>
      <c r="GH381" s="9"/>
      <c r="GI381" s="9"/>
      <c r="GJ381" s="9"/>
      <c r="GK381" s="9"/>
      <c r="GL381" s="9"/>
      <c r="GM381" s="9"/>
      <c r="GN381" s="9"/>
      <c r="GO381" s="9"/>
      <c r="GP381" s="9"/>
      <c r="GQ381" s="9"/>
      <c r="GR381" s="9"/>
      <c r="GS381" s="9"/>
      <c r="GT381" s="9"/>
      <c r="GU381" s="9"/>
      <c r="GV381" s="9"/>
      <c r="GW381" s="9"/>
      <c r="GX381" s="9"/>
      <c r="GY381" s="9"/>
      <c r="GZ381" s="9"/>
      <c r="HA381" s="9"/>
      <c r="HB381" s="9"/>
      <c r="HC381" s="9"/>
      <c r="HD381" s="9"/>
      <c r="HE381" s="9"/>
      <c r="HF381" s="9"/>
      <c r="HG381" s="9"/>
      <c r="HH381" s="9"/>
      <c r="HI381" s="9"/>
      <c r="HJ381" s="9"/>
      <c r="HT381" s="90">
        <v>38838</v>
      </c>
      <c r="HV381" s="50"/>
      <c r="HW381" s="50"/>
      <c r="IH381" t="s">
        <v>1045</v>
      </c>
      <c r="II381" t="s">
        <v>492</v>
      </c>
      <c r="IJ381" s="17"/>
      <c r="IN381" s="78"/>
      <c r="JJ381" t="s">
        <v>1045</v>
      </c>
      <c r="JK381" s="75" t="s">
        <v>682</v>
      </c>
      <c r="MY381" t="s">
        <v>1061</v>
      </c>
      <c r="MZ381">
        <v>120</v>
      </c>
      <c r="NI381" s="78" t="s">
        <v>1062</v>
      </c>
      <c r="NJ381" t="s">
        <v>1063</v>
      </c>
      <c r="NL381" s="92" t="s">
        <v>625</v>
      </c>
      <c r="NM381" s="91" t="s">
        <v>1008</v>
      </c>
      <c r="NU381" t="s">
        <v>536</v>
      </c>
      <c r="NV381" t="s">
        <v>518</v>
      </c>
      <c r="NW381">
        <v>60028.22</v>
      </c>
      <c r="NX381" s="79" t="s">
        <v>480</v>
      </c>
      <c r="NY381" s="79" t="s">
        <v>480</v>
      </c>
      <c r="NZ381" s="93"/>
      <c r="OB381">
        <v>3</v>
      </c>
      <c r="OU381" t="s">
        <v>1043</v>
      </c>
      <c r="OV381" s="3" t="s">
        <v>1044</v>
      </c>
      <c r="OX381">
        <v>2006</v>
      </c>
      <c r="OY381">
        <v>2007</v>
      </c>
      <c r="PB381" t="s">
        <v>522</v>
      </c>
      <c r="PC381" s="50">
        <v>46105</v>
      </c>
    </row>
    <row r="382" spans="1:419" ht="15.75" thickBot="1">
      <c r="A382" t="s">
        <v>469</v>
      </c>
      <c r="B382" t="s">
        <v>1032</v>
      </c>
      <c r="C382" t="s">
        <v>863</v>
      </c>
      <c r="D382" s="4" t="s">
        <v>950</v>
      </c>
      <c r="E382" t="s">
        <v>1033</v>
      </c>
      <c r="F382" s="89" t="s">
        <v>952</v>
      </c>
      <c r="G382" s="78" t="s">
        <v>475</v>
      </c>
      <c r="H382" s="78" t="s">
        <v>476</v>
      </c>
      <c r="I382">
        <v>7.25</v>
      </c>
      <c r="J382">
        <v>3.4166666669999999</v>
      </c>
      <c r="K382" s="78">
        <v>1000</v>
      </c>
      <c r="AV382" t="s">
        <v>1034</v>
      </c>
      <c r="AW382">
        <v>3240</v>
      </c>
      <c r="AX382">
        <v>1.2E-2</v>
      </c>
      <c r="AY382">
        <v>1</v>
      </c>
      <c r="BA382">
        <v>2006</v>
      </c>
      <c r="BB382">
        <v>2007</v>
      </c>
      <c r="BD382" t="s">
        <v>1048</v>
      </c>
      <c r="BE382" t="s">
        <v>483</v>
      </c>
      <c r="BF382" s="69" t="s">
        <v>484</v>
      </c>
      <c r="BG382" t="s">
        <v>1038</v>
      </c>
      <c r="BH382" t="s">
        <v>1049</v>
      </c>
      <c r="BI382" s="78" t="s">
        <v>486</v>
      </c>
      <c r="BJ382">
        <v>20000</v>
      </c>
      <c r="EG382" s="9"/>
      <c r="EH382" s="9"/>
      <c r="EI382" s="9"/>
      <c r="EJ382" s="9"/>
      <c r="EK382" s="9"/>
      <c r="EL382" s="9"/>
      <c r="EM382" s="9"/>
      <c r="EN382" s="9"/>
      <c r="EO382" s="9"/>
      <c r="EP382" s="9"/>
      <c r="EQ382" s="9"/>
      <c r="ER382" s="9"/>
      <c r="ES382" s="9"/>
      <c r="ET382" s="9"/>
      <c r="EU382" s="9"/>
      <c r="EV382" s="9"/>
      <c r="EW382" s="9"/>
      <c r="EX382" s="9"/>
      <c r="EY382" s="9"/>
      <c r="EZ382" s="9"/>
      <c r="FA382" s="9"/>
      <c r="FB382" s="9"/>
      <c r="FC382" s="9"/>
      <c r="FD382" s="9"/>
      <c r="FE382" s="9"/>
      <c r="FF382" s="9"/>
      <c r="FG382" s="9"/>
      <c r="FH382" s="9"/>
      <c r="FI382" s="9"/>
      <c r="FJ382" s="9"/>
      <c r="FK382" s="9"/>
      <c r="FL382" s="9"/>
      <c r="FM382" s="9"/>
      <c r="FN382" s="9"/>
      <c r="FO382" s="9"/>
      <c r="FP382" s="9"/>
      <c r="FQ382" s="9"/>
      <c r="FR382" s="9"/>
      <c r="FS382" s="9"/>
      <c r="FT382" s="9"/>
      <c r="FU382" s="9"/>
      <c r="FV382" s="9"/>
      <c r="FW382" s="9"/>
      <c r="FX382" s="9"/>
      <c r="FY382" s="9"/>
      <c r="FZ382" s="9"/>
      <c r="GA382" s="9"/>
      <c r="GB382" s="9"/>
      <c r="GC382" s="9"/>
      <c r="GD382" s="9"/>
      <c r="GE382" s="9"/>
      <c r="GF382" s="9"/>
      <c r="GG382" s="9"/>
      <c r="GH382" s="9"/>
      <c r="GI382" s="9"/>
      <c r="GJ382" s="9"/>
      <c r="GK382" s="9"/>
      <c r="GL382" s="9"/>
      <c r="GM382" s="9"/>
      <c r="GN382" s="9"/>
      <c r="GO382" s="9"/>
      <c r="GP382" s="9"/>
      <c r="GQ382" s="9"/>
      <c r="GR382" s="9"/>
      <c r="GS382" s="9"/>
      <c r="GT382" s="9"/>
      <c r="GU382" s="9"/>
      <c r="GV382" s="9"/>
      <c r="GW382" s="9"/>
      <c r="GX382" s="9"/>
      <c r="GY382" s="9"/>
      <c r="GZ382" s="9"/>
      <c r="HA382" s="9"/>
      <c r="HB382" s="9"/>
      <c r="HC382" s="9"/>
      <c r="HD382" s="9"/>
      <c r="HE382" s="9"/>
      <c r="HF382" s="9"/>
      <c r="HG382" s="9"/>
      <c r="HH382" s="9"/>
      <c r="HI382" s="9"/>
      <c r="HJ382" s="9"/>
      <c r="HT382" s="90">
        <v>38838</v>
      </c>
      <c r="HV382" s="50"/>
      <c r="HW382" s="50"/>
      <c r="IH382" t="s">
        <v>1048</v>
      </c>
      <c r="II382" t="s">
        <v>492</v>
      </c>
      <c r="IJ382" s="17"/>
      <c r="IN382" s="78"/>
      <c r="JJ382" t="s">
        <v>1048</v>
      </c>
      <c r="JK382" s="75" t="s">
        <v>682</v>
      </c>
      <c r="MY382" t="s">
        <v>1061</v>
      </c>
      <c r="MZ382">
        <v>120</v>
      </c>
      <c r="NI382" s="78" t="s">
        <v>1062</v>
      </c>
      <c r="NJ382" t="s">
        <v>1063</v>
      </c>
      <c r="NL382" s="92" t="s">
        <v>625</v>
      </c>
      <c r="NM382" s="91" t="s">
        <v>1008</v>
      </c>
      <c r="NU382" t="s">
        <v>536</v>
      </c>
      <c r="NV382" t="s">
        <v>518</v>
      </c>
      <c r="NW382">
        <v>112248.22</v>
      </c>
      <c r="NX382" s="79" t="s">
        <v>480</v>
      </c>
      <c r="NY382" s="79" t="s">
        <v>480</v>
      </c>
      <c r="NZ382" s="93"/>
      <c r="OB382">
        <v>3</v>
      </c>
      <c r="OU382" t="s">
        <v>1043</v>
      </c>
      <c r="OV382" s="3" t="s">
        <v>1044</v>
      </c>
      <c r="OX382">
        <v>2006</v>
      </c>
      <c r="OY382">
        <v>2007</v>
      </c>
      <c r="PB382" t="s">
        <v>522</v>
      </c>
      <c r="PC382" s="50">
        <v>46105</v>
      </c>
    </row>
    <row r="383" spans="1:419" ht="15.75" thickBot="1">
      <c r="A383" t="s">
        <v>469</v>
      </c>
      <c r="B383" t="s">
        <v>1032</v>
      </c>
      <c r="C383" t="s">
        <v>863</v>
      </c>
      <c r="D383" s="4" t="s">
        <v>950</v>
      </c>
      <c r="E383" t="s">
        <v>1033</v>
      </c>
      <c r="F383" s="89" t="s">
        <v>952</v>
      </c>
      <c r="G383" s="78" t="s">
        <v>475</v>
      </c>
      <c r="H383" s="78" t="s">
        <v>476</v>
      </c>
      <c r="I383">
        <v>7.25</v>
      </c>
      <c r="J383">
        <v>3.4166666669999999</v>
      </c>
      <c r="K383" s="78">
        <v>1000</v>
      </c>
      <c r="AV383" t="s">
        <v>1034</v>
      </c>
      <c r="AW383">
        <v>3240</v>
      </c>
      <c r="AX383">
        <v>1.2E-2</v>
      </c>
      <c r="AY383">
        <v>1</v>
      </c>
      <c r="BA383">
        <v>2006</v>
      </c>
      <c r="BB383">
        <v>2007</v>
      </c>
      <c r="BD383" t="s">
        <v>1051</v>
      </c>
      <c r="BE383" t="s">
        <v>593</v>
      </c>
      <c r="BF383" s="69" t="s">
        <v>484</v>
      </c>
      <c r="BG383" t="s">
        <v>1038</v>
      </c>
      <c r="BH383" t="s">
        <v>866</v>
      </c>
      <c r="BI383" s="78" t="s">
        <v>486</v>
      </c>
      <c r="BJ383">
        <v>20000</v>
      </c>
      <c r="EG383" s="9"/>
      <c r="EH383" s="9"/>
      <c r="EI383" s="9"/>
      <c r="EJ383" s="9"/>
      <c r="EK383" s="9"/>
      <c r="EL383" s="9"/>
      <c r="EM383" s="9"/>
      <c r="EN383" s="9"/>
      <c r="EO383" s="9"/>
      <c r="EP383" s="9"/>
      <c r="EQ383" s="9"/>
      <c r="ER383" s="9"/>
      <c r="ES383" s="9"/>
      <c r="ET383" s="9"/>
      <c r="EU383" s="9"/>
      <c r="EV383" s="9"/>
      <c r="EW383" s="9"/>
      <c r="EX383" s="9"/>
      <c r="EY383" s="9"/>
      <c r="EZ383" s="9"/>
      <c r="FA383" s="9"/>
      <c r="FB383" s="9"/>
      <c r="FC383" s="9"/>
      <c r="FD383" s="9"/>
      <c r="FE383" s="9"/>
      <c r="FF383" s="9"/>
      <c r="FG383" s="9"/>
      <c r="FH383" s="9"/>
      <c r="FI383" s="9"/>
      <c r="FJ383" s="9"/>
      <c r="FK383" s="9"/>
      <c r="FL383" s="9"/>
      <c r="FM383" s="9"/>
      <c r="FN383" s="9"/>
      <c r="FO383" s="9"/>
      <c r="FP383" s="9"/>
      <c r="FQ383" s="9"/>
      <c r="FR383" s="9"/>
      <c r="FS383" s="9"/>
      <c r="FT383" s="9"/>
      <c r="FU383" s="9"/>
      <c r="FV383" s="9"/>
      <c r="FW383" s="9"/>
      <c r="FX383" s="9"/>
      <c r="FY383" s="9"/>
      <c r="FZ383" s="9"/>
      <c r="GA383" s="9"/>
      <c r="GB383" s="9"/>
      <c r="GC383" s="9"/>
      <c r="GD383" s="9"/>
      <c r="GE383" s="9"/>
      <c r="GF383" s="9"/>
      <c r="GG383" s="9"/>
      <c r="GH383" s="9"/>
      <c r="GI383" s="9"/>
      <c r="GJ383" s="9"/>
      <c r="GK383" s="9"/>
      <c r="GL383" s="9"/>
      <c r="GM383" s="9"/>
      <c r="GN383" s="9"/>
      <c r="GO383" s="9"/>
      <c r="GP383" s="9"/>
      <c r="GQ383" s="9"/>
      <c r="GR383" s="9"/>
      <c r="GS383" s="9"/>
      <c r="GT383" s="9"/>
      <c r="GU383" s="9"/>
      <c r="GV383" s="9"/>
      <c r="GW383" s="9"/>
      <c r="GX383" s="9"/>
      <c r="GY383" s="9"/>
      <c r="GZ383" s="9"/>
      <c r="HA383" s="9"/>
      <c r="HB383" s="9"/>
      <c r="HC383" s="9"/>
      <c r="HD383" s="9"/>
      <c r="HE383" s="9"/>
      <c r="HF383" s="9"/>
      <c r="HG383" s="9"/>
      <c r="HH383" s="9"/>
      <c r="HI383" s="9"/>
      <c r="HJ383" s="9"/>
      <c r="HT383" s="90">
        <v>38838</v>
      </c>
      <c r="HV383" s="50"/>
      <c r="HW383" s="50"/>
      <c r="IH383" t="s">
        <v>1051</v>
      </c>
      <c r="II383" t="s">
        <v>492</v>
      </c>
      <c r="IJ383" s="17"/>
      <c r="JJ383" t="s">
        <v>1051</v>
      </c>
      <c r="JK383" s="75" t="s">
        <v>595</v>
      </c>
      <c r="JV383" s="8" t="s">
        <v>595</v>
      </c>
      <c r="JW383" s="8" t="s">
        <v>1052</v>
      </c>
      <c r="JX383" t="s">
        <v>508</v>
      </c>
      <c r="JY383">
        <v>40000</v>
      </c>
      <c r="MY383" t="s">
        <v>1061</v>
      </c>
      <c r="MZ383">
        <v>120</v>
      </c>
      <c r="NI383" s="78" t="s">
        <v>1062</v>
      </c>
      <c r="NJ383" t="s">
        <v>1063</v>
      </c>
      <c r="NL383" s="92" t="s">
        <v>625</v>
      </c>
      <c r="NM383" s="91" t="s">
        <v>1008</v>
      </c>
      <c r="NU383" t="s">
        <v>566</v>
      </c>
      <c r="NV383" t="s">
        <v>518</v>
      </c>
      <c r="NW383">
        <v>134025.53</v>
      </c>
      <c r="NX383" s="79" t="s">
        <v>480</v>
      </c>
      <c r="NY383" s="79" t="s">
        <v>480</v>
      </c>
      <c r="NZ383" s="93"/>
      <c r="OB383">
        <v>3</v>
      </c>
      <c r="OU383" t="s">
        <v>1053</v>
      </c>
      <c r="OV383" s="3" t="s">
        <v>1044</v>
      </c>
      <c r="OX383">
        <v>2006</v>
      </c>
      <c r="OY383">
        <v>2007</v>
      </c>
      <c r="PB383" t="s">
        <v>522</v>
      </c>
      <c r="PC383" s="50">
        <v>46105</v>
      </c>
    </row>
    <row r="384" spans="1:419" ht="15.75" thickBot="1">
      <c r="A384" t="s">
        <v>469</v>
      </c>
      <c r="B384" t="s">
        <v>1032</v>
      </c>
      <c r="C384" t="s">
        <v>863</v>
      </c>
      <c r="D384" s="4" t="s">
        <v>950</v>
      </c>
      <c r="E384" t="s">
        <v>1033</v>
      </c>
      <c r="F384" s="89" t="s">
        <v>952</v>
      </c>
      <c r="G384" s="78" t="s">
        <v>475</v>
      </c>
      <c r="H384" s="78" t="s">
        <v>476</v>
      </c>
      <c r="I384">
        <v>7.25</v>
      </c>
      <c r="J384">
        <v>3.4166666669999999</v>
      </c>
      <c r="K384" s="78">
        <v>1000</v>
      </c>
      <c r="AV384" t="s">
        <v>1034</v>
      </c>
      <c r="AW384">
        <v>3240</v>
      </c>
      <c r="AX384">
        <v>1.2E-2</v>
      </c>
      <c r="AY384">
        <v>1</v>
      </c>
      <c r="BA384">
        <v>2006</v>
      </c>
      <c r="BB384">
        <v>2007</v>
      </c>
      <c r="BD384" t="s">
        <v>1054</v>
      </c>
      <c r="BE384" t="s">
        <v>602</v>
      </c>
      <c r="BF384" s="69" t="s">
        <v>484</v>
      </c>
      <c r="BG384" t="s">
        <v>1038</v>
      </c>
      <c r="BH384" t="s">
        <v>866</v>
      </c>
      <c r="BI384" s="78" t="s">
        <v>486</v>
      </c>
      <c r="BJ384">
        <v>20000</v>
      </c>
      <c r="EG384" s="9"/>
      <c r="EH384" s="9"/>
      <c r="EI384" s="9"/>
      <c r="EJ384" s="9"/>
      <c r="EK384" s="9"/>
      <c r="EL384" s="9"/>
      <c r="EM384" s="9"/>
      <c r="EN384" s="9"/>
      <c r="EO384" s="9"/>
      <c r="EP384" s="9"/>
      <c r="EQ384" s="9"/>
      <c r="ER384" s="9"/>
      <c r="ES384" s="9"/>
      <c r="ET384" s="9"/>
      <c r="EU384" s="9"/>
      <c r="EV384" s="9"/>
      <c r="EW384" s="9"/>
      <c r="EX384" s="9"/>
      <c r="EY384" s="9"/>
      <c r="EZ384" s="9"/>
      <c r="FA384" s="9"/>
      <c r="FB384" s="9"/>
      <c r="FC384" s="9"/>
      <c r="FD384" s="9"/>
      <c r="FE384" s="9"/>
      <c r="FF384" s="9"/>
      <c r="FG384" s="9"/>
      <c r="FH384" s="9"/>
      <c r="FI384" s="9"/>
      <c r="FJ384" s="9"/>
      <c r="FK384" s="9"/>
      <c r="FL384" s="9"/>
      <c r="FM384" s="9"/>
      <c r="FN384" s="9"/>
      <c r="FO384" s="9"/>
      <c r="FP384" s="9"/>
      <c r="FQ384" s="9"/>
      <c r="FR384" s="9"/>
      <c r="FS384" s="9"/>
      <c r="FT384" s="9"/>
      <c r="FU384" s="9"/>
      <c r="FV384" s="9"/>
      <c r="FW384" s="9"/>
      <c r="FX384" s="9"/>
      <c r="FY384" s="9"/>
      <c r="FZ384" s="9"/>
      <c r="GA384" s="9"/>
      <c r="GB384" s="9"/>
      <c r="GC384" s="9"/>
      <c r="GD384" s="9"/>
      <c r="GE384" s="9"/>
      <c r="GF384" s="9"/>
      <c r="GG384" s="9"/>
      <c r="GH384" s="9"/>
      <c r="GI384" s="9"/>
      <c r="GJ384" s="9"/>
      <c r="GK384" s="9"/>
      <c r="GL384" s="9"/>
      <c r="GM384" s="9"/>
      <c r="GN384" s="9"/>
      <c r="GO384" s="9"/>
      <c r="GP384" s="9"/>
      <c r="GQ384" s="9"/>
      <c r="GR384" s="9"/>
      <c r="GS384" s="9"/>
      <c r="GT384" s="9"/>
      <c r="GU384" s="9"/>
      <c r="GV384" s="9"/>
      <c r="GW384" s="9"/>
      <c r="GX384" s="9"/>
      <c r="GY384" s="9"/>
      <c r="GZ384" s="9"/>
      <c r="HA384" s="9"/>
      <c r="HB384" s="9"/>
      <c r="HC384" s="9"/>
      <c r="HD384" s="9"/>
      <c r="HE384" s="9"/>
      <c r="HF384" s="9"/>
      <c r="HG384" s="9"/>
      <c r="HH384" s="9"/>
      <c r="HI384" s="9"/>
      <c r="HJ384" s="9"/>
      <c r="HT384" s="90">
        <v>38838</v>
      </c>
      <c r="HV384" s="50"/>
      <c r="HW384" s="50"/>
      <c r="IH384" t="s">
        <v>1054</v>
      </c>
      <c r="II384" t="s">
        <v>492</v>
      </c>
      <c r="IJ384" s="17"/>
      <c r="JJ384" t="s">
        <v>1054</v>
      </c>
      <c r="JK384" s="75" t="s">
        <v>595</v>
      </c>
      <c r="JV384" s="8" t="s">
        <v>595</v>
      </c>
      <c r="JW384" s="8" t="s">
        <v>1052</v>
      </c>
      <c r="JX384" t="s">
        <v>508</v>
      </c>
      <c r="JY384">
        <v>80000</v>
      </c>
      <c r="MY384" t="s">
        <v>1061</v>
      </c>
      <c r="MZ384">
        <v>120</v>
      </c>
      <c r="NI384" s="78" t="s">
        <v>1062</v>
      </c>
      <c r="NJ384" t="s">
        <v>1063</v>
      </c>
      <c r="NL384" s="92" t="s">
        <v>625</v>
      </c>
      <c r="NM384" s="91" t="s">
        <v>1008</v>
      </c>
      <c r="NU384" t="s">
        <v>572</v>
      </c>
      <c r="NV384" t="s">
        <v>518</v>
      </c>
      <c r="NW384">
        <v>134998.13</v>
      </c>
      <c r="NX384" s="79" t="s">
        <v>480</v>
      </c>
      <c r="NY384" s="79" t="s">
        <v>480</v>
      </c>
      <c r="NZ384" s="93"/>
      <c r="OB384">
        <v>3</v>
      </c>
      <c r="OU384" t="s">
        <v>1053</v>
      </c>
      <c r="OV384" s="3" t="s">
        <v>1044</v>
      </c>
      <c r="OX384">
        <v>2006</v>
      </c>
      <c r="OY384">
        <v>2007</v>
      </c>
      <c r="PB384" t="s">
        <v>522</v>
      </c>
      <c r="PC384" s="50">
        <v>46105</v>
      </c>
    </row>
    <row r="385" spans="1:419" ht="15.75" thickBot="1">
      <c r="A385" t="s">
        <v>469</v>
      </c>
      <c r="B385" t="s">
        <v>1032</v>
      </c>
      <c r="C385" t="s">
        <v>863</v>
      </c>
      <c r="D385" s="4" t="s">
        <v>950</v>
      </c>
      <c r="E385" t="s">
        <v>1033</v>
      </c>
      <c r="F385" s="89" t="s">
        <v>952</v>
      </c>
      <c r="G385" s="78" t="s">
        <v>475</v>
      </c>
      <c r="H385" s="78" t="s">
        <v>476</v>
      </c>
      <c r="I385">
        <v>7.25</v>
      </c>
      <c r="J385">
        <v>3.4166666669999999</v>
      </c>
      <c r="K385" s="78">
        <v>1000</v>
      </c>
      <c r="AV385" t="s">
        <v>1034</v>
      </c>
      <c r="AW385">
        <v>3240</v>
      </c>
      <c r="AX385">
        <v>1.2E-2</v>
      </c>
      <c r="AY385">
        <v>1</v>
      </c>
      <c r="BA385">
        <v>2006</v>
      </c>
      <c r="BB385">
        <v>2007</v>
      </c>
      <c r="BD385" t="s">
        <v>1055</v>
      </c>
      <c r="BE385" t="s">
        <v>621</v>
      </c>
      <c r="BF385" s="69" t="s">
        <v>484</v>
      </c>
      <c r="BG385" t="s">
        <v>1036</v>
      </c>
      <c r="BH385" t="s">
        <v>1037</v>
      </c>
      <c r="BI385" s="78" t="s">
        <v>486</v>
      </c>
      <c r="BJ385">
        <v>1330</v>
      </c>
      <c r="EG385" s="9"/>
      <c r="EH385" s="9"/>
      <c r="EI385" s="9"/>
      <c r="EJ385" s="9"/>
      <c r="EK385" s="9"/>
      <c r="EL385" s="9"/>
      <c r="EM385" s="9"/>
      <c r="EN385" s="9"/>
      <c r="EO385" s="9"/>
      <c r="EP385" s="9"/>
      <c r="EQ385" s="9"/>
      <c r="ER385" s="9"/>
      <c r="ES385" s="9"/>
      <c r="ET385" s="9"/>
      <c r="EU385" s="9"/>
      <c r="EV385" s="9"/>
      <c r="EW385" s="9"/>
      <c r="EX385" s="9"/>
      <c r="EY385" s="9"/>
      <c r="EZ385" s="9"/>
      <c r="FA385" s="9"/>
      <c r="FB385" s="9"/>
      <c r="FC385" s="9"/>
      <c r="FD385" s="9"/>
      <c r="FE385" s="9"/>
      <c r="FF385" s="9"/>
      <c r="FG385" s="9"/>
      <c r="FH385" s="9"/>
      <c r="FI385" s="9"/>
      <c r="FJ385" s="9"/>
      <c r="FK385" s="9"/>
      <c r="FL385" s="9"/>
      <c r="FM385" s="9"/>
      <c r="FN385" s="9"/>
      <c r="FO385" s="9"/>
      <c r="FP385" s="9"/>
      <c r="FQ385" s="9"/>
      <c r="FR385" s="9"/>
      <c r="FS385" s="9"/>
      <c r="FT385" s="9"/>
      <c r="FU385" s="9"/>
      <c r="FV385" s="9"/>
      <c r="FW385" s="9"/>
      <c r="FX385" s="9"/>
      <c r="FY385" s="9"/>
      <c r="FZ385" s="9"/>
      <c r="GA385" s="9"/>
      <c r="GB385" s="9"/>
      <c r="GC385" s="9"/>
      <c r="GD385" s="9"/>
      <c r="GE385" s="9"/>
      <c r="GF385" s="9"/>
      <c r="GG385" s="9"/>
      <c r="GH385" s="9"/>
      <c r="GI385" s="9"/>
      <c r="GJ385" s="9"/>
      <c r="GK385" s="9"/>
      <c r="GL385" s="9"/>
      <c r="GM385" s="9"/>
      <c r="GN385" s="9"/>
      <c r="GO385" s="9"/>
      <c r="GP385" s="9"/>
      <c r="GQ385" s="9"/>
      <c r="GR385" s="9"/>
      <c r="GS385" s="9"/>
      <c r="GT385" s="9"/>
      <c r="GU385" s="9"/>
      <c r="GV385" s="9"/>
      <c r="GW385" s="9"/>
      <c r="GX385" s="9"/>
      <c r="GY385" s="9"/>
      <c r="GZ385" s="9"/>
      <c r="HA385" s="9"/>
      <c r="HB385" s="9"/>
      <c r="HC385" s="9"/>
      <c r="HD385" s="9"/>
      <c r="HE385" s="9"/>
      <c r="HF385" s="9"/>
      <c r="HG385" s="9"/>
      <c r="HH385" s="9"/>
      <c r="HI385" s="9"/>
      <c r="HJ385" s="9"/>
      <c r="HT385" s="90">
        <v>38838</v>
      </c>
      <c r="HV385" s="50"/>
      <c r="HW385" s="50"/>
      <c r="IH385" t="s">
        <v>1055</v>
      </c>
      <c r="II385" t="s">
        <v>492</v>
      </c>
      <c r="IJ385" s="17"/>
      <c r="JJ385" t="s">
        <v>1055</v>
      </c>
      <c r="JK385" s="75" t="s">
        <v>595</v>
      </c>
      <c r="JV385" s="8" t="s">
        <v>595</v>
      </c>
      <c r="JW385" s="8" t="s">
        <v>1052</v>
      </c>
      <c r="JX385" t="s">
        <v>508</v>
      </c>
      <c r="JY385">
        <v>40000</v>
      </c>
      <c r="MY385" t="s">
        <v>1061</v>
      </c>
      <c r="MZ385">
        <v>120</v>
      </c>
      <c r="NI385" s="78" t="s">
        <v>1062</v>
      </c>
      <c r="NJ385" t="s">
        <v>1063</v>
      </c>
      <c r="NL385" s="92" t="s">
        <v>625</v>
      </c>
      <c r="NM385" s="91" t="s">
        <v>1008</v>
      </c>
      <c r="NU385" t="s">
        <v>566</v>
      </c>
      <c r="NV385" t="s">
        <v>518</v>
      </c>
      <c r="NW385" s="93">
        <v>76765.98</v>
      </c>
      <c r="NX385" s="79" t="s">
        <v>480</v>
      </c>
      <c r="NY385" s="79" t="s">
        <v>480</v>
      </c>
      <c r="NZ385" s="93"/>
      <c r="OB385">
        <v>3</v>
      </c>
      <c r="OU385" t="s">
        <v>1056</v>
      </c>
      <c r="OV385" s="3" t="s">
        <v>1044</v>
      </c>
      <c r="OX385">
        <v>2006</v>
      </c>
      <c r="OY385">
        <v>2007</v>
      </c>
      <c r="PB385" t="s">
        <v>522</v>
      </c>
      <c r="PC385" s="50">
        <v>46105</v>
      </c>
    </row>
    <row r="386" spans="1:419" ht="15.75" thickBot="1">
      <c r="A386" t="s">
        <v>469</v>
      </c>
      <c r="B386" t="s">
        <v>1032</v>
      </c>
      <c r="C386" t="s">
        <v>863</v>
      </c>
      <c r="D386" s="4" t="s">
        <v>950</v>
      </c>
      <c r="E386" t="s">
        <v>1033</v>
      </c>
      <c r="F386" s="89" t="s">
        <v>952</v>
      </c>
      <c r="G386" s="78" t="s">
        <v>475</v>
      </c>
      <c r="H386" s="78" t="s">
        <v>476</v>
      </c>
      <c r="I386">
        <v>7.25</v>
      </c>
      <c r="J386">
        <v>3.4166666669999999</v>
      </c>
      <c r="K386" s="78">
        <v>1000</v>
      </c>
      <c r="AV386" t="s">
        <v>1034</v>
      </c>
      <c r="AW386">
        <v>3240</v>
      </c>
      <c r="AX386">
        <v>1.2E-2</v>
      </c>
      <c r="AY386">
        <v>1</v>
      </c>
      <c r="BA386">
        <v>2006</v>
      </c>
      <c r="BB386">
        <v>2007</v>
      </c>
      <c r="BD386" t="s">
        <v>1057</v>
      </c>
      <c r="BE386" t="s">
        <v>630</v>
      </c>
      <c r="BF386" s="69" t="s">
        <v>484</v>
      </c>
      <c r="BG386" t="s">
        <v>1036</v>
      </c>
      <c r="BH386" t="s">
        <v>1037</v>
      </c>
      <c r="BI386" s="78" t="s">
        <v>486</v>
      </c>
      <c r="BJ386">
        <v>1330</v>
      </c>
      <c r="EG386" s="9"/>
      <c r="EH386" s="9"/>
      <c r="EI386" s="9"/>
      <c r="EJ386" s="9"/>
      <c r="EK386" s="9"/>
      <c r="EL386" s="9"/>
      <c r="EM386" s="9"/>
      <c r="EN386" s="9"/>
      <c r="EO386" s="9"/>
      <c r="EP386" s="9"/>
      <c r="EQ386" s="9"/>
      <c r="ER386" s="9"/>
      <c r="ES386" s="9"/>
      <c r="ET386" s="9"/>
      <c r="EU386" s="9"/>
      <c r="EV386" s="9"/>
      <c r="EW386" s="9"/>
      <c r="EX386" s="9"/>
      <c r="EY386" s="9"/>
      <c r="EZ386" s="9"/>
      <c r="FA386" s="9"/>
      <c r="FB386" s="9"/>
      <c r="FC386" s="9"/>
      <c r="FD386" s="9"/>
      <c r="FE386" s="9"/>
      <c r="FF386" s="9"/>
      <c r="FG386" s="9"/>
      <c r="FH386" s="9"/>
      <c r="FI386" s="9"/>
      <c r="FJ386" s="9"/>
      <c r="FK386" s="9"/>
      <c r="FL386" s="9"/>
      <c r="FM386" s="9"/>
      <c r="FN386" s="9"/>
      <c r="FO386" s="9"/>
      <c r="FP386" s="9"/>
      <c r="FQ386" s="9"/>
      <c r="FR386" s="9"/>
      <c r="FS386" s="9"/>
      <c r="FT386" s="9"/>
      <c r="FU386" s="9"/>
      <c r="FV386" s="9"/>
      <c r="FW386" s="9"/>
      <c r="FX386" s="9"/>
      <c r="FY386" s="9"/>
      <c r="FZ386" s="9"/>
      <c r="GA386" s="9"/>
      <c r="GB386" s="9"/>
      <c r="GC386" s="9"/>
      <c r="GD386" s="9"/>
      <c r="GE386" s="9"/>
      <c r="GF386" s="9"/>
      <c r="GG386" s="9"/>
      <c r="GH386" s="9"/>
      <c r="GI386" s="9"/>
      <c r="GJ386" s="9"/>
      <c r="GK386" s="9"/>
      <c r="GL386" s="9"/>
      <c r="GM386" s="9"/>
      <c r="GN386" s="9"/>
      <c r="GO386" s="9"/>
      <c r="GP386" s="9"/>
      <c r="GQ386" s="9"/>
      <c r="GR386" s="9"/>
      <c r="GS386" s="9"/>
      <c r="GT386" s="9"/>
      <c r="GU386" s="9"/>
      <c r="GV386" s="9"/>
      <c r="GW386" s="9"/>
      <c r="GX386" s="9"/>
      <c r="GY386" s="9"/>
      <c r="GZ386" s="9"/>
      <c r="HA386" s="9"/>
      <c r="HB386" s="9"/>
      <c r="HC386" s="9"/>
      <c r="HD386" s="9"/>
      <c r="HE386" s="9"/>
      <c r="HF386" s="9"/>
      <c r="HG386" s="9"/>
      <c r="HH386" s="9"/>
      <c r="HI386" s="9"/>
      <c r="HJ386" s="9"/>
      <c r="HT386" s="90">
        <v>38838</v>
      </c>
      <c r="HV386" s="50"/>
      <c r="HW386" s="50"/>
      <c r="IH386" t="s">
        <v>1057</v>
      </c>
      <c r="II386" t="s">
        <v>492</v>
      </c>
      <c r="IJ386" s="17"/>
      <c r="JJ386" t="s">
        <v>1057</v>
      </c>
      <c r="JK386" s="75" t="s">
        <v>595</v>
      </c>
      <c r="JV386" s="8" t="s">
        <v>595</v>
      </c>
      <c r="JW386" s="8" t="s">
        <v>1052</v>
      </c>
      <c r="JX386" t="s">
        <v>508</v>
      </c>
      <c r="JY386">
        <v>80000</v>
      </c>
      <c r="MY386" t="s">
        <v>1061</v>
      </c>
      <c r="MZ386">
        <v>120</v>
      </c>
      <c r="NI386" s="78" t="s">
        <v>1062</v>
      </c>
      <c r="NJ386" t="s">
        <v>1063</v>
      </c>
      <c r="NL386" s="92" t="s">
        <v>625</v>
      </c>
      <c r="NM386" s="91" t="s">
        <v>1008</v>
      </c>
      <c r="NU386" t="s">
        <v>572</v>
      </c>
      <c r="NV386" t="s">
        <v>518</v>
      </c>
      <c r="NW386" s="93">
        <v>86605.98</v>
      </c>
      <c r="NX386" s="79" t="s">
        <v>480</v>
      </c>
      <c r="NY386" s="79" t="s">
        <v>480</v>
      </c>
      <c r="NZ386" s="93"/>
      <c r="OB386">
        <v>3</v>
      </c>
      <c r="OU386" t="s">
        <v>1056</v>
      </c>
      <c r="OV386" s="3" t="s">
        <v>1044</v>
      </c>
      <c r="OX386">
        <v>2006</v>
      </c>
      <c r="OY386">
        <v>2007</v>
      </c>
      <c r="PB386" t="s">
        <v>522</v>
      </c>
      <c r="PC386" s="50">
        <v>46105</v>
      </c>
    </row>
    <row r="387" spans="1:419" ht="15.75" thickBot="1">
      <c r="A387" t="s">
        <v>469</v>
      </c>
      <c r="B387" t="s">
        <v>1032</v>
      </c>
      <c r="C387" t="s">
        <v>863</v>
      </c>
      <c r="D387" s="4" t="s">
        <v>950</v>
      </c>
      <c r="E387" t="s">
        <v>1033</v>
      </c>
      <c r="F387" s="89" t="s">
        <v>952</v>
      </c>
      <c r="G387" s="78" t="s">
        <v>475</v>
      </c>
      <c r="H387" s="78" t="s">
        <v>476</v>
      </c>
      <c r="I387">
        <v>7.25</v>
      </c>
      <c r="J387">
        <v>3.4166666669999999</v>
      </c>
      <c r="K387" s="78">
        <v>1000</v>
      </c>
      <c r="AV387" t="s">
        <v>1034</v>
      </c>
      <c r="AW387">
        <v>3240</v>
      </c>
      <c r="AX387">
        <v>1.2E-2</v>
      </c>
      <c r="AY387">
        <v>1</v>
      </c>
      <c r="BA387">
        <v>2006</v>
      </c>
      <c r="BB387">
        <v>2007</v>
      </c>
      <c r="BD387" t="s">
        <v>1058</v>
      </c>
      <c r="BE387" t="s">
        <v>566</v>
      </c>
      <c r="BF387" s="69" t="s">
        <v>484</v>
      </c>
      <c r="BG387" t="s">
        <v>1036</v>
      </c>
      <c r="BH387" t="s">
        <v>1037</v>
      </c>
      <c r="BI387" s="78" t="s">
        <v>486</v>
      </c>
      <c r="BJ387">
        <v>1330</v>
      </c>
      <c r="BK387" t="s">
        <v>537</v>
      </c>
      <c r="BL387" t="s">
        <v>1038</v>
      </c>
      <c r="BM387" t="s">
        <v>866</v>
      </c>
      <c r="BN387" s="78" t="s">
        <v>486</v>
      </c>
      <c r="BO387">
        <v>20000</v>
      </c>
      <c r="EG387" s="9"/>
      <c r="EH387" s="9"/>
      <c r="EI387" s="9"/>
      <c r="EJ387" s="9"/>
      <c r="EK387" s="9"/>
      <c r="EL387" s="9"/>
      <c r="EM387" s="9"/>
      <c r="EN387" s="9"/>
      <c r="EO387" s="9"/>
      <c r="EP387" s="9"/>
      <c r="EQ387" s="9"/>
      <c r="ER387" s="9"/>
      <c r="ES387" s="9"/>
      <c r="ET387" s="9"/>
      <c r="EU387" s="9"/>
      <c r="EV387" s="9"/>
      <c r="EW387" s="9"/>
      <c r="EX387" s="9"/>
      <c r="EY387" s="9"/>
      <c r="EZ387" s="9"/>
      <c r="FA387" s="9"/>
      <c r="FB387" s="9"/>
      <c r="FC387" s="9"/>
      <c r="FD387" s="9"/>
      <c r="FE387" s="9"/>
      <c r="FF387" s="9"/>
      <c r="FG387" s="9"/>
      <c r="FH387" s="9"/>
      <c r="FI387" s="9"/>
      <c r="FJ387" s="9"/>
      <c r="FK387" s="9"/>
      <c r="FL387" s="9"/>
      <c r="FM387" s="9"/>
      <c r="FN387" s="9"/>
      <c r="FO387" s="9"/>
      <c r="FP387" s="9"/>
      <c r="FQ387" s="9"/>
      <c r="FR387" s="9"/>
      <c r="FS387" s="9"/>
      <c r="FT387" s="9"/>
      <c r="FU387" s="9"/>
      <c r="FV387" s="9"/>
      <c r="FW387" s="9"/>
      <c r="FX387" s="9"/>
      <c r="FY387" s="9"/>
      <c r="FZ387" s="9"/>
      <c r="GA387" s="9"/>
      <c r="GB387" s="9"/>
      <c r="GC387" s="9"/>
      <c r="GD387" s="9"/>
      <c r="GE387" s="9"/>
      <c r="GF387" s="9"/>
      <c r="GG387" s="9"/>
      <c r="GH387" s="9"/>
      <c r="GI387" s="9"/>
      <c r="GJ387" s="9"/>
      <c r="GK387" s="9"/>
      <c r="GL387" s="9"/>
      <c r="GM387" s="9"/>
      <c r="GN387" s="9"/>
      <c r="GO387" s="9"/>
      <c r="GP387" s="9"/>
      <c r="GQ387" s="9"/>
      <c r="GR387" s="9"/>
      <c r="GS387" s="9"/>
      <c r="GT387" s="9"/>
      <c r="GU387" s="9"/>
      <c r="GV387" s="9"/>
      <c r="GW387" s="9"/>
      <c r="GX387" s="9"/>
      <c r="GY387" s="9"/>
      <c r="GZ387" s="9"/>
      <c r="HA387" s="9"/>
      <c r="HB387" s="9"/>
      <c r="HC387" s="9"/>
      <c r="HD387" s="9"/>
      <c r="HE387" s="9"/>
      <c r="HF387" s="9"/>
      <c r="HG387" s="9"/>
      <c r="HH387" s="9"/>
      <c r="HI387" s="9"/>
      <c r="HJ387" s="9"/>
      <c r="HT387" s="90">
        <v>38838</v>
      </c>
      <c r="HV387" s="50"/>
      <c r="HW387" s="50"/>
      <c r="IH387" t="s">
        <v>1058</v>
      </c>
      <c r="II387" s="78" t="s">
        <v>882</v>
      </c>
      <c r="IJ387" t="s">
        <v>542</v>
      </c>
      <c r="IK387" t="s">
        <v>543</v>
      </c>
      <c r="IL387">
        <v>2006</v>
      </c>
      <c r="IN387" s="78" t="s">
        <v>480</v>
      </c>
      <c r="JJ387" t="s">
        <v>1058</v>
      </c>
      <c r="JK387" s="75" t="s">
        <v>595</v>
      </c>
      <c r="JV387" s="8" t="s">
        <v>595</v>
      </c>
      <c r="JW387" s="8" t="s">
        <v>1052</v>
      </c>
      <c r="JX387" t="s">
        <v>508</v>
      </c>
      <c r="JY387">
        <v>40000</v>
      </c>
      <c r="MY387" t="s">
        <v>1061</v>
      </c>
      <c r="MZ387">
        <v>120</v>
      </c>
      <c r="NI387" s="78" t="s">
        <v>1062</v>
      </c>
      <c r="NJ387" t="s">
        <v>1063</v>
      </c>
      <c r="NL387" s="92" t="s">
        <v>625</v>
      </c>
      <c r="NM387" s="91" t="s">
        <v>1008</v>
      </c>
      <c r="NV387" t="s">
        <v>518</v>
      </c>
      <c r="NW387" s="93">
        <v>137595.43</v>
      </c>
      <c r="NX387" s="79" t="s">
        <v>480</v>
      </c>
      <c r="NY387" s="79" t="s">
        <v>480</v>
      </c>
      <c r="OB387">
        <v>3</v>
      </c>
      <c r="OU387" t="s">
        <v>1059</v>
      </c>
      <c r="OV387" s="3" t="s">
        <v>1044</v>
      </c>
      <c r="OX387">
        <v>2006</v>
      </c>
      <c r="OY387">
        <v>2007</v>
      </c>
      <c r="PB387" t="s">
        <v>522</v>
      </c>
      <c r="PC387" s="50">
        <v>46105</v>
      </c>
    </row>
    <row r="388" spans="1:419" ht="15.75" thickBot="1">
      <c r="A388" t="s">
        <v>469</v>
      </c>
      <c r="B388" t="s">
        <v>1032</v>
      </c>
      <c r="C388" t="s">
        <v>863</v>
      </c>
      <c r="D388" s="4" t="s">
        <v>950</v>
      </c>
      <c r="E388" t="s">
        <v>1033</v>
      </c>
      <c r="F388" s="89" t="s">
        <v>952</v>
      </c>
      <c r="G388" s="78" t="s">
        <v>475</v>
      </c>
      <c r="H388" s="78" t="s">
        <v>476</v>
      </c>
      <c r="I388">
        <v>7.25</v>
      </c>
      <c r="J388">
        <v>3.4166666669999999</v>
      </c>
      <c r="K388" s="78">
        <v>1000</v>
      </c>
      <c r="AV388" t="s">
        <v>1034</v>
      </c>
      <c r="AW388">
        <v>3240</v>
      </c>
      <c r="AX388">
        <v>1.2E-2</v>
      </c>
      <c r="AY388">
        <v>1</v>
      </c>
      <c r="BA388">
        <v>2006</v>
      </c>
      <c r="BB388">
        <v>2007</v>
      </c>
      <c r="BD388" t="s">
        <v>1060</v>
      </c>
      <c r="BE388" t="s">
        <v>572</v>
      </c>
      <c r="BF388" s="69" t="s">
        <v>484</v>
      </c>
      <c r="BG388" t="s">
        <v>1036</v>
      </c>
      <c r="BH388" t="s">
        <v>1037</v>
      </c>
      <c r="BI388" s="78" t="s">
        <v>486</v>
      </c>
      <c r="BJ388">
        <v>1330</v>
      </c>
      <c r="BK388" t="s">
        <v>537</v>
      </c>
      <c r="BL388" t="s">
        <v>1038</v>
      </c>
      <c r="BM388" t="s">
        <v>866</v>
      </c>
      <c r="BN388" s="78" t="s">
        <v>486</v>
      </c>
      <c r="BO388">
        <v>20000</v>
      </c>
      <c r="EG388" s="9"/>
      <c r="EH388" s="9"/>
      <c r="EI388" s="9"/>
      <c r="EJ388" s="9"/>
      <c r="EK388" s="9"/>
      <c r="EL388" s="9"/>
      <c r="EM388" s="9"/>
      <c r="EN388" s="9"/>
      <c r="EO388" s="9"/>
      <c r="EP388" s="9"/>
      <c r="EQ388" s="9"/>
      <c r="ER388" s="9"/>
      <c r="ES388" s="9"/>
      <c r="ET388" s="9"/>
      <c r="EU388" s="9"/>
      <c r="EV388" s="9"/>
      <c r="EW388" s="9"/>
      <c r="EX388" s="9"/>
      <c r="EY388" s="9"/>
      <c r="EZ388" s="9"/>
      <c r="FA388" s="9"/>
      <c r="FB388" s="9"/>
      <c r="FC388" s="9"/>
      <c r="FD388" s="9"/>
      <c r="FE388" s="9"/>
      <c r="FF388" s="9"/>
      <c r="FG388" s="9"/>
      <c r="FH388" s="9"/>
      <c r="FI388" s="9"/>
      <c r="FJ388" s="9"/>
      <c r="FK388" s="9"/>
      <c r="FL388" s="9"/>
      <c r="FM388" s="9"/>
      <c r="FN388" s="9"/>
      <c r="FO388" s="9"/>
      <c r="FP388" s="9"/>
      <c r="FQ388" s="9"/>
      <c r="FR388" s="9"/>
      <c r="FS388" s="9"/>
      <c r="FT388" s="9"/>
      <c r="FU388" s="9"/>
      <c r="FV388" s="9"/>
      <c r="FW388" s="9"/>
      <c r="FX388" s="9"/>
      <c r="FY388" s="9"/>
      <c r="FZ388" s="9"/>
      <c r="GA388" s="9"/>
      <c r="GB388" s="9"/>
      <c r="GC388" s="9"/>
      <c r="GD388" s="9"/>
      <c r="GE388" s="9"/>
      <c r="GF388" s="9"/>
      <c r="GG388" s="9"/>
      <c r="GH388" s="9"/>
      <c r="GI388" s="9"/>
      <c r="GJ388" s="9"/>
      <c r="GK388" s="9"/>
      <c r="GL388" s="9"/>
      <c r="GM388" s="9"/>
      <c r="GN388" s="9"/>
      <c r="GO388" s="9"/>
      <c r="GP388" s="9"/>
      <c r="GQ388" s="9"/>
      <c r="GR388" s="9"/>
      <c r="GS388" s="9"/>
      <c r="GT388" s="9"/>
      <c r="GU388" s="9"/>
      <c r="GV388" s="9"/>
      <c r="GW388" s="9"/>
      <c r="GX388" s="9"/>
      <c r="GY388" s="9"/>
      <c r="GZ388" s="9"/>
      <c r="HA388" s="9"/>
      <c r="HB388" s="9"/>
      <c r="HC388" s="9"/>
      <c r="HD388" s="9"/>
      <c r="HE388" s="9"/>
      <c r="HF388" s="9"/>
      <c r="HG388" s="9"/>
      <c r="HH388" s="9"/>
      <c r="HI388" s="9"/>
      <c r="HJ388" s="9"/>
      <c r="HT388" s="90">
        <v>38838</v>
      </c>
      <c r="HV388" s="50"/>
      <c r="HW388" s="50"/>
      <c r="IH388" t="s">
        <v>1060</v>
      </c>
      <c r="II388" s="78" t="s">
        <v>882</v>
      </c>
      <c r="IJ388" t="s">
        <v>542</v>
      </c>
      <c r="IK388" t="s">
        <v>543</v>
      </c>
      <c r="IL388">
        <v>2006</v>
      </c>
      <c r="IN388" s="78" t="s">
        <v>480</v>
      </c>
      <c r="JJ388" t="s">
        <v>1060</v>
      </c>
      <c r="JK388" s="75" t="s">
        <v>595</v>
      </c>
      <c r="JV388" s="8" t="s">
        <v>595</v>
      </c>
      <c r="JW388" s="8" t="s">
        <v>1052</v>
      </c>
      <c r="JX388" t="s">
        <v>508</v>
      </c>
      <c r="JY388">
        <v>80000</v>
      </c>
      <c r="MY388" t="s">
        <v>1061</v>
      </c>
      <c r="MZ388">
        <v>120</v>
      </c>
      <c r="NI388" s="78" t="s">
        <v>1062</v>
      </c>
      <c r="NJ388" t="s">
        <v>1063</v>
      </c>
      <c r="NL388" s="92" t="s">
        <v>625</v>
      </c>
      <c r="NM388" s="91" t="s">
        <v>1008</v>
      </c>
      <c r="NV388" t="s">
        <v>518</v>
      </c>
      <c r="NW388" s="93">
        <v>135620.25</v>
      </c>
      <c r="NX388" s="79" t="s">
        <v>480</v>
      </c>
      <c r="NY388" s="79" t="s">
        <v>480</v>
      </c>
      <c r="OB388">
        <v>3</v>
      </c>
      <c r="OU388" t="s">
        <v>1059</v>
      </c>
      <c r="OV388" s="3" t="s">
        <v>1044</v>
      </c>
      <c r="OX388">
        <v>2006</v>
      </c>
      <c r="OY388">
        <v>2007</v>
      </c>
      <c r="PB388" t="s">
        <v>522</v>
      </c>
      <c r="PC388" s="50">
        <v>46105</v>
      </c>
    </row>
    <row r="389" spans="1:419" ht="15.75" thickBot="1">
      <c r="A389" t="s">
        <v>469</v>
      </c>
      <c r="B389" t="s">
        <v>1032</v>
      </c>
      <c r="C389" t="s">
        <v>863</v>
      </c>
      <c r="D389" s="4" t="s">
        <v>950</v>
      </c>
      <c r="E389" t="s">
        <v>1033</v>
      </c>
      <c r="F389" s="89" t="s">
        <v>952</v>
      </c>
      <c r="G389" s="78" t="s">
        <v>475</v>
      </c>
      <c r="H389" s="78" t="s">
        <v>476</v>
      </c>
      <c r="I389">
        <v>7.25</v>
      </c>
      <c r="J389">
        <v>3.4166666669999999</v>
      </c>
      <c r="K389" s="78">
        <v>1000</v>
      </c>
      <c r="AV389" t="s">
        <v>1034</v>
      </c>
      <c r="AW389">
        <v>3240</v>
      </c>
      <c r="AX389">
        <v>1.2E-2</v>
      </c>
      <c r="AY389">
        <v>1</v>
      </c>
      <c r="BA389">
        <v>2006</v>
      </c>
      <c r="BB389">
        <v>2007</v>
      </c>
      <c r="BD389" t="s">
        <v>1035</v>
      </c>
      <c r="BE389" t="s">
        <v>536</v>
      </c>
      <c r="BF389" s="69" t="s">
        <v>484</v>
      </c>
      <c r="BG389" t="s">
        <v>1036</v>
      </c>
      <c r="BH389" t="s">
        <v>1037</v>
      </c>
      <c r="BI389" s="78" t="s">
        <v>486</v>
      </c>
      <c r="BJ389">
        <v>1330</v>
      </c>
      <c r="BK389" t="s">
        <v>537</v>
      </c>
      <c r="BL389" t="s">
        <v>1038</v>
      </c>
      <c r="BM389" t="s">
        <v>866</v>
      </c>
      <c r="BN389" s="78" t="s">
        <v>486</v>
      </c>
      <c r="BO389">
        <v>20000</v>
      </c>
      <c r="EG389" s="9"/>
      <c r="EH389" s="9"/>
      <c r="EI389" s="9"/>
      <c r="EJ389" s="9"/>
      <c r="EK389" s="9"/>
      <c r="EL389" s="9"/>
      <c r="EM389" s="9"/>
      <c r="EN389" s="9"/>
      <c r="EO389" s="9"/>
      <c r="EP389" s="9"/>
      <c r="EQ389" s="9"/>
      <c r="ER389" s="9"/>
      <c r="ES389" s="9"/>
      <c r="ET389" s="9"/>
      <c r="EU389" s="9"/>
      <c r="EV389" s="9"/>
      <c r="EW389" s="9"/>
      <c r="EX389" s="9"/>
      <c r="EY389" s="9"/>
      <c r="EZ389" s="9"/>
      <c r="FA389" s="9"/>
      <c r="FB389" s="9"/>
      <c r="FC389" s="9"/>
      <c r="FD389" s="9"/>
      <c r="FE389" s="9"/>
      <c r="FF389" s="9"/>
      <c r="FG389" s="9"/>
      <c r="FH389" s="9"/>
      <c r="FI389" s="9"/>
      <c r="FJ389" s="9"/>
      <c r="FK389" s="9"/>
      <c r="FL389" s="9"/>
      <c r="FM389" s="9"/>
      <c r="FN389" s="9"/>
      <c r="FO389" s="9"/>
      <c r="FP389" s="9"/>
      <c r="FQ389" s="9"/>
      <c r="FR389" s="9"/>
      <c r="FS389" s="9"/>
      <c r="FT389" s="9"/>
      <c r="FU389" s="9"/>
      <c r="FV389" s="9"/>
      <c r="FW389" s="9"/>
      <c r="FX389" s="9"/>
      <c r="FY389" s="9"/>
      <c r="FZ389" s="9"/>
      <c r="GA389" s="9"/>
      <c r="GB389" s="9"/>
      <c r="GC389" s="9"/>
      <c r="GD389" s="9"/>
      <c r="GE389" s="9"/>
      <c r="GF389" s="9"/>
      <c r="GG389" s="9"/>
      <c r="GH389" s="9"/>
      <c r="GI389" s="9"/>
      <c r="GJ389" s="9"/>
      <c r="GK389" s="9"/>
      <c r="GL389" s="9"/>
      <c r="GM389" s="9"/>
      <c r="GN389" s="9"/>
      <c r="GO389" s="9"/>
      <c r="GP389" s="9"/>
      <c r="GQ389" s="9"/>
      <c r="GR389" s="9"/>
      <c r="GS389" s="9"/>
      <c r="GT389" s="9"/>
      <c r="GU389" s="9"/>
      <c r="GV389" s="9"/>
      <c r="GW389" s="9"/>
      <c r="GX389" s="9"/>
      <c r="GY389" s="9"/>
      <c r="GZ389" s="9"/>
      <c r="HA389" s="9"/>
      <c r="HB389" s="9"/>
      <c r="HC389" s="9"/>
      <c r="HD389" s="9"/>
      <c r="HE389" s="9"/>
      <c r="HF389" s="9"/>
      <c r="HG389" s="9"/>
      <c r="HH389" s="9"/>
      <c r="HI389" s="9"/>
      <c r="HJ389" s="9"/>
      <c r="HT389" s="90">
        <v>38838</v>
      </c>
      <c r="HV389" s="50"/>
      <c r="HW389" s="50"/>
      <c r="IH389" t="s">
        <v>1035</v>
      </c>
      <c r="II389" s="78" t="s">
        <v>882</v>
      </c>
      <c r="IJ389" t="s">
        <v>542</v>
      </c>
      <c r="IK389" t="s">
        <v>543</v>
      </c>
      <c r="IL389">
        <v>2006</v>
      </c>
      <c r="IN389" s="78" t="s">
        <v>480</v>
      </c>
      <c r="JJ389" t="s">
        <v>1035</v>
      </c>
      <c r="JK389" s="75" t="s">
        <v>682</v>
      </c>
      <c r="MY389" t="s">
        <v>1061</v>
      </c>
      <c r="MZ389">
        <v>120</v>
      </c>
      <c r="NI389" t="s">
        <v>1064</v>
      </c>
      <c r="NJ389" s="78" t="s">
        <v>1065</v>
      </c>
      <c r="NL389" s="92" t="s">
        <v>944</v>
      </c>
      <c r="NM389" s="91" t="s">
        <v>1008</v>
      </c>
      <c r="NV389" t="s">
        <v>518</v>
      </c>
      <c r="NW389">
        <v>212658.66999999998</v>
      </c>
      <c r="NX389" s="79" t="s">
        <v>480</v>
      </c>
      <c r="NY389" s="79" t="s">
        <v>480</v>
      </c>
      <c r="NZ389" s="93"/>
      <c r="OB389">
        <v>3</v>
      </c>
      <c r="OU389" t="s">
        <v>1043</v>
      </c>
      <c r="OV389" s="3" t="s">
        <v>1044</v>
      </c>
      <c r="OX389">
        <v>2006</v>
      </c>
      <c r="OY389">
        <v>2007</v>
      </c>
      <c r="PB389" t="s">
        <v>522</v>
      </c>
      <c r="PC389" s="50">
        <v>46105</v>
      </c>
    </row>
    <row r="390" spans="1:419" ht="15.75" thickBot="1">
      <c r="A390" t="s">
        <v>469</v>
      </c>
      <c r="B390" t="s">
        <v>1032</v>
      </c>
      <c r="C390" t="s">
        <v>863</v>
      </c>
      <c r="D390" s="4" t="s">
        <v>950</v>
      </c>
      <c r="E390" t="s">
        <v>1033</v>
      </c>
      <c r="F390" s="89" t="s">
        <v>952</v>
      </c>
      <c r="G390" s="78" t="s">
        <v>475</v>
      </c>
      <c r="H390" s="78" t="s">
        <v>476</v>
      </c>
      <c r="I390">
        <v>7.25</v>
      </c>
      <c r="J390">
        <v>3.4166666669999999</v>
      </c>
      <c r="K390" s="78">
        <v>1000</v>
      </c>
      <c r="AV390" t="s">
        <v>1034</v>
      </c>
      <c r="AW390">
        <v>3240</v>
      </c>
      <c r="AX390">
        <v>1.2E-2</v>
      </c>
      <c r="AY390">
        <v>1</v>
      </c>
      <c r="BA390">
        <v>2006</v>
      </c>
      <c r="BB390">
        <v>2007</v>
      </c>
      <c r="BD390" t="s">
        <v>1045</v>
      </c>
      <c r="BE390" t="s">
        <v>524</v>
      </c>
      <c r="BF390" s="69" t="s">
        <v>484</v>
      </c>
      <c r="BG390" t="s">
        <v>1036</v>
      </c>
      <c r="BH390" t="s">
        <v>1037</v>
      </c>
      <c r="BI390" s="78" t="s">
        <v>486</v>
      </c>
      <c r="BJ390">
        <v>1330</v>
      </c>
      <c r="EG390" s="9"/>
      <c r="EH390" s="9"/>
      <c r="EI390" s="9"/>
      <c r="EJ390" s="9"/>
      <c r="EK390" s="9"/>
      <c r="EL390" s="9"/>
      <c r="EM390" s="9"/>
      <c r="EN390" s="9"/>
      <c r="EO390" s="9"/>
      <c r="EP390" s="9"/>
      <c r="EQ390" s="9"/>
      <c r="ER390" s="9"/>
      <c r="ES390" s="9"/>
      <c r="ET390" s="9"/>
      <c r="EU390" s="9"/>
      <c r="EV390" s="9"/>
      <c r="EW390" s="9"/>
      <c r="EX390" s="9"/>
      <c r="EY390" s="9"/>
      <c r="EZ390" s="9"/>
      <c r="FA390" s="9"/>
      <c r="FB390" s="9"/>
      <c r="FC390" s="9"/>
      <c r="FD390" s="9"/>
      <c r="FE390" s="9"/>
      <c r="FF390" s="9"/>
      <c r="FG390" s="9"/>
      <c r="FH390" s="9"/>
      <c r="FI390" s="9"/>
      <c r="FJ390" s="9"/>
      <c r="FK390" s="9"/>
      <c r="FL390" s="9"/>
      <c r="FM390" s="9"/>
      <c r="FN390" s="9"/>
      <c r="FO390" s="9"/>
      <c r="FP390" s="9"/>
      <c r="FQ390" s="9"/>
      <c r="FR390" s="9"/>
      <c r="FS390" s="9"/>
      <c r="FT390" s="9"/>
      <c r="FU390" s="9"/>
      <c r="FV390" s="9"/>
      <c r="FW390" s="9"/>
      <c r="FX390" s="9"/>
      <c r="FY390" s="9"/>
      <c r="FZ390" s="9"/>
      <c r="GA390" s="9"/>
      <c r="GB390" s="9"/>
      <c r="GC390" s="9"/>
      <c r="GD390" s="9"/>
      <c r="GE390" s="9"/>
      <c r="GF390" s="9"/>
      <c r="GG390" s="9"/>
      <c r="GH390" s="9"/>
      <c r="GI390" s="9"/>
      <c r="GJ390" s="9"/>
      <c r="GK390" s="9"/>
      <c r="GL390" s="9"/>
      <c r="GM390" s="9"/>
      <c r="GN390" s="9"/>
      <c r="GO390" s="9"/>
      <c r="GP390" s="9"/>
      <c r="GQ390" s="9"/>
      <c r="GR390" s="9"/>
      <c r="GS390" s="9"/>
      <c r="GT390" s="9"/>
      <c r="GU390" s="9"/>
      <c r="GV390" s="9"/>
      <c r="GW390" s="9"/>
      <c r="GX390" s="9"/>
      <c r="GY390" s="9"/>
      <c r="GZ390" s="9"/>
      <c r="HA390" s="9"/>
      <c r="HB390" s="9"/>
      <c r="HC390" s="9"/>
      <c r="HD390" s="9"/>
      <c r="HE390" s="9"/>
      <c r="HF390" s="9"/>
      <c r="HG390" s="9"/>
      <c r="HH390" s="9"/>
      <c r="HI390" s="9"/>
      <c r="HJ390" s="9"/>
      <c r="HT390" s="90">
        <v>38838</v>
      </c>
      <c r="HV390" s="50"/>
      <c r="HW390" s="50"/>
      <c r="IH390" t="s">
        <v>1045</v>
      </c>
      <c r="II390" t="s">
        <v>492</v>
      </c>
      <c r="IN390" s="78"/>
      <c r="JJ390" t="s">
        <v>1045</v>
      </c>
      <c r="JK390" s="75" t="s">
        <v>682</v>
      </c>
      <c r="MY390" t="s">
        <v>1061</v>
      </c>
      <c r="MZ390">
        <v>120</v>
      </c>
      <c r="NI390" t="s">
        <v>1064</v>
      </c>
      <c r="NJ390" s="78" t="s">
        <v>1065</v>
      </c>
      <c r="NL390" s="92" t="s">
        <v>944</v>
      </c>
      <c r="NM390" s="91" t="s">
        <v>1008</v>
      </c>
      <c r="NU390" t="s">
        <v>536</v>
      </c>
      <c r="NV390" t="s">
        <v>518</v>
      </c>
      <c r="NW390">
        <v>126528.22</v>
      </c>
      <c r="NX390" s="79" t="s">
        <v>480</v>
      </c>
      <c r="NY390" s="79" t="s">
        <v>480</v>
      </c>
      <c r="NZ390" s="93"/>
      <c r="OB390">
        <v>3</v>
      </c>
      <c r="OU390" t="s">
        <v>1043</v>
      </c>
      <c r="OV390" s="3" t="s">
        <v>1044</v>
      </c>
      <c r="OX390">
        <v>2006</v>
      </c>
      <c r="OY390">
        <v>2007</v>
      </c>
      <c r="PB390" t="s">
        <v>522</v>
      </c>
      <c r="PC390" s="50">
        <v>46105</v>
      </c>
    </row>
    <row r="391" spans="1:419" ht="15.75" thickBot="1">
      <c r="A391" t="s">
        <v>469</v>
      </c>
      <c r="B391" t="s">
        <v>1032</v>
      </c>
      <c r="C391" t="s">
        <v>863</v>
      </c>
      <c r="D391" s="4" t="s">
        <v>950</v>
      </c>
      <c r="E391" t="s">
        <v>1033</v>
      </c>
      <c r="F391" s="89" t="s">
        <v>952</v>
      </c>
      <c r="G391" s="78" t="s">
        <v>475</v>
      </c>
      <c r="H391" s="78" t="s">
        <v>476</v>
      </c>
      <c r="I391">
        <v>7.25</v>
      </c>
      <c r="J391">
        <v>3.4166666669999999</v>
      </c>
      <c r="K391" s="78">
        <v>1000</v>
      </c>
      <c r="AV391" t="s">
        <v>1034</v>
      </c>
      <c r="AW391">
        <v>3240</v>
      </c>
      <c r="AX391">
        <v>1.2E-2</v>
      </c>
      <c r="AY391">
        <v>1</v>
      </c>
      <c r="BA391">
        <v>2006</v>
      </c>
      <c r="BB391">
        <v>2007</v>
      </c>
      <c r="BD391" t="s">
        <v>1048</v>
      </c>
      <c r="BE391" t="s">
        <v>483</v>
      </c>
      <c r="BF391" s="69" t="s">
        <v>484</v>
      </c>
      <c r="BG391" t="s">
        <v>1038</v>
      </c>
      <c r="BH391" t="s">
        <v>1049</v>
      </c>
      <c r="BI391" s="78" t="s">
        <v>486</v>
      </c>
      <c r="BJ391">
        <v>20000</v>
      </c>
      <c r="EG391" s="9"/>
      <c r="EH391" s="9"/>
      <c r="EI391" s="9"/>
      <c r="EJ391" s="9"/>
      <c r="EK391" s="9"/>
      <c r="EL391" s="9"/>
      <c r="EM391" s="9"/>
      <c r="EN391" s="9"/>
      <c r="EO391" s="9"/>
      <c r="EP391" s="9"/>
      <c r="EQ391" s="9"/>
      <c r="ER391" s="9"/>
      <c r="ES391" s="9"/>
      <c r="ET391" s="9"/>
      <c r="EU391" s="9"/>
      <c r="EV391" s="9"/>
      <c r="EW391" s="9"/>
      <c r="EX391" s="9"/>
      <c r="EY391" s="9"/>
      <c r="EZ391" s="9"/>
      <c r="FA391" s="9"/>
      <c r="FB391" s="9"/>
      <c r="FC391" s="9"/>
      <c r="FD391" s="9"/>
      <c r="FE391" s="9"/>
      <c r="FF391" s="9"/>
      <c r="FG391" s="9"/>
      <c r="FH391" s="9"/>
      <c r="FI391" s="9"/>
      <c r="FJ391" s="9"/>
      <c r="FK391" s="9"/>
      <c r="FL391" s="9"/>
      <c r="FM391" s="9"/>
      <c r="FN391" s="9"/>
      <c r="FO391" s="9"/>
      <c r="FP391" s="9"/>
      <c r="FQ391" s="9"/>
      <c r="FR391" s="9"/>
      <c r="FS391" s="9"/>
      <c r="FT391" s="9"/>
      <c r="FU391" s="9"/>
      <c r="FV391" s="9"/>
      <c r="FW391" s="9"/>
      <c r="FX391" s="9"/>
      <c r="FY391" s="9"/>
      <c r="FZ391" s="9"/>
      <c r="GA391" s="9"/>
      <c r="GB391" s="9"/>
      <c r="GC391" s="9"/>
      <c r="GD391" s="9"/>
      <c r="GE391" s="9"/>
      <c r="GF391" s="9"/>
      <c r="GG391" s="9"/>
      <c r="GH391" s="9"/>
      <c r="GI391" s="9"/>
      <c r="GJ391" s="9"/>
      <c r="GK391" s="9"/>
      <c r="GL391" s="9"/>
      <c r="GM391" s="9"/>
      <c r="GN391" s="9"/>
      <c r="GO391" s="9"/>
      <c r="GP391" s="9"/>
      <c r="GQ391" s="9"/>
      <c r="GR391" s="9"/>
      <c r="GS391" s="9"/>
      <c r="GT391" s="9"/>
      <c r="GU391" s="9"/>
      <c r="GV391" s="9"/>
      <c r="GW391" s="9"/>
      <c r="GX391" s="9"/>
      <c r="GY391" s="9"/>
      <c r="GZ391" s="9"/>
      <c r="HA391" s="9"/>
      <c r="HB391" s="9"/>
      <c r="HC391" s="9"/>
      <c r="HD391" s="9"/>
      <c r="HE391" s="9"/>
      <c r="HF391" s="9"/>
      <c r="HG391" s="9"/>
      <c r="HH391" s="9"/>
      <c r="HI391" s="9"/>
      <c r="HJ391" s="9"/>
      <c r="HT391" s="90">
        <v>38838</v>
      </c>
      <c r="HV391" s="50"/>
      <c r="HW391" s="50"/>
      <c r="IH391" t="s">
        <v>1048</v>
      </c>
      <c r="II391" t="s">
        <v>492</v>
      </c>
      <c r="IN391" s="78"/>
      <c r="JJ391" t="s">
        <v>1048</v>
      </c>
      <c r="JK391" s="75" t="s">
        <v>682</v>
      </c>
      <c r="MY391" t="s">
        <v>1061</v>
      </c>
      <c r="MZ391">
        <v>120</v>
      </c>
      <c r="NI391" t="s">
        <v>1064</v>
      </c>
      <c r="NJ391" s="78" t="s">
        <v>1065</v>
      </c>
      <c r="NL391" s="92" t="s">
        <v>944</v>
      </c>
      <c r="NM391" s="91" t="s">
        <v>1008</v>
      </c>
      <c r="NU391" t="s">
        <v>536</v>
      </c>
      <c r="NV391" t="s">
        <v>518</v>
      </c>
      <c r="NW391">
        <v>142915.42000000001</v>
      </c>
      <c r="NX391" s="79" t="s">
        <v>480</v>
      </c>
      <c r="NY391" s="79" t="s">
        <v>480</v>
      </c>
      <c r="NZ391" s="93"/>
      <c r="OB391">
        <v>3</v>
      </c>
      <c r="OU391" t="s">
        <v>1043</v>
      </c>
      <c r="OV391" s="3" t="s">
        <v>1044</v>
      </c>
      <c r="OX391">
        <v>2006</v>
      </c>
      <c r="OY391">
        <v>2007</v>
      </c>
      <c r="PB391" t="s">
        <v>522</v>
      </c>
      <c r="PC391" s="50">
        <v>46105</v>
      </c>
    </row>
    <row r="392" spans="1:419" ht="15.75" thickBot="1">
      <c r="A392" t="s">
        <v>469</v>
      </c>
      <c r="B392" t="s">
        <v>1032</v>
      </c>
      <c r="C392" t="s">
        <v>863</v>
      </c>
      <c r="D392" s="4" t="s">
        <v>950</v>
      </c>
      <c r="E392" t="s">
        <v>1033</v>
      </c>
      <c r="F392" s="89" t="s">
        <v>952</v>
      </c>
      <c r="G392" s="78" t="s">
        <v>475</v>
      </c>
      <c r="H392" s="78" t="s">
        <v>476</v>
      </c>
      <c r="I392">
        <v>7.25</v>
      </c>
      <c r="J392">
        <v>3.4166666669999999</v>
      </c>
      <c r="K392" s="78">
        <v>1000</v>
      </c>
      <c r="AV392" t="s">
        <v>1034</v>
      </c>
      <c r="AW392">
        <v>3240</v>
      </c>
      <c r="AX392">
        <v>1.2E-2</v>
      </c>
      <c r="AY392">
        <v>1</v>
      </c>
      <c r="BA392">
        <v>2006</v>
      </c>
      <c r="BB392">
        <v>2007</v>
      </c>
      <c r="BD392" t="s">
        <v>1051</v>
      </c>
      <c r="BE392" t="s">
        <v>593</v>
      </c>
      <c r="BF392" s="69" t="s">
        <v>484</v>
      </c>
      <c r="BG392" t="s">
        <v>1038</v>
      </c>
      <c r="BH392" t="s">
        <v>866</v>
      </c>
      <c r="BI392" s="78" t="s">
        <v>486</v>
      </c>
      <c r="BJ392">
        <v>20000</v>
      </c>
      <c r="EG392" s="9"/>
      <c r="EH392" s="9"/>
      <c r="EI392" s="9"/>
      <c r="EJ392" s="9"/>
      <c r="EK392" s="9"/>
      <c r="EL392" s="9"/>
      <c r="EM392" s="9"/>
      <c r="EN392" s="9"/>
      <c r="EO392" s="9"/>
      <c r="EP392" s="9"/>
      <c r="EQ392" s="9"/>
      <c r="ER392" s="9"/>
      <c r="ES392" s="9"/>
      <c r="ET392" s="9"/>
      <c r="EU392" s="9"/>
      <c r="EV392" s="9"/>
      <c r="EW392" s="9"/>
      <c r="EX392" s="9"/>
      <c r="EY392" s="9"/>
      <c r="EZ392" s="9"/>
      <c r="FA392" s="9"/>
      <c r="FB392" s="9"/>
      <c r="FC392" s="9"/>
      <c r="FD392" s="9"/>
      <c r="FE392" s="9"/>
      <c r="FF392" s="9"/>
      <c r="FG392" s="9"/>
      <c r="FH392" s="9"/>
      <c r="FI392" s="9"/>
      <c r="FJ392" s="9"/>
      <c r="FK392" s="9"/>
      <c r="FL392" s="9"/>
      <c r="FM392" s="9"/>
      <c r="FN392" s="9"/>
      <c r="FO392" s="9"/>
      <c r="FP392" s="9"/>
      <c r="FQ392" s="9"/>
      <c r="FR392" s="9"/>
      <c r="FS392" s="9"/>
      <c r="FT392" s="9"/>
      <c r="FU392" s="9"/>
      <c r="FV392" s="9"/>
      <c r="FW392" s="9"/>
      <c r="FX392" s="9"/>
      <c r="FY392" s="9"/>
      <c r="FZ392" s="9"/>
      <c r="GA392" s="9"/>
      <c r="GB392" s="9"/>
      <c r="GC392" s="9"/>
      <c r="GD392" s="9"/>
      <c r="GE392" s="9"/>
      <c r="GF392" s="9"/>
      <c r="GG392" s="9"/>
      <c r="GH392" s="9"/>
      <c r="GI392" s="9"/>
      <c r="GJ392" s="9"/>
      <c r="GK392" s="9"/>
      <c r="GL392" s="9"/>
      <c r="GM392" s="9"/>
      <c r="GN392" s="9"/>
      <c r="GO392" s="9"/>
      <c r="GP392" s="9"/>
      <c r="GQ392" s="9"/>
      <c r="GR392" s="9"/>
      <c r="GS392" s="9"/>
      <c r="GT392" s="9"/>
      <c r="GU392" s="9"/>
      <c r="GV392" s="9"/>
      <c r="GW392" s="9"/>
      <c r="GX392" s="9"/>
      <c r="GY392" s="9"/>
      <c r="GZ392" s="9"/>
      <c r="HA392" s="9"/>
      <c r="HB392" s="9"/>
      <c r="HC392" s="9"/>
      <c r="HD392" s="9"/>
      <c r="HE392" s="9"/>
      <c r="HF392" s="9"/>
      <c r="HG392" s="9"/>
      <c r="HH392" s="9"/>
      <c r="HI392" s="9"/>
      <c r="HJ392" s="9"/>
      <c r="HT392" s="90">
        <v>38838</v>
      </c>
      <c r="HV392" s="50"/>
      <c r="HW392" s="50"/>
      <c r="IH392" t="s">
        <v>1051</v>
      </c>
      <c r="II392" t="s">
        <v>492</v>
      </c>
      <c r="JJ392" t="s">
        <v>1051</v>
      </c>
      <c r="JK392" s="75" t="s">
        <v>595</v>
      </c>
      <c r="JV392" s="8" t="s">
        <v>595</v>
      </c>
      <c r="JW392" s="8" t="s">
        <v>1052</v>
      </c>
      <c r="JX392" t="s">
        <v>508</v>
      </c>
      <c r="JY392">
        <v>40000</v>
      </c>
      <c r="MY392" t="s">
        <v>1061</v>
      </c>
      <c r="MZ392">
        <v>120</v>
      </c>
      <c r="NI392" t="s">
        <v>1066</v>
      </c>
      <c r="NJ392" s="78" t="s">
        <v>1065</v>
      </c>
      <c r="NL392" s="92" t="s">
        <v>944</v>
      </c>
      <c r="NM392" s="91" t="s">
        <v>1008</v>
      </c>
      <c r="NU392" t="s">
        <v>566</v>
      </c>
      <c r="NV392" t="s">
        <v>518</v>
      </c>
      <c r="NW392">
        <v>181572.72999999998</v>
      </c>
      <c r="NX392" s="79" t="s">
        <v>480</v>
      </c>
      <c r="NY392" s="79" t="s">
        <v>480</v>
      </c>
      <c r="NZ392" s="93"/>
      <c r="OB392">
        <v>3</v>
      </c>
      <c r="OU392" t="s">
        <v>1053</v>
      </c>
      <c r="OV392" s="3" t="s">
        <v>1044</v>
      </c>
      <c r="OX392">
        <v>2006</v>
      </c>
      <c r="OY392">
        <v>2007</v>
      </c>
      <c r="PB392" t="s">
        <v>522</v>
      </c>
      <c r="PC392" s="50">
        <v>46105</v>
      </c>
    </row>
    <row r="393" spans="1:419" ht="15.75" thickBot="1">
      <c r="A393" t="s">
        <v>469</v>
      </c>
      <c r="B393" t="s">
        <v>1032</v>
      </c>
      <c r="C393" t="s">
        <v>863</v>
      </c>
      <c r="D393" s="4" t="s">
        <v>950</v>
      </c>
      <c r="E393" t="s">
        <v>1033</v>
      </c>
      <c r="F393" s="89" t="s">
        <v>952</v>
      </c>
      <c r="G393" s="78" t="s">
        <v>475</v>
      </c>
      <c r="H393" s="78" t="s">
        <v>476</v>
      </c>
      <c r="I393">
        <v>7.25</v>
      </c>
      <c r="J393">
        <v>3.4166666669999999</v>
      </c>
      <c r="K393" s="78">
        <v>1000</v>
      </c>
      <c r="AV393" t="s">
        <v>1034</v>
      </c>
      <c r="AW393">
        <v>3240</v>
      </c>
      <c r="AX393">
        <v>1.2E-2</v>
      </c>
      <c r="AY393">
        <v>1</v>
      </c>
      <c r="BA393">
        <v>2006</v>
      </c>
      <c r="BB393">
        <v>2007</v>
      </c>
      <c r="BD393" t="s">
        <v>1054</v>
      </c>
      <c r="BE393" t="s">
        <v>602</v>
      </c>
      <c r="BF393" s="69" t="s">
        <v>484</v>
      </c>
      <c r="BG393" t="s">
        <v>1038</v>
      </c>
      <c r="BH393" t="s">
        <v>866</v>
      </c>
      <c r="BI393" s="78" t="s">
        <v>486</v>
      </c>
      <c r="BJ393">
        <v>20000</v>
      </c>
      <c r="EG393" s="9"/>
      <c r="EH393" s="9"/>
      <c r="EI393" s="9"/>
      <c r="EJ393" s="9"/>
      <c r="EK393" s="9"/>
      <c r="EL393" s="9"/>
      <c r="EM393" s="9"/>
      <c r="EN393" s="9"/>
      <c r="EO393" s="9"/>
      <c r="EP393" s="9"/>
      <c r="EQ393" s="9"/>
      <c r="ER393" s="9"/>
      <c r="ES393" s="9"/>
      <c r="ET393" s="9"/>
      <c r="EU393" s="9"/>
      <c r="EV393" s="9"/>
      <c r="EW393" s="9"/>
      <c r="EX393" s="9"/>
      <c r="EY393" s="9"/>
      <c r="EZ393" s="9"/>
      <c r="FA393" s="9"/>
      <c r="FB393" s="9"/>
      <c r="FC393" s="9"/>
      <c r="FD393" s="9"/>
      <c r="FE393" s="9"/>
      <c r="FF393" s="9"/>
      <c r="FG393" s="9"/>
      <c r="FH393" s="9"/>
      <c r="FI393" s="9"/>
      <c r="FJ393" s="9"/>
      <c r="FK393" s="9"/>
      <c r="FL393" s="9"/>
      <c r="FM393" s="9"/>
      <c r="FN393" s="9"/>
      <c r="FO393" s="9"/>
      <c r="FP393" s="9"/>
      <c r="FQ393" s="9"/>
      <c r="FR393" s="9"/>
      <c r="FS393" s="9"/>
      <c r="FT393" s="9"/>
      <c r="FU393" s="9"/>
      <c r="FV393" s="9"/>
      <c r="FW393" s="9"/>
      <c r="FX393" s="9"/>
      <c r="FY393" s="9"/>
      <c r="FZ393" s="9"/>
      <c r="GA393" s="9"/>
      <c r="GB393" s="9"/>
      <c r="GC393" s="9"/>
      <c r="GD393" s="9"/>
      <c r="GE393" s="9"/>
      <c r="GF393" s="9"/>
      <c r="GG393" s="9"/>
      <c r="GH393" s="9"/>
      <c r="GI393" s="9"/>
      <c r="GJ393" s="9"/>
      <c r="GK393" s="9"/>
      <c r="GL393" s="9"/>
      <c r="GM393" s="9"/>
      <c r="GN393" s="9"/>
      <c r="GO393" s="9"/>
      <c r="GP393" s="9"/>
      <c r="GQ393" s="9"/>
      <c r="GR393" s="9"/>
      <c r="GS393" s="9"/>
      <c r="GT393" s="9"/>
      <c r="GU393" s="9"/>
      <c r="GV393" s="9"/>
      <c r="GW393" s="9"/>
      <c r="GX393" s="9"/>
      <c r="GY393" s="9"/>
      <c r="GZ393" s="9"/>
      <c r="HA393" s="9"/>
      <c r="HB393" s="9"/>
      <c r="HC393" s="9"/>
      <c r="HD393" s="9"/>
      <c r="HE393" s="9"/>
      <c r="HF393" s="9"/>
      <c r="HG393" s="9"/>
      <c r="HH393" s="9"/>
      <c r="HI393" s="9"/>
      <c r="HJ393" s="9"/>
      <c r="HT393" s="90">
        <v>38838</v>
      </c>
      <c r="HV393" s="50"/>
      <c r="HW393" s="50"/>
      <c r="IH393" t="s">
        <v>1054</v>
      </c>
      <c r="II393" t="s">
        <v>492</v>
      </c>
      <c r="JJ393" t="s">
        <v>1054</v>
      </c>
      <c r="JK393" s="75" t="s">
        <v>595</v>
      </c>
      <c r="JV393" s="8" t="s">
        <v>595</v>
      </c>
      <c r="JW393" s="8" t="s">
        <v>1052</v>
      </c>
      <c r="JX393" t="s">
        <v>508</v>
      </c>
      <c r="JY393">
        <v>80000</v>
      </c>
      <c r="MY393" t="s">
        <v>1061</v>
      </c>
      <c r="MZ393">
        <v>120</v>
      </c>
      <c r="NI393" t="s">
        <v>1066</v>
      </c>
      <c r="NJ393" s="78" t="s">
        <v>1065</v>
      </c>
      <c r="NL393" s="92" t="s">
        <v>944</v>
      </c>
      <c r="NM393" s="91" t="s">
        <v>1008</v>
      </c>
      <c r="NU393" t="s">
        <v>572</v>
      </c>
      <c r="NV393" t="s">
        <v>518</v>
      </c>
      <c r="NW393">
        <v>199425.33</v>
      </c>
      <c r="NX393" s="79" t="s">
        <v>480</v>
      </c>
      <c r="NY393" s="79" t="s">
        <v>480</v>
      </c>
      <c r="NZ393" s="93"/>
      <c r="OB393">
        <v>3</v>
      </c>
      <c r="OU393" t="s">
        <v>1053</v>
      </c>
      <c r="OV393" s="3" t="s">
        <v>1044</v>
      </c>
      <c r="OX393">
        <v>2006</v>
      </c>
      <c r="OY393">
        <v>2007</v>
      </c>
      <c r="PB393" t="s">
        <v>522</v>
      </c>
      <c r="PC393" s="50">
        <v>46105</v>
      </c>
    </row>
    <row r="394" spans="1:419" ht="15.75" thickBot="1">
      <c r="A394" t="s">
        <v>469</v>
      </c>
      <c r="B394" t="s">
        <v>1032</v>
      </c>
      <c r="C394" t="s">
        <v>863</v>
      </c>
      <c r="D394" s="4" t="s">
        <v>950</v>
      </c>
      <c r="E394" t="s">
        <v>1033</v>
      </c>
      <c r="F394" s="89" t="s">
        <v>952</v>
      </c>
      <c r="G394" s="78" t="s">
        <v>475</v>
      </c>
      <c r="H394" s="78" t="s">
        <v>476</v>
      </c>
      <c r="I394">
        <v>7.25</v>
      </c>
      <c r="J394">
        <v>3.4166666669999999</v>
      </c>
      <c r="K394" s="78">
        <v>1000</v>
      </c>
      <c r="AV394" t="s">
        <v>1034</v>
      </c>
      <c r="AW394">
        <v>3240</v>
      </c>
      <c r="AX394">
        <v>1.2E-2</v>
      </c>
      <c r="AY394">
        <v>1</v>
      </c>
      <c r="BA394">
        <v>2006</v>
      </c>
      <c r="BB394">
        <v>2007</v>
      </c>
      <c r="BD394" t="s">
        <v>1055</v>
      </c>
      <c r="BE394" t="s">
        <v>621</v>
      </c>
      <c r="BF394" s="69" t="s">
        <v>484</v>
      </c>
      <c r="BG394" t="s">
        <v>1036</v>
      </c>
      <c r="BH394" t="s">
        <v>1037</v>
      </c>
      <c r="BI394" s="78" t="s">
        <v>486</v>
      </c>
      <c r="BJ394">
        <v>1330</v>
      </c>
      <c r="EG394" s="9"/>
      <c r="EH394" s="9"/>
      <c r="EI394" s="9"/>
      <c r="EJ394" s="9"/>
      <c r="EK394" s="9"/>
      <c r="EL394" s="9"/>
      <c r="EM394" s="9"/>
      <c r="EN394" s="9"/>
      <c r="EO394" s="9"/>
      <c r="EP394" s="9"/>
      <c r="EQ394" s="9"/>
      <c r="ER394" s="9"/>
      <c r="ES394" s="9"/>
      <c r="ET394" s="9"/>
      <c r="EU394" s="9"/>
      <c r="EV394" s="9"/>
      <c r="EW394" s="9"/>
      <c r="EX394" s="9"/>
      <c r="EY394" s="9"/>
      <c r="EZ394" s="9"/>
      <c r="FA394" s="9"/>
      <c r="FB394" s="9"/>
      <c r="FC394" s="9"/>
      <c r="FD394" s="9"/>
      <c r="FE394" s="9"/>
      <c r="FF394" s="9"/>
      <c r="FG394" s="9"/>
      <c r="FH394" s="9"/>
      <c r="FI394" s="9"/>
      <c r="FJ394" s="9"/>
      <c r="FK394" s="9"/>
      <c r="FL394" s="9"/>
      <c r="FM394" s="9"/>
      <c r="FN394" s="9"/>
      <c r="FO394" s="9"/>
      <c r="FP394" s="9"/>
      <c r="FQ394" s="9"/>
      <c r="FR394" s="9"/>
      <c r="FS394" s="9"/>
      <c r="FT394" s="9"/>
      <c r="FU394" s="9"/>
      <c r="FV394" s="9"/>
      <c r="FW394" s="9"/>
      <c r="FX394" s="9"/>
      <c r="FY394" s="9"/>
      <c r="FZ394" s="9"/>
      <c r="GA394" s="9"/>
      <c r="GB394" s="9"/>
      <c r="GC394" s="9"/>
      <c r="GD394" s="9"/>
      <c r="GE394" s="9"/>
      <c r="GF394" s="9"/>
      <c r="GG394" s="9"/>
      <c r="GH394" s="9"/>
      <c r="GI394" s="9"/>
      <c r="GJ394" s="9"/>
      <c r="GK394" s="9"/>
      <c r="GL394" s="9"/>
      <c r="GM394" s="9"/>
      <c r="GN394" s="9"/>
      <c r="GO394" s="9"/>
      <c r="GP394" s="9"/>
      <c r="GQ394" s="9"/>
      <c r="GR394" s="9"/>
      <c r="GS394" s="9"/>
      <c r="GT394" s="9"/>
      <c r="GU394" s="9"/>
      <c r="GV394" s="9"/>
      <c r="GW394" s="9"/>
      <c r="GX394" s="9"/>
      <c r="GY394" s="9"/>
      <c r="GZ394" s="9"/>
      <c r="HA394" s="9"/>
      <c r="HB394" s="9"/>
      <c r="HC394" s="9"/>
      <c r="HD394" s="9"/>
      <c r="HE394" s="9"/>
      <c r="HF394" s="9"/>
      <c r="HG394" s="9"/>
      <c r="HH394" s="9"/>
      <c r="HI394" s="9"/>
      <c r="HJ394" s="9"/>
      <c r="HT394" s="90">
        <v>38838</v>
      </c>
      <c r="HV394" s="50"/>
      <c r="HW394" s="50"/>
      <c r="IH394" t="s">
        <v>1055</v>
      </c>
      <c r="II394" t="s">
        <v>492</v>
      </c>
      <c r="JJ394" t="s">
        <v>1055</v>
      </c>
      <c r="JK394" s="75" t="s">
        <v>595</v>
      </c>
      <c r="JV394" s="8" t="s">
        <v>595</v>
      </c>
      <c r="JW394" s="8" t="s">
        <v>1052</v>
      </c>
      <c r="JX394" t="s">
        <v>508</v>
      </c>
      <c r="JY394">
        <v>40000</v>
      </c>
      <c r="MY394" t="s">
        <v>1061</v>
      </c>
      <c r="MZ394">
        <v>120</v>
      </c>
      <c r="NI394" t="s">
        <v>1066</v>
      </c>
      <c r="NJ394" s="78" t="s">
        <v>1065</v>
      </c>
      <c r="NL394" s="92" t="s">
        <v>944</v>
      </c>
      <c r="NM394" s="91" t="s">
        <v>1008</v>
      </c>
      <c r="NU394" t="s">
        <v>566</v>
      </c>
      <c r="NV394" t="s">
        <v>518</v>
      </c>
      <c r="NW394">
        <v>160145.98000000001</v>
      </c>
      <c r="NX394" s="79" t="s">
        <v>480</v>
      </c>
      <c r="NY394" s="79" t="s">
        <v>480</v>
      </c>
      <c r="NZ394" s="93"/>
      <c r="OB394">
        <v>3</v>
      </c>
      <c r="OU394" t="s">
        <v>1056</v>
      </c>
      <c r="OV394" s="3" t="s">
        <v>1044</v>
      </c>
      <c r="OX394">
        <v>2006</v>
      </c>
      <c r="OY394">
        <v>2007</v>
      </c>
      <c r="PB394" t="s">
        <v>522</v>
      </c>
      <c r="PC394" s="50">
        <v>46105</v>
      </c>
    </row>
    <row r="395" spans="1:419" ht="15.75" thickBot="1">
      <c r="A395" t="s">
        <v>469</v>
      </c>
      <c r="B395" t="s">
        <v>1032</v>
      </c>
      <c r="C395" t="s">
        <v>863</v>
      </c>
      <c r="D395" s="4" t="s">
        <v>950</v>
      </c>
      <c r="E395" t="s">
        <v>1033</v>
      </c>
      <c r="F395" s="89" t="s">
        <v>952</v>
      </c>
      <c r="G395" s="78" t="s">
        <v>475</v>
      </c>
      <c r="H395" s="78" t="s">
        <v>476</v>
      </c>
      <c r="I395">
        <v>7.25</v>
      </c>
      <c r="J395">
        <v>3.4166666669999999</v>
      </c>
      <c r="K395" s="78">
        <v>1000</v>
      </c>
      <c r="AV395" t="s">
        <v>1034</v>
      </c>
      <c r="AW395">
        <v>3240</v>
      </c>
      <c r="AX395">
        <v>1.2E-2</v>
      </c>
      <c r="AY395">
        <v>1</v>
      </c>
      <c r="BA395">
        <v>2006</v>
      </c>
      <c r="BB395">
        <v>2007</v>
      </c>
      <c r="BD395" t="s">
        <v>1057</v>
      </c>
      <c r="BE395" t="s">
        <v>630</v>
      </c>
      <c r="BF395" s="69" t="s">
        <v>484</v>
      </c>
      <c r="BG395" t="s">
        <v>1036</v>
      </c>
      <c r="BH395" t="s">
        <v>1037</v>
      </c>
      <c r="BI395" s="78" t="s">
        <v>486</v>
      </c>
      <c r="BJ395">
        <v>1330</v>
      </c>
      <c r="EG395" s="9"/>
      <c r="EH395" s="9"/>
      <c r="EI395" s="9"/>
      <c r="EJ395" s="9"/>
      <c r="EK395" s="9"/>
      <c r="EL395" s="9"/>
      <c r="EM395" s="9"/>
      <c r="EN395" s="9"/>
      <c r="EO395" s="9"/>
      <c r="EP395" s="9"/>
      <c r="EQ395" s="9"/>
      <c r="ER395" s="9"/>
      <c r="ES395" s="9"/>
      <c r="ET395" s="9"/>
      <c r="EU395" s="9"/>
      <c r="EV395" s="9"/>
      <c r="EW395" s="9"/>
      <c r="EX395" s="9"/>
      <c r="EY395" s="9"/>
      <c r="EZ395" s="9"/>
      <c r="FA395" s="9"/>
      <c r="FB395" s="9"/>
      <c r="FC395" s="9"/>
      <c r="FD395" s="9"/>
      <c r="FE395" s="9"/>
      <c r="FF395" s="9"/>
      <c r="FG395" s="9"/>
      <c r="FH395" s="9"/>
      <c r="FI395" s="9"/>
      <c r="FJ395" s="9"/>
      <c r="FK395" s="9"/>
      <c r="FL395" s="9"/>
      <c r="FM395" s="9"/>
      <c r="FN395" s="9"/>
      <c r="FO395" s="9"/>
      <c r="FP395" s="9"/>
      <c r="FQ395" s="9"/>
      <c r="FR395" s="9"/>
      <c r="FS395" s="9"/>
      <c r="FT395" s="9"/>
      <c r="FU395" s="9"/>
      <c r="FV395" s="9"/>
      <c r="FW395" s="9"/>
      <c r="FX395" s="9"/>
      <c r="FY395" s="9"/>
      <c r="FZ395" s="9"/>
      <c r="GA395" s="9"/>
      <c r="GB395" s="9"/>
      <c r="GC395" s="9"/>
      <c r="GD395" s="9"/>
      <c r="GE395" s="9"/>
      <c r="GF395" s="9"/>
      <c r="GG395" s="9"/>
      <c r="GH395" s="9"/>
      <c r="GI395" s="9"/>
      <c r="GJ395" s="9"/>
      <c r="GK395" s="9"/>
      <c r="GL395" s="9"/>
      <c r="GM395" s="9"/>
      <c r="GN395" s="9"/>
      <c r="GO395" s="9"/>
      <c r="GP395" s="9"/>
      <c r="GQ395" s="9"/>
      <c r="GR395" s="9"/>
      <c r="GS395" s="9"/>
      <c r="GT395" s="9"/>
      <c r="GU395" s="9"/>
      <c r="GV395" s="9"/>
      <c r="GW395" s="9"/>
      <c r="GX395" s="9"/>
      <c r="GY395" s="9"/>
      <c r="GZ395" s="9"/>
      <c r="HA395" s="9"/>
      <c r="HB395" s="9"/>
      <c r="HC395" s="9"/>
      <c r="HD395" s="9"/>
      <c r="HE395" s="9"/>
      <c r="HF395" s="9"/>
      <c r="HG395" s="9"/>
      <c r="HH395" s="9"/>
      <c r="HI395" s="9"/>
      <c r="HJ395" s="9"/>
      <c r="HT395" s="90">
        <v>38838</v>
      </c>
      <c r="HV395" s="50"/>
      <c r="HW395" s="50"/>
      <c r="IH395" t="s">
        <v>1057</v>
      </c>
      <c r="II395" t="s">
        <v>492</v>
      </c>
      <c r="JJ395" t="s">
        <v>1057</v>
      </c>
      <c r="JK395" s="75" t="s">
        <v>595</v>
      </c>
      <c r="JV395" s="8" t="s">
        <v>595</v>
      </c>
      <c r="JW395" s="8" t="s">
        <v>1052</v>
      </c>
      <c r="JX395" t="s">
        <v>508</v>
      </c>
      <c r="JY395">
        <v>80000</v>
      </c>
      <c r="MY395" t="s">
        <v>1061</v>
      </c>
      <c r="MZ395">
        <v>120</v>
      </c>
      <c r="NI395" t="s">
        <v>1066</v>
      </c>
      <c r="NJ395" s="78" t="s">
        <v>1065</v>
      </c>
      <c r="NL395" s="92" t="s">
        <v>944</v>
      </c>
      <c r="NM395" s="91" t="s">
        <v>1008</v>
      </c>
      <c r="NU395" t="s">
        <v>572</v>
      </c>
      <c r="NV395" t="s">
        <v>518</v>
      </c>
      <c r="NW395" s="93">
        <v>186865.98</v>
      </c>
      <c r="NX395" s="79" t="s">
        <v>480</v>
      </c>
      <c r="NY395" s="79" t="s">
        <v>480</v>
      </c>
      <c r="NZ395" s="93"/>
      <c r="OB395">
        <v>3</v>
      </c>
      <c r="OU395" t="s">
        <v>1056</v>
      </c>
      <c r="OV395" s="3" t="s">
        <v>1044</v>
      </c>
      <c r="OX395">
        <v>2006</v>
      </c>
      <c r="OY395">
        <v>2007</v>
      </c>
      <c r="PB395" t="s">
        <v>522</v>
      </c>
      <c r="PC395" s="50">
        <v>46105</v>
      </c>
    </row>
    <row r="396" spans="1:419" ht="15.75" thickBot="1">
      <c r="A396" t="s">
        <v>469</v>
      </c>
      <c r="B396" t="s">
        <v>1032</v>
      </c>
      <c r="C396" t="s">
        <v>863</v>
      </c>
      <c r="D396" s="4" t="s">
        <v>950</v>
      </c>
      <c r="E396" t="s">
        <v>1033</v>
      </c>
      <c r="F396" s="89" t="s">
        <v>952</v>
      </c>
      <c r="G396" s="78" t="s">
        <v>475</v>
      </c>
      <c r="H396" s="78" t="s">
        <v>476</v>
      </c>
      <c r="I396">
        <v>7.25</v>
      </c>
      <c r="J396">
        <v>3.4166666669999999</v>
      </c>
      <c r="K396" s="78">
        <v>1000</v>
      </c>
      <c r="AV396" t="s">
        <v>1034</v>
      </c>
      <c r="AW396">
        <v>3240</v>
      </c>
      <c r="AX396">
        <v>1.2E-2</v>
      </c>
      <c r="AY396">
        <v>1</v>
      </c>
      <c r="BA396">
        <v>2006</v>
      </c>
      <c r="BB396">
        <v>2007</v>
      </c>
      <c r="BD396" t="s">
        <v>1058</v>
      </c>
      <c r="BE396" t="s">
        <v>566</v>
      </c>
      <c r="BF396" s="69" t="s">
        <v>484</v>
      </c>
      <c r="BG396" t="s">
        <v>1036</v>
      </c>
      <c r="BH396" t="s">
        <v>1037</v>
      </c>
      <c r="BI396" s="78" t="s">
        <v>486</v>
      </c>
      <c r="BJ396">
        <v>1330</v>
      </c>
      <c r="BK396" t="s">
        <v>537</v>
      </c>
      <c r="BL396" t="s">
        <v>1038</v>
      </c>
      <c r="BM396" t="s">
        <v>866</v>
      </c>
      <c r="BN396" s="78" t="s">
        <v>486</v>
      </c>
      <c r="BO396">
        <v>20000</v>
      </c>
      <c r="EG396" s="9"/>
      <c r="EH396" s="9"/>
      <c r="EI396" s="9"/>
      <c r="EJ396" s="9"/>
      <c r="EK396" s="9"/>
      <c r="EL396" s="9"/>
      <c r="EM396" s="9"/>
      <c r="EN396" s="9"/>
      <c r="EO396" s="9"/>
      <c r="EP396" s="9"/>
      <c r="EQ396" s="9"/>
      <c r="ER396" s="9"/>
      <c r="ES396" s="9"/>
      <c r="ET396" s="9"/>
      <c r="EU396" s="9"/>
      <c r="EV396" s="9"/>
      <c r="EW396" s="9"/>
      <c r="EX396" s="9"/>
      <c r="EY396" s="9"/>
      <c r="EZ396" s="9"/>
      <c r="FA396" s="9"/>
      <c r="FB396" s="9"/>
      <c r="FC396" s="9"/>
      <c r="FD396" s="9"/>
      <c r="FE396" s="9"/>
      <c r="FF396" s="9"/>
      <c r="FG396" s="9"/>
      <c r="FH396" s="9"/>
      <c r="FI396" s="9"/>
      <c r="FJ396" s="9"/>
      <c r="FK396" s="9"/>
      <c r="FL396" s="9"/>
      <c r="FM396" s="9"/>
      <c r="FN396" s="9"/>
      <c r="FO396" s="9"/>
      <c r="FP396" s="9"/>
      <c r="FQ396" s="9"/>
      <c r="FR396" s="9"/>
      <c r="FS396" s="9"/>
      <c r="FT396" s="9"/>
      <c r="FU396" s="9"/>
      <c r="FV396" s="9"/>
      <c r="FW396" s="9"/>
      <c r="FX396" s="9"/>
      <c r="FY396" s="9"/>
      <c r="FZ396" s="9"/>
      <c r="GA396" s="9"/>
      <c r="GB396" s="9"/>
      <c r="GC396" s="9"/>
      <c r="GD396" s="9"/>
      <c r="GE396" s="9"/>
      <c r="GF396" s="9"/>
      <c r="GG396" s="9"/>
      <c r="GH396" s="9"/>
      <c r="GI396" s="9"/>
      <c r="GJ396" s="9"/>
      <c r="GK396" s="9"/>
      <c r="GL396" s="9"/>
      <c r="GM396" s="9"/>
      <c r="GN396" s="9"/>
      <c r="GO396" s="9"/>
      <c r="GP396" s="9"/>
      <c r="GQ396" s="9"/>
      <c r="GR396" s="9"/>
      <c r="GS396" s="9"/>
      <c r="GT396" s="9"/>
      <c r="GU396" s="9"/>
      <c r="GV396" s="9"/>
      <c r="GW396" s="9"/>
      <c r="GX396" s="9"/>
      <c r="GY396" s="9"/>
      <c r="GZ396" s="9"/>
      <c r="HA396" s="9"/>
      <c r="HB396" s="9"/>
      <c r="HC396" s="9"/>
      <c r="HD396" s="9"/>
      <c r="HE396" s="9"/>
      <c r="HF396" s="9"/>
      <c r="HG396" s="9"/>
      <c r="HH396" s="9"/>
      <c r="HI396" s="9"/>
      <c r="HJ396" s="9"/>
      <c r="HT396" s="90">
        <v>38838</v>
      </c>
      <c r="HV396" s="50"/>
      <c r="HW396" s="50"/>
      <c r="IH396" t="s">
        <v>1058</v>
      </c>
      <c r="II396" s="78" t="s">
        <v>882</v>
      </c>
      <c r="IJ396" t="s">
        <v>542</v>
      </c>
      <c r="IK396" t="s">
        <v>543</v>
      </c>
      <c r="IL396">
        <v>2006</v>
      </c>
      <c r="IN396" s="78" t="s">
        <v>480</v>
      </c>
      <c r="JJ396" t="s">
        <v>1058</v>
      </c>
      <c r="JK396" s="75" t="s">
        <v>595</v>
      </c>
      <c r="JV396" s="8" t="s">
        <v>595</v>
      </c>
      <c r="JW396" s="8" t="s">
        <v>1052</v>
      </c>
      <c r="JX396" t="s">
        <v>508</v>
      </c>
      <c r="JY396">
        <v>40000</v>
      </c>
      <c r="MY396" t="s">
        <v>1061</v>
      </c>
      <c r="MZ396">
        <v>120</v>
      </c>
      <c r="NI396" t="s">
        <v>1066</v>
      </c>
      <c r="NJ396" s="78" t="s">
        <v>1065</v>
      </c>
      <c r="NL396" s="92" t="s">
        <v>944</v>
      </c>
      <c r="NM396" s="91" t="s">
        <v>1008</v>
      </c>
      <c r="NV396" t="s">
        <v>518</v>
      </c>
      <c r="NW396">
        <v>251642.63</v>
      </c>
      <c r="NX396" s="79" t="s">
        <v>480</v>
      </c>
      <c r="NY396" s="79" t="s">
        <v>480</v>
      </c>
      <c r="NZ396" s="93"/>
      <c r="OB396">
        <v>3</v>
      </c>
      <c r="OU396" t="s">
        <v>1059</v>
      </c>
      <c r="OV396" s="3" t="s">
        <v>1044</v>
      </c>
      <c r="OX396">
        <v>2006</v>
      </c>
      <c r="OY396">
        <v>2007</v>
      </c>
      <c r="PB396" t="s">
        <v>522</v>
      </c>
      <c r="PC396" s="50">
        <v>46105</v>
      </c>
    </row>
    <row r="397" spans="1:419" ht="15.75" thickBot="1">
      <c r="A397" t="s">
        <v>469</v>
      </c>
      <c r="B397" t="s">
        <v>1032</v>
      </c>
      <c r="C397" t="s">
        <v>863</v>
      </c>
      <c r="D397" s="4" t="s">
        <v>950</v>
      </c>
      <c r="E397" t="s">
        <v>1033</v>
      </c>
      <c r="F397" s="89" t="s">
        <v>952</v>
      </c>
      <c r="G397" s="78" t="s">
        <v>475</v>
      </c>
      <c r="H397" s="78" t="s">
        <v>476</v>
      </c>
      <c r="I397">
        <v>7.25</v>
      </c>
      <c r="J397">
        <v>3.4166666669999999</v>
      </c>
      <c r="K397" s="78">
        <v>1000</v>
      </c>
      <c r="AV397" t="s">
        <v>1034</v>
      </c>
      <c r="AW397">
        <v>3240</v>
      </c>
      <c r="AX397">
        <v>1.2E-2</v>
      </c>
      <c r="AY397">
        <v>1</v>
      </c>
      <c r="BA397">
        <v>2006</v>
      </c>
      <c r="BB397">
        <v>2007</v>
      </c>
      <c r="BD397" t="s">
        <v>1060</v>
      </c>
      <c r="BE397" t="s">
        <v>572</v>
      </c>
      <c r="BF397" s="69" t="s">
        <v>484</v>
      </c>
      <c r="BG397" t="s">
        <v>1036</v>
      </c>
      <c r="BH397" t="s">
        <v>1037</v>
      </c>
      <c r="BI397" s="78" t="s">
        <v>486</v>
      </c>
      <c r="BJ397">
        <v>1330</v>
      </c>
      <c r="BK397" t="s">
        <v>537</v>
      </c>
      <c r="BL397" t="s">
        <v>1038</v>
      </c>
      <c r="BM397" t="s">
        <v>866</v>
      </c>
      <c r="BN397" s="78" t="s">
        <v>486</v>
      </c>
      <c r="BO397">
        <v>20000</v>
      </c>
      <c r="EG397" s="9"/>
      <c r="EH397" s="9"/>
      <c r="EI397" s="9"/>
      <c r="EJ397" s="9"/>
      <c r="EK397" s="9"/>
      <c r="EL397" s="9"/>
      <c r="EM397" s="9"/>
      <c r="EN397" s="9"/>
      <c r="EO397" s="9"/>
      <c r="EP397" s="9"/>
      <c r="EQ397" s="9"/>
      <c r="ER397" s="9"/>
      <c r="ES397" s="9"/>
      <c r="ET397" s="9"/>
      <c r="EU397" s="9"/>
      <c r="EV397" s="9"/>
      <c r="EW397" s="9"/>
      <c r="EX397" s="9"/>
      <c r="EY397" s="9"/>
      <c r="EZ397" s="9"/>
      <c r="FA397" s="9"/>
      <c r="FB397" s="9"/>
      <c r="FC397" s="9"/>
      <c r="FD397" s="9"/>
      <c r="FE397" s="9"/>
      <c r="FF397" s="9"/>
      <c r="FG397" s="9"/>
      <c r="FH397" s="9"/>
      <c r="FI397" s="9"/>
      <c r="FJ397" s="9"/>
      <c r="FK397" s="9"/>
      <c r="FL397" s="9"/>
      <c r="FM397" s="9"/>
      <c r="FN397" s="9"/>
      <c r="FO397" s="9"/>
      <c r="FP397" s="9"/>
      <c r="FQ397" s="9"/>
      <c r="FR397" s="9"/>
      <c r="FS397" s="9"/>
      <c r="FT397" s="9"/>
      <c r="FU397" s="9"/>
      <c r="FV397" s="9"/>
      <c r="FW397" s="9"/>
      <c r="FX397" s="9"/>
      <c r="FY397" s="9"/>
      <c r="FZ397" s="9"/>
      <c r="GA397" s="9"/>
      <c r="GB397" s="9"/>
      <c r="GC397" s="9"/>
      <c r="GD397" s="9"/>
      <c r="GE397" s="9"/>
      <c r="GF397" s="9"/>
      <c r="GG397" s="9"/>
      <c r="GH397" s="9"/>
      <c r="GI397" s="9"/>
      <c r="GJ397" s="9"/>
      <c r="GK397" s="9"/>
      <c r="GL397" s="9"/>
      <c r="GM397" s="9"/>
      <c r="GN397" s="9"/>
      <c r="GO397" s="9"/>
      <c r="GP397" s="9"/>
      <c r="GQ397" s="9"/>
      <c r="GR397" s="9"/>
      <c r="GS397" s="9"/>
      <c r="GT397" s="9"/>
      <c r="GU397" s="9"/>
      <c r="GV397" s="9"/>
      <c r="GW397" s="9"/>
      <c r="GX397" s="9"/>
      <c r="GY397" s="9"/>
      <c r="GZ397" s="9"/>
      <c r="HA397" s="9"/>
      <c r="HB397" s="9"/>
      <c r="HC397" s="9"/>
      <c r="HD397" s="9"/>
      <c r="HE397" s="9"/>
      <c r="HF397" s="9"/>
      <c r="HG397" s="9"/>
      <c r="HH397" s="9"/>
      <c r="HI397" s="9"/>
      <c r="HJ397" s="9"/>
      <c r="HT397" s="90">
        <v>38838</v>
      </c>
      <c r="HV397" s="50"/>
      <c r="HW397" s="50"/>
      <c r="IH397" t="s">
        <v>1060</v>
      </c>
      <c r="II397" s="78" t="s">
        <v>882</v>
      </c>
      <c r="IJ397" t="s">
        <v>542</v>
      </c>
      <c r="IK397" t="s">
        <v>543</v>
      </c>
      <c r="IL397">
        <v>2006</v>
      </c>
      <c r="IN397" s="78" t="s">
        <v>480</v>
      </c>
      <c r="JJ397" t="s">
        <v>1060</v>
      </c>
      <c r="JK397" s="75" t="s">
        <v>595</v>
      </c>
      <c r="JV397" s="8" t="s">
        <v>595</v>
      </c>
      <c r="JW397" s="8" t="s">
        <v>1052</v>
      </c>
      <c r="JX397" t="s">
        <v>508</v>
      </c>
      <c r="JY397">
        <v>80000</v>
      </c>
      <c r="MY397" t="s">
        <v>1061</v>
      </c>
      <c r="MZ397">
        <v>120</v>
      </c>
      <c r="NI397" t="s">
        <v>1066</v>
      </c>
      <c r="NJ397" s="78" t="s">
        <v>1065</v>
      </c>
      <c r="NL397" s="92" t="s">
        <v>944</v>
      </c>
      <c r="NM397" s="91" t="s">
        <v>1008</v>
      </c>
      <c r="NV397" t="s">
        <v>518</v>
      </c>
      <c r="NW397" s="93">
        <v>266547.45</v>
      </c>
      <c r="NX397" s="79" t="s">
        <v>480</v>
      </c>
      <c r="NY397" s="79" t="s">
        <v>480</v>
      </c>
      <c r="NZ397" s="93"/>
      <c r="OB397">
        <v>3</v>
      </c>
      <c r="OU397" t="s">
        <v>1059</v>
      </c>
      <c r="OV397" s="3" t="s">
        <v>1044</v>
      </c>
      <c r="OX397">
        <v>2006</v>
      </c>
      <c r="OY397">
        <v>2007</v>
      </c>
      <c r="PB397" t="s">
        <v>522</v>
      </c>
      <c r="PC397" s="50">
        <v>46105</v>
      </c>
    </row>
    <row r="398" spans="1:419" ht="15.75" thickBot="1">
      <c r="A398" t="s">
        <v>469</v>
      </c>
      <c r="B398" t="s">
        <v>1032</v>
      </c>
      <c r="C398" t="s">
        <v>863</v>
      </c>
      <c r="D398" s="4" t="s">
        <v>950</v>
      </c>
      <c r="E398" t="s">
        <v>1033</v>
      </c>
      <c r="F398" s="89" t="s">
        <v>952</v>
      </c>
      <c r="G398" s="78" t="s">
        <v>475</v>
      </c>
      <c r="H398" s="78" t="s">
        <v>476</v>
      </c>
      <c r="I398">
        <v>7.25</v>
      </c>
      <c r="J398">
        <v>3.4166666669999999</v>
      </c>
      <c r="K398" s="78">
        <v>1000</v>
      </c>
      <c r="AV398" t="s">
        <v>1034</v>
      </c>
      <c r="AW398">
        <v>3240</v>
      </c>
      <c r="AX398">
        <v>1.2E-2</v>
      </c>
      <c r="AY398">
        <v>1</v>
      </c>
      <c r="BA398">
        <v>2006</v>
      </c>
      <c r="BB398">
        <v>2007</v>
      </c>
      <c r="BD398" t="s">
        <v>1035</v>
      </c>
      <c r="BE398" t="s">
        <v>536</v>
      </c>
      <c r="BF398" s="69" t="s">
        <v>484</v>
      </c>
      <c r="BG398" t="s">
        <v>1036</v>
      </c>
      <c r="BH398" t="s">
        <v>1037</v>
      </c>
      <c r="BI398" s="78" t="s">
        <v>486</v>
      </c>
      <c r="BJ398">
        <v>1330</v>
      </c>
      <c r="BK398" t="s">
        <v>537</v>
      </c>
      <c r="BL398" t="s">
        <v>1038</v>
      </c>
      <c r="BM398" t="s">
        <v>866</v>
      </c>
      <c r="BN398" s="78" t="s">
        <v>486</v>
      </c>
      <c r="BO398">
        <v>20000</v>
      </c>
      <c r="EG398" s="9"/>
      <c r="EH398" s="9"/>
      <c r="EI398" s="9"/>
      <c r="EJ398" s="9"/>
      <c r="EK398" s="9"/>
      <c r="EL398" s="9"/>
      <c r="EM398" s="9"/>
      <c r="EN398" s="9"/>
      <c r="EO398" s="9"/>
      <c r="EP398" s="9"/>
      <c r="EQ398" s="9"/>
      <c r="ER398" s="9"/>
      <c r="ES398" s="9"/>
      <c r="ET398" s="9"/>
      <c r="EU398" s="9"/>
      <c r="EV398" s="9"/>
      <c r="EW398" s="9"/>
      <c r="EX398" s="9"/>
      <c r="EY398" s="9"/>
      <c r="EZ398" s="9"/>
      <c r="FA398" s="9"/>
      <c r="FB398" s="9"/>
      <c r="FC398" s="9"/>
      <c r="FD398" s="9"/>
      <c r="FE398" s="9"/>
      <c r="FF398" s="9"/>
      <c r="FG398" s="9"/>
      <c r="FH398" s="9"/>
      <c r="FI398" s="9"/>
      <c r="FJ398" s="9"/>
      <c r="FK398" s="9"/>
      <c r="FL398" s="9"/>
      <c r="FM398" s="9"/>
      <c r="FN398" s="9"/>
      <c r="FO398" s="9"/>
      <c r="FP398" s="9"/>
      <c r="FQ398" s="9"/>
      <c r="FR398" s="9"/>
      <c r="FS398" s="9"/>
      <c r="FT398" s="9"/>
      <c r="FU398" s="9"/>
      <c r="FV398" s="9"/>
      <c r="FW398" s="9"/>
      <c r="FX398" s="9"/>
      <c r="FY398" s="9"/>
      <c r="FZ398" s="9"/>
      <c r="GA398" s="9"/>
      <c r="GB398" s="9"/>
      <c r="GC398" s="9"/>
      <c r="GD398" s="9"/>
      <c r="GE398" s="9"/>
      <c r="GF398" s="9"/>
      <c r="GG398" s="9"/>
      <c r="GH398" s="9"/>
      <c r="GI398" s="9"/>
      <c r="GJ398" s="9"/>
      <c r="GK398" s="9"/>
      <c r="GL398" s="9"/>
      <c r="GM398" s="9"/>
      <c r="GN398" s="9"/>
      <c r="GO398" s="9"/>
      <c r="GP398" s="9"/>
      <c r="GQ398" s="9"/>
      <c r="GR398" s="9"/>
      <c r="GS398" s="9"/>
      <c r="GT398" s="9"/>
      <c r="GU398" s="9"/>
      <c r="GV398" s="9"/>
      <c r="GW398" s="9"/>
      <c r="GX398" s="9"/>
      <c r="GY398" s="9"/>
      <c r="GZ398" s="9"/>
      <c r="HA398" s="9"/>
      <c r="HB398" s="9"/>
      <c r="HC398" s="9"/>
      <c r="HD398" s="9"/>
      <c r="HE398" s="9"/>
      <c r="HF398" s="9"/>
      <c r="HG398" s="9"/>
      <c r="HH398" s="9"/>
      <c r="HI398" s="9"/>
      <c r="HJ398" s="9"/>
      <c r="HT398" s="90">
        <v>38838</v>
      </c>
      <c r="HV398" s="50"/>
      <c r="HW398" s="50"/>
      <c r="IH398" t="s">
        <v>1035</v>
      </c>
      <c r="II398" s="78" t="s">
        <v>882</v>
      </c>
      <c r="IJ398" t="s">
        <v>542</v>
      </c>
      <c r="IK398" t="s">
        <v>543</v>
      </c>
      <c r="IL398">
        <v>2006</v>
      </c>
      <c r="IN398" s="78" t="s">
        <v>480</v>
      </c>
      <c r="JJ398" t="s">
        <v>1035</v>
      </c>
      <c r="JK398" s="75" t="s">
        <v>682</v>
      </c>
      <c r="MY398" t="s">
        <v>1061</v>
      </c>
      <c r="MZ398">
        <v>120</v>
      </c>
      <c r="NA398" t="s">
        <v>1040</v>
      </c>
      <c r="NB398" t="s">
        <v>1038</v>
      </c>
      <c r="NC398" t="s">
        <v>1041</v>
      </c>
      <c r="NI398" t="s">
        <v>1064</v>
      </c>
      <c r="NJ398" s="78" t="s">
        <v>1067</v>
      </c>
      <c r="NL398" s="92" t="s">
        <v>515</v>
      </c>
      <c r="NM398" s="91" t="s">
        <v>1008</v>
      </c>
      <c r="NV398" t="s">
        <v>518</v>
      </c>
      <c r="NW398">
        <v>509241.32</v>
      </c>
      <c r="NX398" s="79" t="s">
        <v>480</v>
      </c>
      <c r="NY398" s="79" t="s">
        <v>480</v>
      </c>
      <c r="NZ398" s="93"/>
      <c r="OB398">
        <v>3</v>
      </c>
      <c r="OU398" t="s">
        <v>1043</v>
      </c>
      <c r="OV398" s="3" t="s">
        <v>1044</v>
      </c>
      <c r="OX398">
        <v>2006</v>
      </c>
      <c r="OY398">
        <v>2007</v>
      </c>
      <c r="PB398" t="s">
        <v>522</v>
      </c>
      <c r="PC398" s="50">
        <v>46105</v>
      </c>
    </row>
    <row r="399" spans="1:419" ht="15.75" thickBot="1">
      <c r="A399" t="s">
        <v>469</v>
      </c>
      <c r="B399" t="s">
        <v>1032</v>
      </c>
      <c r="C399" t="s">
        <v>863</v>
      </c>
      <c r="D399" s="4" t="s">
        <v>950</v>
      </c>
      <c r="E399" t="s">
        <v>1033</v>
      </c>
      <c r="F399" s="89" t="s">
        <v>952</v>
      </c>
      <c r="G399" s="78" t="s">
        <v>475</v>
      </c>
      <c r="H399" s="78" t="s">
        <v>476</v>
      </c>
      <c r="I399">
        <v>7.25</v>
      </c>
      <c r="J399">
        <v>3.4166666669999999</v>
      </c>
      <c r="K399" s="78">
        <v>1000</v>
      </c>
      <c r="AV399" t="s">
        <v>1034</v>
      </c>
      <c r="AW399">
        <v>3240</v>
      </c>
      <c r="AX399">
        <v>1.2E-2</v>
      </c>
      <c r="AY399">
        <v>1</v>
      </c>
      <c r="BA399">
        <v>2006</v>
      </c>
      <c r="BB399">
        <v>2007</v>
      </c>
      <c r="BD399" t="s">
        <v>1045</v>
      </c>
      <c r="BE399" t="s">
        <v>524</v>
      </c>
      <c r="BF399" s="69" t="s">
        <v>484</v>
      </c>
      <c r="BG399" t="s">
        <v>1036</v>
      </c>
      <c r="BH399" t="s">
        <v>1037</v>
      </c>
      <c r="BI399" s="78" t="s">
        <v>486</v>
      </c>
      <c r="BJ399">
        <v>1330</v>
      </c>
      <c r="EG399" s="9"/>
      <c r="EH399" s="9"/>
      <c r="EI399" s="9"/>
      <c r="EJ399" s="9"/>
      <c r="EK399" s="9"/>
      <c r="EL399" s="9"/>
      <c r="EM399" s="9"/>
      <c r="EN399" s="9"/>
      <c r="EO399" s="9"/>
      <c r="EP399" s="9"/>
      <c r="EQ399" s="9"/>
      <c r="ER399" s="9"/>
      <c r="ES399" s="9"/>
      <c r="ET399" s="9"/>
      <c r="EU399" s="9"/>
      <c r="EV399" s="9"/>
      <c r="EW399" s="9"/>
      <c r="EX399" s="9"/>
      <c r="EY399" s="9"/>
      <c r="EZ399" s="9"/>
      <c r="FA399" s="9"/>
      <c r="FB399" s="9"/>
      <c r="FC399" s="9"/>
      <c r="FD399" s="9"/>
      <c r="FE399" s="9"/>
      <c r="FF399" s="9"/>
      <c r="FG399" s="9"/>
      <c r="FH399" s="9"/>
      <c r="FI399" s="9"/>
      <c r="FJ399" s="9"/>
      <c r="FK399" s="9"/>
      <c r="FL399" s="9"/>
      <c r="FM399" s="9"/>
      <c r="FN399" s="9"/>
      <c r="FO399" s="9"/>
      <c r="FP399" s="9"/>
      <c r="FQ399" s="9"/>
      <c r="FR399" s="9"/>
      <c r="FS399" s="9"/>
      <c r="FT399" s="9"/>
      <c r="FU399" s="9"/>
      <c r="FV399" s="9"/>
      <c r="FW399" s="9"/>
      <c r="FX399" s="9"/>
      <c r="FY399" s="9"/>
      <c r="FZ399" s="9"/>
      <c r="GA399" s="9"/>
      <c r="GB399" s="9"/>
      <c r="GC399" s="9"/>
      <c r="GD399" s="9"/>
      <c r="GE399" s="9"/>
      <c r="GF399" s="9"/>
      <c r="GG399" s="9"/>
      <c r="GH399" s="9"/>
      <c r="GI399" s="9"/>
      <c r="GJ399" s="9"/>
      <c r="GK399" s="9"/>
      <c r="GL399" s="9"/>
      <c r="GM399" s="9"/>
      <c r="GN399" s="9"/>
      <c r="GO399" s="9"/>
      <c r="GP399" s="9"/>
      <c r="GQ399" s="9"/>
      <c r="GR399" s="9"/>
      <c r="GS399" s="9"/>
      <c r="GT399" s="9"/>
      <c r="GU399" s="9"/>
      <c r="GV399" s="9"/>
      <c r="GW399" s="9"/>
      <c r="GX399" s="9"/>
      <c r="GY399" s="9"/>
      <c r="GZ399" s="9"/>
      <c r="HA399" s="9"/>
      <c r="HB399" s="9"/>
      <c r="HC399" s="9"/>
      <c r="HD399" s="9"/>
      <c r="HE399" s="9"/>
      <c r="HF399" s="9"/>
      <c r="HG399" s="9"/>
      <c r="HH399" s="9"/>
      <c r="HI399" s="9"/>
      <c r="HJ399" s="9"/>
      <c r="HT399" s="90">
        <v>38838</v>
      </c>
      <c r="HV399" s="50"/>
      <c r="HW399" s="50"/>
      <c r="IH399" t="s">
        <v>1045</v>
      </c>
      <c r="II399" t="s">
        <v>492</v>
      </c>
      <c r="IN399" s="78"/>
      <c r="JJ399" t="s">
        <v>1045</v>
      </c>
      <c r="JK399" s="75" t="s">
        <v>682</v>
      </c>
      <c r="MY399" t="s">
        <v>1061</v>
      </c>
      <c r="MZ399">
        <v>120</v>
      </c>
      <c r="NA399" t="s">
        <v>1046</v>
      </c>
      <c r="NB399" t="s">
        <v>1041</v>
      </c>
      <c r="NC399" t="s">
        <v>1047</v>
      </c>
      <c r="NI399" t="s">
        <v>1064</v>
      </c>
      <c r="NJ399" s="78" t="s">
        <v>1067</v>
      </c>
      <c r="NL399" s="92" t="s">
        <v>515</v>
      </c>
      <c r="NM399" s="91" t="s">
        <v>1008</v>
      </c>
      <c r="NU399" t="s">
        <v>536</v>
      </c>
      <c r="NV399" t="s">
        <v>518</v>
      </c>
      <c r="NW399">
        <v>343258.54</v>
      </c>
      <c r="NX399" s="79" t="s">
        <v>480</v>
      </c>
      <c r="NY399" s="79" t="s">
        <v>480</v>
      </c>
      <c r="NZ399" s="93"/>
      <c r="OB399">
        <v>3</v>
      </c>
      <c r="OU399" t="s">
        <v>1043</v>
      </c>
      <c r="OV399" s="3" t="s">
        <v>1044</v>
      </c>
      <c r="OX399">
        <v>2006</v>
      </c>
      <c r="OY399">
        <v>2007</v>
      </c>
      <c r="PB399" t="s">
        <v>522</v>
      </c>
      <c r="PC399" s="50">
        <v>46105</v>
      </c>
    </row>
    <row r="400" spans="1:419" ht="15.75" thickBot="1">
      <c r="A400" t="s">
        <v>469</v>
      </c>
      <c r="B400" t="s">
        <v>1032</v>
      </c>
      <c r="C400" t="s">
        <v>863</v>
      </c>
      <c r="D400" s="4" t="s">
        <v>950</v>
      </c>
      <c r="E400" t="s">
        <v>1033</v>
      </c>
      <c r="F400" s="89" t="s">
        <v>952</v>
      </c>
      <c r="G400" s="78" t="s">
        <v>475</v>
      </c>
      <c r="H400" s="78" t="s">
        <v>476</v>
      </c>
      <c r="I400">
        <v>7.25</v>
      </c>
      <c r="J400">
        <v>3.4166666669999999</v>
      </c>
      <c r="K400" s="78">
        <v>1000</v>
      </c>
      <c r="AV400" t="s">
        <v>1034</v>
      </c>
      <c r="AW400">
        <v>3240</v>
      </c>
      <c r="AX400">
        <v>1.2E-2</v>
      </c>
      <c r="AY400">
        <v>1</v>
      </c>
      <c r="BA400">
        <v>2006</v>
      </c>
      <c r="BB400">
        <v>2007</v>
      </c>
      <c r="BD400" t="s">
        <v>1048</v>
      </c>
      <c r="BE400" t="s">
        <v>483</v>
      </c>
      <c r="BF400" s="69" t="s">
        <v>484</v>
      </c>
      <c r="BG400" t="s">
        <v>1038</v>
      </c>
      <c r="BH400" t="s">
        <v>1049</v>
      </c>
      <c r="BI400" s="78" t="s">
        <v>486</v>
      </c>
      <c r="BJ400">
        <v>20000</v>
      </c>
      <c r="EG400" s="9"/>
      <c r="EH400" s="9"/>
      <c r="EI400" s="9"/>
      <c r="EJ400" s="9"/>
      <c r="EK400" s="9"/>
      <c r="EL400" s="9"/>
      <c r="EM400" s="9"/>
      <c r="EN400" s="9"/>
      <c r="EO400" s="9"/>
      <c r="EP400" s="9"/>
      <c r="EQ400" s="9"/>
      <c r="ER400" s="9"/>
      <c r="ES400" s="9"/>
      <c r="ET400" s="9"/>
      <c r="EU400" s="9"/>
      <c r="EV400" s="9"/>
      <c r="EW400" s="9"/>
      <c r="EX400" s="9"/>
      <c r="EY400" s="9"/>
      <c r="EZ400" s="9"/>
      <c r="FA400" s="9"/>
      <c r="FB400" s="9"/>
      <c r="FC400" s="9"/>
      <c r="FD400" s="9"/>
      <c r="FE400" s="9"/>
      <c r="FF400" s="9"/>
      <c r="FG400" s="9"/>
      <c r="FH400" s="9"/>
      <c r="FI400" s="9"/>
      <c r="FJ400" s="9"/>
      <c r="FK400" s="9"/>
      <c r="FL400" s="9"/>
      <c r="FM400" s="9"/>
      <c r="FN400" s="9"/>
      <c r="FO400" s="9"/>
      <c r="FP400" s="9"/>
      <c r="FQ400" s="9"/>
      <c r="FR400" s="9"/>
      <c r="FS400" s="9"/>
      <c r="FT400" s="9"/>
      <c r="FU400" s="9"/>
      <c r="FV400" s="9"/>
      <c r="FW400" s="9"/>
      <c r="FX400" s="9"/>
      <c r="FY400" s="9"/>
      <c r="FZ400" s="9"/>
      <c r="GA400" s="9"/>
      <c r="GB400" s="9"/>
      <c r="GC400" s="9"/>
      <c r="GD400" s="9"/>
      <c r="GE400" s="9"/>
      <c r="GF400" s="9"/>
      <c r="GG400" s="9"/>
      <c r="GH400" s="9"/>
      <c r="GI400" s="9"/>
      <c r="GJ400" s="9"/>
      <c r="GK400" s="9"/>
      <c r="GL400" s="9"/>
      <c r="GM400" s="9"/>
      <c r="GN400" s="9"/>
      <c r="GO400" s="9"/>
      <c r="GP400" s="9"/>
      <c r="GQ400" s="9"/>
      <c r="GR400" s="9"/>
      <c r="GS400" s="9"/>
      <c r="GT400" s="9"/>
      <c r="GU400" s="9"/>
      <c r="GV400" s="9"/>
      <c r="GW400" s="9"/>
      <c r="GX400" s="9"/>
      <c r="GY400" s="9"/>
      <c r="GZ400" s="9"/>
      <c r="HA400" s="9"/>
      <c r="HB400" s="9"/>
      <c r="HC400" s="9"/>
      <c r="HD400" s="9"/>
      <c r="HE400" s="9"/>
      <c r="HF400" s="9"/>
      <c r="HG400" s="9"/>
      <c r="HH400" s="9"/>
      <c r="HI400" s="9"/>
      <c r="HJ400" s="9"/>
      <c r="HT400" s="90">
        <v>38838</v>
      </c>
      <c r="HV400" s="50"/>
      <c r="HW400" s="50"/>
      <c r="IH400" t="s">
        <v>1048</v>
      </c>
      <c r="II400" t="s">
        <v>492</v>
      </c>
      <c r="IN400" s="78"/>
      <c r="JJ400" t="s">
        <v>1048</v>
      </c>
      <c r="JK400" s="75" t="s">
        <v>682</v>
      </c>
      <c r="MY400" t="s">
        <v>1061</v>
      </c>
      <c r="MZ400">
        <v>120</v>
      </c>
      <c r="NA400" t="s">
        <v>1050</v>
      </c>
      <c r="NB400" t="s">
        <v>1038</v>
      </c>
      <c r="NI400" t="s">
        <v>1064</v>
      </c>
      <c r="NJ400" s="78" t="s">
        <v>1067</v>
      </c>
      <c r="NL400" s="92" t="s">
        <v>515</v>
      </c>
      <c r="NM400" s="91" t="s">
        <v>1008</v>
      </c>
      <c r="NU400" t="s">
        <v>536</v>
      </c>
      <c r="NV400" t="s">
        <v>518</v>
      </c>
      <c r="NW400">
        <v>112324.37</v>
      </c>
      <c r="NX400" s="79" t="s">
        <v>480</v>
      </c>
      <c r="NY400" s="79" t="s">
        <v>480</v>
      </c>
      <c r="NZ400" s="93"/>
      <c r="OB400">
        <v>3</v>
      </c>
      <c r="OU400" t="s">
        <v>1043</v>
      </c>
      <c r="OV400" s="3" t="s">
        <v>1044</v>
      </c>
      <c r="OX400">
        <v>2006</v>
      </c>
      <c r="OY400">
        <v>2007</v>
      </c>
      <c r="PB400" t="s">
        <v>522</v>
      </c>
      <c r="PC400" s="50">
        <v>46105</v>
      </c>
    </row>
    <row r="401" spans="1:419" ht="15.75" thickBot="1">
      <c r="A401" t="s">
        <v>469</v>
      </c>
      <c r="B401" t="s">
        <v>1032</v>
      </c>
      <c r="C401" t="s">
        <v>863</v>
      </c>
      <c r="D401" s="4" t="s">
        <v>950</v>
      </c>
      <c r="E401" t="s">
        <v>1033</v>
      </c>
      <c r="F401" s="89" t="s">
        <v>952</v>
      </c>
      <c r="G401" s="78" t="s">
        <v>475</v>
      </c>
      <c r="H401" s="78" t="s">
        <v>476</v>
      </c>
      <c r="I401">
        <v>7.25</v>
      </c>
      <c r="J401">
        <v>3.4166666669999999</v>
      </c>
      <c r="K401" s="78">
        <v>1000</v>
      </c>
      <c r="AV401" t="s">
        <v>1034</v>
      </c>
      <c r="AW401">
        <v>3240</v>
      </c>
      <c r="AX401">
        <v>1.2E-2</v>
      </c>
      <c r="AY401">
        <v>1</v>
      </c>
      <c r="BA401">
        <v>2006</v>
      </c>
      <c r="BB401">
        <v>2007</v>
      </c>
      <c r="BD401" t="s">
        <v>1051</v>
      </c>
      <c r="BE401" t="s">
        <v>593</v>
      </c>
      <c r="BF401" s="69" t="s">
        <v>484</v>
      </c>
      <c r="BG401" t="s">
        <v>1038</v>
      </c>
      <c r="BH401" t="s">
        <v>866</v>
      </c>
      <c r="BI401" s="78" t="s">
        <v>486</v>
      </c>
      <c r="BJ401">
        <v>20000</v>
      </c>
      <c r="EG401" s="9"/>
      <c r="EH401" s="9"/>
      <c r="EI401" s="9"/>
      <c r="EJ401" s="9"/>
      <c r="EK401" s="9"/>
      <c r="EL401" s="9"/>
      <c r="EM401" s="9"/>
      <c r="EN401" s="9"/>
      <c r="EO401" s="9"/>
      <c r="EP401" s="9"/>
      <c r="EQ401" s="9"/>
      <c r="ER401" s="9"/>
      <c r="ES401" s="9"/>
      <c r="ET401" s="9"/>
      <c r="EU401" s="9"/>
      <c r="EV401" s="9"/>
      <c r="EW401" s="9"/>
      <c r="EX401" s="9"/>
      <c r="EY401" s="9"/>
      <c r="EZ401" s="9"/>
      <c r="FA401" s="9"/>
      <c r="FB401" s="9"/>
      <c r="FC401" s="9"/>
      <c r="FD401" s="9"/>
      <c r="FE401" s="9"/>
      <c r="FF401" s="9"/>
      <c r="FG401" s="9"/>
      <c r="FH401" s="9"/>
      <c r="FI401" s="9"/>
      <c r="FJ401" s="9"/>
      <c r="FK401" s="9"/>
      <c r="FL401" s="9"/>
      <c r="FM401" s="9"/>
      <c r="FN401" s="9"/>
      <c r="FO401" s="9"/>
      <c r="FP401" s="9"/>
      <c r="FQ401" s="9"/>
      <c r="FR401" s="9"/>
      <c r="FS401" s="9"/>
      <c r="FT401" s="9"/>
      <c r="FU401" s="9"/>
      <c r="FV401" s="9"/>
      <c r="FW401" s="9"/>
      <c r="FX401" s="9"/>
      <c r="FY401" s="9"/>
      <c r="FZ401" s="9"/>
      <c r="GA401" s="9"/>
      <c r="GB401" s="9"/>
      <c r="GC401" s="9"/>
      <c r="GD401" s="9"/>
      <c r="GE401" s="9"/>
      <c r="GF401" s="9"/>
      <c r="GG401" s="9"/>
      <c r="GH401" s="9"/>
      <c r="GI401" s="9"/>
      <c r="GJ401" s="9"/>
      <c r="GK401" s="9"/>
      <c r="GL401" s="9"/>
      <c r="GM401" s="9"/>
      <c r="GN401" s="9"/>
      <c r="GO401" s="9"/>
      <c r="GP401" s="9"/>
      <c r="GQ401" s="9"/>
      <c r="GR401" s="9"/>
      <c r="GS401" s="9"/>
      <c r="GT401" s="9"/>
      <c r="GU401" s="9"/>
      <c r="GV401" s="9"/>
      <c r="GW401" s="9"/>
      <c r="GX401" s="9"/>
      <c r="GY401" s="9"/>
      <c r="GZ401" s="9"/>
      <c r="HA401" s="9"/>
      <c r="HB401" s="9"/>
      <c r="HC401" s="9"/>
      <c r="HD401" s="9"/>
      <c r="HE401" s="9"/>
      <c r="HF401" s="9"/>
      <c r="HG401" s="9"/>
      <c r="HH401" s="9"/>
      <c r="HI401" s="9"/>
      <c r="HJ401" s="9"/>
      <c r="HT401" s="90">
        <v>38838</v>
      </c>
      <c r="HV401" s="50"/>
      <c r="HW401" s="50"/>
      <c r="IH401" t="s">
        <v>1051</v>
      </c>
      <c r="II401" t="s">
        <v>492</v>
      </c>
      <c r="JJ401" t="s">
        <v>1051</v>
      </c>
      <c r="JK401" s="75" t="s">
        <v>595</v>
      </c>
      <c r="JV401" s="8" t="s">
        <v>595</v>
      </c>
      <c r="JW401" s="8" t="s">
        <v>1052</v>
      </c>
      <c r="JX401" t="s">
        <v>508</v>
      </c>
      <c r="JY401">
        <v>40000</v>
      </c>
      <c r="MY401" t="s">
        <v>1061</v>
      </c>
      <c r="MZ401">
        <v>120</v>
      </c>
      <c r="NA401" t="s">
        <v>1050</v>
      </c>
      <c r="NB401" t="s">
        <v>1038</v>
      </c>
      <c r="NI401" t="s">
        <v>1066</v>
      </c>
      <c r="NJ401" s="78" t="s">
        <v>1067</v>
      </c>
      <c r="NL401" s="92" t="s">
        <v>515</v>
      </c>
      <c r="NM401" s="91" t="s">
        <v>1008</v>
      </c>
      <c r="NU401" t="s">
        <v>566</v>
      </c>
      <c r="NV401" t="s">
        <v>518</v>
      </c>
      <c r="NW401" s="93">
        <v>327226.36</v>
      </c>
      <c r="NX401" s="79" t="s">
        <v>480</v>
      </c>
      <c r="NY401" s="79" t="s">
        <v>480</v>
      </c>
      <c r="NZ401" s="93"/>
      <c r="OB401">
        <v>3</v>
      </c>
      <c r="OU401" t="s">
        <v>1053</v>
      </c>
      <c r="OV401" s="3" t="s">
        <v>1044</v>
      </c>
      <c r="OX401">
        <v>2006</v>
      </c>
      <c r="OY401">
        <v>2007</v>
      </c>
      <c r="PB401" t="s">
        <v>522</v>
      </c>
      <c r="PC401" s="50">
        <v>46105</v>
      </c>
    </row>
    <row r="402" spans="1:419" ht="15.75" thickBot="1">
      <c r="A402" t="s">
        <v>469</v>
      </c>
      <c r="B402" t="s">
        <v>1032</v>
      </c>
      <c r="C402" t="s">
        <v>863</v>
      </c>
      <c r="D402" s="4" t="s">
        <v>950</v>
      </c>
      <c r="E402" t="s">
        <v>1033</v>
      </c>
      <c r="F402" s="89" t="s">
        <v>952</v>
      </c>
      <c r="G402" s="78" t="s">
        <v>475</v>
      </c>
      <c r="H402" s="78" t="s">
        <v>476</v>
      </c>
      <c r="I402">
        <v>7.25</v>
      </c>
      <c r="J402">
        <v>3.4166666669999999</v>
      </c>
      <c r="K402" s="78">
        <v>1000</v>
      </c>
      <c r="AV402" t="s">
        <v>1034</v>
      </c>
      <c r="AW402">
        <v>3240</v>
      </c>
      <c r="AX402">
        <v>1.2E-2</v>
      </c>
      <c r="AY402">
        <v>1</v>
      </c>
      <c r="BA402">
        <v>2006</v>
      </c>
      <c r="BB402">
        <v>2007</v>
      </c>
      <c r="BD402" t="s">
        <v>1054</v>
      </c>
      <c r="BE402" t="s">
        <v>602</v>
      </c>
      <c r="BF402" s="69" t="s">
        <v>484</v>
      </c>
      <c r="BG402" t="s">
        <v>1038</v>
      </c>
      <c r="BH402" t="s">
        <v>866</v>
      </c>
      <c r="BI402" s="78" t="s">
        <v>486</v>
      </c>
      <c r="BJ402">
        <v>20000</v>
      </c>
      <c r="EG402" s="9"/>
      <c r="EH402" s="9"/>
      <c r="EI402" s="9"/>
      <c r="EJ402" s="9"/>
      <c r="EK402" s="9"/>
      <c r="EL402" s="9"/>
      <c r="EM402" s="9"/>
      <c r="EN402" s="9"/>
      <c r="EO402" s="9"/>
      <c r="EP402" s="9"/>
      <c r="EQ402" s="9"/>
      <c r="ER402" s="9"/>
      <c r="ES402" s="9"/>
      <c r="ET402" s="9"/>
      <c r="EU402" s="9"/>
      <c r="EV402" s="9"/>
      <c r="EW402" s="9"/>
      <c r="EX402" s="9"/>
      <c r="EY402" s="9"/>
      <c r="EZ402" s="9"/>
      <c r="FA402" s="9"/>
      <c r="FB402" s="9"/>
      <c r="FC402" s="9"/>
      <c r="FD402" s="9"/>
      <c r="FE402" s="9"/>
      <c r="FF402" s="9"/>
      <c r="FG402" s="9"/>
      <c r="FH402" s="9"/>
      <c r="FI402" s="9"/>
      <c r="FJ402" s="9"/>
      <c r="FK402" s="9"/>
      <c r="FL402" s="9"/>
      <c r="FM402" s="9"/>
      <c r="FN402" s="9"/>
      <c r="FO402" s="9"/>
      <c r="FP402" s="9"/>
      <c r="FQ402" s="9"/>
      <c r="FR402" s="9"/>
      <c r="FS402" s="9"/>
      <c r="FT402" s="9"/>
      <c r="FU402" s="9"/>
      <c r="FV402" s="9"/>
      <c r="FW402" s="9"/>
      <c r="FX402" s="9"/>
      <c r="FY402" s="9"/>
      <c r="FZ402" s="9"/>
      <c r="GA402" s="9"/>
      <c r="GB402" s="9"/>
      <c r="GC402" s="9"/>
      <c r="GD402" s="9"/>
      <c r="GE402" s="9"/>
      <c r="GF402" s="9"/>
      <c r="GG402" s="9"/>
      <c r="GH402" s="9"/>
      <c r="GI402" s="9"/>
      <c r="GJ402" s="9"/>
      <c r="GK402" s="9"/>
      <c r="GL402" s="9"/>
      <c r="GM402" s="9"/>
      <c r="GN402" s="9"/>
      <c r="GO402" s="9"/>
      <c r="GP402" s="9"/>
      <c r="GQ402" s="9"/>
      <c r="GR402" s="9"/>
      <c r="GS402" s="9"/>
      <c r="GT402" s="9"/>
      <c r="GU402" s="9"/>
      <c r="GV402" s="9"/>
      <c r="GW402" s="9"/>
      <c r="GX402" s="9"/>
      <c r="GY402" s="9"/>
      <c r="GZ402" s="9"/>
      <c r="HA402" s="9"/>
      <c r="HB402" s="9"/>
      <c r="HC402" s="9"/>
      <c r="HD402" s="9"/>
      <c r="HE402" s="9"/>
      <c r="HF402" s="9"/>
      <c r="HG402" s="9"/>
      <c r="HH402" s="9"/>
      <c r="HI402" s="9"/>
      <c r="HJ402" s="9"/>
      <c r="HT402" s="90">
        <v>38838</v>
      </c>
      <c r="HV402" s="50"/>
      <c r="HW402" s="50"/>
      <c r="IH402" t="s">
        <v>1054</v>
      </c>
      <c r="II402" t="s">
        <v>492</v>
      </c>
      <c r="JJ402" t="s">
        <v>1054</v>
      </c>
      <c r="JK402" s="75" t="s">
        <v>595</v>
      </c>
      <c r="JV402" s="8" t="s">
        <v>595</v>
      </c>
      <c r="JW402" s="8" t="s">
        <v>1052</v>
      </c>
      <c r="JX402" t="s">
        <v>508</v>
      </c>
      <c r="JY402">
        <v>80000</v>
      </c>
      <c r="MY402" t="s">
        <v>1061</v>
      </c>
      <c r="MZ402">
        <v>120</v>
      </c>
      <c r="NA402" t="s">
        <v>1050</v>
      </c>
      <c r="NB402" t="s">
        <v>1038</v>
      </c>
      <c r="NI402" t="s">
        <v>1066</v>
      </c>
      <c r="NJ402" s="78" t="s">
        <v>1067</v>
      </c>
      <c r="NL402" s="92" t="s">
        <v>515</v>
      </c>
      <c r="NM402" s="91" t="s">
        <v>1008</v>
      </c>
      <c r="NU402" t="s">
        <v>572</v>
      </c>
      <c r="NV402" t="s">
        <v>518</v>
      </c>
      <c r="NW402" s="93">
        <v>253709.32</v>
      </c>
      <c r="NX402" s="79" t="s">
        <v>480</v>
      </c>
      <c r="NY402" s="79" t="s">
        <v>480</v>
      </c>
      <c r="NZ402" s="93"/>
      <c r="OB402">
        <v>3</v>
      </c>
      <c r="OU402" t="s">
        <v>1053</v>
      </c>
      <c r="OV402" s="3" t="s">
        <v>1044</v>
      </c>
      <c r="OX402">
        <v>2006</v>
      </c>
      <c r="OY402">
        <v>2007</v>
      </c>
      <c r="PB402" t="s">
        <v>522</v>
      </c>
      <c r="PC402" s="50">
        <v>46105</v>
      </c>
    </row>
    <row r="403" spans="1:419" ht="15.75" thickBot="1">
      <c r="A403" t="s">
        <v>469</v>
      </c>
      <c r="B403" t="s">
        <v>1032</v>
      </c>
      <c r="C403" t="s">
        <v>863</v>
      </c>
      <c r="D403" s="4" t="s">
        <v>950</v>
      </c>
      <c r="E403" t="s">
        <v>1033</v>
      </c>
      <c r="F403" s="89" t="s">
        <v>952</v>
      </c>
      <c r="G403" s="78" t="s">
        <v>475</v>
      </c>
      <c r="H403" s="78" t="s">
        <v>476</v>
      </c>
      <c r="I403">
        <v>7.25</v>
      </c>
      <c r="J403">
        <v>3.4166666669999999</v>
      </c>
      <c r="K403" s="78">
        <v>1000</v>
      </c>
      <c r="AV403" t="s">
        <v>1034</v>
      </c>
      <c r="AW403">
        <v>3240</v>
      </c>
      <c r="AX403">
        <v>1.2E-2</v>
      </c>
      <c r="AY403">
        <v>1</v>
      </c>
      <c r="BA403">
        <v>2006</v>
      </c>
      <c r="BB403">
        <v>2007</v>
      </c>
      <c r="BD403" t="s">
        <v>1055</v>
      </c>
      <c r="BE403" t="s">
        <v>621</v>
      </c>
      <c r="BF403" s="69" t="s">
        <v>484</v>
      </c>
      <c r="BG403" t="s">
        <v>1036</v>
      </c>
      <c r="BH403" t="s">
        <v>1037</v>
      </c>
      <c r="BI403" s="78" t="s">
        <v>486</v>
      </c>
      <c r="BJ403">
        <v>1330</v>
      </c>
      <c r="EG403" s="9"/>
      <c r="EH403" s="9"/>
      <c r="EI403" s="9"/>
      <c r="EJ403" s="9"/>
      <c r="EK403" s="9"/>
      <c r="EL403" s="9"/>
      <c r="EM403" s="9"/>
      <c r="EN403" s="9"/>
      <c r="EO403" s="9"/>
      <c r="EP403" s="9"/>
      <c r="EQ403" s="9"/>
      <c r="ER403" s="9"/>
      <c r="ES403" s="9"/>
      <c r="ET403" s="9"/>
      <c r="EU403" s="9"/>
      <c r="EV403" s="9"/>
      <c r="EW403" s="9"/>
      <c r="EX403" s="9"/>
      <c r="EY403" s="9"/>
      <c r="EZ403" s="9"/>
      <c r="FA403" s="9"/>
      <c r="FB403" s="9"/>
      <c r="FC403" s="9"/>
      <c r="FD403" s="9"/>
      <c r="FE403" s="9"/>
      <c r="FF403" s="9"/>
      <c r="FG403" s="9"/>
      <c r="FH403" s="9"/>
      <c r="FI403" s="9"/>
      <c r="FJ403" s="9"/>
      <c r="FK403" s="9"/>
      <c r="FL403" s="9"/>
      <c r="FM403" s="9"/>
      <c r="FN403" s="9"/>
      <c r="FO403" s="9"/>
      <c r="FP403" s="9"/>
      <c r="FQ403" s="9"/>
      <c r="FR403" s="9"/>
      <c r="FS403" s="9"/>
      <c r="FT403" s="9"/>
      <c r="FU403" s="9"/>
      <c r="FV403" s="9"/>
      <c r="FW403" s="9"/>
      <c r="FX403" s="9"/>
      <c r="FY403" s="9"/>
      <c r="FZ403" s="9"/>
      <c r="GA403" s="9"/>
      <c r="GB403" s="9"/>
      <c r="GC403" s="9"/>
      <c r="GD403" s="9"/>
      <c r="GE403" s="9"/>
      <c r="GF403" s="9"/>
      <c r="GG403" s="9"/>
      <c r="GH403" s="9"/>
      <c r="GI403" s="9"/>
      <c r="GJ403" s="9"/>
      <c r="GK403" s="9"/>
      <c r="GL403" s="9"/>
      <c r="GM403" s="9"/>
      <c r="GN403" s="9"/>
      <c r="GO403" s="9"/>
      <c r="GP403" s="9"/>
      <c r="GQ403" s="9"/>
      <c r="GR403" s="9"/>
      <c r="GS403" s="9"/>
      <c r="GT403" s="9"/>
      <c r="GU403" s="9"/>
      <c r="GV403" s="9"/>
      <c r="GW403" s="9"/>
      <c r="GX403" s="9"/>
      <c r="GY403" s="9"/>
      <c r="GZ403" s="9"/>
      <c r="HA403" s="9"/>
      <c r="HB403" s="9"/>
      <c r="HC403" s="9"/>
      <c r="HD403" s="9"/>
      <c r="HE403" s="9"/>
      <c r="HF403" s="9"/>
      <c r="HG403" s="9"/>
      <c r="HH403" s="9"/>
      <c r="HI403" s="9"/>
      <c r="HJ403" s="9"/>
      <c r="HT403" s="90">
        <v>38838</v>
      </c>
      <c r="HV403" s="50"/>
      <c r="HW403" s="50"/>
      <c r="IH403" t="s">
        <v>1055</v>
      </c>
      <c r="II403" t="s">
        <v>492</v>
      </c>
      <c r="JJ403" t="s">
        <v>1055</v>
      </c>
      <c r="JK403" s="75" t="s">
        <v>595</v>
      </c>
      <c r="JV403" s="8" t="s">
        <v>595</v>
      </c>
      <c r="JW403" s="8" t="s">
        <v>1052</v>
      </c>
      <c r="JX403" t="s">
        <v>508</v>
      </c>
      <c r="JY403">
        <v>40000</v>
      </c>
      <c r="MY403" t="s">
        <v>1061</v>
      </c>
      <c r="MZ403">
        <v>120</v>
      </c>
      <c r="NA403" t="s">
        <v>1046</v>
      </c>
      <c r="NB403" t="s">
        <v>1041</v>
      </c>
      <c r="NC403" t="s">
        <v>1047</v>
      </c>
      <c r="NI403" t="s">
        <v>1066</v>
      </c>
      <c r="NJ403" s="78" t="s">
        <v>1067</v>
      </c>
      <c r="NL403" s="92" t="s">
        <v>515</v>
      </c>
      <c r="NM403" s="91" t="s">
        <v>1008</v>
      </c>
      <c r="NU403" t="s">
        <v>566</v>
      </c>
      <c r="NV403" t="s">
        <v>518</v>
      </c>
      <c r="NW403">
        <v>575102.39</v>
      </c>
      <c r="NX403" s="79" t="s">
        <v>480</v>
      </c>
      <c r="NY403" s="79" t="s">
        <v>480</v>
      </c>
      <c r="NZ403" s="93"/>
      <c r="OB403">
        <v>3</v>
      </c>
      <c r="OU403" t="s">
        <v>1056</v>
      </c>
      <c r="OV403" s="3" t="s">
        <v>1044</v>
      </c>
      <c r="OX403">
        <v>2006</v>
      </c>
      <c r="OY403">
        <v>2007</v>
      </c>
      <c r="PB403" t="s">
        <v>522</v>
      </c>
      <c r="PC403" s="50">
        <v>46105</v>
      </c>
    </row>
    <row r="404" spans="1:419" ht="15.75" thickBot="1">
      <c r="A404" t="s">
        <v>469</v>
      </c>
      <c r="B404" t="s">
        <v>1032</v>
      </c>
      <c r="C404" t="s">
        <v>863</v>
      </c>
      <c r="D404" s="4" t="s">
        <v>950</v>
      </c>
      <c r="E404" t="s">
        <v>1033</v>
      </c>
      <c r="F404" s="89" t="s">
        <v>952</v>
      </c>
      <c r="G404" s="78" t="s">
        <v>475</v>
      </c>
      <c r="H404" s="78" t="s">
        <v>476</v>
      </c>
      <c r="I404">
        <v>7.25</v>
      </c>
      <c r="J404">
        <v>3.4166666669999999</v>
      </c>
      <c r="K404" s="78">
        <v>1000</v>
      </c>
      <c r="AV404" t="s">
        <v>1034</v>
      </c>
      <c r="AW404">
        <v>3240</v>
      </c>
      <c r="AX404">
        <v>1.2E-2</v>
      </c>
      <c r="AY404">
        <v>1</v>
      </c>
      <c r="BA404">
        <v>2006</v>
      </c>
      <c r="BB404">
        <v>2007</v>
      </c>
      <c r="BD404" t="s">
        <v>1057</v>
      </c>
      <c r="BE404" t="s">
        <v>630</v>
      </c>
      <c r="BF404" s="69" t="s">
        <v>484</v>
      </c>
      <c r="BG404" t="s">
        <v>1036</v>
      </c>
      <c r="BH404" t="s">
        <v>1037</v>
      </c>
      <c r="BI404" s="78" t="s">
        <v>486</v>
      </c>
      <c r="BJ404">
        <v>1330</v>
      </c>
      <c r="EG404" s="9"/>
      <c r="EH404" s="9"/>
      <c r="EI404" s="9"/>
      <c r="EJ404" s="9"/>
      <c r="EK404" s="9"/>
      <c r="EL404" s="9"/>
      <c r="EM404" s="9"/>
      <c r="EN404" s="9"/>
      <c r="EO404" s="9"/>
      <c r="EP404" s="9"/>
      <c r="EQ404" s="9"/>
      <c r="ER404" s="9"/>
      <c r="ES404" s="9"/>
      <c r="ET404" s="9"/>
      <c r="EU404" s="9"/>
      <c r="EV404" s="9"/>
      <c r="EW404" s="9"/>
      <c r="EX404" s="9"/>
      <c r="EY404" s="9"/>
      <c r="EZ404" s="9"/>
      <c r="FA404" s="9"/>
      <c r="FB404" s="9"/>
      <c r="FC404" s="9"/>
      <c r="FD404" s="9"/>
      <c r="FE404" s="9"/>
      <c r="FF404" s="9"/>
      <c r="FG404" s="9"/>
      <c r="FH404" s="9"/>
      <c r="FI404" s="9"/>
      <c r="FJ404" s="9"/>
      <c r="FK404" s="9"/>
      <c r="FL404" s="9"/>
      <c r="FM404" s="9"/>
      <c r="FN404" s="9"/>
      <c r="FO404" s="9"/>
      <c r="FP404" s="9"/>
      <c r="FQ404" s="9"/>
      <c r="FR404" s="9"/>
      <c r="FS404" s="9"/>
      <c r="FT404" s="9"/>
      <c r="FU404" s="9"/>
      <c r="FV404" s="9"/>
      <c r="FW404" s="9"/>
      <c r="FX404" s="9"/>
      <c r="FY404" s="9"/>
      <c r="FZ404" s="9"/>
      <c r="GA404" s="9"/>
      <c r="GB404" s="9"/>
      <c r="GC404" s="9"/>
      <c r="GD404" s="9"/>
      <c r="GE404" s="9"/>
      <c r="GF404" s="9"/>
      <c r="GG404" s="9"/>
      <c r="GH404" s="9"/>
      <c r="GI404" s="9"/>
      <c r="GJ404" s="9"/>
      <c r="GK404" s="9"/>
      <c r="GL404" s="9"/>
      <c r="GM404" s="9"/>
      <c r="GN404" s="9"/>
      <c r="GO404" s="9"/>
      <c r="GP404" s="9"/>
      <c r="GQ404" s="9"/>
      <c r="GR404" s="9"/>
      <c r="GS404" s="9"/>
      <c r="GT404" s="9"/>
      <c r="GU404" s="9"/>
      <c r="GV404" s="9"/>
      <c r="GW404" s="9"/>
      <c r="GX404" s="9"/>
      <c r="GY404" s="9"/>
      <c r="GZ404" s="9"/>
      <c r="HA404" s="9"/>
      <c r="HB404" s="9"/>
      <c r="HC404" s="9"/>
      <c r="HD404" s="9"/>
      <c r="HE404" s="9"/>
      <c r="HF404" s="9"/>
      <c r="HG404" s="9"/>
      <c r="HH404" s="9"/>
      <c r="HI404" s="9"/>
      <c r="HJ404" s="9"/>
      <c r="HT404" s="90">
        <v>38838</v>
      </c>
      <c r="HV404" s="50"/>
      <c r="HW404" s="50"/>
      <c r="IH404" t="s">
        <v>1057</v>
      </c>
      <c r="II404" t="s">
        <v>492</v>
      </c>
      <c r="JJ404" t="s">
        <v>1057</v>
      </c>
      <c r="JK404" s="75" t="s">
        <v>595</v>
      </c>
      <c r="JV404" s="8" t="s">
        <v>595</v>
      </c>
      <c r="JW404" s="8" t="s">
        <v>1052</v>
      </c>
      <c r="JX404" t="s">
        <v>508</v>
      </c>
      <c r="JY404">
        <v>80000</v>
      </c>
      <c r="MY404" t="s">
        <v>1061</v>
      </c>
      <c r="MZ404">
        <v>120</v>
      </c>
      <c r="NA404" t="s">
        <v>1046</v>
      </c>
      <c r="NB404" t="s">
        <v>1041</v>
      </c>
      <c r="NC404" t="s">
        <v>1047</v>
      </c>
      <c r="NI404" t="s">
        <v>1066</v>
      </c>
      <c r="NJ404" s="78" t="s">
        <v>1067</v>
      </c>
      <c r="NL404" s="92" t="s">
        <v>515</v>
      </c>
      <c r="NM404" s="91" t="s">
        <v>1008</v>
      </c>
      <c r="NU404" t="s">
        <v>572</v>
      </c>
      <c r="NV404" t="s">
        <v>518</v>
      </c>
      <c r="NW404">
        <v>745041.19</v>
      </c>
      <c r="NX404" s="79" t="s">
        <v>480</v>
      </c>
      <c r="NY404" s="79" t="s">
        <v>480</v>
      </c>
      <c r="NZ404" s="93"/>
      <c r="OB404">
        <v>3</v>
      </c>
      <c r="OU404" t="s">
        <v>1056</v>
      </c>
      <c r="OV404" s="3" t="s">
        <v>1044</v>
      </c>
      <c r="OX404">
        <v>2006</v>
      </c>
      <c r="OY404">
        <v>2007</v>
      </c>
      <c r="PB404" t="s">
        <v>522</v>
      </c>
      <c r="PC404" s="50">
        <v>46105</v>
      </c>
    </row>
    <row r="405" spans="1:419" ht="15.75" thickBot="1">
      <c r="A405" t="s">
        <v>469</v>
      </c>
      <c r="B405" t="s">
        <v>1032</v>
      </c>
      <c r="C405" t="s">
        <v>863</v>
      </c>
      <c r="D405" s="4" t="s">
        <v>950</v>
      </c>
      <c r="E405" t="s">
        <v>1033</v>
      </c>
      <c r="F405" s="89" t="s">
        <v>952</v>
      </c>
      <c r="G405" s="78" t="s">
        <v>475</v>
      </c>
      <c r="H405" s="78" t="s">
        <v>476</v>
      </c>
      <c r="I405">
        <v>7.25</v>
      </c>
      <c r="J405">
        <v>3.4166666669999999</v>
      </c>
      <c r="K405" s="78">
        <v>1000</v>
      </c>
      <c r="AV405" t="s">
        <v>1034</v>
      </c>
      <c r="AW405">
        <v>3240</v>
      </c>
      <c r="AX405">
        <v>1.2E-2</v>
      </c>
      <c r="AY405">
        <v>1</v>
      </c>
      <c r="BA405">
        <v>2006</v>
      </c>
      <c r="BB405">
        <v>2007</v>
      </c>
      <c r="BD405" t="s">
        <v>1058</v>
      </c>
      <c r="BE405" t="s">
        <v>566</v>
      </c>
      <c r="BF405" s="69" t="s">
        <v>484</v>
      </c>
      <c r="BG405" t="s">
        <v>1036</v>
      </c>
      <c r="BH405" t="s">
        <v>1037</v>
      </c>
      <c r="BI405" s="78" t="s">
        <v>486</v>
      </c>
      <c r="BJ405">
        <v>1330</v>
      </c>
      <c r="BK405" t="s">
        <v>537</v>
      </c>
      <c r="BL405" t="s">
        <v>1038</v>
      </c>
      <c r="BM405" t="s">
        <v>866</v>
      </c>
      <c r="BN405" s="78" t="s">
        <v>486</v>
      </c>
      <c r="BO405">
        <v>20000</v>
      </c>
      <c r="EG405" s="9"/>
      <c r="EH405" s="9"/>
      <c r="EI405" s="9"/>
      <c r="EJ405" s="9"/>
      <c r="EK405" s="9"/>
      <c r="EL405" s="9"/>
      <c r="EM405" s="9"/>
      <c r="EN405" s="9"/>
      <c r="EO405" s="9"/>
      <c r="EP405" s="9"/>
      <c r="EQ405" s="9"/>
      <c r="ER405" s="9"/>
      <c r="ES405" s="9"/>
      <c r="ET405" s="9"/>
      <c r="EU405" s="9"/>
      <c r="EV405" s="9"/>
      <c r="EW405" s="9"/>
      <c r="EX405" s="9"/>
      <c r="EY405" s="9"/>
      <c r="EZ405" s="9"/>
      <c r="FA405" s="9"/>
      <c r="FB405" s="9"/>
      <c r="FC405" s="9"/>
      <c r="FD405" s="9"/>
      <c r="FE405" s="9"/>
      <c r="FF405" s="9"/>
      <c r="FG405" s="9"/>
      <c r="FH405" s="9"/>
      <c r="FI405" s="9"/>
      <c r="FJ405" s="9"/>
      <c r="FK405" s="9"/>
      <c r="FL405" s="9"/>
      <c r="FM405" s="9"/>
      <c r="FN405" s="9"/>
      <c r="FO405" s="9"/>
      <c r="FP405" s="9"/>
      <c r="FQ405" s="9"/>
      <c r="FR405" s="9"/>
      <c r="FS405" s="9"/>
      <c r="FT405" s="9"/>
      <c r="FU405" s="9"/>
      <c r="FV405" s="9"/>
      <c r="FW405" s="9"/>
      <c r="FX405" s="9"/>
      <c r="FY405" s="9"/>
      <c r="FZ405" s="9"/>
      <c r="GA405" s="9"/>
      <c r="GB405" s="9"/>
      <c r="GC405" s="9"/>
      <c r="GD405" s="9"/>
      <c r="GE405" s="9"/>
      <c r="GF405" s="9"/>
      <c r="GG405" s="9"/>
      <c r="GH405" s="9"/>
      <c r="GI405" s="9"/>
      <c r="GJ405" s="9"/>
      <c r="GK405" s="9"/>
      <c r="GL405" s="9"/>
      <c r="GM405" s="9"/>
      <c r="GN405" s="9"/>
      <c r="GO405" s="9"/>
      <c r="GP405" s="9"/>
      <c r="GQ405" s="9"/>
      <c r="GR405" s="9"/>
      <c r="GS405" s="9"/>
      <c r="GT405" s="9"/>
      <c r="GU405" s="9"/>
      <c r="GV405" s="9"/>
      <c r="GW405" s="9"/>
      <c r="GX405" s="9"/>
      <c r="GY405" s="9"/>
      <c r="GZ405" s="9"/>
      <c r="HA405" s="9"/>
      <c r="HB405" s="9"/>
      <c r="HC405" s="9"/>
      <c r="HD405" s="9"/>
      <c r="HE405" s="9"/>
      <c r="HF405" s="9"/>
      <c r="HG405" s="9"/>
      <c r="HH405" s="9"/>
      <c r="HI405" s="9"/>
      <c r="HJ405" s="9"/>
      <c r="HT405" s="90">
        <v>38838</v>
      </c>
      <c r="HV405" s="50"/>
      <c r="HW405" s="50"/>
      <c r="IH405" t="s">
        <v>1058</v>
      </c>
      <c r="II405" s="78" t="s">
        <v>882</v>
      </c>
      <c r="IJ405" t="s">
        <v>542</v>
      </c>
      <c r="IK405" t="s">
        <v>543</v>
      </c>
      <c r="IL405">
        <v>2006</v>
      </c>
      <c r="IN405" s="78" t="s">
        <v>480</v>
      </c>
      <c r="JJ405" t="s">
        <v>1058</v>
      </c>
      <c r="JK405" s="75" t="s">
        <v>595</v>
      </c>
      <c r="JV405" s="8" t="s">
        <v>595</v>
      </c>
      <c r="JW405" s="8" t="s">
        <v>1052</v>
      </c>
      <c r="JX405" t="s">
        <v>508</v>
      </c>
      <c r="JY405">
        <v>40000</v>
      </c>
      <c r="MY405" t="s">
        <v>1061</v>
      </c>
      <c r="MZ405">
        <v>120</v>
      </c>
      <c r="NA405" t="s">
        <v>1040</v>
      </c>
      <c r="NB405" t="s">
        <v>1038</v>
      </c>
      <c r="NC405" t="s">
        <v>1041</v>
      </c>
      <c r="ND405" t="s">
        <v>1047</v>
      </c>
      <c r="NI405" t="s">
        <v>1066</v>
      </c>
      <c r="NJ405" s="78" t="s">
        <v>1067</v>
      </c>
      <c r="NL405" s="92" t="s">
        <v>515</v>
      </c>
      <c r="NM405" s="91" t="s">
        <v>1008</v>
      </c>
      <c r="NV405" t="s">
        <v>518</v>
      </c>
      <c r="NW405">
        <v>688520.56</v>
      </c>
      <c r="NX405" s="79" t="s">
        <v>480</v>
      </c>
      <c r="NY405" s="79" t="s">
        <v>480</v>
      </c>
      <c r="NZ405" s="93"/>
      <c r="OB405">
        <v>3</v>
      </c>
      <c r="OU405" t="s">
        <v>1059</v>
      </c>
      <c r="OV405" s="3" t="s">
        <v>1044</v>
      </c>
      <c r="OX405">
        <v>2006</v>
      </c>
      <c r="OY405">
        <v>2007</v>
      </c>
      <c r="PB405" t="s">
        <v>522</v>
      </c>
      <c r="PC405" s="50">
        <v>46105</v>
      </c>
    </row>
    <row r="406" spans="1:419" ht="15.75" thickBot="1">
      <c r="A406" t="s">
        <v>469</v>
      </c>
      <c r="B406" t="s">
        <v>1032</v>
      </c>
      <c r="C406" t="s">
        <v>863</v>
      </c>
      <c r="D406" s="4" t="s">
        <v>950</v>
      </c>
      <c r="E406" t="s">
        <v>1033</v>
      </c>
      <c r="F406" s="89" t="s">
        <v>952</v>
      </c>
      <c r="G406" s="78" t="s">
        <v>475</v>
      </c>
      <c r="H406" s="78" t="s">
        <v>476</v>
      </c>
      <c r="I406">
        <v>7.25</v>
      </c>
      <c r="J406">
        <v>3.4166666669999999</v>
      </c>
      <c r="K406" s="78">
        <v>1000</v>
      </c>
      <c r="AV406" t="s">
        <v>1034</v>
      </c>
      <c r="AW406">
        <v>3240</v>
      </c>
      <c r="AX406">
        <v>1.2E-2</v>
      </c>
      <c r="AY406">
        <v>1</v>
      </c>
      <c r="BA406">
        <v>2006</v>
      </c>
      <c r="BB406">
        <v>2007</v>
      </c>
      <c r="BD406" t="s">
        <v>1060</v>
      </c>
      <c r="BE406" t="s">
        <v>572</v>
      </c>
      <c r="BF406" s="69" t="s">
        <v>484</v>
      </c>
      <c r="BG406" t="s">
        <v>1036</v>
      </c>
      <c r="BH406" t="s">
        <v>1037</v>
      </c>
      <c r="BI406" s="78" t="s">
        <v>486</v>
      </c>
      <c r="BJ406">
        <v>1330</v>
      </c>
      <c r="BK406" t="s">
        <v>537</v>
      </c>
      <c r="BL406" t="s">
        <v>1038</v>
      </c>
      <c r="BM406" t="s">
        <v>866</v>
      </c>
      <c r="BN406" s="78" t="s">
        <v>486</v>
      </c>
      <c r="BO406">
        <v>20000</v>
      </c>
      <c r="EG406" s="9"/>
      <c r="EH406" s="9"/>
      <c r="EI406" s="9"/>
      <c r="EJ406" s="9"/>
      <c r="EK406" s="9"/>
      <c r="EL406" s="9"/>
      <c r="EM406" s="9"/>
      <c r="EN406" s="9"/>
      <c r="EO406" s="9"/>
      <c r="EP406" s="9"/>
      <c r="EQ406" s="9"/>
      <c r="ER406" s="9"/>
      <c r="ES406" s="9"/>
      <c r="ET406" s="9"/>
      <c r="EU406" s="9"/>
      <c r="EV406" s="9"/>
      <c r="EW406" s="9"/>
      <c r="EX406" s="9"/>
      <c r="EY406" s="9"/>
      <c r="EZ406" s="9"/>
      <c r="FA406" s="9"/>
      <c r="FB406" s="9"/>
      <c r="FC406" s="9"/>
      <c r="FD406" s="9"/>
      <c r="FE406" s="9"/>
      <c r="FF406" s="9"/>
      <c r="FG406" s="9"/>
      <c r="FH406" s="9"/>
      <c r="FI406" s="9"/>
      <c r="FJ406" s="9"/>
      <c r="FK406" s="9"/>
      <c r="FL406" s="9"/>
      <c r="FM406" s="9"/>
      <c r="FN406" s="9"/>
      <c r="FO406" s="9"/>
      <c r="FP406" s="9"/>
      <c r="FQ406" s="9"/>
      <c r="FR406" s="9"/>
      <c r="FS406" s="9"/>
      <c r="FT406" s="9"/>
      <c r="FU406" s="9"/>
      <c r="FV406" s="9"/>
      <c r="FW406" s="9"/>
      <c r="FX406" s="9"/>
      <c r="FY406" s="9"/>
      <c r="FZ406" s="9"/>
      <c r="GA406" s="9"/>
      <c r="GB406" s="9"/>
      <c r="GC406" s="9"/>
      <c r="GD406" s="9"/>
      <c r="GE406" s="9"/>
      <c r="GF406" s="9"/>
      <c r="GG406" s="9"/>
      <c r="GH406" s="9"/>
      <c r="GI406" s="9"/>
      <c r="GJ406" s="9"/>
      <c r="GK406" s="9"/>
      <c r="GL406" s="9"/>
      <c r="GM406" s="9"/>
      <c r="GN406" s="9"/>
      <c r="GO406" s="9"/>
      <c r="GP406" s="9"/>
      <c r="GQ406" s="9"/>
      <c r="GR406" s="9"/>
      <c r="GS406" s="9"/>
      <c r="GT406" s="9"/>
      <c r="GU406" s="9"/>
      <c r="GV406" s="9"/>
      <c r="GW406" s="9"/>
      <c r="GX406" s="9"/>
      <c r="GY406" s="9"/>
      <c r="GZ406" s="9"/>
      <c r="HA406" s="9"/>
      <c r="HB406" s="9"/>
      <c r="HC406" s="9"/>
      <c r="HD406" s="9"/>
      <c r="HE406" s="9"/>
      <c r="HF406" s="9"/>
      <c r="HG406" s="9"/>
      <c r="HH406" s="9"/>
      <c r="HI406" s="9"/>
      <c r="HJ406" s="9"/>
      <c r="HT406" s="90">
        <v>38838</v>
      </c>
      <c r="HV406" s="50"/>
      <c r="HW406" s="50"/>
      <c r="IH406" t="s">
        <v>1060</v>
      </c>
      <c r="II406" s="78" t="s">
        <v>882</v>
      </c>
      <c r="IJ406" t="s">
        <v>542</v>
      </c>
      <c r="IK406" t="s">
        <v>543</v>
      </c>
      <c r="IL406">
        <v>2006</v>
      </c>
      <c r="IN406" s="78" t="s">
        <v>480</v>
      </c>
      <c r="JJ406" t="s">
        <v>1060</v>
      </c>
      <c r="JK406" s="75" t="s">
        <v>595</v>
      </c>
      <c r="JV406" s="8" t="s">
        <v>595</v>
      </c>
      <c r="JW406" s="8" t="s">
        <v>1052</v>
      </c>
      <c r="JX406" t="s">
        <v>508</v>
      </c>
      <c r="JY406">
        <v>80000</v>
      </c>
      <c r="MY406" t="s">
        <v>1061</v>
      </c>
      <c r="MZ406">
        <v>120</v>
      </c>
      <c r="NA406" t="s">
        <v>1040</v>
      </c>
      <c r="NB406" t="s">
        <v>1038</v>
      </c>
      <c r="NC406" t="s">
        <v>1041</v>
      </c>
      <c r="ND406" t="s">
        <v>1047</v>
      </c>
      <c r="NI406" t="s">
        <v>1066</v>
      </c>
      <c r="NJ406" s="78" t="s">
        <v>1067</v>
      </c>
      <c r="NL406" s="92" t="s">
        <v>515</v>
      </c>
      <c r="NM406" s="91" t="s">
        <v>1008</v>
      </c>
      <c r="NV406" t="s">
        <v>518</v>
      </c>
      <c r="NW406">
        <v>745359.91999999993</v>
      </c>
      <c r="NX406" s="79" t="s">
        <v>480</v>
      </c>
      <c r="NY406" s="79" t="s">
        <v>480</v>
      </c>
      <c r="NZ406" s="93"/>
      <c r="OB406">
        <v>3</v>
      </c>
      <c r="OU406" t="s">
        <v>1059</v>
      </c>
      <c r="OV406" s="3" t="s">
        <v>1044</v>
      </c>
      <c r="OX406">
        <v>2006</v>
      </c>
      <c r="OY406">
        <v>2007</v>
      </c>
      <c r="PB406" t="s">
        <v>522</v>
      </c>
      <c r="PC406" s="50">
        <v>46105</v>
      </c>
    </row>
    <row r="407" spans="1:419" ht="15.75" thickBot="1">
      <c r="A407" t="s">
        <v>469</v>
      </c>
      <c r="B407" t="s">
        <v>1032</v>
      </c>
      <c r="C407" t="s">
        <v>863</v>
      </c>
      <c r="D407" s="4" t="s">
        <v>950</v>
      </c>
      <c r="E407" t="s">
        <v>1033</v>
      </c>
      <c r="F407" s="89" t="s">
        <v>952</v>
      </c>
      <c r="G407" s="78" t="s">
        <v>475</v>
      </c>
      <c r="H407" s="78" t="s">
        <v>476</v>
      </c>
      <c r="I407">
        <v>7.25</v>
      </c>
      <c r="J407">
        <v>3.4166666669999999</v>
      </c>
      <c r="K407" s="78">
        <v>1000</v>
      </c>
      <c r="AV407" t="s">
        <v>1034</v>
      </c>
      <c r="AW407">
        <v>3240</v>
      </c>
      <c r="AX407">
        <v>1.2E-2</v>
      </c>
      <c r="AY407">
        <v>1</v>
      </c>
      <c r="BA407">
        <v>2006</v>
      </c>
      <c r="BB407">
        <v>2007</v>
      </c>
      <c r="BD407" t="s">
        <v>1035</v>
      </c>
      <c r="BE407" t="s">
        <v>536</v>
      </c>
      <c r="BF407" s="69" t="s">
        <v>484</v>
      </c>
      <c r="BG407" t="s">
        <v>1036</v>
      </c>
      <c r="BH407" t="s">
        <v>1037</v>
      </c>
      <c r="BI407" s="78" t="s">
        <v>486</v>
      </c>
      <c r="BJ407">
        <v>1330</v>
      </c>
      <c r="BK407" t="s">
        <v>537</v>
      </c>
      <c r="BL407" t="s">
        <v>1038</v>
      </c>
      <c r="BM407" t="s">
        <v>866</v>
      </c>
      <c r="BN407" s="78" t="s">
        <v>486</v>
      </c>
      <c r="BO407">
        <v>20000</v>
      </c>
      <c r="EG407" s="9"/>
      <c r="EH407" s="9"/>
      <c r="EI407" s="9"/>
      <c r="EJ407" s="9"/>
      <c r="EK407" s="9"/>
      <c r="EL407" s="9"/>
      <c r="EM407" s="9"/>
      <c r="EN407" s="9"/>
      <c r="EO407" s="9"/>
      <c r="EP407" s="9"/>
      <c r="EQ407" s="9"/>
      <c r="ER407" s="9"/>
      <c r="ES407" s="9"/>
      <c r="ET407" s="9"/>
      <c r="EU407" s="9"/>
      <c r="EV407" s="9"/>
      <c r="EW407" s="9"/>
      <c r="EX407" s="9"/>
      <c r="EY407" s="9"/>
      <c r="EZ407" s="9"/>
      <c r="FA407" s="9"/>
      <c r="FB407" s="9"/>
      <c r="FC407" s="9"/>
      <c r="FD407" s="9"/>
      <c r="FE407" s="9"/>
      <c r="FF407" s="9"/>
      <c r="FG407" s="9"/>
      <c r="FH407" s="9"/>
      <c r="FI407" s="9"/>
      <c r="FJ407" s="9"/>
      <c r="FK407" s="9"/>
      <c r="FL407" s="9"/>
      <c r="FM407" s="9"/>
      <c r="FN407" s="9"/>
      <c r="FO407" s="9"/>
      <c r="FP407" s="9"/>
      <c r="FQ407" s="9"/>
      <c r="FR407" s="9"/>
      <c r="FS407" s="9"/>
      <c r="FT407" s="9"/>
      <c r="FU407" s="9"/>
      <c r="FV407" s="9"/>
      <c r="FW407" s="9"/>
      <c r="FX407" s="9"/>
      <c r="FY407" s="9"/>
      <c r="FZ407" s="9"/>
      <c r="GA407" s="9"/>
      <c r="GB407" s="9"/>
      <c r="GC407" s="9"/>
      <c r="GD407" s="9"/>
      <c r="GE407" s="9"/>
      <c r="GF407" s="9"/>
      <c r="GG407" s="9"/>
      <c r="GH407" s="9"/>
      <c r="GI407" s="9"/>
      <c r="GJ407" s="9"/>
      <c r="GK407" s="9"/>
      <c r="GL407" s="9"/>
      <c r="GM407" s="9"/>
      <c r="GN407" s="9"/>
      <c r="GO407" s="9"/>
      <c r="GP407" s="9"/>
      <c r="GQ407" s="9"/>
      <c r="GR407" s="9"/>
      <c r="GS407" s="9"/>
      <c r="GT407" s="9"/>
      <c r="GU407" s="9"/>
      <c r="GV407" s="9"/>
      <c r="GW407" s="9"/>
      <c r="GX407" s="9"/>
      <c r="GY407" s="9"/>
      <c r="GZ407" s="9"/>
      <c r="HA407" s="9"/>
      <c r="HB407" s="9"/>
      <c r="HC407" s="9"/>
      <c r="HD407" s="9"/>
      <c r="HE407" s="9"/>
      <c r="HF407" s="9"/>
      <c r="HG407" s="9"/>
      <c r="HH407" s="9"/>
      <c r="HI407" s="9"/>
      <c r="HJ407" s="9"/>
      <c r="HT407" s="90">
        <v>38838</v>
      </c>
      <c r="HV407" s="50"/>
      <c r="HW407" s="50"/>
      <c r="IH407" t="s">
        <v>1035</v>
      </c>
      <c r="II407" s="78" t="s">
        <v>882</v>
      </c>
      <c r="IJ407" t="s">
        <v>542</v>
      </c>
      <c r="IK407" t="s">
        <v>543</v>
      </c>
      <c r="IL407">
        <v>2006</v>
      </c>
      <c r="IN407" s="78" t="s">
        <v>480</v>
      </c>
      <c r="JJ407" t="s">
        <v>1035</v>
      </c>
      <c r="JK407" s="75" t="s">
        <v>682</v>
      </c>
      <c r="MY407" t="s">
        <v>1061</v>
      </c>
      <c r="MZ407">
        <v>120</v>
      </c>
      <c r="NA407" t="s">
        <v>1040</v>
      </c>
      <c r="NB407" t="s">
        <v>1038</v>
      </c>
      <c r="NC407" t="s">
        <v>1041</v>
      </c>
      <c r="ND407" t="s">
        <v>1047</v>
      </c>
      <c r="NI407" t="s">
        <v>1064</v>
      </c>
      <c r="NJ407" s="78" t="s">
        <v>1068</v>
      </c>
      <c r="NL407" s="4" t="s">
        <v>1069</v>
      </c>
      <c r="NM407" s="91"/>
      <c r="NV407" t="s">
        <v>518</v>
      </c>
      <c r="NW407" s="93">
        <v>3.42</v>
      </c>
      <c r="NX407" s="79" t="s">
        <v>480</v>
      </c>
      <c r="NY407" s="79" t="s">
        <v>480</v>
      </c>
      <c r="OB407">
        <v>3</v>
      </c>
      <c r="OU407" t="s">
        <v>1070</v>
      </c>
      <c r="OV407" s="79" t="s">
        <v>518</v>
      </c>
      <c r="OX407">
        <v>2006</v>
      </c>
      <c r="OY407">
        <v>2007</v>
      </c>
      <c r="PB407" t="s">
        <v>522</v>
      </c>
      <c r="PC407" s="50">
        <v>46105</v>
      </c>
    </row>
    <row r="408" spans="1:419" ht="15.75" thickBot="1">
      <c r="A408" t="s">
        <v>469</v>
      </c>
      <c r="B408" t="s">
        <v>1032</v>
      </c>
      <c r="C408" t="s">
        <v>863</v>
      </c>
      <c r="D408" s="4" t="s">
        <v>950</v>
      </c>
      <c r="E408" t="s">
        <v>1033</v>
      </c>
      <c r="F408" s="89" t="s">
        <v>952</v>
      </c>
      <c r="G408" s="78" t="s">
        <v>475</v>
      </c>
      <c r="H408" s="78" t="s">
        <v>476</v>
      </c>
      <c r="I408">
        <v>7.25</v>
      </c>
      <c r="J408">
        <v>3.4166666669999999</v>
      </c>
      <c r="K408" s="78">
        <v>1000</v>
      </c>
      <c r="AV408" t="s">
        <v>1034</v>
      </c>
      <c r="AW408">
        <v>3240</v>
      </c>
      <c r="AX408">
        <v>1.2E-2</v>
      </c>
      <c r="AY408">
        <v>1</v>
      </c>
      <c r="BA408">
        <v>2006</v>
      </c>
      <c r="BB408">
        <v>2007</v>
      </c>
      <c r="BD408" t="s">
        <v>1058</v>
      </c>
      <c r="BE408" t="s">
        <v>566</v>
      </c>
      <c r="BF408" s="69" t="s">
        <v>484</v>
      </c>
      <c r="BG408" t="s">
        <v>1036</v>
      </c>
      <c r="BH408" t="s">
        <v>1037</v>
      </c>
      <c r="BI408" s="78" t="s">
        <v>486</v>
      </c>
      <c r="BJ408">
        <v>1330</v>
      </c>
      <c r="BK408" t="s">
        <v>537</v>
      </c>
      <c r="BL408" t="s">
        <v>1038</v>
      </c>
      <c r="BM408" t="s">
        <v>866</v>
      </c>
      <c r="BN408" s="78" t="s">
        <v>486</v>
      </c>
      <c r="BO408">
        <v>20000</v>
      </c>
      <c r="EG408" s="9"/>
      <c r="EH408" s="9"/>
      <c r="EI408" s="9"/>
      <c r="EJ408" s="9"/>
      <c r="EK408" s="9"/>
      <c r="EL408" s="9"/>
      <c r="EM408" s="9"/>
      <c r="EN408" s="9"/>
      <c r="EO408" s="9"/>
      <c r="EP408" s="9"/>
      <c r="EQ408" s="9"/>
      <c r="ER408" s="9"/>
      <c r="ES408" s="9"/>
      <c r="ET408" s="9"/>
      <c r="EU408" s="9"/>
      <c r="EV408" s="9"/>
      <c r="EW408" s="9"/>
      <c r="EX408" s="9"/>
      <c r="EY408" s="9"/>
      <c r="EZ408" s="9"/>
      <c r="FA408" s="9"/>
      <c r="FB408" s="9"/>
      <c r="FC408" s="9"/>
      <c r="FD408" s="9"/>
      <c r="FE408" s="9"/>
      <c r="FF408" s="9"/>
      <c r="FG408" s="9"/>
      <c r="FH408" s="9"/>
      <c r="FI408" s="9"/>
      <c r="FJ408" s="9"/>
      <c r="FK408" s="9"/>
      <c r="FL408" s="9"/>
      <c r="FM408" s="9"/>
      <c r="FN408" s="9"/>
      <c r="FO408" s="9"/>
      <c r="FP408" s="9"/>
      <c r="FQ408" s="9"/>
      <c r="FR408" s="9"/>
      <c r="FS408" s="9"/>
      <c r="FT408" s="9"/>
      <c r="FU408" s="9"/>
      <c r="FV408" s="9"/>
      <c r="FW408" s="9"/>
      <c r="FX408" s="9"/>
      <c r="FY408" s="9"/>
      <c r="FZ408" s="9"/>
      <c r="GA408" s="9"/>
      <c r="GB408" s="9"/>
      <c r="GC408" s="9"/>
      <c r="GD408" s="9"/>
      <c r="GE408" s="9"/>
      <c r="GF408" s="9"/>
      <c r="GG408" s="9"/>
      <c r="GH408" s="9"/>
      <c r="GI408" s="9"/>
      <c r="GJ408" s="9"/>
      <c r="GK408" s="9"/>
      <c r="GL408" s="9"/>
      <c r="GM408" s="9"/>
      <c r="GN408" s="9"/>
      <c r="GO408" s="9"/>
      <c r="GP408" s="9"/>
      <c r="GQ408" s="9"/>
      <c r="GR408" s="9"/>
      <c r="GS408" s="9"/>
      <c r="GT408" s="9"/>
      <c r="GU408" s="9"/>
      <c r="GV408" s="9"/>
      <c r="GW408" s="9"/>
      <c r="GX408" s="9"/>
      <c r="GY408" s="9"/>
      <c r="GZ408" s="9"/>
      <c r="HA408" s="9"/>
      <c r="HB408" s="9"/>
      <c r="HC408" s="9"/>
      <c r="HD408" s="9"/>
      <c r="HE408" s="9"/>
      <c r="HF408" s="9"/>
      <c r="HG408" s="9"/>
      <c r="HH408" s="9"/>
      <c r="HI408" s="9"/>
      <c r="HJ408" s="9"/>
      <c r="HT408" s="90">
        <v>38838</v>
      </c>
      <c r="HV408" s="50"/>
      <c r="HW408" s="50"/>
      <c r="IH408" t="s">
        <v>1058</v>
      </c>
      <c r="II408" s="78" t="s">
        <v>882</v>
      </c>
      <c r="IJ408" t="s">
        <v>542</v>
      </c>
      <c r="IK408" t="s">
        <v>543</v>
      </c>
      <c r="IL408">
        <v>2006</v>
      </c>
      <c r="IN408" s="78" t="s">
        <v>480</v>
      </c>
      <c r="JJ408" t="s">
        <v>1058</v>
      </c>
      <c r="JK408" s="75" t="s">
        <v>595</v>
      </c>
      <c r="JV408" s="8" t="s">
        <v>595</v>
      </c>
      <c r="JW408" s="8" t="s">
        <v>1052</v>
      </c>
      <c r="JX408" t="s">
        <v>508</v>
      </c>
      <c r="JY408">
        <v>40000</v>
      </c>
      <c r="MY408" t="s">
        <v>1061</v>
      </c>
      <c r="MZ408">
        <v>120</v>
      </c>
      <c r="NA408" t="s">
        <v>1040</v>
      </c>
      <c r="NB408" t="s">
        <v>1038</v>
      </c>
      <c r="NC408" t="s">
        <v>1041</v>
      </c>
      <c r="ND408" t="s">
        <v>1047</v>
      </c>
      <c r="NI408" t="s">
        <v>1066</v>
      </c>
      <c r="NJ408" s="78" t="s">
        <v>1068</v>
      </c>
      <c r="NL408" s="4" t="s">
        <v>1069</v>
      </c>
      <c r="NM408" s="91"/>
      <c r="NV408" t="s">
        <v>518</v>
      </c>
      <c r="NW408" s="93">
        <v>3.74</v>
      </c>
      <c r="NX408" s="79" t="s">
        <v>480</v>
      </c>
      <c r="NY408" s="79" t="s">
        <v>480</v>
      </c>
      <c r="OB408">
        <v>3</v>
      </c>
      <c r="OU408" t="s">
        <v>1070</v>
      </c>
      <c r="OV408" s="79" t="s">
        <v>518</v>
      </c>
      <c r="OX408">
        <v>2006</v>
      </c>
      <c r="OY408">
        <v>2007</v>
      </c>
      <c r="PB408" t="s">
        <v>522</v>
      </c>
      <c r="PC408" s="50">
        <v>46105</v>
      </c>
    </row>
    <row r="409" spans="1:419" ht="15.75" thickBot="1">
      <c r="A409" t="s">
        <v>469</v>
      </c>
      <c r="B409" t="s">
        <v>1032</v>
      </c>
      <c r="C409" t="s">
        <v>863</v>
      </c>
      <c r="D409" s="4" t="s">
        <v>950</v>
      </c>
      <c r="E409" t="s">
        <v>1033</v>
      </c>
      <c r="F409" s="89" t="s">
        <v>952</v>
      </c>
      <c r="G409" s="78" t="s">
        <v>475</v>
      </c>
      <c r="H409" s="78" t="s">
        <v>476</v>
      </c>
      <c r="I409">
        <v>7.25</v>
      </c>
      <c r="J409">
        <v>3.4166666669999999</v>
      </c>
      <c r="K409" s="78">
        <v>1000</v>
      </c>
      <c r="AV409" t="s">
        <v>1034</v>
      </c>
      <c r="AW409">
        <v>3240</v>
      </c>
      <c r="AX409">
        <v>1.2E-2</v>
      </c>
      <c r="AY409">
        <v>1</v>
      </c>
      <c r="BA409">
        <v>2006</v>
      </c>
      <c r="BB409">
        <v>2007</v>
      </c>
      <c r="BD409" t="s">
        <v>1060</v>
      </c>
      <c r="BE409" t="s">
        <v>572</v>
      </c>
      <c r="BF409" s="69" t="s">
        <v>484</v>
      </c>
      <c r="BG409" t="s">
        <v>1036</v>
      </c>
      <c r="BH409" t="s">
        <v>1037</v>
      </c>
      <c r="BI409" s="78" t="s">
        <v>486</v>
      </c>
      <c r="BJ409">
        <v>1330</v>
      </c>
      <c r="BK409" t="s">
        <v>537</v>
      </c>
      <c r="BL409" t="s">
        <v>1038</v>
      </c>
      <c r="BM409" t="s">
        <v>866</v>
      </c>
      <c r="BN409" s="78" t="s">
        <v>486</v>
      </c>
      <c r="BO409">
        <v>20000</v>
      </c>
      <c r="EG409" s="9"/>
      <c r="EH409" s="9"/>
      <c r="EI409" s="9"/>
      <c r="EJ409" s="9"/>
      <c r="EK409" s="9"/>
      <c r="EL409" s="9"/>
      <c r="EM409" s="9"/>
      <c r="EN409" s="9"/>
      <c r="EO409" s="9"/>
      <c r="EP409" s="9"/>
      <c r="EQ409" s="9"/>
      <c r="ER409" s="9"/>
      <c r="ES409" s="9"/>
      <c r="ET409" s="9"/>
      <c r="EU409" s="9"/>
      <c r="EV409" s="9"/>
      <c r="EW409" s="9"/>
      <c r="EX409" s="9"/>
      <c r="EY409" s="9"/>
      <c r="EZ409" s="9"/>
      <c r="FA409" s="9"/>
      <c r="FB409" s="9"/>
      <c r="FC409" s="9"/>
      <c r="FD409" s="9"/>
      <c r="FE409" s="9"/>
      <c r="FF409" s="9"/>
      <c r="FG409" s="9"/>
      <c r="FH409" s="9"/>
      <c r="FI409" s="9"/>
      <c r="FJ409" s="9"/>
      <c r="FK409" s="9"/>
      <c r="FL409" s="9"/>
      <c r="FM409" s="9"/>
      <c r="FN409" s="9"/>
      <c r="FO409" s="9"/>
      <c r="FP409" s="9"/>
      <c r="FQ409" s="9"/>
      <c r="FR409" s="9"/>
      <c r="FS409" s="9"/>
      <c r="FT409" s="9"/>
      <c r="FU409" s="9"/>
      <c r="FV409" s="9"/>
      <c r="FW409" s="9"/>
      <c r="FX409" s="9"/>
      <c r="FY409" s="9"/>
      <c r="FZ409" s="9"/>
      <c r="GA409" s="9"/>
      <c r="GB409" s="9"/>
      <c r="GC409" s="9"/>
      <c r="GD409" s="9"/>
      <c r="GE409" s="9"/>
      <c r="GF409" s="9"/>
      <c r="GG409" s="9"/>
      <c r="GH409" s="9"/>
      <c r="GI409" s="9"/>
      <c r="GJ409" s="9"/>
      <c r="GK409" s="9"/>
      <c r="GL409" s="9"/>
      <c r="GM409" s="9"/>
      <c r="GN409" s="9"/>
      <c r="GO409" s="9"/>
      <c r="GP409" s="9"/>
      <c r="GQ409" s="9"/>
      <c r="GR409" s="9"/>
      <c r="GS409" s="9"/>
      <c r="GT409" s="9"/>
      <c r="GU409" s="9"/>
      <c r="GV409" s="9"/>
      <c r="GW409" s="9"/>
      <c r="GX409" s="9"/>
      <c r="GY409" s="9"/>
      <c r="GZ409" s="9"/>
      <c r="HA409" s="9"/>
      <c r="HB409" s="9"/>
      <c r="HC409" s="9"/>
      <c r="HD409" s="9"/>
      <c r="HE409" s="9"/>
      <c r="HF409" s="9"/>
      <c r="HG409" s="9"/>
      <c r="HH409" s="9"/>
      <c r="HI409" s="9"/>
      <c r="HJ409" s="9"/>
      <c r="HT409" s="90">
        <v>38838</v>
      </c>
      <c r="HV409" s="50"/>
      <c r="HW409" s="50"/>
      <c r="IH409" t="s">
        <v>1060</v>
      </c>
      <c r="II409" s="78" t="s">
        <v>882</v>
      </c>
      <c r="IJ409" t="s">
        <v>542</v>
      </c>
      <c r="IK409" t="s">
        <v>543</v>
      </c>
      <c r="IL409">
        <v>2006</v>
      </c>
      <c r="IN409" s="78" t="s">
        <v>480</v>
      </c>
      <c r="JJ409" t="s">
        <v>1060</v>
      </c>
      <c r="JK409" s="75" t="s">
        <v>595</v>
      </c>
      <c r="JV409" s="8" t="s">
        <v>595</v>
      </c>
      <c r="JW409" s="8" t="s">
        <v>1052</v>
      </c>
      <c r="JX409" t="s">
        <v>508</v>
      </c>
      <c r="JY409">
        <v>80000</v>
      </c>
      <c r="MY409" t="s">
        <v>1061</v>
      </c>
      <c r="MZ409">
        <v>120</v>
      </c>
      <c r="NA409" t="s">
        <v>1040</v>
      </c>
      <c r="NB409" t="s">
        <v>1038</v>
      </c>
      <c r="NC409" t="s">
        <v>1041</v>
      </c>
      <c r="ND409" t="s">
        <v>1047</v>
      </c>
      <c r="NI409" t="s">
        <v>1066</v>
      </c>
      <c r="NJ409" s="78" t="s">
        <v>1068</v>
      </c>
      <c r="NL409" s="4" t="s">
        <v>1069</v>
      </c>
      <c r="NM409" s="91"/>
      <c r="NP409" s="93"/>
      <c r="NV409" t="s">
        <v>518</v>
      </c>
      <c r="NW409" s="93">
        <v>3.77</v>
      </c>
      <c r="NX409" s="79" t="s">
        <v>480</v>
      </c>
      <c r="NY409" s="79" t="s">
        <v>480</v>
      </c>
      <c r="OB409">
        <v>3</v>
      </c>
      <c r="OU409" t="s">
        <v>1070</v>
      </c>
      <c r="OV409" s="79" t="s">
        <v>518</v>
      </c>
      <c r="OX409">
        <v>2006</v>
      </c>
      <c r="OY409">
        <v>2007</v>
      </c>
      <c r="PB409" t="s">
        <v>522</v>
      </c>
      <c r="PC409" s="50">
        <v>46105</v>
      </c>
    </row>
    <row r="410" spans="1:419" ht="15.75" thickBot="1">
      <c r="A410" t="s">
        <v>469</v>
      </c>
      <c r="B410" t="s">
        <v>1032</v>
      </c>
      <c r="C410" t="s">
        <v>863</v>
      </c>
      <c r="D410" s="4" t="s">
        <v>950</v>
      </c>
      <c r="E410" t="s">
        <v>1033</v>
      </c>
      <c r="F410" s="89" t="s">
        <v>952</v>
      </c>
      <c r="G410" s="78" t="s">
        <v>475</v>
      </c>
      <c r="H410" s="78" t="s">
        <v>476</v>
      </c>
      <c r="I410">
        <v>7.25</v>
      </c>
      <c r="J410">
        <v>3.4166666669999999</v>
      </c>
      <c r="K410" s="78">
        <v>1000</v>
      </c>
      <c r="AV410" t="s">
        <v>1034</v>
      </c>
      <c r="AW410">
        <v>3240</v>
      </c>
      <c r="AX410">
        <v>1.2E-2</v>
      </c>
      <c r="AY410">
        <v>1</v>
      </c>
      <c r="BA410">
        <v>2006</v>
      </c>
      <c r="BB410">
        <v>2007</v>
      </c>
      <c r="BD410" t="s">
        <v>1045</v>
      </c>
      <c r="BE410" t="s">
        <v>524</v>
      </c>
      <c r="BF410" s="69" t="s">
        <v>484</v>
      </c>
      <c r="BG410" t="s">
        <v>1036</v>
      </c>
      <c r="BH410" t="s">
        <v>1037</v>
      </c>
      <c r="BI410" s="78" t="s">
        <v>486</v>
      </c>
      <c r="BJ410">
        <v>1330</v>
      </c>
      <c r="EG410" s="9"/>
      <c r="EH410" s="9"/>
      <c r="EI410" s="9"/>
      <c r="EJ410" s="9"/>
      <c r="EK410" s="9"/>
      <c r="EL410" s="9"/>
      <c r="EM410" s="9"/>
      <c r="EN410" s="9"/>
      <c r="EO410" s="9"/>
      <c r="EP410" s="9"/>
      <c r="EQ410" s="9"/>
      <c r="ER410" s="9"/>
      <c r="ES410" s="9"/>
      <c r="ET410" s="9"/>
      <c r="EU410" s="9"/>
      <c r="EV410" s="9"/>
      <c r="EW410" s="9"/>
      <c r="EX410" s="9"/>
      <c r="EY410" s="9"/>
      <c r="EZ410" s="9"/>
      <c r="FA410" s="9"/>
      <c r="FB410" s="9"/>
      <c r="FC410" s="9"/>
      <c r="FD410" s="9"/>
      <c r="FE410" s="9"/>
      <c r="FF410" s="9"/>
      <c r="FG410" s="9"/>
      <c r="FH410" s="9"/>
      <c r="FI410" s="9"/>
      <c r="FJ410" s="9"/>
      <c r="FK410" s="9"/>
      <c r="FL410" s="9"/>
      <c r="FM410" s="9"/>
      <c r="FN410" s="9"/>
      <c r="FO410" s="9"/>
      <c r="FP410" s="9"/>
      <c r="FQ410" s="9"/>
      <c r="FR410" s="9"/>
      <c r="FS410" s="9"/>
      <c r="FT410" s="9"/>
      <c r="FU410" s="9"/>
      <c r="FV410" s="9"/>
      <c r="FW410" s="9"/>
      <c r="FX410" s="9"/>
      <c r="FY410" s="9"/>
      <c r="FZ410" s="9"/>
      <c r="GA410" s="9"/>
      <c r="GB410" s="9"/>
      <c r="GC410" s="9"/>
      <c r="GD410" s="9"/>
      <c r="GE410" s="9"/>
      <c r="GF410" s="9"/>
      <c r="GG410" s="9"/>
      <c r="GH410" s="9"/>
      <c r="GI410" s="9"/>
      <c r="GJ410" s="9"/>
      <c r="GK410" s="9"/>
      <c r="GL410" s="9"/>
      <c r="GM410" s="9"/>
      <c r="GN410" s="9"/>
      <c r="GO410" s="9"/>
      <c r="GP410" s="9"/>
      <c r="GQ410" s="9"/>
      <c r="GR410" s="9"/>
      <c r="GS410" s="9"/>
      <c r="GT410" s="9"/>
      <c r="GU410" s="9"/>
      <c r="GV410" s="9"/>
      <c r="GW410" s="9"/>
      <c r="GX410" s="9"/>
      <c r="GY410" s="9"/>
      <c r="GZ410" s="9"/>
      <c r="HA410" s="9"/>
      <c r="HB410" s="9"/>
      <c r="HC410" s="9"/>
      <c r="HD410" s="9"/>
      <c r="HE410" s="9"/>
      <c r="HF410" s="9"/>
      <c r="HG410" s="9"/>
      <c r="HH410" s="9"/>
      <c r="HI410" s="9"/>
      <c r="HJ410" s="9"/>
      <c r="HT410" s="90">
        <v>38838</v>
      </c>
      <c r="HV410" s="50"/>
      <c r="HW410" s="50"/>
      <c r="IH410" t="s">
        <v>1045</v>
      </c>
      <c r="II410" t="s">
        <v>492</v>
      </c>
      <c r="IN410" s="78"/>
      <c r="JJ410" t="s">
        <v>1045</v>
      </c>
      <c r="JK410" s="75" t="s">
        <v>682</v>
      </c>
      <c r="MY410" t="s">
        <v>1061</v>
      </c>
      <c r="MZ410">
        <v>120</v>
      </c>
      <c r="NA410" t="s">
        <v>1046</v>
      </c>
      <c r="NB410" t="s">
        <v>1041</v>
      </c>
      <c r="NC410" t="s">
        <v>1047</v>
      </c>
      <c r="NI410" t="s">
        <v>1064</v>
      </c>
      <c r="NJ410" s="78" t="s">
        <v>1068</v>
      </c>
      <c r="NL410" s="4" t="s">
        <v>1069</v>
      </c>
      <c r="NM410" s="91"/>
      <c r="NU410" t="s">
        <v>536</v>
      </c>
      <c r="NV410" t="s">
        <v>518</v>
      </c>
      <c r="NW410" s="93">
        <v>3.7</v>
      </c>
      <c r="NX410" s="79" t="s">
        <v>480</v>
      </c>
      <c r="NY410" s="79" t="s">
        <v>480</v>
      </c>
      <c r="OB410">
        <v>3</v>
      </c>
      <c r="OU410" t="s">
        <v>1070</v>
      </c>
      <c r="OV410" s="79" t="s">
        <v>518</v>
      </c>
      <c r="OX410">
        <v>2006</v>
      </c>
      <c r="OY410">
        <v>2007</v>
      </c>
      <c r="PB410" t="s">
        <v>522</v>
      </c>
      <c r="PC410" s="50">
        <v>46105</v>
      </c>
    </row>
    <row r="411" spans="1:419" ht="15.75" thickBot="1">
      <c r="A411" t="s">
        <v>469</v>
      </c>
      <c r="B411" t="s">
        <v>1032</v>
      </c>
      <c r="C411" t="s">
        <v>863</v>
      </c>
      <c r="D411" s="4" t="s">
        <v>950</v>
      </c>
      <c r="E411" t="s">
        <v>1033</v>
      </c>
      <c r="F411" s="89" t="s">
        <v>952</v>
      </c>
      <c r="G411" s="78" t="s">
        <v>475</v>
      </c>
      <c r="H411" s="78" t="s">
        <v>476</v>
      </c>
      <c r="I411">
        <v>7.25</v>
      </c>
      <c r="J411">
        <v>3.4166666669999999</v>
      </c>
      <c r="K411" s="78">
        <v>1000</v>
      </c>
      <c r="AV411" t="s">
        <v>1034</v>
      </c>
      <c r="AW411">
        <v>3240</v>
      </c>
      <c r="AX411">
        <v>1.2E-2</v>
      </c>
      <c r="AY411">
        <v>1</v>
      </c>
      <c r="BA411">
        <v>2006</v>
      </c>
      <c r="BB411">
        <v>2007</v>
      </c>
      <c r="BD411" t="s">
        <v>1055</v>
      </c>
      <c r="BE411" t="s">
        <v>621</v>
      </c>
      <c r="BF411" s="69" t="s">
        <v>484</v>
      </c>
      <c r="BG411" t="s">
        <v>1036</v>
      </c>
      <c r="BH411" t="s">
        <v>1037</v>
      </c>
      <c r="BI411" s="78" t="s">
        <v>486</v>
      </c>
      <c r="BJ411">
        <v>1330</v>
      </c>
      <c r="EG411" s="9"/>
      <c r="EH411" s="9"/>
      <c r="EI411" s="9"/>
      <c r="EJ411" s="9"/>
      <c r="EK411" s="9"/>
      <c r="EL411" s="9"/>
      <c r="EM411" s="9"/>
      <c r="EN411" s="9"/>
      <c r="EO411" s="9"/>
      <c r="EP411" s="9"/>
      <c r="EQ411" s="9"/>
      <c r="ER411" s="9"/>
      <c r="ES411" s="9"/>
      <c r="ET411" s="9"/>
      <c r="EU411" s="9"/>
      <c r="EV411" s="9"/>
      <c r="EW411" s="9"/>
      <c r="EX411" s="9"/>
      <c r="EY411" s="9"/>
      <c r="EZ411" s="9"/>
      <c r="FA411" s="9"/>
      <c r="FB411" s="9"/>
      <c r="FC411" s="9"/>
      <c r="FD411" s="9"/>
      <c r="FE411" s="9"/>
      <c r="FF411" s="9"/>
      <c r="FG411" s="9"/>
      <c r="FH411" s="9"/>
      <c r="FI411" s="9"/>
      <c r="FJ411" s="9"/>
      <c r="FK411" s="9"/>
      <c r="FL411" s="9"/>
      <c r="FM411" s="9"/>
      <c r="FN411" s="9"/>
      <c r="FO411" s="9"/>
      <c r="FP411" s="9"/>
      <c r="FQ411" s="9"/>
      <c r="FR411" s="9"/>
      <c r="FS411" s="9"/>
      <c r="FT411" s="9"/>
      <c r="FU411" s="9"/>
      <c r="FV411" s="9"/>
      <c r="FW411" s="9"/>
      <c r="FX411" s="9"/>
      <c r="FY411" s="9"/>
      <c r="FZ411" s="9"/>
      <c r="GA411" s="9"/>
      <c r="GB411" s="9"/>
      <c r="GC411" s="9"/>
      <c r="GD411" s="9"/>
      <c r="GE411" s="9"/>
      <c r="GF411" s="9"/>
      <c r="GG411" s="9"/>
      <c r="GH411" s="9"/>
      <c r="GI411" s="9"/>
      <c r="GJ411" s="9"/>
      <c r="GK411" s="9"/>
      <c r="GL411" s="9"/>
      <c r="GM411" s="9"/>
      <c r="GN411" s="9"/>
      <c r="GO411" s="9"/>
      <c r="GP411" s="9"/>
      <c r="GQ411" s="9"/>
      <c r="GR411" s="9"/>
      <c r="GS411" s="9"/>
      <c r="GT411" s="9"/>
      <c r="GU411" s="9"/>
      <c r="GV411" s="9"/>
      <c r="GW411" s="9"/>
      <c r="GX411" s="9"/>
      <c r="GY411" s="9"/>
      <c r="GZ411" s="9"/>
      <c r="HA411" s="9"/>
      <c r="HB411" s="9"/>
      <c r="HC411" s="9"/>
      <c r="HD411" s="9"/>
      <c r="HE411" s="9"/>
      <c r="HF411" s="9"/>
      <c r="HG411" s="9"/>
      <c r="HH411" s="9"/>
      <c r="HI411" s="9"/>
      <c r="HJ411" s="9"/>
      <c r="HT411" s="90">
        <v>38838</v>
      </c>
      <c r="HV411" s="50"/>
      <c r="HW411" s="50"/>
      <c r="IH411" t="s">
        <v>1055</v>
      </c>
      <c r="II411" t="s">
        <v>492</v>
      </c>
      <c r="JJ411" t="s">
        <v>1055</v>
      </c>
      <c r="JK411" s="75" t="s">
        <v>595</v>
      </c>
      <c r="JV411" s="8" t="s">
        <v>595</v>
      </c>
      <c r="JW411" s="8" t="s">
        <v>1052</v>
      </c>
      <c r="JX411" t="s">
        <v>508</v>
      </c>
      <c r="JY411">
        <v>40000</v>
      </c>
      <c r="MY411" t="s">
        <v>1061</v>
      </c>
      <c r="MZ411">
        <v>120</v>
      </c>
      <c r="NA411" t="s">
        <v>1046</v>
      </c>
      <c r="NB411" t="s">
        <v>1041</v>
      </c>
      <c r="NC411" t="s">
        <v>1047</v>
      </c>
      <c r="NI411" t="s">
        <v>1066</v>
      </c>
      <c r="NJ411" s="78" t="s">
        <v>1068</v>
      </c>
      <c r="NL411" s="4" t="s">
        <v>1069</v>
      </c>
      <c r="NM411" s="91"/>
      <c r="NU411" t="s">
        <v>566</v>
      </c>
      <c r="NV411" t="s">
        <v>518</v>
      </c>
      <c r="NW411" s="93">
        <v>4.68</v>
      </c>
      <c r="NX411" s="79" t="s">
        <v>480</v>
      </c>
      <c r="NY411" s="79" t="s">
        <v>480</v>
      </c>
      <c r="OB411">
        <v>3</v>
      </c>
      <c r="OU411" t="s">
        <v>1070</v>
      </c>
      <c r="OV411" s="79" t="s">
        <v>518</v>
      </c>
      <c r="OX411">
        <v>2006</v>
      </c>
      <c r="OY411">
        <v>2007</v>
      </c>
      <c r="PB411" t="s">
        <v>522</v>
      </c>
      <c r="PC411" s="50">
        <v>46105</v>
      </c>
    </row>
    <row r="412" spans="1:419" ht="15.75" thickBot="1">
      <c r="A412" t="s">
        <v>469</v>
      </c>
      <c r="B412" t="s">
        <v>1032</v>
      </c>
      <c r="C412" t="s">
        <v>863</v>
      </c>
      <c r="D412" s="4" t="s">
        <v>950</v>
      </c>
      <c r="E412" t="s">
        <v>1033</v>
      </c>
      <c r="F412" s="89" t="s">
        <v>952</v>
      </c>
      <c r="G412" s="78" t="s">
        <v>475</v>
      </c>
      <c r="H412" s="78" t="s">
        <v>476</v>
      </c>
      <c r="I412">
        <v>7.25</v>
      </c>
      <c r="J412">
        <v>3.4166666669999999</v>
      </c>
      <c r="K412" s="78">
        <v>1000</v>
      </c>
      <c r="AV412" t="s">
        <v>1034</v>
      </c>
      <c r="AW412">
        <v>3240</v>
      </c>
      <c r="AX412">
        <v>1.2E-2</v>
      </c>
      <c r="AY412">
        <v>1</v>
      </c>
      <c r="BA412">
        <v>2006</v>
      </c>
      <c r="BB412">
        <v>2007</v>
      </c>
      <c r="BD412" t="s">
        <v>1057</v>
      </c>
      <c r="BE412" t="s">
        <v>630</v>
      </c>
      <c r="BF412" s="69" t="s">
        <v>484</v>
      </c>
      <c r="BG412" t="s">
        <v>1036</v>
      </c>
      <c r="BH412" t="s">
        <v>1037</v>
      </c>
      <c r="BI412" s="78" t="s">
        <v>486</v>
      </c>
      <c r="BJ412">
        <v>1330</v>
      </c>
      <c r="EG412" s="9"/>
      <c r="EH412" s="9"/>
      <c r="EI412" s="9"/>
      <c r="EJ412" s="9"/>
      <c r="EK412" s="9"/>
      <c r="EL412" s="9"/>
      <c r="EM412" s="9"/>
      <c r="EN412" s="9"/>
      <c r="EO412" s="9"/>
      <c r="EP412" s="9"/>
      <c r="EQ412" s="9"/>
      <c r="ER412" s="9"/>
      <c r="ES412" s="9"/>
      <c r="ET412" s="9"/>
      <c r="EU412" s="9"/>
      <c r="EV412" s="9"/>
      <c r="EW412" s="9"/>
      <c r="EX412" s="9"/>
      <c r="EY412" s="9"/>
      <c r="EZ412" s="9"/>
      <c r="FA412" s="9"/>
      <c r="FB412" s="9"/>
      <c r="FC412" s="9"/>
      <c r="FD412" s="9"/>
      <c r="FE412" s="9"/>
      <c r="FF412" s="9"/>
      <c r="FG412" s="9"/>
      <c r="FH412" s="9"/>
      <c r="FI412" s="9"/>
      <c r="FJ412" s="9"/>
      <c r="FK412" s="9"/>
      <c r="FL412" s="9"/>
      <c r="FM412" s="9"/>
      <c r="FN412" s="9"/>
      <c r="FO412" s="9"/>
      <c r="FP412" s="9"/>
      <c r="FQ412" s="9"/>
      <c r="FR412" s="9"/>
      <c r="FS412" s="9"/>
      <c r="FT412" s="9"/>
      <c r="FU412" s="9"/>
      <c r="FV412" s="9"/>
      <c r="FW412" s="9"/>
      <c r="FX412" s="9"/>
      <c r="FY412" s="9"/>
      <c r="FZ412" s="9"/>
      <c r="GA412" s="9"/>
      <c r="GB412" s="9"/>
      <c r="GC412" s="9"/>
      <c r="GD412" s="9"/>
      <c r="GE412" s="9"/>
      <c r="GF412" s="9"/>
      <c r="GG412" s="9"/>
      <c r="GH412" s="9"/>
      <c r="GI412" s="9"/>
      <c r="GJ412" s="9"/>
      <c r="GK412" s="9"/>
      <c r="GL412" s="9"/>
      <c r="GM412" s="9"/>
      <c r="GN412" s="9"/>
      <c r="GO412" s="9"/>
      <c r="GP412" s="9"/>
      <c r="GQ412" s="9"/>
      <c r="GR412" s="9"/>
      <c r="GS412" s="9"/>
      <c r="GT412" s="9"/>
      <c r="GU412" s="9"/>
      <c r="GV412" s="9"/>
      <c r="GW412" s="9"/>
      <c r="GX412" s="9"/>
      <c r="GY412" s="9"/>
      <c r="GZ412" s="9"/>
      <c r="HA412" s="9"/>
      <c r="HB412" s="9"/>
      <c r="HC412" s="9"/>
      <c r="HD412" s="9"/>
      <c r="HE412" s="9"/>
      <c r="HF412" s="9"/>
      <c r="HG412" s="9"/>
      <c r="HH412" s="9"/>
      <c r="HI412" s="9"/>
      <c r="HJ412" s="9"/>
      <c r="HT412" s="90">
        <v>38838</v>
      </c>
      <c r="HV412" s="50"/>
      <c r="HW412" s="50"/>
      <c r="IH412" t="s">
        <v>1057</v>
      </c>
      <c r="II412" t="s">
        <v>492</v>
      </c>
      <c r="JJ412" t="s">
        <v>1057</v>
      </c>
      <c r="JK412" s="75" t="s">
        <v>595</v>
      </c>
      <c r="JV412" s="8" t="s">
        <v>595</v>
      </c>
      <c r="JW412" s="8" t="s">
        <v>1052</v>
      </c>
      <c r="JX412" t="s">
        <v>508</v>
      </c>
      <c r="JY412">
        <v>80000</v>
      </c>
      <c r="MY412" t="s">
        <v>1061</v>
      </c>
      <c r="MZ412">
        <v>120</v>
      </c>
      <c r="NA412" t="s">
        <v>1046</v>
      </c>
      <c r="NB412" t="s">
        <v>1041</v>
      </c>
      <c r="NC412" t="s">
        <v>1047</v>
      </c>
      <c r="NI412" t="s">
        <v>1066</v>
      </c>
      <c r="NJ412" s="78" t="s">
        <v>1068</v>
      </c>
      <c r="NL412" s="4" t="s">
        <v>1069</v>
      </c>
      <c r="NM412" s="91"/>
      <c r="NU412" t="s">
        <v>572</v>
      </c>
      <c r="NV412" t="s">
        <v>518</v>
      </c>
      <c r="NW412" s="93">
        <v>4.97</v>
      </c>
      <c r="NX412" s="79" t="s">
        <v>480</v>
      </c>
      <c r="NY412" s="79" t="s">
        <v>480</v>
      </c>
      <c r="OB412">
        <v>3</v>
      </c>
      <c r="OU412" t="s">
        <v>1070</v>
      </c>
      <c r="OV412" s="79" t="s">
        <v>518</v>
      </c>
      <c r="OX412">
        <v>2006</v>
      </c>
      <c r="OY412">
        <v>2007</v>
      </c>
      <c r="PB412" t="s">
        <v>522</v>
      </c>
      <c r="PC412" s="50">
        <v>46105</v>
      </c>
    </row>
    <row r="413" spans="1:419" ht="15.75" thickBot="1">
      <c r="A413" t="s">
        <v>469</v>
      </c>
      <c r="B413" t="s">
        <v>1032</v>
      </c>
      <c r="C413" t="s">
        <v>863</v>
      </c>
      <c r="D413" s="4" t="s">
        <v>950</v>
      </c>
      <c r="E413" t="s">
        <v>1033</v>
      </c>
      <c r="F413" s="89" t="s">
        <v>952</v>
      </c>
      <c r="G413" s="78" t="s">
        <v>475</v>
      </c>
      <c r="H413" s="78" t="s">
        <v>476</v>
      </c>
      <c r="I413">
        <v>7.25</v>
      </c>
      <c r="J413">
        <v>3.4166666669999999</v>
      </c>
      <c r="K413" s="78">
        <v>1000</v>
      </c>
      <c r="AV413" t="s">
        <v>1034</v>
      </c>
      <c r="AW413">
        <v>3240</v>
      </c>
      <c r="AX413">
        <v>1.2E-2</v>
      </c>
      <c r="AY413">
        <v>1</v>
      </c>
      <c r="BA413">
        <v>2006</v>
      </c>
      <c r="BB413">
        <v>2007</v>
      </c>
      <c r="BD413" t="s">
        <v>1048</v>
      </c>
      <c r="BE413" t="s">
        <v>483</v>
      </c>
      <c r="BF413" s="69" t="s">
        <v>484</v>
      </c>
      <c r="BG413" t="s">
        <v>1038</v>
      </c>
      <c r="BH413" t="s">
        <v>1049</v>
      </c>
      <c r="BI413" s="78" t="s">
        <v>486</v>
      </c>
      <c r="BJ413">
        <v>20000</v>
      </c>
      <c r="EG413" s="9"/>
      <c r="EH413" s="9"/>
      <c r="EI413" s="9"/>
      <c r="EJ413" s="9"/>
      <c r="EK413" s="9"/>
      <c r="EL413" s="9"/>
      <c r="EM413" s="9"/>
      <c r="EN413" s="9"/>
      <c r="EO413" s="9"/>
      <c r="EP413" s="9"/>
      <c r="EQ413" s="9"/>
      <c r="ER413" s="9"/>
      <c r="ES413" s="9"/>
      <c r="ET413" s="9"/>
      <c r="EU413" s="9"/>
      <c r="EV413" s="9"/>
      <c r="EW413" s="9"/>
      <c r="EX413" s="9"/>
      <c r="EY413" s="9"/>
      <c r="EZ413" s="9"/>
      <c r="FA413" s="9"/>
      <c r="FB413" s="9"/>
      <c r="FC413" s="9"/>
      <c r="FD413" s="9"/>
      <c r="FE413" s="9"/>
      <c r="FF413" s="9"/>
      <c r="FG413" s="9"/>
      <c r="FH413" s="9"/>
      <c r="FI413" s="9"/>
      <c r="FJ413" s="9"/>
      <c r="FK413" s="9"/>
      <c r="FL413" s="9"/>
      <c r="FM413" s="9"/>
      <c r="FN413" s="9"/>
      <c r="FO413" s="9"/>
      <c r="FP413" s="9"/>
      <c r="FQ413" s="9"/>
      <c r="FR413" s="9"/>
      <c r="FS413" s="9"/>
      <c r="FT413" s="9"/>
      <c r="FU413" s="9"/>
      <c r="FV413" s="9"/>
      <c r="FW413" s="9"/>
      <c r="FX413" s="9"/>
      <c r="FY413" s="9"/>
      <c r="FZ413" s="9"/>
      <c r="GA413" s="9"/>
      <c r="GB413" s="9"/>
      <c r="GC413" s="9"/>
      <c r="GD413" s="9"/>
      <c r="GE413" s="9"/>
      <c r="GF413" s="9"/>
      <c r="GG413" s="9"/>
      <c r="GH413" s="9"/>
      <c r="GI413" s="9"/>
      <c r="GJ413" s="9"/>
      <c r="GK413" s="9"/>
      <c r="GL413" s="9"/>
      <c r="GM413" s="9"/>
      <c r="GN413" s="9"/>
      <c r="GO413" s="9"/>
      <c r="GP413" s="9"/>
      <c r="GQ413" s="9"/>
      <c r="GR413" s="9"/>
      <c r="GS413" s="9"/>
      <c r="GT413" s="9"/>
      <c r="GU413" s="9"/>
      <c r="GV413" s="9"/>
      <c r="GW413" s="9"/>
      <c r="GX413" s="9"/>
      <c r="GY413" s="9"/>
      <c r="GZ413" s="9"/>
      <c r="HA413" s="9"/>
      <c r="HB413" s="9"/>
      <c r="HC413" s="9"/>
      <c r="HD413" s="9"/>
      <c r="HE413" s="9"/>
      <c r="HF413" s="9"/>
      <c r="HG413" s="9"/>
      <c r="HH413" s="9"/>
      <c r="HI413" s="9"/>
      <c r="HJ413" s="9"/>
      <c r="HT413" s="90">
        <v>38838</v>
      </c>
      <c r="HV413" s="50"/>
      <c r="HW413" s="50"/>
      <c r="IH413" t="s">
        <v>1048</v>
      </c>
      <c r="II413" t="s">
        <v>492</v>
      </c>
      <c r="IN413" s="78"/>
      <c r="JJ413" t="s">
        <v>1048</v>
      </c>
      <c r="JK413" s="75" t="s">
        <v>682</v>
      </c>
      <c r="MY413" t="s">
        <v>1061</v>
      </c>
      <c r="MZ413">
        <v>120</v>
      </c>
      <c r="NA413" t="s">
        <v>1050</v>
      </c>
      <c r="NB413" t="s">
        <v>1038</v>
      </c>
      <c r="NI413" t="s">
        <v>1064</v>
      </c>
      <c r="NJ413" s="78" t="s">
        <v>1068</v>
      </c>
      <c r="NL413" s="4" t="s">
        <v>1069</v>
      </c>
      <c r="NM413" s="91"/>
      <c r="NU413" t="s">
        <v>536</v>
      </c>
      <c r="NV413" t="s">
        <v>518</v>
      </c>
      <c r="NW413" s="93">
        <v>1.73</v>
      </c>
      <c r="NX413" s="79" t="s">
        <v>480</v>
      </c>
      <c r="NY413" s="79" t="s">
        <v>480</v>
      </c>
      <c r="OB413">
        <v>3</v>
      </c>
      <c r="OU413" t="s">
        <v>1070</v>
      </c>
      <c r="OV413" s="79" t="s">
        <v>518</v>
      </c>
      <c r="OX413">
        <v>2006</v>
      </c>
      <c r="OY413">
        <v>2007</v>
      </c>
      <c r="PB413" t="s">
        <v>522</v>
      </c>
      <c r="PC413" s="50">
        <v>46105</v>
      </c>
    </row>
    <row r="414" spans="1:419" ht="15.75" thickBot="1">
      <c r="A414" t="s">
        <v>469</v>
      </c>
      <c r="B414" t="s">
        <v>1032</v>
      </c>
      <c r="C414" t="s">
        <v>863</v>
      </c>
      <c r="D414" s="4" t="s">
        <v>950</v>
      </c>
      <c r="E414" t="s">
        <v>1033</v>
      </c>
      <c r="F414" s="89" t="s">
        <v>952</v>
      </c>
      <c r="G414" s="78" t="s">
        <v>475</v>
      </c>
      <c r="H414" s="78" t="s">
        <v>476</v>
      </c>
      <c r="I414">
        <v>7.25</v>
      </c>
      <c r="J414">
        <v>3.4166666669999999</v>
      </c>
      <c r="K414" s="78">
        <v>1000</v>
      </c>
      <c r="AV414" t="s">
        <v>1034</v>
      </c>
      <c r="AW414">
        <v>3240</v>
      </c>
      <c r="AX414">
        <v>1.2E-2</v>
      </c>
      <c r="AY414">
        <v>1</v>
      </c>
      <c r="BA414">
        <v>2006</v>
      </c>
      <c r="BB414">
        <v>2007</v>
      </c>
      <c r="BD414" t="s">
        <v>1051</v>
      </c>
      <c r="BE414" t="s">
        <v>593</v>
      </c>
      <c r="BF414" s="69" t="s">
        <v>484</v>
      </c>
      <c r="BG414" t="s">
        <v>1038</v>
      </c>
      <c r="BH414" t="s">
        <v>866</v>
      </c>
      <c r="BI414" s="78" t="s">
        <v>486</v>
      </c>
      <c r="BJ414">
        <v>20000</v>
      </c>
      <c r="EG414" s="9"/>
      <c r="EH414" s="9"/>
      <c r="EI414" s="9"/>
      <c r="EJ414" s="9"/>
      <c r="EK414" s="9"/>
      <c r="EL414" s="9"/>
      <c r="EM414" s="9"/>
      <c r="EN414" s="9"/>
      <c r="EO414" s="9"/>
      <c r="EP414" s="9"/>
      <c r="EQ414" s="9"/>
      <c r="ER414" s="9"/>
      <c r="ES414" s="9"/>
      <c r="ET414" s="9"/>
      <c r="EU414" s="9"/>
      <c r="EV414" s="9"/>
      <c r="EW414" s="9"/>
      <c r="EX414" s="9"/>
      <c r="EY414" s="9"/>
      <c r="EZ414" s="9"/>
      <c r="FA414" s="9"/>
      <c r="FB414" s="9"/>
      <c r="FC414" s="9"/>
      <c r="FD414" s="9"/>
      <c r="FE414" s="9"/>
      <c r="FF414" s="9"/>
      <c r="FG414" s="9"/>
      <c r="FH414" s="9"/>
      <c r="FI414" s="9"/>
      <c r="FJ414" s="9"/>
      <c r="FK414" s="9"/>
      <c r="FL414" s="9"/>
      <c r="FM414" s="9"/>
      <c r="FN414" s="9"/>
      <c r="FO414" s="9"/>
      <c r="FP414" s="9"/>
      <c r="FQ414" s="9"/>
      <c r="FR414" s="9"/>
      <c r="FS414" s="9"/>
      <c r="FT414" s="9"/>
      <c r="FU414" s="9"/>
      <c r="FV414" s="9"/>
      <c r="FW414" s="9"/>
      <c r="FX414" s="9"/>
      <c r="FY414" s="9"/>
      <c r="FZ414" s="9"/>
      <c r="GA414" s="9"/>
      <c r="GB414" s="9"/>
      <c r="GC414" s="9"/>
      <c r="GD414" s="9"/>
      <c r="GE414" s="9"/>
      <c r="GF414" s="9"/>
      <c r="GG414" s="9"/>
      <c r="GH414" s="9"/>
      <c r="GI414" s="9"/>
      <c r="GJ414" s="9"/>
      <c r="GK414" s="9"/>
      <c r="GL414" s="9"/>
      <c r="GM414" s="9"/>
      <c r="GN414" s="9"/>
      <c r="GO414" s="9"/>
      <c r="GP414" s="9"/>
      <c r="GQ414" s="9"/>
      <c r="GR414" s="9"/>
      <c r="GS414" s="9"/>
      <c r="GT414" s="9"/>
      <c r="GU414" s="9"/>
      <c r="GV414" s="9"/>
      <c r="GW414" s="9"/>
      <c r="GX414" s="9"/>
      <c r="GY414" s="9"/>
      <c r="GZ414" s="9"/>
      <c r="HA414" s="9"/>
      <c r="HB414" s="9"/>
      <c r="HC414" s="9"/>
      <c r="HD414" s="9"/>
      <c r="HE414" s="9"/>
      <c r="HF414" s="9"/>
      <c r="HG414" s="9"/>
      <c r="HH414" s="9"/>
      <c r="HI414" s="9"/>
      <c r="HJ414" s="9"/>
      <c r="HT414" s="90">
        <v>38838</v>
      </c>
      <c r="HV414" s="50"/>
      <c r="HW414" s="50"/>
      <c r="IH414" t="s">
        <v>1051</v>
      </c>
      <c r="II414" t="s">
        <v>492</v>
      </c>
      <c r="JJ414" t="s">
        <v>1051</v>
      </c>
      <c r="JK414" s="75" t="s">
        <v>595</v>
      </c>
      <c r="JV414" s="8" t="s">
        <v>595</v>
      </c>
      <c r="JW414" s="8" t="s">
        <v>1052</v>
      </c>
      <c r="JX414" t="s">
        <v>508</v>
      </c>
      <c r="JY414">
        <v>40000</v>
      </c>
      <c r="MY414" t="s">
        <v>1061</v>
      </c>
      <c r="MZ414">
        <v>120</v>
      </c>
      <c r="NA414" t="s">
        <v>1050</v>
      </c>
      <c r="NB414" t="s">
        <v>1038</v>
      </c>
      <c r="NI414" t="s">
        <v>1066</v>
      </c>
      <c r="NJ414" s="78" t="s">
        <v>1068</v>
      </c>
      <c r="NL414" s="4" t="s">
        <v>1069</v>
      </c>
      <c r="NM414" s="91"/>
      <c r="NU414" t="s">
        <v>566</v>
      </c>
      <c r="NV414" t="s">
        <v>518</v>
      </c>
      <c r="NW414" s="93">
        <v>2.82</v>
      </c>
      <c r="NX414" s="79" t="s">
        <v>480</v>
      </c>
      <c r="NY414" s="79" t="s">
        <v>480</v>
      </c>
      <c r="OB414">
        <v>3</v>
      </c>
      <c r="OU414" t="s">
        <v>1070</v>
      </c>
      <c r="OV414" s="79" t="s">
        <v>518</v>
      </c>
      <c r="OX414">
        <v>2006</v>
      </c>
      <c r="OY414">
        <v>2007</v>
      </c>
      <c r="PB414" t="s">
        <v>522</v>
      </c>
      <c r="PC414" s="50">
        <v>46105</v>
      </c>
    </row>
    <row r="415" spans="1:419" ht="15.75" thickBot="1">
      <c r="A415" t="s">
        <v>469</v>
      </c>
      <c r="B415" t="s">
        <v>1032</v>
      </c>
      <c r="C415" t="s">
        <v>863</v>
      </c>
      <c r="D415" s="4" t="s">
        <v>950</v>
      </c>
      <c r="E415" t="s">
        <v>1033</v>
      </c>
      <c r="F415" s="89" t="s">
        <v>952</v>
      </c>
      <c r="G415" s="78" t="s">
        <v>475</v>
      </c>
      <c r="H415" s="78" t="s">
        <v>476</v>
      </c>
      <c r="I415">
        <v>7.25</v>
      </c>
      <c r="J415">
        <v>3.4166666669999999</v>
      </c>
      <c r="K415" s="78">
        <v>1000</v>
      </c>
      <c r="AV415" t="s">
        <v>1034</v>
      </c>
      <c r="AW415">
        <v>3240</v>
      </c>
      <c r="AX415">
        <v>1.2E-2</v>
      </c>
      <c r="AY415">
        <v>1</v>
      </c>
      <c r="BA415">
        <v>2006</v>
      </c>
      <c r="BB415">
        <v>2007</v>
      </c>
      <c r="BD415" t="s">
        <v>1054</v>
      </c>
      <c r="BE415" t="s">
        <v>602</v>
      </c>
      <c r="BF415" s="69" t="s">
        <v>484</v>
      </c>
      <c r="BG415" t="s">
        <v>1038</v>
      </c>
      <c r="BH415" t="s">
        <v>866</v>
      </c>
      <c r="BI415" s="78" t="s">
        <v>486</v>
      </c>
      <c r="BJ415">
        <v>20000</v>
      </c>
      <c r="EG415" s="9"/>
      <c r="EH415" s="9"/>
      <c r="EI415" s="9"/>
      <c r="EJ415" s="9"/>
      <c r="EK415" s="9"/>
      <c r="EL415" s="9"/>
      <c r="EM415" s="9"/>
      <c r="EN415" s="9"/>
      <c r="EO415" s="9"/>
      <c r="EP415" s="9"/>
      <c r="EQ415" s="9"/>
      <c r="ER415" s="9"/>
      <c r="ES415" s="9"/>
      <c r="ET415" s="9"/>
      <c r="EU415" s="9"/>
      <c r="EV415" s="9"/>
      <c r="EW415" s="9"/>
      <c r="EX415" s="9"/>
      <c r="EY415" s="9"/>
      <c r="EZ415" s="9"/>
      <c r="FA415" s="9"/>
      <c r="FB415" s="9"/>
      <c r="FC415" s="9"/>
      <c r="FD415" s="9"/>
      <c r="FE415" s="9"/>
      <c r="FF415" s="9"/>
      <c r="FG415" s="9"/>
      <c r="FH415" s="9"/>
      <c r="FI415" s="9"/>
      <c r="FJ415" s="9"/>
      <c r="FK415" s="9"/>
      <c r="FL415" s="9"/>
      <c r="FM415" s="9"/>
      <c r="FN415" s="9"/>
      <c r="FO415" s="9"/>
      <c r="FP415" s="9"/>
      <c r="FQ415" s="9"/>
      <c r="FR415" s="9"/>
      <c r="FS415" s="9"/>
      <c r="FT415" s="9"/>
      <c r="FU415" s="9"/>
      <c r="FV415" s="9"/>
      <c r="FW415" s="9"/>
      <c r="FX415" s="9"/>
      <c r="FY415" s="9"/>
      <c r="FZ415" s="9"/>
      <c r="GA415" s="9"/>
      <c r="GB415" s="9"/>
      <c r="GC415" s="9"/>
      <c r="GD415" s="9"/>
      <c r="GE415" s="9"/>
      <c r="GF415" s="9"/>
      <c r="GG415" s="9"/>
      <c r="GH415" s="9"/>
      <c r="GI415" s="9"/>
      <c r="GJ415" s="9"/>
      <c r="GK415" s="9"/>
      <c r="GL415" s="9"/>
      <c r="GM415" s="9"/>
      <c r="GN415" s="9"/>
      <c r="GO415" s="9"/>
      <c r="GP415" s="9"/>
      <c r="GQ415" s="9"/>
      <c r="GR415" s="9"/>
      <c r="GS415" s="9"/>
      <c r="GT415" s="9"/>
      <c r="GU415" s="9"/>
      <c r="GV415" s="9"/>
      <c r="GW415" s="9"/>
      <c r="GX415" s="9"/>
      <c r="GY415" s="9"/>
      <c r="GZ415" s="9"/>
      <c r="HA415" s="9"/>
      <c r="HB415" s="9"/>
      <c r="HC415" s="9"/>
      <c r="HD415" s="9"/>
      <c r="HE415" s="9"/>
      <c r="HF415" s="9"/>
      <c r="HG415" s="9"/>
      <c r="HH415" s="9"/>
      <c r="HI415" s="9"/>
      <c r="HJ415" s="9"/>
      <c r="HT415" s="90">
        <v>38838</v>
      </c>
      <c r="HV415" s="50"/>
      <c r="HW415" s="50"/>
      <c r="IH415" t="s">
        <v>1054</v>
      </c>
      <c r="II415" t="s">
        <v>492</v>
      </c>
      <c r="JJ415" t="s">
        <v>1054</v>
      </c>
      <c r="JK415" s="75" t="s">
        <v>595</v>
      </c>
      <c r="JV415" s="8" t="s">
        <v>595</v>
      </c>
      <c r="JW415" s="8" t="s">
        <v>1052</v>
      </c>
      <c r="JX415" t="s">
        <v>508</v>
      </c>
      <c r="JY415">
        <v>80000</v>
      </c>
      <c r="MY415" t="s">
        <v>1061</v>
      </c>
      <c r="MZ415">
        <v>120</v>
      </c>
      <c r="NA415" t="s">
        <v>1050</v>
      </c>
      <c r="NB415" t="s">
        <v>1038</v>
      </c>
      <c r="NI415" t="s">
        <v>1066</v>
      </c>
      <c r="NJ415" s="78" t="s">
        <v>1068</v>
      </c>
      <c r="NL415" s="4" t="s">
        <v>1069</v>
      </c>
      <c r="NM415" s="91"/>
      <c r="NU415" t="s">
        <v>572</v>
      </c>
      <c r="NV415" t="s">
        <v>518</v>
      </c>
      <c r="NW415" s="93">
        <v>2.2400000000000002</v>
      </c>
      <c r="NX415" s="79" t="s">
        <v>480</v>
      </c>
      <c r="NY415" s="79" t="s">
        <v>480</v>
      </c>
      <c r="OB415">
        <v>3</v>
      </c>
      <c r="OU415" t="s">
        <v>1070</v>
      </c>
      <c r="OV415" s="79" t="s">
        <v>518</v>
      </c>
      <c r="OX415">
        <v>2006</v>
      </c>
      <c r="OY415">
        <v>2007</v>
      </c>
      <c r="PB415" t="s">
        <v>522</v>
      </c>
      <c r="PC415" s="50">
        <v>46105</v>
      </c>
    </row>
    <row r="416" spans="1:419" ht="15.75" thickBot="1">
      <c r="A416" t="s">
        <v>469</v>
      </c>
      <c r="B416" t="s">
        <v>1032</v>
      </c>
      <c r="C416" t="s">
        <v>863</v>
      </c>
      <c r="D416" s="4" t="s">
        <v>950</v>
      </c>
      <c r="E416" t="s">
        <v>1033</v>
      </c>
      <c r="F416" s="89" t="s">
        <v>952</v>
      </c>
      <c r="G416" s="78" t="s">
        <v>475</v>
      </c>
      <c r="H416" s="78" t="s">
        <v>476</v>
      </c>
      <c r="I416">
        <v>7.25</v>
      </c>
      <c r="J416">
        <v>3.4166666669999999</v>
      </c>
      <c r="K416" s="78">
        <v>1000</v>
      </c>
      <c r="AV416" t="s">
        <v>1034</v>
      </c>
      <c r="AW416">
        <v>3240</v>
      </c>
      <c r="AX416">
        <v>1.2E-2</v>
      </c>
      <c r="AY416">
        <v>1</v>
      </c>
      <c r="BA416">
        <v>2006</v>
      </c>
      <c r="BB416">
        <v>2007</v>
      </c>
      <c r="BD416" t="s">
        <v>1035</v>
      </c>
      <c r="BE416" t="s">
        <v>536</v>
      </c>
      <c r="BF416" s="69" t="s">
        <v>484</v>
      </c>
      <c r="BG416" t="s">
        <v>1036</v>
      </c>
      <c r="BH416" t="s">
        <v>1037</v>
      </c>
      <c r="BI416" s="78" t="s">
        <v>486</v>
      </c>
      <c r="BJ416">
        <v>1330</v>
      </c>
      <c r="BK416" t="s">
        <v>537</v>
      </c>
      <c r="BL416" t="s">
        <v>1038</v>
      </c>
      <c r="BM416" t="s">
        <v>866</v>
      </c>
      <c r="BN416" s="78" t="s">
        <v>486</v>
      </c>
      <c r="BO416">
        <v>20000</v>
      </c>
      <c r="EG416" s="9"/>
      <c r="EH416" s="9"/>
      <c r="EI416" s="9"/>
      <c r="EJ416" s="9"/>
      <c r="EK416" s="9"/>
      <c r="EL416" s="9"/>
      <c r="EM416" s="9"/>
      <c r="EN416" s="9"/>
      <c r="EO416" s="9"/>
      <c r="EP416" s="9"/>
      <c r="EQ416" s="9"/>
      <c r="ER416" s="9"/>
      <c r="ES416" s="9"/>
      <c r="ET416" s="9"/>
      <c r="EU416" s="9"/>
      <c r="EV416" s="9"/>
      <c r="EW416" s="9"/>
      <c r="EX416" s="9"/>
      <c r="EY416" s="9"/>
      <c r="EZ416" s="9"/>
      <c r="FA416" s="9"/>
      <c r="FB416" s="9"/>
      <c r="FC416" s="9"/>
      <c r="FD416" s="9"/>
      <c r="FE416" s="9"/>
      <c r="FF416" s="9"/>
      <c r="FG416" s="9"/>
      <c r="FH416" s="9"/>
      <c r="FI416" s="9"/>
      <c r="FJ416" s="9"/>
      <c r="FK416" s="9"/>
      <c r="FL416" s="9"/>
      <c r="FM416" s="9"/>
      <c r="FN416" s="9"/>
      <c r="FO416" s="9"/>
      <c r="FP416" s="9"/>
      <c r="FQ416" s="9"/>
      <c r="FR416" s="9"/>
      <c r="FS416" s="9"/>
      <c r="FT416" s="9"/>
      <c r="FU416" s="9"/>
      <c r="FV416" s="9"/>
      <c r="FW416" s="9"/>
      <c r="FX416" s="9"/>
      <c r="FY416" s="9"/>
      <c r="FZ416" s="9"/>
      <c r="GA416" s="9"/>
      <c r="GB416" s="9"/>
      <c r="GC416" s="9"/>
      <c r="GD416" s="9"/>
      <c r="GE416" s="9"/>
      <c r="GF416" s="9"/>
      <c r="GG416" s="9"/>
      <c r="GH416" s="9"/>
      <c r="GI416" s="9"/>
      <c r="GJ416" s="9"/>
      <c r="GK416" s="9"/>
      <c r="GL416" s="9"/>
      <c r="GM416" s="9"/>
      <c r="GN416" s="9"/>
      <c r="GO416" s="9"/>
      <c r="GP416" s="9"/>
      <c r="GQ416" s="9"/>
      <c r="GR416" s="9"/>
      <c r="GS416" s="9"/>
      <c r="GT416" s="9"/>
      <c r="GU416" s="9"/>
      <c r="GV416" s="9"/>
      <c r="GW416" s="9"/>
      <c r="GX416" s="9"/>
      <c r="GY416" s="9"/>
      <c r="GZ416" s="9"/>
      <c r="HA416" s="9"/>
      <c r="HB416" s="9"/>
      <c r="HC416" s="9"/>
      <c r="HD416" s="9"/>
      <c r="HE416" s="9"/>
      <c r="HF416" s="9"/>
      <c r="HG416" s="9"/>
      <c r="HH416" s="9"/>
      <c r="HI416" s="9"/>
      <c r="HJ416" s="9"/>
      <c r="HT416" s="90">
        <v>38838</v>
      </c>
      <c r="HV416" s="50"/>
      <c r="HW416" s="50"/>
      <c r="IH416" t="s">
        <v>1035</v>
      </c>
      <c r="II416" s="78" t="s">
        <v>882</v>
      </c>
      <c r="IJ416" t="s">
        <v>542</v>
      </c>
      <c r="IK416" t="s">
        <v>543</v>
      </c>
      <c r="IL416">
        <v>2006</v>
      </c>
      <c r="IN416" s="78" t="s">
        <v>480</v>
      </c>
      <c r="JJ416" t="s">
        <v>1035</v>
      </c>
      <c r="JK416" s="75" t="s">
        <v>682</v>
      </c>
      <c r="MY416" t="s">
        <v>1061</v>
      </c>
      <c r="MZ416">
        <v>120</v>
      </c>
      <c r="NA416" t="s">
        <v>1071</v>
      </c>
      <c r="NB416" t="s">
        <v>1038</v>
      </c>
      <c r="NC416" t="s">
        <v>1047</v>
      </c>
      <c r="ND416" t="s">
        <v>1041</v>
      </c>
      <c r="NJ416" s="78" t="s">
        <v>1072</v>
      </c>
      <c r="NL416" s="92" t="s">
        <v>660</v>
      </c>
      <c r="NM416" s="91" t="s">
        <v>508</v>
      </c>
      <c r="NV416" t="s">
        <v>518</v>
      </c>
      <c r="NW416" s="93"/>
      <c r="NX416" s="79" t="s">
        <v>480</v>
      </c>
      <c r="NY416" s="79"/>
      <c r="OB416">
        <v>3</v>
      </c>
      <c r="OC416">
        <v>4238.72</v>
      </c>
      <c r="OD416" s="79" t="s">
        <v>480</v>
      </c>
      <c r="OE416">
        <v>0</v>
      </c>
      <c r="OF416" s="79" t="s">
        <v>480</v>
      </c>
      <c r="OG416">
        <v>266.67</v>
      </c>
      <c r="OH416" s="79" t="s">
        <v>480</v>
      </c>
      <c r="OU416" t="s">
        <v>1043</v>
      </c>
      <c r="OV416" s="78"/>
      <c r="OW416">
        <v>2006</v>
      </c>
      <c r="PB416" t="s">
        <v>522</v>
      </c>
      <c r="PC416" s="50">
        <v>46105</v>
      </c>
    </row>
    <row r="417" spans="1:419" ht="15.75" thickBot="1">
      <c r="A417" t="s">
        <v>469</v>
      </c>
      <c r="B417" t="s">
        <v>1032</v>
      </c>
      <c r="C417" t="s">
        <v>863</v>
      </c>
      <c r="D417" s="4" t="s">
        <v>950</v>
      </c>
      <c r="E417" t="s">
        <v>1033</v>
      </c>
      <c r="F417" s="89" t="s">
        <v>952</v>
      </c>
      <c r="G417" s="78" t="s">
        <v>475</v>
      </c>
      <c r="H417" s="78" t="s">
        <v>476</v>
      </c>
      <c r="I417">
        <v>7.25</v>
      </c>
      <c r="J417">
        <v>3.4166666669999999</v>
      </c>
      <c r="K417" s="78">
        <v>1000</v>
      </c>
      <c r="AV417" t="s">
        <v>1034</v>
      </c>
      <c r="AW417">
        <v>3240</v>
      </c>
      <c r="AX417">
        <v>1.2E-2</v>
      </c>
      <c r="AY417">
        <v>1</v>
      </c>
      <c r="BA417">
        <v>2006</v>
      </c>
      <c r="BB417">
        <v>2007</v>
      </c>
      <c r="BD417" t="s">
        <v>1045</v>
      </c>
      <c r="BE417" t="s">
        <v>524</v>
      </c>
      <c r="BF417" s="69" t="s">
        <v>484</v>
      </c>
      <c r="BG417" t="s">
        <v>1036</v>
      </c>
      <c r="BH417" t="s">
        <v>1037</v>
      </c>
      <c r="BI417" s="78" t="s">
        <v>486</v>
      </c>
      <c r="BJ417">
        <v>1330</v>
      </c>
      <c r="EG417" s="9"/>
      <c r="EH417" s="9"/>
      <c r="EI417" s="9"/>
      <c r="EJ417" s="9"/>
      <c r="EK417" s="9"/>
      <c r="EL417" s="9"/>
      <c r="EM417" s="9"/>
      <c r="EN417" s="9"/>
      <c r="EO417" s="9"/>
      <c r="EP417" s="9"/>
      <c r="EQ417" s="9"/>
      <c r="ER417" s="9"/>
      <c r="ES417" s="9"/>
      <c r="ET417" s="9"/>
      <c r="EU417" s="9"/>
      <c r="EV417" s="9"/>
      <c r="EW417" s="9"/>
      <c r="EX417" s="9"/>
      <c r="EY417" s="9"/>
      <c r="EZ417" s="9"/>
      <c r="FA417" s="9"/>
      <c r="FB417" s="9"/>
      <c r="FC417" s="9"/>
      <c r="FD417" s="9"/>
      <c r="FE417" s="9"/>
      <c r="FF417" s="9"/>
      <c r="FG417" s="9"/>
      <c r="FH417" s="9"/>
      <c r="FI417" s="9"/>
      <c r="FJ417" s="9"/>
      <c r="FK417" s="9"/>
      <c r="FL417" s="9"/>
      <c r="FM417" s="9"/>
      <c r="FN417" s="9"/>
      <c r="FO417" s="9"/>
      <c r="FP417" s="9"/>
      <c r="FQ417" s="9"/>
      <c r="FR417" s="9"/>
      <c r="FS417" s="9"/>
      <c r="FT417" s="9"/>
      <c r="FU417" s="9"/>
      <c r="FV417" s="9"/>
      <c r="FW417" s="9"/>
      <c r="FX417" s="9"/>
      <c r="FY417" s="9"/>
      <c r="FZ417" s="9"/>
      <c r="GA417" s="9"/>
      <c r="GB417" s="9"/>
      <c r="GC417" s="9"/>
      <c r="GD417" s="9"/>
      <c r="GE417" s="9"/>
      <c r="GF417" s="9"/>
      <c r="GG417" s="9"/>
      <c r="GH417" s="9"/>
      <c r="GI417" s="9"/>
      <c r="GJ417" s="9"/>
      <c r="GK417" s="9"/>
      <c r="GL417" s="9"/>
      <c r="GM417" s="9"/>
      <c r="GN417" s="9"/>
      <c r="GO417" s="9"/>
      <c r="GP417" s="9"/>
      <c r="GQ417" s="9"/>
      <c r="GR417" s="9"/>
      <c r="GS417" s="9"/>
      <c r="GT417" s="9"/>
      <c r="GU417" s="9"/>
      <c r="GV417" s="9"/>
      <c r="GW417" s="9"/>
      <c r="GX417" s="9"/>
      <c r="GY417" s="9"/>
      <c r="GZ417" s="9"/>
      <c r="HA417" s="9"/>
      <c r="HB417" s="9"/>
      <c r="HC417" s="9"/>
      <c r="HD417" s="9"/>
      <c r="HE417" s="9"/>
      <c r="HF417" s="9"/>
      <c r="HG417" s="9"/>
      <c r="HH417" s="9"/>
      <c r="HI417" s="9"/>
      <c r="HJ417" s="9"/>
      <c r="HT417" s="90">
        <v>38838</v>
      </c>
      <c r="HV417" s="50"/>
      <c r="HW417" s="50"/>
      <c r="IH417" t="s">
        <v>1045</v>
      </c>
      <c r="II417" t="s">
        <v>492</v>
      </c>
      <c r="IN417" s="78"/>
      <c r="JJ417" t="s">
        <v>1045</v>
      </c>
      <c r="JK417" s="75" t="s">
        <v>682</v>
      </c>
      <c r="MY417" t="s">
        <v>1061</v>
      </c>
      <c r="MZ417">
        <v>120</v>
      </c>
      <c r="NA417" t="s">
        <v>1073</v>
      </c>
      <c r="NC417" t="s">
        <v>1047</v>
      </c>
      <c r="ND417" t="s">
        <v>1041</v>
      </c>
      <c r="NJ417" s="78" t="s">
        <v>1072</v>
      </c>
      <c r="NL417" s="92" t="s">
        <v>660</v>
      </c>
      <c r="NM417" s="91" t="s">
        <v>508</v>
      </c>
      <c r="NU417" t="s">
        <v>536</v>
      </c>
      <c r="NV417" t="s">
        <v>518</v>
      </c>
      <c r="NW417" s="93"/>
      <c r="NX417" s="79" t="s">
        <v>480</v>
      </c>
      <c r="NY417" s="79"/>
      <c r="OB417">
        <v>3</v>
      </c>
      <c r="OD417" s="79"/>
      <c r="OE417">
        <v>0</v>
      </c>
      <c r="OF417" s="79" t="s">
        <v>480</v>
      </c>
      <c r="OG417">
        <v>305.54000000000002</v>
      </c>
      <c r="OH417" s="79" t="s">
        <v>480</v>
      </c>
      <c r="OU417" t="s">
        <v>1043</v>
      </c>
      <c r="OV417" s="78"/>
      <c r="OW417">
        <v>2006</v>
      </c>
      <c r="PB417" t="s">
        <v>522</v>
      </c>
      <c r="PC417" s="50">
        <v>46105</v>
      </c>
    </row>
    <row r="418" spans="1:419" ht="15.75" thickBot="1">
      <c r="A418" t="s">
        <v>469</v>
      </c>
      <c r="B418" t="s">
        <v>1032</v>
      </c>
      <c r="C418" t="s">
        <v>863</v>
      </c>
      <c r="D418" s="4" t="s">
        <v>950</v>
      </c>
      <c r="E418" t="s">
        <v>1033</v>
      </c>
      <c r="F418" s="89" t="s">
        <v>952</v>
      </c>
      <c r="G418" s="78" t="s">
        <v>475</v>
      </c>
      <c r="H418" s="78" t="s">
        <v>476</v>
      </c>
      <c r="I418">
        <v>7.25</v>
      </c>
      <c r="J418">
        <v>3.4166666669999999</v>
      </c>
      <c r="K418" s="78">
        <v>1000</v>
      </c>
      <c r="AV418" t="s">
        <v>1034</v>
      </c>
      <c r="AW418">
        <v>3240</v>
      </c>
      <c r="AX418">
        <v>1.2E-2</v>
      </c>
      <c r="AY418">
        <v>1</v>
      </c>
      <c r="BA418">
        <v>2006</v>
      </c>
      <c r="BB418">
        <v>2007</v>
      </c>
      <c r="BD418" t="s">
        <v>1048</v>
      </c>
      <c r="BE418" t="s">
        <v>483</v>
      </c>
      <c r="BF418" s="69" t="s">
        <v>484</v>
      </c>
      <c r="BG418" t="s">
        <v>1038</v>
      </c>
      <c r="BH418" t="s">
        <v>1049</v>
      </c>
      <c r="BI418" s="78" t="s">
        <v>486</v>
      </c>
      <c r="BJ418">
        <v>20000</v>
      </c>
      <c r="EG418" s="9"/>
      <c r="EH418" s="9"/>
      <c r="EI418" s="9"/>
      <c r="EJ418" s="9"/>
      <c r="EK418" s="9"/>
      <c r="EL418" s="9"/>
      <c r="EM418" s="9"/>
      <c r="EN418" s="9"/>
      <c r="EO418" s="9"/>
      <c r="EP418" s="9"/>
      <c r="EQ418" s="9"/>
      <c r="ER418" s="9"/>
      <c r="ES418" s="9"/>
      <c r="ET418" s="9"/>
      <c r="EU418" s="9"/>
      <c r="EV418" s="9"/>
      <c r="EW418" s="9"/>
      <c r="EX418" s="9"/>
      <c r="EY418" s="9"/>
      <c r="EZ418" s="9"/>
      <c r="FA418" s="9"/>
      <c r="FB418" s="9"/>
      <c r="FC418" s="9"/>
      <c r="FD418" s="9"/>
      <c r="FE418" s="9"/>
      <c r="FF418" s="9"/>
      <c r="FG418" s="9"/>
      <c r="FH418" s="9"/>
      <c r="FI418" s="9"/>
      <c r="FJ418" s="9"/>
      <c r="FK418" s="9"/>
      <c r="FL418" s="9"/>
      <c r="FM418" s="9"/>
      <c r="FN418" s="9"/>
      <c r="FO418" s="9"/>
      <c r="FP418" s="9"/>
      <c r="FQ418" s="9"/>
      <c r="FR418" s="9"/>
      <c r="FS418" s="9"/>
      <c r="FT418" s="9"/>
      <c r="FU418" s="9"/>
      <c r="FV418" s="9"/>
      <c r="FW418" s="9"/>
      <c r="FX418" s="9"/>
      <c r="FY418" s="9"/>
      <c r="FZ418" s="9"/>
      <c r="GA418" s="9"/>
      <c r="GB418" s="9"/>
      <c r="GC418" s="9"/>
      <c r="GD418" s="9"/>
      <c r="GE418" s="9"/>
      <c r="GF418" s="9"/>
      <c r="GG418" s="9"/>
      <c r="GH418" s="9"/>
      <c r="GI418" s="9"/>
      <c r="GJ418" s="9"/>
      <c r="GK418" s="9"/>
      <c r="GL418" s="9"/>
      <c r="GM418" s="9"/>
      <c r="GN418" s="9"/>
      <c r="GO418" s="9"/>
      <c r="GP418" s="9"/>
      <c r="GQ418" s="9"/>
      <c r="GR418" s="9"/>
      <c r="GS418" s="9"/>
      <c r="GT418" s="9"/>
      <c r="GU418" s="9"/>
      <c r="GV418" s="9"/>
      <c r="GW418" s="9"/>
      <c r="GX418" s="9"/>
      <c r="GY418" s="9"/>
      <c r="GZ418" s="9"/>
      <c r="HA418" s="9"/>
      <c r="HB418" s="9"/>
      <c r="HC418" s="9"/>
      <c r="HD418" s="9"/>
      <c r="HE418" s="9"/>
      <c r="HF418" s="9"/>
      <c r="HG418" s="9"/>
      <c r="HH418" s="9"/>
      <c r="HI418" s="9"/>
      <c r="HJ418" s="9"/>
      <c r="HT418" s="90">
        <v>38838</v>
      </c>
      <c r="HV418" s="50"/>
      <c r="HW418" s="50"/>
      <c r="IH418" t="s">
        <v>1048</v>
      </c>
      <c r="II418" t="s">
        <v>492</v>
      </c>
      <c r="IN418" s="78"/>
      <c r="JJ418" t="s">
        <v>1048</v>
      </c>
      <c r="JK418" s="75" t="s">
        <v>682</v>
      </c>
      <c r="MY418" t="s">
        <v>1061</v>
      </c>
      <c r="MZ418">
        <v>120</v>
      </c>
      <c r="NA418" t="s">
        <v>1074</v>
      </c>
      <c r="NB418" t="s">
        <v>1038</v>
      </c>
      <c r="NJ418" s="78" t="s">
        <v>1072</v>
      </c>
      <c r="NL418" s="92" t="s">
        <v>660</v>
      </c>
      <c r="NM418" s="91" t="s">
        <v>508</v>
      </c>
      <c r="NU418" t="s">
        <v>536</v>
      </c>
      <c r="NV418" t="s">
        <v>518</v>
      </c>
      <c r="NW418" s="93"/>
      <c r="NX418" s="79" t="s">
        <v>480</v>
      </c>
      <c r="NY418" s="79"/>
      <c r="OB418">
        <v>3</v>
      </c>
      <c r="OC418">
        <v>3569.3</v>
      </c>
      <c r="OD418" s="79" t="s">
        <v>480</v>
      </c>
      <c r="OU418" t="s">
        <v>1043</v>
      </c>
      <c r="OV418" s="78"/>
      <c r="OW418">
        <v>2006</v>
      </c>
      <c r="PB418" t="s">
        <v>522</v>
      </c>
      <c r="PC418" s="50">
        <v>46105</v>
      </c>
    </row>
    <row r="419" spans="1:419" ht="15.75" thickBot="1">
      <c r="A419" t="s">
        <v>469</v>
      </c>
      <c r="B419" t="s">
        <v>1032</v>
      </c>
      <c r="C419" t="s">
        <v>863</v>
      </c>
      <c r="D419" s="4" t="s">
        <v>950</v>
      </c>
      <c r="E419" t="s">
        <v>1033</v>
      </c>
      <c r="F419" s="89" t="s">
        <v>952</v>
      </c>
      <c r="G419" s="78" t="s">
        <v>475</v>
      </c>
      <c r="H419" s="78" t="s">
        <v>476</v>
      </c>
      <c r="I419">
        <v>7.25</v>
      </c>
      <c r="J419">
        <v>3.4166666669999999</v>
      </c>
      <c r="K419" s="78">
        <v>1000</v>
      </c>
      <c r="AV419" t="s">
        <v>1034</v>
      </c>
      <c r="AW419">
        <v>3240</v>
      </c>
      <c r="AX419">
        <v>1.2E-2</v>
      </c>
      <c r="AY419">
        <v>1</v>
      </c>
      <c r="BA419">
        <v>2006</v>
      </c>
      <c r="BB419">
        <v>2007</v>
      </c>
      <c r="BD419" t="s">
        <v>1051</v>
      </c>
      <c r="BE419" t="s">
        <v>593</v>
      </c>
      <c r="BF419" s="69" t="s">
        <v>484</v>
      </c>
      <c r="BG419" t="s">
        <v>1038</v>
      </c>
      <c r="BH419" t="s">
        <v>866</v>
      </c>
      <c r="BI419" s="78" t="s">
        <v>486</v>
      </c>
      <c r="BJ419">
        <v>20000</v>
      </c>
      <c r="EG419" s="9"/>
      <c r="EH419" s="9"/>
      <c r="EI419" s="9"/>
      <c r="EJ419" s="9"/>
      <c r="EK419" s="9"/>
      <c r="EL419" s="9"/>
      <c r="EM419" s="9"/>
      <c r="EN419" s="9"/>
      <c r="EO419" s="9"/>
      <c r="EP419" s="9"/>
      <c r="EQ419" s="9"/>
      <c r="ER419" s="9"/>
      <c r="ES419" s="9"/>
      <c r="ET419" s="9"/>
      <c r="EU419" s="9"/>
      <c r="EV419" s="9"/>
      <c r="EW419" s="9"/>
      <c r="EX419" s="9"/>
      <c r="EY419" s="9"/>
      <c r="EZ419" s="9"/>
      <c r="FA419" s="9"/>
      <c r="FB419" s="9"/>
      <c r="FC419" s="9"/>
      <c r="FD419" s="9"/>
      <c r="FE419" s="9"/>
      <c r="FF419" s="9"/>
      <c r="FG419" s="9"/>
      <c r="FH419" s="9"/>
      <c r="FI419" s="9"/>
      <c r="FJ419" s="9"/>
      <c r="FK419" s="9"/>
      <c r="FL419" s="9"/>
      <c r="FM419" s="9"/>
      <c r="FN419" s="9"/>
      <c r="FO419" s="9"/>
      <c r="FP419" s="9"/>
      <c r="FQ419" s="9"/>
      <c r="FR419" s="9"/>
      <c r="FS419" s="9"/>
      <c r="FT419" s="9"/>
      <c r="FU419" s="9"/>
      <c r="FV419" s="9"/>
      <c r="FW419" s="9"/>
      <c r="FX419" s="9"/>
      <c r="FY419" s="9"/>
      <c r="FZ419" s="9"/>
      <c r="GA419" s="9"/>
      <c r="GB419" s="9"/>
      <c r="GC419" s="9"/>
      <c r="GD419" s="9"/>
      <c r="GE419" s="9"/>
      <c r="GF419" s="9"/>
      <c r="GG419" s="9"/>
      <c r="GH419" s="9"/>
      <c r="GI419" s="9"/>
      <c r="GJ419" s="9"/>
      <c r="GK419" s="9"/>
      <c r="GL419" s="9"/>
      <c r="GM419" s="9"/>
      <c r="GN419" s="9"/>
      <c r="GO419" s="9"/>
      <c r="GP419" s="9"/>
      <c r="GQ419" s="9"/>
      <c r="GR419" s="9"/>
      <c r="GS419" s="9"/>
      <c r="GT419" s="9"/>
      <c r="GU419" s="9"/>
      <c r="GV419" s="9"/>
      <c r="GW419" s="9"/>
      <c r="GX419" s="9"/>
      <c r="GY419" s="9"/>
      <c r="GZ419" s="9"/>
      <c r="HA419" s="9"/>
      <c r="HB419" s="9"/>
      <c r="HC419" s="9"/>
      <c r="HD419" s="9"/>
      <c r="HE419" s="9"/>
      <c r="HF419" s="9"/>
      <c r="HG419" s="9"/>
      <c r="HH419" s="9"/>
      <c r="HI419" s="9"/>
      <c r="HJ419" s="9"/>
      <c r="HT419" s="90">
        <v>38838</v>
      </c>
      <c r="HV419" s="50"/>
      <c r="HW419" s="50"/>
      <c r="IH419" t="s">
        <v>1051</v>
      </c>
      <c r="II419" t="s">
        <v>492</v>
      </c>
      <c r="JJ419" t="s">
        <v>1051</v>
      </c>
      <c r="JK419" s="75" t="s">
        <v>595</v>
      </c>
      <c r="JV419" s="8" t="s">
        <v>595</v>
      </c>
      <c r="JW419" s="8" t="s">
        <v>1052</v>
      </c>
      <c r="JX419" t="s">
        <v>508</v>
      </c>
      <c r="JY419">
        <v>40000</v>
      </c>
      <c r="MY419" t="s">
        <v>1061</v>
      </c>
      <c r="MZ419">
        <v>120</v>
      </c>
      <c r="NA419" t="s">
        <v>1074</v>
      </c>
      <c r="NB419" t="s">
        <v>1038</v>
      </c>
      <c r="NJ419" s="78" t="s">
        <v>1072</v>
      </c>
      <c r="NL419" s="92" t="s">
        <v>660</v>
      </c>
      <c r="NM419" s="91" t="s">
        <v>508</v>
      </c>
      <c r="NU419" t="s">
        <v>566</v>
      </c>
      <c r="NV419" t="s">
        <v>518</v>
      </c>
      <c r="NW419" s="93"/>
      <c r="NX419" s="79" t="s">
        <v>480</v>
      </c>
      <c r="NY419" s="79"/>
      <c r="OB419">
        <v>3</v>
      </c>
      <c r="OC419">
        <v>9987.1</v>
      </c>
      <c r="OD419" s="79" t="s">
        <v>480</v>
      </c>
      <c r="OU419" t="s">
        <v>1053</v>
      </c>
      <c r="OV419" s="78"/>
      <c r="OW419">
        <v>2006</v>
      </c>
      <c r="PB419" t="s">
        <v>522</v>
      </c>
      <c r="PC419" s="50">
        <v>46105</v>
      </c>
    </row>
    <row r="420" spans="1:419" ht="15.75" thickBot="1">
      <c r="A420" t="s">
        <v>469</v>
      </c>
      <c r="B420" t="s">
        <v>1032</v>
      </c>
      <c r="C420" t="s">
        <v>863</v>
      </c>
      <c r="D420" s="4" t="s">
        <v>950</v>
      </c>
      <c r="E420" t="s">
        <v>1033</v>
      </c>
      <c r="F420" s="89" t="s">
        <v>952</v>
      </c>
      <c r="G420" s="78" t="s">
        <v>475</v>
      </c>
      <c r="H420" s="78" t="s">
        <v>476</v>
      </c>
      <c r="I420">
        <v>7.25</v>
      </c>
      <c r="J420">
        <v>3.4166666669999999</v>
      </c>
      <c r="K420" s="78">
        <v>1000</v>
      </c>
      <c r="AV420" t="s">
        <v>1034</v>
      </c>
      <c r="AW420">
        <v>3240</v>
      </c>
      <c r="AX420">
        <v>1.2E-2</v>
      </c>
      <c r="AY420">
        <v>1</v>
      </c>
      <c r="BA420">
        <v>2006</v>
      </c>
      <c r="BB420">
        <v>2007</v>
      </c>
      <c r="BD420" t="s">
        <v>1054</v>
      </c>
      <c r="BE420" t="s">
        <v>602</v>
      </c>
      <c r="BF420" s="69" t="s">
        <v>484</v>
      </c>
      <c r="BG420" t="s">
        <v>1038</v>
      </c>
      <c r="BH420" t="s">
        <v>866</v>
      </c>
      <c r="BI420" s="78" t="s">
        <v>486</v>
      </c>
      <c r="BJ420">
        <v>20000</v>
      </c>
      <c r="EG420" s="9"/>
      <c r="EH420" s="9"/>
      <c r="EI420" s="9"/>
      <c r="EJ420" s="9"/>
      <c r="EK420" s="9"/>
      <c r="EL420" s="9"/>
      <c r="EM420" s="9"/>
      <c r="EN420" s="9"/>
      <c r="EO420" s="9"/>
      <c r="EP420" s="9"/>
      <c r="EQ420" s="9"/>
      <c r="ER420" s="9"/>
      <c r="ES420" s="9"/>
      <c r="ET420" s="9"/>
      <c r="EU420" s="9"/>
      <c r="EV420" s="9"/>
      <c r="EW420" s="9"/>
      <c r="EX420" s="9"/>
      <c r="EY420" s="9"/>
      <c r="EZ420" s="9"/>
      <c r="FA420" s="9"/>
      <c r="FB420" s="9"/>
      <c r="FC420" s="9"/>
      <c r="FD420" s="9"/>
      <c r="FE420" s="9"/>
      <c r="FF420" s="9"/>
      <c r="FG420" s="9"/>
      <c r="FH420" s="9"/>
      <c r="FI420" s="9"/>
      <c r="FJ420" s="9"/>
      <c r="FK420" s="9"/>
      <c r="FL420" s="9"/>
      <c r="FM420" s="9"/>
      <c r="FN420" s="9"/>
      <c r="FO420" s="9"/>
      <c r="FP420" s="9"/>
      <c r="FQ420" s="9"/>
      <c r="FR420" s="9"/>
      <c r="FS420" s="9"/>
      <c r="FT420" s="9"/>
      <c r="FU420" s="9"/>
      <c r="FV420" s="9"/>
      <c r="FW420" s="9"/>
      <c r="FX420" s="9"/>
      <c r="FY420" s="9"/>
      <c r="FZ420" s="9"/>
      <c r="GA420" s="9"/>
      <c r="GB420" s="9"/>
      <c r="GC420" s="9"/>
      <c r="GD420" s="9"/>
      <c r="GE420" s="9"/>
      <c r="GF420" s="9"/>
      <c r="GG420" s="9"/>
      <c r="GH420" s="9"/>
      <c r="GI420" s="9"/>
      <c r="GJ420" s="9"/>
      <c r="GK420" s="9"/>
      <c r="GL420" s="9"/>
      <c r="GM420" s="9"/>
      <c r="GN420" s="9"/>
      <c r="GO420" s="9"/>
      <c r="GP420" s="9"/>
      <c r="GQ420" s="9"/>
      <c r="GR420" s="9"/>
      <c r="GS420" s="9"/>
      <c r="GT420" s="9"/>
      <c r="GU420" s="9"/>
      <c r="GV420" s="9"/>
      <c r="GW420" s="9"/>
      <c r="GX420" s="9"/>
      <c r="GY420" s="9"/>
      <c r="GZ420" s="9"/>
      <c r="HA420" s="9"/>
      <c r="HB420" s="9"/>
      <c r="HC420" s="9"/>
      <c r="HD420" s="9"/>
      <c r="HE420" s="9"/>
      <c r="HF420" s="9"/>
      <c r="HG420" s="9"/>
      <c r="HH420" s="9"/>
      <c r="HI420" s="9"/>
      <c r="HJ420" s="9"/>
      <c r="HT420" s="90">
        <v>38838</v>
      </c>
      <c r="HV420" s="50"/>
      <c r="HW420" s="50"/>
      <c r="IH420" t="s">
        <v>1054</v>
      </c>
      <c r="II420" t="s">
        <v>492</v>
      </c>
      <c r="JJ420" t="s">
        <v>1054</v>
      </c>
      <c r="JK420" s="75" t="s">
        <v>595</v>
      </c>
      <c r="JV420" s="8" t="s">
        <v>595</v>
      </c>
      <c r="JW420" s="8" t="s">
        <v>1052</v>
      </c>
      <c r="JX420" t="s">
        <v>508</v>
      </c>
      <c r="JY420">
        <v>80000</v>
      </c>
      <c r="MY420" t="s">
        <v>1061</v>
      </c>
      <c r="MZ420">
        <v>120</v>
      </c>
      <c r="NA420" t="s">
        <v>1074</v>
      </c>
      <c r="NB420" t="s">
        <v>1038</v>
      </c>
      <c r="NJ420" s="78" t="s">
        <v>1072</v>
      </c>
      <c r="NL420" s="92" t="s">
        <v>660</v>
      </c>
      <c r="NM420" s="91" t="s">
        <v>508</v>
      </c>
      <c r="NU420" t="s">
        <v>572</v>
      </c>
      <c r="NV420" t="s">
        <v>518</v>
      </c>
      <c r="NW420" s="93"/>
      <c r="NX420" s="79" t="s">
        <v>480</v>
      </c>
      <c r="NY420" s="79"/>
      <c r="OB420">
        <v>3</v>
      </c>
      <c r="OC420">
        <v>7821.91</v>
      </c>
      <c r="OD420" s="79" t="s">
        <v>480</v>
      </c>
      <c r="OU420" t="s">
        <v>1053</v>
      </c>
      <c r="OV420" s="78"/>
      <c r="OW420">
        <v>2006</v>
      </c>
      <c r="PB420" t="s">
        <v>522</v>
      </c>
      <c r="PC420" s="50">
        <v>46105</v>
      </c>
    </row>
    <row r="421" spans="1:419" ht="15.75" thickBot="1">
      <c r="A421" t="s">
        <v>469</v>
      </c>
      <c r="B421" t="s">
        <v>1032</v>
      </c>
      <c r="C421" t="s">
        <v>863</v>
      </c>
      <c r="D421" s="4" t="s">
        <v>950</v>
      </c>
      <c r="E421" t="s">
        <v>1033</v>
      </c>
      <c r="F421" s="89" t="s">
        <v>952</v>
      </c>
      <c r="G421" s="78" t="s">
        <v>475</v>
      </c>
      <c r="H421" s="78" t="s">
        <v>476</v>
      </c>
      <c r="I421">
        <v>7.25</v>
      </c>
      <c r="J421">
        <v>3.4166666669999999</v>
      </c>
      <c r="K421" s="78">
        <v>1000</v>
      </c>
      <c r="AV421" t="s">
        <v>1034</v>
      </c>
      <c r="AW421">
        <v>3240</v>
      </c>
      <c r="AX421">
        <v>1.2E-2</v>
      </c>
      <c r="AY421">
        <v>1</v>
      </c>
      <c r="BA421">
        <v>2006</v>
      </c>
      <c r="BB421">
        <v>2007</v>
      </c>
      <c r="BD421" t="s">
        <v>1055</v>
      </c>
      <c r="BE421" t="s">
        <v>621</v>
      </c>
      <c r="BF421" s="69" t="s">
        <v>484</v>
      </c>
      <c r="BG421" t="s">
        <v>1036</v>
      </c>
      <c r="BH421" t="s">
        <v>1037</v>
      </c>
      <c r="BI421" s="78" t="s">
        <v>486</v>
      </c>
      <c r="BJ421">
        <v>1330</v>
      </c>
      <c r="EG421" s="9"/>
      <c r="EH421" s="9"/>
      <c r="EI421" s="9"/>
      <c r="EJ421" s="9"/>
      <c r="EK421" s="9"/>
      <c r="EL421" s="9"/>
      <c r="EM421" s="9"/>
      <c r="EN421" s="9"/>
      <c r="EO421" s="9"/>
      <c r="EP421" s="9"/>
      <c r="EQ421" s="9"/>
      <c r="ER421" s="9"/>
      <c r="ES421" s="9"/>
      <c r="ET421" s="9"/>
      <c r="EU421" s="9"/>
      <c r="EV421" s="9"/>
      <c r="EW421" s="9"/>
      <c r="EX421" s="9"/>
      <c r="EY421" s="9"/>
      <c r="EZ421" s="9"/>
      <c r="FA421" s="9"/>
      <c r="FB421" s="9"/>
      <c r="FC421" s="9"/>
      <c r="FD421" s="9"/>
      <c r="FE421" s="9"/>
      <c r="FF421" s="9"/>
      <c r="FG421" s="9"/>
      <c r="FH421" s="9"/>
      <c r="FI421" s="9"/>
      <c r="FJ421" s="9"/>
      <c r="FK421" s="9"/>
      <c r="FL421" s="9"/>
      <c r="FM421" s="9"/>
      <c r="FN421" s="9"/>
      <c r="FO421" s="9"/>
      <c r="FP421" s="9"/>
      <c r="FQ421" s="9"/>
      <c r="FR421" s="9"/>
      <c r="FS421" s="9"/>
      <c r="FT421" s="9"/>
      <c r="FU421" s="9"/>
      <c r="FV421" s="9"/>
      <c r="FW421" s="9"/>
      <c r="FX421" s="9"/>
      <c r="FY421" s="9"/>
      <c r="FZ421" s="9"/>
      <c r="GA421" s="9"/>
      <c r="GB421" s="9"/>
      <c r="GC421" s="9"/>
      <c r="GD421" s="9"/>
      <c r="GE421" s="9"/>
      <c r="GF421" s="9"/>
      <c r="GG421" s="9"/>
      <c r="GH421" s="9"/>
      <c r="GI421" s="9"/>
      <c r="GJ421" s="9"/>
      <c r="GK421" s="9"/>
      <c r="GL421" s="9"/>
      <c r="GM421" s="9"/>
      <c r="GN421" s="9"/>
      <c r="GO421" s="9"/>
      <c r="GP421" s="9"/>
      <c r="GQ421" s="9"/>
      <c r="GR421" s="9"/>
      <c r="GS421" s="9"/>
      <c r="GT421" s="9"/>
      <c r="GU421" s="9"/>
      <c r="GV421" s="9"/>
      <c r="GW421" s="9"/>
      <c r="GX421" s="9"/>
      <c r="GY421" s="9"/>
      <c r="GZ421" s="9"/>
      <c r="HA421" s="9"/>
      <c r="HB421" s="9"/>
      <c r="HC421" s="9"/>
      <c r="HD421" s="9"/>
      <c r="HE421" s="9"/>
      <c r="HF421" s="9"/>
      <c r="HG421" s="9"/>
      <c r="HH421" s="9"/>
      <c r="HI421" s="9"/>
      <c r="HJ421" s="9"/>
      <c r="HT421" s="90">
        <v>38838</v>
      </c>
      <c r="HV421" s="50"/>
      <c r="HW421" s="50"/>
      <c r="IH421" t="s">
        <v>1055</v>
      </c>
      <c r="II421" t="s">
        <v>492</v>
      </c>
      <c r="JJ421" t="s">
        <v>1055</v>
      </c>
      <c r="JK421" s="75" t="s">
        <v>595</v>
      </c>
      <c r="JV421" s="8" t="s">
        <v>595</v>
      </c>
      <c r="JW421" s="8" t="s">
        <v>1052</v>
      </c>
      <c r="JX421" t="s">
        <v>508</v>
      </c>
      <c r="JY421">
        <v>40000</v>
      </c>
      <c r="MY421" t="s">
        <v>1061</v>
      </c>
      <c r="MZ421">
        <v>120</v>
      </c>
      <c r="NA421" t="s">
        <v>1073</v>
      </c>
      <c r="NC421" t="s">
        <v>1047</v>
      </c>
      <c r="ND421" t="s">
        <v>1041</v>
      </c>
      <c r="NJ421" s="78" t="s">
        <v>1072</v>
      </c>
      <c r="NL421" s="92" t="s">
        <v>660</v>
      </c>
      <c r="NM421" s="91" t="s">
        <v>508</v>
      </c>
      <c r="NU421" t="s">
        <v>566</v>
      </c>
      <c r="NV421" t="s">
        <v>518</v>
      </c>
      <c r="NW421" s="93"/>
      <c r="NX421" s="79" t="s">
        <v>480</v>
      </c>
      <c r="NY421" s="79"/>
      <c r="OB421">
        <v>3</v>
      </c>
      <c r="OD421" s="79"/>
      <c r="OE421">
        <v>1133.29</v>
      </c>
      <c r="OF421" s="79" t="s">
        <v>480</v>
      </c>
      <c r="OG421">
        <v>666.64</v>
      </c>
      <c r="OH421" s="79" t="s">
        <v>480</v>
      </c>
      <c r="OU421" t="s">
        <v>1056</v>
      </c>
      <c r="OV421" s="78"/>
      <c r="OW421">
        <v>2006</v>
      </c>
      <c r="PB421" t="s">
        <v>522</v>
      </c>
      <c r="PC421" s="50">
        <v>46105</v>
      </c>
    </row>
    <row r="422" spans="1:419" ht="15.75" thickBot="1">
      <c r="A422" t="s">
        <v>469</v>
      </c>
      <c r="B422" t="s">
        <v>1032</v>
      </c>
      <c r="C422" t="s">
        <v>863</v>
      </c>
      <c r="D422" s="4" t="s">
        <v>950</v>
      </c>
      <c r="E422" t="s">
        <v>1033</v>
      </c>
      <c r="F422" s="89" t="s">
        <v>952</v>
      </c>
      <c r="G422" s="78" t="s">
        <v>475</v>
      </c>
      <c r="H422" s="78" t="s">
        <v>476</v>
      </c>
      <c r="I422">
        <v>7.25</v>
      </c>
      <c r="J422">
        <v>3.4166666669999999</v>
      </c>
      <c r="K422" s="78">
        <v>1000</v>
      </c>
      <c r="AV422" t="s">
        <v>1034</v>
      </c>
      <c r="AW422">
        <v>3240</v>
      </c>
      <c r="AX422">
        <v>1.2E-2</v>
      </c>
      <c r="AY422">
        <v>1</v>
      </c>
      <c r="BA422">
        <v>2006</v>
      </c>
      <c r="BB422">
        <v>2007</v>
      </c>
      <c r="BD422" t="s">
        <v>1057</v>
      </c>
      <c r="BE422" t="s">
        <v>630</v>
      </c>
      <c r="BF422" s="69" t="s">
        <v>484</v>
      </c>
      <c r="BG422" t="s">
        <v>1036</v>
      </c>
      <c r="BH422" t="s">
        <v>1037</v>
      </c>
      <c r="BI422" s="78" t="s">
        <v>486</v>
      </c>
      <c r="BJ422">
        <v>1330</v>
      </c>
      <c r="EG422" s="9"/>
      <c r="EH422" s="9"/>
      <c r="EI422" s="9"/>
      <c r="EJ422" s="9"/>
      <c r="EK422" s="9"/>
      <c r="EL422" s="9"/>
      <c r="EM422" s="9"/>
      <c r="EN422" s="9"/>
      <c r="EO422" s="9"/>
      <c r="EP422" s="9"/>
      <c r="EQ422" s="9"/>
      <c r="ER422" s="9"/>
      <c r="ES422" s="9"/>
      <c r="ET422" s="9"/>
      <c r="EU422" s="9"/>
      <c r="EV422" s="9"/>
      <c r="EW422" s="9"/>
      <c r="EX422" s="9"/>
      <c r="EY422" s="9"/>
      <c r="EZ422" s="9"/>
      <c r="FA422" s="9"/>
      <c r="FB422" s="9"/>
      <c r="FC422" s="9"/>
      <c r="FD422" s="9"/>
      <c r="FE422" s="9"/>
      <c r="FF422" s="9"/>
      <c r="FG422" s="9"/>
      <c r="FH422" s="9"/>
      <c r="FI422" s="9"/>
      <c r="FJ422" s="9"/>
      <c r="FK422" s="9"/>
      <c r="FL422" s="9"/>
      <c r="FM422" s="9"/>
      <c r="FN422" s="9"/>
      <c r="FO422" s="9"/>
      <c r="FP422" s="9"/>
      <c r="FQ422" s="9"/>
      <c r="FR422" s="9"/>
      <c r="FS422" s="9"/>
      <c r="FT422" s="9"/>
      <c r="FU422" s="9"/>
      <c r="FV422" s="9"/>
      <c r="FW422" s="9"/>
      <c r="FX422" s="9"/>
      <c r="FY422" s="9"/>
      <c r="FZ422" s="9"/>
      <c r="GA422" s="9"/>
      <c r="GB422" s="9"/>
      <c r="GC422" s="9"/>
      <c r="GD422" s="9"/>
      <c r="GE422" s="9"/>
      <c r="GF422" s="9"/>
      <c r="GG422" s="9"/>
      <c r="GH422" s="9"/>
      <c r="GI422" s="9"/>
      <c r="GJ422" s="9"/>
      <c r="GK422" s="9"/>
      <c r="GL422" s="9"/>
      <c r="GM422" s="9"/>
      <c r="GN422" s="9"/>
      <c r="GO422" s="9"/>
      <c r="GP422" s="9"/>
      <c r="GQ422" s="9"/>
      <c r="GR422" s="9"/>
      <c r="GS422" s="9"/>
      <c r="GT422" s="9"/>
      <c r="GU422" s="9"/>
      <c r="GV422" s="9"/>
      <c r="GW422" s="9"/>
      <c r="GX422" s="9"/>
      <c r="GY422" s="9"/>
      <c r="GZ422" s="9"/>
      <c r="HA422" s="9"/>
      <c r="HB422" s="9"/>
      <c r="HC422" s="9"/>
      <c r="HD422" s="9"/>
      <c r="HE422" s="9"/>
      <c r="HF422" s="9"/>
      <c r="HG422" s="9"/>
      <c r="HH422" s="9"/>
      <c r="HI422" s="9"/>
      <c r="HJ422" s="9"/>
      <c r="HT422" s="90">
        <v>38838</v>
      </c>
      <c r="HV422" s="50"/>
      <c r="HW422" s="50"/>
      <c r="IH422" t="s">
        <v>1057</v>
      </c>
      <c r="II422" t="s">
        <v>492</v>
      </c>
      <c r="JJ422" t="s">
        <v>1057</v>
      </c>
      <c r="JK422" s="75" t="s">
        <v>595</v>
      </c>
      <c r="JV422" s="8" t="s">
        <v>595</v>
      </c>
      <c r="JW422" s="8" t="s">
        <v>1052</v>
      </c>
      <c r="JX422" t="s">
        <v>508</v>
      </c>
      <c r="JY422">
        <v>80000</v>
      </c>
      <c r="MY422" t="s">
        <v>1061</v>
      </c>
      <c r="MZ422">
        <v>120</v>
      </c>
      <c r="NA422" t="s">
        <v>1073</v>
      </c>
      <c r="NC422" t="s">
        <v>1047</v>
      </c>
      <c r="ND422" t="s">
        <v>1041</v>
      </c>
      <c r="NJ422" s="78" t="s">
        <v>1072</v>
      </c>
      <c r="NL422" s="92" t="s">
        <v>660</v>
      </c>
      <c r="NM422" s="91" t="s">
        <v>508</v>
      </c>
      <c r="NU422" t="s">
        <v>572</v>
      </c>
      <c r="NV422" t="s">
        <v>518</v>
      </c>
      <c r="NW422" s="93"/>
      <c r="NX422" s="79" t="s">
        <v>480</v>
      </c>
      <c r="NY422" s="79"/>
      <c r="OB422">
        <v>3</v>
      </c>
      <c r="OD422" s="79"/>
      <c r="OE422">
        <v>0</v>
      </c>
      <c r="OF422" s="79" t="s">
        <v>480</v>
      </c>
      <c r="OG422">
        <v>916.63</v>
      </c>
      <c r="OH422" s="79" t="s">
        <v>480</v>
      </c>
      <c r="OU422" t="s">
        <v>1056</v>
      </c>
      <c r="OV422" s="78"/>
      <c r="OW422">
        <v>2006</v>
      </c>
      <c r="PB422" t="s">
        <v>522</v>
      </c>
      <c r="PC422" s="50">
        <v>46105</v>
      </c>
    </row>
    <row r="423" spans="1:419" ht="15.75" thickBot="1">
      <c r="A423" t="s">
        <v>469</v>
      </c>
      <c r="B423" t="s">
        <v>1032</v>
      </c>
      <c r="C423" t="s">
        <v>863</v>
      </c>
      <c r="D423" s="4" t="s">
        <v>950</v>
      </c>
      <c r="E423" t="s">
        <v>1033</v>
      </c>
      <c r="F423" s="89" t="s">
        <v>952</v>
      </c>
      <c r="G423" s="78" t="s">
        <v>475</v>
      </c>
      <c r="H423" s="78" t="s">
        <v>476</v>
      </c>
      <c r="I423">
        <v>7.25</v>
      </c>
      <c r="J423">
        <v>3.4166666669999999</v>
      </c>
      <c r="K423" s="78">
        <v>1000</v>
      </c>
      <c r="AV423" t="s">
        <v>1034</v>
      </c>
      <c r="AW423">
        <v>3240</v>
      </c>
      <c r="AX423">
        <v>1.2E-2</v>
      </c>
      <c r="AY423">
        <v>1</v>
      </c>
      <c r="BA423">
        <v>2006</v>
      </c>
      <c r="BB423">
        <v>2007</v>
      </c>
      <c r="BD423" t="s">
        <v>1058</v>
      </c>
      <c r="BE423" t="s">
        <v>566</v>
      </c>
      <c r="BF423" s="69" t="s">
        <v>484</v>
      </c>
      <c r="BG423" t="s">
        <v>1036</v>
      </c>
      <c r="BH423" t="s">
        <v>1037</v>
      </c>
      <c r="BI423" s="78" t="s">
        <v>486</v>
      </c>
      <c r="BJ423">
        <v>1330</v>
      </c>
      <c r="BK423" t="s">
        <v>537</v>
      </c>
      <c r="BL423" t="s">
        <v>1038</v>
      </c>
      <c r="BM423" t="s">
        <v>866</v>
      </c>
      <c r="BN423" s="78" t="s">
        <v>486</v>
      </c>
      <c r="BO423">
        <v>20000</v>
      </c>
      <c r="EG423" s="9"/>
      <c r="EH423" s="9"/>
      <c r="EI423" s="9"/>
      <c r="EJ423" s="9"/>
      <c r="EK423" s="9"/>
      <c r="EL423" s="9"/>
      <c r="EM423" s="9"/>
      <c r="EN423" s="9"/>
      <c r="EO423" s="9"/>
      <c r="EP423" s="9"/>
      <c r="EQ423" s="9"/>
      <c r="ER423" s="9"/>
      <c r="ES423" s="9"/>
      <c r="ET423" s="9"/>
      <c r="EU423" s="9"/>
      <c r="EV423" s="9"/>
      <c r="EW423" s="9"/>
      <c r="EX423" s="9"/>
      <c r="EY423" s="9"/>
      <c r="EZ423" s="9"/>
      <c r="FA423" s="9"/>
      <c r="FB423" s="9"/>
      <c r="FC423" s="9"/>
      <c r="FD423" s="9"/>
      <c r="FE423" s="9"/>
      <c r="FF423" s="9"/>
      <c r="FG423" s="9"/>
      <c r="FH423" s="9"/>
      <c r="FI423" s="9"/>
      <c r="FJ423" s="9"/>
      <c r="FK423" s="9"/>
      <c r="FL423" s="9"/>
      <c r="FM423" s="9"/>
      <c r="FN423" s="9"/>
      <c r="FO423" s="9"/>
      <c r="FP423" s="9"/>
      <c r="FQ423" s="9"/>
      <c r="FR423" s="9"/>
      <c r="FS423" s="9"/>
      <c r="FT423" s="9"/>
      <c r="FU423" s="9"/>
      <c r="FV423" s="9"/>
      <c r="FW423" s="9"/>
      <c r="FX423" s="9"/>
      <c r="FY423" s="9"/>
      <c r="FZ423" s="9"/>
      <c r="GA423" s="9"/>
      <c r="GB423" s="9"/>
      <c r="GC423" s="9"/>
      <c r="GD423" s="9"/>
      <c r="GE423" s="9"/>
      <c r="GF423" s="9"/>
      <c r="GG423" s="9"/>
      <c r="GH423" s="9"/>
      <c r="GI423" s="9"/>
      <c r="GJ423" s="9"/>
      <c r="GK423" s="9"/>
      <c r="GL423" s="9"/>
      <c r="GM423" s="9"/>
      <c r="GN423" s="9"/>
      <c r="GO423" s="9"/>
      <c r="GP423" s="9"/>
      <c r="GQ423" s="9"/>
      <c r="GR423" s="9"/>
      <c r="GS423" s="9"/>
      <c r="GT423" s="9"/>
      <c r="GU423" s="9"/>
      <c r="GV423" s="9"/>
      <c r="GW423" s="9"/>
      <c r="GX423" s="9"/>
      <c r="GY423" s="9"/>
      <c r="GZ423" s="9"/>
      <c r="HA423" s="9"/>
      <c r="HB423" s="9"/>
      <c r="HC423" s="9"/>
      <c r="HD423" s="9"/>
      <c r="HE423" s="9"/>
      <c r="HF423" s="9"/>
      <c r="HG423" s="9"/>
      <c r="HH423" s="9"/>
      <c r="HI423" s="9"/>
      <c r="HJ423" s="9"/>
      <c r="HT423" s="90">
        <v>38838</v>
      </c>
      <c r="HV423" s="50"/>
      <c r="HW423" s="50"/>
      <c r="IH423" t="s">
        <v>1058</v>
      </c>
      <c r="II423" s="78" t="s">
        <v>882</v>
      </c>
      <c r="IJ423" t="s">
        <v>542</v>
      </c>
      <c r="IK423" t="s">
        <v>543</v>
      </c>
      <c r="IL423">
        <v>2006</v>
      </c>
      <c r="IN423" s="78" t="s">
        <v>480</v>
      </c>
      <c r="JJ423" t="s">
        <v>1058</v>
      </c>
      <c r="JK423" s="75" t="s">
        <v>595</v>
      </c>
      <c r="JV423" s="8" t="s">
        <v>595</v>
      </c>
      <c r="JW423" s="8" t="s">
        <v>1052</v>
      </c>
      <c r="JX423" t="s">
        <v>508</v>
      </c>
      <c r="JY423">
        <v>40000</v>
      </c>
      <c r="MY423" t="s">
        <v>1061</v>
      </c>
      <c r="MZ423">
        <v>120</v>
      </c>
      <c r="NA423" t="s">
        <v>1071</v>
      </c>
      <c r="NB423" t="s">
        <v>1038</v>
      </c>
      <c r="NC423" t="s">
        <v>1047</v>
      </c>
      <c r="ND423" t="s">
        <v>1041</v>
      </c>
      <c r="NJ423" s="78" t="s">
        <v>1072</v>
      </c>
      <c r="NL423" s="92" t="s">
        <v>660</v>
      </c>
      <c r="NM423" s="91" t="s">
        <v>508</v>
      </c>
      <c r="NV423" t="s">
        <v>518</v>
      </c>
      <c r="NW423" s="93"/>
      <c r="NX423" s="79" t="s">
        <v>480</v>
      </c>
      <c r="NY423" s="79"/>
      <c r="OB423">
        <v>3</v>
      </c>
      <c r="OC423">
        <v>5771.99</v>
      </c>
      <c r="OD423" s="79" t="s">
        <v>480</v>
      </c>
      <c r="OE423">
        <v>0</v>
      </c>
      <c r="OF423" s="79" t="s">
        <v>480</v>
      </c>
      <c r="OG423">
        <v>400</v>
      </c>
      <c r="OH423" s="79" t="s">
        <v>480</v>
      </c>
      <c r="OU423" t="s">
        <v>1059</v>
      </c>
      <c r="OV423" s="78"/>
      <c r="OW423">
        <v>2006</v>
      </c>
      <c r="PB423" t="s">
        <v>522</v>
      </c>
      <c r="PC423" s="50">
        <v>46105</v>
      </c>
    </row>
    <row r="424" spans="1:419" ht="15.75" thickBot="1">
      <c r="A424" t="s">
        <v>469</v>
      </c>
      <c r="B424" t="s">
        <v>1032</v>
      </c>
      <c r="C424" t="s">
        <v>863</v>
      </c>
      <c r="D424" s="4" t="s">
        <v>950</v>
      </c>
      <c r="E424" t="s">
        <v>1033</v>
      </c>
      <c r="F424" s="89" t="s">
        <v>952</v>
      </c>
      <c r="G424" s="78" t="s">
        <v>475</v>
      </c>
      <c r="H424" s="78" t="s">
        <v>476</v>
      </c>
      <c r="I424">
        <v>7.25</v>
      </c>
      <c r="J424">
        <v>3.4166666669999999</v>
      </c>
      <c r="K424" s="78">
        <v>1000</v>
      </c>
      <c r="AV424" t="s">
        <v>1034</v>
      </c>
      <c r="AW424">
        <v>3240</v>
      </c>
      <c r="AX424">
        <v>1.2E-2</v>
      </c>
      <c r="AY424">
        <v>1</v>
      </c>
      <c r="BA424">
        <v>2006</v>
      </c>
      <c r="BB424">
        <v>2007</v>
      </c>
      <c r="BD424" t="s">
        <v>1060</v>
      </c>
      <c r="BE424" t="s">
        <v>572</v>
      </c>
      <c r="BF424" s="69" t="s">
        <v>484</v>
      </c>
      <c r="BG424" t="s">
        <v>1036</v>
      </c>
      <c r="BH424" t="s">
        <v>1037</v>
      </c>
      <c r="BI424" s="78" t="s">
        <v>486</v>
      </c>
      <c r="BJ424">
        <v>1330</v>
      </c>
      <c r="BK424" t="s">
        <v>537</v>
      </c>
      <c r="BL424" t="s">
        <v>1038</v>
      </c>
      <c r="BM424" t="s">
        <v>866</v>
      </c>
      <c r="BN424" s="78" t="s">
        <v>486</v>
      </c>
      <c r="BO424">
        <v>20000</v>
      </c>
      <c r="EG424" s="9"/>
      <c r="EH424" s="9"/>
      <c r="EI424" s="9"/>
      <c r="EJ424" s="9"/>
      <c r="EK424" s="9"/>
      <c r="EL424" s="9"/>
      <c r="EM424" s="9"/>
      <c r="EN424" s="9"/>
      <c r="EO424" s="9"/>
      <c r="EP424" s="9"/>
      <c r="EQ424" s="9"/>
      <c r="ER424" s="9"/>
      <c r="ES424" s="9"/>
      <c r="ET424" s="9"/>
      <c r="EU424" s="9"/>
      <c r="EV424" s="9"/>
      <c r="EW424" s="9"/>
      <c r="EX424" s="9"/>
      <c r="EY424" s="9"/>
      <c r="EZ424" s="9"/>
      <c r="FA424" s="9"/>
      <c r="FB424" s="9"/>
      <c r="FC424" s="9"/>
      <c r="FD424" s="9"/>
      <c r="FE424" s="9"/>
      <c r="FF424" s="9"/>
      <c r="FG424" s="9"/>
      <c r="FH424" s="9"/>
      <c r="FI424" s="9"/>
      <c r="FJ424" s="9"/>
      <c r="FK424" s="9"/>
      <c r="FL424" s="9"/>
      <c r="FM424" s="9"/>
      <c r="FN424" s="9"/>
      <c r="FO424" s="9"/>
      <c r="FP424" s="9"/>
      <c r="FQ424" s="9"/>
      <c r="FR424" s="9"/>
      <c r="FS424" s="9"/>
      <c r="FT424" s="9"/>
      <c r="FU424" s="9"/>
      <c r="FV424" s="9"/>
      <c r="FW424" s="9"/>
      <c r="FX424" s="9"/>
      <c r="FY424" s="9"/>
      <c r="FZ424" s="9"/>
      <c r="GA424" s="9"/>
      <c r="GB424" s="9"/>
      <c r="GC424" s="9"/>
      <c r="GD424" s="9"/>
      <c r="GE424" s="9"/>
      <c r="GF424" s="9"/>
      <c r="GG424" s="9"/>
      <c r="GH424" s="9"/>
      <c r="GI424" s="9"/>
      <c r="GJ424" s="9"/>
      <c r="GK424" s="9"/>
      <c r="GL424" s="9"/>
      <c r="GM424" s="9"/>
      <c r="GN424" s="9"/>
      <c r="GO424" s="9"/>
      <c r="GP424" s="9"/>
      <c r="GQ424" s="9"/>
      <c r="GR424" s="9"/>
      <c r="GS424" s="9"/>
      <c r="GT424" s="9"/>
      <c r="GU424" s="9"/>
      <c r="GV424" s="9"/>
      <c r="GW424" s="9"/>
      <c r="GX424" s="9"/>
      <c r="GY424" s="9"/>
      <c r="GZ424" s="9"/>
      <c r="HA424" s="9"/>
      <c r="HB424" s="9"/>
      <c r="HC424" s="9"/>
      <c r="HD424" s="9"/>
      <c r="HE424" s="9"/>
      <c r="HF424" s="9"/>
      <c r="HG424" s="9"/>
      <c r="HH424" s="9"/>
      <c r="HI424" s="9"/>
      <c r="HJ424" s="9"/>
      <c r="HT424" s="90">
        <v>38838</v>
      </c>
      <c r="HV424" s="50"/>
      <c r="HW424" s="50"/>
      <c r="IH424" t="s">
        <v>1060</v>
      </c>
      <c r="II424" s="78" t="s">
        <v>882</v>
      </c>
      <c r="IJ424" t="s">
        <v>542</v>
      </c>
      <c r="IK424" t="s">
        <v>543</v>
      </c>
      <c r="IL424">
        <v>2006</v>
      </c>
      <c r="IN424" s="78" t="s">
        <v>480</v>
      </c>
      <c r="JJ424" t="s">
        <v>1060</v>
      </c>
      <c r="JK424" s="75" t="s">
        <v>595</v>
      </c>
      <c r="JV424" s="8" t="s">
        <v>595</v>
      </c>
      <c r="JW424" s="8" t="s">
        <v>1052</v>
      </c>
      <c r="JX424" t="s">
        <v>508</v>
      </c>
      <c r="JY424">
        <v>80000</v>
      </c>
      <c r="MY424" t="s">
        <v>1061</v>
      </c>
      <c r="MZ424">
        <v>120</v>
      </c>
      <c r="NA424" t="s">
        <v>1071</v>
      </c>
      <c r="NB424" t="s">
        <v>1038</v>
      </c>
      <c r="NC424" t="s">
        <v>1047</v>
      </c>
      <c r="ND424" t="s">
        <v>1041</v>
      </c>
      <c r="NJ424" s="78" t="s">
        <v>1072</v>
      </c>
      <c r="NL424" s="92" t="s">
        <v>660</v>
      </c>
      <c r="NM424" s="91" t="s">
        <v>508</v>
      </c>
      <c r="NV424" t="s">
        <v>518</v>
      </c>
      <c r="NW424" s="93"/>
      <c r="NX424" s="79" t="s">
        <v>480</v>
      </c>
      <c r="NY424" s="79"/>
      <c r="OB424">
        <v>3</v>
      </c>
      <c r="OC424">
        <v>4747.03</v>
      </c>
      <c r="OD424" s="79" t="s">
        <v>480</v>
      </c>
      <c r="OE424">
        <v>3510.97</v>
      </c>
      <c r="OF424" s="79" t="s">
        <v>480</v>
      </c>
      <c r="OG424">
        <v>316.67</v>
      </c>
      <c r="OH424" s="79" t="s">
        <v>480</v>
      </c>
      <c r="OU424" t="s">
        <v>1059</v>
      </c>
      <c r="OV424" s="78"/>
      <c r="OW424">
        <v>2006</v>
      </c>
      <c r="PB424" t="s">
        <v>522</v>
      </c>
      <c r="PC424" s="50">
        <v>46105</v>
      </c>
    </row>
    <row r="425" spans="1:419" ht="15.75" thickBot="1">
      <c r="A425" t="s">
        <v>469</v>
      </c>
      <c r="B425" t="s">
        <v>1032</v>
      </c>
      <c r="C425" t="s">
        <v>863</v>
      </c>
      <c r="D425" s="4" t="s">
        <v>950</v>
      </c>
      <c r="E425" t="s">
        <v>1033</v>
      </c>
      <c r="F425" s="89" t="s">
        <v>952</v>
      </c>
      <c r="G425" s="78" t="s">
        <v>475</v>
      </c>
      <c r="H425" s="78" t="s">
        <v>476</v>
      </c>
      <c r="I425">
        <v>7.25</v>
      </c>
      <c r="J425">
        <v>3.4166666669999999</v>
      </c>
      <c r="K425" s="78">
        <v>1000</v>
      </c>
      <c r="AV425" t="s">
        <v>1034</v>
      </c>
      <c r="AW425">
        <v>3240</v>
      </c>
      <c r="AX425">
        <v>1.2E-2</v>
      </c>
      <c r="AY425">
        <v>1</v>
      </c>
      <c r="BA425">
        <v>2006</v>
      </c>
      <c r="BB425">
        <v>2007</v>
      </c>
      <c r="BD425" t="s">
        <v>1035</v>
      </c>
      <c r="BE425" t="s">
        <v>536</v>
      </c>
      <c r="BF425" s="69" t="s">
        <v>484</v>
      </c>
      <c r="BG425" t="s">
        <v>1036</v>
      </c>
      <c r="BH425" t="s">
        <v>1037</v>
      </c>
      <c r="BI425" s="78" t="s">
        <v>486</v>
      </c>
      <c r="BJ425">
        <v>1330</v>
      </c>
      <c r="BK425" t="s">
        <v>537</v>
      </c>
      <c r="BL425" t="s">
        <v>1038</v>
      </c>
      <c r="BM425" t="s">
        <v>866</v>
      </c>
      <c r="BN425" s="78" t="s">
        <v>486</v>
      </c>
      <c r="BO425">
        <v>20000</v>
      </c>
      <c r="EG425" s="9"/>
      <c r="EH425" s="9"/>
      <c r="EI425" s="9"/>
      <c r="EJ425" s="9"/>
      <c r="EK425" s="9"/>
      <c r="EL425" s="9"/>
      <c r="EM425" s="9"/>
      <c r="EN425" s="9"/>
      <c r="EO425" s="9"/>
      <c r="EP425" s="9"/>
      <c r="EQ425" s="9"/>
      <c r="ER425" s="9"/>
      <c r="ES425" s="9"/>
      <c r="ET425" s="9"/>
      <c r="EU425" s="9"/>
      <c r="EV425" s="9"/>
      <c r="EW425" s="9"/>
      <c r="EX425" s="9"/>
      <c r="EY425" s="9"/>
      <c r="EZ425" s="9"/>
      <c r="FA425" s="9"/>
      <c r="FB425" s="9"/>
      <c r="FC425" s="9"/>
      <c r="FD425" s="9"/>
      <c r="FE425" s="9"/>
      <c r="FF425" s="9"/>
      <c r="FG425" s="9"/>
      <c r="FH425" s="9"/>
      <c r="FI425" s="9"/>
      <c r="FJ425" s="9"/>
      <c r="FK425" s="9"/>
      <c r="FL425" s="9"/>
      <c r="FM425" s="9"/>
      <c r="FN425" s="9"/>
      <c r="FO425" s="9"/>
      <c r="FP425" s="9"/>
      <c r="FQ425" s="9"/>
      <c r="FR425" s="9"/>
      <c r="FS425" s="9"/>
      <c r="FT425" s="9"/>
      <c r="FU425" s="9"/>
      <c r="FV425" s="9"/>
      <c r="FW425" s="9"/>
      <c r="FX425" s="9"/>
      <c r="FY425" s="9"/>
      <c r="FZ425" s="9"/>
      <c r="GA425" s="9"/>
      <c r="GB425" s="9"/>
      <c r="GC425" s="9"/>
      <c r="GD425" s="9"/>
      <c r="GE425" s="9"/>
      <c r="GF425" s="9"/>
      <c r="GG425" s="9"/>
      <c r="GH425" s="9"/>
      <c r="GI425" s="9"/>
      <c r="GJ425" s="9"/>
      <c r="GK425" s="9"/>
      <c r="GL425" s="9"/>
      <c r="GM425" s="9"/>
      <c r="GN425" s="9"/>
      <c r="GO425" s="9"/>
      <c r="GP425" s="9"/>
      <c r="GQ425" s="9"/>
      <c r="GR425" s="9"/>
      <c r="GS425" s="9"/>
      <c r="GT425" s="9"/>
      <c r="GU425" s="9"/>
      <c r="GV425" s="9"/>
      <c r="GW425" s="9"/>
      <c r="GX425" s="9"/>
      <c r="GY425" s="9"/>
      <c r="GZ425" s="9"/>
      <c r="HA425" s="9"/>
      <c r="HB425" s="9"/>
      <c r="HC425" s="9"/>
      <c r="HD425" s="9"/>
      <c r="HE425" s="9"/>
      <c r="HF425" s="9"/>
      <c r="HG425" s="9"/>
      <c r="HH425" s="9"/>
      <c r="HI425" s="9"/>
      <c r="HJ425" s="9"/>
      <c r="HT425" s="90">
        <v>38838</v>
      </c>
      <c r="HV425" s="50"/>
      <c r="HW425" s="50"/>
      <c r="IH425" t="s">
        <v>1035</v>
      </c>
      <c r="II425" s="78" t="s">
        <v>882</v>
      </c>
      <c r="IJ425" t="s">
        <v>542</v>
      </c>
      <c r="IK425" t="s">
        <v>543</v>
      </c>
      <c r="IL425">
        <v>2006</v>
      </c>
      <c r="IN425" s="78" t="s">
        <v>480</v>
      </c>
      <c r="JJ425" t="s">
        <v>1035</v>
      </c>
      <c r="JK425" s="75" t="s">
        <v>682</v>
      </c>
      <c r="MY425" t="s">
        <v>1061</v>
      </c>
      <c r="MZ425">
        <v>120</v>
      </c>
      <c r="NA425" t="s">
        <v>1071</v>
      </c>
      <c r="NB425" t="s">
        <v>1038</v>
      </c>
      <c r="NC425" t="s">
        <v>1047</v>
      </c>
      <c r="ND425" t="s">
        <v>1041</v>
      </c>
      <c r="NJ425" s="78" t="s">
        <v>1072</v>
      </c>
      <c r="NL425" s="92" t="s">
        <v>660</v>
      </c>
      <c r="NM425" s="91" t="s">
        <v>508</v>
      </c>
      <c r="NV425" t="s">
        <v>518</v>
      </c>
      <c r="NW425" s="93"/>
      <c r="NX425" s="79" t="s">
        <v>480</v>
      </c>
      <c r="NY425" s="79"/>
      <c r="OB425">
        <v>3</v>
      </c>
      <c r="OC425">
        <v>930.52</v>
      </c>
      <c r="OD425" s="79" t="s">
        <v>480</v>
      </c>
      <c r="OE425">
        <v>3469.31</v>
      </c>
      <c r="OF425" s="79" t="s">
        <v>480</v>
      </c>
      <c r="OG425">
        <v>7444.15</v>
      </c>
      <c r="OH425" s="79" t="s">
        <v>480</v>
      </c>
      <c r="OU425" t="s">
        <v>1043</v>
      </c>
      <c r="OV425" s="78"/>
      <c r="OW425">
        <v>2007</v>
      </c>
      <c r="PB425" t="s">
        <v>522</v>
      </c>
      <c r="PC425" s="50">
        <v>46105</v>
      </c>
    </row>
    <row r="426" spans="1:419" ht="15.75" thickBot="1">
      <c r="A426" t="s">
        <v>469</v>
      </c>
      <c r="B426" t="s">
        <v>1032</v>
      </c>
      <c r="C426" t="s">
        <v>863</v>
      </c>
      <c r="D426" s="4" t="s">
        <v>950</v>
      </c>
      <c r="E426" t="s">
        <v>1033</v>
      </c>
      <c r="F426" s="89" t="s">
        <v>952</v>
      </c>
      <c r="G426" s="78" t="s">
        <v>475</v>
      </c>
      <c r="H426" s="78" t="s">
        <v>476</v>
      </c>
      <c r="I426">
        <v>7.25</v>
      </c>
      <c r="J426">
        <v>3.4166666669999999</v>
      </c>
      <c r="K426" s="78">
        <v>1000</v>
      </c>
      <c r="AV426" t="s">
        <v>1034</v>
      </c>
      <c r="AW426">
        <v>3240</v>
      </c>
      <c r="AX426">
        <v>1.2E-2</v>
      </c>
      <c r="AY426">
        <v>1</v>
      </c>
      <c r="BA426">
        <v>2006</v>
      </c>
      <c r="BB426">
        <v>2007</v>
      </c>
      <c r="BD426" t="s">
        <v>1045</v>
      </c>
      <c r="BE426" t="s">
        <v>524</v>
      </c>
      <c r="BF426" s="69" t="s">
        <v>484</v>
      </c>
      <c r="BG426" t="s">
        <v>1036</v>
      </c>
      <c r="BH426" t="s">
        <v>1037</v>
      </c>
      <c r="BI426" s="78" t="s">
        <v>486</v>
      </c>
      <c r="BJ426">
        <v>1330</v>
      </c>
      <c r="EG426" s="9"/>
      <c r="EH426" s="9"/>
      <c r="EI426" s="9"/>
      <c r="EJ426" s="9"/>
      <c r="EK426" s="9"/>
      <c r="EL426" s="9"/>
      <c r="EM426" s="9"/>
      <c r="EN426" s="9"/>
      <c r="EO426" s="9"/>
      <c r="EP426" s="9"/>
      <c r="EQ426" s="9"/>
      <c r="ER426" s="9"/>
      <c r="ES426" s="9"/>
      <c r="ET426" s="9"/>
      <c r="EU426" s="9"/>
      <c r="EV426" s="9"/>
      <c r="EW426" s="9"/>
      <c r="EX426" s="9"/>
      <c r="EY426" s="9"/>
      <c r="EZ426" s="9"/>
      <c r="FA426" s="9"/>
      <c r="FB426" s="9"/>
      <c r="FC426" s="9"/>
      <c r="FD426" s="9"/>
      <c r="FE426" s="9"/>
      <c r="FF426" s="9"/>
      <c r="FG426" s="9"/>
      <c r="FH426" s="9"/>
      <c r="FI426" s="9"/>
      <c r="FJ426" s="9"/>
      <c r="FK426" s="9"/>
      <c r="FL426" s="9"/>
      <c r="FM426" s="9"/>
      <c r="FN426" s="9"/>
      <c r="FO426" s="9"/>
      <c r="FP426" s="9"/>
      <c r="FQ426" s="9"/>
      <c r="FR426" s="9"/>
      <c r="FS426" s="9"/>
      <c r="FT426" s="9"/>
      <c r="FU426" s="9"/>
      <c r="FV426" s="9"/>
      <c r="FW426" s="9"/>
      <c r="FX426" s="9"/>
      <c r="FY426" s="9"/>
      <c r="FZ426" s="9"/>
      <c r="GA426" s="9"/>
      <c r="GB426" s="9"/>
      <c r="GC426" s="9"/>
      <c r="GD426" s="9"/>
      <c r="GE426" s="9"/>
      <c r="GF426" s="9"/>
      <c r="GG426" s="9"/>
      <c r="GH426" s="9"/>
      <c r="GI426" s="9"/>
      <c r="GJ426" s="9"/>
      <c r="GK426" s="9"/>
      <c r="GL426" s="9"/>
      <c r="GM426" s="9"/>
      <c r="GN426" s="9"/>
      <c r="GO426" s="9"/>
      <c r="GP426" s="9"/>
      <c r="GQ426" s="9"/>
      <c r="GR426" s="9"/>
      <c r="GS426" s="9"/>
      <c r="GT426" s="9"/>
      <c r="GU426" s="9"/>
      <c r="GV426" s="9"/>
      <c r="GW426" s="9"/>
      <c r="GX426" s="9"/>
      <c r="GY426" s="9"/>
      <c r="GZ426" s="9"/>
      <c r="HA426" s="9"/>
      <c r="HB426" s="9"/>
      <c r="HC426" s="9"/>
      <c r="HD426" s="9"/>
      <c r="HE426" s="9"/>
      <c r="HF426" s="9"/>
      <c r="HG426" s="9"/>
      <c r="HH426" s="9"/>
      <c r="HI426" s="9"/>
      <c r="HJ426" s="9"/>
      <c r="HT426" s="90">
        <v>38838</v>
      </c>
      <c r="HV426" s="50"/>
      <c r="HW426" s="50"/>
      <c r="IH426" t="s">
        <v>1045</v>
      </c>
      <c r="II426" t="s">
        <v>492</v>
      </c>
      <c r="IN426" s="78"/>
      <c r="JJ426" t="s">
        <v>1045</v>
      </c>
      <c r="JK426" s="75" t="s">
        <v>682</v>
      </c>
      <c r="MY426" t="s">
        <v>1061</v>
      </c>
      <c r="MZ426">
        <v>120</v>
      </c>
      <c r="NA426" t="s">
        <v>1073</v>
      </c>
      <c r="NC426" t="s">
        <v>1047</v>
      </c>
      <c r="ND426" t="s">
        <v>1041</v>
      </c>
      <c r="NJ426" s="78" t="s">
        <v>1072</v>
      </c>
      <c r="NL426" s="92" t="s">
        <v>660</v>
      </c>
      <c r="NM426" s="91" t="s">
        <v>508</v>
      </c>
      <c r="NU426" t="s">
        <v>536</v>
      </c>
      <c r="NV426" t="s">
        <v>518</v>
      </c>
      <c r="NW426" s="93"/>
      <c r="NX426" s="79" t="s">
        <v>480</v>
      </c>
      <c r="NY426" s="79"/>
      <c r="OB426">
        <v>3</v>
      </c>
      <c r="OD426" s="79"/>
      <c r="OE426">
        <v>2869.33</v>
      </c>
      <c r="OF426" s="79" t="s">
        <v>480</v>
      </c>
      <c r="OG426">
        <v>6749.73</v>
      </c>
      <c r="OH426" s="79" t="s">
        <v>480</v>
      </c>
      <c r="OU426" t="s">
        <v>1043</v>
      </c>
      <c r="OV426" s="78"/>
      <c r="OW426">
        <v>2007</v>
      </c>
      <c r="PB426" t="s">
        <v>522</v>
      </c>
      <c r="PC426" s="50">
        <v>46105</v>
      </c>
    </row>
    <row r="427" spans="1:419" ht="15.75" thickBot="1">
      <c r="A427" t="s">
        <v>469</v>
      </c>
      <c r="B427" t="s">
        <v>1032</v>
      </c>
      <c r="C427" t="s">
        <v>863</v>
      </c>
      <c r="D427" s="4" t="s">
        <v>950</v>
      </c>
      <c r="E427" t="s">
        <v>1033</v>
      </c>
      <c r="F427" s="89" t="s">
        <v>952</v>
      </c>
      <c r="G427" s="78" t="s">
        <v>475</v>
      </c>
      <c r="H427" s="78" t="s">
        <v>476</v>
      </c>
      <c r="I427">
        <v>7.25</v>
      </c>
      <c r="J427">
        <v>3.4166666669999999</v>
      </c>
      <c r="K427" s="78">
        <v>1000</v>
      </c>
      <c r="AV427" t="s">
        <v>1034</v>
      </c>
      <c r="AW427">
        <v>3240</v>
      </c>
      <c r="AX427">
        <v>1.2E-2</v>
      </c>
      <c r="AY427">
        <v>1</v>
      </c>
      <c r="BA427">
        <v>2006</v>
      </c>
      <c r="BB427">
        <v>2007</v>
      </c>
      <c r="BD427" t="s">
        <v>1048</v>
      </c>
      <c r="BE427" t="s">
        <v>483</v>
      </c>
      <c r="BF427" s="69" t="s">
        <v>484</v>
      </c>
      <c r="BG427" t="s">
        <v>1038</v>
      </c>
      <c r="BH427" t="s">
        <v>1049</v>
      </c>
      <c r="BI427" s="78" t="s">
        <v>486</v>
      </c>
      <c r="BJ427">
        <v>20000</v>
      </c>
      <c r="EG427" s="9"/>
      <c r="EH427" s="9"/>
      <c r="EI427" s="9"/>
      <c r="EJ427" s="9"/>
      <c r="EK427" s="9"/>
      <c r="EL427" s="9"/>
      <c r="EM427" s="9"/>
      <c r="EN427" s="9"/>
      <c r="EO427" s="9"/>
      <c r="EP427" s="9"/>
      <c r="EQ427" s="9"/>
      <c r="ER427" s="9"/>
      <c r="ES427" s="9"/>
      <c r="ET427" s="9"/>
      <c r="EU427" s="9"/>
      <c r="EV427" s="9"/>
      <c r="EW427" s="9"/>
      <c r="EX427" s="9"/>
      <c r="EY427" s="9"/>
      <c r="EZ427" s="9"/>
      <c r="FA427" s="9"/>
      <c r="FB427" s="9"/>
      <c r="FC427" s="9"/>
      <c r="FD427" s="9"/>
      <c r="FE427" s="9"/>
      <c r="FF427" s="9"/>
      <c r="FG427" s="9"/>
      <c r="FH427" s="9"/>
      <c r="FI427" s="9"/>
      <c r="FJ427" s="9"/>
      <c r="FK427" s="9"/>
      <c r="FL427" s="9"/>
      <c r="FM427" s="9"/>
      <c r="FN427" s="9"/>
      <c r="FO427" s="9"/>
      <c r="FP427" s="9"/>
      <c r="FQ427" s="9"/>
      <c r="FR427" s="9"/>
      <c r="FS427" s="9"/>
      <c r="FT427" s="9"/>
      <c r="FU427" s="9"/>
      <c r="FV427" s="9"/>
      <c r="FW427" s="9"/>
      <c r="FX427" s="9"/>
      <c r="FY427" s="9"/>
      <c r="FZ427" s="9"/>
      <c r="GA427" s="9"/>
      <c r="GB427" s="9"/>
      <c r="GC427" s="9"/>
      <c r="GD427" s="9"/>
      <c r="GE427" s="9"/>
      <c r="GF427" s="9"/>
      <c r="GG427" s="9"/>
      <c r="GH427" s="9"/>
      <c r="GI427" s="9"/>
      <c r="GJ427" s="9"/>
      <c r="GK427" s="9"/>
      <c r="GL427" s="9"/>
      <c r="GM427" s="9"/>
      <c r="GN427" s="9"/>
      <c r="GO427" s="9"/>
      <c r="GP427" s="9"/>
      <c r="GQ427" s="9"/>
      <c r="GR427" s="9"/>
      <c r="GS427" s="9"/>
      <c r="GT427" s="9"/>
      <c r="GU427" s="9"/>
      <c r="GV427" s="9"/>
      <c r="GW427" s="9"/>
      <c r="GX427" s="9"/>
      <c r="GY427" s="9"/>
      <c r="GZ427" s="9"/>
      <c r="HA427" s="9"/>
      <c r="HB427" s="9"/>
      <c r="HC427" s="9"/>
      <c r="HD427" s="9"/>
      <c r="HE427" s="9"/>
      <c r="HF427" s="9"/>
      <c r="HG427" s="9"/>
      <c r="HH427" s="9"/>
      <c r="HI427" s="9"/>
      <c r="HJ427" s="9"/>
      <c r="HT427" s="90">
        <v>38838</v>
      </c>
      <c r="HV427" s="50"/>
      <c r="HW427" s="50"/>
      <c r="IH427" t="s">
        <v>1048</v>
      </c>
      <c r="II427" t="s">
        <v>492</v>
      </c>
      <c r="IN427" s="78"/>
      <c r="JJ427" t="s">
        <v>1048</v>
      </c>
      <c r="JK427" s="75" t="s">
        <v>682</v>
      </c>
      <c r="MY427" t="s">
        <v>1061</v>
      </c>
      <c r="MZ427">
        <v>120</v>
      </c>
      <c r="NA427" t="s">
        <v>1074</v>
      </c>
      <c r="NB427" t="s">
        <v>1038</v>
      </c>
      <c r="NJ427" s="78" t="s">
        <v>1072</v>
      </c>
      <c r="NL427" s="92" t="s">
        <v>660</v>
      </c>
      <c r="NM427" s="91" t="s">
        <v>508</v>
      </c>
      <c r="NU427" t="s">
        <v>536</v>
      </c>
      <c r="NV427" t="s">
        <v>518</v>
      </c>
      <c r="NW427" s="93"/>
      <c r="NX427" s="79" t="s">
        <v>480</v>
      </c>
      <c r="NY427" s="79"/>
      <c r="OB427">
        <v>3</v>
      </c>
      <c r="OC427">
        <v>4224.83</v>
      </c>
      <c r="OD427" s="79" t="s">
        <v>480</v>
      </c>
      <c r="OU427" t="s">
        <v>1043</v>
      </c>
      <c r="OV427" s="78"/>
      <c r="OW427">
        <v>2007</v>
      </c>
      <c r="PB427" t="s">
        <v>522</v>
      </c>
      <c r="PC427" s="50">
        <v>46105</v>
      </c>
    </row>
    <row r="428" spans="1:419" ht="15.75" thickBot="1">
      <c r="A428" t="s">
        <v>469</v>
      </c>
      <c r="B428" t="s">
        <v>1032</v>
      </c>
      <c r="C428" t="s">
        <v>863</v>
      </c>
      <c r="D428" s="4" t="s">
        <v>950</v>
      </c>
      <c r="E428" t="s">
        <v>1033</v>
      </c>
      <c r="F428" s="89" t="s">
        <v>952</v>
      </c>
      <c r="G428" s="78" t="s">
        <v>475</v>
      </c>
      <c r="H428" s="78" t="s">
        <v>476</v>
      </c>
      <c r="I428">
        <v>7.25</v>
      </c>
      <c r="J428">
        <v>3.4166666669999999</v>
      </c>
      <c r="K428" s="78">
        <v>1000</v>
      </c>
      <c r="AV428" t="s">
        <v>1034</v>
      </c>
      <c r="AW428">
        <v>3240</v>
      </c>
      <c r="AX428">
        <v>1.2E-2</v>
      </c>
      <c r="AY428">
        <v>1</v>
      </c>
      <c r="BA428">
        <v>2006</v>
      </c>
      <c r="BB428">
        <v>2007</v>
      </c>
      <c r="BD428" t="s">
        <v>1051</v>
      </c>
      <c r="BE428" t="s">
        <v>593</v>
      </c>
      <c r="BF428" s="69" t="s">
        <v>484</v>
      </c>
      <c r="BG428" t="s">
        <v>1038</v>
      </c>
      <c r="BH428" t="s">
        <v>866</v>
      </c>
      <c r="BI428" s="78" t="s">
        <v>486</v>
      </c>
      <c r="BJ428">
        <v>20000</v>
      </c>
      <c r="EG428" s="9"/>
      <c r="EH428" s="9"/>
      <c r="EI428" s="9"/>
      <c r="EJ428" s="9"/>
      <c r="EK428" s="9"/>
      <c r="EL428" s="9"/>
      <c r="EM428" s="9"/>
      <c r="EN428" s="9"/>
      <c r="EO428" s="9"/>
      <c r="EP428" s="9"/>
      <c r="EQ428" s="9"/>
      <c r="ER428" s="9"/>
      <c r="ES428" s="9"/>
      <c r="ET428" s="9"/>
      <c r="EU428" s="9"/>
      <c r="EV428" s="9"/>
      <c r="EW428" s="9"/>
      <c r="EX428" s="9"/>
      <c r="EY428" s="9"/>
      <c r="EZ428" s="9"/>
      <c r="FA428" s="9"/>
      <c r="FB428" s="9"/>
      <c r="FC428" s="9"/>
      <c r="FD428" s="9"/>
      <c r="FE428" s="9"/>
      <c r="FF428" s="9"/>
      <c r="FG428" s="9"/>
      <c r="FH428" s="9"/>
      <c r="FI428" s="9"/>
      <c r="FJ428" s="9"/>
      <c r="FK428" s="9"/>
      <c r="FL428" s="9"/>
      <c r="FM428" s="9"/>
      <c r="FN428" s="9"/>
      <c r="FO428" s="9"/>
      <c r="FP428" s="9"/>
      <c r="FQ428" s="9"/>
      <c r="FR428" s="9"/>
      <c r="FS428" s="9"/>
      <c r="FT428" s="9"/>
      <c r="FU428" s="9"/>
      <c r="FV428" s="9"/>
      <c r="FW428" s="9"/>
      <c r="FX428" s="9"/>
      <c r="FY428" s="9"/>
      <c r="FZ428" s="9"/>
      <c r="GA428" s="9"/>
      <c r="GB428" s="9"/>
      <c r="GC428" s="9"/>
      <c r="GD428" s="9"/>
      <c r="GE428" s="9"/>
      <c r="GF428" s="9"/>
      <c r="GG428" s="9"/>
      <c r="GH428" s="9"/>
      <c r="GI428" s="9"/>
      <c r="GJ428" s="9"/>
      <c r="GK428" s="9"/>
      <c r="GL428" s="9"/>
      <c r="GM428" s="9"/>
      <c r="GN428" s="9"/>
      <c r="GO428" s="9"/>
      <c r="GP428" s="9"/>
      <c r="GQ428" s="9"/>
      <c r="GR428" s="9"/>
      <c r="GS428" s="9"/>
      <c r="GT428" s="9"/>
      <c r="GU428" s="9"/>
      <c r="GV428" s="9"/>
      <c r="GW428" s="9"/>
      <c r="GX428" s="9"/>
      <c r="GY428" s="9"/>
      <c r="GZ428" s="9"/>
      <c r="HA428" s="9"/>
      <c r="HB428" s="9"/>
      <c r="HC428" s="9"/>
      <c r="HD428" s="9"/>
      <c r="HE428" s="9"/>
      <c r="HF428" s="9"/>
      <c r="HG428" s="9"/>
      <c r="HH428" s="9"/>
      <c r="HI428" s="9"/>
      <c r="HJ428" s="9"/>
      <c r="HT428" s="90">
        <v>38838</v>
      </c>
      <c r="HV428" s="50"/>
      <c r="HW428" s="50"/>
      <c r="IH428" t="s">
        <v>1051</v>
      </c>
      <c r="II428" t="s">
        <v>492</v>
      </c>
      <c r="JJ428" t="s">
        <v>1051</v>
      </c>
      <c r="JK428" s="75" t="s">
        <v>595</v>
      </c>
      <c r="JV428" s="8" t="s">
        <v>595</v>
      </c>
      <c r="JW428" s="8" t="s">
        <v>1052</v>
      </c>
      <c r="JX428" t="s">
        <v>508</v>
      </c>
      <c r="JY428">
        <v>40000</v>
      </c>
      <c r="MY428" t="s">
        <v>1061</v>
      </c>
      <c r="MZ428">
        <v>120</v>
      </c>
      <c r="NA428" t="s">
        <v>1074</v>
      </c>
      <c r="NB428" t="s">
        <v>1038</v>
      </c>
      <c r="NJ428" s="78" t="s">
        <v>1072</v>
      </c>
      <c r="NL428" s="92" t="s">
        <v>660</v>
      </c>
      <c r="NM428" s="91" t="s">
        <v>508</v>
      </c>
      <c r="NU428" t="s">
        <v>566</v>
      </c>
      <c r="NV428" t="s">
        <v>518</v>
      </c>
      <c r="NW428" s="93"/>
      <c r="NX428" s="79" t="s">
        <v>480</v>
      </c>
      <c r="NY428" s="79"/>
      <c r="OB428">
        <v>3</v>
      </c>
      <c r="OC428">
        <v>6685.84</v>
      </c>
      <c r="OD428" s="79" t="s">
        <v>480</v>
      </c>
      <c r="OU428" t="s">
        <v>1053</v>
      </c>
      <c r="OV428" s="78"/>
      <c r="OW428">
        <v>2007</v>
      </c>
      <c r="PB428" t="s">
        <v>522</v>
      </c>
      <c r="PC428" s="50">
        <v>46105</v>
      </c>
    </row>
    <row r="429" spans="1:419" ht="15.75" thickBot="1">
      <c r="A429" t="s">
        <v>469</v>
      </c>
      <c r="B429" t="s">
        <v>1032</v>
      </c>
      <c r="C429" t="s">
        <v>863</v>
      </c>
      <c r="D429" s="4" t="s">
        <v>950</v>
      </c>
      <c r="E429" t="s">
        <v>1033</v>
      </c>
      <c r="F429" s="89" t="s">
        <v>952</v>
      </c>
      <c r="G429" s="78" t="s">
        <v>475</v>
      </c>
      <c r="H429" s="78" t="s">
        <v>476</v>
      </c>
      <c r="I429">
        <v>7.25</v>
      </c>
      <c r="J429">
        <v>3.4166666669999999</v>
      </c>
      <c r="K429" s="78">
        <v>1000</v>
      </c>
      <c r="AV429" t="s">
        <v>1034</v>
      </c>
      <c r="AW429">
        <v>3240</v>
      </c>
      <c r="AX429">
        <v>1.2E-2</v>
      </c>
      <c r="AY429">
        <v>1</v>
      </c>
      <c r="BA429">
        <v>2006</v>
      </c>
      <c r="BB429">
        <v>2007</v>
      </c>
      <c r="BD429" t="s">
        <v>1054</v>
      </c>
      <c r="BE429" t="s">
        <v>602</v>
      </c>
      <c r="BF429" s="69" t="s">
        <v>484</v>
      </c>
      <c r="BG429" t="s">
        <v>1038</v>
      </c>
      <c r="BH429" t="s">
        <v>866</v>
      </c>
      <c r="BI429" s="78" t="s">
        <v>486</v>
      </c>
      <c r="BJ429">
        <v>20000</v>
      </c>
      <c r="EG429" s="9"/>
      <c r="EH429" s="9"/>
      <c r="EI429" s="9"/>
      <c r="EJ429" s="9"/>
      <c r="EK429" s="9"/>
      <c r="EL429" s="9"/>
      <c r="EM429" s="9"/>
      <c r="EN429" s="9"/>
      <c r="EO429" s="9"/>
      <c r="EP429" s="9"/>
      <c r="EQ429" s="9"/>
      <c r="ER429" s="9"/>
      <c r="ES429" s="9"/>
      <c r="ET429" s="9"/>
      <c r="EU429" s="9"/>
      <c r="EV429" s="9"/>
      <c r="EW429" s="9"/>
      <c r="EX429" s="9"/>
      <c r="EY429" s="9"/>
      <c r="EZ429" s="9"/>
      <c r="FA429" s="9"/>
      <c r="FB429" s="9"/>
      <c r="FC429" s="9"/>
      <c r="FD429" s="9"/>
      <c r="FE429" s="9"/>
      <c r="FF429" s="9"/>
      <c r="FG429" s="9"/>
      <c r="FH429" s="9"/>
      <c r="FI429" s="9"/>
      <c r="FJ429" s="9"/>
      <c r="FK429" s="9"/>
      <c r="FL429" s="9"/>
      <c r="FM429" s="9"/>
      <c r="FN429" s="9"/>
      <c r="FO429" s="9"/>
      <c r="FP429" s="9"/>
      <c r="FQ429" s="9"/>
      <c r="FR429" s="9"/>
      <c r="FS429" s="9"/>
      <c r="FT429" s="9"/>
      <c r="FU429" s="9"/>
      <c r="FV429" s="9"/>
      <c r="FW429" s="9"/>
      <c r="FX429" s="9"/>
      <c r="FY429" s="9"/>
      <c r="FZ429" s="9"/>
      <c r="GA429" s="9"/>
      <c r="GB429" s="9"/>
      <c r="GC429" s="9"/>
      <c r="GD429" s="9"/>
      <c r="GE429" s="9"/>
      <c r="GF429" s="9"/>
      <c r="GG429" s="9"/>
      <c r="GH429" s="9"/>
      <c r="GI429" s="9"/>
      <c r="GJ429" s="9"/>
      <c r="GK429" s="9"/>
      <c r="GL429" s="9"/>
      <c r="GM429" s="9"/>
      <c r="GN429" s="9"/>
      <c r="GO429" s="9"/>
      <c r="GP429" s="9"/>
      <c r="GQ429" s="9"/>
      <c r="GR429" s="9"/>
      <c r="GS429" s="9"/>
      <c r="GT429" s="9"/>
      <c r="GU429" s="9"/>
      <c r="GV429" s="9"/>
      <c r="GW429" s="9"/>
      <c r="GX429" s="9"/>
      <c r="GY429" s="9"/>
      <c r="GZ429" s="9"/>
      <c r="HA429" s="9"/>
      <c r="HB429" s="9"/>
      <c r="HC429" s="9"/>
      <c r="HD429" s="9"/>
      <c r="HE429" s="9"/>
      <c r="HF429" s="9"/>
      <c r="HG429" s="9"/>
      <c r="HH429" s="9"/>
      <c r="HI429" s="9"/>
      <c r="HJ429" s="9"/>
      <c r="HT429" s="90">
        <v>38838</v>
      </c>
      <c r="HV429" s="50"/>
      <c r="HW429" s="50"/>
      <c r="IH429" t="s">
        <v>1054</v>
      </c>
      <c r="II429" t="s">
        <v>492</v>
      </c>
      <c r="JJ429" t="s">
        <v>1054</v>
      </c>
      <c r="JK429" s="75" t="s">
        <v>595</v>
      </c>
      <c r="JV429" s="8" t="s">
        <v>595</v>
      </c>
      <c r="JW429" s="8" t="s">
        <v>1052</v>
      </c>
      <c r="JX429" t="s">
        <v>508</v>
      </c>
      <c r="JY429">
        <v>80000</v>
      </c>
      <c r="MY429" t="s">
        <v>1061</v>
      </c>
      <c r="MZ429">
        <v>120</v>
      </c>
      <c r="NA429" t="s">
        <v>1074</v>
      </c>
      <c r="NB429" t="s">
        <v>1038</v>
      </c>
      <c r="NJ429" s="78" t="s">
        <v>1072</v>
      </c>
      <c r="NL429" s="92" t="s">
        <v>660</v>
      </c>
      <c r="NM429" s="91" t="s">
        <v>508</v>
      </c>
      <c r="NU429" t="s">
        <v>572</v>
      </c>
      <c r="NV429" t="s">
        <v>518</v>
      </c>
      <c r="NW429" s="93"/>
      <c r="NX429" s="79" t="s">
        <v>480</v>
      </c>
      <c r="NY429" s="79"/>
      <c r="OB429">
        <v>3</v>
      </c>
      <c r="OC429">
        <v>5927.54</v>
      </c>
      <c r="OD429" s="79" t="s">
        <v>480</v>
      </c>
      <c r="OU429" t="s">
        <v>1053</v>
      </c>
      <c r="OV429" s="78"/>
      <c r="OW429">
        <v>2007</v>
      </c>
      <c r="PB429" t="s">
        <v>522</v>
      </c>
      <c r="PC429" s="50">
        <v>46105</v>
      </c>
    </row>
    <row r="430" spans="1:419" ht="15.75" thickBot="1">
      <c r="A430" t="s">
        <v>469</v>
      </c>
      <c r="B430" t="s">
        <v>1032</v>
      </c>
      <c r="C430" t="s">
        <v>863</v>
      </c>
      <c r="D430" s="4" t="s">
        <v>950</v>
      </c>
      <c r="E430" t="s">
        <v>1033</v>
      </c>
      <c r="F430" s="89" t="s">
        <v>952</v>
      </c>
      <c r="G430" s="78" t="s">
        <v>475</v>
      </c>
      <c r="H430" s="78" t="s">
        <v>476</v>
      </c>
      <c r="I430">
        <v>7.25</v>
      </c>
      <c r="J430">
        <v>3.4166666669999999</v>
      </c>
      <c r="K430" s="78">
        <v>1000</v>
      </c>
      <c r="AV430" t="s">
        <v>1034</v>
      </c>
      <c r="AW430">
        <v>3240</v>
      </c>
      <c r="AX430">
        <v>1.2E-2</v>
      </c>
      <c r="AY430">
        <v>1</v>
      </c>
      <c r="BA430">
        <v>2006</v>
      </c>
      <c r="BB430">
        <v>2007</v>
      </c>
      <c r="BD430" t="s">
        <v>1055</v>
      </c>
      <c r="BE430" t="s">
        <v>621</v>
      </c>
      <c r="BF430" s="69" t="s">
        <v>484</v>
      </c>
      <c r="BG430" t="s">
        <v>1036</v>
      </c>
      <c r="BH430" t="s">
        <v>1037</v>
      </c>
      <c r="BI430" s="78" t="s">
        <v>486</v>
      </c>
      <c r="BJ430">
        <v>1330</v>
      </c>
      <c r="EG430" s="9"/>
      <c r="EH430" s="9"/>
      <c r="EI430" s="9"/>
      <c r="EJ430" s="9"/>
      <c r="EK430" s="9"/>
      <c r="EL430" s="9"/>
      <c r="EM430" s="9"/>
      <c r="EN430" s="9"/>
      <c r="EO430" s="9"/>
      <c r="EP430" s="9"/>
      <c r="EQ430" s="9"/>
      <c r="ER430" s="9"/>
      <c r="ES430" s="9"/>
      <c r="ET430" s="9"/>
      <c r="EU430" s="9"/>
      <c r="EV430" s="9"/>
      <c r="EW430" s="9"/>
      <c r="EX430" s="9"/>
      <c r="EY430" s="9"/>
      <c r="EZ430" s="9"/>
      <c r="FA430" s="9"/>
      <c r="FB430" s="9"/>
      <c r="FC430" s="9"/>
      <c r="FD430" s="9"/>
      <c r="FE430" s="9"/>
      <c r="FF430" s="9"/>
      <c r="FG430" s="9"/>
      <c r="FH430" s="9"/>
      <c r="FI430" s="9"/>
      <c r="FJ430" s="9"/>
      <c r="FK430" s="9"/>
      <c r="FL430" s="9"/>
      <c r="FM430" s="9"/>
      <c r="FN430" s="9"/>
      <c r="FO430" s="9"/>
      <c r="FP430" s="9"/>
      <c r="FQ430" s="9"/>
      <c r="FR430" s="9"/>
      <c r="FS430" s="9"/>
      <c r="FT430" s="9"/>
      <c r="FU430" s="9"/>
      <c r="FV430" s="9"/>
      <c r="FW430" s="9"/>
      <c r="FX430" s="9"/>
      <c r="FY430" s="9"/>
      <c r="FZ430" s="9"/>
      <c r="GA430" s="9"/>
      <c r="GB430" s="9"/>
      <c r="GC430" s="9"/>
      <c r="GD430" s="9"/>
      <c r="GE430" s="9"/>
      <c r="GF430" s="9"/>
      <c r="GG430" s="9"/>
      <c r="GH430" s="9"/>
      <c r="GI430" s="9"/>
      <c r="GJ430" s="9"/>
      <c r="GK430" s="9"/>
      <c r="GL430" s="9"/>
      <c r="GM430" s="9"/>
      <c r="GN430" s="9"/>
      <c r="GO430" s="9"/>
      <c r="GP430" s="9"/>
      <c r="GQ430" s="9"/>
      <c r="GR430" s="9"/>
      <c r="GS430" s="9"/>
      <c r="GT430" s="9"/>
      <c r="GU430" s="9"/>
      <c r="GV430" s="9"/>
      <c r="GW430" s="9"/>
      <c r="GX430" s="9"/>
      <c r="GY430" s="9"/>
      <c r="GZ430" s="9"/>
      <c r="HA430" s="9"/>
      <c r="HB430" s="9"/>
      <c r="HC430" s="9"/>
      <c r="HD430" s="9"/>
      <c r="HE430" s="9"/>
      <c r="HF430" s="9"/>
      <c r="HG430" s="9"/>
      <c r="HH430" s="9"/>
      <c r="HI430" s="9"/>
      <c r="HJ430" s="9"/>
      <c r="HT430" s="90">
        <v>38838</v>
      </c>
      <c r="HV430" s="50"/>
      <c r="HW430" s="50"/>
      <c r="IH430" t="s">
        <v>1055</v>
      </c>
      <c r="II430" t="s">
        <v>492</v>
      </c>
      <c r="JJ430" t="s">
        <v>1055</v>
      </c>
      <c r="JK430" s="75" t="s">
        <v>595</v>
      </c>
      <c r="JV430" s="8" t="s">
        <v>595</v>
      </c>
      <c r="JW430" s="8" t="s">
        <v>1052</v>
      </c>
      <c r="JX430" t="s">
        <v>508</v>
      </c>
      <c r="JY430">
        <v>40000</v>
      </c>
      <c r="MY430" t="s">
        <v>1061</v>
      </c>
      <c r="MZ430">
        <v>120</v>
      </c>
      <c r="NA430" t="s">
        <v>1073</v>
      </c>
      <c r="NC430" t="s">
        <v>1047</v>
      </c>
      <c r="ND430" t="s">
        <v>1041</v>
      </c>
      <c r="NJ430" s="78" t="s">
        <v>1072</v>
      </c>
      <c r="NL430" s="92" t="s">
        <v>660</v>
      </c>
      <c r="NM430" s="91" t="s">
        <v>508</v>
      </c>
      <c r="NU430" t="s">
        <v>566</v>
      </c>
      <c r="NV430" t="s">
        <v>518</v>
      </c>
      <c r="NW430" s="93"/>
      <c r="NX430" s="79" t="s">
        <v>480</v>
      </c>
      <c r="NY430" s="79"/>
      <c r="OB430">
        <v>3</v>
      </c>
      <c r="OD430" s="79"/>
      <c r="OE430">
        <v>4063.73</v>
      </c>
      <c r="OF430" s="79" t="s">
        <v>480</v>
      </c>
      <c r="OG430">
        <v>10610.69</v>
      </c>
      <c r="OH430" s="79" t="s">
        <v>480</v>
      </c>
      <c r="OU430" t="s">
        <v>1056</v>
      </c>
      <c r="OV430" s="78"/>
      <c r="OW430">
        <v>2007</v>
      </c>
      <c r="PB430" t="s">
        <v>522</v>
      </c>
      <c r="PC430" s="50">
        <v>46105</v>
      </c>
    </row>
    <row r="431" spans="1:419" ht="15.75" thickBot="1">
      <c r="A431" t="s">
        <v>469</v>
      </c>
      <c r="B431" t="s">
        <v>1032</v>
      </c>
      <c r="C431" t="s">
        <v>863</v>
      </c>
      <c r="D431" s="4" t="s">
        <v>950</v>
      </c>
      <c r="E431" t="s">
        <v>1033</v>
      </c>
      <c r="F431" s="89" t="s">
        <v>952</v>
      </c>
      <c r="G431" s="78" t="s">
        <v>475</v>
      </c>
      <c r="H431" s="78" t="s">
        <v>476</v>
      </c>
      <c r="I431">
        <v>7.25</v>
      </c>
      <c r="J431">
        <v>3.4166666669999999</v>
      </c>
      <c r="K431" s="78">
        <v>1000</v>
      </c>
      <c r="AV431" t="s">
        <v>1034</v>
      </c>
      <c r="AW431">
        <v>3240</v>
      </c>
      <c r="AX431">
        <v>1.2E-2</v>
      </c>
      <c r="AY431">
        <v>1</v>
      </c>
      <c r="BA431">
        <v>2006</v>
      </c>
      <c r="BB431">
        <v>2007</v>
      </c>
      <c r="BD431" t="s">
        <v>1057</v>
      </c>
      <c r="BE431" t="s">
        <v>630</v>
      </c>
      <c r="BF431" s="69" t="s">
        <v>484</v>
      </c>
      <c r="BG431" t="s">
        <v>1036</v>
      </c>
      <c r="BH431" t="s">
        <v>1037</v>
      </c>
      <c r="BI431" s="78" t="s">
        <v>486</v>
      </c>
      <c r="BJ431">
        <v>1330</v>
      </c>
      <c r="EG431" s="9"/>
      <c r="EH431" s="9"/>
      <c r="EI431" s="9"/>
      <c r="EJ431" s="9"/>
      <c r="EK431" s="9"/>
      <c r="EL431" s="9"/>
      <c r="EM431" s="9"/>
      <c r="EN431" s="9"/>
      <c r="EO431" s="9"/>
      <c r="EP431" s="9"/>
      <c r="EQ431" s="9"/>
      <c r="ER431" s="9"/>
      <c r="ES431" s="9"/>
      <c r="ET431" s="9"/>
      <c r="EU431" s="9"/>
      <c r="EV431" s="9"/>
      <c r="EW431" s="9"/>
      <c r="EX431" s="9"/>
      <c r="EY431" s="9"/>
      <c r="EZ431" s="9"/>
      <c r="FA431" s="9"/>
      <c r="FB431" s="9"/>
      <c r="FC431" s="9"/>
      <c r="FD431" s="9"/>
      <c r="FE431" s="9"/>
      <c r="FF431" s="9"/>
      <c r="FG431" s="9"/>
      <c r="FH431" s="9"/>
      <c r="FI431" s="9"/>
      <c r="FJ431" s="9"/>
      <c r="FK431" s="9"/>
      <c r="FL431" s="9"/>
      <c r="FM431" s="9"/>
      <c r="FN431" s="9"/>
      <c r="FO431" s="9"/>
      <c r="FP431" s="9"/>
      <c r="FQ431" s="9"/>
      <c r="FR431" s="9"/>
      <c r="FS431" s="9"/>
      <c r="FT431" s="9"/>
      <c r="FU431" s="9"/>
      <c r="FV431" s="9"/>
      <c r="FW431" s="9"/>
      <c r="FX431" s="9"/>
      <c r="FY431" s="9"/>
      <c r="FZ431" s="9"/>
      <c r="GA431" s="9"/>
      <c r="GB431" s="9"/>
      <c r="GC431" s="9"/>
      <c r="GD431" s="9"/>
      <c r="GE431" s="9"/>
      <c r="GF431" s="9"/>
      <c r="GG431" s="9"/>
      <c r="GH431" s="9"/>
      <c r="GI431" s="9"/>
      <c r="GJ431" s="9"/>
      <c r="GK431" s="9"/>
      <c r="GL431" s="9"/>
      <c r="GM431" s="9"/>
      <c r="GN431" s="9"/>
      <c r="GO431" s="9"/>
      <c r="GP431" s="9"/>
      <c r="GQ431" s="9"/>
      <c r="GR431" s="9"/>
      <c r="GS431" s="9"/>
      <c r="GT431" s="9"/>
      <c r="GU431" s="9"/>
      <c r="GV431" s="9"/>
      <c r="GW431" s="9"/>
      <c r="GX431" s="9"/>
      <c r="GY431" s="9"/>
      <c r="GZ431" s="9"/>
      <c r="HA431" s="9"/>
      <c r="HB431" s="9"/>
      <c r="HC431" s="9"/>
      <c r="HD431" s="9"/>
      <c r="HE431" s="9"/>
      <c r="HF431" s="9"/>
      <c r="HG431" s="9"/>
      <c r="HH431" s="9"/>
      <c r="HI431" s="9"/>
      <c r="HJ431" s="9"/>
      <c r="HT431" s="90">
        <v>38838</v>
      </c>
      <c r="HV431" s="50"/>
      <c r="HW431" s="50"/>
      <c r="IH431" t="s">
        <v>1057</v>
      </c>
      <c r="II431" t="s">
        <v>492</v>
      </c>
      <c r="JJ431" t="s">
        <v>1057</v>
      </c>
      <c r="JK431" s="75" t="s">
        <v>595</v>
      </c>
      <c r="JV431" s="8" t="s">
        <v>595</v>
      </c>
      <c r="JW431" s="8" t="s">
        <v>1052</v>
      </c>
      <c r="JX431" t="s">
        <v>508</v>
      </c>
      <c r="JY431">
        <v>80000</v>
      </c>
      <c r="MY431" t="s">
        <v>1061</v>
      </c>
      <c r="MZ431">
        <v>120</v>
      </c>
      <c r="NA431" t="s">
        <v>1073</v>
      </c>
      <c r="NC431" t="s">
        <v>1047</v>
      </c>
      <c r="ND431" t="s">
        <v>1041</v>
      </c>
      <c r="NJ431" s="78" t="s">
        <v>1072</v>
      </c>
      <c r="NL431" s="92" t="s">
        <v>660</v>
      </c>
      <c r="NM431" s="91" t="s">
        <v>508</v>
      </c>
      <c r="NU431" t="s">
        <v>572</v>
      </c>
      <c r="NV431" t="s">
        <v>518</v>
      </c>
      <c r="NW431" s="93"/>
      <c r="NX431" s="79" t="s">
        <v>480</v>
      </c>
      <c r="NY431" s="79"/>
      <c r="OB431">
        <v>3</v>
      </c>
      <c r="OD431" s="79"/>
      <c r="OE431">
        <v>5994.2</v>
      </c>
      <c r="OF431" s="79" t="s">
        <v>480</v>
      </c>
      <c r="OG431">
        <v>12082.85</v>
      </c>
      <c r="OH431" s="79" t="s">
        <v>480</v>
      </c>
      <c r="OU431" t="s">
        <v>1056</v>
      </c>
      <c r="OV431" s="78"/>
      <c r="OW431">
        <v>2007</v>
      </c>
      <c r="PB431" t="s">
        <v>522</v>
      </c>
      <c r="PC431" s="50">
        <v>46105</v>
      </c>
    </row>
    <row r="432" spans="1:419" ht="15.75" thickBot="1">
      <c r="A432" t="s">
        <v>469</v>
      </c>
      <c r="B432" t="s">
        <v>1032</v>
      </c>
      <c r="C432" t="s">
        <v>863</v>
      </c>
      <c r="D432" s="4" t="s">
        <v>950</v>
      </c>
      <c r="E432" t="s">
        <v>1033</v>
      </c>
      <c r="F432" s="89" t="s">
        <v>952</v>
      </c>
      <c r="G432" s="78" t="s">
        <v>475</v>
      </c>
      <c r="H432" s="78" t="s">
        <v>476</v>
      </c>
      <c r="I432">
        <v>7.25</v>
      </c>
      <c r="J432">
        <v>3.4166666669999999</v>
      </c>
      <c r="K432" s="78">
        <v>1000</v>
      </c>
      <c r="AV432" t="s">
        <v>1034</v>
      </c>
      <c r="AW432">
        <v>3240</v>
      </c>
      <c r="AX432">
        <v>1.2E-2</v>
      </c>
      <c r="AY432">
        <v>1</v>
      </c>
      <c r="BA432">
        <v>2006</v>
      </c>
      <c r="BB432">
        <v>2007</v>
      </c>
      <c r="BD432" t="s">
        <v>1058</v>
      </c>
      <c r="BE432" t="s">
        <v>566</v>
      </c>
      <c r="BF432" s="69" t="s">
        <v>484</v>
      </c>
      <c r="BG432" t="s">
        <v>1036</v>
      </c>
      <c r="BH432" t="s">
        <v>1037</v>
      </c>
      <c r="BI432" s="78" t="s">
        <v>486</v>
      </c>
      <c r="BJ432">
        <v>1330</v>
      </c>
      <c r="BK432" t="s">
        <v>537</v>
      </c>
      <c r="BL432" t="s">
        <v>1038</v>
      </c>
      <c r="BM432" t="s">
        <v>866</v>
      </c>
      <c r="BN432" s="78" t="s">
        <v>486</v>
      </c>
      <c r="BO432">
        <v>20000</v>
      </c>
      <c r="EG432" s="9"/>
      <c r="EH432" s="9"/>
      <c r="EI432" s="9"/>
      <c r="EJ432" s="9"/>
      <c r="EK432" s="9"/>
      <c r="EL432" s="9"/>
      <c r="EM432" s="9"/>
      <c r="EN432" s="9"/>
      <c r="EO432" s="9"/>
      <c r="EP432" s="9"/>
      <c r="EQ432" s="9"/>
      <c r="ER432" s="9"/>
      <c r="ES432" s="9"/>
      <c r="ET432" s="9"/>
      <c r="EU432" s="9"/>
      <c r="EV432" s="9"/>
      <c r="EW432" s="9"/>
      <c r="EX432" s="9"/>
      <c r="EY432" s="9"/>
      <c r="EZ432" s="9"/>
      <c r="FA432" s="9"/>
      <c r="FB432" s="9"/>
      <c r="FC432" s="9"/>
      <c r="FD432" s="9"/>
      <c r="FE432" s="9"/>
      <c r="FF432" s="9"/>
      <c r="FG432" s="9"/>
      <c r="FH432" s="9"/>
      <c r="FI432" s="9"/>
      <c r="FJ432" s="9"/>
      <c r="FK432" s="9"/>
      <c r="FL432" s="9"/>
      <c r="FM432" s="9"/>
      <c r="FN432" s="9"/>
      <c r="FO432" s="9"/>
      <c r="FP432" s="9"/>
      <c r="FQ432" s="9"/>
      <c r="FR432" s="9"/>
      <c r="FS432" s="9"/>
      <c r="FT432" s="9"/>
      <c r="FU432" s="9"/>
      <c r="FV432" s="9"/>
      <c r="FW432" s="9"/>
      <c r="FX432" s="9"/>
      <c r="FY432" s="9"/>
      <c r="FZ432" s="9"/>
      <c r="GA432" s="9"/>
      <c r="GB432" s="9"/>
      <c r="GC432" s="9"/>
      <c r="GD432" s="9"/>
      <c r="GE432" s="9"/>
      <c r="GF432" s="9"/>
      <c r="GG432" s="9"/>
      <c r="GH432" s="9"/>
      <c r="GI432" s="9"/>
      <c r="GJ432" s="9"/>
      <c r="GK432" s="9"/>
      <c r="GL432" s="9"/>
      <c r="GM432" s="9"/>
      <c r="GN432" s="9"/>
      <c r="GO432" s="9"/>
      <c r="GP432" s="9"/>
      <c r="GQ432" s="9"/>
      <c r="GR432" s="9"/>
      <c r="GS432" s="9"/>
      <c r="GT432" s="9"/>
      <c r="GU432" s="9"/>
      <c r="GV432" s="9"/>
      <c r="GW432" s="9"/>
      <c r="GX432" s="9"/>
      <c r="GY432" s="9"/>
      <c r="GZ432" s="9"/>
      <c r="HA432" s="9"/>
      <c r="HB432" s="9"/>
      <c r="HC432" s="9"/>
      <c r="HD432" s="9"/>
      <c r="HE432" s="9"/>
      <c r="HF432" s="9"/>
      <c r="HG432" s="9"/>
      <c r="HH432" s="9"/>
      <c r="HI432" s="9"/>
      <c r="HJ432" s="9"/>
      <c r="HT432" s="90">
        <v>38838</v>
      </c>
      <c r="HV432" s="50"/>
      <c r="HW432" s="50"/>
      <c r="IH432" t="s">
        <v>1058</v>
      </c>
      <c r="II432" s="78" t="s">
        <v>882</v>
      </c>
      <c r="IJ432" t="s">
        <v>542</v>
      </c>
      <c r="IK432" t="s">
        <v>543</v>
      </c>
      <c r="IL432">
        <v>2006</v>
      </c>
      <c r="IN432" s="78" t="s">
        <v>480</v>
      </c>
      <c r="JJ432" t="s">
        <v>1058</v>
      </c>
      <c r="JK432" s="75" t="s">
        <v>595</v>
      </c>
      <c r="JV432" s="8" t="s">
        <v>595</v>
      </c>
      <c r="JW432" s="8" t="s">
        <v>1052</v>
      </c>
      <c r="JX432" t="s">
        <v>508</v>
      </c>
      <c r="JY432">
        <v>40000</v>
      </c>
      <c r="MY432" t="s">
        <v>1061</v>
      </c>
      <c r="MZ432">
        <v>120</v>
      </c>
      <c r="NA432" t="s">
        <v>1071</v>
      </c>
      <c r="NB432" t="s">
        <v>1038</v>
      </c>
      <c r="NC432" t="s">
        <v>1047</v>
      </c>
      <c r="ND432" t="s">
        <v>1041</v>
      </c>
      <c r="NJ432" s="78" t="s">
        <v>1072</v>
      </c>
      <c r="NL432" s="92" t="s">
        <v>660</v>
      </c>
      <c r="NM432" s="91" t="s">
        <v>508</v>
      </c>
      <c r="NV432" t="s">
        <v>518</v>
      </c>
      <c r="NW432" s="93"/>
      <c r="NX432" s="79" t="s">
        <v>480</v>
      </c>
      <c r="NY432" s="79"/>
      <c r="OB432">
        <v>3</v>
      </c>
      <c r="OC432">
        <v>2452.6799999999998</v>
      </c>
      <c r="OD432" s="79" t="s">
        <v>480</v>
      </c>
      <c r="OE432">
        <v>5030.3500000000004</v>
      </c>
      <c r="OF432" s="79" t="s">
        <v>480</v>
      </c>
      <c r="OG432">
        <v>9110.75</v>
      </c>
      <c r="OH432" s="79" t="s">
        <v>480</v>
      </c>
      <c r="OU432" t="s">
        <v>1059</v>
      </c>
      <c r="OV432" s="78"/>
      <c r="OW432">
        <v>2007</v>
      </c>
      <c r="PB432" t="s">
        <v>522</v>
      </c>
      <c r="PC432" s="50">
        <v>46105</v>
      </c>
    </row>
    <row r="433" spans="1:419" ht="15.75" thickBot="1">
      <c r="A433" t="s">
        <v>469</v>
      </c>
      <c r="B433" t="s">
        <v>1032</v>
      </c>
      <c r="C433" t="s">
        <v>863</v>
      </c>
      <c r="D433" s="4" t="s">
        <v>950</v>
      </c>
      <c r="E433" t="s">
        <v>1033</v>
      </c>
      <c r="F433" s="89" t="s">
        <v>952</v>
      </c>
      <c r="G433" s="78" t="s">
        <v>475</v>
      </c>
      <c r="H433" s="78" t="s">
        <v>476</v>
      </c>
      <c r="I433">
        <v>7.25</v>
      </c>
      <c r="J433">
        <v>3.4166666669999999</v>
      </c>
      <c r="K433" s="78">
        <v>1000</v>
      </c>
      <c r="AV433" t="s">
        <v>1034</v>
      </c>
      <c r="AW433">
        <v>3240</v>
      </c>
      <c r="AX433">
        <v>1.2E-2</v>
      </c>
      <c r="AY433">
        <v>1</v>
      </c>
      <c r="BA433">
        <v>2006</v>
      </c>
      <c r="BB433">
        <v>2007</v>
      </c>
      <c r="BD433" t="s">
        <v>1060</v>
      </c>
      <c r="BE433" t="s">
        <v>572</v>
      </c>
      <c r="BF433" s="69" t="s">
        <v>484</v>
      </c>
      <c r="BG433" t="s">
        <v>1036</v>
      </c>
      <c r="BH433" t="s">
        <v>1037</v>
      </c>
      <c r="BI433" s="78" t="s">
        <v>486</v>
      </c>
      <c r="BJ433">
        <v>1330</v>
      </c>
      <c r="BK433" t="s">
        <v>537</v>
      </c>
      <c r="BL433" t="s">
        <v>1038</v>
      </c>
      <c r="BM433" t="s">
        <v>866</v>
      </c>
      <c r="BN433" s="78" t="s">
        <v>486</v>
      </c>
      <c r="BO433">
        <v>20000</v>
      </c>
      <c r="EG433" s="9"/>
      <c r="EH433" s="9"/>
      <c r="EI433" s="9"/>
      <c r="EJ433" s="9"/>
      <c r="EK433" s="9"/>
      <c r="EL433" s="9"/>
      <c r="EM433" s="9"/>
      <c r="EN433" s="9"/>
      <c r="EO433" s="9"/>
      <c r="EP433" s="9"/>
      <c r="EQ433" s="9"/>
      <c r="ER433" s="9"/>
      <c r="ES433" s="9"/>
      <c r="ET433" s="9"/>
      <c r="EU433" s="9"/>
      <c r="EV433" s="9"/>
      <c r="EW433" s="9"/>
      <c r="EX433" s="9"/>
      <c r="EY433" s="9"/>
      <c r="EZ433" s="9"/>
      <c r="FA433" s="9"/>
      <c r="FB433" s="9"/>
      <c r="FC433" s="9"/>
      <c r="FD433" s="9"/>
      <c r="FE433" s="9"/>
      <c r="FF433" s="9"/>
      <c r="FG433" s="9"/>
      <c r="FH433" s="9"/>
      <c r="FI433" s="9"/>
      <c r="FJ433" s="9"/>
      <c r="FK433" s="9"/>
      <c r="FL433" s="9"/>
      <c r="FM433" s="9"/>
      <c r="FN433" s="9"/>
      <c r="FO433" s="9"/>
      <c r="FP433" s="9"/>
      <c r="FQ433" s="9"/>
      <c r="FR433" s="9"/>
      <c r="FS433" s="9"/>
      <c r="FT433" s="9"/>
      <c r="FU433" s="9"/>
      <c r="FV433" s="9"/>
      <c r="FW433" s="9"/>
      <c r="FX433" s="9"/>
      <c r="FY433" s="9"/>
      <c r="FZ433" s="9"/>
      <c r="GA433" s="9"/>
      <c r="GB433" s="9"/>
      <c r="GC433" s="9"/>
      <c r="GD433" s="9"/>
      <c r="GE433" s="9"/>
      <c r="GF433" s="9"/>
      <c r="GG433" s="9"/>
      <c r="GH433" s="9"/>
      <c r="GI433" s="9"/>
      <c r="GJ433" s="9"/>
      <c r="GK433" s="9"/>
      <c r="GL433" s="9"/>
      <c r="GM433" s="9"/>
      <c r="GN433" s="9"/>
      <c r="GO433" s="9"/>
      <c r="GP433" s="9"/>
      <c r="GQ433" s="9"/>
      <c r="GR433" s="9"/>
      <c r="GS433" s="9"/>
      <c r="GT433" s="9"/>
      <c r="GU433" s="9"/>
      <c r="GV433" s="9"/>
      <c r="GW433" s="9"/>
      <c r="GX433" s="9"/>
      <c r="GY433" s="9"/>
      <c r="GZ433" s="9"/>
      <c r="HA433" s="9"/>
      <c r="HB433" s="9"/>
      <c r="HC433" s="9"/>
      <c r="HD433" s="9"/>
      <c r="HE433" s="9"/>
      <c r="HF433" s="9"/>
      <c r="HG433" s="9"/>
      <c r="HH433" s="9"/>
      <c r="HI433" s="9"/>
      <c r="HJ433" s="9"/>
      <c r="HT433" s="90">
        <v>38838</v>
      </c>
      <c r="HV433" s="50"/>
      <c r="HW433" s="50"/>
      <c r="IH433" t="s">
        <v>1060</v>
      </c>
      <c r="II433" s="78" t="s">
        <v>882</v>
      </c>
      <c r="IJ433" t="s">
        <v>542</v>
      </c>
      <c r="IK433" t="s">
        <v>543</v>
      </c>
      <c r="IL433">
        <v>2006</v>
      </c>
      <c r="IN433" s="78" t="s">
        <v>480</v>
      </c>
      <c r="JJ433" t="s">
        <v>1060</v>
      </c>
      <c r="JK433" s="75" t="s">
        <v>595</v>
      </c>
      <c r="JV433" s="8" t="s">
        <v>595</v>
      </c>
      <c r="JW433" s="8" t="s">
        <v>1052</v>
      </c>
      <c r="JX433" t="s">
        <v>508</v>
      </c>
      <c r="JY433">
        <v>80000</v>
      </c>
      <c r="MY433" t="s">
        <v>1061</v>
      </c>
      <c r="MZ433">
        <v>120</v>
      </c>
      <c r="NA433" t="s">
        <v>1071</v>
      </c>
      <c r="NB433" t="s">
        <v>1038</v>
      </c>
      <c r="NC433" t="s">
        <v>1047</v>
      </c>
      <c r="ND433" t="s">
        <v>1041</v>
      </c>
      <c r="NJ433" s="78" t="s">
        <v>1072</v>
      </c>
      <c r="NL433" s="92" t="s">
        <v>660</v>
      </c>
      <c r="NM433" s="91" t="s">
        <v>508</v>
      </c>
      <c r="NV433" t="s">
        <v>518</v>
      </c>
      <c r="NW433" s="93"/>
      <c r="NX433" s="79" t="s">
        <v>480</v>
      </c>
      <c r="NY433" s="79"/>
      <c r="OB433">
        <v>3</v>
      </c>
      <c r="OC433">
        <v>949.96</v>
      </c>
      <c r="OD433" s="79" t="s">
        <v>480</v>
      </c>
      <c r="OE433">
        <v>4549.82</v>
      </c>
      <c r="OF433" s="79" t="s">
        <v>480</v>
      </c>
      <c r="OG433">
        <v>10027.379999999999</v>
      </c>
      <c r="OH433" s="79" t="s">
        <v>480</v>
      </c>
      <c r="OU433" t="s">
        <v>1059</v>
      </c>
      <c r="OV433" s="78"/>
      <c r="OW433">
        <v>2007</v>
      </c>
      <c r="PB433" t="s">
        <v>522</v>
      </c>
      <c r="PC433" s="50">
        <v>46105</v>
      </c>
    </row>
    <row r="434" spans="1:419" ht="15.75" thickBot="1">
      <c r="A434" t="s">
        <v>665</v>
      </c>
      <c r="B434" t="s">
        <v>1075</v>
      </c>
      <c r="C434" t="s">
        <v>1076</v>
      </c>
      <c r="D434" s="4" t="s">
        <v>472</v>
      </c>
      <c r="E434" t="s">
        <v>1077</v>
      </c>
      <c r="F434" t="s">
        <v>865</v>
      </c>
      <c r="G434" t="s">
        <v>1078</v>
      </c>
      <c r="H434" s="2" t="s">
        <v>1079</v>
      </c>
      <c r="I434">
        <v>-23.748532000000001</v>
      </c>
      <c r="J434">
        <v>-62.056702000000001</v>
      </c>
      <c r="K434" s="78">
        <v>65000</v>
      </c>
      <c r="AV434" t="s">
        <v>1080</v>
      </c>
      <c r="AW434" t="s">
        <v>866</v>
      </c>
      <c r="AX434">
        <v>1000</v>
      </c>
      <c r="AY434" s="5">
        <v>1</v>
      </c>
      <c r="AZ434" t="s">
        <v>1081</v>
      </c>
      <c r="BA434">
        <v>2010</v>
      </c>
      <c r="BC434" t="s">
        <v>1082</v>
      </c>
      <c r="BD434" t="s">
        <v>1083</v>
      </c>
      <c r="BE434" t="s">
        <v>524</v>
      </c>
      <c r="BF434" t="s">
        <v>1084</v>
      </c>
      <c r="ED434" t="s">
        <v>1085</v>
      </c>
      <c r="EE434" t="s">
        <v>480</v>
      </c>
      <c r="EF434" t="s">
        <v>480</v>
      </c>
      <c r="EG434" t="s">
        <v>537</v>
      </c>
      <c r="EH434" t="s">
        <v>1086</v>
      </c>
      <c r="EI434" t="s">
        <v>480</v>
      </c>
      <c r="EJ434" t="s">
        <v>480</v>
      </c>
      <c r="EK434" t="s">
        <v>537</v>
      </c>
      <c r="EL434" t="s">
        <v>1087</v>
      </c>
      <c r="EM434" t="s">
        <v>480</v>
      </c>
      <c r="EN434" t="s">
        <v>480</v>
      </c>
      <c r="EO434" t="s">
        <v>537</v>
      </c>
      <c r="EP434" t="s">
        <v>1088</v>
      </c>
      <c r="EQ434" t="s">
        <v>480</v>
      </c>
      <c r="ER434" t="s">
        <v>480</v>
      </c>
      <c r="ES434" t="s">
        <v>537</v>
      </c>
      <c r="ET434" t="s">
        <v>1089</v>
      </c>
      <c r="EU434" t="s">
        <v>480</v>
      </c>
      <c r="EV434" t="s">
        <v>480</v>
      </c>
      <c r="EW434" t="s">
        <v>537</v>
      </c>
      <c r="EX434" t="s">
        <v>1090</v>
      </c>
      <c r="EY434" t="s">
        <v>480</v>
      </c>
      <c r="EZ434" t="s">
        <v>480</v>
      </c>
      <c r="FA434" t="s">
        <v>537</v>
      </c>
      <c r="FB434" t="s">
        <v>1091</v>
      </c>
      <c r="FC434" t="s">
        <v>480</v>
      </c>
      <c r="FD434" t="s">
        <v>480</v>
      </c>
      <c r="HY434" s="50"/>
      <c r="IV434" t="s">
        <v>1083</v>
      </c>
      <c r="IW434" t="s">
        <v>1092</v>
      </c>
      <c r="IX434" t="s">
        <v>1092</v>
      </c>
      <c r="IY434" t="s">
        <v>1092</v>
      </c>
      <c r="IZ434">
        <v>5</v>
      </c>
      <c r="JA434">
        <v>70</v>
      </c>
      <c r="JB434" t="s">
        <v>480</v>
      </c>
      <c r="JC434" t="s">
        <v>480</v>
      </c>
      <c r="MT434" t="s">
        <v>1083</v>
      </c>
      <c r="MU434" s="185" t="s">
        <v>1092</v>
      </c>
      <c r="MV434" t="s">
        <v>480</v>
      </c>
      <c r="MW434" s="185" t="s">
        <v>1093</v>
      </c>
      <c r="MX434" s="185" t="s">
        <v>1094</v>
      </c>
      <c r="MY434" t="s">
        <v>1095</v>
      </c>
      <c r="MZ434">
        <v>1963</v>
      </c>
      <c r="NA434" t="s">
        <v>1096</v>
      </c>
      <c r="NB434" t="s">
        <v>1097</v>
      </c>
      <c r="NG434" t="s">
        <v>1098</v>
      </c>
      <c r="NH434" t="s">
        <v>687</v>
      </c>
      <c r="NJ434" s="110" t="s">
        <v>1099</v>
      </c>
      <c r="NL434" s="110" t="s">
        <v>1099</v>
      </c>
      <c r="NU434" t="s">
        <v>1100</v>
      </c>
      <c r="NV434" t="s">
        <v>518</v>
      </c>
      <c r="NW434">
        <v>2.2000000000000002</v>
      </c>
      <c r="NX434" t="s">
        <v>916</v>
      </c>
      <c r="NY434">
        <v>1.2</v>
      </c>
      <c r="OB434">
        <v>6</v>
      </c>
      <c r="OU434" t="s">
        <v>1053</v>
      </c>
      <c r="OW434">
        <v>2010</v>
      </c>
      <c r="PB434" t="s">
        <v>522</v>
      </c>
      <c r="PC434" s="50">
        <v>46108</v>
      </c>
    </row>
    <row r="435" spans="1:419" ht="15.75" thickBot="1">
      <c r="A435" t="s">
        <v>665</v>
      </c>
      <c r="B435" t="s">
        <v>1075</v>
      </c>
      <c r="C435" t="s">
        <v>1076</v>
      </c>
      <c r="D435" s="4" t="s">
        <v>472</v>
      </c>
      <c r="E435" t="s">
        <v>1077</v>
      </c>
      <c r="F435" t="s">
        <v>865</v>
      </c>
      <c r="G435" t="s">
        <v>1078</v>
      </c>
      <c r="H435" s="2" t="s">
        <v>1079</v>
      </c>
      <c r="I435">
        <v>-23.748532000000001</v>
      </c>
      <c r="J435">
        <v>-62.056702000000001</v>
      </c>
      <c r="K435" s="78">
        <v>65000</v>
      </c>
      <c r="AV435" t="s">
        <v>1080</v>
      </c>
      <c r="AW435" t="s">
        <v>866</v>
      </c>
      <c r="AX435" t="s">
        <v>866</v>
      </c>
      <c r="AY435" s="5">
        <v>1</v>
      </c>
      <c r="AZ435" t="s">
        <v>1081</v>
      </c>
      <c r="BA435">
        <v>2010</v>
      </c>
      <c r="BC435" t="s">
        <v>1082</v>
      </c>
      <c r="BD435" t="s">
        <v>1101</v>
      </c>
      <c r="BE435" t="s">
        <v>536</v>
      </c>
      <c r="BF435" t="s">
        <v>1102</v>
      </c>
      <c r="BG435" t="s">
        <v>1103</v>
      </c>
      <c r="BH435" t="s">
        <v>1104</v>
      </c>
      <c r="BI435" t="s">
        <v>480</v>
      </c>
      <c r="BJ435" t="s">
        <v>480</v>
      </c>
      <c r="ED435" t="s">
        <v>1085</v>
      </c>
      <c r="EE435" t="s">
        <v>480</v>
      </c>
      <c r="EF435" t="s">
        <v>480</v>
      </c>
      <c r="EG435" t="s">
        <v>537</v>
      </c>
      <c r="EH435" t="s">
        <v>1086</v>
      </c>
      <c r="EI435" t="s">
        <v>480</v>
      </c>
      <c r="EJ435" t="s">
        <v>480</v>
      </c>
      <c r="EK435" t="s">
        <v>537</v>
      </c>
      <c r="EL435" t="s">
        <v>1087</v>
      </c>
      <c r="EM435" t="s">
        <v>480</v>
      </c>
      <c r="EN435" t="s">
        <v>480</v>
      </c>
      <c r="EO435" t="s">
        <v>537</v>
      </c>
      <c r="EP435" t="s">
        <v>1088</v>
      </c>
      <c r="EQ435" t="s">
        <v>480</v>
      </c>
      <c r="ER435" t="s">
        <v>480</v>
      </c>
      <c r="ES435" t="s">
        <v>537</v>
      </c>
      <c r="ET435" t="s">
        <v>1089</v>
      </c>
      <c r="EU435" t="s">
        <v>480</v>
      </c>
      <c r="EV435" t="s">
        <v>480</v>
      </c>
      <c r="EW435" t="s">
        <v>537</v>
      </c>
      <c r="EX435" t="s">
        <v>1090</v>
      </c>
      <c r="EY435" t="s">
        <v>480</v>
      </c>
      <c r="EZ435" t="s">
        <v>480</v>
      </c>
      <c r="FA435" t="s">
        <v>537</v>
      </c>
      <c r="FB435" t="s">
        <v>1091</v>
      </c>
      <c r="FC435" t="s">
        <v>480</v>
      </c>
      <c r="FD435" t="s">
        <v>480</v>
      </c>
      <c r="GL435" t="s">
        <v>1105</v>
      </c>
      <c r="GM435" s="9" t="s">
        <v>480</v>
      </c>
      <c r="GN435" s="9" t="s">
        <v>480</v>
      </c>
      <c r="GO435" s="9" t="s">
        <v>480</v>
      </c>
      <c r="GP435" s="9"/>
      <c r="GQ435" s="9"/>
      <c r="GR435" s="9"/>
      <c r="GS435" s="9"/>
      <c r="GT435" s="9"/>
      <c r="GU435" s="9"/>
      <c r="GV435" s="9"/>
      <c r="GW435" s="9"/>
      <c r="GX435" s="9"/>
      <c r="GY435" s="9"/>
      <c r="GZ435" s="9"/>
      <c r="HA435" s="9"/>
      <c r="HB435" s="9"/>
      <c r="HC435" s="9"/>
      <c r="HD435" s="9"/>
      <c r="HE435" s="9"/>
      <c r="HF435" s="9"/>
      <c r="HG435" s="9"/>
      <c r="HH435" s="9"/>
      <c r="HI435" s="9"/>
      <c r="HJ435" s="9"/>
      <c r="HK435" s="9"/>
      <c r="HX435" s="50"/>
      <c r="HY435" s="50"/>
      <c r="IV435" t="s">
        <v>1101</v>
      </c>
      <c r="IW435" s="75" t="s">
        <v>1106</v>
      </c>
      <c r="IX435" t="s">
        <v>1107</v>
      </c>
      <c r="IY435" s="46" t="s">
        <v>1108</v>
      </c>
      <c r="IZ435">
        <v>1</v>
      </c>
      <c r="JA435">
        <v>81</v>
      </c>
      <c r="JB435" t="s">
        <v>480</v>
      </c>
      <c r="JC435" t="s">
        <v>480</v>
      </c>
      <c r="MY435" t="s">
        <v>1095</v>
      </c>
      <c r="MZ435">
        <v>1963</v>
      </c>
      <c r="NA435" t="s">
        <v>1096</v>
      </c>
      <c r="NB435" t="s">
        <v>1097</v>
      </c>
      <c r="NG435" t="s">
        <v>1098</v>
      </c>
      <c r="NH435" t="s">
        <v>687</v>
      </c>
      <c r="NJ435" t="s">
        <v>1099</v>
      </c>
      <c r="NL435" t="s">
        <v>1099</v>
      </c>
      <c r="NV435" t="s">
        <v>518</v>
      </c>
      <c r="NW435">
        <v>2.2999999999999998</v>
      </c>
      <c r="NX435" t="s">
        <v>916</v>
      </c>
      <c r="NY435">
        <v>1.8</v>
      </c>
      <c r="OB435">
        <v>8</v>
      </c>
      <c r="OU435" t="s">
        <v>1053</v>
      </c>
      <c r="OW435">
        <v>2010</v>
      </c>
      <c r="PB435" t="s">
        <v>522</v>
      </c>
      <c r="PC435" s="50">
        <v>46108</v>
      </c>
    </row>
    <row r="436" spans="1:419" ht="15.75" thickBot="1">
      <c r="A436" t="s">
        <v>665</v>
      </c>
      <c r="B436" t="s">
        <v>1075</v>
      </c>
      <c r="C436" t="s">
        <v>1076</v>
      </c>
      <c r="D436" s="4" t="s">
        <v>472</v>
      </c>
      <c r="E436" t="s">
        <v>1077</v>
      </c>
      <c r="F436" t="s">
        <v>865</v>
      </c>
      <c r="G436" t="s">
        <v>1078</v>
      </c>
      <c r="H436" s="2" t="s">
        <v>1079</v>
      </c>
      <c r="I436">
        <v>-23.748532000000001</v>
      </c>
      <c r="J436">
        <v>-62.056702000000001</v>
      </c>
      <c r="K436" s="78">
        <v>65000</v>
      </c>
      <c r="AV436" t="s">
        <v>1080</v>
      </c>
      <c r="AW436" t="s">
        <v>866</v>
      </c>
      <c r="AX436">
        <v>3600</v>
      </c>
      <c r="AY436" s="5">
        <v>1</v>
      </c>
      <c r="AZ436" t="s">
        <v>1081</v>
      </c>
      <c r="BA436">
        <v>2010</v>
      </c>
      <c r="BC436" t="s">
        <v>1082</v>
      </c>
      <c r="BD436" t="s">
        <v>1109</v>
      </c>
      <c r="BE436" t="s">
        <v>566</v>
      </c>
      <c r="BF436" t="s">
        <v>1102</v>
      </c>
      <c r="BG436" t="s">
        <v>1103</v>
      </c>
      <c r="BH436" t="s">
        <v>480</v>
      </c>
      <c r="BI436" t="s">
        <v>480</v>
      </c>
      <c r="BJ436" t="s">
        <v>480</v>
      </c>
      <c r="ED436" t="s">
        <v>1085</v>
      </c>
      <c r="EE436" t="s">
        <v>480</v>
      </c>
      <c r="EF436" t="s">
        <v>480</v>
      </c>
      <c r="EG436" t="s">
        <v>537</v>
      </c>
      <c r="EH436" t="s">
        <v>1086</v>
      </c>
      <c r="EI436" t="s">
        <v>480</v>
      </c>
      <c r="EJ436" t="s">
        <v>480</v>
      </c>
      <c r="EK436" t="s">
        <v>537</v>
      </c>
      <c r="EL436" t="s">
        <v>1087</v>
      </c>
      <c r="EM436" t="s">
        <v>480</v>
      </c>
      <c r="EN436" t="s">
        <v>480</v>
      </c>
      <c r="EO436" t="s">
        <v>537</v>
      </c>
      <c r="EP436" t="s">
        <v>1088</v>
      </c>
      <c r="EQ436" t="s">
        <v>480</v>
      </c>
      <c r="ER436" t="s">
        <v>480</v>
      </c>
      <c r="ES436" t="s">
        <v>537</v>
      </c>
      <c r="ET436" t="s">
        <v>1089</v>
      </c>
      <c r="EU436" t="s">
        <v>480</v>
      </c>
      <c r="EV436" t="s">
        <v>480</v>
      </c>
      <c r="EW436" t="s">
        <v>537</v>
      </c>
      <c r="EX436" t="s">
        <v>1090</v>
      </c>
      <c r="EY436" t="s">
        <v>480</v>
      </c>
      <c r="EZ436" t="s">
        <v>480</v>
      </c>
      <c r="FA436" t="s">
        <v>537</v>
      </c>
      <c r="FB436" t="s">
        <v>1091</v>
      </c>
      <c r="FC436" t="s">
        <v>480</v>
      </c>
      <c r="FD436" t="s">
        <v>480</v>
      </c>
      <c r="FF436" s="9"/>
      <c r="FG436" s="9"/>
      <c r="FH436" s="9"/>
      <c r="FI436" s="9"/>
      <c r="FJ436" s="9"/>
      <c r="FK436" s="9"/>
      <c r="FL436" s="9"/>
      <c r="FM436" s="9"/>
      <c r="FN436" s="9"/>
      <c r="FO436" s="9"/>
      <c r="FP436" s="9"/>
      <c r="FQ436" s="9"/>
      <c r="FR436" s="9"/>
      <c r="FS436" s="9"/>
      <c r="FT436" s="9"/>
      <c r="FU436" s="9"/>
      <c r="FV436" s="9"/>
      <c r="FW436" s="9"/>
      <c r="FX436" s="9"/>
      <c r="FY436" s="9"/>
      <c r="FZ436" s="9"/>
      <c r="GA436" s="9"/>
      <c r="GB436" s="9"/>
      <c r="GC436" s="9"/>
      <c r="GD436" s="9"/>
      <c r="GE436" s="9"/>
      <c r="GF436" s="9"/>
      <c r="GG436" s="9"/>
      <c r="GH436" s="9"/>
      <c r="GI436" s="9"/>
      <c r="GJ436" s="9"/>
      <c r="GK436" s="9"/>
      <c r="GL436" s="9" t="s">
        <v>1105</v>
      </c>
      <c r="GM436" s="9" t="s">
        <v>480</v>
      </c>
      <c r="GN436" s="9" t="s">
        <v>480</v>
      </c>
      <c r="GO436" s="9" t="s">
        <v>480</v>
      </c>
      <c r="GP436" s="9"/>
      <c r="GQ436" s="9"/>
      <c r="GR436" s="9"/>
      <c r="GS436" s="9"/>
      <c r="GT436" s="9"/>
      <c r="GU436" s="9"/>
      <c r="GV436" s="9"/>
      <c r="GW436" s="9"/>
      <c r="GX436" s="9"/>
      <c r="GY436" s="9"/>
      <c r="GZ436" s="9"/>
      <c r="HA436" s="9"/>
      <c r="HB436" s="9"/>
      <c r="HC436" s="9"/>
      <c r="HD436" s="9"/>
      <c r="HE436" s="9"/>
      <c r="HF436" s="9"/>
      <c r="HG436" s="9"/>
      <c r="HH436" s="9"/>
      <c r="HI436" s="9"/>
      <c r="HJ436" s="9"/>
      <c r="HK436" s="9"/>
      <c r="HX436" s="50"/>
      <c r="HY436" s="50"/>
      <c r="IV436" t="s">
        <v>1109</v>
      </c>
      <c r="IW436" s="75" t="s">
        <v>1106</v>
      </c>
      <c r="IX436" s="12" t="s">
        <v>1107</v>
      </c>
      <c r="IY436" s="46" t="s">
        <v>1110</v>
      </c>
      <c r="IZ436">
        <v>7.5</v>
      </c>
      <c r="JA436">
        <v>56</v>
      </c>
      <c r="JB436" t="s">
        <v>480</v>
      </c>
      <c r="JC436" t="s">
        <v>480</v>
      </c>
      <c r="MY436" t="s">
        <v>1095</v>
      </c>
      <c r="MZ436">
        <v>1963</v>
      </c>
      <c r="NA436" t="s">
        <v>1096</v>
      </c>
      <c r="NB436" t="s">
        <v>1097</v>
      </c>
      <c r="NG436" t="s">
        <v>1098</v>
      </c>
      <c r="NH436" t="s">
        <v>687</v>
      </c>
      <c r="NJ436" t="s">
        <v>1099</v>
      </c>
      <c r="NL436" t="s">
        <v>1099</v>
      </c>
      <c r="NV436" t="s">
        <v>518</v>
      </c>
      <c r="NW436">
        <v>2.8</v>
      </c>
      <c r="NX436" t="s">
        <v>916</v>
      </c>
      <c r="NY436">
        <v>2</v>
      </c>
      <c r="OB436">
        <v>7</v>
      </c>
      <c r="OU436" t="s">
        <v>1053</v>
      </c>
      <c r="OW436">
        <v>2010</v>
      </c>
      <c r="PB436" t="s">
        <v>522</v>
      </c>
      <c r="PC436" s="50">
        <v>46108</v>
      </c>
    </row>
    <row r="437" spans="1:419" ht="15.75" thickBot="1">
      <c r="A437" t="s">
        <v>665</v>
      </c>
      <c r="B437" t="s">
        <v>1075</v>
      </c>
      <c r="C437" t="s">
        <v>1076</v>
      </c>
      <c r="D437" s="4" t="s">
        <v>472</v>
      </c>
      <c r="E437" t="s">
        <v>1077</v>
      </c>
      <c r="F437" t="s">
        <v>865</v>
      </c>
      <c r="G437" t="s">
        <v>1078</v>
      </c>
      <c r="H437" s="2" t="s">
        <v>1079</v>
      </c>
      <c r="I437">
        <v>-23.748532000000001</v>
      </c>
      <c r="J437">
        <v>-62.056702000000001</v>
      </c>
      <c r="K437" s="78">
        <v>65000</v>
      </c>
      <c r="AV437" t="s">
        <v>1080</v>
      </c>
      <c r="AW437" t="s">
        <v>866</v>
      </c>
      <c r="AX437">
        <v>3600</v>
      </c>
      <c r="AY437" s="5">
        <v>1</v>
      </c>
      <c r="AZ437" t="s">
        <v>1081</v>
      </c>
      <c r="BA437">
        <v>2010</v>
      </c>
      <c r="BC437" t="s">
        <v>1082</v>
      </c>
      <c r="BD437" t="s">
        <v>1111</v>
      </c>
      <c r="BE437" t="s">
        <v>572</v>
      </c>
      <c r="BF437" t="s">
        <v>1102</v>
      </c>
      <c r="BG437" t="s">
        <v>1112</v>
      </c>
      <c r="BH437" t="s">
        <v>480</v>
      </c>
      <c r="BI437" t="s">
        <v>480</v>
      </c>
      <c r="BJ437" t="s">
        <v>480</v>
      </c>
      <c r="ED437" t="s">
        <v>1085</v>
      </c>
      <c r="EE437" t="s">
        <v>480</v>
      </c>
      <c r="EF437" t="s">
        <v>480</v>
      </c>
      <c r="EG437" t="s">
        <v>537</v>
      </c>
      <c r="EH437" t="s">
        <v>1086</v>
      </c>
      <c r="EI437" t="s">
        <v>480</v>
      </c>
      <c r="EJ437" t="s">
        <v>480</v>
      </c>
      <c r="EK437" t="s">
        <v>537</v>
      </c>
      <c r="EL437" t="s">
        <v>1087</v>
      </c>
      <c r="EM437" t="s">
        <v>480</v>
      </c>
      <c r="EN437" t="s">
        <v>480</v>
      </c>
      <c r="EO437" t="s">
        <v>537</v>
      </c>
      <c r="EP437" t="s">
        <v>1088</v>
      </c>
      <c r="EQ437" t="s">
        <v>480</v>
      </c>
      <c r="ER437" t="s">
        <v>480</v>
      </c>
      <c r="ES437" t="s">
        <v>537</v>
      </c>
      <c r="ET437" t="s">
        <v>1089</v>
      </c>
      <c r="EU437" t="s">
        <v>480</v>
      </c>
      <c r="EV437" t="s">
        <v>480</v>
      </c>
      <c r="EW437" t="s">
        <v>537</v>
      </c>
      <c r="EX437" t="s">
        <v>1090</v>
      </c>
      <c r="EY437" t="s">
        <v>480</v>
      </c>
      <c r="EZ437" t="s">
        <v>480</v>
      </c>
      <c r="FA437" t="s">
        <v>537</v>
      </c>
      <c r="FB437" t="s">
        <v>1091</v>
      </c>
      <c r="FC437" t="s">
        <v>480</v>
      </c>
      <c r="FD437" t="s">
        <v>480</v>
      </c>
      <c r="FF437" s="9"/>
      <c r="FG437" s="9"/>
      <c r="FH437" s="9"/>
      <c r="FI437" s="9"/>
      <c r="FJ437" s="9"/>
      <c r="FK437" s="9"/>
      <c r="FL437" s="9"/>
      <c r="FM437" s="9"/>
      <c r="FN437" s="9"/>
      <c r="FO437" s="9"/>
      <c r="FP437" s="9"/>
      <c r="FQ437" s="9"/>
      <c r="FR437" s="9"/>
      <c r="FS437" s="9"/>
      <c r="FT437" s="9"/>
      <c r="FU437" s="9"/>
      <c r="FV437" s="9"/>
      <c r="FW437" s="9"/>
      <c r="FX437" s="9"/>
      <c r="FY437" s="9"/>
      <c r="FZ437" s="9"/>
      <c r="GA437" s="9"/>
      <c r="GB437" s="9"/>
      <c r="GC437" s="9"/>
      <c r="GD437" s="9"/>
      <c r="GE437" s="9"/>
      <c r="GF437" s="9"/>
      <c r="GG437" s="9"/>
      <c r="GH437" s="9"/>
      <c r="GI437" s="9"/>
      <c r="GJ437" s="9"/>
      <c r="GK437" s="9"/>
      <c r="GL437" s="9" t="s">
        <v>1105</v>
      </c>
      <c r="GM437" s="9" t="s">
        <v>480</v>
      </c>
      <c r="GN437" s="9" t="s">
        <v>480</v>
      </c>
      <c r="GO437" s="9" t="s">
        <v>480</v>
      </c>
      <c r="GP437" s="9"/>
      <c r="GQ437" s="9"/>
      <c r="GR437" s="9"/>
      <c r="GS437" s="9"/>
      <c r="GT437" s="9"/>
      <c r="GU437" s="9"/>
      <c r="GV437" s="9"/>
      <c r="GW437" s="9"/>
      <c r="GX437" s="9"/>
      <c r="GY437" s="9"/>
      <c r="GZ437" s="9"/>
      <c r="HA437" s="9"/>
      <c r="HB437" s="9"/>
      <c r="HC437" s="9"/>
      <c r="HD437" s="9"/>
      <c r="HE437" s="9"/>
      <c r="HF437" s="9"/>
      <c r="HG437" s="9"/>
      <c r="HH437" s="9"/>
      <c r="HI437" s="9"/>
      <c r="HJ437" s="9"/>
      <c r="HK437" s="9"/>
      <c r="HX437" s="50"/>
      <c r="HY437" s="50"/>
      <c r="IV437" t="s">
        <v>1111</v>
      </c>
      <c r="IW437" s="75" t="s">
        <v>1106</v>
      </c>
      <c r="IX437" s="12" t="s">
        <v>1107</v>
      </c>
      <c r="IY437" s="46" t="s">
        <v>1110</v>
      </c>
      <c r="IZ437">
        <v>7.5</v>
      </c>
      <c r="JA437">
        <v>37</v>
      </c>
      <c r="JB437" t="s">
        <v>480</v>
      </c>
      <c r="JC437" t="s">
        <v>480</v>
      </c>
      <c r="MY437" t="s">
        <v>1095</v>
      </c>
      <c r="MZ437">
        <v>1963</v>
      </c>
      <c r="NA437" t="s">
        <v>1096</v>
      </c>
      <c r="NB437" t="s">
        <v>1097</v>
      </c>
      <c r="NG437" t="s">
        <v>1098</v>
      </c>
      <c r="NH437" t="s">
        <v>687</v>
      </c>
      <c r="NJ437" t="s">
        <v>1099</v>
      </c>
      <c r="NL437" t="s">
        <v>1099</v>
      </c>
      <c r="NV437" t="s">
        <v>518</v>
      </c>
      <c r="NW437">
        <v>3.8</v>
      </c>
      <c r="NX437" t="s">
        <v>916</v>
      </c>
      <c r="NY437">
        <v>1.6</v>
      </c>
      <c r="OB437">
        <v>5</v>
      </c>
      <c r="OU437" t="s">
        <v>1053</v>
      </c>
      <c r="OW437">
        <v>2010</v>
      </c>
      <c r="PB437" t="s">
        <v>522</v>
      </c>
      <c r="PC437" s="50">
        <v>46108</v>
      </c>
    </row>
    <row r="438" spans="1:419" ht="15.75" thickBot="1">
      <c r="A438" t="s">
        <v>665</v>
      </c>
      <c r="B438" t="s">
        <v>1075</v>
      </c>
      <c r="C438" t="s">
        <v>1076</v>
      </c>
      <c r="D438" s="4" t="s">
        <v>472</v>
      </c>
      <c r="E438" t="s">
        <v>1077</v>
      </c>
      <c r="F438" t="s">
        <v>865</v>
      </c>
      <c r="G438" t="s">
        <v>1078</v>
      </c>
      <c r="H438" s="2" t="s">
        <v>1079</v>
      </c>
      <c r="I438">
        <v>-23.748532000000001</v>
      </c>
      <c r="J438">
        <v>-62.056702000000001</v>
      </c>
      <c r="K438" s="78">
        <v>65000</v>
      </c>
      <c r="AV438" t="s">
        <v>1080</v>
      </c>
      <c r="AW438" t="s">
        <v>866</v>
      </c>
      <c r="AX438" t="s">
        <v>866</v>
      </c>
      <c r="AY438" s="5">
        <v>1</v>
      </c>
      <c r="AZ438" t="s">
        <v>1081</v>
      </c>
      <c r="BA438">
        <v>2010</v>
      </c>
      <c r="BC438" t="s">
        <v>1082</v>
      </c>
      <c r="BD438" t="s">
        <v>1113</v>
      </c>
      <c r="BE438" t="s">
        <v>483</v>
      </c>
      <c r="BF438" t="s">
        <v>1102</v>
      </c>
      <c r="BG438" t="s">
        <v>1112</v>
      </c>
      <c r="BH438" t="s">
        <v>480</v>
      </c>
      <c r="BI438" t="s">
        <v>480</v>
      </c>
      <c r="BJ438" t="s">
        <v>480</v>
      </c>
      <c r="GL438" t="s">
        <v>1105</v>
      </c>
      <c r="GM438" s="9" t="s">
        <v>480</v>
      </c>
      <c r="GN438" s="9" t="s">
        <v>480</v>
      </c>
      <c r="GO438" s="9" t="s">
        <v>480</v>
      </c>
      <c r="HY438" s="50"/>
      <c r="IV438" t="s">
        <v>1113</v>
      </c>
      <c r="IW438" s="46" t="s">
        <v>1114</v>
      </c>
      <c r="IX438" s="46" t="s">
        <v>1114</v>
      </c>
      <c r="IY438" s="46" t="s">
        <v>1115</v>
      </c>
      <c r="IZ438">
        <v>1</v>
      </c>
      <c r="JA438">
        <v>6</v>
      </c>
      <c r="JB438" t="s">
        <v>480</v>
      </c>
      <c r="JC438" t="s">
        <v>480</v>
      </c>
      <c r="MY438" t="s">
        <v>1095</v>
      </c>
      <c r="MZ438">
        <v>1963</v>
      </c>
      <c r="NA438" t="s">
        <v>1096</v>
      </c>
      <c r="NB438" t="s">
        <v>1097</v>
      </c>
      <c r="NG438" t="s">
        <v>1098</v>
      </c>
      <c r="NH438" t="s">
        <v>687</v>
      </c>
      <c r="NJ438" t="s">
        <v>1099</v>
      </c>
      <c r="NL438" t="s">
        <v>1099</v>
      </c>
      <c r="NU438" t="s">
        <v>1116</v>
      </c>
      <c r="NV438" t="s">
        <v>518</v>
      </c>
      <c r="NW438">
        <v>3</v>
      </c>
      <c r="NX438" t="s">
        <v>916</v>
      </c>
      <c r="NY438">
        <v>1.7</v>
      </c>
      <c r="OB438">
        <v>7</v>
      </c>
      <c r="OU438" t="s">
        <v>1053</v>
      </c>
      <c r="OW438">
        <v>2010</v>
      </c>
      <c r="PB438" t="s">
        <v>522</v>
      </c>
      <c r="PC438" s="50">
        <v>46108</v>
      </c>
    </row>
    <row r="439" spans="1:419" ht="15.75" thickBot="1">
      <c r="A439" t="s">
        <v>665</v>
      </c>
      <c r="B439" t="s">
        <v>1075</v>
      </c>
      <c r="C439" t="s">
        <v>1076</v>
      </c>
      <c r="D439" s="4" t="s">
        <v>472</v>
      </c>
      <c r="E439" t="s">
        <v>1077</v>
      </c>
      <c r="F439" t="s">
        <v>865</v>
      </c>
      <c r="G439" t="s">
        <v>1078</v>
      </c>
      <c r="H439" s="2" t="s">
        <v>1079</v>
      </c>
      <c r="I439">
        <v>-23.748532000000001</v>
      </c>
      <c r="J439">
        <v>-62.056702000000001</v>
      </c>
      <c r="K439" s="78">
        <v>65000</v>
      </c>
      <c r="AV439" t="s">
        <v>1080</v>
      </c>
      <c r="AW439" t="s">
        <v>866</v>
      </c>
      <c r="AX439">
        <v>1000</v>
      </c>
      <c r="AY439" s="5">
        <v>1</v>
      </c>
      <c r="AZ439" t="s">
        <v>1081</v>
      </c>
      <c r="BA439">
        <v>2010</v>
      </c>
      <c r="BC439" t="s">
        <v>1082</v>
      </c>
      <c r="BD439" t="s">
        <v>1083</v>
      </c>
      <c r="BE439" t="s">
        <v>524</v>
      </c>
      <c r="BF439" t="s">
        <v>1084</v>
      </c>
      <c r="ED439" t="s">
        <v>1085</v>
      </c>
      <c r="EE439" t="s">
        <v>480</v>
      </c>
      <c r="EF439" t="s">
        <v>480</v>
      </c>
      <c r="EG439" t="s">
        <v>537</v>
      </c>
      <c r="EH439" t="s">
        <v>1086</v>
      </c>
      <c r="EI439" t="s">
        <v>480</v>
      </c>
      <c r="EJ439" t="s">
        <v>480</v>
      </c>
      <c r="EK439" t="s">
        <v>537</v>
      </c>
      <c r="EL439" t="s">
        <v>1087</v>
      </c>
      <c r="EM439" t="s">
        <v>480</v>
      </c>
      <c r="EN439" t="s">
        <v>480</v>
      </c>
      <c r="EO439" t="s">
        <v>537</v>
      </c>
      <c r="EP439" t="s">
        <v>1088</v>
      </c>
      <c r="EQ439" t="s">
        <v>480</v>
      </c>
      <c r="ER439" t="s">
        <v>480</v>
      </c>
      <c r="ES439" t="s">
        <v>537</v>
      </c>
      <c r="ET439" t="s">
        <v>1089</v>
      </c>
      <c r="EU439" t="s">
        <v>480</v>
      </c>
      <c r="EV439" t="s">
        <v>480</v>
      </c>
      <c r="EW439" t="s">
        <v>537</v>
      </c>
      <c r="EX439" t="s">
        <v>1090</v>
      </c>
      <c r="EY439" t="s">
        <v>480</v>
      </c>
      <c r="EZ439" t="s">
        <v>480</v>
      </c>
      <c r="FA439" t="s">
        <v>537</v>
      </c>
      <c r="FB439" t="s">
        <v>1091</v>
      </c>
      <c r="FC439" t="s">
        <v>480</v>
      </c>
      <c r="FD439" t="s">
        <v>480</v>
      </c>
      <c r="HY439" s="50"/>
      <c r="IV439" t="s">
        <v>1083</v>
      </c>
      <c r="IW439" t="s">
        <v>1092</v>
      </c>
      <c r="IX439" t="s">
        <v>1092</v>
      </c>
      <c r="IY439" t="s">
        <v>1092</v>
      </c>
      <c r="IZ439">
        <v>5</v>
      </c>
      <c r="JA439">
        <v>70</v>
      </c>
      <c r="JB439" t="s">
        <v>480</v>
      </c>
      <c r="JC439" t="s">
        <v>480</v>
      </c>
      <c r="MT439" t="s">
        <v>1083</v>
      </c>
      <c r="MU439" s="185" t="s">
        <v>1092</v>
      </c>
      <c r="MV439" t="s">
        <v>480</v>
      </c>
      <c r="MW439" s="185" t="s">
        <v>1093</v>
      </c>
      <c r="MX439" s="185" t="s">
        <v>1094</v>
      </c>
      <c r="MY439" t="s">
        <v>1095</v>
      </c>
      <c r="MZ439">
        <v>1963</v>
      </c>
      <c r="NA439" t="s">
        <v>1117</v>
      </c>
      <c r="NB439" t="s">
        <v>1097</v>
      </c>
      <c r="NG439" t="s">
        <v>1118</v>
      </c>
      <c r="NH439" t="s">
        <v>687</v>
      </c>
      <c r="NJ439" t="s">
        <v>1099</v>
      </c>
      <c r="NL439" t="s">
        <v>1099</v>
      </c>
      <c r="NU439" t="s">
        <v>1100</v>
      </c>
      <c r="NV439" t="s">
        <v>518</v>
      </c>
      <c r="NW439">
        <v>0.6</v>
      </c>
      <c r="NX439" t="s">
        <v>916</v>
      </c>
      <c r="NY439">
        <v>0.6</v>
      </c>
      <c r="OB439">
        <v>6</v>
      </c>
      <c r="OU439" t="s">
        <v>1053</v>
      </c>
      <c r="OW439">
        <v>2010</v>
      </c>
      <c r="PB439" t="s">
        <v>522</v>
      </c>
      <c r="PC439" s="50">
        <v>46108</v>
      </c>
    </row>
    <row r="440" spans="1:419" ht="15.75" thickBot="1">
      <c r="A440" t="s">
        <v>665</v>
      </c>
      <c r="B440" t="s">
        <v>1075</v>
      </c>
      <c r="C440" t="s">
        <v>1076</v>
      </c>
      <c r="D440" s="4" t="s">
        <v>472</v>
      </c>
      <c r="E440" t="s">
        <v>1077</v>
      </c>
      <c r="F440" t="s">
        <v>865</v>
      </c>
      <c r="G440" t="s">
        <v>1078</v>
      </c>
      <c r="H440" s="2" t="s">
        <v>1079</v>
      </c>
      <c r="I440">
        <v>-23.748532000000001</v>
      </c>
      <c r="J440">
        <v>-62.056702000000001</v>
      </c>
      <c r="K440" s="78">
        <v>65000</v>
      </c>
      <c r="AV440" t="s">
        <v>1080</v>
      </c>
      <c r="AW440" t="s">
        <v>866</v>
      </c>
      <c r="AX440" t="s">
        <v>866</v>
      </c>
      <c r="AY440" s="5">
        <v>1</v>
      </c>
      <c r="AZ440" t="s">
        <v>1081</v>
      </c>
      <c r="BA440">
        <v>2010</v>
      </c>
      <c r="BC440" t="s">
        <v>1082</v>
      </c>
      <c r="BD440" t="s">
        <v>1101</v>
      </c>
      <c r="BE440" t="s">
        <v>536</v>
      </c>
      <c r="BF440" t="s">
        <v>1102</v>
      </c>
      <c r="BG440" t="s">
        <v>1103</v>
      </c>
      <c r="BH440" t="s">
        <v>1104</v>
      </c>
      <c r="BI440" t="s">
        <v>480</v>
      </c>
      <c r="BJ440" t="s">
        <v>480</v>
      </c>
      <c r="ED440" t="s">
        <v>1085</v>
      </c>
      <c r="EE440" t="s">
        <v>480</v>
      </c>
      <c r="EF440" t="s">
        <v>480</v>
      </c>
      <c r="EG440" t="s">
        <v>537</v>
      </c>
      <c r="EH440" t="s">
        <v>1086</v>
      </c>
      <c r="EI440" t="s">
        <v>480</v>
      </c>
      <c r="EJ440" t="s">
        <v>480</v>
      </c>
      <c r="EK440" t="s">
        <v>537</v>
      </c>
      <c r="EL440" t="s">
        <v>1087</v>
      </c>
      <c r="EM440" t="s">
        <v>480</v>
      </c>
      <c r="EN440" t="s">
        <v>480</v>
      </c>
      <c r="EO440" t="s">
        <v>537</v>
      </c>
      <c r="EP440" t="s">
        <v>1088</v>
      </c>
      <c r="EQ440" t="s">
        <v>480</v>
      </c>
      <c r="ER440" t="s">
        <v>480</v>
      </c>
      <c r="ES440" t="s">
        <v>537</v>
      </c>
      <c r="ET440" t="s">
        <v>1089</v>
      </c>
      <c r="EU440" t="s">
        <v>480</v>
      </c>
      <c r="EV440" t="s">
        <v>480</v>
      </c>
      <c r="EW440" t="s">
        <v>537</v>
      </c>
      <c r="EX440" t="s">
        <v>1090</v>
      </c>
      <c r="EY440" t="s">
        <v>480</v>
      </c>
      <c r="EZ440" t="s">
        <v>480</v>
      </c>
      <c r="FA440" t="s">
        <v>537</v>
      </c>
      <c r="FB440" t="s">
        <v>1091</v>
      </c>
      <c r="FC440" t="s">
        <v>480</v>
      </c>
      <c r="FD440" t="s">
        <v>480</v>
      </c>
      <c r="GL440" t="s">
        <v>1105</v>
      </c>
      <c r="GM440" s="9" t="s">
        <v>480</v>
      </c>
      <c r="GN440" s="9" t="s">
        <v>480</v>
      </c>
      <c r="GO440" s="9" t="s">
        <v>480</v>
      </c>
      <c r="GP440" s="9"/>
      <c r="GQ440" s="9"/>
      <c r="GR440" s="9"/>
      <c r="GS440" s="9"/>
      <c r="GT440" s="9"/>
      <c r="GU440" s="9"/>
      <c r="GV440" s="9"/>
      <c r="GW440" s="9"/>
      <c r="GX440" s="9"/>
      <c r="GY440" s="9"/>
      <c r="GZ440" s="9"/>
      <c r="HA440" s="9"/>
      <c r="HB440" s="9"/>
      <c r="HC440" s="9"/>
      <c r="HD440" s="9"/>
      <c r="HE440" s="9"/>
      <c r="HF440" s="9"/>
      <c r="HG440" s="9"/>
      <c r="HH440" s="9"/>
      <c r="HI440" s="9"/>
      <c r="HJ440" s="9"/>
      <c r="HK440" s="9"/>
      <c r="HX440" s="50"/>
      <c r="HY440" s="50"/>
      <c r="IV440" t="s">
        <v>1101</v>
      </c>
      <c r="IW440" s="75" t="s">
        <v>1106</v>
      </c>
      <c r="IX440" t="s">
        <v>1107</v>
      </c>
      <c r="IY440" s="46" t="s">
        <v>1108</v>
      </c>
      <c r="IZ440">
        <v>1</v>
      </c>
      <c r="JA440">
        <v>81</v>
      </c>
      <c r="JB440" t="s">
        <v>480</v>
      </c>
      <c r="JC440" t="s">
        <v>480</v>
      </c>
      <c r="MY440" t="s">
        <v>1095</v>
      </c>
      <c r="MZ440">
        <v>1963</v>
      </c>
      <c r="NA440" t="s">
        <v>1117</v>
      </c>
      <c r="NB440" t="s">
        <v>1097</v>
      </c>
      <c r="NG440" t="s">
        <v>1118</v>
      </c>
      <c r="NH440" t="s">
        <v>687</v>
      </c>
      <c r="NJ440" t="s">
        <v>1099</v>
      </c>
      <c r="NL440" t="s">
        <v>1099</v>
      </c>
      <c r="NV440" t="s">
        <v>518</v>
      </c>
      <c r="NW440">
        <v>0.3</v>
      </c>
      <c r="NX440" t="s">
        <v>916</v>
      </c>
      <c r="NY440">
        <v>0.5</v>
      </c>
      <c r="OB440">
        <v>8</v>
      </c>
      <c r="OU440" t="s">
        <v>1053</v>
      </c>
      <c r="OW440">
        <v>2010</v>
      </c>
      <c r="PB440" t="s">
        <v>522</v>
      </c>
      <c r="PC440" s="50">
        <v>46108</v>
      </c>
    </row>
    <row r="441" spans="1:419" ht="15.75" thickBot="1">
      <c r="A441" t="s">
        <v>665</v>
      </c>
      <c r="B441" t="s">
        <v>1075</v>
      </c>
      <c r="C441" t="s">
        <v>1076</v>
      </c>
      <c r="D441" s="4" t="s">
        <v>472</v>
      </c>
      <c r="E441" t="s">
        <v>1077</v>
      </c>
      <c r="F441" t="s">
        <v>865</v>
      </c>
      <c r="G441" t="s">
        <v>1078</v>
      </c>
      <c r="H441" s="2" t="s">
        <v>1079</v>
      </c>
      <c r="I441">
        <v>-23.748532000000001</v>
      </c>
      <c r="J441">
        <v>-62.056702000000001</v>
      </c>
      <c r="K441" s="78">
        <v>65000</v>
      </c>
      <c r="AV441" t="s">
        <v>1080</v>
      </c>
      <c r="AW441" t="s">
        <v>866</v>
      </c>
      <c r="AX441">
        <v>3600</v>
      </c>
      <c r="AY441" s="5">
        <v>1</v>
      </c>
      <c r="AZ441" t="s">
        <v>1081</v>
      </c>
      <c r="BA441">
        <v>2010</v>
      </c>
      <c r="BC441" t="s">
        <v>1082</v>
      </c>
      <c r="BD441" t="s">
        <v>1109</v>
      </c>
      <c r="BE441" t="s">
        <v>566</v>
      </c>
      <c r="BF441" t="s">
        <v>1102</v>
      </c>
      <c r="BG441" t="s">
        <v>1103</v>
      </c>
      <c r="BH441" t="s">
        <v>480</v>
      </c>
      <c r="BI441" t="s">
        <v>480</v>
      </c>
      <c r="BJ441" t="s">
        <v>480</v>
      </c>
      <c r="ED441" t="s">
        <v>1085</v>
      </c>
      <c r="EE441" t="s">
        <v>480</v>
      </c>
      <c r="EF441" t="s">
        <v>480</v>
      </c>
      <c r="EG441" t="s">
        <v>537</v>
      </c>
      <c r="EH441" t="s">
        <v>1086</v>
      </c>
      <c r="EI441" t="s">
        <v>480</v>
      </c>
      <c r="EJ441" t="s">
        <v>480</v>
      </c>
      <c r="EK441" t="s">
        <v>537</v>
      </c>
      <c r="EL441" t="s">
        <v>1087</v>
      </c>
      <c r="EM441" t="s">
        <v>480</v>
      </c>
      <c r="EN441" t="s">
        <v>480</v>
      </c>
      <c r="EO441" t="s">
        <v>537</v>
      </c>
      <c r="EP441" t="s">
        <v>1088</v>
      </c>
      <c r="EQ441" t="s">
        <v>480</v>
      </c>
      <c r="ER441" t="s">
        <v>480</v>
      </c>
      <c r="ES441" t="s">
        <v>537</v>
      </c>
      <c r="ET441" t="s">
        <v>1089</v>
      </c>
      <c r="EU441" t="s">
        <v>480</v>
      </c>
      <c r="EV441" t="s">
        <v>480</v>
      </c>
      <c r="EW441" t="s">
        <v>537</v>
      </c>
      <c r="EX441" t="s">
        <v>1090</v>
      </c>
      <c r="EY441" t="s">
        <v>480</v>
      </c>
      <c r="EZ441" t="s">
        <v>480</v>
      </c>
      <c r="FA441" t="s">
        <v>537</v>
      </c>
      <c r="FB441" t="s">
        <v>1091</v>
      </c>
      <c r="FC441" t="s">
        <v>480</v>
      </c>
      <c r="FD441" t="s">
        <v>480</v>
      </c>
      <c r="FF441" s="9"/>
      <c r="FG441" s="9"/>
      <c r="FH441" s="9"/>
      <c r="FI441" s="9"/>
      <c r="FJ441" s="9"/>
      <c r="FK441" s="9"/>
      <c r="FL441" s="9"/>
      <c r="FM441" s="9"/>
      <c r="FN441" s="9"/>
      <c r="FO441" s="9"/>
      <c r="FP441" s="9"/>
      <c r="FQ441" s="9"/>
      <c r="FR441" s="9"/>
      <c r="FS441" s="9"/>
      <c r="FT441" s="9"/>
      <c r="FU441" s="9"/>
      <c r="FV441" s="9"/>
      <c r="FW441" s="9"/>
      <c r="FX441" s="9"/>
      <c r="FY441" s="9"/>
      <c r="FZ441" s="9"/>
      <c r="GA441" s="9"/>
      <c r="GB441" s="9"/>
      <c r="GC441" s="9"/>
      <c r="GD441" s="9"/>
      <c r="GE441" s="9"/>
      <c r="GF441" s="9"/>
      <c r="GG441" s="9"/>
      <c r="GH441" s="9"/>
      <c r="GI441" s="9"/>
      <c r="GJ441" s="9"/>
      <c r="GK441" s="9"/>
      <c r="GL441" s="9" t="s">
        <v>1105</v>
      </c>
      <c r="GM441" s="9" t="s">
        <v>480</v>
      </c>
      <c r="GN441" s="9" t="s">
        <v>480</v>
      </c>
      <c r="GO441" s="9" t="s">
        <v>480</v>
      </c>
      <c r="GP441" s="9"/>
      <c r="GQ441" s="9"/>
      <c r="GR441" s="9"/>
      <c r="GS441" s="9"/>
      <c r="GT441" s="9"/>
      <c r="GU441" s="9"/>
      <c r="GV441" s="9"/>
      <c r="GW441" s="9"/>
      <c r="GX441" s="9"/>
      <c r="GY441" s="9"/>
      <c r="GZ441" s="9"/>
      <c r="HA441" s="9"/>
      <c r="HB441" s="9"/>
      <c r="HC441" s="9"/>
      <c r="HD441" s="9"/>
      <c r="HE441" s="9"/>
      <c r="HF441" s="9"/>
      <c r="HG441" s="9"/>
      <c r="HH441" s="9"/>
      <c r="HI441" s="9"/>
      <c r="HJ441" s="9"/>
      <c r="HK441" s="9"/>
      <c r="HX441" s="50"/>
      <c r="HY441" s="50"/>
      <c r="IV441" t="s">
        <v>1109</v>
      </c>
      <c r="IW441" s="75" t="s">
        <v>1106</v>
      </c>
      <c r="IX441" s="12" t="s">
        <v>1107</v>
      </c>
      <c r="IY441" s="46" t="s">
        <v>1110</v>
      </c>
      <c r="IZ441">
        <v>7.5</v>
      </c>
      <c r="JA441">
        <v>56</v>
      </c>
      <c r="JB441" t="s">
        <v>480</v>
      </c>
      <c r="JC441" t="s">
        <v>480</v>
      </c>
      <c r="MY441" t="s">
        <v>1095</v>
      </c>
      <c r="MZ441">
        <v>1963</v>
      </c>
      <c r="NA441" t="s">
        <v>1117</v>
      </c>
      <c r="NB441" t="s">
        <v>1097</v>
      </c>
      <c r="NG441" t="s">
        <v>1118</v>
      </c>
      <c r="NH441" t="s">
        <v>687</v>
      </c>
      <c r="NJ441" t="s">
        <v>1099</v>
      </c>
      <c r="NL441" t="s">
        <v>1099</v>
      </c>
      <c r="NV441" t="s">
        <v>518</v>
      </c>
      <c r="NW441">
        <v>0.6</v>
      </c>
      <c r="NX441" t="s">
        <v>916</v>
      </c>
      <c r="NY441">
        <v>0.8</v>
      </c>
      <c r="OB441">
        <v>7</v>
      </c>
      <c r="OU441" t="s">
        <v>1053</v>
      </c>
      <c r="OW441">
        <v>2010</v>
      </c>
      <c r="PB441" t="s">
        <v>522</v>
      </c>
      <c r="PC441" s="50">
        <v>46108</v>
      </c>
    </row>
    <row r="442" spans="1:419" ht="15.75" thickBot="1">
      <c r="A442" t="s">
        <v>665</v>
      </c>
      <c r="B442" t="s">
        <v>1075</v>
      </c>
      <c r="C442" t="s">
        <v>1076</v>
      </c>
      <c r="D442" s="4" t="s">
        <v>472</v>
      </c>
      <c r="E442" t="s">
        <v>1077</v>
      </c>
      <c r="F442" t="s">
        <v>865</v>
      </c>
      <c r="G442" t="s">
        <v>1078</v>
      </c>
      <c r="H442" s="2" t="s">
        <v>1079</v>
      </c>
      <c r="I442">
        <v>-23.748532000000001</v>
      </c>
      <c r="J442">
        <v>-62.056702000000001</v>
      </c>
      <c r="K442" s="78">
        <v>65000</v>
      </c>
      <c r="AV442" t="s">
        <v>1080</v>
      </c>
      <c r="AW442" t="s">
        <v>866</v>
      </c>
      <c r="AX442">
        <v>3600</v>
      </c>
      <c r="AY442" s="5">
        <v>1</v>
      </c>
      <c r="AZ442" t="s">
        <v>1081</v>
      </c>
      <c r="BA442">
        <v>2010</v>
      </c>
      <c r="BC442" t="s">
        <v>1082</v>
      </c>
      <c r="BD442" t="s">
        <v>1111</v>
      </c>
      <c r="BE442" t="s">
        <v>572</v>
      </c>
      <c r="BF442" t="s">
        <v>1102</v>
      </c>
      <c r="BG442" t="s">
        <v>1112</v>
      </c>
      <c r="BH442" t="s">
        <v>480</v>
      </c>
      <c r="BI442" t="s">
        <v>480</v>
      </c>
      <c r="BJ442" t="s">
        <v>480</v>
      </c>
      <c r="ED442" t="s">
        <v>1085</v>
      </c>
      <c r="EE442" t="s">
        <v>480</v>
      </c>
      <c r="EF442" t="s">
        <v>480</v>
      </c>
      <c r="EG442" t="s">
        <v>537</v>
      </c>
      <c r="EH442" t="s">
        <v>1086</v>
      </c>
      <c r="EI442" t="s">
        <v>480</v>
      </c>
      <c r="EJ442" t="s">
        <v>480</v>
      </c>
      <c r="EK442" t="s">
        <v>537</v>
      </c>
      <c r="EL442" t="s">
        <v>1087</v>
      </c>
      <c r="EM442" t="s">
        <v>480</v>
      </c>
      <c r="EN442" t="s">
        <v>480</v>
      </c>
      <c r="EO442" t="s">
        <v>537</v>
      </c>
      <c r="EP442" t="s">
        <v>1088</v>
      </c>
      <c r="EQ442" t="s">
        <v>480</v>
      </c>
      <c r="ER442" t="s">
        <v>480</v>
      </c>
      <c r="ES442" t="s">
        <v>537</v>
      </c>
      <c r="ET442" t="s">
        <v>1089</v>
      </c>
      <c r="EU442" t="s">
        <v>480</v>
      </c>
      <c r="EV442" t="s">
        <v>480</v>
      </c>
      <c r="EW442" t="s">
        <v>537</v>
      </c>
      <c r="EX442" t="s">
        <v>1090</v>
      </c>
      <c r="EY442" t="s">
        <v>480</v>
      </c>
      <c r="EZ442" t="s">
        <v>480</v>
      </c>
      <c r="FA442" t="s">
        <v>537</v>
      </c>
      <c r="FB442" t="s">
        <v>1091</v>
      </c>
      <c r="FC442" t="s">
        <v>480</v>
      </c>
      <c r="FD442" t="s">
        <v>480</v>
      </c>
      <c r="FF442" s="9"/>
      <c r="FG442" s="9"/>
      <c r="FH442" s="9"/>
      <c r="FI442" s="9"/>
      <c r="FJ442" s="9"/>
      <c r="FK442" s="9"/>
      <c r="FL442" s="9"/>
      <c r="FM442" s="9"/>
      <c r="FN442" s="9"/>
      <c r="FO442" s="9"/>
      <c r="FP442" s="9"/>
      <c r="FQ442" s="9"/>
      <c r="FR442" s="9"/>
      <c r="FS442" s="9"/>
      <c r="FT442" s="9"/>
      <c r="FU442" s="9"/>
      <c r="FV442" s="9"/>
      <c r="FW442" s="9"/>
      <c r="FX442" s="9"/>
      <c r="FY442" s="9"/>
      <c r="FZ442" s="9"/>
      <c r="GA442" s="9"/>
      <c r="GB442" s="9"/>
      <c r="GC442" s="9"/>
      <c r="GD442" s="9"/>
      <c r="GE442" s="9"/>
      <c r="GF442" s="9"/>
      <c r="GG442" s="9"/>
      <c r="GH442" s="9"/>
      <c r="GI442" s="9"/>
      <c r="GJ442" s="9"/>
      <c r="GK442" s="9"/>
      <c r="GL442" s="9" t="s">
        <v>1105</v>
      </c>
      <c r="GM442" s="9" t="s">
        <v>480</v>
      </c>
      <c r="GN442" s="9" t="s">
        <v>480</v>
      </c>
      <c r="GO442" s="9" t="s">
        <v>480</v>
      </c>
      <c r="GP442" s="9"/>
      <c r="GQ442" s="9"/>
      <c r="GR442" s="9"/>
      <c r="GS442" s="9"/>
      <c r="GT442" s="9"/>
      <c r="GU442" s="9"/>
      <c r="GV442" s="9"/>
      <c r="GW442" s="9"/>
      <c r="GX442" s="9"/>
      <c r="GY442" s="9"/>
      <c r="GZ442" s="9"/>
      <c r="HA442" s="9"/>
      <c r="HB442" s="9"/>
      <c r="HC442" s="9"/>
      <c r="HD442" s="9"/>
      <c r="HE442" s="9"/>
      <c r="HF442" s="9"/>
      <c r="HG442" s="9"/>
      <c r="HH442" s="9"/>
      <c r="HI442" s="9"/>
      <c r="HJ442" s="9"/>
      <c r="HK442" s="9"/>
      <c r="HX442" s="50"/>
      <c r="HY442" s="50"/>
      <c r="IV442" t="s">
        <v>1111</v>
      </c>
      <c r="IW442" s="75" t="s">
        <v>1106</v>
      </c>
      <c r="IX442" s="12" t="s">
        <v>1107</v>
      </c>
      <c r="IY442" s="46" t="s">
        <v>1110</v>
      </c>
      <c r="IZ442">
        <v>7.5</v>
      </c>
      <c r="JA442">
        <v>37</v>
      </c>
      <c r="JB442" t="s">
        <v>480</v>
      </c>
      <c r="JC442" t="s">
        <v>480</v>
      </c>
      <c r="MY442" t="s">
        <v>1095</v>
      </c>
      <c r="MZ442">
        <v>1963</v>
      </c>
      <c r="NA442" t="s">
        <v>1117</v>
      </c>
      <c r="NB442" t="s">
        <v>1097</v>
      </c>
      <c r="NG442" t="s">
        <v>1118</v>
      </c>
      <c r="NH442" t="s">
        <v>687</v>
      </c>
      <c r="NJ442" t="s">
        <v>1099</v>
      </c>
      <c r="NL442" t="s">
        <v>1099</v>
      </c>
      <c r="NV442" t="s">
        <v>518</v>
      </c>
      <c r="NW442">
        <v>0.9</v>
      </c>
      <c r="NX442" t="s">
        <v>916</v>
      </c>
      <c r="NY442">
        <v>0.9</v>
      </c>
      <c r="OB442">
        <v>5</v>
      </c>
      <c r="OU442" t="s">
        <v>1053</v>
      </c>
      <c r="OW442">
        <v>2010</v>
      </c>
      <c r="PB442" t="s">
        <v>522</v>
      </c>
      <c r="PC442" s="50">
        <v>46108</v>
      </c>
    </row>
    <row r="443" spans="1:419" ht="15.75" thickBot="1">
      <c r="A443" t="s">
        <v>665</v>
      </c>
      <c r="B443" t="s">
        <v>1075</v>
      </c>
      <c r="C443" t="s">
        <v>1076</v>
      </c>
      <c r="D443" s="4" t="s">
        <v>472</v>
      </c>
      <c r="E443" t="s">
        <v>1077</v>
      </c>
      <c r="F443" t="s">
        <v>865</v>
      </c>
      <c r="G443" t="s">
        <v>1078</v>
      </c>
      <c r="H443" s="2" t="s">
        <v>1079</v>
      </c>
      <c r="I443">
        <v>-23.748532000000001</v>
      </c>
      <c r="J443">
        <v>-62.056702000000001</v>
      </c>
      <c r="K443" s="78">
        <v>65000</v>
      </c>
      <c r="AV443" t="s">
        <v>1080</v>
      </c>
      <c r="AW443" t="s">
        <v>866</v>
      </c>
      <c r="AX443" t="s">
        <v>866</v>
      </c>
      <c r="AY443" s="5">
        <v>1</v>
      </c>
      <c r="AZ443" t="s">
        <v>1081</v>
      </c>
      <c r="BA443">
        <v>2010</v>
      </c>
      <c r="BC443" t="s">
        <v>1082</v>
      </c>
      <c r="BD443" t="s">
        <v>1113</v>
      </c>
      <c r="BE443" t="s">
        <v>483</v>
      </c>
      <c r="BF443" t="s">
        <v>1102</v>
      </c>
      <c r="BG443" t="s">
        <v>1112</v>
      </c>
      <c r="BH443" t="s">
        <v>480</v>
      </c>
      <c r="BI443" t="s">
        <v>480</v>
      </c>
      <c r="BJ443" t="s">
        <v>480</v>
      </c>
      <c r="GL443" t="s">
        <v>1105</v>
      </c>
      <c r="GM443" s="9" t="s">
        <v>480</v>
      </c>
      <c r="GN443" s="9" t="s">
        <v>480</v>
      </c>
      <c r="GO443" s="9" t="s">
        <v>480</v>
      </c>
      <c r="HY443" s="50"/>
      <c r="IV443" t="s">
        <v>1113</v>
      </c>
      <c r="IW443" s="46" t="s">
        <v>1114</v>
      </c>
      <c r="IX443" s="46" t="s">
        <v>1114</v>
      </c>
      <c r="IY443" s="46" t="s">
        <v>1115</v>
      </c>
      <c r="IZ443">
        <v>1</v>
      </c>
      <c r="JA443">
        <v>6</v>
      </c>
      <c r="JB443" t="s">
        <v>480</v>
      </c>
      <c r="JC443" t="s">
        <v>480</v>
      </c>
      <c r="MY443" t="s">
        <v>1095</v>
      </c>
      <c r="MZ443">
        <v>1963</v>
      </c>
      <c r="NA443" t="s">
        <v>1117</v>
      </c>
      <c r="NB443" t="s">
        <v>1097</v>
      </c>
      <c r="NG443" t="s">
        <v>1118</v>
      </c>
      <c r="NH443" t="s">
        <v>687</v>
      </c>
      <c r="NJ443" t="s">
        <v>1099</v>
      </c>
      <c r="NL443" t="s">
        <v>1099</v>
      </c>
      <c r="NU443" t="s">
        <v>1116</v>
      </c>
      <c r="NV443" t="s">
        <v>518</v>
      </c>
      <c r="NW443">
        <v>0.9</v>
      </c>
      <c r="NX443" t="s">
        <v>916</v>
      </c>
      <c r="NY443">
        <v>0.7</v>
      </c>
      <c r="OB443">
        <v>7</v>
      </c>
      <c r="OU443" t="s">
        <v>1053</v>
      </c>
      <c r="OW443">
        <v>2010</v>
      </c>
      <c r="PB443" t="s">
        <v>522</v>
      </c>
      <c r="PC443" s="50">
        <v>46108</v>
      </c>
    </row>
    <row r="444" spans="1:419" ht="15.75" thickBot="1">
      <c r="A444" t="s">
        <v>665</v>
      </c>
      <c r="B444" t="s">
        <v>1075</v>
      </c>
      <c r="C444" t="s">
        <v>1076</v>
      </c>
      <c r="D444" s="4" t="s">
        <v>472</v>
      </c>
      <c r="E444" t="s">
        <v>1077</v>
      </c>
      <c r="F444" t="s">
        <v>865</v>
      </c>
      <c r="G444" t="s">
        <v>1078</v>
      </c>
      <c r="H444" s="2" t="s">
        <v>1079</v>
      </c>
      <c r="I444">
        <v>-23.748532000000001</v>
      </c>
      <c r="J444">
        <v>-62.056702000000001</v>
      </c>
      <c r="K444" s="78">
        <v>65000</v>
      </c>
      <c r="AV444" t="s">
        <v>1080</v>
      </c>
      <c r="AW444" t="s">
        <v>866</v>
      </c>
      <c r="AX444">
        <v>1000</v>
      </c>
      <c r="AY444" s="5">
        <v>1</v>
      </c>
      <c r="AZ444" t="s">
        <v>1081</v>
      </c>
      <c r="BA444">
        <v>2010</v>
      </c>
      <c r="BC444" t="s">
        <v>1082</v>
      </c>
      <c r="BD444" t="s">
        <v>1083</v>
      </c>
      <c r="BE444" t="s">
        <v>524</v>
      </c>
      <c r="BF444" t="s">
        <v>1084</v>
      </c>
      <c r="ED444" t="s">
        <v>1085</v>
      </c>
      <c r="EE444" t="s">
        <v>480</v>
      </c>
      <c r="EF444" t="s">
        <v>480</v>
      </c>
      <c r="EG444" t="s">
        <v>537</v>
      </c>
      <c r="EH444" t="s">
        <v>1086</v>
      </c>
      <c r="EI444" t="s">
        <v>480</v>
      </c>
      <c r="EJ444" t="s">
        <v>480</v>
      </c>
      <c r="EK444" t="s">
        <v>537</v>
      </c>
      <c r="EL444" t="s">
        <v>1087</v>
      </c>
      <c r="EM444" t="s">
        <v>480</v>
      </c>
      <c r="EN444" t="s">
        <v>480</v>
      </c>
      <c r="EO444" t="s">
        <v>537</v>
      </c>
      <c r="EP444" t="s">
        <v>1088</v>
      </c>
      <c r="EQ444" t="s">
        <v>480</v>
      </c>
      <c r="ER444" t="s">
        <v>480</v>
      </c>
      <c r="ES444" t="s">
        <v>537</v>
      </c>
      <c r="ET444" t="s">
        <v>1089</v>
      </c>
      <c r="EU444" t="s">
        <v>480</v>
      </c>
      <c r="EV444" t="s">
        <v>480</v>
      </c>
      <c r="EW444" t="s">
        <v>537</v>
      </c>
      <c r="EX444" t="s">
        <v>1090</v>
      </c>
      <c r="EY444" t="s">
        <v>480</v>
      </c>
      <c r="EZ444" t="s">
        <v>480</v>
      </c>
      <c r="FA444" t="s">
        <v>537</v>
      </c>
      <c r="FB444" t="s">
        <v>1091</v>
      </c>
      <c r="FC444" t="s">
        <v>480</v>
      </c>
      <c r="FD444" t="s">
        <v>480</v>
      </c>
      <c r="HY444" s="50"/>
      <c r="IV444" t="s">
        <v>1083</v>
      </c>
      <c r="IW444" t="s">
        <v>1092</v>
      </c>
      <c r="IX444" t="s">
        <v>1092</v>
      </c>
      <c r="IY444" t="s">
        <v>1092</v>
      </c>
      <c r="IZ444">
        <v>5</v>
      </c>
      <c r="JA444">
        <v>70</v>
      </c>
      <c r="JB444" t="s">
        <v>480</v>
      </c>
      <c r="JC444" t="s">
        <v>480</v>
      </c>
      <c r="MT444" t="s">
        <v>1083</v>
      </c>
      <c r="MU444" s="185" t="s">
        <v>1092</v>
      </c>
      <c r="MV444" t="s">
        <v>480</v>
      </c>
      <c r="MW444" s="185" t="s">
        <v>1093</v>
      </c>
      <c r="MX444" s="185" t="s">
        <v>1094</v>
      </c>
      <c r="MY444" t="s">
        <v>1095</v>
      </c>
      <c r="MZ444">
        <v>1963</v>
      </c>
      <c r="NA444" t="s">
        <v>1119</v>
      </c>
      <c r="NB444" t="s">
        <v>1097</v>
      </c>
      <c r="NG444" t="s">
        <v>1120</v>
      </c>
      <c r="NH444" t="s">
        <v>687</v>
      </c>
      <c r="NJ444" t="s">
        <v>1099</v>
      </c>
      <c r="NL444" t="s">
        <v>1099</v>
      </c>
      <c r="NU444" t="s">
        <v>1100</v>
      </c>
      <c r="NV444" t="s">
        <v>518</v>
      </c>
      <c r="NW444">
        <v>5.6</v>
      </c>
      <c r="NX444" t="s">
        <v>916</v>
      </c>
      <c r="NY444">
        <v>2.2999999999999998</v>
      </c>
      <c r="OB444">
        <v>6</v>
      </c>
      <c r="OU444" t="s">
        <v>1053</v>
      </c>
      <c r="OW444">
        <v>2010</v>
      </c>
      <c r="PB444" t="s">
        <v>522</v>
      </c>
      <c r="PC444" s="50">
        <v>46108</v>
      </c>
    </row>
    <row r="445" spans="1:419" ht="15.75" thickBot="1">
      <c r="A445" t="s">
        <v>665</v>
      </c>
      <c r="B445" t="s">
        <v>1075</v>
      </c>
      <c r="C445" t="s">
        <v>1076</v>
      </c>
      <c r="D445" s="4" t="s">
        <v>472</v>
      </c>
      <c r="E445" t="s">
        <v>1077</v>
      </c>
      <c r="F445" t="s">
        <v>865</v>
      </c>
      <c r="G445" t="s">
        <v>1078</v>
      </c>
      <c r="H445" s="2" t="s">
        <v>1079</v>
      </c>
      <c r="I445">
        <v>-23.748532000000001</v>
      </c>
      <c r="J445">
        <v>-62.056702000000001</v>
      </c>
      <c r="K445" s="78">
        <v>65000</v>
      </c>
      <c r="AV445" t="s">
        <v>1080</v>
      </c>
      <c r="AW445" t="s">
        <v>866</v>
      </c>
      <c r="AX445" t="s">
        <v>866</v>
      </c>
      <c r="AY445" s="5">
        <v>1</v>
      </c>
      <c r="AZ445" t="s">
        <v>1081</v>
      </c>
      <c r="BA445">
        <v>2010</v>
      </c>
      <c r="BC445" t="s">
        <v>1082</v>
      </c>
      <c r="BD445" t="s">
        <v>1101</v>
      </c>
      <c r="BE445" t="s">
        <v>536</v>
      </c>
      <c r="BF445" t="s">
        <v>1102</v>
      </c>
      <c r="BG445" t="s">
        <v>1103</v>
      </c>
      <c r="BH445" t="s">
        <v>1104</v>
      </c>
      <c r="BI445" t="s">
        <v>480</v>
      </c>
      <c r="BJ445" t="s">
        <v>480</v>
      </c>
      <c r="ED445" t="s">
        <v>1085</v>
      </c>
      <c r="EE445" t="s">
        <v>480</v>
      </c>
      <c r="EF445" t="s">
        <v>480</v>
      </c>
      <c r="EG445" t="s">
        <v>537</v>
      </c>
      <c r="EH445" t="s">
        <v>1086</v>
      </c>
      <c r="EI445" t="s">
        <v>480</v>
      </c>
      <c r="EJ445" t="s">
        <v>480</v>
      </c>
      <c r="EK445" t="s">
        <v>537</v>
      </c>
      <c r="EL445" t="s">
        <v>1087</v>
      </c>
      <c r="EM445" t="s">
        <v>480</v>
      </c>
      <c r="EN445" t="s">
        <v>480</v>
      </c>
      <c r="EO445" t="s">
        <v>537</v>
      </c>
      <c r="EP445" t="s">
        <v>1088</v>
      </c>
      <c r="EQ445" t="s">
        <v>480</v>
      </c>
      <c r="ER445" t="s">
        <v>480</v>
      </c>
      <c r="ES445" t="s">
        <v>537</v>
      </c>
      <c r="ET445" t="s">
        <v>1089</v>
      </c>
      <c r="EU445" t="s">
        <v>480</v>
      </c>
      <c r="EV445" t="s">
        <v>480</v>
      </c>
      <c r="EW445" t="s">
        <v>537</v>
      </c>
      <c r="EX445" t="s">
        <v>1090</v>
      </c>
      <c r="EY445" t="s">
        <v>480</v>
      </c>
      <c r="EZ445" t="s">
        <v>480</v>
      </c>
      <c r="FA445" t="s">
        <v>537</v>
      </c>
      <c r="FB445" t="s">
        <v>1091</v>
      </c>
      <c r="FC445" t="s">
        <v>480</v>
      </c>
      <c r="FD445" t="s">
        <v>480</v>
      </c>
      <c r="GL445" t="s">
        <v>1105</v>
      </c>
      <c r="GM445" s="9" t="s">
        <v>480</v>
      </c>
      <c r="GN445" s="9" t="s">
        <v>480</v>
      </c>
      <c r="GO445" s="9" t="s">
        <v>480</v>
      </c>
      <c r="GP445" s="9"/>
      <c r="GQ445" s="9"/>
      <c r="GR445" s="9"/>
      <c r="GS445" s="9"/>
      <c r="GT445" s="9"/>
      <c r="GU445" s="9"/>
      <c r="GV445" s="9"/>
      <c r="GW445" s="9"/>
      <c r="GX445" s="9"/>
      <c r="GY445" s="9"/>
      <c r="GZ445" s="9"/>
      <c r="HA445" s="9"/>
      <c r="HB445" s="9"/>
      <c r="HC445" s="9"/>
      <c r="HD445" s="9"/>
      <c r="HE445" s="9"/>
      <c r="HF445" s="9"/>
      <c r="HG445" s="9"/>
      <c r="HH445" s="9"/>
      <c r="HI445" s="9"/>
      <c r="HJ445" s="9"/>
      <c r="HK445" s="9"/>
      <c r="HX445" s="50"/>
      <c r="HY445" s="50"/>
      <c r="IV445" t="s">
        <v>1101</v>
      </c>
      <c r="IW445" s="75" t="s">
        <v>1106</v>
      </c>
      <c r="IX445" t="s">
        <v>1107</v>
      </c>
      <c r="IY445" s="46" t="s">
        <v>1108</v>
      </c>
      <c r="IZ445">
        <v>1</v>
      </c>
      <c r="JA445">
        <v>81</v>
      </c>
      <c r="JB445" t="s">
        <v>480</v>
      </c>
      <c r="JC445" t="s">
        <v>480</v>
      </c>
      <c r="MY445" t="s">
        <v>1095</v>
      </c>
      <c r="MZ445">
        <v>1963</v>
      </c>
      <c r="NA445" t="s">
        <v>1119</v>
      </c>
      <c r="NB445" t="s">
        <v>1097</v>
      </c>
      <c r="NG445" t="s">
        <v>1120</v>
      </c>
      <c r="NH445" t="s">
        <v>687</v>
      </c>
      <c r="NJ445" t="s">
        <v>1099</v>
      </c>
      <c r="NL445" t="s">
        <v>1099</v>
      </c>
      <c r="NV445" t="s">
        <v>518</v>
      </c>
      <c r="NW445">
        <v>5.0999999999999996</v>
      </c>
      <c r="NX445" t="s">
        <v>916</v>
      </c>
      <c r="NY445">
        <v>2.2999999999999998</v>
      </c>
      <c r="OB445">
        <v>8</v>
      </c>
      <c r="OU445" t="s">
        <v>1053</v>
      </c>
      <c r="OW445">
        <v>2010</v>
      </c>
      <c r="PB445" t="s">
        <v>522</v>
      </c>
      <c r="PC445" s="50">
        <v>46108</v>
      </c>
    </row>
    <row r="446" spans="1:419" ht="15.75" thickBot="1">
      <c r="A446" t="s">
        <v>665</v>
      </c>
      <c r="B446" t="s">
        <v>1075</v>
      </c>
      <c r="C446" t="s">
        <v>1076</v>
      </c>
      <c r="D446" s="4" t="s">
        <v>472</v>
      </c>
      <c r="E446" t="s">
        <v>1077</v>
      </c>
      <c r="F446" t="s">
        <v>865</v>
      </c>
      <c r="G446" t="s">
        <v>1078</v>
      </c>
      <c r="H446" s="2" t="s">
        <v>1079</v>
      </c>
      <c r="I446">
        <v>-23.748532000000001</v>
      </c>
      <c r="J446">
        <v>-62.056702000000001</v>
      </c>
      <c r="K446" s="78">
        <v>65000</v>
      </c>
      <c r="AV446" t="s">
        <v>1080</v>
      </c>
      <c r="AW446" t="s">
        <v>866</v>
      </c>
      <c r="AX446">
        <v>3600</v>
      </c>
      <c r="AY446" s="5">
        <v>1</v>
      </c>
      <c r="AZ446" t="s">
        <v>1081</v>
      </c>
      <c r="BA446">
        <v>2010</v>
      </c>
      <c r="BC446" t="s">
        <v>1082</v>
      </c>
      <c r="BD446" t="s">
        <v>1109</v>
      </c>
      <c r="BE446" t="s">
        <v>566</v>
      </c>
      <c r="BF446" t="s">
        <v>1102</v>
      </c>
      <c r="BG446" t="s">
        <v>1103</v>
      </c>
      <c r="BH446" t="s">
        <v>480</v>
      </c>
      <c r="BI446" t="s">
        <v>480</v>
      </c>
      <c r="BJ446" t="s">
        <v>480</v>
      </c>
      <c r="ED446" t="s">
        <v>1085</v>
      </c>
      <c r="EE446" t="s">
        <v>480</v>
      </c>
      <c r="EF446" t="s">
        <v>480</v>
      </c>
      <c r="EG446" t="s">
        <v>537</v>
      </c>
      <c r="EH446" t="s">
        <v>1086</v>
      </c>
      <c r="EI446" t="s">
        <v>480</v>
      </c>
      <c r="EJ446" t="s">
        <v>480</v>
      </c>
      <c r="EK446" t="s">
        <v>537</v>
      </c>
      <c r="EL446" t="s">
        <v>1087</v>
      </c>
      <c r="EM446" t="s">
        <v>480</v>
      </c>
      <c r="EN446" t="s">
        <v>480</v>
      </c>
      <c r="EO446" t="s">
        <v>537</v>
      </c>
      <c r="EP446" t="s">
        <v>1088</v>
      </c>
      <c r="EQ446" t="s">
        <v>480</v>
      </c>
      <c r="ER446" t="s">
        <v>480</v>
      </c>
      <c r="ES446" t="s">
        <v>537</v>
      </c>
      <c r="ET446" t="s">
        <v>1089</v>
      </c>
      <c r="EU446" t="s">
        <v>480</v>
      </c>
      <c r="EV446" t="s">
        <v>480</v>
      </c>
      <c r="EW446" t="s">
        <v>537</v>
      </c>
      <c r="EX446" t="s">
        <v>1090</v>
      </c>
      <c r="EY446" t="s">
        <v>480</v>
      </c>
      <c r="EZ446" t="s">
        <v>480</v>
      </c>
      <c r="FA446" t="s">
        <v>537</v>
      </c>
      <c r="FB446" t="s">
        <v>1091</v>
      </c>
      <c r="FC446" t="s">
        <v>480</v>
      </c>
      <c r="FD446" t="s">
        <v>480</v>
      </c>
      <c r="FF446" s="9"/>
      <c r="FG446" s="9"/>
      <c r="FH446" s="9"/>
      <c r="FI446" s="9"/>
      <c r="FJ446" s="9"/>
      <c r="FK446" s="9"/>
      <c r="FL446" s="9"/>
      <c r="FM446" s="9"/>
      <c r="FN446" s="9"/>
      <c r="FO446" s="9"/>
      <c r="FP446" s="9"/>
      <c r="FQ446" s="9"/>
      <c r="FR446" s="9"/>
      <c r="FS446" s="9"/>
      <c r="FT446" s="9"/>
      <c r="FU446" s="9"/>
      <c r="FV446" s="9"/>
      <c r="FW446" s="9"/>
      <c r="FX446" s="9"/>
      <c r="FY446" s="9"/>
      <c r="FZ446" s="9"/>
      <c r="GA446" s="9"/>
      <c r="GB446" s="9"/>
      <c r="GC446" s="9"/>
      <c r="GD446" s="9"/>
      <c r="GE446" s="9"/>
      <c r="GF446" s="9"/>
      <c r="GG446" s="9"/>
      <c r="GH446" s="9"/>
      <c r="GI446" s="9"/>
      <c r="GJ446" s="9"/>
      <c r="GK446" s="9"/>
      <c r="GL446" s="9" t="s">
        <v>1105</v>
      </c>
      <c r="GM446" s="9" t="s">
        <v>480</v>
      </c>
      <c r="GN446" s="9" t="s">
        <v>480</v>
      </c>
      <c r="GO446" s="9" t="s">
        <v>480</v>
      </c>
      <c r="GP446" s="9"/>
      <c r="GQ446" s="9"/>
      <c r="GR446" s="9"/>
      <c r="GS446" s="9"/>
      <c r="GT446" s="9"/>
      <c r="GU446" s="9"/>
      <c r="GV446" s="9"/>
      <c r="GW446" s="9"/>
      <c r="GX446" s="9"/>
      <c r="GY446" s="9"/>
      <c r="GZ446" s="9"/>
      <c r="HA446" s="9"/>
      <c r="HB446" s="9"/>
      <c r="HC446" s="9"/>
      <c r="HD446" s="9"/>
      <c r="HE446" s="9"/>
      <c r="HF446" s="9"/>
      <c r="HG446" s="9"/>
      <c r="HH446" s="9"/>
      <c r="HI446" s="9"/>
      <c r="HJ446" s="9"/>
      <c r="HK446" s="9"/>
      <c r="HX446" s="50"/>
      <c r="HY446" s="50"/>
      <c r="IV446" t="s">
        <v>1109</v>
      </c>
      <c r="IW446" s="75" t="s">
        <v>1106</v>
      </c>
      <c r="IX446" s="12" t="s">
        <v>1107</v>
      </c>
      <c r="IY446" s="46" t="s">
        <v>1110</v>
      </c>
      <c r="IZ446">
        <v>7.5</v>
      </c>
      <c r="JA446">
        <v>56</v>
      </c>
      <c r="JB446" t="s">
        <v>480</v>
      </c>
      <c r="JC446" t="s">
        <v>480</v>
      </c>
      <c r="MY446" t="s">
        <v>1095</v>
      </c>
      <c r="MZ446">
        <v>1963</v>
      </c>
      <c r="NA446" t="s">
        <v>1119</v>
      </c>
      <c r="NB446" t="s">
        <v>1097</v>
      </c>
      <c r="NG446" t="s">
        <v>1120</v>
      </c>
      <c r="NH446" t="s">
        <v>687</v>
      </c>
      <c r="NJ446" t="s">
        <v>1099</v>
      </c>
      <c r="NL446" t="s">
        <v>1099</v>
      </c>
      <c r="NV446" t="s">
        <v>518</v>
      </c>
      <c r="NW446">
        <v>5.0999999999999996</v>
      </c>
      <c r="NX446" t="s">
        <v>916</v>
      </c>
      <c r="NY446">
        <v>2.1</v>
      </c>
      <c r="OB446">
        <v>7</v>
      </c>
      <c r="OU446" t="s">
        <v>1053</v>
      </c>
      <c r="OW446">
        <v>2010</v>
      </c>
      <c r="PB446" t="s">
        <v>522</v>
      </c>
      <c r="PC446" s="50">
        <v>46108</v>
      </c>
    </row>
    <row r="447" spans="1:419" ht="15.75" thickBot="1">
      <c r="A447" t="s">
        <v>665</v>
      </c>
      <c r="B447" t="s">
        <v>1075</v>
      </c>
      <c r="C447" t="s">
        <v>1076</v>
      </c>
      <c r="D447" s="4" t="s">
        <v>472</v>
      </c>
      <c r="E447" t="s">
        <v>1077</v>
      </c>
      <c r="F447" t="s">
        <v>865</v>
      </c>
      <c r="G447" t="s">
        <v>1078</v>
      </c>
      <c r="H447" s="2" t="s">
        <v>1079</v>
      </c>
      <c r="I447">
        <v>-23.748532000000001</v>
      </c>
      <c r="J447">
        <v>-62.056702000000001</v>
      </c>
      <c r="K447" s="78">
        <v>65000</v>
      </c>
      <c r="AV447" t="s">
        <v>1080</v>
      </c>
      <c r="AW447" t="s">
        <v>866</v>
      </c>
      <c r="AX447">
        <v>3600</v>
      </c>
      <c r="AY447" s="5">
        <v>1</v>
      </c>
      <c r="AZ447" t="s">
        <v>1081</v>
      </c>
      <c r="BA447">
        <v>2010</v>
      </c>
      <c r="BC447" t="s">
        <v>1082</v>
      </c>
      <c r="BD447" t="s">
        <v>1111</v>
      </c>
      <c r="BE447" t="s">
        <v>572</v>
      </c>
      <c r="BF447" t="s">
        <v>1102</v>
      </c>
      <c r="BG447" t="s">
        <v>1112</v>
      </c>
      <c r="BH447" t="s">
        <v>480</v>
      </c>
      <c r="BI447" t="s">
        <v>480</v>
      </c>
      <c r="BJ447" t="s">
        <v>480</v>
      </c>
      <c r="ED447" t="s">
        <v>1085</v>
      </c>
      <c r="EE447" t="s">
        <v>480</v>
      </c>
      <c r="EF447" t="s">
        <v>480</v>
      </c>
      <c r="EG447" t="s">
        <v>537</v>
      </c>
      <c r="EH447" t="s">
        <v>1086</v>
      </c>
      <c r="EI447" t="s">
        <v>480</v>
      </c>
      <c r="EJ447" t="s">
        <v>480</v>
      </c>
      <c r="EK447" t="s">
        <v>537</v>
      </c>
      <c r="EL447" t="s">
        <v>1087</v>
      </c>
      <c r="EM447" t="s">
        <v>480</v>
      </c>
      <c r="EN447" t="s">
        <v>480</v>
      </c>
      <c r="EO447" t="s">
        <v>537</v>
      </c>
      <c r="EP447" t="s">
        <v>1088</v>
      </c>
      <c r="EQ447" t="s">
        <v>480</v>
      </c>
      <c r="ER447" t="s">
        <v>480</v>
      </c>
      <c r="ES447" t="s">
        <v>537</v>
      </c>
      <c r="ET447" t="s">
        <v>1089</v>
      </c>
      <c r="EU447" t="s">
        <v>480</v>
      </c>
      <c r="EV447" t="s">
        <v>480</v>
      </c>
      <c r="EW447" t="s">
        <v>537</v>
      </c>
      <c r="EX447" t="s">
        <v>1090</v>
      </c>
      <c r="EY447" t="s">
        <v>480</v>
      </c>
      <c r="EZ447" t="s">
        <v>480</v>
      </c>
      <c r="FA447" t="s">
        <v>537</v>
      </c>
      <c r="FB447" t="s">
        <v>1091</v>
      </c>
      <c r="FC447" t="s">
        <v>480</v>
      </c>
      <c r="FD447" t="s">
        <v>480</v>
      </c>
      <c r="FF447" s="9"/>
      <c r="FG447" s="9"/>
      <c r="FH447" s="9"/>
      <c r="FI447" s="9"/>
      <c r="FJ447" s="9"/>
      <c r="FK447" s="9"/>
      <c r="FL447" s="9"/>
      <c r="FM447" s="9"/>
      <c r="FN447" s="9"/>
      <c r="FO447" s="9"/>
      <c r="FP447" s="9"/>
      <c r="FQ447" s="9"/>
      <c r="FR447" s="9"/>
      <c r="FS447" s="9"/>
      <c r="FT447" s="9"/>
      <c r="FU447" s="9"/>
      <c r="FV447" s="9"/>
      <c r="FW447" s="9"/>
      <c r="FX447" s="9"/>
      <c r="FY447" s="9"/>
      <c r="FZ447" s="9"/>
      <c r="GA447" s="9"/>
      <c r="GB447" s="9"/>
      <c r="GC447" s="9"/>
      <c r="GD447" s="9"/>
      <c r="GE447" s="9"/>
      <c r="GF447" s="9"/>
      <c r="GG447" s="9"/>
      <c r="GH447" s="9"/>
      <c r="GI447" s="9"/>
      <c r="GJ447" s="9"/>
      <c r="GK447" s="9"/>
      <c r="GL447" s="9" t="s">
        <v>1105</v>
      </c>
      <c r="GM447" s="9" t="s">
        <v>480</v>
      </c>
      <c r="GN447" s="9" t="s">
        <v>480</v>
      </c>
      <c r="GO447" s="9" t="s">
        <v>480</v>
      </c>
      <c r="GP447" s="9"/>
      <c r="GQ447" s="9"/>
      <c r="GR447" s="9"/>
      <c r="GS447" s="9"/>
      <c r="GT447" s="9"/>
      <c r="GU447" s="9"/>
      <c r="GV447" s="9"/>
      <c r="GW447" s="9"/>
      <c r="GX447" s="9"/>
      <c r="GY447" s="9"/>
      <c r="GZ447" s="9"/>
      <c r="HA447" s="9"/>
      <c r="HB447" s="9"/>
      <c r="HC447" s="9"/>
      <c r="HD447" s="9"/>
      <c r="HE447" s="9"/>
      <c r="HF447" s="9"/>
      <c r="HG447" s="9"/>
      <c r="HH447" s="9"/>
      <c r="HI447" s="9"/>
      <c r="HJ447" s="9"/>
      <c r="HK447" s="9"/>
      <c r="HX447" s="50"/>
      <c r="HY447" s="50"/>
      <c r="IV447" t="s">
        <v>1111</v>
      </c>
      <c r="IW447" s="75" t="s">
        <v>1106</v>
      </c>
      <c r="IX447" s="12" t="s">
        <v>1107</v>
      </c>
      <c r="IY447" s="46" t="s">
        <v>1110</v>
      </c>
      <c r="IZ447">
        <v>7.5</v>
      </c>
      <c r="JA447">
        <v>37</v>
      </c>
      <c r="JB447" t="s">
        <v>480</v>
      </c>
      <c r="JC447" t="s">
        <v>480</v>
      </c>
      <c r="MY447" t="s">
        <v>1095</v>
      </c>
      <c r="MZ447">
        <v>1963</v>
      </c>
      <c r="NA447" t="s">
        <v>1119</v>
      </c>
      <c r="NB447" t="s">
        <v>1097</v>
      </c>
      <c r="NG447" t="s">
        <v>1120</v>
      </c>
      <c r="NH447" t="s">
        <v>687</v>
      </c>
      <c r="NJ447" t="s">
        <v>1099</v>
      </c>
      <c r="NL447" t="s">
        <v>1099</v>
      </c>
      <c r="NV447" t="s">
        <v>518</v>
      </c>
      <c r="NW447">
        <v>4.5999999999999996</v>
      </c>
      <c r="NX447" t="s">
        <v>916</v>
      </c>
      <c r="NY447">
        <v>2.4</v>
      </c>
      <c r="OB447">
        <v>5</v>
      </c>
      <c r="OU447" t="s">
        <v>1053</v>
      </c>
      <c r="OW447">
        <v>2010</v>
      </c>
      <c r="PB447" t="s">
        <v>522</v>
      </c>
      <c r="PC447" s="50">
        <v>46108</v>
      </c>
    </row>
    <row r="448" spans="1:419" ht="15.75" thickBot="1">
      <c r="A448" t="s">
        <v>665</v>
      </c>
      <c r="B448" t="s">
        <v>1075</v>
      </c>
      <c r="C448" t="s">
        <v>1076</v>
      </c>
      <c r="D448" s="4" t="s">
        <v>472</v>
      </c>
      <c r="E448" t="s">
        <v>1077</v>
      </c>
      <c r="F448" t="s">
        <v>865</v>
      </c>
      <c r="G448" t="s">
        <v>1078</v>
      </c>
      <c r="H448" s="2" t="s">
        <v>1079</v>
      </c>
      <c r="I448">
        <v>-23.748532000000001</v>
      </c>
      <c r="J448">
        <v>-62.056702000000001</v>
      </c>
      <c r="K448" s="78">
        <v>65000</v>
      </c>
      <c r="AV448" t="s">
        <v>1080</v>
      </c>
      <c r="AW448" t="s">
        <v>866</v>
      </c>
      <c r="AX448" t="s">
        <v>866</v>
      </c>
      <c r="AY448" s="5">
        <v>1</v>
      </c>
      <c r="AZ448" t="s">
        <v>1081</v>
      </c>
      <c r="BA448">
        <v>2010</v>
      </c>
      <c r="BC448" t="s">
        <v>1082</v>
      </c>
      <c r="BD448" t="s">
        <v>1113</v>
      </c>
      <c r="BE448" t="s">
        <v>483</v>
      </c>
      <c r="BF448" t="s">
        <v>1102</v>
      </c>
      <c r="BG448" t="s">
        <v>1112</v>
      </c>
      <c r="BH448" t="s">
        <v>480</v>
      </c>
      <c r="BI448" t="s">
        <v>480</v>
      </c>
      <c r="BJ448" t="s">
        <v>480</v>
      </c>
      <c r="GL448" t="s">
        <v>1105</v>
      </c>
      <c r="GM448" s="9" t="s">
        <v>480</v>
      </c>
      <c r="GN448" s="9" t="s">
        <v>480</v>
      </c>
      <c r="GO448" s="9" t="s">
        <v>480</v>
      </c>
      <c r="HY448" s="50"/>
      <c r="IV448" t="s">
        <v>1113</v>
      </c>
      <c r="IW448" s="46" t="s">
        <v>1114</v>
      </c>
      <c r="IX448" s="46" t="s">
        <v>1114</v>
      </c>
      <c r="IY448" s="46" t="s">
        <v>1115</v>
      </c>
      <c r="IZ448">
        <v>1</v>
      </c>
      <c r="JA448">
        <v>6</v>
      </c>
      <c r="JB448" t="s">
        <v>480</v>
      </c>
      <c r="JC448" t="s">
        <v>480</v>
      </c>
      <c r="MY448" t="s">
        <v>1095</v>
      </c>
      <c r="MZ448">
        <v>1963</v>
      </c>
      <c r="NA448" t="s">
        <v>1119</v>
      </c>
      <c r="NB448" t="s">
        <v>1097</v>
      </c>
      <c r="NG448" t="s">
        <v>1120</v>
      </c>
      <c r="NH448" t="s">
        <v>687</v>
      </c>
      <c r="NJ448" t="s">
        <v>1099</v>
      </c>
      <c r="NL448" t="s">
        <v>1099</v>
      </c>
      <c r="NU448" t="s">
        <v>1116</v>
      </c>
      <c r="NV448" t="s">
        <v>518</v>
      </c>
      <c r="NW448">
        <v>1.3</v>
      </c>
      <c r="NX448" t="s">
        <v>916</v>
      </c>
      <c r="NY448">
        <v>1.3</v>
      </c>
      <c r="OB448">
        <v>7</v>
      </c>
      <c r="OU448" t="s">
        <v>1053</v>
      </c>
      <c r="OW448">
        <v>2010</v>
      </c>
      <c r="PB448" t="s">
        <v>522</v>
      </c>
      <c r="PC448" s="50">
        <v>46108</v>
      </c>
    </row>
    <row r="449" spans="1:419" ht="15.75" thickBot="1">
      <c r="A449" t="s">
        <v>665</v>
      </c>
      <c r="B449" t="s">
        <v>1075</v>
      </c>
      <c r="C449" t="s">
        <v>1076</v>
      </c>
      <c r="D449" s="4" t="s">
        <v>472</v>
      </c>
      <c r="E449" t="s">
        <v>1077</v>
      </c>
      <c r="F449" t="s">
        <v>865</v>
      </c>
      <c r="G449" t="s">
        <v>1078</v>
      </c>
      <c r="H449" s="2" t="s">
        <v>1079</v>
      </c>
      <c r="I449">
        <v>-23.748532000000001</v>
      </c>
      <c r="J449">
        <v>-62.056702000000001</v>
      </c>
      <c r="K449" s="78">
        <v>65000</v>
      </c>
      <c r="AV449" t="s">
        <v>1080</v>
      </c>
      <c r="AW449" t="s">
        <v>866</v>
      </c>
      <c r="AX449">
        <v>1000</v>
      </c>
      <c r="AY449" s="5">
        <v>1</v>
      </c>
      <c r="AZ449" t="s">
        <v>1081</v>
      </c>
      <c r="BA449">
        <v>2010</v>
      </c>
      <c r="BC449" t="s">
        <v>1082</v>
      </c>
      <c r="BD449" t="s">
        <v>1083</v>
      </c>
      <c r="BE449" t="s">
        <v>524</v>
      </c>
      <c r="BF449" t="s">
        <v>1084</v>
      </c>
      <c r="ED449" t="s">
        <v>1085</v>
      </c>
      <c r="EE449" t="s">
        <v>480</v>
      </c>
      <c r="EF449" t="s">
        <v>480</v>
      </c>
      <c r="EG449" t="s">
        <v>537</v>
      </c>
      <c r="EH449" t="s">
        <v>1086</v>
      </c>
      <c r="EI449" t="s">
        <v>480</v>
      </c>
      <c r="EJ449" t="s">
        <v>480</v>
      </c>
      <c r="EK449" t="s">
        <v>537</v>
      </c>
      <c r="EL449" t="s">
        <v>1087</v>
      </c>
      <c r="EM449" t="s">
        <v>480</v>
      </c>
      <c r="EN449" t="s">
        <v>480</v>
      </c>
      <c r="EO449" t="s">
        <v>537</v>
      </c>
      <c r="EP449" t="s">
        <v>1088</v>
      </c>
      <c r="EQ449" t="s">
        <v>480</v>
      </c>
      <c r="ER449" t="s">
        <v>480</v>
      </c>
      <c r="ES449" t="s">
        <v>537</v>
      </c>
      <c r="ET449" t="s">
        <v>1089</v>
      </c>
      <c r="EU449" t="s">
        <v>480</v>
      </c>
      <c r="EV449" t="s">
        <v>480</v>
      </c>
      <c r="EW449" t="s">
        <v>537</v>
      </c>
      <c r="EX449" t="s">
        <v>1090</v>
      </c>
      <c r="EY449" t="s">
        <v>480</v>
      </c>
      <c r="EZ449" t="s">
        <v>480</v>
      </c>
      <c r="FA449" t="s">
        <v>537</v>
      </c>
      <c r="FB449" t="s">
        <v>1091</v>
      </c>
      <c r="FC449" t="s">
        <v>480</v>
      </c>
      <c r="FD449" t="s">
        <v>480</v>
      </c>
      <c r="HY449" s="50"/>
      <c r="IV449" t="s">
        <v>1083</v>
      </c>
      <c r="IW449" t="s">
        <v>1092</v>
      </c>
      <c r="IX449" t="s">
        <v>1092</v>
      </c>
      <c r="IY449" t="s">
        <v>1092</v>
      </c>
      <c r="IZ449">
        <v>5</v>
      </c>
      <c r="JA449">
        <v>70</v>
      </c>
      <c r="JB449" t="s">
        <v>480</v>
      </c>
      <c r="JC449" t="s">
        <v>480</v>
      </c>
      <c r="MT449" t="s">
        <v>1083</v>
      </c>
      <c r="MU449" s="185" t="s">
        <v>1092</v>
      </c>
      <c r="MV449" t="s">
        <v>480</v>
      </c>
      <c r="MW449" s="185" t="s">
        <v>1093</v>
      </c>
      <c r="MX449" s="185" t="s">
        <v>1094</v>
      </c>
      <c r="MY449" t="s">
        <v>1095</v>
      </c>
      <c r="MZ449">
        <v>1963</v>
      </c>
      <c r="NA449" t="s">
        <v>1121</v>
      </c>
      <c r="NB449" t="s">
        <v>1097</v>
      </c>
      <c r="NG449" t="s">
        <v>1122</v>
      </c>
      <c r="NH449" t="s">
        <v>687</v>
      </c>
      <c r="NJ449" t="s">
        <v>1099</v>
      </c>
      <c r="NL449" t="s">
        <v>1099</v>
      </c>
      <c r="NU449" t="s">
        <v>1100</v>
      </c>
      <c r="NV449" t="s">
        <v>518</v>
      </c>
      <c r="NW449">
        <v>1.7</v>
      </c>
      <c r="NX449" t="s">
        <v>916</v>
      </c>
      <c r="NY449">
        <v>1</v>
      </c>
      <c r="OB449">
        <v>6</v>
      </c>
      <c r="OU449" t="s">
        <v>1053</v>
      </c>
      <c r="OW449">
        <v>2010</v>
      </c>
      <c r="PB449" t="s">
        <v>522</v>
      </c>
      <c r="PC449" s="50">
        <v>46108</v>
      </c>
    </row>
    <row r="450" spans="1:419" ht="15.75" thickBot="1">
      <c r="A450" t="s">
        <v>665</v>
      </c>
      <c r="B450" t="s">
        <v>1075</v>
      </c>
      <c r="C450" t="s">
        <v>1076</v>
      </c>
      <c r="D450" s="4" t="s">
        <v>472</v>
      </c>
      <c r="E450" t="s">
        <v>1077</v>
      </c>
      <c r="F450" t="s">
        <v>865</v>
      </c>
      <c r="G450" t="s">
        <v>1078</v>
      </c>
      <c r="H450" s="2" t="s">
        <v>1079</v>
      </c>
      <c r="I450">
        <v>-23.748532000000001</v>
      </c>
      <c r="J450">
        <v>-62.056702000000001</v>
      </c>
      <c r="K450" s="78">
        <v>65000</v>
      </c>
      <c r="AV450" t="s">
        <v>1080</v>
      </c>
      <c r="AW450" t="s">
        <v>866</v>
      </c>
      <c r="AX450" t="s">
        <v>866</v>
      </c>
      <c r="AY450" s="5">
        <v>1</v>
      </c>
      <c r="AZ450" t="s">
        <v>1081</v>
      </c>
      <c r="BA450">
        <v>2010</v>
      </c>
      <c r="BC450" t="s">
        <v>1082</v>
      </c>
      <c r="BD450" t="s">
        <v>1101</v>
      </c>
      <c r="BE450" t="s">
        <v>536</v>
      </c>
      <c r="BF450" t="s">
        <v>1102</v>
      </c>
      <c r="BG450" t="s">
        <v>1103</v>
      </c>
      <c r="BH450" t="s">
        <v>1104</v>
      </c>
      <c r="BI450" t="s">
        <v>480</v>
      </c>
      <c r="BJ450" t="s">
        <v>480</v>
      </c>
      <c r="ED450" t="s">
        <v>1085</v>
      </c>
      <c r="EE450" t="s">
        <v>480</v>
      </c>
      <c r="EF450" t="s">
        <v>480</v>
      </c>
      <c r="EG450" t="s">
        <v>537</v>
      </c>
      <c r="EH450" t="s">
        <v>1086</v>
      </c>
      <c r="EI450" t="s">
        <v>480</v>
      </c>
      <c r="EJ450" t="s">
        <v>480</v>
      </c>
      <c r="EK450" t="s">
        <v>537</v>
      </c>
      <c r="EL450" t="s">
        <v>1087</v>
      </c>
      <c r="EM450" t="s">
        <v>480</v>
      </c>
      <c r="EN450" t="s">
        <v>480</v>
      </c>
      <c r="EO450" t="s">
        <v>537</v>
      </c>
      <c r="EP450" t="s">
        <v>1088</v>
      </c>
      <c r="EQ450" t="s">
        <v>480</v>
      </c>
      <c r="ER450" t="s">
        <v>480</v>
      </c>
      <c r="ES450" t="s">
        <v>537</v>
      </c>
      <c r="ET450" t="s">
        <v>1089</v>
      </c>
      <c r="EU450" t="s">
        <v>480</v>
      </c>
      <c r="EV450" t="s">
        <v>480</v>
      </c>
      <c r="EW450" t="s">
        <v>537</v>
      </c>
      <c r="EX450" t="s">
        <v>1090</v>
      </c>
      <c r="EY450" t="s">
        <v>480</v>
      </c>
      <c r="EZ450" t="s">
        <v>480</v>
      </c>
      <c r="FA450" t="s">
        <v>537</v>
      </c>
      <c r="FB450" t="s">
        <v>1091</v>
      </c>
      <c r="FC450" t="s">
        <v>480</v>
      </c>
      <c r="FD450" t="s">
        <v>480</v>
      </c>
      <c r="GL450" t="s">
        <v>1105</v>
      </c>
      <c r="GM450" s="9" t="s">
        <v>480</v>
      </c>
      <c r="GN450" s="9" t="s">
        <v>480</v>
      </c>
      <c r="GO450" s="9" t="s">
        <v>480</v>
      </c>
      <c r="GP450" s="9"/>
      <c r="GQ450" s="9"/>
      <c r="GR450" s="9"/>
      <c r="GS450" s="9"/>
      <c r="GT450" s="9"/>
      <c r="GU450" s="9"/>
      <c r="GV450" s="9"/>
      <c r="GW450" s="9"/>
      <c r="GX450" s="9"/>
      <c r="GY450" s="9"/>
      <c r="GZ450" s="9"/>
      <c r="HA450" s="9"/>
      <c r="HB450" s="9"/>
      <c r="HC450" s="9"/>
      <c r="HD450" s="9"/>
      <c r="HE450" s="9"/>
      <c r="HF450" s="9"/>
      <c r="HG450" s="9"/>
      <c r="HH450" s="9"/>
      <c r="HI450" s="9"/>
      <c r="HJ450" s="9"/>
      <c r="HK450" s="9"/>
      <c r="HX450" s="50"/>
      <c r="HY450" s="50"/>
      <c r="IV450" t="s">
        <v>1101</v>
      </c>
      <c r="IW450" s="75" t="s">
        <v>1106</v>
      </c>
      <c r="IX450" t="s">
        <v>1107</v>
      </c>
      <c r="IY450" s="46" t="s">
        <v>1108</v>
      </c>
      <c r="IZ450">
        <v>1</v>
      </c>
      <c r="JA450">
        <v>81</v>
      </c>
      <c r="JB450" t="s">
        <v>480</v>
      </c>
      <c r="JC450" t="s">
        <v>480</v>
      </c>
      <c r="MY450" t="s">
        <v>1095</v>
      </c>
      <c r="MZ450">
        <v>1963</v>
      </c>
      <c r="NA450" t="s">
        <v>1121</v>
      </c>
      <c r="NB450" t="s">
        <v>1097</v>
      </c>
      <c r="NG450" t="s">
        <v>1122</v>
      </c>
      <c r="NH450" t="s">
        <v>687</v>
      </c>
      <c r="NJ450" t="s">
        <v>1099</v>
      </c>
      <c r="NL450" t="s">
        <v>1099</v>
      </c>
      <c r="NV450" t="s">
        <v>518</v>
      </c>
      <c r="NW450">
        <v>1</v>
      </c>
      <c r="NX450" t="s">
        <v>916</v>
      </c>
      <c r="NY450">
        <v>1</v>
      </c>
      <c r="OB450">
        <v>8</v>
      </c>
      <c r="OU450" t="s">
        <v>1053</v>
      </c>
      <c r="OW450">
        <v>2010</v>
      </c>
      <c r="PB450" t="s">
        <v>522</v>
      </c>
      <c r="PC450" s="50">
        <v>46108</v>
      </c>
    </row>
    <row r="451" spans="1:419" ht="15.75" thickBot="1">
      <c r="A451" t="s">
        <v>665</v>
      </c>
      <c r="B451" t="s">
        <v>1075</v>
      </c>
      <c r="C451" t="s">
        <v>1076</v>
      </c>
      <c r="D451" s="4" t="s">
        <v>472</v>
      </c>
      <c r="E451" t="s">
        <v>1077</v>
      </c>
      <c r="F451" t="s">
        <v>865</v>
      </c>
      <c r="G451" t="s">
        <v>1078</v>
      </c>
      <c r="H451" s="2" t="s">
        <v>1079</v>
      </c>
      <c r="I451">
        <v>-23.748532000000001</v>
      </c>
      <c r="J451">
        <v>-62.056702000000001</v>
      </c>
      <c r="K451" s="78">
        <v>65000</v>
      </c>
      <c r="AV451" t="s">
        <v>1080</v>
      </c>
      <c r="AW451" t="s">
        <v>866</v>
      </c>
      <c r="AX451">
        <v>3600</v>
      </c>
      <c r="AY451" s="5">
        <v>1</v>
      </c>
      <c r="AZ451" t="s">
        <v>1081</v>
      </c>
      <c r="BA451">
        <v>2010</v>
      </c>
      <c r="BC451" t="s">
        <v>1082</v>
      </c>
      <c r="BD451" t="s">
        <v>1109</v>
      </c>
      <c r="BE451" t="s">
        <v>566</v>
      </c>
      <c r="BF451" t="s">
        <v>1102</v>
      </c>
      <c r="BG451" t="s">
        <v>1103</v>
      </c>
      <c r="BH451" t="s">
        <v>480</v>
      </c>
      <c r="BI451" t="s">
        <v>480</v>
      </c>
      <c r="BJ451" t="s">
        <v>480</v>
      </c>
      <c r="ED451" t="s">
        <v>1085</v>
      </c>
      <c r="EE451" t="s">
        <v>480</v>
      </c>
      <c r="EF451" t="s">
        <v>480</v>
      </c>
      <c r="EG451" t="s">
        <v>537</v>
      </c>
      <c r="EH451" t="s">
        <v>1086</v>
      </c>
      <c r="EI451" t="s">
        <v>480</v>
      </c>
      <c r="EJ451" t="s">
        <v>480</v>
      </c>
      <c r="EK451" t="s">
        <v>537</v>
      </c>
      <c r="EL451" t="s">
        <v>1087</v>
      </c>
      <c r="EM451" t="s">
        <v>480</v>
      </c>
      <c r="EN451" t="s">
        <v>480</v>
      </c>
      <c r="EO451" t="s">
        <v>537</v>
      </c>
      <c r="EP451" t="s">
        <v>1088</v>
      </c>
      <c r="EQ451" t="s">
        <v>480</v>
      </c>
      <c r="ER451" t="s">
        <v>480</v>
      </c>
      <c r="ES451" t="s">
        <v>537</v>
      </c>
      <c r="ET451" t="s">
        <v>1089</v>
      </c>
      <c r="EU451" t="s">
        <v>480</v>
      </c>
      <c r="EV451" t="s">
        <v>480</v>
      </c>
      <c r="EW451" t="s">
        <v>537</v>
      </c>
      <c r="EX451" t="s">
        <v>1090</v>
      </c>
      <c r="EY451" t="s">
        <v>480</v>
      </c>
      <c r="EZ451" t="s">
        <v>480</v>
      </c>
      <c r="FA451" t="s">
        <v>537</v>
      </c>
      <c r="FB451" t="s">
        <v>1091</v>
      </c>
      <c r="FC451" t="s">
        <v>480</v>
      </c>
      <c r="FD451" t="s">
        <v>480</v>
      </c>
      <c r="FF451" s="9"/>
      <c r="FG451" s="9"/>
      <c r="FH451" s="9"/>
      <c r="FI451" s="9"/>
      <c r="FJ451" s="9"/>
      <c r="FK451" s="9"/>
      <c r="FL451" s="9"/>
      <c r="FM451" s="9"/>
      <c r="FN451" s="9"/>
      <c r="FO451" s="9"/>
      <c r="FP451" s="9"/>
      <c r="FQ451" s="9"/>
      <c r="FR451" s="9"/>
      <c r="FS451" s="9"/>
      <c r="FT451" s="9"/>
      <c r="FU451" s="9"/>
      <c r="FV451" s="9"/>
      <c r="FW451" s="9"/>
      <c r="FX451" s="9"/>
      <c r="FY451" s="9"/>
      <c r="FZ451" s="9"/>
      <c r="GA451" s="9"/>
      <c r="GB451" s="9"/>
      <c r="GC451" s="9"/>
      <c r="GD451" s="9"/>
      <c r="GE451" s="9"/>
      <c r="GF451" s="9"/>
      <c r="GG451" s="9"/>
      <c r="GH451" s="9"/>
      <c r="GI451" s="9"/>
      <c r="GJ451" s="9"/>
      <c r="GK451" s="9"/>
      <c r="GL451" s="9" t="s">
        <v>1105</v>
      </c>
      <c r="GM451" s="9" t="s">
        <v>480</v>
      </c>
      <c r="GN451" s="9" t="s">
        <v>480</v>
      </c>
      <c r="GO451" s="9" t="s">
        <v>480</v>
      </c>
      <c r="GP451" s="9"/>
      <c r="GQ451" s="9"/>
      <c r="GR451" s="9"/>
      <c r="GS451" s="9"/>
      <c r="GT451" s="9"/>
      <c r="GU451" s="9"/>
      <c r="GV451" s="9"/>
      <c r="GW451" s="9"/>
      <c r="GX451" s="9"/>
      <c r="GY451" s="9"/>
      <c r="GZ451" s="9"/>
      <c r="HA451" s="9"/>
      <c r="HB451" s="9"/>
      <c r="HC451" s="9"/>
      <c r="HD451" s="9"/>
      <c r="HE451" s="9"/>
      <c r="HF451" s="9"/>
      <c r="HG451" s="9"/>
      <c r="HH451" s="9"/>
      <c r="HI451" s="9"/>
      <c r="HJ451" s="9"/>
      <c r="HK451" s="9"/>
      <c r="HX451" s="50"/>
      <c r="HY451" s="50"/>
      <c r="IV451" t="s">
        <v>1109</v>
      </c>
      <c r="IW451" s="75" t="s">
        <v>1106</v>
      </c>
      <c r="IX451" s="12" t="s">
        <v>1107</v>
      </c>
      <c r="IY451" s="46" t="s">
        <v>1110</v>
      </c>
      <c r="IZ451">
        <v>7.5</v>
      </c>
      <c r="JA451">
        <v>56</v>
      </c>
      <c r="JB451" t="s">
        <v>480</v>
      </c>
      <c r="JC451" t="s">
        <v>480</v>
      </c>
      <c r="MY451" t="s">
        <v>1095</v>
      </c>
      <c r="MZ451">
        <v>1963</v>
      </c>
      <c r="NA451" t="s">
        <v>1121</v>
      </c>
      <c r="NB451" t="s">
        <v>1097</v>
      </c>
      <c r="NG451" t="s">
        <v>1122</v>
      </c>
      <c r="NH451" t="s">
        <v>687</v>
      </c>
      <c r="NJ451" t="s">
        <v>1099</v>
      </c>
      <c r="NL451" t="s">
        <v>1099</v>
      </c>
      <c r="NV451" t="s">
        <v>518</v>
      </c>
      <c r="NW451">
        <v>0.4</v>
      </c>
      <c r="NX451" t="s">
        <v>916</v>
      </c>
      <c r="NY451">
        <v>0.5</v>
      </c>
      <c r="OB451">
        <v>7</v>
      </c>
      <c r="OU451" t="s">
        <v>1053</v>
      </c>
      <c r="OW451">
        <v>2010</v>
      </c>
      <c r="PB451" t="s">
        <v>522</v>
      </c>
      <c r="PC451" s="50">
        <v>46108</v>
      </c>
    </row>
    <row r="452" spans="1:419" ht="15.75" thickBot="1">
      <c r="A452" t="s">
        <v>665</v>
      </c>
      <c r="B452" t="s">
        <v>1075</v>
      </c>
      <c r="C452" t="s">
        <v>1076</v>
      </c>
      <c r="D452" s="4" t="s">
        <v>472</v>
      </c>
      <c r="E452" t="s">
        <v>1077</v>
      </c>
      <c r="F452" t="s">
        <v>865</v>
      </c>
      <c r="G452" t="s">
        <v>1078</v>
      </c>
      <c r="H452" s="2" t="s">
        <v>1079</v>
      </c>
      <c r="I452">
        <v>-23.748532000000001</v>
      </c>
      <c r="J452">
        <v>-62.056702000000001</v>
      </c>
      <c r="K452" s="78">
        <v>65000</v>
      </c>
      <c r="AV452" t="s">
        <v>1080</v>
      </c>
      <c r="AW452" t="s">
        <v>866</v>
      </c>
      <c r="AX452">
        <v>3600</v>
      </c>
      <c r="AY452" s="5">
        <v>1</v>
      </c>
      <c r="AZ452" t="s">
        <v>1081</v>
      </c>
      <c r="BA452">
        <v>2010</v>
      </c>
      <c r="BC452" t="s">
        <v>1082</v>
      </c>
      <c r="BD452" t="s">
        <v>1111</v>
      </c>
      <c r="BE452" t="s">
        <v>572</v>
      </c>
      <c r="BF452" t="s">
        <v>1102</v>
      </c>
      <c r="BG452" t="s">
        <v>1112</v>
      </c>
      <c r="BH452" t="s">
        <v>480</v>
      </c>
      <c r="BI452" t="s">
        <v>480</v>
      </c>
      <c r="BJ452" t="s">
        <v>480</v>
      </c>
      <c r="ED452" t="s">
        <v>1085</v>
      </c>
      <c r="EE452" t="s">
        <v>480</v>
      </c>
      <c r="EF452" t="s">
        <v>480</v>
      </c>
      <c r="EG452" t="s">
        <v>537</v>
      </c>
      <c r="EH452" t="s">
        <v>1086</v>
      </c>
      <c r="EI452" t="s">
        <v>480</v>
      </c>
      <c r="EJ452" t="s">
        <v>480</v>
      </c>
      <c r="EK452" t="s">
        <v>537</v>
      </c>
      <c r="EL452" t="s">
        <v>1087</v>
      </c>
      <c r="EM452" t="s">
        <v>480</v>
      </c>
      <c r="EN452" t="s">
        <v>480</v>
      </c>
      <c r="EO452" t="s">
        <v>537</v>
      </c>
      <c r="EP452" t="s">
        <v>1088</v>
      </c>
      <c r="EQ452" t="s">
        <v>480</v>
      </c>
      <c r="ER452" t="s">
        <v>480</v>
      </c>
      <c r="ES452" t="s">
        <v>537</v>
      </c>
      <c r="ET452" t="s">
        <v>1089</v>
      </c>
      <c r="EU452" t="s">
        <v>480</v>
      </c>
      <c r="EV452" t="s">
        <v>480</v>
      </c>
      <c r="EW452" t="s">
        <v>537</v>
      </c>
      <c r="EX452" t="s">
        <v>1090</v>
      </c>
      <c r="EY452" t="s">
        <v>480</v>
      </c>
      <c r="EZ452" t="s">
        <v>480</v>
      </c>
      <c r="FA452" t="s">
        <v>537</v>
      </c>
      <c r="FB452" t="s">
        <v>1091</v>
      </c>
      <c r="FC452" t="s">
        <v>480</v>
      </c>
      <c r="FD452" t="s">
        <v>480</v>
      </c>
      <c r="FF452" s="9"/>
      <c r="FG452" s="9"/>
      <c r="FH452" s="9"/>
      <c r="FI452" s="9"/>
      <c r="FJ452" s="9"/>
      <c r="FK452" s="9"/>
      <c r="FL452" s="9"/>
      <c r="FM452" s="9"/>
      <c r="FN452" s="9"/>
      <c r="FO452" s="9"/>
      <c r="FP452" s="9"/>
      <c r="FQ452" s="9"/>
      <c r="FR452" s="9"/>
      <c r="FS452" s="9"/>
      <c r="FT452" s="9"/>
      <c r="FU452" s="9"/>
      <c r="FV452" s="9"/>
      <c r="FW452" s="9"/>
      <c r="FX452" s="9"/>
      <c r="FY452" s="9"/>
      <c r="FZ452" s="9"/>
      <c r="GA452" s="9"/>
      <c r="GB452" s="9"/>
      <c r="GC452" s="9"/>
      <c r="GD452" s="9"/>
      <c r="GE452" s="9"/>
      <c r="GF452" s="9"/>
      <c r="GG452" s="9"/>
      <c r="GH452" s="9"/>
      <c r="GI452" s="9"/>
      <c r="GJ452" s="9"/>
      <c r="GK452" s="9"/>
      <c r="GL452" s="9" t="s">
        <v>1105</v>
      </c>
      <c r="GM452" s="9" t="s">
        <v>480</v>
      </c>
      <c r="GN452" s="9" t="s">
        <v>480</v>
      </c>
      <c r="GO452" s="9" t="s">
        <v>480</v>
      </c>
      <c r="GP452" s="9"/>
      <c r="GQ452" s="9"/>
      <c r="GR452" s="9"/>
      <c r="GS452" s="9"/>
      <c r="GT452" s="9"/>
      <c r="GU452" s="9"/>
      <c r="GV452" s="9"/>
      <c r="GW452" s="9"/>
      <c r="GX452" s="9"/>
      <c r="GY452" s="9"/>
      <c r="GZ452" s="9"/>
      <c r="HA452" s="9"/>
      <c r="HB452" s="9"/>
      <c r="HC452" s="9"/>
      <c r="HD452" s="9"/>
      <c r="HE452" s="9"/>
      <c r="HF452" s="9"/>
      <c r="HG452" s="9"/>
      <c r="HH452" s="9"/>
      <c r="HI452" s="9"/>
      <c r="HJ452" s="9"/>
      <c r="HK452" s="9"/>
      <c r="HX452" s="50"/>
      <c r="HY452" s="50"/>
      <c r="IV452" t="s">
        <v>1111</v>
      </c>
      <c r="IW452" s="75" t="s">
        <v>1106</v>
      </c>
      <c r="IX452" s="12" t="s">
        <v>1107</v>
      </c>
      <c r="IY452" s="46" t="s">
        <v>1110</v>
      </c>
      <c r="IZ452">
        <v>7.5</v>
      </c>
      <c r="JA452">
        <v>37</v>
      </c>
      <c r="JB452" t="s">
        <v>480</v>
      </c>
      <c r="JC452" t="s">
        <v>480</v>
      </c>
      <c r="MY452" t="s">
        <v>1095</v>
      </c>
      <c r="MZ452">
        <v>1963</v>
      </c>
      <c r="NA452" t="s">
        <v>1121</v>
      </c>
      <c r="NB452" t="s">
        <v>1097</v>
      </c>
      <c r="NG452" t="s">
        <v>1122</v>
      </c>
      <c r="NH452" t="s">
        <v>687</v>
      </c>
      <c r="NJ452" t="s">
        <v>1099</v>
      </c>
      <c r="NL452" t="s">
        <v>1099</v>
      </c>
      <c r="NV452" t="s">
        <v>518</v>
      </c>
      <c r="NW452">
        <v>0.2</v>
      </c>
      <c r="NX452" t="s">
        <v>916</v>
      </c>
      <c r="NY452">
        <v>0.4</v>
      </c>
      <c r="OB452">
        <v>5</v>
      </c>
      <c r="OU452" t="s">
        <v>1053</v>
      </c>
      <c r="OW452">
        <v>2010</v>
      </c>
      <c r="PB452" t="s">
        <v>522</v>
      </c>
      <c r="PC452" s="50">
        <v>46108</v>
      </c>
    </row>
    <row r="453" spans="1:419" ht="15.75" thickBot="1">
      <c r="A453" t="s">
        <v>665</v>
      </c>
      <c r="B453" t="s">
        <v>1075</v>
      </c>
      <c r="C453" t="s">
        <v>1076</v>
      </c>
      <c r="D453" s="4" t="s">
        <v>472</v>
      </c>
      <c r="E453" t="s">
        <v>1077</v>
      </c>
      <c r="F453" t="s">
        <v>865</v>
      </c>
      <c r="G453" t="s">
        <v>1078</v>
      </c>
      <c r="H453" s="2" t="s">
        <v>1079</v>
      </c>
      <c r="I453">
        <v>-23.748532000000001</v>
      </c>
      <c r="J453">
        <v>-62.056702000000001</v>
      </c>
      <c r="K453" s="78">
        <v>65000</v>
      </c>
      <c r="AV453" t="s">
        <v>1080</v>
      </c>
      <c r="AW453" t="s">
        <v>866</v>
      </c>
      <c r="AX453" t="s">
        <v>866</v>
      </c>
      <c r="AY453" s="5">
        <v>1</v>
      </c>
      <c r="AZ453" t="s">
        <v>1081</v>
      </c>
      <c r="BA453">
        <v>2010</v>
      </c>
      <c r="BC453" t="s">
        <v>1082</v>
      </c>
      <c r="BD453" t="s">
        <v>1113</v>
      </c>
      <c r="BE453" t="s">
        <v>483</v>
      </c>
      <c r="BF453" t="s">
        <v>1102</v>
      </c>
      <c r="BG453" t="s">
        <v>1112</v>
      </c>
      <c r="BH453" t="s">
        <v>480</v>
      </c>
      <c r="BI453" t="s">
        <v>480</v>
      </c>
      <c r="BJ453" t="s">
        <v>480</v>
      </c>
      <c r="GL453" t="s">
        <v>1105</v>
      </c>
      <c r="GM453" s="9" t="s">
        <v>480</v>
      </c>
      <c r="GN453" s="9" t="s">
        <v>480</v>
      </c>
      <c r="GO453" s="9" t="s">
        <v>480</v>
      </c>
      <c r="HY453" s="50"/>
      <c r="IV453" t="s">
        <v>1113</v>
      </c>
      <c r="IW453" s="46" t="s">
        <v>1114</v>
      </c>
      <c r="IX453" s="46" t="s">
        <v>1114</v>
      </c>
      <c r="IY453" s="46" t="s">
        <v>1115</v>
      </c>
      <c r="IZ453">
        <v>1</v>
      </c>
      <c r="JA453">
        <v>6</v>
      </c>
      <c r="JB453" t="s">
        <v>480</v>
      </c>
      <c r="JC453" t="s">
        <v>480</v>
      </c>
      <c r="MY453" t="s">
        <v>1095</v>
      </c>
      <c r="MZ453">
        <v>1963</v>
      </c>
      <c r="NA453" t="s">
        <v>1121</v>
      </c>
      <c r="NB453" t="s">
        <v>1097</v>
      </c>
      <c r="NG453" t="s">
        <v>1122</v>
      </c>
      <c r="NH453" t="s">
        <v>687</v>
      </c>
      <c r="NJ453" t="s">
        <v>1099</v>
      </c>
      <c r="NL453" t="s">
        <v>1099</v>
      </c>
      <c r="NU453" t="s">
        <v>1116</v>
      </c>
      <c r="NV453" t="s">
        <v>518</v>
      </c>
      <c r="NW453">
        <v>0</v>
      </c>
      <c r="NX453" t="s">
        <v>916</v>
      </c>
      <c r="NY453">
        <v>0</v>
      </c>
      <c r="OB453">
        <v>7</v>
      </c>
      <c r="OU453" t="s">
        <v>1053</v>
      </c>
      <c r="OW453">
        <v>2010</v>
      </c>
      <c r="PB453" t="s">
        <v>522</v>
      </c>
      <c r="PC453" s="50">
        <v>46108</v>
      </c>
    </row>
    <row r="454" spans="1:419" ht="15.75" thickBot="1">
      <c r="A454" t="s">
        <v>665</v>
      </c>
      <c r="B454" t="s">
        <v>1075</v>
      </c>
      <c r="C454" t="s">
        <v>1076</v>
      </c>
      <c r="D454" s="4" t="s">
        <v>472</v>
      </c>
      <c r="E454" t="s">
        <v>1077</v>
      </c>
      <c r="F454" t="s">
        <v>865</v>
      </c>
      <c r="G454" t="s">
        <v>1078</v>
      </c>
      <c r="H454" s="2" t="s">
        <v>1079</v>
      </c>
      <c r="I454">
        <v>-23.748532000000001</v>
      </c>
      <c r="J454">
        <v>-62.056702000000001</v>
      </c>
      <c r="K454" s="78">
        <v>65000</v>
      </c>
      <c r="AV454" t="s">
        <v>1080</v>
      </c>
      <c r="AW454" t="s">
        <v>866</v>
      </c>
      <c r="AX454">
        <v>1000</v>
      </c>
      <c r="AY454" s="5">
        <v>1</v>
      </c>
      <c r="AZ454" t="s">
        <v>1081</v>
      </c>
      <c r="BA454">
        <v>2010</v>
      </c>
      <c r="BC454" t="s">
        <v>1082</v>
      </c>
      <c r="BD454" t="s">
        <v>1083</v>
      </c>
      <c r="BE454" t="s">
        <v>524</v>
      </c>
      <c r="BF454" t="s">
        <v>1084</v>
      </c>
      <c r="ED454" t="s">
        <v>1085</v>
      </c>
      <c r="EE454" t="s">
        <v>480</v>
      </c>
      <c r="EF454" t="s">
        <v>480</v>
      </c>
      <c r="EG454" t="s">
        <v>537</v>
      </c>
      <c r="EH454" t="s">
        <v>1086</v>
      </c>
      <c r="EI454" t="s">
        <v>480</v>
      </c>
      <c r="EJ454" t="s">
        <v>480</v>
      </c>
      <c r="EK454" t="s">
        <v>537</v>
      </c>
      <c r="EL454" t="s">
        <v>1087</v>
      </c>
      <c r="EM454" t="s">
        <v>480</v>
      </c>
      <c r="EN454" t="s">
        <v>480</v>
      </c>
      <c r="EO454" t="s">
        <v>537</v>
      </c>
      <c r="EP454" t="s">
        <v>1088</v>
      </c>
      <c r="EQ454" t="s">
        <v>480</v>
      </c>
      <c r="ER454" t="s">
        <v>480</v>
      </c>
      <c r="ES454" t="s">
        <v>537</v>
      </c>
      <c r="ET454" t="s">
        <v>1089</v>
      </c>
      <c r="EU454" t="s">
        <v>480</v>
      </c>
      <c r="EV454" t="s">
        <v>480</v>
      </c>
      <c r="EW454" t="s">
        <v>537</v>
      </c>
      <c r="EX454" t="s">
        <v>1090</v>
      </c>
      <c r="EY454" t="s">
        <v>480</v>
      </c>
      <c r="EZ454" t="s">
        <v>480</v>
      </c>
      <c r="FA454" t="s">
        <v>537</v>
      </c>
      <c r="FB454" t="s">
        <v>1091</v>
      </c>
      <c r="FC454" t="s">
        <v>480</v>
      </c>
      <c r="FD454" t="s">
        <v>480</v>
      </c>
      <c r="HY454" s="50"/>
      <c r="IV454" t="s">
        <v>1083</v>
      </c>
      <c r="IW454" t="s">
        <v>1092</v>
      </c>
      <c r="IX454" t="s">
        <v>1092</v>
      </c>
      <c r="IY454" t="s">
        <v>1092</v>
      </c>
      <c r="IZ454">
        <v>5</v>
      </c>
      <c r="JA454">
        <v>70</v>
      </c>
      <c r="JB454" t="s">
        <v>480</v>
      </c>
      <c r="JC454" t="s">
        <v>480</v>
      </c>
      <c r="MT454" t="s">
        <v>1083</v>
      </c>
      <c r="MU454" s="185" t="s">
        <v>1092</v>
      </c>
      <c r="MV454" t="s">
        <v>480</v>
      </c>
      <c r="MW454" s="185" t="s">
        <v>1093</v>
      </c>
      <c r="MX454" s="185" t="s">
        <v>1094</v>
      </c>
      <c r="MY454" t="s">
        <v>1095</v>
      </c>
      <c r="MZ454">
        <v>1963</v>
      </c>
      <c r="NA454" t="s">
        <v>1123</v>
      </c>
      <c r="NB454" t="s">
        <v>1097</v>
      </c>
      <c r="NG454" t="s">
        <v>1124</v>
      </c>
      <c r="NH454" t="s">
        <v>687</v>
      </c>
      <c r="NJ454" t="s">
        <v>1099</v>
      </c>
      <c r="NL454" t="s">
        <v>1099</v>
      </c>
      <c r="NU454" t="s">
        <v>1100</v>
      </c>
      <c r="NV454" t="s">
        <v>518</v>
      </c>
      <c r="NW454">
        <v>0.6</v>
      </c>
      <c r="NX454" t="s">
        <v>916</v>
      </c>
      <c r="NY454">
        <v>0.6</v>
      </c>
      <c r="OB454">
        <v>6</v>
      </c>
      <c r="OU454" t="s">
        <v>1053</v>
      </c>
      <c r="OW454">
        <v>2010</v>
      </c>
      <c r="PB454" t="s">
        <v>522</v>
      </c>
      <c r="PC454" s="50">
        <v>46108</v>
      </c>
    </row>
    <row r="455" spans="1:419" ht="15.75" thickBot="1">
      <c r="A455" t="s">
        <v>665</v>
      </c>
      <c r="B455" t="s">
        <v>1075</v>
      </c>
      <c r="C455" t="s">
        <v>1076</v>
      </c>
      <c r="D455" s="4" t="s">
        <v>472</v>
      </c>
      <c r="E455" t="s">
        <v>1077</v>
      </c>
      <c r="F455" t="s">
        <v>865</v>
      </c>
      <c r="G455" t="s">
        <v>1078</v>
      </c>
      <c r="H455" s="2" t="s">
        <v>1079</v>
      </c>
      <c r="I455">
        <v>-23.748532000000001</v>
      </c>
      <c r="J455">
        <v>-62.056702000000001</v>
      </c>
      <c r="K455" s="78">
        <v>65000</v>
      </c>
      <c r="AV455" t="s">
        <v>1080</v>
      </c>
      <c r="AW455" t="s">
        <v>866</v>
      </c>
      <c r="AX455" t="s">
        <v>866</v>
      </c>
      <c r="AY455" s="5">
        <v>1</v>
      </c>
      <c r="AZ455" t="s">
        <v>1081</v>
      </c>
      <c r="BA455">
        <v>2010</v>
      </c>
      <c r="BC455" t="s">
        <v>1082</v>
      </c>
      <c r="BD455" t="s">
        <v>1101</v>
      </c>
      <c r="BE455" t="s">
        <v>536</v>
      </c>
      <c r="BF455" t="s">
        <v>1102</v>
      </c>
      <c r="BG455" t="s">
        <v>1103</v>
      </c>
      <c r="BH455" t="s">
        <v>1104</v>
      </c>
      <c r="BI455" t="s">
        <v>480</v>
      </c>
      <c r="BJ455" t="s">
        <v>480</v>
      </c>
      <c r="ED455" t="s">
        <v>1085</v>
      </c>
      <c r="EE455" t="s">
        <v>480</v>
      </c>
      <c r="EF455" t="s">
        <v>480</v>
      </c>
      <c r="EG455" t="s">
        <v>537</v>
      </c>
      <c r="EH455" t="s">
        <v>1086</v>
      </c>
      <c r="EI455" t="s">
        <v>480</v>
      </c>
      <c r="EJ455" t="s">
        <v>480</v>
      </c>
      <c r="EK455" t="s">
        <v>537</v>
      </c>
      <c r="EL455" t="s">
        <v>1087</v>
      </c>
      <c r="EM455" t="s">
        <v>480</v>
      </c>
      <c r="EN455" t="s">
        <v>480</v>
      </c>
      <c r="EO455" t="s">
        <v>537</v>
      </c>
      <c r="EP455" t="s">
        <v>1088</v>
      </c>
      <c r="EQ455" t="s">
        <v>480</v>
      </c>
      <c r="ER455" t="s">
        <v>480</v>
      </c>
      <c r="ES455" t="s">
        <v>537</v>
      </c>
      <c r="ET455" t="s">
        <v>1089</v>
      </c>
      <c r="EU455" t="s">
        <v>480</v>
      </c>
      <c r="EV455" t="s">
        <v>480</v>
      </c>
      <c r="EW455" t="s">
        <v>537</v>
      </c>
      <c r="EX455" t="s">
        <v>1090</v>
      </c>
      <c r="EY455" t="s">
        <v>480</v>
      </c>
      <c r="EZ455" t="s">
        <v>480</v>
      </c>
      <c r="FA455" t="s">
        <v>537</v>
      </c>
      <c r="FB455" t="s">
        <v>1091</v>
      </c>
      <c r="FC455" t="s">
        <v>480</v>
      </c>
      <c r="FD455" t="s">
        <v>480</v>
      </c>
      <c r="GL455" t="s">
        <v>1105</v>
      </c>
      <c r="GM455" s="9" t="s">
        <v>480</v>
      </c>
      <c r="GN455" s="9" t="s">
        <v>480</v>
      </c>
      <c r="GO455" s="9" t="s">
        <v>480</v>
      </c>
      <c r="GP455" s="9"/>
      <c r="GQ455" s="9"/>
      <c r="GR455" s="9"/>
      <c r="GS455" s="9"/>
      <c r="GT455" s="9"/>
      <c r="GU455" s="9"/>
      <c r="GV455" s="9"/>
      <c r="GW455" s="9"/>
      <c r="GX455" s="9"/>
      <c r="GY455" s="9"/>
      <c r="GZ455" s="9"/>
      <c r="HA455" s="9"/>
      <c r="HB455" s="9"/>
      <c r="HC455" s="9"/>
      <c r="HD455" s="9"/>
      <c r="HE455" s="9"/>
      <c r="HF455" s="9"/>
      <c r="HG455" s="9"/>
      <c r="HH455" s="9"/>
      <c r="HI455" s="9"/>
      <c r="HJ455" s="9"/>
      <c r="HK455" s="9"/>
      <c r="HX455" s="50"/>
      <c r="HY455" s="50"/>
      <c r="IV455" t="s">
        <v>1101</v>
      </c>
      <c r="IW455" s="75" t="s">
        <v>1106</v>
      </c>
      <c r="IX455" t="s">
        <v>1107</v>
      </c>
      <c r="IY455" s="46" t="s">
        <v>1108</v>
      </c>
      <c r="IZ455">
        <v>1</v>
      </c>
      <c r="JA455">
        <v>81</v>
      </c>
      <c r="JB455" t="s">
        <v>480</v>
      </c>
      <c r="JC455" t="s">
        <v>480</v>
      </c>
      <c r="MY455" t="s">
        <v>1095</v>
      </c>
      <c r="MZ455">
        <v>1963</v>
      </c>
      <c r="NA455" t="s">
        <v>1123</v>
      </c>
      <c r="NB455" t="s">
        <v>1097</v>
      </c>
      <c r="NG455" t="s">
        <v>1124</v>
      </c>
      <c r="NH455" t="s">
        <v>687</v>
      </c>
      <c r="NJ455" t="s">
        <v>1099</v>
      </c>
      <c r="NL455" t="s">
        <v>1099</v>
      </c>
      <c r="NV455" t="s">
        <v>518</v>
      </c>
      <c r="NW455">
        <v>0.3</v>
      </c>
      <c r="NX455" t="s">
        <v>916</v>
      </c>
      <c r="NY455">
        <v>0.5</v>
      </c>
      <c r="OB455">
        <v>8</v>
      </c>
      <c r="OU455" t="s">
        <v>1053</v>
      </c>
      <c r="OW455">
        <v>2010</v>
      </c>
      <c r="PB455" t="s">
        <v>522</v>
      </c>
      <c r="PC455" s="50">
        <v>46108</v>
      </c>
    </row>
    <row r="456" spans="1:419" ht="15.75" thickBot="1">
      <c r="A456" t="s">
        <v>665</v>
      </c>
      <c r="B456" t="s">
        <v>1075</v>
      </c>
      <c r="C456" t="s">
        <v>1076</v>
      </c>
      <c r="D456" s="4" t="s">
        <v>472</v>
      </c>
      <c r="E456" t="s">
        <v>1077</v>
      </c>
      <c r="F456" t="s">
        <v>865</v>
      </c>
      <c r="G456" t="s">
        <v>1078</v>
      </c>
      <c r="H456" s="2" t="s">
        <v>1079</v>
      </c>
      <c r="I456">
        <v>-23.748532000000001</v>
      </c>
      <c r="J456">
        <v>-62.056702000000001</v>
      </c>
      <c r="K456" s="78">
        <v>65000</v>
      </c>
      <c r="AV456" t="s">
        <v>1080</v>
      </c>
      <c r="AW456" t="s">
        <v>866</v>
      </c>
      <c r="AX456">
        <v>3600</v>
      </c>
      <c r="AY456" s="5">
        <v>1</v>
      </c>
      <c r="AZ456" t="s">
        <v>1081</v>
      </c>
      <c r="BA456">
        <v>2010</v>
      </c>
      <c r="BC456" t="s">
        <v>1082</v>
      </c>
      <c r="BD456" t="s">
        <v>1109</v>
      </c>
      <c r="BE456" t="s">
        <v>566</v>
      </c>
      <c r="BF456" t="s">
        <v>1102</v>
      </c>
      <c r="BG456" t="s">
        <v>1103</v>
      </c>
      <c r="BH456" t="s">
        <v>480</v>
      </c>
      <c r="BI456" t="s">
        <v>480</v>
      </c>
      <c r="BJ456" t="s">
        <v>480</v>
      </c>
      <c r="ED456" t="s">
        <v>1085</v>
      </c>
      <c r="EE456" t="s">
        <v>480</v>
      </c>
      <c r="EF456" t="s">
        <v>480</v>
      </c>
      <c r="EG456" t="s">
        <v>537</v>
      </c>
      <c r="EH456" t="s">
        <v>1086</v>
      </c>
      <c r="EI456" t="s">
        <v>480</v>
      </c>
      <c r="EJ456" t="s">
        <v>480</v>
      </c>
      <c r="EK456" t="s">
        <v>537</v>
      </c>
      <c r="EL456" t="s">
        <v>1087</v>
      </c>
      <c r="EM456" t="s">
        <v>480</v>
      </c>
      <c r="EN456" t="s">
        <v>480</v>
      </c>
      <c r="EO456" t="s">
        <v>537</v>
      </c>
      <c r="EP456" t="s">
        <v>1088</v>
      </c>
      <c r="EQ456" t="s">
        <v>480</v>
      </c>
      <c r="ER456" t="s">
        <v>480</v>
      </c>
      <c r="ES456" t="s">
        <v>537</v>
      </c>
      <c r="ET456" t="s">
        <v>1089</v>
      </c>
      <c r="EU456" t="s">
        <v>480</v>
      </c>
      <c r="EV456" t="s">
        <v>480</v>
      </c>
      <c r="EW456" t="s">
        <v>537</v>
      </c>
      <c r="EX456" t="s">
        <v>1090</v>
      </c>
      <c r="EY456" t="s">
        <v>480</v>
      </c>
      <c r="EZ456" t="s">
        <v>480</v>
      </c>
      <c r="FA456" t="s">
        <v>537</v>
      </c>
      <c r="FB456" t="s">
        <v>1091</v>
      </c>
      <c r="FC456" t="s">
        <v>480</v>
      </c>
      <c r="FD456" t="s">
        <v>480</v>
      </c>
      <c r="FF456" s="9"/>
      <c r="FG456" s="9"/>
      <c r="FH456" s="9"/>
      <c r="FI456" s="9"/>
      <c r="FJ456" s="9"/>
      <c r="FK456" s="9"/>
      <c r="FL456" s="9"/>
      <c r="FM456" s="9"/>
      <c r="FN456" s="9"/>
      <c r="FO456" s="9"/>
      <c r="FP456" s="9"/>
      <c r="FQ456" s="9"/>
      <c r="FR456" s="9"/>
      <c r="FS456" s="9"/>
      <c r="FT456" s="9"/>
      <c r="FU456" s="9"/>
      <c r="FV456" s="9"/>
      <c r="FW456" s="9"/>
      <c r="FX456" s="9"/>
      <c r="FY456" s="9"/>
      <c r="FZ456" s="9"/>
      <c r="GA456" s="9"/>
      <c r="GB456" s="9"/>
      <c r="GC456" s="9"/>
      <c r="GD456" s="9"/>
      <c r="GE456" s="9"/>
      <c r="GF456" s="9"/>
      <c r="GG456" s="9"/>
      <c r="GH456" s="9"/>
      <c r="GI456" s="9"/>
      <c r="GJ456" s="9"/>
      <c r="GK456" s="9"/>
      <c r="GL456" s="9" t="s">
        <v>1105</v>
      </c>
      <c r="GM456" s="9" t="s">
        <v>480</v>
      </c>
      <c r="GN456" s="9" t="s">
        <v>480</v>
      </c>
      <c r="GO456" s="9" t="s">
        <v>480</v>
      </c>
      <c r="GP456" s="9"/>
      <c r="GQ456" s="9"/>
      <c r="GR456" s="9"/>
      <c r="GS456" s="9"/>
      <c r="GT456" s="9"/>
      <c r="GU456" s="9"/>
      <c r="GV456" s="9"/>
      <c r="GW456" s="9"/>
      <c r="GX456" s="9"/>
      <c r="GY456" s="9"/>
      <c r="GZ456" s="9"/>
      <c r="HA456" s="9"/>
      <c r="HB456" s="9"/>
      <c r="HC456" s="9"/>
      <c r="HD456" s="9"/>
      <c r="HE456" s="9"/>
      <c r="HF456" s="9"/>
      <c r="HG456" s="9"/>
      <c r="HH456" s="9"/>
      <c r="HI456" s="9"/>
      <c r="HJ456" s="9"/>
      <c r="HK456" s="9"/>
      <c r="HX456" s="50"/>
      <c r="HY456" s="50"/>
      <c r="IV456" t="s">
        <v>1109</v>
      </c>
      <c r="IW456" s="75" t="s">
        <v>1106</v>
      </c>
      <c r="IX456" s="12" t="s">
        <v>1107</v>
      </c>
      <c r="IY456" s="46" t="s">
        <v>1110</v>
      </c>
      <c r="IZ456">
        <v>7.5</v>
      </c>
      <c r="JA456">
        <v>56</v>
      </c>
      <c r="JB456" t="s">
        <v>480</v>
      </c>
      <c r="JC456" t="s">
        <v>480</v>
      </c>
      <c r="MY456" t="s">
        <v>1095</v>
      </c>
      <c r="MZ456">
        <v>1963</v>
      </c>
      <c r="NA456" t="s">
        <v>1123</v>
      </c>
      <c r="NB456" t="s">
        <v>1097</v>
      </c>
      <c r="NG456" t="s">
        <v>1124</v>
      </c>
      <c r="NH456" t="s">
        <v>687</v>
      </c>
      <c r="NJ456" t="s">
        <v>1099</v>
      </c>
      <c r="NL456" t="s">
        <v>1099</v>
      </c>
      <c r="NV456" t="s">
        <v>518</v>
      </c>
      <c r="NW456">
        <v>0.3</v>
      </c>
      <c r="NX456" t="s">
        <v>916</v>
      </c>
      <c r="NY456">
        <v>0.6</v>
      </c>
      <c r="OB456">
        <v>7</v>
      </c>
      <c r="OU456" t="s">
        <v>1053</v>
      </c>
      <c r="OW456">
        <v>2010</v>
      </c>
      <c r="PB456" t="s">
        <v>522</v>
      </c>
      <c r="PC456" s="50">
        <v>46108</v>
      </c>
    </row>
    <row r="457" spans="1:419" ht="15.75" thickBot="1">
      <c r="A457" t="s">
        <v>665</v>
      </c>
      <c r="B457" t="s">
        <v>1075</v>
      </c>
      <c r="C457" t="s">
        <v>1076</v>
      </c>
      <c r="D457" s="4" t="s">
        <v>472</v>
      </c>
      <c r="E457" t="s">
        <v>1077</v>
      </c>
      <c r="F457" t="s">
        <v>865</v>
      </c>
      <c r="G457" t="s">
        <v>1078</v>
      </c>
      <c r="H457" s="2" t="s">
        <v>1079</v>
      </c>
      <c r="I457">
        <v>-23.748532000000001</v>
      </c>
      <c r="J457">
        <v>-62.056702000000001</v>
      </c>
      <c r="K457" s="78">
        <v>65000</v>
      </c>
      <c r="AV457" t="s">
        <v>1080</v>
      </c>
      <c r="AW457" t="s">
        <v>866</v>
      </c>
      <c r="AX457">
        <v>3600</v>
      </c>
      <c r="AY457" s="5">
        <v>1</v>
      </c>
      <c r="AZ457" t="s">
        <v>1081</v>
      </c>
      <c r="BA457">
        <v>2010</v>
      </c>
      <c r="BC457" t="s">
        <v>1082</v>
      </c>
      <c r="BD457" t="s">
        <v>1111</v>
      </c>
      <c r="BE457" t="s">
        <v>572</v>
      </c>
      <c r="BF457" t="s">
        <v>1102</v>
      </c>
      <c r="BG457" t="s">
        <v>1112</v>
      </c>
      <c r="BH457" t="s">
        <v>480</v>
      </c>
      <c r="BI457" t="s">
        <v>480</v>
      </c>
      <c r="BJ457" t="s">
        <v>480</v>
      </c>
      <c r="ED457" t="s">
        <v>1085</v>
      </c>
      <c r="EE457" t="s">
        <v>480</v>
      </c>
      <c r="EF457" t="s">
        <v>480</v>
      </c>
      <c r="EG457" t="s">
        <v>537</v>
      </c>
      <c r="EH457" t="s">
        <v>1086</v>
      </c>
      <c r="EI457" t="s">
        <v>480</v>
      </c>
      <c r="EJ457" t="s">
        <v>480</v>
      </c>
      <c r="EK457" t="s">
        <v>537</v>
      </c>
      <c r="EL457" t="s">
        <v>1087</v>
      </c>
      <c r="EM457" t="s">
        <v>480</v>
      </c>
      <c r="EN457" t="s">
        <v>480</v>
      </c>
      <c r="EO457" t="s">
        <v>537</v>
      </c>
      <c r="EP457" t="s">
        <v>1088</v>
      </c>
      <c r="EQ457" t="s">
        <v>480</v>
      </c>
      <c r="ER457" t="s">
        <v>480</v>
      </c>
      <c r="ES457" t="s">
        <v>537</v>
      </c>
      <c r="ET457" t="s">
        <v>1089</v>
      </c>
      <c r="EU457" t="s">
        <v>480</v>
      </c>
      <c r="EV457" t="s">
        <v>480</v>
      </c>
      <c r="EW457" t="s">
        <v>537</v>
      </c>
      <c r="EX457" t="s">
        <v>1090</v>
      </c>
      <c r="EY457" t="s">
        <v>480</v>
      </c>
      <c r="EZ457" t="s">
        <v>480</v>
      </c>
      <c r="FA457" t="s">
        <v>537</v>
      </c>
      <c r="FB457" t="s">
        <v>1091</v>
      </c>
      <c r="FC457" t="s">
        <v>480</v>
      </c>
      <c r="FD457" t="s">
        <v>480</v>
      </c>
      <c r="FF457" s="9"/>
      <c r="FG457" s="9"/>
      <c r="FH457" s="9"/>
      <c r="FI457" s="9"/>
      <c r="FJ457" s="9"/>
      <c r="FK457" s="9"/>
      <c r="FL457" s="9"/>
      <c r="FM457" s="9"/>
      <c r="FN457" s="9"/>
      <c r="FO457" s="9"/>
      <c r="FP457" s="9"/>
      <c r="FQ457" s="9"/>
      <c r="FR457" s="9"/>
      <c r="FS457" s="9"/>
      <c r="FT457" s="9"/>
      <c r="FU457" s="9"/>
      <c r="FV457" s="9"/>
      <c r="FW457" s="9"/>
      <c r="FX457" s="9"/>
      <c r="FY457" s="9"/>
      <c r="FZ457" s="9"/>
      <c r="GA457" s="9"/>
      <c r="GB457" s="9"/>
      <c r="GC457" s="9"/>
      <c r="GD457" s="9"/>
      <c r="GE457" s="9"/>
      <c r="GF457" s="9"/>
      <c r="GG457" s="9"/>
      <c r="GH457" s="9"/>
      <c r="GI457" s="9"/>
      <c r="GJ457" s="9"/>
      <c r="GK457" s="9"/>
      <c r="GL457" s="9" t="s">
        <v>1105</v>
      </c>
      <c r="GM457" s="9" t="s">
        <v>480</v>
      </c>
      <c r="GN457" s="9" t="s">
        <v>480</v>
      </c>
      <c r="GO457" s="9" t="s">
        <v>480</v>
      </c>
      <c r="GP457" s="9"/>
      <c r="GQ457" s="9"/>
      <c r="GR457" s="9"/>
      <c r="GS457" s="9"/>
      <c r="GT457" s="9"/>
      <c r="GU457" s="9"/>
      <c r="GV457" s="9"/>
      <c r="GW457" s="9"/>
      <c r="GX457" s="9"/>
      <c r="GY457" s="9"/>
      <c r="GZ457" s="9"/>
      <c r="HA457" s="9"/>
      <c r="HB457" s="9"/>
      <c r="HC457" s="9"/>
      <c r="HD457" s="9"/>
      <c r="HE457" s="9"/>
      <c r="HF457" s="9"/>
      <c r="HG457" s="9"/>
      <c r="HH457" s="9"/>
      <c r="HI457" s="9"/>
      <c r="HJ457" s="9"/>
      <c r="HK457" s="9"/>
      <c r="HX457" s="50"/>
      <c r="HY457" s="50"/>
      <c r="IV457" t="s">
        <v>1111</v>
      </c>
      <c r="IW457" s="75" t="s">
        <v>1106</v>
      </c>
      <c r="IX457" s="12" t="s">
        <v>1107</v>
      </c>
      <c r="IY457" s="46" t="s">
        <v>1110</v>
      </c>
      <c r="IZ457">
        <v>7.5</v>
      </c>
      <c r="JA457">
        <v>37</v>
      </c>
      <c r="JB457" t="s">
        <v>480</v>
      </c>
      <c r="JC457" t="s">
        <v>480</v>
      </c>
      <c r="MY457" t="s">
        <v>1095</v>
      </c>
      <c r="MZ457">
        <v>1963</v>
      </c>
      <c r="NA457" t="s">
        <v>1123</v>
      </c>
      <c r="NB457" t="s">
        <v>1097</v>
      </c>
      <c r="NG457" t="s">
        <v>1124</v>
      </c>
      <c r="NH457" t="s">
        <v>687</v>
      </c>
      <c r="NJ457" t="s">
        <v>1099</v>
      </c>
      <c r="NL457" t="s">
        <v>1099</v>
      </c>
      <c r="NV457" t="s">
        <v>518</v>
      </c>
      <c r="NW457">
        <v>0.3</v>
      </c>
      <c r="NX457" t="s">
        <v>916</v>
      </c>
      <c r="NY457">
        <v>0.5</v>
      </c>
      <c r="OB457">
        <v>5</v>
      </c>
      <c r="OU457" t="s">
        <v>1053</v>
      </c>
      <c r="OW457">
        <v>2010</v>
      </c>
      <c r="PB457" t="s">
        <v>522</v>
      </c>
      <c r="PC457" s="50">
        <v>46108</v>
      </c>
    </row>
    <row r="458" spans="1:419" ht="15.75" thickBot="1">
      <c r="A458" t="s">
        <v>665</v>
      </c>
      <c r="B458" t="s">
        <v>1075</v>
      </c>
      <c r="C458" t="s">
        <v>1076</v>
      </c>
      <c r="D458" s="4" t="s">
        <v>472</v>
      </c>
      <c r="E458" t="s">
        <v>1077</v>
      </c>
      <c r="F458" t="s">
        <v>865</v>
      </c>
      <c r="G458" t="s">
        <v>1078</v>
      </c>
      <c r="H458" s="2" t="s">
        <v>1079</v>
      </c>
      <c r="I458">
        <v>-23.748532000000001</v>
      </c>
      <c r="J458">
        <v>-62.056702000000001</v>
      </c>
      <c r="K458" s="78">
        <v>65000</v>
      </c>
      <c r="AV458" t="s">
        <v>1080</v>
      </c>
      <c r="AW458" t="s">
        <v>866</v>
      </c>
      <c r="AX458" t="s">
        <v>866</v>
      </c>
      <c r="AY458" s="5">
        <v>1</v>
      </c>
      <c r="AZ458" t="s">
        <v>1081</v>
      </c>
      <c r="BA458">
        <v>2010</v>
      </c>
      <c r="BC458" t="s">
        <v>1082</v>
      </c>
      <c r="BD458" t="s">
        <v>1113</v>
      </c>
      <c r="BE458" t="s">
        <v>483</v>
      </c>
      <c r="BF458" t="s">
        <v>1102</v>
      </c>
      <c r="BG458" t="s">
        <v>1112</v>
      </c>
      <c r="BH458" t="s">
        <v>480</v>
      </c>
      <c r="BI458" t="s">
        <v>480</v>
      </c>
      <c r="BJ458" t="s">
        <v>480</v>
      </c>
      <c r="GL458" t="s">
        <v>1105</v>
      </c>
      <c r="GM458" s="9" t="s">
        <v>480</v>
      </c>
      <c r="GN458" s="9" t="s">
        <v>480</v>
      </c>
      <c r="GO458" s="9" t="s">
        <v>480</v>
      </c>
      <c r="HY458" s="50"/>
      <c r="IV458" t="s">
        <v>1113</v>
      </c>
      <c r="IW458" s="46" t="s">
        <v>1114</v>
      </c>
      <c r="IX458" s="46" t="s">
        <v>1114</v>
      </c>
      <c r="IY458" s="46" t="s">
        <v>1115</v>
      </c>
      <c r="IZ458">
        <v>1</v>
      </c>
      <c r="JA458">
        <v>6</v>
      </c>
      <c r="JB458" t="s">
        <v>480</v>
      </c>
      <c r="JC458" t="s">
        <v>480</v>
      </c>
      <c r="MY458" t="s">
        <v>1095</v>
      </c>
      <c r="MZ458">
        <v>1963</v>
      </c>
      <c r="NA458" t="s">
        <v>1123</v>
      </c>
      <c r="NB458" t="s">
        <v>1097</v>
      </c>
      <c r="NG458" t="s">
        <v>1124</v>
      </c>
      <c r="NH458" t="s">
        <v>687</v>
      </c>
      <c r="NJ458" t="s">
        <v>1099</v>
      </c>
      <c r="NL458" t="s">
        <v>1099</v>
      </c>
      <c r="NU458" t="s">
        <v>1116</v>
      </c>
      <c r="NV458" t="s">
        <v>518</v>
      </c>
      <c r="NW458">
        <v>0.3</v>
      </c>
      <c r="NX458" t="s">
        <v>916</v>
      </c>
      <c r="NY458">
        <v>0.5</v>
      </c>
      <c r="OB458">
        <v>7</v>
      </c>
      <c r="OU458" t="s">
        <v>1053</v>
      </c>
      <c r="OW458">
        <v>2010</v>
      </c>
      <c r="PB458" t="s">
        <v>522</v>
      </c>
      <c r="PC458" s="50">
        <v>46108</v>
      </c>
    </row>
    <row r="459" spans="1:419" ht="15.75" thickBot="1">
      <c r="A459" t="s">
        <v>665</v>
      </c>
      <c r="B459" t="s">
        <v>1075</v>
      </c>
      <c r="C459" t="s">
        <v>1076</v>
      </c>
      <c r="D459" s="4" t="s">
        <v>472</v>
      </c>
      <c r="E459" t="s">
        <v>1077</v>
      </c>
      <c r="F459" t="s">
        <v>865</v>
      </c>
      <c r="G459" t="s">
        <v>1078</v>
      </c>
      <c r="H459" s="2" t="s">
        <v>1079</v>
      </c>
      <c r="I459">
        <v>-23.748532000000001</v>
      </c>
      <c r="J459">
        <v>-62.056702000000001</v>
      </c>
      <c r="K459" s="78">
        <v>65000</v>
      </c>
      <c r="AV459" t="s">
        <v>1080</v>
      </c>
      <c r="AW459" t="s">
        <v>866</v>
      </c>
      <c r="AX459">
        <v>1000</v>
      </c>
      <c r="AY459" s="5">
        <v>1</v>
      </c>
      <c r="AZ459" t="s">
        <v>1081</v>
      </c>
      <c r="BA459">
        <v>2010</v>
      </c>
      <c r="BC459" t="s">
        <v>1082</v>
      </c>
      <c r="BD459" t="s">
        <v>1083</v>
      </c>
      <c r="BE459" t="s">
        <v>524</v>
      </c>
      <c r="BF459" t="s">
        <v>1084</v>
      </c>
      <c r="ED459" t="s">
        <v>1085</v>
      </c>
      <c r="EE459" t="s">
        <v>480</v>
      </c>
      <c r="EF459" t="s">
        <v>480</v>
      </c>
      <c r="EG459" t="s">
        <v>537</v>
      </c>
      <c r="EH459" t="s">
        <v>1086</v>
      </c>
      <c r="EI459" t="s">
        <v>480</v>
      </c>
      <c r="EJ459" t="s">
        <v>480</v>
      </c>
      <c r="EK459" t="s">
        <v>537</v>
      </c>
      <c r="EL459" t="s">
        <v>1087</v>
      </c>
      <c r="EM459" t="s">
        <v>480</v>
      </c>
      <c r="EN459" t="s">
        <v>480</v>
      </c>
      <c r="EO459" t="s">
        <v>537</v>
      </c>
      <c r="EP459" t="s">
        <v>1088</v>
      </c>
      <c r="EQ459" t="s">
        <v>480</v>
      </c>
      <c r="ER459" t="s">
        <v>480</v>
      </c>
      <c r="ES459" t="s">
        <v>537</v>
      </c>
      <c r="ET459" t="s">
        <v>1089</v>
      </c>
      <c r="EU459" t="s">
        <v>480</v>
      </c>
      <c r="EV459" t="s">
        <v>480</v>
      </c>
      <c r="EW459" t="s">
        <v>537</v>
      </c>
      <c r="EX459" t="s">
        <v>1090</v>
      </c>
      <c r="EY459" t="s">
        <v>480</v>
      </c>
      <c r="EZ459" t="s">
        <v>480</v>
      </c>
      <c r="FA459" t="s">
        <v>537</v>
      </c>
      <c r="FB459" t="s">
        <v>1091</v>
      </c>
      <c r="FC459" t="s">
        <v>480</v>
      </c>
      <c r="FD459" t="s">
        <v>480</v>
      </c>
      <c r="HY459" s="50"/>
      <c r="IV459" t="s">
        <v>1083</v>
      </c>
      <c r="IW459" t="s">
        <v>1092</v>
      </c>
      <c r="IX459" t="s">
        <v>1092</v>
      </c>
      <c r="IY459" t="s">
        <v>1092</v>
      </c>
      <c r="IZ459">
        <v>5</v>
      </c>
      <c r="JA459">
        <v>70</v>
      </c>
      <c r="JB459" t="s">
        <v>480</v>
      </c>
      <c r="JC459" t="s">
        <v>480</v>
      </c>
      <c r="MT459" t="s">
        <v>1083</v>
      </c>
      <c r="MU459" s="185" t="s">
        <v>1092</v>
      </c>
      <c r="MV459" t="s">
        <v>480</v>
      </c>
      <c r="MW459" s="185" t="s">
        <v>1093</v>
      </c>
      <c r="MX459" s="185" t="s">
        <v>1094</v>
      </c>
      <c r="MY459" t="s">
        <v>1095</v>
      </c>
      <c r="MZ459">
        <v>1963</v>
      </c>
      <c r="NA459" t="s">
        <v>1125</v>
      </c>
      <c r="NB459" t="s">
        <v>1097</v>
      </c>
      <c r="NG459" t="s">
        <v>1126</v>
      </c>
      <c r="NH459" t="s">
        <v>687</v>
      </c>
      <c r="NJ459" t="s">
        <v>1099</v>
      </c>
      <c r="NL459" t="s">
        <v>1099</v>
      </c>
      <c r="NU459" t="s">
        <v>1100</v>
      </c>
      <c r="NV459" t="s">
        <v>518</v>
      </c>
      <c r="NW459">
        <v>6.7</v>
      </c>
      <c r="NX459" t="s">
        <v>916</v>
      </c>
      <c r="NY459">
        <v>2.2000000000000002</v>
      </c>
      <c r="OB459">
        <v>6</v>
      </c>
      <c r="OU459" t="s">
        <v>1053</v>
      </c>
      <c r="OW459">
        <v>2010</v>
      </c>
      <c r="PB459" t="s">
        <v>522</v>
      </c>
      <c r="PC459" s="50">
        <v>46108</v>
      </c>
    </row>
    <row r="460" spans="1:419" ht="15.75" thickBot="1">
      <c r="A460" t="s">
        <v>665</v>
      </c>
      <c r="B460" t="s">
        <v>1075</v>
      </c>
      <c r="C460" t="s">
        <v>1076</v>
      </c>
      <c r="D460" s="4" t="s">
        <v>472</v>
      </c>
      <c r="E460" t="s">
        <v>1077</v>
      </c>
      <c r="F460" t="s">
        <v>865</v>
      </c>
      <c r="G460" t="s">
        <v>1078</v>
      </c>
      <c r="H460" s="2" t="s">
        <v>1079</v>
      </c>
      <c r="I460">
        <v>-23.748532000000001</v>
      </c>
      <c r="J460">
        <v>-62.056702000000001</v>
      </c>
      <c r="K460" s="78">
        <v>65000</v>
      </c>
      <c r="AV460" t="s">
        <v>1080</v>
      </c>
      <c r="AW460" t="s">
        <v>866</v>
      </c>
      <c r="AX460" t="s">
        <v>866</v>
      </c>
      <c r="AY460" s="5">
        <v>1</v>
      </c>
      <c r="AZ460" t="s">
        <v>1081</v>
      </c>
      <c r="BA460">
        <v>2010</v>
      </c>
      <c r="BC460" t="s">
        <v>1082</v>
      </c>
      <c r="BD460" t="s">
        <v>1101</v>
      </c>
      <c r="BE460" t="s">
        <v>536</v>
      </c>
      <c r="BF460" t="s">
        <v>1102</v>
      </c>
      <c r="BG460" t="s">
        <v>1103</v>
      </c>
      <c r="BH460" t="s">
        <v>1104</v>
      </c>
      <c r="BI460" t="s">
        <v>480</v>
      </c>
      <c r="BJ460" t="s">
        <v>480</v>
      </c>
      <c r="ED460" t="s">
        <v>1085</v>
      </c>
      <c r="EE460" t="s">
        <v>480</v>
      </c>
      <c r="EF460" t="s">
        <v>480</v>
      </c>
      <c r="EG460" t="s">
        <v>537</v>
      </c>
      <c r="EH460" t="s">
        <v>1086</v>
      </c>
      <c r="EI460" t="s">
        <v>480</v>
      </c>
      <c r="EJ460" t="s">
        <v>480</v>
      </c>
      <c r="EK460" t="s">
        <v>537</v>
      </c>
      <c r="EL460" t="s">
        <v>1087</v>
      </c>
      <c r="EM460" t="s">
        <v>480</v>
      </c>
      <c r="EN460" t="s">
        <v>480</v>
      </c>
      <c r="EO460" t="s">
        <v>537</v>
      </c>
      <c r="EP460" t="s">
        <v>1088</v>
      </c>
      <c r="EQ460" t="s">
        <v>480</v>
      </c>
      <c r="ER460" t="s">
        <v>480</v>
      </c>
      <c r="ES460" t="s">
        <v>537</v>
      </c>
      <c r="ET460" t="s">
        <v>1089</v>
      </c>
      <c r="EU460" t="s">
        <v>480</v>
      </c>
      <c r="EV460" t="s">
        <v>480</v>
      </c>
      <c r="EW460" t="s">
        <v>537</v>
      </c>
      <c r="EX460" t="s">
        <v>1090</v>
      </c>
      <c r="EY460" t="s">
        <v>480</v>
      </c>
      <c r="EZ460" t="s">
        <v>480</v>
      </c>
      <c r="FA460" t="s">
        <v>537</v>
      </c>
      <c r="FB460" t="s">
        <v>1091</v>
      </c>
      <c r="FC460" t="s">
        <v>480</v>
      </c>
      <c r="FD460" t="s">
        <v>480</v>
      </c>
      <c r="GL460" t="s">
        <v>1105</v>
      </c>
      <c r="GM460" s="9" t="s">
        <v>480</v>
      </c>
      <c r="GN460" s="9" t="s">
        <v>480</v>
      </c>
      <c r="GO460" s="9" t="s">
        <v>480</v>
      </c>
      <c r="GP460" s="9"/>
      <c r="GQ460" s="9"/>
      <c r="GR460" s="9"/>
      <c r="GS460" s="9"/>
      <c r="GT460" s="9"/>
      <c r="GU460" s="9"/>
      <c r="GV460" s="9"/>
      <c r="GW460" s="9"/>
      <c r="GX460" s="9"/>
      <c r="GY460" s="9"/>
      <c r="GZ460" s="9"/>
      <c r="HA460" s="9"/>
      <c r="HB460" s="9"/>
      <c r="HC460" s="9"/>
      <c r="HD460" s="9"/>
      <c r="HE460" s="9"/>
      <c r="HF460" s="9"/>
      <c r="HG460" s="9"/>
      <c r="HH460" s="9"/>
      <c r="HI460" s="9"/>
      <c r="HJ460" s="9"/>
      <c r="HK460" s="9"/>
      <c r="HX460" s="50"/>
      <c r="HY460" s="50"/>
      <c r="IV460" t="s">
        <v>1101</v>
      </c>
      <c r="IW460" s="75" t="s">
        <v>1106</v>
      </c>
      <c r="IX460" t="s">
        <v>1107</v>
      </c>
      <c r="IY460" s="46" t="s">
        <v>1108</v>
      </c>
      <c r="IZ460">
        <v>1</v>
      </c>
      <c r="JA460">
        <v>81</v>
      </c>
      <c r="JB460" t="s">
        <v>480</v>
      </c>
      <c r="JC460" t="s">
        <v>480</v>
      </c>
      <c r="MY460" t="s">
        <v>1095</v>
      </c>
      <c r="MZ460">
        <v>1963</v>
      </c>
      <c r="NA460" t="s">
        <v>1125</v>
      </c>
      <c r="NB460" t="s">
        <v>1097</v>
      </c>
      <c r="NG460" t="s">
        <v>1126</v>
      </c>
      <c r="NH460" t="s">
        <v>687</v>
      </c>
      <c r="NJ460" t="s">
        <v>1099</v>
      </c>
      <c r="NL460" t="s">
        <v>1099</v>
      </c>
      <c r="NV460" t="s">
        <v>518</v>
      </c>
      <c r="NW460">
        <v>5</v>
      </c>
      <c r="NX460" t="s">
        <v>916</v>
      </c>
      <c r="NY460">
        <v>2.2999999999999998</v>
      </c>
      <c r="OB460">
        <v>8</v>
      </c>
      <c r="OU460" t="s">
        <v>1053</v>
      </c>
      <c r="OW460">
        <v>2010</v>
      </c>
      <c r="PB460" t="s">
        <v>522</v>
      </c>
      <c r="PC460" s="50">
        <v>46108</v>
      </c>
    </row>
    <row r="461" spans="1:419" ht="15.75" thickBot="1">
      <c r="A461" t="s">
        <v>665</v>
      </c>
      <c r="B461" t="s">
        <v>1075</v>
      </c>
      <c r="C461" t="s">
        <v>1076</v>
      </c>
      <c r="D461" s="4" t="s">
        <v>472</v>
      </c>
      <c r="E461" t="s">
        <v>1077</v>
      </c>
      <c r="F461" t="s">
        <v>865</v>
      </c>
      <c r="G461" t="s">
        <v>1078</v>
      </c>
      <c r="H461" s="2" t="s">
        <v>1079</v>
      </c>
      <c r="I461">
        <v>-23.748532000000001</v>
      </c>
      <c r="J461">
        <v>-62.056702000000001</v>
      </c>
      <c r="K461" s="78">
        <v>65000</v>
      </c>
      <c r="AV461" t="s">
        <v>1080</v>
      </c>
      <c r="AW461" t="s">
        <v>866</v>
      </c>
      <c r="AX461">
        <v>3600</v>
      </c>
      <c r="AY461" s="5">
        <v>1</v>
      </c>
      <c r="AZ461" t="s">
        <v>1081</v>
      </c>
      <c r="BA461">
        <v>2010</v>
      </c>
      <c r="BC461" t="s">
        <v>1082</v>
      </c>
      <c r="BD461" t="s">
        <v>1109</v>
      </c>
      <c r="BE461" t="s">
        <v>566</v>
      </c>
      <c r="BF461" t="s">
        <v>1102</v>
      </c>
      <c r="BG461" t="s">
        <v>1103</v>
      </c>
      <c r="BH461" t="s">
        <v>480</v>
      </c>
      <c r="BI461" t="s">
        <v>480</v>
      </c>
      <c r="BJ461" t="s">
        <v>480</v>
      </c>
      <c r="ED461" t="s">
        <v>1085</v>
      </c>
      <c r="EE461" t="s">
        <v>480</v>
      </c>
      <c r="EF461" t="s">
        <v>480</v>
      </c>
      <c r="EG461" t="s">
        <v>537</v>
      </c>
      <c r="EH461" t="s">
        <v>1086</v>
      </c>
      <c r="EI461" t="s">
        <v>480</v>
      </c>
      <c r="EJ461" t="s">
        <v>480</v>
      </c>
      <c r="EK461" t="s">
        <v>537</v>
      </c>
      <c r="EL461" t="s">
        <v>1087</v>
      </c>
      <c r="EM461" t="s">
        <v>480</v>
      </c>
      <c r="EN461" t="s">
        <v>480</v>
      </c>
      <c r="EO461" t="s">
        <v>537</v>
      </c>
      <c r="EP461" t="s">
        <v>1088</v>
      </c>
      <c r="EQ461" t="s">
        <v>480</v>
      </c>
      <c r="ER461" t="s">
        <v>480</v>
      </c>
      <c r="ES461" t="s">
        <v>537</v>
      </c>
      <c r="ET461" t="s">
        <v>1089</v>
      </c>
      <c r="EU461" t="s">
        <v>480</v>
      </c>
      <c r="EV461" t="s">
        <v>480</v>
      </c>
      <c r="EW461" t="s">
        <v>537</v>
      </c>
      <c r="EX461" t="s">
        <v>1090</v>
      </c>
      <c r="EY461" t="s">
        <v>480</v>
      </c>
      <c r="EZ461" t="s">
        <v>480</v>
      </c>
      <c r="FA461" t="s">
        <v>537</v>
      </c>
      <c r="FB461" t="s">
        <v>1091</v>
      </c>
      <c r="FC461" t="s">
        <v>480</v>
      </c>
      <c r="FD461" t="s">
        <v>480</v>
      </c>
      <c r="FF461" s="9"/>
      <c r="FG461" s="9"/>
      <c r="FH461" s="9"/>
      <c r="FI461" s="9"/>
      <c r="FJ461" s="9"/>
      <c r="FK461" s="9"/>
      <c r="FL461" s="9"/>
      <c r="FM461" s="9"/>
      <c r="FN461" s="9"/>
      <c r="FO461" s="9"/>
      <c r="FP461" s="9"/>
      <c r="FQ461" s="9"/>
      <c r="FR461" s="9"/>
      <c r="FS461" s="9"/>
      <c r="FT461" s="9"/>
      <c r="FU461" s="9"/>
      <c r="FV461" s="9"/>
      <c r="FW461" s="9"/>
      <c r="FX461" s="9"/>
      <c r="FY461" s="9"/>
      <c r="FZ461" s="9"/>
      <c r="GA461" s="9"/>
      <c r="GB461" s="9"/>
      <c r="GC461" s="9"/>
      <c r="GD461" s="9"/>
      <c r="GE461" s="9"/>
      <c r="GF461" s="9"/>
      <c r="GG461" s="9"/>
      <c r="GH461" s="9"/>
      <c r="GI461" s="9"/>
      <c r="GJ461" s="9"/>
      <c r="GK461" s="9"/>
      <c r="GL461" s="9" t="s">
        <v>1105</v>
      </c>
      <c r="GM461" s="9" t="s">
        <v>480</v>
      </c>
      <c r="GN461" s="9" t="s">
        <v>480</v>
      </c>
      <c r="GO461" s="9" t="s">
        <v>480</v>
      </c>
      <c r="GP461" s="9"/>
      <c r="GQ461" s="9"/>
      <c r="GR461" s="9"/>
      <c r="GS461" s="9"/>
      <c r="GT461" s="9"/>
      <c r="GU461" s="9"/>
      <c r="GV461" s="9"/>
      <c r="GW461" s="9"/>
      <c r="GX461" s="9"/>
      <c r="GY461" s="9"/>
      <c r="GZ461" s="9"/>
      <c r="HA461" s="9"/>
      <c r="HB461" s="9"/>
      <c r="HC461" s="9"/>
      <c r="HD461" s="9"/>
      <c r="HE461" s="9"/>
      <c r="HF461" s="9"/>
      <c r="HG461" s="9"/>
      <c r="HH461" s="9"/>
      <c r="HI461" s="9"/>
      <c r="HJ461" s="9"/>
      <c r="HK461" s="9"/>
      <c r="HX461" s="50"/>
      <c r="HY461" s="50"/>
      <c r="IV461" t="s">
        <v>1109</v>
      </c>
      <c r="IW461" s="75" t="s">
        <v>1106</v>
      </c>
      <c r="IX461" s="12" t="s">
        <v>1107</v>
      </c>
      <c r="IY461" s="46" t="s">
        <v>1110</v>
      </c>
      <c r="IZ461">
        <v>7.5</v>
      </c>
      <c r="JA461">
        <v>56</v>
      </c>
      <c r="JB461" t="s">
        <v>480</v>
      </c>
      <c r="JC461" t="s">
        <v>480</v>
      </c>
      <c r="MY461" t="s">
        <v>1095</v>
      </c>
      <c r="MZ461">
        <v>1963</v>
      </c>
      <c r="NA461" t="s">
        <v>1125</v>
      </c>
      <c r="NB461" t="s">
        <v>1097</v>
      </c>
      <c r="NG461" t="s">
        <v>1126</v>
      </c>
      <c r="NH461" t="s">
        <v>687</v>
      </c>
      <c r="NJ461" t="s">
        <v>1099</v>
      </c>
      <c r="NL461" t="s">
        <v>1099</v>
      </c>
      <c r="NV461" t="s">
        <v>518</v>
      </c>
      <c r="NW461">
        <v>3.9</v>
      </c>
      <c r="NX461" t="s">
        <v>916</v>
      </c>
      <c r="NY461">
        <v>1.2</v>
      </c>
      <c r="OB461">
        <v>7</v>
      </c>
      <c r="OU461" t="s">
        <v>1053</v>
      </c>
      <c r="OW461">
        <v>2010</v>
      </c>
      <c r="PB461" t="s">
        <v>522</v>
      </c>
      <c r="PC461" s="50">
        <v>46108</v>
      </c>
    </row>
    <row r="462" spans="1:419" ht="15.75" thickBot="1">
      <c r="A462" t="s">
        <v>665</v>
      </c>
      <c r="B462" t="s">
        <v>1075</v>
      </c>
      <c r="C462" t="s">
        <v>1076</v>
      </c>
      <c r="D462" s="4" t="s">
        <v>472</v>
      </c>
      <c r="E462" t="s">
        <v>1077</v>
      </c>
      <c r="F462" t="s">
        <v>865</v>
      </c>
      <c r="G462" t="s">
        <v>1078</v>
      </c>
      <c r="H462" s="2" t="s">
        <v>1079</v>
      </c>
      <c r="I462">
        <v>-23.748532000000001</v>
      </c>
      <c r="J462">
        <v>-62.056702000000001</v>
      </c>
      <c r="K462" s="78">
        <v>65000</v>
      </c>
      <c r="AV462" t="s">
        <v>1080</v>
      </c>
      <c r="AW462" t="s">
        <v>866</v>
      </c>
      <c r="AX462">
        <v>3600</v>
      </c>
      <c r="AY462" s="5">
        <v>1</v>
      </c>
      <c r="AZ462" t="s">
        <v>1081</v>
      </c>
      <c r="BA462">
        <v>2010</v>
      </c>
      <c r="BC462" t="s">
        <v>1082</v>
      </c>
      <c r="BD462" t="s">
        <v>1111</v>
      </c>
      <c r="BE462" t="s">
        <v>572</v>
      </c>
      <c r="BF462" t="s">
        <v>1102</v>
      </c>
      <c r="BG462" t="s">
        <v>1112</v>
      </c>
      <c r="BH462" t="s">
        <v>480</v>
      </c>
      <c r="BI462" t="s">
        <v>480</v>
      </c>
      <c r="BJ462" t="s">
        <v>480</v>
      </c>
      <c r="ED462" t="s">
        <v>1085</v>
      </c>
      <c r="EE462" t="s">
        <v>480</v>
      </c>
      <c r="EF462" t="s">
        <v>480</v>
      </c>
      <c r="EG462" t="s">
        <v>537</v>
      </c>
      <c r="EH462" t="s">
        <v>1086</v>
      </c>
      <c r="EI462" t="s">
        <v>480</v>
      </c>
      <c r="EJ462" t="s">
        <v>480</v>
      </c>
      <c r="EK462" t="s">
        <v>537</v>
      </c>
      <c r="EL462" t="s">
        <v>1087</v>
      </c>
      <c r="EM462" t="s">
        <v>480</v>
      </c>
      <c r="EN462" t="s">
        <v>480</v>
      </c>
      <c r="EO462" t="s">
        <v>537</v>
      </c>
      <c r="EP462" t="s">
        <v>1088</v>
      </c>
      <c r="EQ462" t="s">
        <v>480</v>
      </c>
      <c r="ER462" t="s">
        <v>480</v>
      </c>
      <c r="ES462" t="s">
        <v>537</v>
      </c>
      <c r="ET462" t="s">
        <v>1089</v>
      </c>
      <c r="EU462" t="s">
        <v>480</v>
      </c>
      <c r="EV462" t="s">
        <v>480</v>
      </c>
      <c r="EW462" t="s">
        <v>537</v>
      </c>
      <c r="EX462" t="s">
        <v>1090</v>
      </c>
      <c r="EY462" t="s">
        <v>480</v>
      </c>
      <c r="EZ462" t="s">
        <v>480</v>
      </c>
      <c r="FA462" t="s">
        <v>537</v>
      </c>
      <c r="FB462" t="s">
        <v>1091</v>
      </c>
      <c r="FC462" t="s">
        <v>480</v>
      </c>
      <c r="FD462" t="s">
        <v>480</v>
      </c>
      <c r="FF462" s="9"/>
      <c r="FG462" s="9"/>
      <c r="FH462" s="9"/>
      <c r="FI462" s="9"/>
      <c r="FJ462" s="9"/>
      <c r="FK462" s="9"/>
      <c r="FL462" s="9"/>
      <c r="FM462" s="9"/>
      <c r="FN462" s="9"/>
      <c r="FO462" s="9"/>
      <c r="FP462" s="9"/>
      <c r="FQ462" s="9"/>
      <c r="FR462" s="9"/>
      <c r="FS462" s="9"/>
      <c r="FT462" s="9"/>
      <c r="FU462" s="9"/>
      <c r="FV462" s="9"/>
      <c r="FW462" s="9"/>
      <c r="FX462" s="9"/>
      <c r="FY462" s="9"/>
      <c r="FZ462" s="9"/>
      <c r="GA462" s="9"/>
      <c r="GB462" s="9"/>
      <c r="GC462" s="9"/>
      <c r="GD462" s="9"/>
      <c r="GE462" s="9"/>
      <c r="GF462" s="9"/>
      <c r="GG462" s="9"/>
      <c r="GH462" s="9"/>
      <c r="GI462" s="9"/>
      <c r="GJ462" s="9"/>
      <c r="GK462" s="9"/>
      <c r="GL462" s="9" t="s">
        <v>1105</v>
      </c>
      <c r="GM462" s="9" t="s">
        <v>480</v>
      </c>
      <c r="GN462" s="9" t="s">
        <v>480</v>
      </c>
      <c r="GO462" s="9" t="s">
        <v>480</v>
      </c>
      <c r="GP462" s="9"/>
      <c r="GQ462" s="9"/>
      <c r="GR462" s="9"/>
      <c r="GS462" s="9"/>
      <c r="GT462" s="9"/>
      <c r="GU462" s="9"/>
      <c r="GV462" s="9"/>
      <c r="GW462" s="9"/>
      <c r="GX462" s="9"/>
      <c r="GY462" s="9"/>
      <c r="GZ462" s="9"/>
      <c r="HA462" s="9"/>
      <c r="HB462" s="9"/>
      <c r="HC462" s="9"/>
      <c r="HD462" s="9"/>
      <c r="HE462" s="9"/>
      <c r="HF462" s="9"/>
      <c r="HG462" s="9"/>
      <c r="HH462" s="9"/>
      <c r="HI462" s="9"/>
      <c r="HJ462" s="9"/>
      <c r="HK462" s="9"/>
      <c r="HX462" s="50"/>
      <c r="HY462" s="50"/>
      <c r="IV462" t="s">
        <v>1111</v>
      </c>
      <c r="IW462" s="75" t="s">
        <v>1106</v>
      </c>
      <c r="IX462" s="12" t="s">
        <v>1107</v>
      </c>
      <c r="IY462" s="46" t="s">
        <v>1110</v>
      </c>
      <c r="IZ462">
        <v>7.5</v>
      </c>
      <c r="JA462">
        <v>37</v>
      </c>
      <c r="JB462" t="s">
        <v>480</v>
      </c>
      <c r="JC462" t="s">
        <v>480</v>
      </c>
      <c r="MY462" t="s">
        <v>1095</v>
      </c>
      <c r="MZ462">
        <v>1963</v>
      </c>
      <c r="NA462" t="s">
        <v>1125</v>
      </c>
      <c r="NB462" t="s">
        <v>1097</v>
      </c>
      <c r="NG462" t="s">
        <v>1126</v>
      </c>
      <c r="NH462" t="s">
        <v>687</v>
      </c>
      <c r="NJ462" t="s">
        <v>1099</v>
      </c>
      <c r="NL462" t="s">
        <v>1099</v>
      </c>
      <c r="NV462" t="s">
        <v>518</v>
      </c>
      <c r="NW462">
        <v>2.2999999999999998</v>
      </c>
      <c r="NX462" t="s">
        <v>916</v>
      </c>
      <c r="NY462">
        <v>1.4</v>
      </c>
      <c r="OB462">
        <v>5</v>
      </c>
      <c r="OU462" t="s">
        <v>1053</v>
      </c>
      <c r="OW462">
        <v>2010</v>
      </c>
      <c r="PB462" t="s">
        <v>522</v>
      </c>
      <c r="PC462" s="50">
        <v>46108</v>
      </c>
    </row>
    <row r="463" spans="1:419" ht="15.75" thickBot="1">
      <c r="A463" t="s">
        <v>665</v>
      </c>
      <c r="B463" t="s">
        <v>1075</v>
      </c>
      <c r="C463" t="s">
        <v>1076</v>
      </c>
      <c r="D463" s="4" t="s">
        <v>472</v>
      </c>
      <c r="E463" t="s">
        <v>1077</v>
      </c>
      <c r="F463" t="s">
        <v>865</v>
      </c>
      <c r="G463" t="s">
        <v>1078</v>
      </c>
      <c r="H463" s="2" t="s">
        <v>1079</v>
      </c>
      <c r="I463">
        <v>-23.748532000000001</v>
      </c>
      <c r="J463">
        <v>-62.056702000000001</v>
      </c>
      <c r="K463" s="78">
        <v>65000</v>
      </c>
      <c r="AV463" t="s">
        <v>1080</v>
      </c>
      <c r="AW463" t="s">
        <v>866</v>
      </c>
      <c r="AX463" t="s">
        <v>866</v>
      </c>
      <c r="AY463" s="5">
        <v>1</v>
      </c>
      <c r="AZ463" t="s">
        <v>1081</v>
      </c>
      <c r="BA463">
        <v>2010</v>
      </c>
      <c r="BC463" t="s">
        <v>1082</v>
      </c>
      <c r="BD463" t="s">
        <v>1113</v>
      </c>
      <c r="BE463" t="s">
        <v>483</v>
      </c>
      <c r="BF463" t="s">
        <v>1102</v>
      </c>
      <c r="BG463" t="s">
        <v>1112</v>
      </c>
      <c r="BH463" t="s">
        <v>480</v>
      </c>
      <c r="BI463" t="s">
        <v>480</v>
      </c>
      <c r="BJ463" t="s">
        <v>480</v>
      </c>
      <c r="GL463" t="s">
        <v>1105</v>
      </c>
      <c r="GM463" s="9" t="s">
        <v>480</v>
      </c>
      <c r="GN463" s="9" t="s">
        <v>480</v>
      </c>
      <c r="GO463" s="9" t="s">
        <v>480</v>
      </c>
      <c r="HY463" s="50"/>
      <c r="IV463" t="s">
        <v>1113</v>
      </c>
      <c r="IW463" s="46" t="s">
        <v>1114</v>
      </c>
      <c r="IX463" s="46" t="s">
        <v>1114</v>
      </c>
      <c r="IY463" s="46" t="s">
        <v>1115</v>
      </c>
      <c r="IZ463">
        <v>1</v>
      </c>
      <c r="JA463">
        <v>6</v>
      </c>
      <c r="JB463" t="s">
        <v>480</v>
      </c>
      <c r="JC463" t="s">
        <v>480</v>
      </c>
      <c r="MY463" t="s">
        <v>1095</v>
      </c>
      <c r="MZ463">
        <v>1963</v>
      </c>
      <c r="NA463" t="s">
        <v>1125</v>
      </c>
      <c r="NB463" t="s">
        <v>1097</v>
      </c>
      <c r="NG463" t="s">
        <v>1126</v>
      </c>
      <c r="NH463" t="s">
        <v>687</v>
      </c>
      <c r="NJ463" t="s">
        <v>1099</v>
      </c>
      <c r="NL463" t="s">
        <v>1099</v>
      </c>
      <c r="NU463" t="s">
        <v>1116</v>
      </c>
      <c r="NV463" t="s">
        <v>518</v>
      </c>
      <c r="NW463">
        <v>0</v>
      </c>
      <c r="NX463" t="s">
        <v>916</v>
      </c>
      <c r="NY463">
        <v>0</v>
      </c>
      <c r="OB463">
        <v>7</v>
      </c>
      <c r="OU463" t="s">
        <v>1053</v>
      </c>
      <c r="OW463">
        <v>2010</v>
      </c>
      <c r="PB463" t="s">
        <v>522</v>
      </c>
      <c r="PC463" s="50">
        <v>46108</v>
      </c>
    </row>
    <row r="464" spans="1:419" ht="15.75" thickBot="1">
      <c r="A464" t="s">
        <v>665</v>
      </c>
      <c r="B464" t="s">
        <v>1075</v>
      </c>
      <c r="C464" t="s">
        <v>1076</v>
      </c>
      <c r="D464" s="4" t="s">
        <v>472</v>
      </c>
      <c r="E464" t="s">
        <v>1077</v>
      </c>
      <c r="F464" t="s">
        <v>865</v>
      </c>
      <c r="G464" t="s">
        <v>1078</v>
      </c>
      <c r="H464" s="2" t="s">
        <v>1079</v>
      </c>
      <c r="I464">
        <v>-23.748532000000001</v>
      </c>
      <c r="J464">
        <v>-62.056702000000001</v>
      </c>
      <c r="K464" s="78">
        <v>65000</v>
      </c>
      <c r="AV464" t="s">
        <v>1080</v>
      </c>
      <c r="AW464" t="s">
        <v>866</v>
      </c>
      <c r="AX464">
        <v>1000</v>
      </c>
      <c r="AY464" s="5">
        <v>1</v>
      </c>
      <c r="AZ464" t="s">
        <v>1081</v>
      </c>
      <c r="BA464">
        <v>2010</v>
      </c>
      <c r="BC464" t="s">
        <v>1082</v>
      </c>
      <c r="BD464" t="s">
        <v>1083</v>
      </c>
      <c r="BE464" t="s">
        <v>524</v>
      </c>
      <c r="BF464" t="s">
        <v>1084</v>
      </c>
      <c r="ED464" t="s">
        <v>1085</v>
      </c>
      <c r="EE464" t="s">
        <v>480</v>
      </c>
      <c r="EF464" t="s">
        <v>480</v>
      </c>
      <c r="EG464" t="s">
        <v>537</v>
      </c>
      <c r="EH464" t="s">
        <v>1086</v>
      </c>
      <c r="EI464" t="s">
        <v>480</v>
      </c>
      <c r="EJ464" t="s">
        <v>480</v>
      </c>
      <c r="EK464" t="s">
        <v>537</v>
      </c>
      <c r="EL464" t="s">
        <v>1087</v>
      </c>
      <c r="EM464" t="s">
        <v>480</v>
      </c>
      <c r="EN464" t="s">
        <v>480</v>
      </c>
      <c r="EO464" t="s">
        <v>537</v>
      </c>
      <c r="EP464" t="s">
        <v>1088</v>
      </c>
      <c r="EQ464" t="s">
        <v>480</v>
      </c>
      <c r="ER464" t="s">
        <v>480</v>
      </c>
      <c r="ES464" t="s">
        <v>537</v>
      </c>
      <c r="ET464" t="s">
        <v>1089</v>
      </c>
      <c r="EU464" t="s">
        <v>480</v>
      </c>
      <c r="EV464" t="s">
        <v>480</v>
      </c>
      <c r="EW464" t="s">
        <v>537</v>
      </c>
      <c r="EX464" t="s">
        <v>1090</v>
      </c>
      <c r="EY464" t="s">
        <v>480</v>
      </c>
      <c r="EZ464" t="s">
        <v>480</v>
      </c>
      <c r="FA464" t="s">
        <v>537</v>
      </c>
      <c r="FB464" t="s">
        <v>1091</v>
      </c>
      <c r="FC464" t="s">
        <v>480</v>
      </c>
      <c r="FD464" t="s">
        <v>480</v>
      </c>
      <c r="HY464" s="50"/>
      <c r="IV464" t="s">
        <v>1083</v>
      </c>
      <c r="IW464" t="s">
        <v>1092</v>
      </c>
      <c r="IX464" t="s">
        <v>1092</v>
      </c>
      <c r="IY464" t="s">
        <v>1092</v>
      </c>
      <c r="IZ464">
        <v>5</v>
      </c>
      <c r="JA464">
        <v>70</v>
      </c>
      <c r="JB464" t="s">
        <v>480</v>
      </c>
      <c r="JC464" t="s">
        <v>480</v>
      </c>
      <c r="MT464" t="s">
        <v>1083</v>
      </c>
      <c r="MU464" s="185" t="s">
        <v>1092</v>
      </c>
      <c r="MV464" t="s">
        <v>480</v>
      </c>
      <c r="MW464" s="185" t="s">
        <v>1093</v>
      </c>
      <c r="MX464" s="185" t="s">
        <v>1094</v>
      </c>
      <c r="MY464" t="s">
        <v>1095</v>
      </c>
      <c r="MZ464">
        <v>1963</v>
      </c>
      <c r="NA464" t="s">
        <v>1127</v>
      </c>
      <c r="NB464" t="s">
        <v>1097</v>
      </c>
      <c r="NG464" t="s">
        <v>1128</v>
      </c>
      <c r="NH464" t="s">
        <v>687</v>
      </c>
      <c r="NJ464" t="s">
        <v>1099</v>
      </c>
      <c r="NL464" t="s">
        <v>1099</v>
      </c>
      <c r="NU464" t="s">
        <v>1100</v>
      </c>
      <c r="NV464" t="s">
        <v>518</v>
      </c>
      <c r="NW464">
        <v>3.4</v>
      </c>
      <c r="NX464" t="s">
        <v>916</v>
      </c>
      <c r="NY464">
        <v>1.6</v>
      </c>
      <c r="OB464">
        <v>6</v>
      </c>
      <c r="OU464" t="s">
        <v>1053</v>
      </c>
      <c r="OW464">
        <v>2010</v>
      </c>
      <c r="PB464" t="s">
        <v>522</v>
      </c>
      <c r="PC464" s="50">
        <v>46108</v>
      </c>
    </row>
    <row r="465" spans="1:419" ht="15.75" thickBot="1">
      <c r="A465" t="s">
        <v>665</v>
      </c>
      <c r="B465" t="s">
        <v>1075</v>
      </c>
      <c r="C465" t="s">
        <v>1076</v>
      </c>
      <c r="D465" s="4" t="s">
        <v>472</v>
      </c>
      <c r="E465" t="s">
        <v>1077</v>
      </c>
      <c r="F465" t="s">
        <v>865</v>
      </c>
      <c r="G465" t="s">
        <v>1078</v>
      </c>
      <c r="H465" s="2" t="s">
        <v>1079</v>
      </c>
      <c r="I465">
        <v>-23.748532000000001</v>
      </c>
      <c r="J465">
        <v>-62.056702000000001</v>
      </c>
      <c r="K465" s="78">
        <v>65000</v>
      </c>
      <c r="AV465" t="s">
        <v>1080</v>
      </c>
      <c r="AW465" t="s">
        <v>866</v>
      </c>
      <c r="AX465" t="s">
        <v>866</v>
      </c>
      <c r="AY465" s="5">
        <v>1</v>
      </c>
      <c r="AZ465" t="s">
        <v>1081</v>
      </c>
      <c r="BA465">
        <v>2010</v>
      </c>
      <c r="BC465" t="s">
        <v>1082</v>
      </c>
      <c r="BD465" t="s">
        <v>1101</v>
      </c>
      <c r="BE465" t="s">
        <v>536</v>
      </c>
      <c r="BF465" t="s">
        <v>1102</v>
      </c>
      <c r="BG465" t="s">
        <v>1103</v>
      </c>
      <c r="BH465" t="s">
        <v>1104</v>
      </c>
      <c r="BI465" t="s">
        <v>480</v>
      </c>
      <c r="BJ465" t="s">
        <v>480</v>
      </c>
      <c r="ED465" t="s">
        <v>1085</v>
      </c>
      <c r="EE465" t="s">
        <v>480</v>
      </c>
      <c r="EF465" t="s">
        <v>480</v>
      </c>
      <c r="EG465" t="s">
        <v>537</v>
      </c>
      <c r="EH465" t="s">
        <v>1086</v>
      </c>
      <c r="EI465" t="s">
        <v>480</v>
      </c>
      <c r="EJ465" t="s">
        <v>480</v>
      </c>
      <c r="EK465" t="s">
        <v>537</v>
      </c>
      <c r="EL465" t="s">
        <v>1087</v>
      </c>
      <c r="EM465" t="s">
        <v>480</v>
      </c>
      <c r="EN465" t="s">
        <v>480</v>
      </c>
      <c r="EO465" t="s">
        <v>537</v>
      </c>
      <c r="EP465" t="s">
        <v>1088</v>
      </c>
      <c r="EQ465" t="s">
        <v>480</v>
      </c>
      <c r="ER465" t="s">
        <v>480</v>
      </c>
      <c r="ES465" t="s">
        <v>537</v>
      </c>
      <c r="ET465" t="s">
        <v>1089</v>
      </c>
      <c r="EU465" t="s">
        <v>480</v>
      </c>
      <c r="EV465" t="s">
        <v>480</v>
      </c>
      <c r="EW465" t="s">
        <v>537</v>
      </c>
      <c r="EX465" t="s">
        <v>1090</v>
      </c>
      <c r="EY465" t="s">
        <v>480</v>
      </c>
      <c r="EZ465" t="s">
        <v>480</v>
      </c>
      <c r="FA465" t="s">
        <v>537</v>
      </c>
      <c r="FB465" t="s">
        <v>1091</v>
      </c>
      <c r="FC465" t="s">
        <v>480</v>
      </c>
      <c r="FD465" t="s">
        <v>480</v>
      </c>
      <c r="GL465" t="s">
        <v>1105</v>
      </c>
      <c r="GM465" s="9" t="s">
        <v>480</v>
      </c>
      <c r="GN465" s="9" t="s">
        <v>480</v>
      </c>
      <c r="GO465" s="9" t="s">
        <v>480</v>
      </c>
      <c r="GP465" s="9"/>
      <c r="GQ465" s="9"/>
      <c r="GR465" s="9"/>
      <c r="GS465" s="9"/>
      <c r="GT465" s="9"/>
      <c r="GU465" s="9"/>
      <c r="GV465" s="9"/>
      <c r="GW465" s="9"/>
      <c r="GX465" s="9"/>
      <c r="GY465" s="9"/>
      <c r="GZ465" s="9"/>
      <c r="HA465" s="9"/>
      <c r="HB465" s="9"/>
      <c r="HC465" s="9"/>
      <c r="HD465" s="9"/>
      <c r="HE465" s="9"/>
      <c r="HF465" s="9"/>
      <c r="HG465" s="9"/>
      <c r="HH465" s="9"/>
      <c r="HI465" s="9"/>
      <c r="HJ465" s="9"/>
      <c r="HK465" s="9"/>
      <c r="HX465" s="50"/>
      <c r="HY465" s="50"/>
      <c r="IV465" t="s">
        <v>1101</v>
      </c>
      <c r="IW465" s="75" t="s">
        <v>1106</v>
      </c>
      <c r="IX465" t="s">
        <v>1107</v>
      </c>
      <c r="IY465" s="46" t="s">
        <v>1108</v>
      </c>
      <c r="IZ465">
        <v>1</v>
      </c>
      <c r="JA465">
        <v>81</v>
      </c>
      <c r="JB465" t="s">
        <v>480</v>
      </c>
      <c r="JC465" t="s">
        <v>480</v>
      </c>
      <c r="MY465" t="s">
        <v>1095</v>
      </c>
      <c r="MZ465">
        <v>1963</v>
      </c>
      <c r="NA465" t="s">
        <v>1127</v>
      </c>
      <c r="NB465" t="s">
        <v>1097</v>
      </c>
      <c r="NG465" t="s">
        <v>1128</v>
      </c>
      <c r="NH465" t="s">
        <v>687</v>
      </c>
      <c r="NJ465" t="s">
        <v>1099</v>
      </c>
      <c r="NL465" t="s">
        <v>1099</v>
      </c>
      <c r="NV465" t="s">
        <v>518</v>
      </c>
      <c r="NW465">
        <v>3.6</v>
      </c>
      <c r="NX465" t="s">
        <v>916</v>
      </c>
      <c r="NY465">
        <v>1.9</v>
      </c>
      <c r="OB465">
        <v>8</v>
      </c>
      <c r="OU465" t="s">
        <v>1053</v>
      </c>
      <c r="OW465">
        <v>2010</v>
      </c>
      <c r="PB465" t="s">
        <v>522</v>
      </c>
      <c r="PC465" s="50">
        <v>46108</v>
      </c>
    </row>
    <row r="466" spans="1:419" ht="15.75" thickBot="1">
      <c r="A466" t="s">
        <v>665</v>
      </c>
      <c r="B466" t="s">
        <v>1075</v>
      </c>
      <c r="C466" t="s">
        <v>1076</v>
      </c>
      <c r="D466" s="4" t="s">
        <v>472</v>
      </c>
      <c r="E466" t="s">
        <v>1077</v>
      </c>
      <c r="F466" t="s">
        <v>865</v>
      </c>
      <c r="G466" t="s">
        <v>1078</v>
      </c>
      <c r="H466" s="2" t="s">
        <v>1079</v>
      </c>
      <c r="I466">
        <v>-23.748532000000001</v>
      </c>
      <c r="J466">
        <v>-62.056702000000001</v>
      </c>
      <c r="K466" s="78">
        <v>65000</v>
      </c>
      <c r="AV466" t="s">
        <v>1080</v>
      </c>
      <c r="AW466" t="s">
        <v>866</v>
      </c>
      <c r="AX466">
        <v>3600</v>
      </c>
      <c r="AY466" s="5">
        <v>1</v>
      </c>
      <c r="AZ466" t="s">
        <v>1081</v>
      </c>
      <c r="BA466">
        <v>2010</v>
      </c>
      <c r="BC466" t="s">
        <v>1082</v>
      </c>
      <c r="BD466" t="s">
        <v>1109</v>
      </c>
      <c r="BE466" t="s">
        <v>566</v>
      </c>
      <c r="BF466" t="s">
        <v>1102</v>
      </c>
      <c r="BG466" t="s">
        <v>1103</v>
      </c>
      <c r="BH466" t="s">
        <v>480</v>
      </c>
      <c r="BI466" t="s">
        <v>480</v>
      </c>
      <c r="BJ466" t="s">
        <v>480</v>
      </c>
      <c r="ED466" t="s">
        <v>1085</v>
      </c>
      <c r="EE466" t="s">
        <v>480</v>
      </c>
      <c r="EF466" t="s">
        <v>480</v>
      </c>
      <c r="EG466" t="s">
        <v>537</v>
      </c>
      <c r="EH466" t="s">
        <v>1086</v>
      </c>
      <c r="EI466" t="s">
        <v>480</v>
      </c>
      <c r="EJ466" t="s">
        <v>480</v>
      </c>
      <c r="EK466" t="s">
        <v>537</v>
      </c>
      <c r="EL466" t="s">
        <v>1087</v>
      </c>
      <c r="EM466" t="s">
        <v>480</v>
      </c>
      <c r="EN466" t="s">
        <v>480</v>
      </c>
      <c r="EO466" t="s">
        <v>537</v>
      </c>
      <c r="EP466" t="s">
        <v>1088</v>
      </c>
      <c r="EQ466" t="s">
        <v>480</v>
      </c>
      <c r="ER466" t="s">
        <v>480</v>
      </c>
      <c r="ES466" t="s">
        <v>537</v>
      </c>
      <c r="ET466" t="s">
        <v>1089</v>
      </c>
      <c r="EU466" t="s">
        <v>480</v>
      </c>
      <c r="EV466" t="s">
        <v>480</v>
      </c>
      <c r="EW466" t="s">
        <v>537</v>
      </c>
      <c r="EX466" t="s">
        <v>1090</v>
      </c>
      <c r="EY466" t="s">
        <v>480</v>
      </c>
      <c r="EZ466" t="s">
        <v>480</v>
      </c>
      <c r="FA466" t="s">
        <v>537</v>
      </c>
      <c r="FB466" t="s">
        <v>1091</v>
      </c>
      <c r="FC466" t="s">
        <v>480</v>
      </c>
      <c r="FD466" t="s">
        <v>480</v>
      </c>
      <c r="FF466" s="9"/>
      <c r="FG466" s="9"/>
      <c r="FH466" s="9"/>
      <c r="FI466" s="9"/>
      <c r="FJ466" s="9"/>
      <c r="FK466" s="9"/>
      <c r="FL466" s="9"/>
      <c r="FM466" s="9"/>
      <c r="FN466" s="9"/>
      <c r="FO466" s="9"/>
      <c r="FP466" s="9"/>
      <c r="FQ466" s="9"/>
      <c r="FR466" s="9"/>
      <c r="FS466" s="9"/>
      <c r="FT466" s="9"/>
      <c r="FU466" s="9"/>
      <c r="FV466" s="9"/>
      <c r="FW466" s="9"/>
      <c r="FX466" s="9"/>
      <c r="FY466" s="9"/>
      <c r="FZ466" s="9"/>
      <c r="GA466" s="9"/>
      <c r="GB466" s="9"/>
      <c r="GC466" s="9"/>
      <c r="GD466" s="9"/>
      <c r="GE466" s="9"/>
      <c r="GF466" s="9"/>
      <c r="GG466" s="9"/>
      <c r="GH466" s="9"/>
      <c r="GI466" s="9"/>
      <c r="GJ466" s="9"/>
      <c r="GK466" s="9"/>
      <c r="GL466" s="9" t="s">
        <v>1105</v>
      </c>
      <c r="GM466" s="9" t="s">
        <v>480</v>
      </c>
      <c r="GN466" s="9" t="s">
        <v>480</v>
      </c>
      <c r="GO466" s="9" t="s">
        <v>480</v>
      </c>
      <c r="GP466" s="9"/>
      <c r="GQ466" s="9"/>
      <c r="GR466" s="9"/>
      <c r="GS466" s="9"/>
      <c r="GT466" s="9"/>
      <c r="GU466" s="9"/>
      <c r="GV466" s="9"/>
      <c r="GW466" s="9"/>
      <c r="GX466" s="9"/>
      <c r="GY466" s="9"/>
      <c r="GZ466" s="9"/>
      <c r="HA466" s="9"/>
      <c r="HB466" s="9"/>
      <c r="HC466" s="9"/>
      <c r="HD466" s="9"/>
      <c r="HE466" s="9"/>
      <c r="HF466" s="9"/>
      <c r="HG466" s="9"/>
      <c r="HH466" s="9"/>
      <c r="HI466" s="9"/>
      <c r="HJ466" s="9"/>
      <c r="HK466" s="9"/>
      <c r="HX466" s="50"/>
      <c r="HY466" s="50"/>
      <c r="IV466" t="s">
        <v>1109</v>
      </c>
      <c r="IW466" s="75" t="s">
        <v>1106</v>
      </c>
      <c r="IX466" s="12" t="s">
        <v>1107</v>
      </c>
      <c r="IY466" s="46" t="s">
        <v>1110</v>
      </c>
      <c r="IZ466">
        <v>7.5</v>
      </c>
      <c r="JA466">
        <v>56</v>
      </c>
      <c r="JB466" t="s">
        <v>480</v>
      </c>
      <c r="JC466" t="s">
        <v>480</v>
      </c>
      <c r="MY466" t="s">
        <v>1095</v>
      </c>
      <c r="MZ466">
        <v>1963</v>
      </c>
      <c r="NA466" t="s">
        <v>1127</v>
      </c>
      <c r="NB466" t="s">
        <v>1097</v>
      </c>
      <c r="NG466" t="s">
        <v>1128</v>
      </c>
      <c r="NH466" t="s">
        <v>687</v>
      </c>
      <c r="NJ466" t="s">
        <v>1099</v>
      </c>
      <c r="NL466" t="s">
        <v>1099</v>
      </c>
      <c r="NV466" t="s">
        <v>518</v>
      </c>
      <c r="NW466">
        <v>4.2</v>
      </c>
      <c r="NX466" t="s">
        <v>916</v>
      </c>
      <c r="NY466">
        <v>2.1</v>
      </c>
      <c r="OB466">
        <v>7</v>
      </c>
      <c r="OU466" t="s">
        <v>1053</v>
      </c>
      <c r="OW466">
        <v>2010</v>
      </c>
      <c r="PB466" t="s">
        <v>522</v>
      </c>
      <c r="PC466" s="50">
        <v>46108</v>
      </c>
    </row>
    <row r="467" spans="1:419" ht="15.75" thickBot="1">
      <c r="A467" t="s">
        <v>665</v>
      </c>
      <c r="B467" t="s">
        <v>1075</v>
      </c>
      <c r="C467" t="s">
        <v>1076</v>
      </c>
      <c r="D467" s="4" t="s">
        <v>472</v>
      </c>
      <c r="E467" t="s">
        <v>1077</v>
      </c>
      <c r="F467" t="s">
        <v>865</v>
      </c>
      <c r="G467" t="s">
        <v>1078</v>
      </c>
      <c r="H467" s="2" t="s">
        <v>1079</v>
      </c>
      <c r="I467">
        <v>-23.748532000000001</v>
      </c>
      <c r="J467">
        <v>-62.056702000000001</v>
      </c>
      <c r="K467" s="78">
        <v>65000</v>
      </c>
      <c r="AV467" t="s">
        <v>1080</v>
      </c>
      <c r="AW467" t="s">
        <v>866</v>
      </c>
      <c r="AX467">
        <v>3600</v>
      </c>
      <c r="AY467" s="5">
        <v>1</v>
      </c>
      <c r="AZ467" t="s">
        <v>1081</v>
      </c>
      <c r="BA467">
        <v>2010</v>
      </c>
      <c r="BC467" t="s">
        <v>1082</v>
      </c>
      <c r="BD467" t="s">
        <v>1111</v>
      </c>
      <c r="BE467" t="s">
        <v>572</v>
      </c>
      <c r="BF467" t="s">
        <v>1102</v>
      </c>
      <c r="BG467" t="s">
        <v>1112</v>
      </c>
      <c r="BH467" t="s">
        <v>480</v>
      </c>
      <c r="BI467" t="s">
        <v>480</v>
      </c>
      <c r="BJ467" t="s">
        <v>480</v>
      </c>
      <c r="ED467" t="s">
        <v>1085</v>
      </c>
      <c r="EE467" t="s">
        <v>480</v>
      </c>
      <c r="EF467" t="s">
        <v>480</v>
      </c>
      <c r="EG467" t="s">
        <v>537</v>
      </c>
      <c r="EH467" t="s">
        <v>1086</v>
      </c>
      <c r="EI467" t="s">
        <v>480</v>
      </c>
      <c r="EJ467" t="s">
        <v>480</v>
      </c>
      <c r="EK467" t="s">
        <v>537</v>
      </c>
      <c r="EL467" t="s">
        <v>1087</v>
      </c>
      <c r="EM467" t="s">
        <v>480</v>
      </c>
      <c r="EN467" t="s">
        <v>480</v>
      </c>
      <c r="EO467" t="s">
        <v>537</v>
      </c>
      <c r="EP467" t="s">
        <v>1088</v>
      </c>
      <c r="EQ467" t="s">
        <v>480</v>
      </c>
      <c r="ER467" t="s">
        <v>480</v>
      </c>
      <c r="ES467" t="s">
        <v>537</v>
      </c>
      <c r="ET467" t="s">
        <v>1089</v>
      </c>
      <c r="EU467" t="s">
        <v>480</v>
      </c>
      <c r="EV467" t="s">
        <v>480</v>
      </c>
      <c r="EW467" t="s">
        <v>537</v>
      </c>
      <c r="EX467" t="s">
        <v>1090</v>
      </c>
      <c r="EY467" t="s">
        <v>480</v>
      </c>
      <c r="EZ467" t="s">
        <v>480</v>
      </c>
      <c r="FA467" t="s">
        <v>537</v>
      </c>
      <c r="FB467" t="s">
        <v>1091</v>
      </c>
      <c r="FC467" t="s">
        <v>480</v>
      </c>
      <c r="FD467" t="s">
        <v>480</v>
      </c>
      <c r="FF467" s="9"/>
      <c r="FG467" s="9"/>
      <c r="FH467" s="9"/>
      <c r="FI467" s="9"/>
      <c r="FJ467" s="9"/>
      <c r="FK467" s="9"/>
      <c r="FL467" s="9"/>
      <c r="FM467" s="9"/>
      <c r="FN467" s="9"/>
      <c r="FO467" s="9"/>
      <c r="FP467" s="9"/>
      <c r="FQ467" s="9"/>
      <c r="FR467" s="9"/>
      <c r="FS467" s="9"/>
      <c r="FT467" s="9"/>
      <c r="FU467" s="9"/>
      <c r="FV467" s="9"/>
      <c r="FW467" s="9"/>
      <c r="FX467" s="9"/>
      <c r="FY467" s="9"/>
      <c r="FZ467" s="9"/>
      <c r="GA467" s="9"/>
      <c r="GB467" s="9"/>
      <c r="GC467" s="9"/>
      <c r="GD467" s="9"/>
      <c r="GE467" s="9"/>
      <c r="GF467" s="9"/>
      <c r="GG467" s="9"/>
      <c r="GH467" s="9"/>
      <c r="GI467" s="9"/>
      <c r="GJ467" s="9"/>
      <c r="GK467" s="9"/>
      <c r="GL467" s="9" t="s">
        <v>1105</v>
      </c>
      <c r="GM467" s="9" t="s">
        <v>480</v>
      </c>
      <c r="GN467" s="9" t="s">
        <v>480</v>
      </c>
      <c r="GO467" s="9" t="s">
        <v>480</v>
      </c>
      <c r="GP467" s="9"/>
      <c r="GQ467" s="9"/>
      <c r="GR467" s="9"/>
      <c r="GS467" s="9"/>
      <c r="GT467" s="9"/>
      <c r="GU467" s="9"/>
      <c r="GV467" s="9"/>
      <c r="GW467" s="9"/>
      <c r="GX467" s="9"/>
      <c r="GY467" s="9"/>
      <c r="GZ467" s="9"/>
      <c r="HA467" s="9"/>
      <c r="HB467" s="9"/>
      <c r="HC467" s="9"/>
      <c r="HD467" s="9"/>
      <c r="HE467" s="9"/>
      <c r="HF467" s="9"/>
      <c r="HG467" s="9"/>
      <c r="HH467" s="9"/>
      <c r="HI467" s="9"/>
      <c r="HJ467" s="9"/>
      <c r="HK467" s="9"/>
      <c r="HX467" s="50"/>
      <c r="HY467" s="50"/>
      <c r="IV467" t="s">
        <v>1111</v>
      </c>
      <c r="IW467" s="75" t="s">
        <v>1106</v>
      </c>
      <c r="IX467" s="12" t="s">
        <v>1107</v>
      </c>
      <c r="IY467" s="46" t="s">
        <v>1110</v>
      </c>
      <c r="IZ467">
        <v>7.5</v>
      </c>
      <c r="JA467">
        <v>37</v>
      </c>
      <c r="JB467" t="s">
        <v>480</v>
      </c>
      <c r="JC467" t="s">
        <v>480</v>
      </c>
      <c r="MY467" t="s">
        <v>1095</v>
      </c>
      <c r="MZ467">
        <v>1963</v>
      </c>
      <c r="NA467" t="s">
        <v>1127</v>
      </c>
      <c r="NB467" t="s">
        <v>1097</v>
      </c>
      <c r="NG467" t="s">
        <v>1128</v>
      </c>
      <c r="NH467" t="s">
        <v>687</v>
      </c>
      <c r="NJ467" t="s">
        <v>1099</v>
      </c>
      <c r="NL467" t="s">
        <v>1099</v>
      </c>
      <c r="NV467" t="s">
        <v>518</v>
      </c>
      <c r="NW467">
        <v>5.2</v>
      </c>
      <c r="NX467" t="s">
        <v>916</v>
      </c>
      <c r="NY467">
        <v>2.1</v>
      </c>
      <c r="OB467">
        <v>5</v>
      </c>
      <c r="OU467" t="s">
        <v>1053</v>
      </c>
      <c r="OW467">
        <v>2010</v>
      </c>
      <c r="PB467" t="s">
        <v>522</v>
      </c>
      <c r="PC467" s="50">
        <v>46108</v>
      </c>
    </row>
    <row r="468" spans="1:419" ht="15.75" thickBot="1">
      <c r="A468" t="s">
        <v>665</v>
      </c>
      <c r="B468" t="s">
        <v>1075</v>
      </c>
      <c r="C468" t="s">
        <v>1076</v>
      </c>
      <c r="D468" s="4" t="s">
        <v>472</v>
      </c>
      <c r="E468" t="s">
        <v>1077</v>
      </c>
      <c r="F468" t="s">
        <v>865</v>
      </c>
      <c r="G468" t="s">
        <v>1078</v>
      </c>
      <c r="H468" s="2" t="s">
        <v>1079</v>
      </c>
      <c r="I468">
        <v>-23.748532000000001</v>
      </c>
      <c r="J468">
        <v>-62.056702000000001</v>
      </c>
      <c r="K468" s="78">
        <v>65000</v>
      </c>
      <c r="AV468" t="s">
        <v>1080</v>
      </c>
      <c r="AW468" t="s">
        <v>866</v>
      </c>
      <c r="AX468" t="s">
        <v>866</v>
      </c>
      <c r="AY468" s="5">
        <v>1</v>
      </c>
      <c r="AZ468" t="s">
        <v>1081</v>
      </c>
      <c r="BA468">
        <v>2010</v>
      </c>
      <c r="BC468" t="s">
        <v>1082</v>
      </c>
      <c r="BD468" t="s">
        <v>1113</v>
      </c>
      <c r="BE468" t="s">
        <v>483</v>
      </c>
      <c r="BF468" t="s">
        <v>1102</v>
      </c>
      <c r="BG468" t="s">
        <v>1112</v>
      </c>
      <c r="BH468" t="s">
        <v>480</v>
      </c>
      <c r="BI468" t="s">
        <v>480</v>
      </c>
      <c r="BJ468" t="s">
        <v>480</v>
      </c>
      <c r="GL468" t="s">
        <v>1105</v>
      </c>
      <c r="GM468" s="9" t="s">
        <v>480</v>
      </c>
      <c r="GN468" s="9" t="s">
        <v>480</v>
      </c>
      <c r="GO468" s="9" t="s">
        <v>480</v>
      </c>
      <c r="HY468" s="50"/>
      <c r="IV468" t="s">
        <v>1113</v>
      </c>
      <c r="IW468" s="46" t="s">
        <v>1114</v>
      </c>
      <c r="IX468" s="46" t="s">
        <v>1114</v>
      </c>
      <c r="IY468" s="46" t="s">
        <v>1115</v>
      </c>
      <c r="IZ468">
        <v>1</v>
      </c>
      <c r="JA468">
        <v>6</v>
      </c>
      <c r="JB468" t="s">
        <v>480</v>
      </c>
      <c r="JC468" t="s">
        <v>480</v>
      </c>
      <c r="MY468" t="s">
        <v>1095</v>
      </c>
      <c r="MZ468">
        <v>1963</v>
      </c>
      <c r="NA468" t="s">
        <v>1127</v>
      </c>
      <c r="NB468" t="s">
        <v>1097</v>
      </c>
      <c r="NG468" t="s">
        <v>1128</v>
      </c>
      <c r="NH468" t="s">
        <v>687</v>
      </c>
      <c r="NJ468" t="s">
        <v>1099</v>
      </c>
      <c r="NL468" t="s">
        <v>1099</v>
      </c>
      <c r="NU468" t="s">
        <v>1116</v>
      </c>
      <c r="NV468" t="s">
        <v>518</v>
      </c>
      <c r="NW468">
        <v>2.7</v>
      </c>
      <c r="NX468" t="s">
        <v>916</v>
      </c>
      <c r="NY468">
        <v>1.8</v>
      </c>
      <c r="OB468">
        <v>7</v>
      </c>
      <c r="OU468" t="s">
        <v>1053</v>
      </c>
      <c r="OW468">
        <v>2010</v>
      </c>
      <c r="PB468" t="s">
        <v>522</v>
      </c>
      <c r="PC468" s="50">
        <v>46108</v>
      </c>
    </row>
    <row r="469" spans="1:419" ht="15.75" thickBot="1">
      <c r="A469" t="s">
        <v>665</v>
      </c>
      <c r="B469" t="s">
        <v>1075</v>
      </c>
      <c r="C469" t="s">
        <v>1076</v>
      </c>
      <c r="D469" s="4" t="s">
        <v>472</v>
      </c>
      <c r="E469" t="s">
        <v>1077</v>
      </c>
      <c r="F469" t="s">
        <v>865</v>
      </c>
      <c r="G469" t="s">
        <v>1078</v>
      </c>
      <c r="H469" s="2" t="s">
        <v>1079</v>
      </c>
      <c r="I469">
        <v>-23.748532000000001</v>
      </c>
      <c r="J469">
        <v>-62.056702000000001</v>
      </c>
      <c r="K469" s="78">
        <v>65000</v>
      </c>
      <c r="AV469" t="s">
        <v>1080</v>
      </c>
      <c r="AW469" t="s">
        <v>866</v>
      </c>
      <c r="AX469">
        <v>1000</v>
      </c>
      <c r="AY469" s="5">
        <v>1</v>
      </c>
      <c r="AZ469" t="s">
        <v>1081</v>
      </c>
      <c r="BA469">
        <v>2010</v>
      </c>
      <c r="BC469" t="s">
        <v>1082</v>
      </c>
      <c r="BD469" t="s">
        <v>1083</v>
      </c>
      <c r="BE469" t="s">
        <v>524</v>
      </c>
      <c r="BF469" t="s">
        <v>1084</v>
      </c>
      <c r="ED469" t="s">
        <v>1085</v>
      </c>
      <c r="EE469" t="s">
        <v>480</v>
      </c>
      <c r="EF469" t="s">
        <v>480</v>
      </c>
      <c r="EG469" t="s">
        <v>537</v>
      </c>
      <c r="EH469" t="s">
        <v>1086</v>
      </c>
      <c r="EI469" t="s">
        <v>480</v>
      </c>
      <c r="EJ469" t="s">
        <v>480</v>
      </c>
      <c r="EK469" t="s">
        <v>537</v>
      </c>
      <c r="EL469" t="s">
        <v>1087</v>
      </c>
      <c r="EM469" t="s">
        <v>480</v>
      </c>
      <c r="EN469" t="s">
        <v>480</v>
      </c>
      <c r="EO469" t="s">
        <v>537</v>
      </c>
      <c r="EP469" t="s">
        <v>1088</v>
      </c>
      <c r="EQ469" t="s">
        <v>480</v>
      </c>
      <c r="ER469" t="s">
        <v>480</v>
      </c>
      <c r="ES469" t="s">
        <v>537</v>
      </c>
      <c r="ET469" t="s">
        <v>1089</v>
      </c>
      <c r="EU469" t="s">
        <v>480</v>
      </c>
      <c r="EV469" t="s">
        <v>480</v>
      </c>
      <c r="EW469" t="s">
        <v>537</v>
      </c>
      <c r="EX469" t="s">
        <v>1090</v>
      </c>
      <c r="EY469" t="s">
        <v>480</v>
      </c>
      <c r="EZ469" t="s">
        <v>480</v>
      </c>
      <c r="FA469" t="s">
        <v>537</v>
      </c>
      <c r="FB469" t="s">
        <v>1091</v>
      </c>
      <c r="FC469" t="s">
        <v>480</v>
      </c>
      <c r="FD469" t="s">
        <v>480</v>
      </c>
      <c r="HY469" s="50"/>
      <c r="IV469" t="s">
        <v>1083</v>
      </c>
      <c r="IW469" t="s">
        <v>1092</v>
      </c>
      <c r="IX469" t="s">
        <v>1092</v>
      </c>
      <c r="IY469" t="s">
        <v>1092</v>
      </c>
      <c r="IZ469">
        <v>5</v>
      </c>
      <c r="JA469">
        <v>70</v>
      </c>
      <c r="JB469" t="s">
        <v>480</v>
      </c>
      <c r="JC469" t="s">
        <v>480</v>
      </c>
      <c r="MT469" t="s">
        <v>1083</v>
      </c>
      <c r="MU469" s="185" t="s">
        <v>1092</v>
      </c>
      <c r="MV469" t="s">
        <v>480</v>
      </c>
      <c r="MW469" s="185" t="s">
        <v>1093</v>
      </c>
      <c r="MX469" s="185" t="s">
        <v>1094</v>
      </c>
      <c r="MY469" t="s">
        <v>1095</v>
      </c>
      <c r="MZ469">
        <v>1963</v>
      </c>
      <c r="NA469" t="s">
        <v>1129</v>
      </c>
      <c r="NB469" t="s">
        <v>1097</v>
      </c>
      <c r="NG469" t="s">
        <v>1130</v>
      </c>
      <c r="NH469" t="s">
        <v>687</v>
      </c>
      <c r="NJ469" t="s">
        <v>1099</v>
      </c>
      <c r="NL469" t="s">
        <v>1099</v>
      </c>
      <c r="NU469" t="s">
        <v>1100</v>
      </c>
      <c r="NV469" t="s">
        <v>518</v>
      </c>
      <c r="NW469">
        <v>0.6</v>
      </c>
      <c r="NX469" t="s">
        <v>916</v>
      </c>
      <c r="NY469">
        <v>0.9</v>
      </c>
      <c r="OB469">
        <v>6</v>
      </c>
      <c r="OU469" t="s">
        <v>1053</v>
      </c>
      <c r="OW469">
        <v>2010</v>
      </c>
      <c r="PB469" t="s">
        <v>522</v>
      </c>
      <c r="PC469" s="50">
        <v>46108</v>
      </c>
    </row>
    <row r="470" spans="1:419" ht="15.75" thickBot="1">
      <c r="A470" t="s">
        <v>665</v>
      </c>
      <c r="B470" t="s">
        <v>1075</v>
      </c>
      <c r="C470" t="s">
        <v>1076</v>
      </c>
      <c r="D470" s="4" t="s">
        <v>472</v>
      </c>
      <c r="E470" t="s">
        <v>1077</v>
      </c>
      <c r="F470" t="s">
        <v>865</v>
      </c>
      <c r="G470" t="s">
        <v>1078</v>
      </c>
      <c r="H470" s="2" t="s">
        <v>1079</v>
      </c>
      <c r="I470">
        <v>-23.748532000000001</v>
      </c>
      <c r="J470">
        <v>-62.056702000000001</v>
      </c>
      <c r="K470" s="78">
        <v>65000</v>
      </c>
      <c r="AV470" t="s">
        <v>1080</v>
      </c>
      <c r="AW470" t="s">
        <v>866</v>
      </c>
      <c r="AX470" t="s">
        <v>866</v>
      </c>
      <c r="AY470" s="5">
        <v>1</v>
      </c>
      <c r="AZ470" t="s">
        <v>1081</v>
      </c>
      <c r="BA470">
        <v>2010</v>
      </c>
      <c r="BC470" t="s">
        <v>1082</v>
      </c>
      <c r="BD470" t="s">
        <v>1101</v>
      </c>
      <c r="BE470" t="s">
        <v>536</v>
      </c>
      <c r="BF470" t="s">
        <v>1102</v>
      </c>
      <c r="BG470" t="s">
        <v>1103</v>
      </c>
      <c r="BH470" t="s">
        <v>1104</v>
      </c>
      <c r="BI470" t="s">
        <v>480</v>
      </c>
      <c r="BJ470" t="s">
        <v>480</v>
      </c>
      <c r="ED470" t="s">
        <v>1085</v>
      </c>
      <c r="EE470" t="s">
        <v>480</v>
      </c>
      <c r="EF470" t="s">
        <v>480</v>
      </c>
      <c r="EG470" t="s">
        <v>537</v>
      </c>
      <c r="EH470" t="s">
        <v>1086</v>
      </c>
      <c r="EI470" t="s">
        <v>480</v>
      </c>
      <c r="EJ470" t="s">
        <v>480</v>
      </c>
      <c r="EK470" t="s">
        <v>537</v>
      </c>
      <c r="EL470" t="s">
        <v>1087</v>
      </c>
      <c r="EM470" t="s">
        <v>480</v>
      </c>
      <c r="EN470" t="s">
        <v>480</v>
      </c>
      <c r="EO470" t="s">
        <v>537</v>
      </c>
      <c r="EP470" t="s">
        <v>1088</v>
      </c>
      <c r="EQ470" t="s">
        <v>480</v>
      </c>
      <c r="ER470" t="s">
        <v>480</v>
      </c>
      <c r="ES470" t="s">
        <v>537</v>
      </c>
      <c r="ET470" t="s">
        <v>1089</v>
      </c>
      <c r="EU470" t="s">
        <v>480</v>
      </c>
      <c r="EV470" t="s">
        <v>480</v>
      </c>
      <c r="EW470" t="s">
        <v>537</v>
      </c>
      <c r="EX470" t="s">
        <v>1090</v>
      </c>
      <c r="EY470" t="s">
        <v>480</v>
      </c>
      <c r="EZ470" t="s">
        <v>480</v>
      </c>
      <c r="FA470" t="s">
        <v>537</v>
      </c>
      <c r="FB470" t="s">
        <v>1091</v>
      </c>
      <c r="FC470" t="s">
        <v>480</v>
      </c>
      <c r="FD470" t="s">
        <v>480</v>
      </c>
      <c r="GL470" t="s">
        <v>1105</v>
      </c>
      <c r="GM470" s="9" t="s">
        <v>480</v>
      </c>
      <c r="GN470" s="9" t="s">
        <v>480</v>
      </c>
      <c r="GO470" s="9" t="s">
        <v>480</v>
      </c>
      <c r="GP470" s="9"/>
      <c r="GQ470" s="9"/>
      <c r="GR470" s="9"/>
      <c r="GS470" s="9"/>
      <c r="GT470" s="9"/>
      <c r="GU470" s="9"/>
      <c r="GV470" s="9"/>
      <c r="GW470" s="9"/>
      <c r="GX470" s="9"/>
      <c r="GY470" s="9"/>
      <c r="GZ470" s="9"/>
      <c r="HA470" s="9"/>
      <c r="HB470" s="9"/>
      <c r="HC470" s="9"/>
      <c r="HD470" s="9"/>
      <c r="HE470" s="9"/>
      <c r="HF470" s="9"/>
      <c r="HG470" s="9"/>
      <c r="HH470" s="9"/>
      <c r="HI470" s="9"/>
      <c r="HJ470" s="9"/>
      <c r="HK470" s="9"/>
      <c r="HX470" s="50"/>
      <c r="HY470" s="50"/>
      <c r="IV470" t="s">
        <v>1101</v>
      </c>
      <c r="IW470" s="75" t="s">
        <v>1106</v>
      </c>
      <c r="IX470" t="s">
        <v>1107</v>
      </c>
      <c r="IY470" s="46" t="s">
        <v>1108</v>
      </c>
      <c r="IZ470">
        <v>1</v>
      </c>
      <c r="JA470">
        <v>81</v>
      </c>
      <c r="JB470" t="s">
        <v>480</v>
      </c>
      <c r="JC470" t="s">
        <v>480</v>
      </c>
      <c r="MY470" t="s">
        <v>1095</v>
      </c>
      <c r="MZ470">
        <v>1963</v>
      </c>
      <c r="NA470" t="s">
        <v>1129</v>
      </c>
      <c r="NB470" t="s">
        <v>1097</v>
      </c>
      <c r="NG470" t="s">
        <v>1130</v>
      </c>
      <c r="NH470" t="s">
        <v>687</v>
      </c>
      <c r="NJ470" t="s">
        <v>1099</v>
      </c>
      <c r="NL470" t="s">
        <v>1099</v>
      </c>
      <c r="NV470" t="s">
        <v>518</v>
      </c>
      <c r="NW470">
        <v>0.5</v>
      </c>
      <c r="NX470" t="s">
        <v>916</v>
      </c>
      <c r="NY470">
        <v>0.8</v>
      </c>
      <c r="OB470">
        <v>8</v>
      </c>
      <c r="OU470" t="s">
        <v>1053</v>
      </c>
      <c r="OW470">
        <v>2010</v>
      </c>
      <c r="PB470" t="s">
        <v>522</v>
      </c>
      <c r="PC470" s="50">
        <v>46108</v>
      </c>
    </row>
    <row r="471" spans="1:419" ht="15.75" thickBot="1">
      <c r="A471" t="s">
        <v>665</v>
      </c>
      <c r="B471" t="s">
        <v>1075</v>
      </c>
      <c r="C471" t="s">
        <v>1076</v>
      </c>
      <c r="D471" s="4" t="s">
        <v>472</v>
      </c>
      <c r="E471" t="s">
        <v>1077</v>
      </c>
      <c r="F471" t="s">
        <v>865</v>
      </c>
      <c r="G471" t="s">
        <v>1078</v>
      </c>
      <c r="H471" s="2" t="s">
        <v>1079</v>
      </c>
      <c r="I471">
        <v>-23.748532000000001</v>
      </c>
      <c r="J471">
        <v>-62.056702000000001</v>
      </c>
      <c r="K471" s="78">
        <v>65000</v>
      </c>
      <c r="AV471" t="s">
        <v>1080</v>
      </c>
      <c r="AW471" t="s">
        <v>866</v>
      </c>
      <c r="AX471">
        <v>3600</v>
      </c>
      <c r="AY471" s="5">
        <v>1</v>
      </c>
      <c r="AZ471" t="s">
        <v>1081</v>
      </c>
      <c r="BA471">
        <v>2010</v>
      </c>
      <c r="BC471" t="s">
        <v>1082</v>
      </c>
      <c r="BD471" t="s">
        <v>1109</v>
      </c>
      <c r="BE471" t="s">
        <v>566</v>
      </c>
      <c r="BF471" t="s">
        <v>1102</v>
      </c>
      <c r="BG471" t="s">
        <v>1103</v>
      </c>
      <c r="BH471" t="s">
        <v>480</v>
      </c>
      <c r="BI471" t="s">
        <v>480</v>
      </c>
      <c r="BJ471" t="s">
        <v>480</v>
      </c>
      <c r="ED471" t="s">
        <v>1085</v>
      </c>
      <c r="EE471" t="s">
        <v>480</v>
      </c>
      <c r="EF471" t="s">
        <v>480</v>
      </c>
      <c r="EG471" t="s">
        <v>537</v>
      </c>
      <c r="EH471" t="s">
        <v>1086</v>
      </c>
      <c r="EI471" t="s">
        <v>480</v>
      </c>
      <c r="EJ471" t="s">
        <v>480</v>
      </c>
      <c r="EK471" t="s">
        <v>537</v>
      </c>
      <c r="EL471" t="s">
        <v>1087</v>
      </c>
      <c r="EM471" t="s">
        <v>480</v>
      </c>
      <c r="EN471" t="s">
        <v>480</v>
      </c>
      <c r="EO471" t="s">
        <v>537</v>
      </c>
      <c r="EP471" t="s">
        <v>1088</v>
      </c>
      <c r="EQ471" t="s">
        <v>480</v>
      </c>
      <c r="ER471" t="s">
        <v>480</v>
      </c>
      <c r="ES471" t="s">
        <v>537</v>
      </c>
      <c r="ET471" t="s">
        <v>1089</v>
      </c>
      <c r="EU471" t="s">
        <v>480</v>
      </c>
      <c r="EV471" t="s">
        <v>480</v>
      </c>
      <c r="EW471" t="s">
        <v>537</v>
      </c>
      <c r="EX471" t="s">
        <v>1090</v>
      </c>
      <c r="EY471" t="s">
        <v>480</v>
      </c>
      <c r="EZ471" t="s">
        <v>480</v>
      </c>
      <c r="FA471" t="s">
        <v>537</v>
      </c>
      <c r="FB471" t="s">
        <v>1091</v>
      </c>
      <c r="FC471" t="s">
        <v>480</v>
      </c>
      <c r="FD471" t="s">
        <v>480</v>
      </c>
      <c r="FF471" s="9"/>
      <c r="FG471" s="9"/>
      <c r="FH471" s="9"/>
      <c r="FI471" s="9"/>
      <c r="FJ471" s="9"/>
      <c r="FK471" s="9"/>
      <c r="FL471" s="9"/>
      <c r="FM471" s="9"/>
      <c r="FN471" s="9"/>
      <c r="FO471" s="9"/>
      <c r="FP471" s="9"/>
      <c r="FQ471" s="9"/>
      <c r="FR471" s="9"/>
      <c r="FS471" s="9"/>
      <c r="FT471" s="9"/>
      <c r="FU471" s="9"/>
      <c r="FV471" s="9"/>
      <c r="FW471" s="9"/>
      <c r="FX471" s="9"/>
      <c r="FY471" s="9"/>
      <c r="FZ471" s="9"/>
      <c r="GA471" s="9"/>
      <c r="GB471" s="9"/>
      <c r="GC471" s="9"/>
      <c r="GD471" s="9"/>
      <c r="GE471" s="9"/>
      <c r="GF471" s="9"/>
      <c r="GG471" s="9"/>
      <c r="GH471" s="9"/>
      <c r="GI471" s="9"/>
      <c r="GJ471" s="9"/>
      <c r="GK471" s="9"/>
      <c r="GL471" s="9" t="s">
        <v>1105</v>
      </c>
      <c r="GM471" s="9" t="s">
        <v>480</v>
      </c>
      <c r="GN471" s="9" t="s">
        <v>480</v>
      </c>
      <c r="GO471" s="9" t="s">
        <v>480</v>
      </c>
      <c r="GP471" s="9"/>
      <c r="GQ471" s="9"/>
      <c r="GR471" s="9"/>
      <c r="GS471" s="9"/>
      <c r="GT471" s="9"/>
      <c r="GU471" s="9"/>
      <c r="GV471" s="9"/>
      <c r="GW471" s="9"/>
      <c r="GX471" s="9"/>
      <c r="GY471" s="9"/>
      <c r="GZ471" s="9"/>
      <c r="HA471" s="9"/>
      <c r="HB471" s="9"/>
      <c r="HC471" s="9"/>
      <c r="HD471" s="9"/>
      <c r="HE471" s="9"/>
      <c r="HF471" s="9"/>
      <c r="HG471" s="9"/>
      <c r="HH471" s="9"/>
      <c r="HI471" s="9"/>
      <c r="HJ471" s="9"/>
      <c r="HK471" s="9"/>
      <c r="HX471" s="50"/>
      <c r="HY471" s="50"/>
      <c r="IV471" t="s">
        <v>1109</v>
      </c>
      <c r="IW471" s="75" t="s">
        <v>1106</v>
      </c>
      <c r="IX471" s="12" t="s">
        <v>1107</v>
      </c>
      <c r="IY471" s="46" t="s">
        <v>1110</v>
      </c>
      <c r="IZ471">
        <v>7.5</v>
      </c>
      <c r="JA471">
        <v>56</v>
      </c>
      <c r="JB471" t="s">
        <v>480</v>
      </c>
      <c r="JC471" t="s">
        <v>480</v>
      </c>
      <c r="MY471" t="s">
        <v>1095</v>
      </c>
      <c r="MZ471">
        <v>1963</v>
      </c>
      <c r="NA471" t="s">
        <v>1129</v>
      </c>
      <c r="NB471" t="s">
        <v>1097</v>
      </c>
      <c r="NG471" t="s">
        <v>1130</v>
      </c>
      <c r="NH471" t="s">
        <v>687</v>
      </c>
      <c r="NJ471" t="s">
        <v>1099</v>
      </c>
      <c r="NL471" t="s">
        <v>1099</v>
      </c>
      <c r="NV471" t="s">
        <v>518</v>
      </c>
      <c r="NW471">
        <v>1.3</v>
      </c>
      <c r="NX471" t="s">
        <v>916</v>
      </c>
      <c r="NY471">
        <v>1.3</v>
      </c>
      <c r="OB471">
        <v>7</v>
      </c>
      <c r="OU471" t="s">
        <v>1053</v>
      </c>
      <c r="OW471">
        <v>2010</v>
      </c>
      <c r="PB471" t="s">
        <v>522</v>
      </c>
      <c r="PC471" s="50">
        <v>46108</v>
      </c>
    </row>
    <row r="472" spans="1:419" ht="15.75" thickBot="1">
      <c r="A472" t="s">
        <v>665</v>
      </c>
      <c r="B472" t="s">
        <v>1075</v>
      </c>
      <c r="C472" t="s">
        <v>1076</v>
      </c>
      <c r="D472" s="4" t="s">
        <v>472</v>
      </c>
      <c r="E472" t="s">
        <v>1077</v>
      </c>
      <c r="F472" t="s">
        <v>865</v>
      </c>
      <c r="G472" t="s">
        <v>1078</v>
      </c>
      <c r="H472" s="2" t="s">
        <v>1079</v>
      </c>
      <c r="I472">
        <v>-23.748532000000001</v>
      </c>
      <c r="J472">
        <v>-62.056702000000001</v>
      </c>
      <c r="K472" s="78">
        <v>65000</v>
      </c>
      <c r="AV472" t="s">
        <v>1080</v>
      </c>
      <c r="AW472" t="s">
        <v>866</v>
      </c>
      <c r="AX472">
        <v>3600</v>
      </c>
      <c r="AY472" s="5">
        <v>1</v>
      </c>
      <c r="AZ472" t="s">
        <v>1081</v>
      </c>
      <c r="BA472">
        <v>2010</v>
      </c>
      <c r="BC472" t="s">
        <v>1082</v>
      </c>
      <c r="BD472" t="s">
        <v>1111</v>
      </c>
      <c r="BE472" t="s">
        <v>572</v>
      </c>
      <c r="BF472" t="s">
        <v>1102</v>
      </c>
      <c r="BG472" t="s">
        <v>1112</v>
      </c>
      <c r="BH472" t="s">
        <v>480</v>
      </c>
      <c r="BI472" t="s">
        <v>480</v>
      </c>
      <c r="BJ472" t="s">
        <v>480</v>
      </c>
      <c r="ED472" t="s">
        <v>1085</v>
      </c>
      <c r="EE472" t="s">
        <v>480</v>
      </c>
      <c r="EF472" t="s">
        <v>480</v>
      </c>
      <c r="EG472" t="s">
        <v>537</v>
      </c>
      <c r="EH472" t="s">
        <v>1086</v>
      </c>
      <c r="EI472" t="s">
        <v>480</v>
      </c>
      <c r="EJ472" t="s">
        <v>480</v>
      </c>
      <c r="EK472" t="s">
        <v>537</v>
      </c>
      <c r="EL472" t="s">
        <v>1087</v>
      </c>
      <c r="EM472" t="s">
        <v>480</v>
      </c>
      <c r="EN472" t="s">
        <v>480</v>
      </c>
      <c r="EO472" t="s">
        <v>537</v>
      </c>
      <c r="EP472" t="s">
        <v>1088</v>
      </c>
      <c r="EQ472" t="s">
        <v>480</v>
      </c>
      <c r="ER472" t="s">
        <v>480</v>
      </c>
      <c r="ES472" t="s">
        <v>537</v>
      </c>
      <c r="ET472" t="s">
        <v>1089</v>
      </c>
      <c r="EU472" t="s">
        <v>480</v>
      </c>
      <c r="EV472" t="s">
        <v>480</v>
      </c>
      <c r="EW472" t="s">
        <v>537</v>
      </c>
      <c r="EX472" t="s">
        <v>1090</v>
      </c>
      <c r="EY472" t="s">
        <v>480</v>
      </c>
      <c r="EZ472" t="s">
        <v>480</v>
      </c>
      <c r="FA472" t="s">
        <v>537</v>
      </c>
      <c r="FB472" t="s">
        <v>1091</v>
      </c>
      <c r="FC472" t="s">
        <v>480</v>
      </c>
      <c r="FD472" t="s">
        <v>480</v>
      </c>
      <c r="FF472" s="9"/>
      <c r="FG472" s="9"/>
      <c r="FH472" s="9"/>
      <c r="FI472" s="9"/>
      <c r="FJ472" s="9"/>
      <c r="FK472" s="9"/>
      <c r="FL472" s="9"/>
      <c r="FM472" s="9"/>
      <c r="FN472" s="9"/>
      <c r="FO472" s="9"/>
      <c r="FP472" s="9"/>
      <c r="FQ472" s="9"/>
      <c r="FR472" s="9"/>
      <c r="FS472" s="9"/>
      <c r="FT472" s="9"/>
      <c r="FU472" s="9"/>
      <c r="FV472" s="9"/>
      <c r="FW472" s="9"/>
      <c r="FX472" s="9"/>
      <c r="FY472" s="9"/>
      <c r="FZ472" s="9"/>
      <c r="GA472" s="9"/>
      <c r="GB472" s="9"/>
      <c r="GC472" s="9"/>
      <c r="GD472" s="9"/>
      <c r="GE472" s="9"/>
      <c r="GF472" s="9"/>
      <c r="GG472" s="9"/>
      <c r="GH472" s="9"/>
      <c r="GI472" s="9"/>
      <c r="GJ472" s="9"/>
      <c r="GK472" s="9"/>
      <c r="GL472" s="9" t="s">
        <v>1105</v>
      </c>
      <c r="GM472" s="9" t="s">
        <v>480</v>
      </c>
      <c r="GN472" s="9" t="s">
        <v>480</v>
      </c>
      <c r="GO472" s="9" t="s">
        <v>480</v>
      </c>
      <c r="GP472" s="9"/>
      <c r="GQ472" s="9"/>
      <c r="GR472" s="9"/>
      <c r="GS472" s="9"/>
      <c r="GT472" s="9"/>
      <c r="GU472" s="9"/>
      <c r="GV472" s="9"/>
      <c r="GW472" s="9"/>
      <c r="GX472" s="9"/>
      <c r="GY472" s="9"/>
      <c r="GZ472" s="9"/>
      <c r="HA472" s="9"/>
      <c r="HB472" s="9"/>
      <c r="HC472" s="9"/>
      <c r="HD472" s="9"/>
      <c r="HE472" s="9"/>
      <c r="HF472" s="9"/>
      <c r="HG472" s="9"/>
      <c r="HH472" s="9"/>
      <c r="HI472" s="9"/>
      <c r="HJ472" s="9"/>
      <c r="HK472" s="9"/>
      <c r="HX472" s="50"/>
      <c r="HY472" s="50"/>
      <c r="IV472" t="s">
        <v>1111</v>
      </c>
      <c r="IW472" s="75" t="s">
        <v>1106</v>
      </c>
      <c r="IX472" s="12" t="s">
        <v>1107</v>
      </c>
      <c r="IY472" s="46" t="s">
        <v>1110</v>
      </c>
      <c r="IZ472">
        <v>7.5</v>
      </c>
      <c r="JA472">
        <v>37</v>
      </c>
      <c r="JB472" t="s">
        <v>480</v>
      </c>
      <c r="JC472" t="s">
        <v>480</v>
      </c>
      <c r="MY472" t="s">
        <v>1095</v>
      </c>
      <c r="MZ472">
        <v>1963</v>
      </c>
      <c r="NA472" t="s">
        <v>1129</v>
      </c>
      <c r="NB472" t="s">
        <v>1097</v>
      </c>
      <c r="NG472" t="s">
        <v>1130</v>
      </c>
      <c r="NH472" t="s">
        <v>687</v>
      </c>
      <c r="NJ472" t="s">
        <v>1099</v>
      </c>
      <c r="NL472" t="s">
        <v>1099</v>
      </c>
      <c r="NV472" t="s">
        <v>518</v>
      </c>
      <c r="NW472">
        <v>2.4</v>
      </c>
      <c r="NX472" t="s">
        <v>916</v>
      </c>
      <c r="NY472">
        <v>1.4</v>
      </c>
      <c r="OB472">
        <v>5</v>
      </c>
      <c r="OU472" t="s">
        <v>1053</v>
      </c>
      <c r="OW472">
        <v>2010</v>
      </c>
      <c r="PB472" t="s">
        <v>522</v>
      </c>
      <c r="PC472" s="50">
        <v>46108</v>
      </c>
    </row>
    <row r="473" spans="1:419" ht="15.75" thickBot="1">
      <c r="A473" t="s">
        <v>665</v>
      </c>
      <c r="B473" t="s">
        <v>1075</v>
      </c>
      <c r="C473" t="s">
        <v>1076</v>
      </c>
      <c r="D473" s="4" t="s">
        <v>472</v>
      </c>
      <c r="E473" t="s">
        <v>1077</v>
      </c>
      <c r="F473" t="s">
        <v>865</v>
      </c>
      <c r="G473" t="s">
        <v>1078</v>
      </c>
      <c r="H473" s="2" t="s">
        <v>1079</v>
      </c>
      <c r="I473">
        <v>-23.748532000000001</v>
      </c>
      <c r="J473">
        <v>-62.056702000000001</v>
      </c>
      <c r="K473" s="78">
        <v>65000</v>
      </c>
      <c r="AV473" t="s">
        <v>1080</v>
      </c>
      <c r="AW473" t="s">
        <v>866</v>
      </c>
      <c r="AX473" t="s">
        <v>866</v>
      </c>
      <c r="AY473" s="5">
        <v>1</v>
      </c>
      <c r="AZ473" t="s">
        <v>1081</v>
      </c>
      <c r="BA473">
        <v>2010</v>
      </c>
      <c r="BC473" t="s">
        <v>1082</v>
      </c>
      <c r="BD473" t="s">
        <v>1113</v>
      </c>
      <c r="BE473" t="s">
        <v>483</v>
      </c>
      <c r="BF473" t="s">
        <v>1102</v>
      </c>
      <c r="BG473" t="s">
        <v>1112</v>
      </c>
      <c r="BH473" t="s">
        <v>480</v>
      </c>
      <c r="BI473" t="s">
        <v>480</v>
      </c>
      <c r="BJ473" t="s">
        <v>480</v>
      </c>
      <c r="GL473" t="s">
        <v>1105</v>
      </c>
      <c r="GM473" s="9" t="s">
        <v>480</v>
      </c>
      <c r="GN473" s="9" t="s">
        <v>480</v>
      </c>
      <c r="GO473" s="9" t="s">
        <v>480</v>
      </c>
      <c r="HY473" s="50"/>
      <c r="IV473" t="s">
        <v>1113</v>
      </c>
      <c r="IW473" s="46" t="s">
        <v>1114</v>
      </c>
      <c r="IX473" s="46" t="s">
        <v>1114</v>
      </c>
      <c r="IY473" s="46" t="s">
        <v>1115</v>
      </c>
      <c r="IZ473">
        <v>1</v>
      </c>
      <c r="JA473">
        <v>6</v>
      </c>
      <c r="JB473" t="s">
        <v>480</v>
      </c>
      <c r="JC473" t="s">
        <v>480</v>
      </c>
      <c r="MY473" t="s">
        <v>1095</v>
      </c>
      <c r="MZ473">
        <v>1963</v>
      </c>
      <c r="NA473" t="s">
        <v>1129</v>
      </c>
      <c r="NB473" t="s">
        <v>1097</v>
      </c>
      <c r="NG473" t="s">
        <v>1130</v>
      </c>
      <c r="NH473" t="s">
        <v>687</v>
      </c>
      <c r="NJ473" t="s">
        <v>1099</v>
      </c>
      <c r="NL473" t="s">
        <v>1099</v>
      </c>
      <c r="NU473" t="s">
        <v>1116</v>
      </c>
      <c r="NV473" t="s">
        <v>518</v>
      </c>
      <c r="NW473">
        <v>2.8</v>
      </c>
      <c r="NX473" t="s">
        <v>916</v>
      </c>
      <c r="NY473">
        <v>1.3</v>
      </c>
      <c r="OB473">
        <v>7</v>
      </c>
      <c r="OU473" t="s">
        <v>1053</v>
      </c>
      <c r="OW473">
        <v>2010</v>
      </c>
      <c r="PB473" t="s">
        <v>522</v>
      </c>
      <c r="PC473" s="50">
        <v>46108</v>
      </c>
    </row>
    <row r="474" spans="1:419" ht="15.75" thickBot="1">
      <c r="A474" t="s">
        <v>665</v>
      </c>
      <c r="B474" t="s">
        <v>1075</v>
      </c>
      <c r="C474" t="s">
        <v>1076</v>
      </c>
      <c r="D474" s="4" t="s">
        <v>472</v>
      </c>
      <c r="E474" t="s">
        <v>1077</v>
      </c>
      <c r="F474" t="s">
        <v>865</v>
      </c>
      <c r="G474" t="s">
        <v>1078</v>
      </c>
      <c r="H474" s="2" t="s">
        <v>1079</v>
      </c>
      <c r="I474">
        <v>-23.748532000000001</v>
      </c>
      <c r="J474">
        <v>-62.056702000000001</v>
      </c>
      <c r="K474" s="78">
        <v>65000</v>
      </c>
      <c r="AV474" t="s">
        <v>1080</v>
      </c>
      <c r="AW474" t="s">
        <v>866</v>
      </c>
      <c r="AX474">
        <v>1000</v>
      </c>
      <c r="AY474" s="5">
        <v>1</v>
      </c>
      <c r="AZ474" t="s">
        <v>1081</v>
      </c>
      <c r="BA474">
        <v>2010</v>
      </c>
      <c r="BC474" t="s">
        <v>1082</v>
      </c>
      <c r="BD474" t="s">
        <v>1083</v>
      </c>
      <c r="BE474" t="s">
        <v>524</v>
      </c>
      <c r="BF474" t="s">
        <v>1084</v>
      </c>
      <c r="ED474" t="s">
        <v>1085</v>
      </c>
      <c r="EE474" t="s">
        <v>480</v>
      </c>
      <c r="EF474" t="s">
        <v>480</v>
      </c>
      <c r="EG474" t="s">
        <v>537</v>
      </c>
      <c r="EH474" t="s">
        <v>1086</v>
      </c>
      <c r="EI474" t="s">
        <v>480</v>
      </c>
      <c r="EJ474" t="s">
        <v>480</v>
      </c>
      <c r="EK474" t="s">
        <v>537</v>
      </c>
      <c r="EL474" t="s">
        <v>1087</v>
      </c>
      <c r="EM474" t="s">
        <v>480</v>
      </c>
      <c r="EN474" t="s">
        <v>480</v>
      </c>
      <c r="EO474" t="s">
        <v>537</v>
      </c>
      <c r="EP474" t="s">
        <v>1088</v>
      </c>
      <c r="EQ474" t="s">
        <v>480</v>
      </c>
      <c r="ER474" t="s">
        <v>480</v>
      </c>
      <c r="ES474" t="s">
        <v>537</v>
      </c>
      <c r="ET474" t="s">
        <v>1089</v>
      </c>
      <c r="EU474" t="s">
        <v>480</v>
      </c>
      <c r="EV474" t="s">
        <v>480</v>
      </c>
      <c r="EW474" t="s">
        <v>537</v>
      </c>
      <c r="EX474" t="s">
        <v>1090</v>
      </c>
      <c r="EY474" t="s">
        <v>480</v>
      </c>
      <c r="EZ474" t="s">
        <v>480</v>
      </c>
      <c r="FA474" t="s">
        <v>537</v>
      </c>
      <c r="FB474" t="s">
        <v>1091</v>
      </c>
      <c r="FC474" t="s">
        <v>480</v>
      </c>
      <c r="FD474" t="s">
        <v>480</v>
      </c>
      <c r="HY474" s="50"/>
      <c r="IV474" t="s">
        <v>1083</v>
      </c>
      <c r="IW474" t="s">
        <v>1092</v>
      </c>
      <c r="IX474" t="s">
        <v>1092</v>
      </c>
      <c r="IY474" t="s">
        <v>1092</v>
      </c>
      <c r="IZ474">
        <v>5</v>
      </c>
      <c r="JA474">
        <v>70</v>
      </c>
      <c r="JB474" t="s">
        <v>480</v>
      </c>
      <c r="JC474" t="s">
        <v>480</v>
      </c>
      <c r="MT474" t="s">
        <v>1083</v>
      </c>
      <c r="MU474" s="185" t="s">
        <v>1092</v>
      </c>
      <c r="MV474" t="s">
        <v>480</v>
      </c>
      <c r="MW474" s="185" t="s">
        <v>1093</v>
      </c>
      <c r="MX474" s="185" t="s">
        <v>1094</v>
      </c>
      <c r="MY474" t="s">
        <v>1095</v>
      </c>
      <c r="MZ474">
        <v>1963</v>
      </c>
      <c r="NA474" t="s">
        <v>1117</v>
      </c>
      <c r="NB474" t="s">
        <v>1097</v>
      </c>
      <c r="NG474" t="s">
        <v>1118</v>
      </c>
      <c r="NH474" t="s">
        <v>687</v>
      </c>
      <c r="NJ474" t="s">
        <v>689</v>
      </c>
      <c r="NL474" t="s">
        <v>689</v>
      </c>
      <c r="NM474" s="6" t="s">
        <v>1131</v>
      </c>
      <c r="NU474" t="s">
        <v>1100</v>
      </c>
      <c r="NV474" t="s">
        <v>518</v>
      </c>
      <c r="NW474">
        <v>0.8</v>
      </c>
      <c r="NX474" t="s">
        <v>916</v>
      </c>
      <c r="NY474">
        <v>1.2</v>
      </c>
      <c r="OB474">
        <v>6</v>
      </c>
      <c r="OU474" t="s">
        <v>1053</v>
      </c>
      <c r="OW474">
        <v>2010</v>
      </c>
      <c r="PB474" t="s">
        <v>522</v>
      </c>
      <c r="PC474" s="50">
        <v>46108</v>
      </c>
    </row>
    <row r="475" spans="1:419" ht="15.75" thickBot="1">
      <c r="A475" t="s">
        <v>665</v>
      </c>
      <c r="B475" t="s">
        <v>1075</v>
      </c>
      <c r="C475" t="s">
        <v>1076</v>
      </c>
      <c r="D475" s="4" t="s">
        <v>472</v>
      </c>
      <c r="E475" t="s">
        <v>1077</v>
      </c>
      <c r="F475" t="s">
        <v>865</v>
      </c>
      <c r="G475" t="s">
        <v>1078</v>
      </c>
      <c r="H475" s="2" t="s">
        <v>1079</v>
      </c>
      <c r="I475">
        <v>-23.748532000000001</v>
      </c>
      <c r="J475">
        <v>-62.056702000000001</v>
      </c>
      <c r="K475" s="78">
        <v>65000</v>
      </c>
      <c r="AV475" t="s">
        <v>1080</v>
      </c>
      <c r="AW475" t="s">
        <v>866</v>
      </c>
      <c r="AX475" t="s">
        <v>866</v>
      </c>
      <c r="AY475" s="5">
        <v>1</v>
      </c>
      <c r="AZ475" t="s">
        <v>1081</v>
      </c>
      <c r="BA475">
        <v>2010</v>
      </c>
      <c r="BC475" t="s">
        <v>1082</v>
      </c>
      <c r="BD475" t="s">
        <v>1101</v>
      </c>
      <c r="BE475" t="s">
        <v>536</v>
      </c>
      <c r="BF475" t="s">
        <v>1102</v>
      </c>
      <c r="BG475" t="s">
        <v>1103</v>
      </c>
      <c r="BH475" t="s">
        <v>1104</v>
      </c>
      <c r="BI475" t="s">
        <v>480</v>
      </c>
      <c r="BJ475" t="s">
        <v>480</v>
      </c>
      <c r="ED475" t="s">
        <v>1085</v>
      </c>
      <c r="EE475" t="s">
        <v>480</v>
      </c>
      <c r="EF475" t="s">
        <v>480</v>
      </c>
      <c r="EG475" t="s">
        <v>537</v>
      </c>
      <c r="EH475" t="s">
        <v>1086</v>
      </c>
      <c r="EI475" t="s">
        <v>480</v>
      </c>
      <c r="EJ475" t="s">
        <v>480</v>
      </c>
      <c r="EK475" t="s">
        <v>537</v>
      </c>
      <c r="EL475" t="s">
        <v>1087</v>
      </c>
      <c r="EM475" t="s">
        <v>480</v>
      </c>
      <c r="EN475" t="s">
        <v>480</v>
      </c>
      <c r="EO475" t="s">
        <v>537</v>
      </c>
      <c r="EP475" t="s">
        <v>1088</v>
      </c>
      <c r="EQ475" t="s">
        <v>480</v>
      </c>
      <c r="ER475" t="s">
        <v>480</v>
      </c>
      <c r="ES475" t="s">
        <v>537</v>
      </c>
      <c r="ET475" t="s">
        <v>1089</v>
      </c>
      <c r="EU475" t="s">
        <v>480</v>
      </c>
      <c r="EV475" t="s">
        <v>480</v>
      </c>
      <c r="EW475" t="s">
        <v>537</v>
      </c>
      <c r="EX475" t="s">
        <v>1090</v>
      </c>
      <c r="EY475" t="s">
        <v>480</v>
      </c>
      <c r="EZ475" t="s">
        <v>480</v>
      </c>
      <c r="FA475" t="s">
        <v>537</v>
      </c>
      <c r="FB475" t="s">
        <v>1091</v>
      </c>
      <c r="FC475" t="s">
        <v>480</v>
      </c>
      <c r="FD475" t="s">
        <v>480</v>
      </c>
      <c r="GL475" t="s">
        <v>1105</v>
      </c>
      <c r="GM475" s="9" t="s">
        <v>480</v>
      </c>
      <c r="GN475" s="9" t="s">
        <v>480</v>
      </c>
      <c r="GO475" s="9" t="s">
        <v>480</v>
      </c>
      <c r="GP475" s="9"/>
      <c r="GQ475" s="9"/>
      <c r="GR475" s="9"/>
      <c r="GS475" s="9"/>
      <c r="GT475" s="9"/>
      <c r="GU475" s="9"/>
      <c r="GV475" s="9"/>
      <c r="GW475" s="9"/>
      <c r="GX475" s="9"/>
      <c r="GY475" s="9"/>
      <c r="GZ475" s="9"/>
      <c r="HA475" s="9"/>
      <c r="HB475" s="9"/>
      <c r="HC475" s="9"/>
      <c r="HD475" s="9"/>
      <c r="HE475" s="9"/>
      <c r="HF475" s="9"/>
      <c r="HG475" s="9"/>
      <c r="HH475" s="9"/>
      <c r="HI475" s="9"/>
      <c r="HJ475" s="9"/>
      <c r="HK475" s="9"/>
      <c r="HX475" s="50"/>
      <c r="HY475" s="50"/>
      <c r="IV475" t="s">
        <v>1101</v>
      </c>
      <c r="IW475" s="75" t="s">
        <v>1106</v>
      </c>
      <c r="IX475" t="s">
        <v>1107</v>
      </c>
      <c r="IY475" s="46" t="s">
        <v>1108</v>
      </c>
      <c r="IZ475">
        <v>1</v>
      </c>
      <c r="JA475">
        <v>81</v>
      </c>
      <c r="JB475" t="s">
        <v>480</v>
      </c>
      <c r="JC475" t="s">
        <v>480</v>
      </c>
      <c r="MY475" t="s">
        <v>1095</v>
      </c>
      <c r="MZ475">
        <v>1963</v>
      </c>
      <c r="NA475" t="s">
        <v>1117</v>
      </c>
      <c r="NB475" t="s">
        <v>1097</v>
      </c>
      <c r="NG475" t="s">
        <v>1118</v>
      </c>
      <c r="NH475" t="s">
        <v>687</v>
      </c>
      <c r="NJ475" t="s">
        <v>689</v>
      </c>
      <c r="NL475" t="s">
        <v>689</v>
      </c>
      <c r="NM475" s="6" t="s">
        <v>1131</v>
      </c>
      <c r="NV475" t="s">
        <v>518</v>
      </c>
      <c r="NW475">
        <v>0.3</v>
      </c>
      <c r="NX475" t="s">
        <v>916</v>
      </c>
      <c r="NY475">
        <v>0.5</v>
      </c>
      <c r="OB475">
        <v>8</v>
      </c>
      <c r="OU475" t="s">
        <v>1053</v>
      </c>
      <c r="OW475">
        <v>2010</v>
      </c>
      <c r="PB475" t="s">
        <v>522</v>
      </c>
      <c r="PC475" s="50">
        <v>46108</v>
      </c>
    </row>
    <row r="476" spans="1:419" ht="15.75" thickBot="1">
      <c r="A476" t="s">
        <v>665</v>
      </c>
      <c r="B476" t="s">
        <v>1075</v>
      </c>
      <c r="C476" t="s">
        <v>1076</v>
      </c>
      <c r="D476" s="4" t="s">
        <v>472</v>
      </c>
      <c r="E476" t="s">
        <v>1077</v>
      </c>
      <c r="F476" t="s">
        <v>865</v>
      </c>
      <c r="G476" t="s">
        <v>1078</v>
      </c>
      <c r="H476" s="2" t="s">
        <v>1079</v>
      </c>
      <c r="I476">
        <v>-23.748532000000001</v>
      </c>
      <c r="J476">
        <v>-62.056702000000001</v>
      </c>
      <c r="K476" s="78">
        <v>65000</v>
      </c>
      <c r="AV476" t="s">
        <v>1080</v>
      </c>
      <c r="AW476" t="s">
        <v>866</v>
      </c>
      <c r="AX476">
        <v>3600</v>
      </c>
      <c r="AY476" s="5">
        <v>1</v>
      </c>
      <c r="AZ476" t="s">
        <v>1081</v>
      </c>
      <c r="BA476">
        <v>2010</v>
      </c>
      <c r="BC476" t="s">
        <v>1082</v>
      </c>
      <c r="BD476" t="s">
        <v>1109</v>
      </c>
      <c r="BE476" t="s">
        <v>566</v>
      </c>
      <c r="BF476" t="s">
        <v>1102</v>
      </c>
      <c r="BG476" t="s">
        <v>1103</v>
      </c>
      <c r="BH476" t="s">
        <v>480</v>
      </c>
      <c r="BI476" t="s">
        <v>480</v>
      </c>
      <c r="BJ476" t="s">
        <v>480</v>
      </c>
      <c r="ED476" t="s">
        <v>1085</v>
      </c>
      <c r="EE476" t="s">
        <v>480</v>
      </c>
      <c r="EF476" t="s">
        <v>480</v>
      </c>
      <c r="EG476" t="s">
        <v>537</v>
      </c>
      <c r="EH476" t="s">
        <v>1086</v>
      </c>
      <c r="EI476" t="s">
        <v>480</v>
      </c>
      <c r="EJ476" t="s">
        <v>480</v>
      </c>
      <c r="EK476" t="s">
        <v>537</v>
      </c>
      <c r="EL476" t="s">
        <v>1087</v>
      </c>
      <c r="EM476" t="s">
        <v>480</v>
      </c>
      <c r="EN476" t="s">
        <v>480</v>
      </c>
      <c r="EO476" t="s">
        <v>537</v>
      </c>
      <c r="EP476" t="s">
        <v>1088</v>
      </c>
      <c r="EQ476" t="s">
        <v>480</v>
      </c>
      <c r="ER476" t="s">
        <v>480</v>
      </c>
      <c r="ES476" t="s">
        <v>537</v>
      </c>
      <c r="ET476" t="s">
        <v>1089</v>
      </c>
      <c r="EU476" t="s">
        <v>480</v>
      </c>
      <c r="EV476" t="s">
        <v>480</v>
      </c>
      <c r="EW476" t="s">
        <v>537</v>
      </c>
      <c r="EX476" t="s">
        <v>1090</v>
      </c>
      <c r="EY476" t="s">
        <v>480</v>
      </c>
      <c r="EZ476" t="s">
        <v>480</v>
      </c>
      <c r="FA476" t="s">
        <v>537</v>
      </c>
      <c r="FB476" t="s">
        <v>1091</v>
      </c>
      <c r="FC476" t="s">
        <v>480</v>
      </c>
      <c r="FD476" t="s">
        <v>480</v>
      </c>
      <c r="FF476" s="9"/>
      <c r="FG476" s="9"/>
      <c r="FH476" s="9"/>
      <c r="FI476" s="9"/>
      <c r="FJ476" s="9"/>
      <c r="FK476" s="9"/>
      <c r="FL476" s="9"/>
      <c r="FM476" s="9"/>
      <c r="FN476" s="9"/>
      <c r="FO476" s="9"/>
      <c r="FP476" s="9"/>
      <c r="FQ476" s="9"/>
      <c r="FR476" s="9"/>
      <c r="FS476" s="9"/>
      <c r="FT476" s="9"/>
      <c r="FU476" s="9"/>
      <c r="FV476" s="9"/>
      <c r="FW476" s="9"/>
      <c r="FX476" s="9"/>
      <c r="FY476" s="9"/>
      <c r="FZ476" s="9"/>
      <c r="GA476" s="9"/>
      <c r="GB476" s="9"/>
      <c r="GC476" s="9"/>
      <c r="GD476" s="9"/>
      <c r="GE476" s="9"/>
      <c r="GF476" s="9"/>
      <c r="GG476" s="9"/>
      <c r="GH476" s="9"/>
      <c r="GI476" s="9"/>
      <c r="GJ476" s="9"/>
      <c r="GK476" s="9"/>
      <c r="GL476" s="9" t="s">
        <v>1105</v>
      </c>
      <c r="GM476" s="9" t="s">
        <v>480</v>
      </c>
      <c r="GN476" s="9" t="s">
        <v>480</v>
      </c>
      <c r="GO476" s="9" t="s">
        <v>480</v>
      </c>
      <c r="GP476" s="9"/>
      <c r="GQ476" s="9"/>
      <c r="GR476" s="9"/>
      <c r="GS476" s="9"/>
      <c r="GT476" s="9"/>
      <c r="GU476" s="9"/>
      <c r="GV476" s="9"/>
      <c r="GW476" s="9"/>
      <c r="GX476" s="9"/>
      <c r="GY476" s="9"/>
      <c r="GZ476" s="9"/>
      <c r="HA476" s="9"/>
      <c r="HB476" s="9"/>
      <c r="HC476" s="9"/>
      <c r="HD476" s="9"/>
      <c r="HE476" s="9"/>
      <c r="HF476" s="9"/>
      <c r="HG476" s="9"/>
      <c r="HH476" s="9"/>
      <c r="HI476" s="9"/>
      <c r="HJ476" s="9"/>
      <c r="HK476" s="9"/>
      <c r="HX476" s="50"/>
      <c r="HY476" s="50"/>
      <c r="IV476" t="s">
        <v>1109</v>
      </c>
      <c r="IW476" s="75" t="s">
        <v>1106</v>
      </c>
      <c r="IX476" s="12" t="s">
        <v>1107</v>
      </c>
      <c r="IY476" s="46" t="s">
        <v>1110</v>
      </c>
      <c r="IZ476">
        <v>7.5</v>
      </c>
      <c r="JA476">
        <v>56</v>
      </c>
      <c r="JB476" t="s">
        <v>480</v>
      </c>
      <c r="JC476" t="s">
        <v>480</v>
      </c>
      <c r="MY476" t="s">
        <v>1095</v>
      </c>
      <c r="MZ476">
        <v>1963</v>
      </c>
      <c r="NA476" t="s">
        <v>1117</v>
      </c>
      <c r="NB476" t="s">
        <v>1097</v>
      </c>
      <c r="NG476" t="s">
        <v>1118</v>
      </c>
      <c r="NH476" t="s">
        <v>687</v>
      </c>
      <c r="NJ476" t="s">
        <v>689</v>
      </c>
      <c r="NL476" t="s">
        <v>689</v>
      </c>
      <c r="NM476" s="6" t="s">
        <v>1131</v>
      </c>
      <c r="NV476" t="s">
        <v>518</v>
      </c>
      <c r="NW476">
        <v>0.9</v>
      </c>
      <c r="NX476" t="s">
        <v>916</v>
      </c>
      <c r="NY476">
        <v>1.4</v>
      </c>
      <c r="OB476">
        <v>7</v>
      </c>
      <c r="OU476" t="s">
        <v>1053</v>
      </c>
      <c r="OW476">
        <v>2010</v>
      </c>
      <c r="PB476" t="s">
        <v>522</v>
      </c>
      <c r="PC476" s="50">
        <v>46108</v>
      </c>
    </row>
    <row r="477" spans="1:419" ht="15.75" thickBot="1">
      <c r="A477" t="s">
        <v>665</v>
      </c>
      <c r="B477" t="s">
        <v>1075</v>
      </c>
      <c r="C477" t="s">
        <v>1076</v>
      </c>
      <c r="D477" s="4" t="s">
        <v>472</v>
      </c>
      <c r="E477" t="s">
        <v>1077</v>
      </c>
      <c r="F477" t="s">
        <v>865</v>
      </c>
      <c r="G477" t="s">
        <v>1078</v>
      </c>
      <c r="H477" s="2" t="s">
        <v>1079</v>
      </c>
      <c r="I477">
        <v>-23.748532000000001</v>
      </c>
      <c r="J477">
        <v>-62.056702000000001</v>
      </c>
      <c r="K477" s="78">
        <v>65000</v>
      </c>
      <c r="AV477" t="s">
        <v>1080</v>
      </c>
      <c r="AW477" t="s">
        <v>866</v>
      </c>
      <c r="AX477">
        <v>3600</v>
      </c>
      <c r="AY477" s="5">
        <v>1</v>
      </c>
      <c r="AZ477" t="s">
        <v>1081</v>
      </c>
      <c r="BA477">
        <v>2010</v>
      </c>
      <c r="BC477" t="s">
        <v>1082</v>
      </c>
      <c r="BD477" t="s">
        <v>1111</v>
      </c>
      <c r="BE477" t="s">
        <v>572</v>
      </c>
      <c r="BF477" t="s">
        <v>1102</v>
      </c>
      <c r="BG477" t="s">
        <v>1112</v>
      </c>
      <c r="BH477" t="s">
        <v>480</v>
      </c>
      <c r="BI477" t="s">
        <v>480</v>
      </c>
      <c r="BJ477" t="s">
        <v>480</v>
      </c>
      <c r="ED477" t="s">
        <v>1085</v>
      </c>
      <c r="EE477" t="s">
        <v>480</v>
      </c>
      <c r="EF477" t="s">
        <v>480</v>
      </c>
      <c r="EG477" t="s">
        <v>537</v>
      </c>
      <c r="EH477" t="s">
        <v>1086</v>
      </c>
      <c r="EI477" t="s">
        <v>480</v>
      </c>
      <c r="EJ477" t="s">
        <v>480</v>
      </c>
      <c r="EK477" t="s">
        <v>537</v>
      </c>
      <c r="EL477" t="s">
        <v>1087</v>
      </c>
      <c r="EM477" t="s">
        <v>480</v>
      </c>
      <c r="EN477" t="s">
        <v>480</v>
      </c>
      <c r="EO477" t="s">
        <v>537</v>
      </c>
      <c r="EP477" t="s">
        <v>1088</v>
      </c>
      <c r="EQ477" t="s">
        <v>480</v>
      </c>
      <c r="ER477" t="s">
        <v>480</v>
      </c>
      <c r="ES477" t="s">
        <v>537</v>
      </c>
      <c r="ET477" t="s">
        <v>1089</v>
      </c>
      <c r="EU477" t="s">
        <v>480</v>
      </c>
      <c r="EV477" t="s">
        <v>480</v>
      </c>
      <c r="EW477" t="s">
        <v>537</v>
      </c>
      <c r="EX477" t="s">
        <v>1090</v>
      </c>
      <c r="EY477" t="s">
        <v>480</v>
      </c>
      <c r="EZ477" t="s">
        <v>480</v>
      </c>
      <c r="FA477" t="s">
        <v>537</v>
      </c>
      <c r="FB477" t="s">
        <v>1091</v>
      </c>
      <c r="FC477" t="s">
        <v>480</v>
      </c>
      <c r="FD477" t="s">
        <v>480</v>
      </c>
      <c r="FF477" s="9"/>
      <c r="FG477" s="9"/>
      <c r="FH477" s="9"/>
      <c r="FI477" s="9"/>
      <c r="FJ477" s="9"/>
      <c r="FK477" s="9"/>
      <c r="FL477" s="9"/>
      <c r="FM477" s="9"/>
      <c r="FN477" s="9"/>
      <c r="FO477" s="9"/>
      <c r="FP477" s="9"/>
      <c r="FQ477" s="9"/>
      <c r="FR477" s="9"/>
      <c r="FS477" s="9"/>
      <c r="FT477" s="9"/>
      <c r="FU477" s="9"/>
      <c r="FV477" s="9"/>
      <c r="FW477" s="9"/>
      <c r="FX477" s="9"/>
      <c r="FY477" s="9"/>
      <c r="FZ477" s="9"/>
      <c r="GA477" s="9"/>
      <c r="GB477" s="9"/>
      <c r="GC477" s="9"/>
      <c r="GD477" s="9"/>
      <c r="GE477" s="9"/>
      <c r="GF477" s="9"/>
      <c r="GG477" s="9"/>
      <c r="GH477" s="9"/>
      <c r="GI477" s="9"/>
      <c r="GJ477" s="9"/>
      <c r="GK477" s="9"/>
      <c r="GL477" s="9" t="s">
        <v>1105</v>
      </c>
      <c r="GM477" s="9" t="s">
        <v>480</v>
      </c>
      <c r="GN477" s="9" t="s">
        <v>480</v>
      </c>
      <c r="GO477" s="9" t="s">
        <v>480</v>
      </c>
      <c r="GP477" s="9"/>
      <c r="GQ477" s="9"/>
      <c r="GR477" s="9"/>
      <c r="GS477" s="9"/>
      <c r="GT477" s="9"/>
      <c r="GU477" s="9"/>
      <c r="GV477" s="9"/>
      <c r="GW477" s="9"/>
      <c r="GX477" s="9"/>
      <c r="GY477" s="9"/>
      <c r="GZ477" s="9"/>
      <c r="HA477" s="9"/>
      <c r="HB477" s="9"/>
      <c r="HC477" s="9"/>
      <c r="HD477" s="9"/>
      <c r="HE477" s="9"/>
      <c r="HF477" s="9"/>
      <c r="HG477" s="9"/>
      <c r="HH477" s="9"/>
      <c r="HI477" s="9"/>
      <c r="HJ477" s="9"/>
      <c r="HK477" s="9"/>
      <c r="HX477" s="50"/>
      <c r="HY477" s="50"/>
      <c r="IV477" t="s">
        <v>1111</v>
      </c>
      <c r="IW477" s="75" t="s">
        <v>1106</v>
      </c>
      <c r="IX477" s="12" t="s">
        <v>1107</v>
      </c>
      <c r="IY477" s="46" t="s">
        <v>1110</v>
      </c>
      <c r="IZ477">
        <v>7.5</v>
      </c>
      <c r="JA477">
        <v>37</v>
      </c>
      <c r="JB477" t="s">
        <v>480</v>
      </c>
      <c r="JC477" t="s">
        <v>480</v>
      </c>
      <c r="MY477" t="s">
        <v>1095</v>
      </c>
      <c r="MZ477">
        <v>1963</v>
      </c>
      <c r="NA477" t="s">
        <v>1117</v>
      </c>
      <c r="NB477" t="s">
        <v>1097</v>
      </c>
      <c r="NG477" t="s">
        <v>1118</v>
      </c>
      <c r="NH477" t="s">
        <v>687</v>
      </c>
      <c r="NJ477" t="s">
        <v>689</v>
      </c>
      <c r="NL477" t="s">
        <v>689</v>
      </c>
      <c r="NM477" s="6" t="s">
        <v>1131</v>
      </c>
      <c r="NV477" t="s">
        <v>518</v>
      </c>
      <c r="NW477">
        <v>1.1000000000000001</v>
      </c>
      <c r="NX477" t="s">
        <v>916</v>
      </c>
      <c r="NY477">
        <v>1.2</v>
      </c>
      <c r="OB477">
        <v>5</v>
      </c>
      <c r="OU477" t="s">
        <v>1053</v>
      </c>
      <c r="OW477">
        <v>2010</v>
      </c>
      <c r="PB477" t="s">
        <v>522</v>
      </c>
      <c r="PC477" s="50">
        <v>46108</v>
      </c>
    </row>
    <row r="478" spans="1:419" ht="15.75" thickBot="1">
      <c r="A478" t="s">
        <v>665</v>
      </c>
      <c r="B478" t="s">
        <v>1075</v>
      </c>
      <c r="C478" t="s">
        <v>1076</v>
      </c>
      <c r="D478" s="4" t="s">
        <v>472</v>
      </c>
      <c r="E478" t="s">
        <v>1077</v>
      </c>
      <c r="F478" t="s">
        <v>865</v>
      </c>
      <c r="G478" t="s">
        <v>1078</v>
      </c>
      <c r="H478" s="2" t="s">
        <v>1079</v>
      </c>
      <c r="I478">
        <v>-23.748532000000001</v>
      </c>
      <c r="J478">
        <v>-62.056702000000001</v>
      </c>
      <c r="K478" s="78">
        <v>65000</v>
      </c>
      <c r="AV478" t="s">
        <v>1080</v>
      </c>
      <c r="AW478" t="s">
        <v>866</v>
      </c>
      <c r="AX478" t="s">
        <v>866</v>
      </c>
      <c r="AY478" s="5">
        <v>1</v>
      </c>
      <c r="AZ478" t="s">
        <v>1081</v>
      </c>
      <c r="BA478">
        <v>2010</v>
      </c>
      <c r="BC478" t="s">
        <v>1082</v>
      </c>
      <c r="BD478" t="s">
        <v>1113</v>
      </c>
      <c r="BE478" t="s">
        <v>483</v>
      </c>
      <c r="BF478" t="s">
        <v>1102</v>
      </c>
      <c r="BG478" t="s">
        <v>1112</v>
      </c>
      <c r="BH478" t="s">
        <v>480</v>
      </c>
      <c r="BI478" t="s">
        <v>480</v>
      </c>
      <c r="BJ478" t="s">
        <v>480</v>
      </c>
      <c r="GL478" t="s">
        <v>1105</v>
      </c>
      <c r="GM478" s="9" t="s">
        <v>480</v>
      </c>
      <c r="GN478" s="9" t="s">
        <v>480</v>
      </c>
      <c r="GO478" s="9" t="s">
        <v>480</v>
      </c>
      <c r="HY478" s="50"/>
      <c r="IV478" t="s">
        <v>1113</v>
      </c>
      <c r="IW478" s="46" t="s">
        <v>1114</v>
      </c>
      <c r="IX478" s="46" t="s">
        <v>1114</v>
      </c>
      <c r="IY478" s="46" t="s">
        <v>1115</v>
      </c>
      <c r="IZ478">
        <v>1</v>
      </c>
      <c r="JA478">
        <v>6</v>
      </c>
      <c r="JB478" t="s">
        <v>480</v>
      </c>
      <c r="JC478" t="s">
        <v>480</v>
      </c>
      <c r="MY478" t="s">
        <v>1095</v>
      </c>
      <c r="MZ478">
        <v>1963</v>
      </c>
      <c r="NA478" t="s">
        <v>1117</v>
      </c>
      <c r="NB478" t="s">
        <v>1097</v>
      </c>
      <c r="NG478" t="s">
        <v>1118</v>
      </c>
      <c r="NH478" t="s">
        <v>687</v>
      </c>
      <c r="NJ478" t="s">
        <v>689</v>
      </c>
      <c r="NL478" t="s">
        <v>689</v>
      </c>
      <c r="NM478" s="6" t="s">
        <v>1131</v>
      </c>
      <c r="NU478" t="s">
        <v>1116</v>
      </c>
      <c r="NV478" t="s">
        <v>518</v>
      </c>
      <c r="NW478">
        <v>1.2</v>
      </c>
      <c r="NX478" t="s">
        <v>916</v>
      </c>
      <c r="NY478">
        <v>1.4</v>
      </c>
      <c r="OB478">
        <v>7</v>
      </c>
      <c r="OU478" t="s">
        <v>1053</v>
      </c>
      <c r="OW478">
        <v>2010</v>
      </c>
      <c r="PB478" t="s">
        <v>522</v>
      </c>
      <c r="PC478" s="50">
        <v>46108</v>
      </c>
    </row>
    <row r="479" spans="1:419" ht="15.75" thickBot="1">
      <c r="A479" t="s">
        <v>665</v>
      </c>
      <c r="B479" t="s">
        <v>1075</v>
      </c>
      <c r="C479" t="s">
        <v>1076</v>
      </c>
      <c r="D479" s="4" t="s">
        <v>472</v>
      </c>
      <c r="E479" t="s">
        <v>1077</v>
      </c>
      <c r="F479" t="s">
        <v>865</v>
      </c>
      <c r="G479" t="s">
        <v>1078</v>
      </c>
      <c r="H479" s="2" t="s">
        <v>1079</v>
      </c>
      <c r="I479">
        <v>-23.748532000000001</v>
      </c>
      <c r="J479">
        <v>-62.056702000000001</v>
      </c>
      <c r="K479" s="78">
        <v>65000</v>
      </c>
      <c r="AV479" t="s">
        <v>1080</v>
      </c>
      <c r="AW479" t="s">
        <v>866</v>
      </c>
      <c r="AX479">
        <v>1000</v>
      </c>
      <c r="AY479" s="5">
        <v>1</v>
      </c>
      <c r="AZ479" t="s">
        <v>1081</v>
      </c>
      <c r="BA479">
        <v>2010</v>
      </c>
      <c r="BC479" t="s">
        <v>1082</v>
      </c>
      <c r="BD479" t="s">
        <v>1083</v>
      </c>
      <c r="BE479" t="s">
        <v>524</v>
      </c>
      <c r="BF479" t="s">
        <v>1084</v>
      </c>
      <c r="ED479" t="s">
        <v>1085</v>
      </c>
      <c r="EE479" t="s">
        <v>480</v>
      </c>
      <c r="EF479" t="s">
        <v>480</v>
      </c>
      <c r="EG479" t="s">
        <v>537</v>
      </c>
      <c r="EH479" t="s">
        <v>1086</v>
      </c>
      <c r="EI479" t="s">
        <v>480</v>
      </c>
      <c r="EJ479" t="s">
        <v>480</v>
      </c>
      <c r="EK479" t="s">
        <v>537</v>
      </c>
      <c r="EL479" t="s">
        <v>1087</v>
      </c>
      <c r="EM479" t="s">
        <v>480</v>
      </c>
      <c r="EN479" t="s">
        <v>480</v>
      </c>
      <c r="EO479" t="s">
        <v>537</v>
      </c>
      <c r="EP479" t="s">
        <v>1088</v>
      </c>
      <c r="EQ479" t="s">
        <v>480</v>
      </c>
      <c r="ER479" t="s">
        <v>480</v>
      </c>
      <c r="ES479" t="s">
        <v>537</v>
      </c>
      <c r="ET479" t="s">
        <v>1089</v>
      </c>
      <c r="EU479" t="s">
        <v>480</v>
      </c>
      <c r="EV479" t="s">
        <v>480</v>
      </c>
      <c r="EW479" t="s">
        <v>537</v>
      </c>
      <c r="EX479" t="s">
        <v>1090</v>
      </c>
      <c r="EY479" t="s">
        <v>480</v>
      </c>
      <c r="EZ479" t="s">
        <v>480</v>
      </c>
      <c r="FA479" t="s">
        <v>537</v>
      </c>
      <c r="FB479" t="s">
        <v>1091</v>
      </c>
      <c r="FC479" t="s">
        <v>480</v>
      </c>
      <c r="FD479" t="s">
        <v>480</v>
      </c>
      <c r="HY479" s="50"/>
      <c r="IV479" t="s">
        <v>1083</v>
      </c>
      <c r="IW479" t="s">
        <v>1092</v>
      </c>
      <c r="IX479" t="s">
        <v>1092</v>
      </c>
      <c r="IY479" t="s">
        <v>1092</v>
      </c>
      <c r="IZ479">
        <v>5</v>
      </c>
      <c r="JA479">
        <v>70</v>
      </c>
      <c r="JB479" t="s">
        <v>480</v>
      </c>
      <c r="JC479" t="s">
        <v>480</v>
      </c>
      <c r="MT479" t="s">
        <v>1083</v>
      </c>
      <c r="MU479" s="185" t="s">
        <v>1092</v>
      </c>
      <c r="MV479" t="s">
        <v>480</v>
      </c>
      <c r="MW479" s="185" t="s">
        <v>1093</v>
      </c>
      <c r="MX479" s="185" t="s">
        <v>1094</v>
      </c>
      <c r="MY479" t="s">
        <v>1095</v>
      </c>
      <c r="MZ479">
        <v>1963</v>
      </c>
      <c r="NA479" t="s">
        <v>1121</v>
      </c>
      <c r="NB479" t="s">
        <v>1097</v>
      </c>
      <c r="NG479" t="s">
        <v>1122</v>
      </c>
      <c r="NH479" t="s">
        <v>687</v>
      </c>
      <c r="NJ479" t="s">
        <v>689</v>
      </c>
      <c r="NL479" t="s">
        <v>689</v>
      </c>
      <c r="NM479" s="6" t="s">
        <v>1131</v>
      </c>
      <c r="NU479" t="s">
        <v>1100</v>
      </c>
      <c r="NV479" t="s">
        <v>518</v>
      </c>
      <c r="NW479">
        <v>2.7</v>
      </c>
      <c r="NX479" t="s">
        <v>916</v>
      </c>
      <c r="NY479">
        <v>1.8</v>
      </c>
      <c r="OB479">
        <v>6</v>
      </c>
      <c r="OU479" t="s">
        <v>1053</v>
      </c>
      <c r="OW479">
        <v>2010</v>
      </c>
      <c r="PB479" t="s">
        <v>522</v>
      </c>
      <c r="PC479" s="50">
        <v>46108</v>
      </c>
    </row>
    <row r="480" spans="1:419" ht="15.75" thickBot="1">
      <c r="A480" t="s">
        <v>665</v>
      </c>
      <c r="B480" t="s">
        <v>1075</v>
      </c>
      <c r="C480" t="s">
        <v>1076</v>
      </c>
      <c r="D480" s="4" t="s">
        <v>472</v>
      </c>
      <c r="E480" t="s">
        <v>1077</v>
      </c>
      <c r="F480" t="s">
        <v>865</v>
      </c>
      <c r="G480" t="s">
        <v>1078</v>
      </c>
      <c r="H480" s="2" t="s">
        <v>1079</v>
      </c>
      <c r="I480">
        <v>-23.748532000000001</v>
      </c>
      <c r="J480">
        <v>-62.056702000000001</v>
      </c>
      <c r="K480" s="78">
        <v>65000</v>
      </c>
      <c r="AV480" t="s">
        <v>1080</v>
      </c>
      <c r="AW480" t="s">
        <v>866</v>
      </c>
      <c r="AX480" t="s">
        <v>866</v>
      </c>
      <c r="AY480" s="5">
        <v>1</v>
      </c>
      <c r="AZ480" t="s">
        <v>1081</v>
      </c>
      <c r="BA480">
        <v>2010</v>
      </c>
      <c r="BC480" t="s">
        <v>1082</v>
      </c>
      <c r="BD480" t="s">
        <v>1101</v>
      </c>
      <c r="BE480" t="s">
        <v>536</v>
      </c>
      <c r="BF480" t="s">
        <v>1102</v>
      </c>
      <c r="BG480" t="s">
        <v>1103</v>
      </c>
      <c r="BH480" t="s">
        <v>1104</v>
      </c>
      <c r="BI480" t="s">
        <v>480</v>
      </c>
      <c r="BJ480" t="s">
        <v>480</v>
      </c>
      <c r="ED480" t="s">
        <v>1085</v>
      </c>
      <c r="EE480" t="s">
        <v>480</v>
      </c>
      <c r="EF480" t="s">
        <v>480</v>
      </c>
      <c r="EG480" t="s">
        <v>537</v>
      </c>
      <c r="EH480" t="s">
        <v>1086</v>
      </c>
      <c r="EI480" t="s">
        <v>480</v>
      </c>
      <c r="EJ480" t="s">
        <v>480</v>
      </c>
      <c r="EK480" t="s">
        <v>537</v>
      </c>
      <c r="EL480" t="s">
        <v>1087</v>
      </c>
      <c r="EM480" t="s">
        <v>480</v>
      </c>
      <c r="EN480" t="s">
        <v>480</v>
      </c>
      <c r="EO480" t="s">
        <v>537</v>
      </c>
      <c r="EP480" t="s">
        <v>1088</v>
      </c>
      <c r="EQ480" t="s">
        <v>480</v>
      </c>
      <c r="ER480" t="s">
        <v>480</v>
      </c>
      <c r="ES480" t="s">
        <v>537</v>
      </c>
      <c r="ET480" t="s">
        <v>1089</v>
      </c>
      <c r="EU480" t="s">
        <v>480</v>
      </c>
      <c r="EV480" t="s">
        <v>480</v>
      </c>
      <c r="EW480" t="s">
        <v>537</v>
      </c>
      <c r="EX480" t="s">
        <v>1090</v>
      </c>
      <c r="EY480" t="s">
        <v>480</v>
      </c>
      <c r="EZ480" t="s">
        <v>480</v>
      </c>
      <c r="FA480" t="s">
        <v>537</v>
      </c>
      <c r="FB480" t="s">
        <v>1091</v>
      </c>
      <c r="FC480" t="s">
        <v>480</v>
      </c>
      <c r="FD480" t="s">
        <v>480</v>
      </c>
      <c r="GL480" t="s">
        <v>1105</v>
      </c>
      <c r="GM480" s="9" t="s">
        <v>480</v>
      </c>
      <c r="GN480" s="9" t="s">
        <v>480</v>
      </c>
      <c r="GO480" s="9" t="s">
        <v>480</v>
      </c>
      <c r="GP480" s="9"/>
      <c r="GQ480" s="9"/>
      <c r="GR480" s="9"/>
      <c r="GS480" s="9"/>
      <c r="GT480" s="9"/>
      <c r="GU480" s="9"/>
      <c r="GV480" s="9"/>
      <c r="GW480" s="9"/>
      <c r="GX480" s="9"/>
      <c r="GY480" s="9"/>
      <c r="GZ480" s="9"/>
      <c r="HA480" s="9"/>
      <c r="HB480" s="9"/>
      <c r="HC480" s="9"/>
      <c r="HD480" s="9"/>
      <c r="HE480" s="9"/>
      <c r="HF480" s="9"/>
      <c r="HG480" s="9"/>
      <c r="HH480" s="9"/>
      <c r="HI480" s="9"/>
      <c r="HJ480" s="9"/>
      <c r="HK480" s="9"/>
      <c r="HX480" s="50"/>
      <c r="HY480" s="50"/>
      <c r="IV480" t="s">
        <v>1101</v>
      </c>
      <c r="IW480" s="75" t="s">
        <v>1106</v>
      </c>
      <c r="IX480" t="s">
        <v>1107</v>
      </c>
      <c r="IY480" s="46" t="s">
        <v>1108</v>
      </c>
      <c r="IZ480">
        <v>1</v>
      </c>
      <c r="JA480">
        <v>81</v>
      </c>
      <c r="JB480" t="s">
        <v>480</v>
      </c>
      <c r="JC480" t="s">
        <v>480</v>
      </c>
      <c r="MY480" t="s">
        <v>1095</v>
      </c>
      <c r="MZ480">
        <v>1963</v>
      </c>
      <c r="NA480" t="s">
        <v>1121</v>
      </c>
      <c r="NB480" t="s">
        <v>1097</v>
      </c>
      <c r="NG480" t="s">
        <v>1122</v>
      </c>
      <c r="NH480" t="s">
        <v>687</v>
      </c>
      <c r="NJ480" t="s">
        <v>689</v>
      </c>
      <c r="NL480" t="s">
        <v>689</v>
      </c>
      <c r="NM480" s="6" t="s">
        <v>1131</v>
      </c>
      <c r="NV480" t="s">
        <v>518</v>
      </c>
      <c r="NW480">
        <v>2.2999999999999998</v>
      </c>
      <c r="NX480" t="s">
        <v>916</v>
      </c>
      <c r="NY480">
        <v>2.5</v>
      </c>
      <c r="OB480">
        <v>8</v>
      </c>
      <c r="OU480" t="s">
        <v>1053</v>
      </c>
      <c r="OW480">
        <v>2010</v>
      </c>
      <c r="PB480" t="s">
        <v>522</v>
      </c>
      <c r="PC480" s="50">
        <v>46108</v>
      </c>
    </row>
    <row r="481" spans="1:419" ht="15.75" thickBot="1">
      <c r="A481" t="s">
        <v>665</v>
      </c>
      <c r="B481" t="s">
        <v>1075</v>
      </c>
      <c r="C481" t="s">
        <v>1076</v>
      </c>
      <c r="D481" s="4" t="s">
        <v>472</v>
      </c>
      <c r="E481" t="s">
        <v>1077</v>
      </c>
      <c r="F481" t="s">
        <v>865</v>
      </c>
      <c r="G481" t="s">
        <v>1078</v>
      </c>
      <c r="H481" s="2" t="s">
        <v>1079</v>
      </c>
      <c r="I481">
        <v>-23.748532000000001</v>
      </c>
      <c r="J481">
        <v>-62.056702000000001</v>
      </c>
      <c r="K481" s="78">
        <v>65000</v>
      </c>
      <c r="AV481" t="s">
        <v>1080</v>
      </c>
      <c r="AW481" t="s">
        <v>866</v>
      </c>
      <c r="AX481">
        <v>3600</v>
      </c>
      <c r="AY481" s="5">
        <v>1</v>
      </c>
      <c r="AZ481" t="s">
        <v>1081</v>
      </c>
      <c r="BA481">
        <v>2010</v>
      </c>
      <c r="BC481" t="s">
        <v>1082</v>
      </c>
      <c r="BD481" t="s">
        <v>1109</v>
      </c>
      <c r="BE481" t="s">
        <v>566</v>
      </c>
      <c r="BF481" t="s">
        <v>1102</v>
      </c>
      <c r="BG481" t="s">
        <v>1103</v>
      </c>
      <c r="BH481" t="s">
        <v>480</v>
      </c>
      <c r="BI481" t="s">
        <v>480</v>
      </c>
      <c r="BJ481" t="s">
        <v>480</v>
      </c>
      <c r="ED481" t="s">
        <v>1085</v>
      </c>
      <c r="EE481" t="s">
        <v>480</v>
      </c>
      <c r="EF481" t="s">
        <v>480</v>
      </c>
      <c r="EG481" t="s">
        <v>537</v>
      </c>
      <c r="EH481" t="s">
        <v>1086</v>
      </c>
      <c r="EI481" t="s">
        <v>480</v>
      </c>
      <c r="EJ481" t="s">
        <v>480</v>
      </c>
      <c r="EK481" t="s">
        <v>537</v>
      </c>
      <c r="EL481" t="s">
        <v>1087</v>
      </c>
      <c r="EM481" t="s">
        <v>480</v>
      </c>
      <c r="EN481" t="s">
        <v>480</v>
      </c>
      <c r="EO481" t="s">
        <v>537</v>
      </c>
      <c r="EP481" t="s">
        <v>1088</v>
      </c>
      <c r="EQ481" t="s">
        <v>480</v>
      </c>
      <c r="ER481" t="s">
        <v>480</v>
      </c>
      <c r="ES481" t="s">
        <v>537</v>
      </c>
      <c r="ET481" t="s">
        <v>1089</v>
      </c>
      <c r="EU481" t="s">
        <v>480</v>
      </c>
      <c r="EV481" t="s">
        <v>480</v>
      </c>
      <c r="EW481" t="s">
        <v>537</v>
      </c>
      <c r="EX481" t="s">
        <v>1090</v>
      </c>
      <c r="EY481" t="s">
        <v>480</v>
      </c>
      <c r="EZ481" t="s">
        <v>480</v>
      </c>
      <c r="FA481" t="s">
        <v>537</v>
      </c>
      <c r="FB481" t="s">
        <v>1091</v>
      </c>
      <c r="FC481" t="s">
        <v>480</v>
      </c>
      <c r="FD481" t="s">
        <v>480</v>
      </c>
      <c r="FF481" s="9"/>
      <c r="FG481" s="9"/>
      <c r="FH481" s="9"/>
      <c r="FI481" s="9"/>
      <c r="FJ481" s="9"/>
      <c r="FK481" s="9"/>
      <c r="FL481" s="9"/>
      <c r="FM481" s="9"/>
      <c r="FN481" s="9"/>
      <c r="FO481" s="9"/>
      <c r="FP481" s="9"/>
      <c r="FQ481" s="9"/>
      <c r="FR481" s="9"/>
      <c r="FS481" s="9"/>
      <c r="FT481" s="9"/>
      <c r="FU481" s="9"/>
      <c r="FV481" s="9"/>
      <c r="FW481" s="9"/>
      <c r="FX481" s="9"/>
      <c r="FY481" s="9"/>
      <c r="FZ481" s="9"/>
      <c r="GA481" s="9"/>
      <c r="GB481" s="9"/>
      <c r="GC481" s="9"/>
      <c r="GD481" s="9"/>
      <c r="GE481" s="9"/>
      <c r="GF481" s="9"/>
      <c r="GG481" s="9"/>
      <c r="GH481" s="9"/>
      <c r="GI481" s="9"/>
      <c r="GJ481" s="9"/>
      <c r="GK481" s="9"/>
      <c r="GL481" s="9" t="s">
        <v>1105</v>
      </c>
      <c r="GM481" s="9" t="s">
        <v>480</v>
      </c>
      <c r="GN481" s="9" t="s">
        <v>480</v>
      </c>
      <c r="GO481" s="9" t="s">
        <v>480</v>
      </c>
      <c r="GP481" s="9"/>
      <c r="GQ481" s="9"/>
      <c r="GR481" s="9"/>
      <c r="GS481" s="9"/>
      <c r="GT481" s="9"/>
      <c r="GU481" s="9"/>
      <c r="GV481" s="9"/>
      <c r="GW481" s="9"/>
      <c r="GX481" s="9"/>
      <c r="GY481" s="9"/>
      <c r="GZ481" s="9"/>
      <c r="HA481" s="9"/>
      <c r="HB481" s="9"/>
      <c r="HC481" s="9"/>
      <c r="HD481" s="9"/>
      <c r="HE481" s="9"/>
      <c r="HF481" s="9"/>
      <c r="HG481" s="9"/>
      <c r="HH481" s="9"/>
      <c r="HI481" s="9"/>
      <c r="HJ481" s="9"/>
      <c r="HK481" s="9"/>
      <c r="HX481" s="50"/>
      <c r="HY481" s="50"/>
      <c r="IV481" t="s">
        <v>1109</v>
      </c>
      <c r="IW481" s="75" t="s">
        <v>1106</v>
      </c>
      <c r="IX481" s="12" t="s">
        <v>1107</v>
      </c>
      <c r="IY481" s="46" t="s">
        <v>1110</v>
      </c>
      <c r="IZ481">
        <v>7.5</v>
      </c>
      <c r="JA481">
        <v>56</v>
      </c>
      <c r="JB481" t="s">
        <v>480</v>
      </c>
      <c r="JC481" t="s">
        <v>480</v>
      </c>
      <c r="MY481" t="s">
        <v>1095</v>
      </c>
      <c r="MZ481">
        <v>1963</v>
      </c>
      <c r="NA481" t="s">
        <v>1121</v>
      </c>
      <c r="NB481" t="s">
        <v>1097</v>
      </c>
      <c r="NG481" t="s">
        <v>1122</v>
      </c>
      <c r="NH481" t="s">
        <v>687</v>
      </c>
      <c r="NJ481" t="s">
        <v>689</v>
      </c>
      <c r="NL481" t="s">
        <v>689</v>
      </c>
      <c r="NM481" s="6" t="s">
        <v>1131</v>
      </c>
      <c r="NV481" t="s">
        <v>518</v>
      </c>
      <c r="NW481">
        <v>0.8</v>
      </c>
      <c r="NX481" t="s">
        <v>916</v>
      </c>
      <c r="NY481">
        <v>1.1000000000000001</v>
      </c>
      <c r="OB481">
        <v>7</v>
      </c>
      <c r="OU481" t="s">
        <v>1053</v>
      </c>
      <c r="OW481">
        <v>2010</v>
      </c>
      <c r="PB481" t="s">
        <v>522</v>
      </c>
      <c r="PC481" s="50">
        <v>46108</v>
      </c>
    </row>
    <row r="482" spans="1:419" ht="15.75" thickBot="1">
      <c r="A482" t="s">
        <v>665</v>
      </c>
      <c r="B482" t="s">
        <v>1075</v>
      </c>
      <c r="C482" t="s">
        <v>1076</v>
      </c>
      <c r="D482" s="4" t="s">
        <v>472</v>
      </c>
      <c r="E482" t="s">
        <v>1077</v>
      </c>
      <c r="F482" t="s">
        <v>865</v>
      </c>
      <c r="G482" t="s">
        <v>1078</v>
      </c>
      <c r="H482" s="2" t="s">
        <v>1079</v>
      </c>
      <c r="I482">
        <v>-23.748532000000001</v>
      </c>
      <c r="J482">
        <v>-62.056702000000001</v>
      </c>
      <c r="K482" s="78">
        <v>65000</v>
      </c>
      <c r="AV482" t="s">
        <v>1080</v>
      </c>
      <c r="AW482" t="s">
        <v>866</v>
      </c>
      <c r="AX482">
        <v>3600</v>
      </c>
      <c r="AY482" s="5">
        <v>1</v>
      </c>
      <c r="AZ482" t="s">
        <v>1081</v>
      </c>
      <c r="BA482">
        <v>2010</v>
      </c>
      <c r="BC482" t="s">
        <v>1082</v>
      </c>
      <c r="BD482" t="s">
        <v>1111</v>
      </c>
      <c r="BE482" t="s">
        <v>572</v>
      </c>
      <c r="BF482" t="s">
        <v>1102</v>
      </c>
      <c r="BG482" t="s">
        <v>1112</v>
      </c>
      <c r="BH482" t="s">
        <v>480</v>
      </c>
      <c r="BI482" t="s">
        <v>480</v>
      </c>
      <c r="BJ482" t="s">
        <v>480</v>
      </c>
      <c r="ED482" t="s">
        <v>1085</v>
      </c>
      <c r="EE482" t="s">
        <v>480</v>
      </c>
      <c r="EF482" t="s">
        <v>480</v>
      </c>
      <c r="EG482" t="s">
        <v>537</v>
      </c>
      <c r="EH482" t="s">
        <v>1086</v>
      </c>
      <c r="EI482" t="s">
        <v>480</v>
      </c>
      <c r="EJ482" t="s">
        <v>480</v>
      </c>
      <c r="EK482" t="s">
        <v>537</v>
      </c>
      <c r="EL482" t="s">
        <v>1087</v>
      </c>
      <c r="EM482" t="s">
        <v>480</v>
      </c>
      <c r="EN482" t="s">
        <v>480</v>
      </c>
      <c r="EO482" t="s">
        <v>537</v>
      </c>
      <c r="EP482" t="s">
        <v>1088</v>
      </c>
      <c r="EQ482" t="s">
        <v>480</v>
      </c>
      <c r="ER482" t="s">
        <v>480</v>
      </c>
      <c r="ES482" t="s">
        <v>537</v>
      </c>
      <c r="ET482" t="s">
        <v>1089</v>
      </c>
      <c r="EU482" t="s">
        <v>480</v>
      </c>
      <c r="EV482" t="s">
        <v>480</v>
      </c>
      <c r="EW482" t="s">
        <v>537</v>
      </c>
      <c r="EX482" t="s">
        <v>1090</v>
      </c>
      <c r="EY482" t="s">
        <v>480</v>
      </c>
      <c r="EZ482" t="s">
        <v>480</v>
      </c>
      <c r="FA482" t="s">
        <v>537</v>
      </c>
      <c r="FB482" t="s">
        <v>1091</v>
      </c>
      <c r="FC482" t="s">
        <v>480</v>
      </c>
      <c r="FD482" t="s">
        <v>480</v>
      </c>
      <c r="FF482" s="9"/>
      <c r="FG482" s="9"/>
      <c r="FH482" s="9"/>
      <c r="FI482" s="9"/>
      <c r="FJ482" s="9"/>
      <c r="FK482" s="9"/>
      <c r="FL482" s="9"/>
      <c r="FM482" s="9"/>
      <c r="FN482" s="9"/>
      <c r="FO482" s="9"/>
      <c r="FP482" s="9"/>
      <c r="FQ482" s="9"/>
      <c r="FR482" s="9"/>
      <c r="FS482" s="9"/>
      <c r="FT482" s="9"/>
      <c r="FU482" s="9"/>
      <c r="FV482" s="9"/>
      <c r="FW482" s="9"/>
      <c r="FX482" s="9"/>
      <c r="FY482" s="9"/>
      <c r="FZ482" s="9"/>
      <c r="GA482" s="9"/>
      <c r="GB482" s="9"/>
      <c r="GC482" s="9"/>
      <c r="GD482" s="9"/>
      <c r="GE482" s="9"/>
      <c r="GF482" s="9"/>
      <c r="GG482" s="9"/>
      <c r="GH482" s="9"/>
      <c r="GI482" s="9"/>
      <c r="GJ482" s="9"/>
      <c r="GK482" s="9"/>
      <c r="GL482" s="9" t="s">
        <v>1105</v>
      </c>
      <c r="GM482" s="9" t="s">
        <v>480</v>
      </c>
      <c r="GN482" s="9" t="s">
        <v>480</v>
      </c>
      <c r="GO482" s="9" t="s">
        <v>480</v>
      </c>
      <c r="GP482" s="9"/>
      <c r="GQ482" s="9"/>
      <c r="GR482" s="9"/>
      <c r="GS482" s="9"/>
      <c r="GT482" s="9"/>
      <c r="GU482" s="9"/>
      <c r="GV482" s="9"/>
      <c r="GW482" s="9"/>
      <c r="GX482" s="9"/>
      <c r="GY482" s="9"/>
      <c r="GZ482" s="9"/>
      <c r="HA482" s="9"/>
      <c r="HB482" s="9"/>
      <c r="HC482" s="9"/>
      <c r="HD482" s="9"/>
      <c r="HE482" s="9"/>
      <c r="HF482" s="9"/>
      <c r="HG482" s="9"/>
      <c r="HH482" s="9"/>
      <c r="HI482" s="9"/>
      <c r="HJ482" s="9"/>
      <c r="HK482" s="9"/>
      <c r="HX482" s="50"/>
      <c r="HY482" s="50"/>
      <c r="IV482" t="s">
        <v>1111</v>
      </c>
      <c r="IW482" s="75" t="s">
        <v>1106</v>
      </c>
      <c r="IX482" s="12" t="s">
        <v>1107</v>
      </c>
      <c r="IY482" s="46" t="s">
        <v>1110</v>
      </c>
      <c r="IZ482">
        <v>7.5</v>
      </c>
      <c r="JA482">
        <v>37</v>
      </c>
      <c r="JB482" t="s">
        <v>480</v>
      </c>
      <c r="JC482" t="s">
        <v>480</v>
      </c>
      <c r="MY482" t="s">
        <v>1095</v>
      </c>
      <c r="MZ482">
        <v>1963</v>
      </c>
      <c r="NA482" t="s">
        <v>1121</v>
      </c>
      <c r="NB482" t="s">
        <v>1097</v>
      </c>
      <c r="NG482" t="s">
        <v>1122</v>
      </c>
      <c r="NH482" t="s">
        <v>687</v>
      </c>
      <c r="NJ482" t="s">
        <v>689</v>
      </c>
      <c r="NL482" t="s">
        <v>689</v>
      </c>
      <c r="NM482" s="6" t="s">
        <v>1131</v>
      </c>
      <c r="NV482" t="s">
        <v>518</v>
      </c>
      <c r="NW482">
        <v>0.5</v>
      </c>
      <c r="NX482" t="s">
        <v>916</v>
      </c>
      <c r="NY482">
        <v>0.9</v>
      </c>
      <c r="OB482">
        <v>5</v>
      </c>
      <c r="OU482" t="s">
        <v>1053</v>
      </c>
      <c r="OW482">
        <v>2010</v>
      </c>
      <c r="PB482" t="s">
        <v>522</v>
      </c>
      <c r="PC482" s="50">
        <v>46108</v>
      </c>
    </row>
    <row r="483" spans="1:419" ht="15.75" thickBot="1">
      <c r="A483" t="s">
        <v>665</v>
      </c>
      <c r="B483" t="s">
        <v>1075</v>
      </c>
      <c r="C483" t="s">
        <v>1076</v>
      </c>
      <c r="D483" s="4" t="s">
        <v>472</v>
      </c>
      <c r="E483" t="s">
        <v>1077</v>
      </c>
      <c r="F483" t="s">
        <v>865</v>
      </c>
      <c r="G483" t="s">
        <v>1078</v>
      </c>
      <c r="H483" s="2" t="s">
        <v>1079</v>
      </c>
      <c r="I483">
        <v>-23.748532000000001</v>
      </c>
      <c r="J483">
        <v>-62.056702000000001</v>
      </c>
      <c r="K483" s="78">
        <v>65000</v>
      </c>
      <c r="AV483" t="s">
        <v>1080</v>
      </c>
      <c r="AW483" t="s">
        <v>866</v>
      </c>
      <c r="AX483" t="s">
        <v>866</v>
      </c>
      <c r="AY483" s="5">
        <v>1</v>
      </c>
      <c r="AZ483" t="s">
        <v>1081</v>
      </c>
      <c r="BA483">
        <v>2010</v>
      </c>
      <c r="BC483" t="s">
        <v>1082</v>
      </c>
      <c r="BD483" t="s">
        <v>1113</v>
      </c>
      <c r="BE483" t="s">
        <v>483</v>
      </c>
      <c r="BF483" t="s">
        <v>1102</v>
      </c>
      <c r="BG483" t="s">
        <v>1112</v>
      </c>
      <c r="BH483" t="s">
        <v>480</v>
      </c>
      <c r="BI483" t="s">
        <v>480</v>
      </c>
      <c r="BJ483" t="s">
        <v>480</v>
      </c>
      <c r="GL483" t="s">
        <v>1105</v>
      </c>
      <c r="GM483" s="9" t="s">
        <v>480</v>
      </c>
      <c r="GN483" s="9" t="s">
        <v>480</v>
      </c>
      <c r="GO483" s="9" t="s">
        <v>480</v>
      </c>
      <c r="HY483" s="50"/>
      <c r="IV483" t="s">
        <v>1113</v>
      </c>
      <c r="IW483" s="46" t="s">
        <v>1114</v>
      </c>
      <c r="IX483" s="46" t="s">
        <v>1114</v>
      </c>
      <c r="IY483" s="46" t="s">
        <v>1115</v>
      </c>
      <c r="IZ483">
        <v>1</v>
      </c>
      <c r="JA483">
        <v>6</v>
      </c>
      <c r="JB483" t="s">
        <v>480</v>
      </c>
      <c r="JC483" t="s">
        <v>480</v>
      </c>
      <c r="MY483" t="s">
        <v>1095</v>
      </c>
      <c r="MZ483">
        <v>1963</v>
      </c>
      <c r="NA483" t="s">
        <v>1121</v>
      </c>
      <c r="NB483" t="s">
        <v>1097</v>
      </c>
      <c r="NG483" t="s">
        <v>1122</v>
      </c>
      <c r="NH483" t="s">
        <v>687</v>
      </c>
      <c r="NJ483" t="s">
        <v>689</v>
      </c>
      <c r="NL483" t="s">
        <v>689</v>
      </c>
      <c r="NM483" s="6" t="s">
        <v>1131</v>
      </c>
      <c r="NU483" t="s">
        <v>1116</v>
      </c>
      <c r="NV483" t="s">
        <v>518</v>
      </c>
      <c r="NW483">
        <v>0</v>
      </c>
      <c r="NX483" t="s">
        <v>916</v>
      </c>
      <c r="NY483">
        <v>0</v>
      </c>
      <c r="OB483">
        <v>7</v>
      </c>
      <c r="OU483" t="s">
        <v>1053</v>
      </c>
      <c r="OW483">
        <v>2010</v>
      </c>
      <c r="PB483" t="s">
        <v>522</v>
      </c>
      <c r="PC483" s="50">
        <v>46108</v>
      </c>
    </row>
    <row r="484" spans="1:419" ht="15.75" thickBot="1">
      <c r="A484" t="s">
        <v>665</v>
      </c>
      <c r="B484" t="s">
        <v>1075</v>
      </c>
      <c r="C484" t="s">
        <v>1076</v>
      </c>
      <c r="D484" s="4" t="s">
        <v>472</v>
      </c>
      <c r="E484" t="s">
        <v>1077</v>
      </c>
      <c r="F484" t="s">
        <v>865</v>
      </c>
      <c r="G484" t="s">
        <v>1078</v>
      </c>
      <c r="H484" s="2" t="s">
        <v>1079</v>
      </c>
      <c r="I484">
        <v>-23.748532000000001</v>
      </c>
      <c r="J484">
        <v>-62.056702000000001</v>
      </c>
      <c r="K484" s="78">
        <v>65000</v>
      </c>
      <c r="AV484" t="s">
        <v>1080</v>
      </c>
      <c r="AW484" t="s">
        <v>866</v>
      </c>
      <c r="AX484">
        <v>1000</v>
      </c>
      <c r="AY484" s="5">
        <v>1</v>
      </c>
      <c r="AZ484" t="s">
        <v>1081</v>
      </c>
      <c r="BA484">
        <v>2010</v>
      </c>
      <c r="BC484" t="s">
        <v>1082</v>
      </c>
      <c r="BD484" t="s">
        <v>1083</v>
      </c>
      <c r="BE484" t="s">
        <v>524</v>
      </c>
      <c r="BF484" t="s">
        <v>1084</v>
      </c>
      <c r="ED484" t="s">
        <v>1085</v>
      </c>
      <c r="EE484" t="s">
        <v>480</v>
      </c>
      <c r="EF484" t="s">
        <v>480</v>
      </c>
      <c r="EG484" t="s">
        <v>537</v>
      </c>
      <c r="EH484" t="s">
        <v>1086</v>
      </c>
      <c r="EI484" t="s">
        <v>480</v>
      </c>
      <c r="EJ484" t="s">
        <v>480</v>
      </c>
      <c r="EK484" t="s">
        <v>537</v>
      </c>
      <c r="EL484" t="s">
        <v>1087</v>
      </c>
      <c r="EM484" t="s">
        <v>480</v>
      </c>
      <c r="EN484" t="s">
        <v>480</v>
      </c>
      <c r="EO484" t="s">
        <v>537</v>
      </c>
      <c r="EP484" t="s">
        <v>1088</v>
      </c>
      <c r="EQ484" t="s">
        <v>480</v>
      </c>
      <c r="ER484" t="s">
        <v>480</v>
      </c>
      <c r="ES484" t="s">
        <v>537</v>
      </c>
      <c r="ET484" t="s">
        <v>1089</v>
      </c>
      <c r="EU484" t="s">
        <v>480</v>
      </c>
      <c r="EV484" t="s">
        <v>480</v>
      </c>
      <c r="EW484" t="s">
        <v>537</v>
      </c>
      <c r="EX484" t="s">
        <v>1090</v>
      </c>
      <c r="EY484" t="s">
        <v>480</v>
      </c>
      <c r="EZ484" t="s">
        <v>480</v>
      </c>
      <c r="FA484" t="s">
        <v>537</v>
      </c>
      <c r="FB484" t="s">
        <v>1091</v>
      </c>
      <c r="FC484" t="s">
        <v>480</v>
      </c>
      <c r="FD484" t="s">
        <v>480</v>
      </c>
      <c r="HY484" s="50"/>
      <c r="IV484" t="s">
        <v>1083</v>
      </c>
      <c r="IW484" t="s">
        <v>1092</v>
      </c>
      <c r="IX484" t="s">
        <v>1092</v>
      </c>
      <c r="IY484" t="s">
        <v>1092</v>
      </c>
      <c r="IZ484">
        <v>5</v>
      </c>
      <c r="JA484">
        <v>70</v>
      </c>
      <c r="JB484" t="s">
        <v>480</v>
      </c>
      <c r="JC484" t="s">
        <v>480</v>
      </c>
      <c r="MT484" t="s">
        <v>1083</v>
      </c>
      <c r="MU484" s="185" t="s">
        <v>1092</v>
      </c>
      <c r="MV484" t="s">
        <v>480</v>
      </c>
      <c r="MW484" s="185" t="s">
        <v>1093</v>
      </c>
      <c r="MX484" s="185" t="s">
        <v>1094</v>
      </c>
      <c r="MY484" t="s">
        <v>1095</v>
      </c>
      <c r="MZ484">
        <v>1963</v>
      </c>
      <c r="NA484" t="s">
        <v>1096</v>
      </c>
      <c r="NB484" t="s">
        <v>1097</v>
      </c>
      <c r="NG484" t="s">
        <v>1098</v>
      </c>
      <c r="NH484" t="s">
        <v>687</v>
      </c>
      <c r="NJ484" t="s">
        <v>689</v>
      </c>
      <c r="NL484" t="s">
        <v>689</v>
      </c>
      <c r="NM484" s="6" t="s">
        <v>1131</v>
      </c>
      <c r="NU484" t="s">
        <v>1100</v>
      </c>
      <c r="NV484" t="s">
        <v>518</v>
      </c>
      <c r="NW484">
        <v>5.2</v>
      </c>
      <c r="NX484" t="s">
        <v>916</v>
      </c>
      <c r="NY484">
        <v>5.2</v>
      </c>
      <c r="OB484">
        <v>6</v>
      </c>
      <c r="OU484" t="s">
        <v>1053</v>
      </c>
      <c r="OW484">
        <v>2010</v>
      </c>
      <c r="PB484" t="s">
        <v>522</v>
      </c>
      <c r="PC484" s="50">
        <v>46108</v>
      </c>
    </row>
    <row r="485" spans="1:419" ht="15.75" thickBot="1">
      <c r="A485" t="s">
        <v>665</v>
      </c>
      <c r="B485" t="s">
        <v>1075</v>
      </c>
      <c r="C485" t="s">
        <v>1076</v>
      </c>
      <c r="D485" s="4" t="s">
        <v>472</v>
      </c>
      <c r="E485" t="s">
        <v>1077</v>
      </c>
      <c r="F485" t="s">
        <v>865</v>
      </c>
      <c r="G485" t="s">
        <v>1078</v>
      </c>
      <c r="H485" s="2" t="s">
        <v>1079</v>
      </c>
      <c r="I485">
        <v>-23.748532000000001</v>
      </c>
      <c r="J485">
        <v>-62.056702000000001</v>
      </c>
      <c r="K485" s="78">
        <v>65000</v>
      </c>
      <c r="AV485" t="s">
        <v>1080</v>
      </c>
      <c r="AW485" t="s">
        <v>866</v>
      </c>
      <c r="AX485" t="s">
        <v>866</v>
      </c>
      <c r="AY485" s="5">
        <v>1</v>
      </c>
      <c r="AZ485" t="s">
        <v>1081</v>
      </c>
      <c r="BA485">
        <v>2010</v>
      </c>
      <c r="BC485" t="s">
        <v>1082</v>
      </c>
      <c r="BD485" t="s">
        <v>1101</v>
      </c>
      <c r="BE485" t="s">
        <v>536</v>
      </c>
      <c r="BF485" t="s">
        <v>1102</v>
      </c>
      <c r="BG485" t="s">
        <v>1103</v>
      </c>
      <c r="BH485" t="s">
        <v>1104</v>
      </c>
      <c r="BI485" t="s">
        <v>480</v>
      </c>
      <c r="BJ485" t="s">
        <v>480</v>
      </c>
      <c r="ED485" t="s">
        <v>1085</v>
      </c>
      <c r="EE485" t="s">
        <v>480</v>
      </c>
      <c r="EF485" t="s">
        <v>480</v>
      </c>
      <c r="EG485" t="s">
        <v>537</v>
      </c>
      <c r="EH485" t="s">
        <v>1086</v>
      </c>
      <c r="EI485" t="s">
        <v>480</v>
      </c>
      <c r="EJ485" t="s">
        <v>480</v>
      </c>
      <c r="EK485" t="s">
        <v>537</v>
      </c>
      <c r="EL485" t="s">
        <v>1087</v>
      </c>
      <c r="EM485" t="s">
        <v>480</v>
      </c>
      <c r="EN485" t="s">
        <v>480</v>
      </c>
      <c r="EO485" t="s">
        <v>537</v>
      </c>
      <c r="EP485" t="s">
        <v>1088</v>
      </c>
      <c r="EQ485" t="s">
        <v>480</v>
      </c>
      <c r="ER485" t="s">
        <v>480</v>
      </c>
      <c r="ES485" t="s">
        <v>537</v>
      </c>
      <c r="ET485" t="s">
        <v>1089</v>
      </c>
      <c r="EU485" t="s">
        <v>480</v>
      </c>
      <c r="EV485" t="s">
        <v>480</v>
      </c>
      <c r="EW485" t="s">
        <v>537</v>
      </c>
      <c r="EX485" t="s">
        <v>1090</v>
      </c>
      <c r="EY485" t="s">
        <v>480</v>
      </c>
      <c r="EZ485" t="s">
        <v>480</v>
      </c>
      <c r="FA485" t="s">
        <v>537</v>
      </c>
      <c r="FB485" t="s">
        <v>1091</v>
      </c>
      <c r="FC485" t="s">
        <v>480</v>
      </c>
      <c r="FD485" t="s">
        <v>480</v>
      </c>
      <c r="GL485" t="s">
        <v>1105</v>
      </c>
      <c r="GM485" s="9" t="s">
        <v>480</v>
      </c>
      <c r="GN485" s="9" t="s">
        <v>480</v>
      </c>
      <c r="GO485" s="9" t="s">
        <v>480</v>
      </c>
      <c r="GP485" s="9"/>
      <c r="GQ485" s="9"/>
      <c r="GR485" s="9"/>
      <c r="GS485" s="9"/>
      <c r="GT485" s="9"/>
      <c r="GU485" s="9"/>
      <c r="GV485" s="9"/>
      <c r="GW485" s="9"/>
      <c r="GX485" s="9"/>
      <c r="GY485" s="9"/>
      <c r="GZ485" s="9"/>
      <c r="HA485" s="9"/>
      <c r="HB485" s="9"/>
      <c r="HC485" s="9"/>
      <c r="HD485" s="9"/>
      <c r="HE485" s="9"/>
      <c r="HF485" s="9"/>
      <c r="HG485" s="9"/>
      <c r="HH485" s="9"/>
      <c r="HI485" s="9"/>
      <c r="HJ485" s="9"/>
      <c r="HK485" s="9"/>
      <c r="HX485" s="50"/>
      <c r="HY485" s="50"/>
      <c r="IV485" t="s">
        <v>1101</v>
      </c>
      <c r="IW485" s="75" t="s">
        <v>1106</v>
      </c>
      <c r="IX485" t="s">
        <v>1107</v>
      </c>
      <c r="IY485" s="46" t="s">
        <v>1108</v>
      </c>
      <c r="IZ485">
        <v>1</v>
      </c>
      <c r="JA485">
        <v>81</v>
      </c>
      <c r="JB485" t="s">
        <v>480</v>
      </c>
      <c r="JC485" t="s">
        <v>480</v>
      </c>
      <c r="MY485" t="s">
        <v>1095</v>
      </c>
      <c r="MZ485">
        <v>1963</v>
      </c>
      <c r="NA485" t="s">
        <v>1096</v>
      </c>
      <c r="NB485" t="s">
        <v>1097</v>
      </c>
      <c r="NG485" t="s">
        <v>1098</v>
      </c>
      <c r="NH485" t="s">
        <v>687</v>
      </c>
      <c r="NJ485" t="s">
        <v>689</v>
      </c>
      <c r="NL485" t="s">
        <v>689</v>
      </c>
      <c r="NM485" s="6" t="s">
        <v>1131</v>
      </c>
      <c r="NV485" t="s">
        <v>518</v>
      </c>
      <c r="NW485">
        <v>9.4</v>
      </c>
      <c r="NX485" t="s">
        <v>916</v>
      </c>
      <c r="NY485">
        <v>15.7</v>
      </c>
      <c r="OB485">
        <v>8</v>
      </c>
      <c r="OU485" t="s">
        <v>1053</v>
      </c>
      <c r="OW485">
        <v>2010</v>
      </c>
      <c r="PB485" t="s">
        <v>522</v>
      </c>
      <c r="PC485" s="50">
        <v>46108</v>
      </c>
    </row>
    <row r="486" spans="1:419" ht="15.75" thickBot="1">
      <c r="A486" t="s">
        <v>665</v>
      </c>
      <c r="B486" t="s">
        <v>1075</v>
      </c>
      <c r="C486" t="s">
        <v>1076</v>
      </c>
      <c r="D486" s="4" t="s">
        <v>472</v>
      </c>
      <c r="E486" t="s">
        <v>1077</v>
      </c>
      <c r="F486" t="s">
        <v>865</v>
      </c>
      <c r="G486" t="s">
        <v>1078</v>
      </c>
      <c r="H486" s="2" t="s">
        <v>1079</v>
      </c>
      <c r="I486">
        <v>-23.748532000000001</v>
      </c>
      <c r="J486">
        <v>-62.056702000000001</v>
      </c>
      <c r="K486" s="78">
        <v>65000</v>
      </c>
      <c r="AV486" t="s">
        <v>1080</v>
      </c>
      <c r="AW486" t="s">
        <v>866</v>
      </c>
      <c r="AX486">
        <v>3600</v>
      </c>
      <c r="AY486" s="5">
        <v>1</v>
      </c>
      <c r="AZ486" t="s">
        <v>1081</v>
      </c>
      <c r="BA486">
        <v>2010</v>
      </c>
      <c r="BC486" t="s">
        <v>1082</v>
      </c>
      <c r="BD486" t="s">
        <v>1109</v>
      </c>
      <c r="BE486" t="s">
        <v>566</v>
      </c>
      <c r="BF486" t="s">
        <v>1102</v>
      </c>
      <c r="BG486" t="s">
        <v>1103</v>
      </c>
      <c r="BH486" t="s">
        <v>480</v>
      </c>
      <c r="BI486" t="s">
        <v>480</v>
      </c>
      <c r="BJ486" t="s">
        <v>480</v>
      </c>
      <c r="ED486" t="s">
        <v>1085</v>
      </c>
      <c r="EE486" t="s">
        <v>480</v>
      </c>
      <c r="EF486" t="s">
        <v>480</v>
      </c>
      <c r="EG486" t="s">
        <v>537</v>
      </c>
      <c r="EH486" t="s">
        <v>1086</v>
      </c>
      <c r="EI486" t="s">
        <v>480</v>
      </c>
      <c r="EJ486" t="s">
        <v>480</v>
      </c>
      <c r="EK486" t="s">
        <v>537</v>
      </c>
      <c r="EL486" t="s">
        <v>1087</v>
      </c>
      <c r="EM486" t="s">
        <v>480</v>
      </c>
      <c r="EN486" t="s">
        <v>480</v>
      </c>
      <c r="EO486" t="s">
        <v>537</v>
      </c>
      <c r="EP486" t="s">
        <v>1088</v>
      </c>
      <c r="EQ486" t="s">
        <v>480</v>
      </c>
      <c r="ER486" t="s">
        <v>480</v>
      </c>
      <c r="ES486" t="s">
        <v>537</v>
      </c>
      <c r="ET486" t="s">
        <v>1089</v>
      </c>
      <c r="EU486" t="s">
        <v>480</v>
      </c>
      <c r="EV486" t="s">
        <v>480</v>
      </c>
      <c r="EW486" t="s">
        <v>537</v>
      </c>
      <c r="EX486" t="s">
        <v>1090</v>
      </c>
      <c r="EY486" t="s">
        <v>480</v>
      </c>
      <c r="EZ486" t="s">
        <v>480</v>
      </c>
      <c r="FA486" t="s">
        <v>537</v>
      </c>
      <c r="FB486" t="s">
        <v>1091</v>
      </c>
      <c r="FC486" t="s">
        <v>480</v>
      </c>
      <c r="FD486" t="s">
        <v>480</v>
      </c>
      <c r="FF486" s="9"/>
      <c r="FG486" s="9"/>
      <c r="FH486" s="9"/>
      <c r="FI486" s="9"/>
      <c r="FJ486" s="9"/>
      <c r="FK486" s="9"/>
      <c r="FL486" s="9"/>
      <c r="FM486" s="9"/>
      <c r="FN486" s="9"/>
      <c r="FO486" s="9"/>
      <c r="FP486" s="9"/>
      <c r="FQ486" s="9"/>
      <c r="FR486" s="9"/>
      <c r="FS486" s="9"/>
      <c r="FT486" s="9"/>
      <c r="FU486" s="9"/>
      <c r="FV486" s="9"/>
      <c r="FW486" s="9"/>
      <c r="FX486" s="9"/>
      <c r="FY486" s="9"/>
      <c r="FZ486" s="9"/>
      <c r="GA486" s="9"/>
      <c r="GB486" s="9"/>
      <c r="GC486" s="9"/>
      <c r="GD486" s="9"/>
      <c r="GE486" s="9"/>
      <c r="GF486" s="9"/>
      <c r="GG486" s="9"/>
      <c r="GH486" s="9"/>
      <c r="GI486" s="9"/>
      <c r="GJ486" s="9"/>
      <c r="GK486" s="9"/>
      <c r="GL486" s="9" t="s">
        <v>1105</v>
      </c>
      <c r="GM486" s="9" t="s">
        <v>480</v>
      </c>
      <c r="GN486" s="9" t="s">
        <v>480</v>
      </c>
      <c r="GO486" s="9" t="s">
        <v>480</v>
      </c>
      <c r="GP486" s="9"/>
      <c r="GQ486" s="9"/>
      <c r="GR486" s="9"/>
      <c r="GS486" s="9"/>
      <c r="GT486" s="9"/>
      <c r="GU486" s="9"/>
      <c r="GV486" s="9"/>
      <c r="GW486" s="9"/>
      <c r="GX486" s="9"/>
      <c r="GY486" s="9"/>
      <c r="GZ486" s="9"/>
      <c r="HA486" s="9"/>
      <c r="HB486" s="9"/>
      <c r="HC486" s="9"/>
      <c r="HD486" s="9"/>
      <c r="HE486" s="9"/>
      <c r="HF486" s="9"/>
      <c r="HG486" s="9"/>
      <c r="HH486" s="9"/>
      <c r="HI486" s="9"/>
      <c r="HJ486" s="9"/>
      <c r="HK486" s="9"/>
      <c r="HX486" s="50"/>
      <c r="HY486" s="50"/>
      <c r="IV486" t="s">
        <v>1109</v>
      </c>
      <c r="IW486" s="75" t="s">
        <v>1106</v>
      </c>
      <c r="IX486" s="12" t="s">
        <v>1107</v>
      </c>
      <c r="IY486" s="46" t="s">
        <v>1110</v>
      </c>
      <c r="IZ486">
        <v>7.5</v>
      </c>
      <c r="JA486">
        <v>56</v>
      </c>
      <c r="JB486" t="s">
        <v>480</v>
      </c>
      <c r="JC486" t="s">
        <v>480</v>
      </c>
      <c r="MY486" t="s">
        <v>1095</v>
      </c>
      <c r="MZ486">
        <v>1963</v>
      </c>
      <c r="NA486" t="s">
        <v>1096</v>
      </c>
      <c r="NB486" t="s">
        <v>1097</v>
      </c>
      <c r="NG486" t="s">
        <v>1098</v>
      </c>
      <c r="NH486" t="s">
        <v>687</v>
      </c>
      <c r="NJ486" t="s">
        <v>689</v>
      </c>
      <c r="NL486" t="s">
        <v>689</v>
      </c>
      <c r="NM486" s="6" t="s">
        <v>1131</v>
      </c>
      <c r="NV486" t="s">
        <v>518</v>
      </c>
      <c r="NW486">
        <v>10.1</v>
      </c>
      <c r="NX486" t="s">
        <v>916</v>
      </c>
      <c r="NY486">
        <v>9</v>
      </c>
      <c r="OB486">
        <v>7</v>
      </c>
      <c r="OU486" t="s">
        <v>1053</v>
      </c>
      <c r="OW486">
        <v>2010</v>
      </c>
      <c r="PB486" t="s">
        <v>522</v>
      </c>
      <c r="PC486" s="50">
        <v>46108</v>
      </c>
    </row>
    <row r="487" spans="1:419" ht="15.75" thickBot="1">
      <c r="A487" t="s">
        <v>665</v>
      </c>
      <c r="B487" t="s">
        <v>1075</v>
      </c>
      <c r="C487" t="s">
        <v>1076</v>
      </c>
      <c r="D487" s="4" t="s">
        <v>472</v>
      </c>
      <c r="E487" t="s">
        <v>1077</v>
      </c>
      <c r="F487" t="s">
        <v>865</v>
      </c>
      <c r="G487" t="s">
        <v>1078</v>
      </c>
      <c r="H487" s="2" t="s">
        <v>1079</v>
      </c>
      <c r="I487">
        <v>-23.748532000000001</v>
      </c>
      <c r="J487">
        <v>-62.056702000000001</v>
      </c>
      <c r="K487" s="78">
        <v>65000</v>
      </c>
      <c r="AV487" t="s">
        <v>1080</v>
      </c>
      <c r="AW487" t="s">
        <v>866</v>
      </c>
      <c r="AX487">
        <v>3600</v>
      </c>
      <c r="AY487" s="5">
        <v>1</v>
      </c>
      <c r="AZ487" t="s">
        <v>1081</v>
      </c>
      <c r="BA487">
        <v>2010</v>
      </c>
      <c r="BC487" t="s">
        <v>1082</v>
      </c>
      <c r="BD487" t="s">
        <v>1111</v>
      </c>
      <c r="BE487" t="s">
        <v>572</v>
      </c>
      <c r="BF487" t="s">
        <v>1102</v>
      </c>
      <c r="BG487" t="s">
        <v>1112</v>
      </c>
      <c r="BH487" t="s">
        <v>480</v>
      </c>
      <c r="BI487" t="s">
        <v>480</v>
      </c>
      <c r="BJ487" t="s">
        <v>480</v>
      </c>
      <c r="ED487" t="s">
        <v>1085</v>
      </c>
      <c r="EE487" t="s">
        <v>480</v>
      </c>
      <c r="EF487" t="s">
        <v>480</v>
      </c>
      <c r="EG487" t="s">
        <v>537</v>
      </c>
      <c r="EH487" t="s">
        <v>1086</v>
      </c>
      <c r="EI487" t="s">
        <v>480</v>
      </c>
      <c r="EJ487" t="s">
        <v>480</v>
      </c>
      <c r="EK487" t="s">
        <v>537</v>
      </c>
      <c r="EL487" t="s">
        <v>1087</v>
      </c>
      <c r="EM487" t="s">
        <v>480</v>
      </c>
      <c r="EN487" t="s">
        <v>480</v>
      </c>
      <c r="EO487" t="s">
        <v>537</v>
      </c>
      <c r="EP487" t="s">
        <v>1088</v>
      </c>
      <c r="EQ487" t="s">
        <v>480</v>
      </c>
      <c r="ER487" t="s">
        <v>480</v>
      </c>
      <c r="ES487" t="s">
        <v>537</v>
      </c>
      <c r="ET487" t="s">
        <v>1089</v>
      </c>
      <c r="EU487" t="s">
        <v>480</v>
      </c>
      <c r="EV487" t="s">
        <v>480</v>
      </c>
      <c r="EW487" t="s">
        <v>537</v>
      </c>
      <c r="EX487" t="s">
        <v>1090</v>
      </c>
      <c r="EY487" t="s">
        <v>480</v>
      </c>
      <c r="EZ487" t="s">
        <v>480</v>
      </c>
      <c r="FA487" t="s">
        <v>537</v>
      </c>
      <c r="FB487" t="s">
        <v>1091</v>
      </c>
      <c r="FC487" t="s">
        <v>480</v>
      </c>
      <c r="FD487" t="s">
        <v>480</v>
      </c>
      <c r="FF487" s="9"/>
      <c r="FG487" s="9"/>
      <c r="FH487" s="9"/>
      <c r="FI487" s="9"/>
      <c r="FJ487" s="9"/>
      <c r="FK487" s="9"/>
      <c r="FL487" s="9"/>
      <c r="FM487" s="9"/>
      <c r="FN487" s="9"/>
      <c r="FO487" s="9"/>
      <c r="FP487" s="9"/>
      <c r="FQ487" s="9"/>
      <c r="FR487" s="9"/>
      <c r="FS487" s="9"/>
      <c r="FT487" s="9"/>
      <c r="FU487" s="9"/>
      <c r="FV487" s="9"/>
      <c r="FW487" s="9"/>
      <c r="FX487" s="9"/>
      <c r="FY487" s="9"/>
      <c r="FZ487" s="9"/>
      <c r="GA487" s="9"/>
      <c r="GB487" s="9"/>
      <c r="GC487" s="9"/>
      <c r="GD487" s="9"/>
      <c r="GE487" s="9"/>
      <c r="GF487" s="9"/>
      <c r="GG487" s="9"/>
      <c r="GH487" s="9"/>
      <c r="GI487" s="9"/>
      <c r="GJ487" s="9"/>
      <c r="GK487" s="9"/>
      <c r="GL487" s="9" t="s">
        <v>1105</v>
      </c>
      <c r="GM487" s="9" t="s">
        <v>480</v>
      </c>
      <c r="GN487" s="9" t="s">
        <v>480</v>
      </c>
      <c r="GO487" s="9" t="s">
        <v>480</v>
      </c>
      <c r="GP487" s="9"/>
      <c r="GQ487" s="9"/>
      <c r="GR487" s="9"/>
      <c r="GS487" s="9"/>
      <c r="GT487" s="9"/>
      <c r="GU487" s="9"/>
      <c r="GV487" s="9"/>
      <c r="GW487" s="9"/>
      <c r="GX487" s="9"/>
      <c r="GY487" s="9"/>
      <c r="GZ487" s="9"/>
      <c r="HA487" s="9"/>
      <c r="HB487" s="9"/>
      <c r="HC487" s="9"/>
      <c r="HD487" s="9"/>
      <c r="HE487" s="9"/>
      <c r="HF487" s="9"/>
      <c r="HG487" s="9"/>
      <c r="HH487" s="9"/>
      <c r="HI487" s="9"/>
      <c r="HJ487" s="9"/>
      <c r="HK487" s="9"/>
      <c r="HX487" s="50"/>
      <c r="HY487" s="50"/>
      <c r="IV487" t="s">
        <v>1111</v>
      </c>
      <c r="IW487" s="75" t="s">
        <v>1106</v>
      </c>
      <c r="IX487" s="12" t="s">
        <v>1107</v>
      </c>
      <c r="IY487" s="46" t="s">
        <v>1110</v>
      </c>
      <c r="IZ487">
        <v>7.5</v>
      </c>
      <c r="JA487">
        <v>37</v>
      </c>
      <c r="JB487" t="s">
        <v>480</v>
      </c>
      <c r="JC487" t="s">
        <v>480</v>
      </c>
      <c r="MY487" t="s">
        <v>1095</v>
      </c>
      <c r="MZ487">
        <v>1963</v>
      </c>
      <c r="NA487" t="s">
        <v>1096</v>
      </c>
      <c r="NB487" t="s">
        <v>1097</v>
      </c>
      <c r="NG487" t="s">
        <v>1098</v>
      </c>
      <c r="NH487" t="s">
        <v>687</v>
      </c>
      <c r="NJ487" t="s">
        <v>689</v>
      </c>
      <c r="NL487" t="s">
        <v>689</v>
      </c>
      <c r="NM487" s="6" t="s">
        <v>1131</v>
      </c>
      <c r="NV487" t="s">
        <v>518</v>
      </c>
      <c r="NW487">
        <v>19.3</v>
      </c>
      <c r="NX487" t="s">
        <v>916</v>
      </c>
      <c r="NY487">
        <v>16.399999999999999</v>
      </c>
      <c r="OB487">
        <v>5</v>
      </c>
      <c r="OU487" t="s">
        <v>1053</v>
      </c>
      <c r="OW487">
        <v>2010</v>
      </c>
      <c r="PB487" t="s">
        <v>522</v>
      </c>
      <c r="PC487" s="50">
        <v>46108</v>
      </c>
    </row>
    <row r="488" spans="1:419" ht="15.75" thickBot="1">
      <c r="A488" t="s">
        <v>665</v>
      </c>
      <c r="B488" t="s">
        <v>1075</v>
      </c>
      <c r="C488" t="s">
        <v>1076</v>
      </c>
      <c r="D488" s="4" t="s">
        <v>472</v>
      </c>
      <c r="E488" t="s">
        <v>1077</v>
      </c>
      <c r="F488" t="s">
        <v>865</v>
      </c>
      <c r="G488" t="s">
        <v>1078</v>
      </c>
      <c r="H488" s="2" t="s">
        <v>1079</v>
      </c>
      <c r="I488">
        <v>-23.748532000000001</v>
      </c>
      <c r="J488">
        <v>-62.056702000000001</v>
      </c>
      <c r="K488" s="78">
        <v>65000</v>
      </c>
      <c r="AV488" t="s">
        <v>1080</v>
      </c>
      <c r="AW488" t="s">
        <v>866</v>
      </c>
      <c r="AX488" t="s">
        <v>866</v>
      </c>
      <c r="AY488" s="5">
        <v>1</v>
      </c>
      <c r="AZ488" t="s">
        <v>1081</v>
      </c>
      <c r="BA488">
        <v>2010</v>
      </c>
      <c r="BC488" t="s">
        <v>1082</v>
      </c>
      <c r="BD488" t="s">
        <v>1113</v>
      </c>
      <c r="BE488" t="s">
        <v>483</v>
      </c>
      <c r="BF488" t="s">
        <v>1102</v>
      </c>
      <c r="BG488" t="s">
        <v>1112</v>
      </c>
      <c r="BH488" t="s">
        <v>480</v>
      </c>
      <c r="BI488" t="s">
        <v>480</v>
      </c>
      <c r="BJ488" t="s">
        <v>480</v>
      </c>
      <c r="GL488" t="s">
        <v>1105</v>
      </c>
      <c r="GM488" s="9" t="s">
        <v>480</v>
      </c>
      <c r="GN488" s="9" t="s">
        <v>480</v>
      </c>
      <c r="GO488" s="9" t="s">
        <v>480</v>
      </c>
      <c r="HY488" s="50"/>
      <c r="IV488" t="s">
        <v>1113</v>
      </c>
      <c r="IW488" s="46" t="s">
        <v>1114</v>
      </c>
      <c r="IX488" s="46" t="s">
        <v>1114</v>
      </c>
      <c r="IY488" s="46" t="s">
        <v>1115</v>
      </c>
      <c r="IZ488">
        <v>1</v>
      </c>
      <c r="JA488">
        <v>6</v>
      </c>
      <c r="JB488" t="s">
        <v>480</v>
      </c>
      <c r="JC488" t="s">
        <v>480</v>
      </c>
      <c r="MY488" t="s">
        <v>1095</v>
      </c>
      <c r="MZ488">
        <v>1963</v>
      </c>
      <c r="NA488" t="s">
        <v>1096</v>
      </c>
      <c r="NB488" t="s">
        <v>1097</v>
      </c>
      <c r="NG488" t="s">
        <v>1098</v>
      </c>
      <c r="NH488" t="s">
        <v>687</v>
      </c>
      <c r="NJ488" t="s">
        <v>689</v>
      </c>
      <c r="NL488" t="s">
        <v>689</v>
      </c>
      <c r="NM488" s="6" t="s">
        <v>1131</v>
      </c>
      <c r="NU488" t="s">
        <v>1116</v>
      </c>
      <c r="NV488" t="s">
        <v>518</v>
      </c>
      <c r="NW488">
        <v>41.1</v>
      </c>
      <c r="NX488" t="s">
        <v>916</v>
      </c>
      <c r="NY488">
        <v>66.7</v>
      </c>
      <c r="OB488">
        <v>7</v>
      </c>
      <c r="OU488" t="s">
        <v>1053</v>
      </c>
      <c r="OW488">
        <v>2010</v>
      </c>
      <c r="PB488" t="s">
        <v>522</v>
      </c>
      <c r="PC488" s="50">
        <v>46108</v>
      </c>
    </row>
    <row r="489" spans="1:419" ht="15.75" thickBot="1">
      <c r="A489" t="s">
        <v>665</v>
      </c>
      <c r="B489" t="s">
        <v>1075</v>
      </c>
      <c r="C489" t="s">
        <v>1076</v>
      </c>
      <c r="D489" s="4" t="s">
        <v>472</v>
      </c>
      <c r="E489" t="s">
        <v>1077</v>
      </c>
      <c r="F489" t="s">
        <v>865</v>
      </c>
      <c r="G489" t="s">
        <v>1078</v>
      </c>
      <c r="H489" s="2" t="s">
        <v>1079</v>
      </c>
      <c r="I489">
        <v>-23.748532000000001</v>
      </c>
      <c r="J489">
        <v>-62.056702000000001</v>
      </c>
      <c r="K489" s="78">
        <v>65000</v>
      </c>
      <c r="AV489" t="s">
        <v>1080</v>
      </c>
      <c r="AW489" t="s">
        <v>866</v>
      </c>
      <c r="AX489">
        <v>1000</v>
      </c>
      <c r="AY489" s="5">
        <v>1</v>
      </c>
      <c r="AZ489" t="s">
        <v>1081</v>
      </c>
      <c r="BA489">
        <v>2010</v>
      </c>
      <c r="BC489" t="s">
        <v>1082</v>
      </c>
      <c r="BD489" t="s">
        <v>1083</v>
      </c>
      <c r="BE489" t="s">
        <v>524</v>
      </c>
      <c r="BF489" t="s">
        <v>1084</v>
      </c>
      <c r="ED489" t="s">
        <v>1085</v>
      </c>
      <c r="EE489" t="s">
        <v>480</v>
      </c>
      <c r="EF489" t="s">
        <v>480</v>
      </c>
      <c r="EG489" t="s">
        <v>537</v>
      </c>
      <c r="EH489" t="s">
        <v>1086</v>
      </c>
      <c r="EI489" t="s">
        <v>480</v>
      </c>
      <c r="EJ489" t="s">
        <v>480</v>
      </c>
      <c r="EK489" t="s">
        <v>537</v>
      </c>
      <c r="EL489" t="s">
        <v>1087</v>
      </c>
      <c r="EM489" t="s">
        <v>480</v>
      </c>
      <c r="EN489" t="s">
        <v>480</v>
      </c>
      <c r="EO489" t="s">
        <v>537</v>
      </c>
      <c r="EP489" t="s">
        <v>1088</v>
      </c>
      <c r="EQ489" t="s">
        <v>480</v>
      </c>
      <c r="ER489" t="s">
        <v>480</v>
      </c>
      <c r="ES489" t="s">
        <v>537</v>
      </c>
      <c r="ET489" t="s">
        <v>1089</v>
      </c>
      <c r="EU489" t="s">
        <v>480</v>
      </c>
      <c r="EV489" t="s">
        <v>480</v>
      </c>
      <c r="EW489" t="s">
        <v>537</v>
      </c>
      <c r="EX489" t="s">
        <v>1090</v>
      </c>
      <c r="EY489" t="s">
        <v>480</v>
      </c>
      <c r="EZ489" t="s">
        <v>480</v>
      </c>
      <c r="FA489" t="s">
        <v>537</v>
      </c>
      <c r="FB489" t="s">
        <v>1091</v>
      </c>
      <c r="FC489" t="s">
        <v>480</v>
      </c>
      <c r="FD489" t="s">
        <v>480</v>
      </c>
      <c r="HY489" s="50"/>
      <c r="IV489" t="s">
        <v>1083</v>
      </c>
      <c r="IW489" t="s">
        <v>1092</v>
      </c>
      <c r="IX489" t="s">
        <v>1092</v>
      </c>
      <c r="IY489" t="s">
        <v>1092</v>
      </c>
      <c r="IZ489">
        <v>5</v>
      </c>
      <c r="JA489">
        <v>70</v>
      </c>
      <c r="JB489" t="s">
        <v>480</v>
      </c>
      <c r="JC489" t="s">
        <v>480</v>
      </c>
      <c r="MT489" t="s">
        <v>1083</v>
      </c>
      <c r="MU489" s="185" t="s">
        <v>1092</v>
      </c>
      <c r="MV489" t="s">
        <v>480</v>
      </c>
      <c r="MW489" s="185" t="s">
        <v>1093</v>
      </c>
      <c r="MX489" s="185" t="s">
        <v>1094</v>
      </c>
      <c r="MY489" t="s">
        <v>1095</v>
      </c>
      <c r="MZ489">
        <v>1963</v>
      </c>
      <c r="NA489" t="s">
        <v>1123</v>
      </c>
      <c r="NB489" t="s">
        <v>1097</v>
      </c>
      <c r="NG489" t="s">
        <v>1124</v>
      </c>
      <c r="NH489" t="s">
        <v>687</v>
      </c>
      <c r="NJ489" t="s">
        <v>689</v>
      </c>
      <c r="NL489" t="s">
        <v>689</v>
      </c>
      <c r="NM489" s="6" t="s">
        <v>1131</v>
      </c>
      <c r="NU489" t="s">
        <v>1100</v>
      </c>
      <c r="NV489" t="s">
        <v>518</v>
      </c>
      <c r="NW489">
        <v>1.7</v>
      </c>
      <c r="NX489" t="s">
        <v>916</v>
      </c>
      <c r="NY489">
        <v>1.9</v>
      </c>
      <c r="OB489">
        <v>6</v>
      </c>
      <c r="OU489" t="s">
        <v>1053</v>
      </c>
      <c r="OW489">
        <v>2010</v>
      </c>
      <c r="PB489" t="s">
        <v>522</v>
      </c>
      <c r="PC489" s="50">
        <v>46108</v>
      </c>
    </row>
    <row r="490" spans="1:419" ht="15.75" thickBot="1">
      <c r="A490" t="s">
        <v>665</v>
      </c>
      <c r="B490" t="s">
        <v>1075</v>
      </c>
      <c r="C490" t="s">
        <v>1076</v>
      </c>
      <c r="D490" s="4" t="s">
        <v>472</v>
      </c>
      <c r="E490" t="s">
        <v>1077</v>
      </c>
      <c r="F490" t="s">
        <v>865</v>
      </c>
      <c r="G490" t="s">
        <v>1078</v>
      </c>
      <c r="H490" s="2" t="s">
        <v>1079</v>
      </c>
      <c r="I490">
        <v>-23.748532000000001</v>
      </c>
      <c r="J490">
        <v>-62.056702000000001</v>
      </c>
      <c r="K490" s="78">
        <v>65000</v>
      </c>
      <c r="AV490" t="s">
        <v>1080</v>
      </c>
      <c r="AW490" t="s">
        <v>866</v>
      </c>
      <c r="AX490" t="s">
        <v>866</v>
      </c>
      <c r="AY490" s="5">
        <v>1</v>
      </c>
      <c r="AZ490" t="s">
        <v>1081</v>
      </c>
      <c r="BA490">
        <v>2010</v>
      </c>
      <c r="BC490" t="s">
        <v>1082</v>
      </c>
      <c r="BD490" t="s">
        <v>1101</v>
      </c>
      <c r="BE490" t="s">
        <v>536</v>
      </c>
      <c r="BF490" t="s">
        <v>1102</v>
      </c>
      <c r="BG490" t="s">
        <v>1103</v>
      </c>
      <c r="BH490" t="s">
        <v>1104</v>
      </c>
      <c r="BI490" t="s">
        <v>480</v>
      </c>
      <c r="BJ490" t="s">
        <v>480</v>
      </c>
      <c r="ED490" t="s">
        <v>1085</v>
      </c>
      <c r="EE490" t="s">
        <v>480</v>
      </c>
      <c r="EF490" t="s">
        <v>480</v>
      </c>
      <c r="EG490" t="s">
        <v>537</v>
      </c>
      <c r="EH490" t="s">
        <v>1086</v>
      </c>
      <c r="EI490" t="s">
        <v>480</v>
      </c>
      <c r="EJ490" t="s">
        <v>480</v>
      </c>
      <c r="EK490" t="s">
        <v>537</v>
      </c>
      <c r="EL490" t="s">
        <v>1087</v>
      </c>
      <c r="EM490" t="s">
        <v>480</v>
      </c>
      <c r="EN490" t="s">
        <v>480</v>
      </c>
      <c r="EO490" t="s">
        <v>537</v>
      </c>
      <c r="EP490" t="s">
        <v>1088</v>
      </c>
      <c r="EQ490" t="s">
        <v>480</v>
      </c>
      <c r="ER490" t="s">
        <v>480</v>
      </c>
      <c r="ES490" t="s">
        <v>537</v>
      </c>
      <c r="ET490" t="s">
        <v>1089</v>
      </c>
      <c r="EU490" t="s">
        <v>480</v>
      </c>
      <c r="EV490" t="s">
        <v>480</v>
      </c>
      <c r="EW490" t="s">
        <v>537</v>
      </c>
      <c r="EX490" t="s">
        <v>1090</v>
      </c>
      <c r="EY490" t="s">
        <v>480</v>
      </c>
      <c r="EZ490" t="s">
        <v>480</v>
      </c>
      <c r="FA490" t="s">
        <v>537</v>
      </c>
      <c r="FB490" t="s">
        <v>1091</v>
      </c>
      <c r="FC490" t="s">
        <v>480</v>
      </c>
      <c r="FD490" t="s">
        <v>480</v>
      </c>
      <c r="GL490" t="s">
        <v>1105</v>
      </c>
      <c r="GM490" s="9" t="s">
        <v>480</v>
      </c>
      <c r="GN490" s="9" t="s">
        <v>480</v>
      </c>
      <c r="GO490" s="9" t="s">
        <v>480</v>
      </c>
      <c r="GP490" s="9"/>
      <c r="GQ490" s="9"/>
      <c r="GR490" s="9"/>
      <c r="GS490" s="9"/>
      <c r="GT490" s="9"/>
      <c r="GU490" s="9"/>
      <c r="GV490" s="9"/>
      <c r="GW490" s="9"/>
      <c r="GX490" s="9"/>
      <c r="GY490" s="9"/>
      <c r="GZ490" s="9"/>
      <c r="HA490" s="9"/>
      <c r="HB490" s="9"/>
      <c r="HC490" s="9"/>
      <c r="HD490" s="9"/>
      <c r="HE490" s="9"/>
      <c r="HF490" s="9"/>
      <c r="HG490" s="9"/>
      <c r="HH490" s="9"/>
      <c r="HI490" s="9"/>
      <c r="HJ490" s="9"/>
      <c r="HK490" s="9"/>
      <c r="HX490" s="50"/>
      <c r="HY490" s="50"/>
      <c r="IV490" t="s">
        <v>1101</v>
      </c>
      <c r="IW490" s="75" t="s">
        <v>1106</v>
      </c>
      <c r="IX490" t="s">
        <v>1107</v>
      </c>
      <c r="IY490" s="46" t="s">
        <v>1108</v>
      </c>
      <c r="IZ490">
        <v>1</v>
      </c>
      <c r="JA490">
        <v>81</v>
      </c>
      <c r="JB490" t="s">
        <v>480</v>
      </c>
      <c r="JC490" t="s">
        <v>480</v>
      </c>
      <c r="MY490" t="s">
        <v>1095</v>
      </c>
      <c r="MZ490">
        <v>1963</v>
      </c>
      <c r="NA490" t="s">
        <v>1123</v>
      </c>
      <c r="NB490" t="s">
        <v>1097</v>
      </c>
      <c r="NG490" t="s">
        <v>1124</v>
      </c>
      <c r="NH490" t="s">
        <v>687</v>
      </c>
      <c r="NJ490" t="s">
        <v>689</v>
      </c>
      <c r="NL490" t="s">
        <v>689</v>
      </c>
      <c r="NM490" s="6" t="s">
        <v>1131</v>
      </c>
      <c r="NV490" t="s">
        <v>518</v>
      </c>
      <c r="NW490">
        <v>0.8</v>
      </c>
      <c r="NX490" t="s">
        <v>916</v>
      </c>
      <c r="NY490">
        <v>1.3</v>
      </c>
      <c r="OB490">
        <v>8</v>
      </c>
      <c r="OU490" t="s">
        <v>1053</v>
      </c>
      <c r="OW490">
        <v>2010</v>
      </c>
      <c r="PB490" t="s">
        <v>522</v>
      </c>
      <c r="PC490" s="50">
        <v>46108</v>
      </c>
    </row>
    <row r="491" spans="1:419" ht="15.75" thickBot="1">
      <c r="A491" t="s">
        <v>665</v>
      </c>
      <c r="B491" t="s">
        <v>1075</v>
      </c>
      <c r="C491" t="s">
        <v>1076</v>
      </c>
      <c r="D491" s="4" t="s">
        <v>472</v>
      </c>
      <c r="E491" t="s">
        <v>1077</v>
      </c>
      <c r="F491" t="s">
        <v>865</v>
      </c>
      <c r="G491" t="s">
        <v>1078</v>
      </c>
      <c r="H491" s="2" t="s">
        <v>1079</v>
      </c>
      <c r="I491">
        <v>-23.748532000000001</v>
      </c>
      <c r="J491">
        <v>-62.056702000000001</v>
      </c>
      <c r="K491" s="78">
        <v>65000</v>
      </c>
      <c r="AV491" t="s">
        <v>1080</v>
      </c>
      <c r="AW491" t="s">
        <v>866</v>
      </c>
      <c r="AX491">
        <v>3600</v>
      </c>
      <c r="AY491" s="5">
        <v>1</v>
      </c>
      <c r="AZ491" t="s">
        <v>1081</v>
      </c>
      <c r="BA491">
        <v>2010</v>
      </c>
      <c r="BC491" t="s">
        <v>1082</v>
      </c>
      <c r="BD491" t="s">
        <v>1109</v>
      </c>
      <c r="BE491" t="s">
        <v>566</v>
      </c>
      <c r="BF491" t="s">
        <v>1102</v>
      </c>
      <c r="BG491" t="s">
        <v>1103</v>
      </c>
      <c r="BH491" t="s">
        <v>480</v>
      </c>
      <c r="BI491" t="s">
        <v>480</v>
      </c>
      <c r="BJ491" t="s">
        <v>480</v>
      </c>
      <c r="ED491" t="s">
        <v>1085</v>
      </c>
      <c r="EE491" t="s">
        <v>480</v>
      </c>
      <c r="EF491" t="s">
        <v>480</v>
      </c>
      <c r="EG491" t="s">
        <v>537</v>
      </c>
      <c r="EH491" t="s">
        <v>1086</v>
      </c>
      <c r="EI491" t="s">
        <v>480</v>
      </c>
      <c r="EJ491" t="s">
        <v>480</v>
      </c>
      <c r="EK491" t="s">
        <v>537</v>
      </c>
      <c r="EL491" t="s">
        <v>1087</v>
      </c>
      <c r="EM491" t="s">
        <v>480</v>
      </c>
      <c r="EN491" t="s">
        <v>480</v>
      </c>
      <c r="EO491" t="s">
        <v>537</v>
      </c>
      <c r="EP491" t="s">
        <v>1088</v>
      </c>
      <c r="EQ491" t="s">
        <v>480</v>
      </c>
      <c r="ER491" t="s">
        <v>480</v>
      </c>
      <c r="ES491" t="s">
        <v>537</v>
      </c>
      <c r="ET491" t="s">
        <v>1089</v>
      </c>
      <c r="EU491" t="s">
        <v>480</v>
      </c>
      <c r="EV491" t="s">
        <v>480</v>
      </c>
      <c r="EW491" t="s">
        <v>537</v>
      </c>
      <c r="EX491" t="s">
        <v>1090</v>
      </c>
      <c r="EY491" t="s">
        <v>480</v>
      </c>
      <c r="EZ491" t="s">
        <v>480</v>
      </c>
      <c r="FA491" t="s">
        <v>537</v>
      </c>
      <c r="FB491" t="s">
        <v>1091</v>
      </c>
      <c r="FC491" t="s">
        <v>480</v>
      </c>
      <c r="FD491" t="s">
        <v>480</v>
      </c>
      <c r="FF491" s="9"/>
      <c r="FG491" s="9"/>
      <c r="FH491" s="9"/>
      <c r="FI491" s="9"/>
      <c r="FJ491" s="9"/>
      <c r="FK491" s="9"/>
      <c r="FL491" s="9"/>
      <c r="FM491" s="9"/>
      <c r="FN491" s="9"/>
      <c r="FO491" s="9"/>
      <c r="FP491" s="9"/>
      <c r="FQ491" s="9"/>
      <c r="FR491" s="9"/>
      <c r="FS491" s="9"/>
      <c r="FT491" s="9"/>
      <c r="FU491" s="9"/>
      <c r="FV491" s="9"/>
      <c r="FW491" s="9"/>
      <c r="FX491" s="9"/>
      <c r="FY491" s="9"/>
      <c r="FZ491" s="9"/>
      <c r="GA491" s="9"/>
      <c r="GB491" s="9"/>
      <c r="GC491" s="9"/>
      <c r="GD491" s="9"/>
      <c r="GE491" s="9"/>
      <c r="GF491" s="9"/>
      <c r="GG491" s="9"/>
      <c r="GH491" s="9"/>
      <c r="GI491" s="9"/>
      <c r="GJ491" s="9"/>
      <c r="GK491" s="9"/>
      <c r="GL491" s="9" t="s">
        <v>1105</v>
      </c>
      <c r="GM491" s="9" t="s">
        <v>480</v>
      </c>
      <c r="GN491" s="9" t="s">
        <v>480</v>
      </c>
      <c r="GO491" s="9" t="s">
        <v>480</v>
      </c>
      <c r="GP491" s="9"/>
      <c r="GQ491" s="9"/>
      <c r="GR491" s="9"/>
      <c r="GS491" s="9"/>
      <c r="GT491" s="9"/>
      <c r="GU491" s="9"/>
      <c r="GV491" s="9"/>
      <c r="GW491" s="9"/>
      <c r="GX491" s="9"/>
      <c r="GY491" s="9"/>
      <c r="GZ491" s="9"/>
      <c r="HA491" s="9"/>
      <c r="HB491" s="9"/>
      <c r="HC491" s="9"/>
      <c r="HD491" s="9"/>
      <c r="HE491" s="9"/>
      <c r="HF491" s="9"/>
      <c r="HG491" s="9"/>
      <c r="HH491" s="9"/>
      <c r="HI491" s="9"/>
      <c r="HJ491" s="9"/>
      <c r="HK491" s="9"/>
      <c r="HX491" s="50"/>
      <c r="HY491" s="50"/>
      <c r="IV491" t="s">
        <v>1109</v>
      </c>
      <c r="IW491" s="75" t="s">
        <v>1106</v>
      </c>
      <c r="IX491" s="12" t="s">
        <v>1107</v>
      </c>
      <c r="IY491" s="46" t="s">
        <v>1110</v>
      </c>
      <c r="IZ491">
        <v>7.5</v>
      </c>
      <c r="JA491">
        <v>56</v>
      </c>
      <c r="JB491" t="s">
        <v>480</v>
      </c>
      <c r="JC491" t="s">
        <v>480</v>
      </c>
      <c r="MY491" t="s">
        <v>1095</v>
      </c>
      <c r="MZ491">
        <v>1963</v>
      </c>
      <c r="NA491" t="s">
        <v>1123</v>
      </c>
      <c r="NB491" t="s">
        <v>1097</v>
      </c>
      <c r="NG491" t="s">
        <v>1124</v>
      </c>
      <c r="NH491" t="s">
        <v>687</v>
      </c>
      <c r="NJ491" t="s">
        <v>689</v>
      </c>
      <c r="NL491" t="s">
        <v>689</v>
      </c>
      <c r="NM491" s="6" t="s">
        <v>1131</v>
      </c>
      <c r="NV491" t="s">
        <v>518</v>
      </c>
      <c r="NW491">
        <v>0.9</v>
      </c>
      <c r="NX491" t="s">
        <v>916</v>
      </c>
      <c r="NY491">
        <v>2</v>
      </c>
      <c r="OB491">
        <v>7</v>
      </c>
      <c r="OU491" t="s">
        <v>1053</v>
      </c>
      <c r="OW491">
        <v>2010</v>
      </c>
      <c r="PB491" t="s">
        <v>522</v>
      </c>
      <c r="PC491" s="50">
        <v>46108</v>
      </c>
    </row>
    <row r="492" spans="1:419" ht="15.75" thickBot="1">
      <c r="A492" t="s">
        <v>665</v>
      </c>
      <c r="B492" t="s">
        <v>1075</v>
      </c>
      <c r="C492" t="s">
        <v>1076</v>
      </c>
      <c r="D492" s="4" t="s">
        <v>472</v>
      </c>
      <c r="E492" t="s">
        <v>1077</v>
      </c>
      <c r="F492" t="s">
        <v>865</v>
      </c>
      <c r="G492" t="s">
        <v>1078</v>
      </c>
      <c r="H492" s="2" t="s">
        <v>1079</v>
      </c>
      <c r="I492">
        <v>-23.748532000000001</v>
      </c>
      <c r="J492">
        <v>-62.056702000000001</v>
      </c>
      <c r="K492" s="78">
        <v>65000</v>
      </c>
      <c r="AV492" t="s">
        <v>1080</v>
      </c>
      <c r="AW492" t="s">
        <v>866</v>
      </c>
      <c r="AX492">
        <v>3600</v>
      </c>
      <c r="AY492" s="5">
        <v>1</v>
      </c>
      <c r="AZ492" t="s">
        <v>1081</v>
      </c>
      <c r="BA492">
        <v>2010</v>
      </c>
      <c r="BC492" t="s">
        <v>1082</v>
      </c>
      <c r="BD492" t="s">
        <v>1111</v>
      </c>
      <c r="BE492" t="s">
        <v>572</v>
      </c>
      <c r="BF492" t="s">
        <v>1102</v>
      </c>
      <c r="BG492" t="s">
        <v>1112</v>
      </c>
      <c r="BH492" t="s">
        <v>480</v>
      </c>
      <c r="BI492" t="s">
        <v>480</v>
      </c>
      <c r="BJ492" t="s">
        <v>480</v>
      </c>
      <c r="ED492" t="s">
        <v>1085</v>
      </c>
      <c r="EE492" t="s">
        <v>480</v>
      </c>
      <c r="EF492" t="s">
        <v>480</v>
      </c>
      <c r="EG492" t="s">
        <v>537</v>
      </c>
      <c r="EH492" t="s">
        <v>1086</v>
      </c>
      <c r="EI492" t="s">
        <v>480</v>
      </c>
      <c r="EJ492" t="s">
        <v>480</v>
      </c>
      <c r="EK492" t="s">
        <v>537</v>
      </c>
      <c r="EL492" t="s">
        <v>1087</v>
      </c>
      <c r="EM492" t="s">
        <v>480</v>
      </c>
      <c r="EN492" t="s">
        <v>480</v>
      </c>
      <c r="EO492" t="s">
        <v>537</v>
      </c>
      <c r="EP492" t="s">
        <v>1088</v>
      </c>
      <c r="EQ492" t="s">
        <v>480</v>
      </c>
      <c r="ER492" t="s">
        <v>480</v>
      </c>
      <c r="ES492" t="s">
        <v>537</v>
      </c>
      <c r="ET492" t="s">
        <v>1089</v>
      </c>
      <c r="EU492" t="s">
        <v>480</v>
      </c>
      <c r="EV492" t="s">
        <v>480</v>
      </c>
      <c r="EW492" t="s">
        <v>537</v>
      </c>
      <c r="EX492" t="s">
        <v>1090</v>
      </c>
      <c r="EY492" t="s">
        <v>480</v>
      </c>
      <c r="EZ492" t="s">
        <v>480</v>
      </c>
      <c r="FA492" t="s">
        <v>537</v>
      </c>
      <c r="FB492" t="s">
        <v>1091</v>
      </c>
      <c r="FC492" t="s">
        <v>480</v>
      </c>
      <c r="FD492" t="s">
        <v>480</v>
      </c>
      <c r="FF492" s="9"/>
      <c r="FG492" s="9"/>
      <c r="FH492" s="9"/>
      <c r="FI492" s="9"/>
      <c r="FJ492" s="9"/>
      <c r="FK492" s="9"/>
      <c r="FL492" s="9"/>
      <c r="FM492" s="9"/>
      <c r="FN492" s="9"/>
      <c r="FO492" s="9"/>
      <c r="FP492" s="9"/>
      <c r="FQ492" s="9"/>
      <c r="FR492" s="9"/>
      <c r="FS492" s="9"/>
      <c r="FT492" s="9"/>
      <c r="FU492" s="9"/>
      <c r="FV492" s="9"/>
      <c r="FW492" s="9"/>
      <c r="FX492" s="9"/>
      <c r="FY492" s="9"/>
      <c r="FZ492" s="9"/>
      <c r="GA492" s="9"/>
      <c r="GB492" s="9"/>
      <c r="GC492" s="9"/>
      <c r="GD492" s="9"/>
      <c r="GE492" s="9"/>
      <c r="GF492" s="9"/>
      <c r="GG492" s="9"/>
      <c r="GH492" s="9"/>
      <c r="GI492" s="9"/>
      <c r="GJ492" s="9"/>
      <c r="GK492" s="9"/>
      <c r="GL492" s="9" t="s">
        <v>1105</v>
      </c>
      <c r="GM492" s="9" t="s">
        <v>480</v>
      </c>
      <c r="GN492" s="9" t="s">
        <v>480</v>
      </c>
      <c r="GO492" s="9" t="s">
        <v>480</v>
      </c>
      <c r="GP492" s="9"/>
      <c r="GQ492" s="9"/>
      <c r="GR492" s="9"/>
      <c r="GS492" s="9"/>
      <c r="GT492" s="9"/>
      <c r="GU492" s="9"/>
      <c r="GV492" s="9"/>
      <c r="GW492" s="9"/>
      <c r="GX492" s="9"/>
      <c r="GY492" s="9"/>
      <c r="GZ492" s="9"/>
      <c r="HA492" s="9"/>
      <c r="HB492" s="9"/>
      <c r="HC492" s="9"/>
      <c r="HD492" s="9"/>
      <c r="HE492" s="9"/>
      <c r="HF492" s="9"/>
      <c r="HG492" s="9"/>
      <c r="HH492" s="9"/>
      <c r="HI492" s="9"/>
      <c r="HJ492" s="9"/>
      <c r="HK492" s="9"/>
      <c r="HX492" s="50"/>
      <c r="HY492" s="50"/>
      <c r="IV492" t="s">
        <v>1111</v>
      </c>
      <c r="IW492" s="75" t="s">
        <v>1106</v>
      </c>
      <c r="IX492" s="12" t="s">
        <v>1107</v>
      </c>
      <c r="IY492" s="46" t="s">
        <v>1110</v>
      </c>
      <c r="IZ492">
        <v>7.5</v>
      </c>
      <c r="JA492">
        <v>37</v>
      </c>
      <c r="JB492" t="s">
        <v>480</v>
      </c>
      <c r="JC492" t="s">
        <v>480</v>
      </c>
      <c r="MY492" t="s">
        <v>1095</v>
      </c>
      <c r="MZ492">
        <v>1963</v>
      </c>
      <c r="NA492" t="s">
        <v>1123</v>
      </c>
      <c r="NB492" t="s">
        <v>1097</v>
      </c>
      <c r="NG492" t="s">
        <v>1124</v>
      </c>
      <c r="NH492" t="s">
        <v>687</v>
      </c>
      <c r="NJ492" t="s">
        <v>689</v>
      </c>
      <c r="NL492" t="s">
        <v>689</v>
      </c>
      <c r="NM492" s="6" t="s">
        <v>1131</v>
      </c>
      <c r="NV492" t="s">
        <v>518</v>
      </c>
      <c r="NW492">
        <v>0.7</v>
      </c>
      <c r="NX492" t="s">
        <v>916</v>
      </c>
      <c r="NY492">
        <v>1.5</v>
      </c>
      <c r="OB492">
        <v>5</v>
      </c>
      <c r="OU492" t="s">
        <v>1053</v>
      </c>
      <c r="OW492">
        <v>2010</v>
      </c>
      <c r="PB492" t="s">
        <v>522</v>
      </c>
      <c r="PC492" s="50">
        <v>46108</v>
      </c>
    </row>
    <row r="493" spans="1:419" ht="15.75" thickBot="1">
      <c r="A493" t="s">
        <v>665</v>
      </c>
      <c r="B493" t="s">
        <v>1075</v>
      </c>
      <c r="C493" t="s">
        <v>1076</v>
      </c>
      <c r="D493" s="4" t="s">
        <v>472</v>
      </c>
      <c r="E493" t="s">
        <v>1077</v>
      </c>
      <c r="F493" t="s">
        <v>865</v>
      </c>
      <c r="G493" t="s">
        <v>1078</v>
      </c>
      <c r="H493" s="2" t="s">
        <v>1079</v>
      </c>
      <c r="I493">
        <v>-23.748532000000001</v>
      </c>
      <c r="J493">
        <v>-62.056702000000001</v>
      </c>
      <c r="K493" s="78">
        <v>65000</v>
      </c>
      <c r="AV493" t="s">
        <v>1080</v>
      </c>
      <c r="AW493" t="s">
        <v>866</v>
      </c>
      <c r="AX493" t="s">
        <v>866</v>
      </c>
      <c r="AY493" s="5">
        <v>1</v>
      </c>
      <c r="AZ493" t="s">
        <v>1081</v>
      </c>
      <c r="BA493">
        <v>2010</v>
      </c>
      <c r="BC493" t="s">
        <v>1082</v>
      </c>
      <c r="BD493" t="s">
        <v>1113</v>
      </c>
      <c r="BE493" t="s">
        <v>483</v>
      </c>
      <c r="BF493" t="s">
        <v>1102</v>
      </c>
      <c r="BG493" t="s">
        <v>1112</v>
      </c>
      <c r="BH493" t="s">
        <v>480</v>
      </c>
      <c r="BI493" t="s">
        <v>480</v>
      </c>
      <c r="BJ493" t="s">
        <v>480</v>
      </c>
      <c r="GL493" t="s">
        <v>1105</v>
      </c>
      <c r="GM493" s="9" t="s">
        <v>480</v>
      </c>
      <c r="GN493" s="9" t="s">
        <v>480</v>
      </c>
      <c r="GO493" s="9" t="s">
        <v>480</v>
      </c>
      <c r="HY493" s="50"/>
      <c r="IV493" t="s">
        <v>1113</v>
      </c>
      <c r="IW493" s="46" t="s">
        <v>1114</v>
      </c>
      <c r="IX493" s="46" t="s">
        <v>1114</v>
      </c>
      <c r="IY493" s="46" t="s">
        <v>1115</v>
      </c>
      <c r="IZ493">
        <v>1</v>
      </c>
      <c r="JA493">
        <v>6</v>
      </c>
      <c r="JB493" t="s">
        <v>480</v>
      </c>
      <c r="JC493" t="s">
        <v>480</v>
      </c>
      <c r="MY493" t="s">
        <v>1095</v>
      </c>
      <c r="MZ493">
        <v>1963</v>
      </c>
      <c r="NA493" t="s">
        <v>1123</v>
      </c>
      <c r="NB493" t="s">
        <v>1097</v>
      </c>
      <c r="NG493" t="s">
        <v>1124</v>
      </c>
      <c r="NH493" t="s">
        <v>687</v>
      </c>
      <c r="NJ493" t="s">
        <v>689</v>
      </c>
      <c r="NL493" t="s">
        <v>689</v>
      </c>
      <c r="NM493" s="6" t="s">
        <v>1131</v>
      </c>
      <c r="NU493" t="s">
        <v>1116</v>
      </c>
      <c r="NV493" t="s">
        <v>518</v>
      </c>
      <c r="NW493">
        <v>1.4</v>
      </c>
      <c r="NX493" t="s">
        <v>916</v>
      </c>
      <c r="NY493">
        <v>3.4</v>
      </c>
      <c r="OB493">
        <v>7</v>
      </c>
      <c r="OU493" t="s">
        <v>1053</v>
      </c>
      <c r="OW493">
        <v>2010</v>
      </c>
      <c r="PB493" t="s">
        <v>522</v>
      </c>
      <c r="PC493" s="50">
        <v>46108</v>
      </c>
    </row>
    <row r="494" spans="1:419" ht="15.75" thickBot="1">
      <c r="A494" t="s">
        <v>665</v>
      </c>
      <c r="B494" t="s">
        <v>1075</v>
      </c>
      <c r="C494" t="s">
        <v>1076</v>
      </c>
      <c r="D494" s="4" t="s">
        <v>472</v>
      </c>
      <c r="E494" t="s">
        <v>1077</v>
      </c>
      <c r="F494" t="s">
        <v>865</v>
      </c>
      <c r="G494" t="s">
        <v>1078</v>
      </c>
      <c r="H494" s="2" t="s">
        <v>1079</v>
      </c>
      <c r="I494">
        <v>-23.748532000000001</v>
      </c>
      <c r="J494">
        <v>-62.056702000000001</v>
      </c>
      <c r="K494" s="78">
        <v>65000</v>
      </c>
      <c r="AV494" t="s">
        <v>1080</v>
      </c>
      <c r="AW494" t="s">
        <v>866</v>
      </c>
      <c r="AX494">
        <v>1000</v>
      </c>
      <c r="AY494" s="5">
        <v>1</v>
      </c>
      <c r="AZ494" t="s">
        <v>1081</v>
      </c>
      <c r="BA494">
        <v>2010</v>
      </c>
      <c r="BC494" t="s">
        <v>1082</v>
      </c>
      <c r="BD494" t="s">
        <v>1083</v>
      </c>
      <c r="BE494" t="s">
        <v>524</v>
      </c>
      <c r="BF494" t="s">
        <v>1084</v>
      </c>
      <c r="ED494" t="s">
        <v>1085</v>
      </c>
      <c r="EE494" t="s">
        <v>480</v>
      </c>
      <c r="EF494" t="s">
        <v>480</v>
      </c>
      <c r="EG494" t="s">
        <v>537</v>
      </c>
      <c r="EH494" t="s">
        <v>1086</v>
      </c>
      <c r="EI494" t="s">
        <v>480</v>
      </c>
      <c r="EJ494" t="s">
        <v>480</v>
      </c>
      <c r="EK494" t="s">
        <v>537</v>
      </c>
      <c r="EL494" t="s">
        <v>1087</v>
      </c>
      <c r="EM494" t="s">
        <v>480</v>
      </c>
      <c r="EN494" t="s">
        <v>480</v>
      </c>
      <c r="EO494" t="s">
        <v>537</v>
      </c>
      <c r="EP494" t="s">
        <v>1088</v>
      </c>
      <c r="EQ494" t="s">
        <v>480</v>
      </c>
      <c r="ER494" t="s">
        <v>480</v>
      </c>
      <c r="ES494" t="s">
        <v>537</v>
      </c>
      <c r="ET494" t="s">
        <v>1089</v>
      </c>
      <c r="EU494" t="s">
        <v>480</v>
      </c>
      <c r="EV494" t="s">
        <v>480</v>
      </c>
      <c r="EW494" t="s">
        <v>537</v>
      </c>
      <c r="EX494" t="s">
        <v>1090</v>
      </c>
      <c r="EY494" t="s">
        <v>480</v>
      </c>
      <c r="EZ494" t="s">
        <v>480</v>
      </c>
      <c r="FA494" t="s">
        <v>537</v>
      </c>
      <c r="FB494" t="s">
        <v>1091</v>
      </c>
      <c r="FC494" t="s">
        <v>480</v>
      </c>
      <c r="FD494" t="s">
        <v>480</v>
      </c>
      <c r="HY494" s="50"/>
      <c r="IV494" t="s">
        <v>1083</v>
      </c>
      <c r="IW494" t="s">
        <v>1092</v>
      </c>
      <c r="IX494" t="s">
        <v>1092</v>
      </c>
      <c r="IY494" t="s">
        <v>1092</v>
      </c>
      <c r="IZ494">
        <v>5</v>
      </c>
      <c r="JA494">
        <v>70</v>
      </c>
      <c r="JB494" t="s">
        <v>480</v>
      </c>
      <c r="JC494" t="s">
        <v>480</v>
      </c>
      <c r="MT494" t="s">
        <v>1083</v>
      </c>
      <c r="MU494" s="185" t="s">
        <v>1092</v>
      </c>
      <c r="MV494" t="s">
        <v>480</v>
      </c>
      <c r="MW494" s="185" t="s">
        <v>1093</v>
      </c>
      <c r="MX494" s="185" t="s">
        <v>1094</v>
      </c>
      <c r="MY494" t="s">
        <v>1095</v>
      </c>
      <c r="MZ494">
        <v>1963</v>
      </c>
      <c r="NA494" t="s">
        <v>1119</v>
      </c>
      <c r="NB494" t="s">
        <v>1097</v>
      </c>
      <c r="NG494" t="s">
        <v>1120</v>
      </c>
      <c r="NH494" t="s">
        <v>687</v>
      </c>
      <c r="NJ494" t="s">
        <v>689</v>
      </c>
      <c r="NL494" t="s">
        <v>689</v>
      </c>
      <c r="NM494" s="6" t="s">
        <v>1131</v>
      </c>
      <c r="NU494" t="s">
        <v>1100</v>
      </c>
      <c r="NV494" t="s">
        <v>518</v>
      </c>
      <c r="NW494">
        <v>9.3000000000000007</v>
      </c>
      <c r="NX494" t="s">
        <v>916</v>
      </c>
      <c r="NY494">
        <v>4.7</v>
      </c>
      <c r="OB494">
        <v>6</v>
      </c>
      <c r="OU494" t="s">
        <v>1053</v>
      </c>
      <c r="OW494">
        <v>2010</v>
      </c>
      <c r="PB494" t="s">
        <v>522</v>
      </c>
      <c r="PC494" s="50">
        <v>46108</v>
      </c>
    </row>
    <row r="495" spans="1:419" ht="15.75" thickBot="1">
      <c r="A495" t="s">
        <v>665</v>
      </c>
      <c r="B495" t="s">
        <v>1075</v>
      </c>
      <c r="C495" t="s">
        <v>1076</v>
      </c>
      <c r="D495" s="4" t="s">
        <v>472</v>
      </c>
      <c r="E495" t="s">
        <v>1077</v>
      </c>
      <c r="F495" t="s">
        <v>865</v>
      </c>
      <c r="G495" t="s">
        <v>1078</v>
      </c>
      <c r="H495" s="2" t="s">
        <v>1079</v>
      </c>
      <c r="I495">
        <v>-23.748532000000001</v>
      </c>
      <c r="J495">
        <v>-62.056702000000001</v>
      </c>
      <c r="K495" s="78">
        <v>65000</v>
      </c>
      <c r="AV495" t="s">
        <v>1080</v>
      </c>
      <c r="AW495" t="s">
        <v>866</v>
      </c>
      <c r="AX495" t="s">
        <v>866</v>
      </c>
      <c r="AY495" s="5">
        <v>1</v>
      </c>
      <c r="AZ495" t="s">
        <v>1081</v>
      </c>
      <c r="BA495">
        <v>2010</v>
      </c>
      <c r="BC495" t="s">
        <v>1082</v>
      </c>
      <c r="BD495" t="s">
        <v>1101</v>
      </c>
      <c r="BE495" t="s">
        <v>536</v>
      </c>
      <c r="BF495" t="s">
        <v>1102</v>
      </c>
      <c r="BG495" t="s">
        <v>1103</v>
      </c>
      <c r="BH495" t="s">
        <v>1104</v>
      </c>
      <c r="BI495" t="s">
        <v>480</v>
      </c>
      <c r="BJ495" t="s">
        <v>480</v>
      </c>
      <c r="ED495" t="s">
        <v>1085</v>
      </c>
      <c r="EE495" t="s">
        <v>480</v>
      </c>
      <c r="EF495" t="s">
        <v>480</v>
      </c>
      <c r="EG495" t="s">
        <v>537</v>
      </c>
      <c r="EH495" t="s">
        <v>1086</v>
      </c>
      <c r="EI495" t="s">
        <v>480</v>
      </c>
      <c r="EJ495" t="s">
        <v>480</v>
      </c>
      <c r="EK495" t="s">
        <v>537</v>
      </c>
      <c r="EL495" t="s">
        <v>1087</v>
      </c>
      <c r="EM495" t="s">
        <v>480</v>
      </c>
      <c r="EN495" t="s">
        <v>480</v>
      </c>
      <c r="EO495" t="s">
        <v>537</v>
      </c>
      <c r="EP495" t="s">
        <v>1088</v>
      </c>
      <c r="EQ495" t="s">
        <v>480</v>
      </c>
      <c r="ER495" t="s">
        <v>480</v>
      </c>
      <c r="ES495" t="s">
        <v>537</v>
      </c>
      <c r="ET495" t="s">
        <v>1089</v>
      </c>
      <c r="EU495" t="s">
        <v>480</v>
      </c>
      <c r="EV495" t="s">
        <v>480</v>
      </c>
      <c r="EW495" t="s">
        <v>537</v>
      </c>
      <c r="EX495" t="s">
        <v>1090</v>
      </c>
      <c r="EY495" t="s">
        <v>480</v>
      </c>
      <c r="EZ495" t="s">
        <v>480</v>
      </c>
      <c r="FA495" t="s">
        <v>537</v>
      </c>
      <c r="FB495" t="s">
        <v>1091</v>
      </c>
      <c r="FC495" t="s">
        <v>480</v>
      </c>
      <c r="FD495" t="s">
        <v>480</v>
      </c>
      <c r="GL495" t="s">
        <v>1105</v>
      </c>
      <c r="GM495" s="9" t="s">
        <v>480</v>
      </c>
      <c r="GN495" s="9" t="s">
        <v>480</v>
      </c>
      <c r="GO495" s="9" t="s">
        <v>480</v>
      </c>
      <c r="GP495" s="9"/>
      <c r="GQ495" s="9"/>
      <c r="GR495" s="9"/>
      <c r="GS495" s="9"/>
      <c r="GT495" s="9"/>
      <c r="GU495" s="9"/>
      <c r="GV495" s="9"/>
      <c r="GW495" s="9"/>
      <c r="GX495" s="9"/>
      <c r="GY495" s="9"/>
      <c r="GZ495" s="9"/>
      <c r="HA495" s="9"/>
      <c r="HB495" s="9"/>
      <c r="HC495" s="9"/>
      <c r="HD495" s="9"/>
      <c r="HE495" s="9"/>
      <c r="HF495" s="9"/>
      <c r="HG495" s="9"/>
      <c r="HH495" s="9"/>
      <c r="HI495" s="9"/>
      <c r="HJ495" s="9"/>
      <c r="HK495" s="9"/>
      <c r="HX495" s="50"/>
      <c r="HY495" s="50"/>
      <c r="IV495" t="s">
        <v>1101</v>
      </c>
      <c r="IW495" s="75" t="s">
        <v>1106</v>
      </c>
      <c r="IX495" t="s">
        <v>1107</v>
      </c>
      <c r="IY495" s="46" t="s">
        <v>1108</v>
      </c>
      <c r="IZ495">
        <v>1</v>
      </c>
      <c r="JA495">
        <v>81</v>
      </c>
      <c r="JB495" t="s">
        <v>480</v>
      </c>
      <c r="JC495" t="s">
        <v>480</v>
      </c>
      <c r="MY495" t="s">
        <v>1095</v>
      </c>
      <c r="MZ495">
        <v>1963</v>
      </c>
      <c r="NA495" t="s">
        <v>1119</v>
      </c>
      <c r="NB495" t="s">
        <v>1097</v>
      </c>
      <c r="NG495" t="s">
        <v>1120</v>
      </c>
      <c r="NH495" t="s">
        <v>687</v>
      </c>
      <c r="NJ495" t="s">
        <v>689</v>
      </c>
      <c r="NL495" t="s">
        <v>689</v>
      </c>
      <c r="NM495" s="6" t="s">
        <v>1131</v>
      </c>
      <c r="NV495" t="s">
        <v>518</v>
      </c>
      <c r="NW495">
        <v>8.9</v>
      </c>
      <c r="NX495" t="s">
        <v>916</v>
      </c>
      <c r="NY495">
        <v>5</v>
      </c>
      <c r="OB495">
        <v>8</v>
      </c>
      <c r="OU495" t="s">
        <v>1053</v>
      </c>
      <c r="OW495">
        <v>2010</v>
      </c>
      <c r="PB495" t="s">
        <v>522</v>
      </c>
      <c r="PC495" s="50">
        <v>46108</v>
      </c>
    </row>
    <row r="496" spans="1:419" ht="15.75" thickBot="1">
      <c r="A496" t="s">
        <v>665</v>
      </c>
      <c r="B496" t="s">
        <v>1075</v>
      </c>
      <c r="C496" t="s">
        <v>1076</v>
      </c>
      <c r="D496" s="4" t="s">
        <v>472</v>
      </c>
      <c r="E496" t="s">
        <v>1077</v>
      </c>
      <c r="F496" t="s">
        <v>865</v>
      </c>
      <c r="G496" t="s">
        <v>1078</v>
      </c>
      <c r="H496" s="2" t="s">
        <v>1079</v>
      </c>
      <c r="I496">
        <v>-23.748532000000001</v>
      </c>
      <c r="J496">
        <v>-62.056702000000001</v>
      </c>
      <c r="K496" s="78">
        <v>65000</v>
      </c>
      <c r="AV496" t="s">
        <v>1080</v>
      </c>
      <c r="AW496" t="s">
        <v>866</v>
      </c>
      <c r="AX496">
        <v>3600</v>
      </c>
      <c r="AY496" s="5">
        <v>1</v>
      </c>
      <c r="AZ496" t="s">
        <v>1081</v>
      </c>
      <c r="BA496">
        <v>2010</v>
      </c>
      <c r="BC496" t="s">
        <v>1082</v>
      </c>
      <c r="BD496" t="s">
        <v>1109</v>
      </c>
      <c r="BE496" t="s">
        <v>566</v>
      </c>
      <c r="BF496" t="s">
        <v>1102</v>
      </c>
      <c r="BG496" t="s">
        <v>1103</v>
      </c>
      <c r="BH496" t="s">
        <v>480</v>
      </c>
      <c r="BI496" t="s">
        <v>480</v>
      </c>
      <c r="BJ496" t="s">
        <v>480</v>
      </c>
      <c r="ED496" t="s">
        <v>1085</v>
      </c>
      <c r="EE496" t="s">
        <v>480</v>
      </c>
      <c r="EF496" t="s">
        <v>480</v>
      </c>
      <c r="EG496" t="s">
        <v>537</v>
      </c>
      <c r="EH496" t="s">
        <v>1086</v>
      </c>
      <c r="EI496" t="s">
        <v>480</v>
      </c>
      <c r="EJ496" t="s">
        <v>480</v>
      </c>
      <c r="EK496" t="s">
        <v>537</v>
      </c>
      <c r="EL496" t="s">
        <v>1087</v>
      </c>
      <c r="EM496" t="s">
        <v>480</v>
      </c>
      <c r="EN496" t="s">
        <v>480</v>
      </c>
      <c r="EO496" t="s">
        <v>537</v>
      </c>
      <c r="EP496" t="s">
        <v>1088</v>
      </c>
      <c r="EQ496" t="s">
        <v>480</v>
      </c>
      <c r="ER496" t="s">
        <v>480</v>
      </c>
      <c r="ES496" t="s">
        <v>537</v>
      </c>
      <c r="ET496" t="s">
        <v>1089</v>
      </c>
      <c r="EU496" t="s">
        <v>480</v>
      </c>
      <c r="EV496" t="s">
        <v>480</v>
      </c>
      <c r="EW496" t="s">
        <v>537</v>
      </c>
      <c r="EX496" t="s">
        <v>1090</v>
      </c>
      <c r="EY496" t="s">
        <v>480</v>
      </c>
      <c r="EZ496" t="s">
        <v>480</v>
      </c>
      <c r="FA496" t="s">
        <v>537</v>
      </c>
      <c r="FB496" t="s">
        <v>1091</v>
      </c>
      <c r="FC496" t="s">
        <v>480</v>
      </c>
      <c r="FD496" t="s">
        <v>480</v>
      </c>
      <c r="FF496" s="9"/>
      <c r="FG496" s="9"/>
      <c r="FH496" s="9"/>
      <c r="FI496" s="9"/>
      <c r="FJ496" s="9"/>
      <c r="FK496" s="9"/>
      <c r="FL496" s="9"/>
      <c r="FM496" s="9"/>
      <c r="FN496" s="9"/>
      <c r="FO496" s="9"/>
      <c r="FP496" s="9"/>
      <c r="FQ496" s="9"/>
      <c r="FR496" s="9"/>
      <c r="FS496" s="9"/>
      <c r="FT496" s="9"/>
      <c r="FU496" s="9"/>
      <c r="FV496" s="9"/>
      <c r="FW496" s="9"/>
      <c r="FX496" s="9"/>
      <c r="FY496" s="9"/>
      <c r="FZ496" s="9"/>
      <c r="GA496" s="9"/>
      <c r="GB496" s="9"/>
      <c r="GC496" s="9"/>
      <c r="GD496" s="9"/>
      <c r="GE496" s="9"/>
      <c r="GF496" s="9"/>
      <c r="GG496" s="9"/>
      <c r="GH496" s="9"/>
      <c r="GI496" s="9"/>
      <c r="GJ496" s="9"/>
      <c r="GK496" s="9"/>
      <c r="GL496" s="9" t="s">
        <v>1105</v>
      </c>
      <c r="GM496" s="9" t="s">
        <v>480</v>
      </c>
      <c r="GN496" s="9" t="s">
        <v>480</v>
      </c>
      <c r="GO496" s="9" t="s">
        <v>480</v>
      </c>
      <c r="GP496" s="9"/>
      <c r="GQ496" s="9"/>
      <c r="GR496" s="9"/>
      <c r="GS496" s="9"/>
      <c r="GT496" s="9"/>
      <c r="GU496" s="9"/>
      <c r="GV496" s="9"/>
      <c r="GW496" s="9"/>
      <c r="GX496" s="9"/>
      <c r="GY496" s="9"/>
      <c r="GZ496" s="9"/>
      <c r="HA496" s="9"/>
      <c r="HB496" s="9"/>
      <c r="HC496" s="9"/>
      <c r="HD496" s="9"/>
      <c r="HE496" s="9"/>
      <c r="HF496" s="9"/>
      <c r="HG496" s="9"/>
      <c r="HH496" s="9"/>
      <c r="HI496" s="9"/>
      <c r="HJ496" s="9"/>
      <c r="HK496" s="9"/>
      <c r="HX496" s="50"/>
      <c r="HY496" s="50"/>
      <c r="IV496" t="s">
        <v>1109</v>
      </c>
      <c r="IW496" s="75" t="s">
        <v>1106</v>
      </c>
      <c r="IX496" s="12" t="s">
        <v>1107</v>
      </c>
      <c r="IY496" s="46" t="s">
        <v>1110</v>
      </c>
      <c r="IZ496">
        <v>7.5</v>
      </c>
      <c r="JA496">
        <v>56</v>
      </c>
      <c r="JB496" t="s">
        <v>480</v>
      </c>
      <c r="JC496" t="s">
        <v>480</v>
      </c>
      <c r="MY496" t="s">
        <v>1095</v>
      </c>
      <c r="MZ496">
        <v>1963</v>
      </c>
      <c r="NA496" t="s">
        <v>1119</v>
      </c>
      <c r="NB496" t="s">
        <v>1097</v>
      </c>
      <c r="NG496" t="s">
        <v>1120</v>
      </c>
      <c r="NH496" t="s">
        <v>687</v>
      </c>
      <c r="NJ496" t="s">
        <v>689</v>
      </c>
      <c r="NL496" t="s">
        <v>689</v>
      </c>
      <c r="NM496" s="6" t="s">
        <v>1131</v>
      </c>
      <c r="NV496" t="s">
        <v>518</v>
      </c>
      <c r="NW496">
        <v>10</v>
      </c>
      <c r="NX496" t="s">
        <v>916</v>
      </c>
      <c r="NY496">
        <v>6.2</v>
      </c>
      <c r="OB496">
        <v>7</v>
      </c>
      <c r="OU496" t="s">
        <v>1053</v>
      </c>
      <c r="OW496">
        <v>2010</v>
      </c>
      <c r="PB496" t="s">
        <v>522</v>
      </c>
      <c r="PC496" s="50">
        <v>46108</v>
      </c>
    </row>
    <row r="497" spans="1:419" ht="15.75" thickBot="1">
      <c r="A497" t="s">
        <v>665</v>
      </c>
      <c r="B497" t="s">
        <v>1075</v>
      </c>
      <c r="C497" t="s">
        <v>1076</v>
      </c>
      <c r="D497" s="4" t="s">
        <v>472</v>
      </c>
      <c r="E497" t="s">
        <v>1077</v>
      </c>
      <c r="F497" t="s">
        <v>865</v>
      </c>
      <c r="G497" t="s">
        <v>1078</v>
      </c>
      <c r="H497" s="2" t="s">
        <v>1079</v>
      </c>
      <c r="I497">
        <v>-23.748532000000001</v>
      </c>
      <c r="J497">
        <v>-62.056702000000001</v>
      </c>
      <c r="K497" s="78">
        <v>65000</v>
      </c>
      <c r="AV497" t="s">
        <v>1080</v>
      </c>
      <c r="AW497" t="s">
        <v>866</v>
      </c>
      <c r="AX497">
        <v>3600</v>
      </c>
      <c r="AY497" s="5">
        <v>1</v>
      </c>
      <c r="AZ497" t="s">
        <v>1081</v>
      </c>
      <c r="BA497">
        <v>2010</v>
      </c>
      <c r="BC497" t="s">
        <v>1082</v>
      </c>
      <c r="BD497" t="s">
        <v>1111</v>
      </c>
      <c r="BE497" t="s">
        <v>572</v>
      </c>
      <c r="BF497" t="s">
        <v>1102</v>
      </c>
      <c r="BG497" t="s">
        <v>1112</v>
      </c>
      <c r="BH497" t="s">
        <v>480</v>
      </c>
      <c r="BI497" t="s">
        <v>480</v>
      </c>
      <c r="BJ497" t="s">
        <v>480</v>
      </c>
      <c r="ED497" t="s">
        <v>1085</v>
      </c>
      <c r="EE497" t="s">
        <v>480</v>
      </c>
      <c r="EF497" t="s">
        <v>480</v>
      </c>
      <c r="EG497" t="s">
        <v>537</v>
      </c>
      <c r="EH497" t="s">
        <v>1086</v>
      </c>
      <c r="EI497" t="s">
        <v>480</v>
      </c>
      <c r="EJ497" t="s">
        <v>480</v>
      </c>
      <c r="EK497" t="s">
        <v>537</v>
      </c>
      <c r="EL497" t="s">
        <v>1087</v>
      </c>
      <c r="EM497" t="s">
        <v>480</v>
      </c>
      <c r="EN497" t="s">
        <v>480</v>
      </c>
      <c r="EO497" t="s">
        <v>537</v>
      </c>
      <c r="EP497" t="s">
        <v>1088</v>
      </c>
      <c r="EQ497" t="s">
        <v>480</v>
      </c>
      <c r="ER497" t="s">
        <v>480</v>
      </c>
      <c r="ES497" t="s">
        <v>537</v>
      </c>
      <c r="ET497" t="s">
        <v>1089</v>
      </c>
      <c r="EU497" t="s">
        <v>480</v>
      </c>
      <c r="EV497" t="s">
        <v>480</v>
      </c>
      <c r="EW497" t="s">
        <v>537</v>
      </c>
      <c r="EX497" t="s">
        <v>1090</v>
      </c>
      <c r="EY497" t="s">
        <v>480</v>
      </c>
      <c r="EZ497" t="s">
        <v>480</v>
      </c>
      <c r="FA497" t="s">
        <v>537</v>
      </c>
      <c r="FB497" t="s">
        <v>1091</v>
      </c>
      <c r="FC497" t="s">
        <v>480</v>
      </c>
      <c r="FD497" t="s">
        <v>480</v>
      </c>
      <c r="FF497" s="9"/>
      <c r="FG497" s="9"/>
      <c r="FH497" s="9"/>
      <c r="FI497" s="9"/>
      <c r="FJ497" s="9"/>
      <c r="FK497" s="9"/>
      <c r="FL497" s="9"/>
      <c r="FM497" s="9"/>
      <c r="FN497" s="9"/>
      <c r="FO497" s="9"/>
      <c r="FP497" s="9"/>
      <c r="FQ497" s="9"/>
      <c r="FR497" s="9"/>
      <c r="FS497" s="9"/>
      <c r="FT497" s="9"/>
      <c r="FU497" s="9"/>
      <c r="FV497" s="9"/>
      <c r="FW497" s="9"/>
      <c r="FX497" s="9"/>
      <c r="FY497" s="9"/>
      <c r="FZ497" s="9"/>
      <c r="GA497" s="9"/>
      <c r="GB497" s="9"/>
      <c r="GC497" s="9"/>
      <c r="GD497" s="9"/>
      <c r="GE497" s="9"/>
      <c r="GF497" s="9"/>
      <c r="GG497" s="9"/>
      <c r="GH497" s="9"/>
      <c r="GI497" s="9"/>
      <c r="GJ497" s="9"/>
      <c r="GK497" s="9"/>
      <c r="GL497" s="9" t="s">
        <v>1105</v>
      </c>
      <c r="GM497" s="9" t="s">
        <v>480</v>
      </c>
      <c r="GN497" s="9" t="s">
        <v>480</v>
      </c>
      <c r="GO497" s="9" t="s">
        <v>480</v>
      </c>
      <c r="GP497" s="9"/>
      <c r="GQ497" s="9"/>
      <c r="GR497" s="9"/>
      <c r="GS497" s="9"/>
      <c r="GT497" s="9"/>
      <c r="GU497" s="9"/>
      <c r="GV497" s="9"/>
      <c r="GW497" s="9"/>
      <c r="GX497" s="9"/>
      <c r="GY497" s="9"/>
      <c r="GZ497" s="9"/>
      <c r="HA497" s="9"/>
      <c r="HB497" s="9"/>
      <c r="HC497" s="9"/>
      <c r="HD497" s="9"/>
      <c r="HE497" s="9"/>
      <c r="HF497" s="9"/>
      <c r="HG497" s="9"/>
      <c r="HH497" s="9"/>
      <c r="HI497" s="9"/>
      <c r="HJ497" s="9"/>
      <c r="HK497" s="9"/>
      <c r="HX497" s="50"/>
      <c r="HY497" s="50"/>
      <c r="IV497" t="s">
        <v>1111</v>
      </c>
      <c r="IW497" s="75" t="s">
        <v>1106</v>
      </c>
      <c r="IX497" s="12" t="s">
        <v>1107</v>
      </c>
      <c r="IY497" s="46" t="s">
        <v>1110</v>
      </c>
      <c r="IZ497">
        <v>7.5</v>
      </c>
      <c r="JA497">
        <v>37</v>
      </c>
      <c r="JB497" t="s">
        <v>480</v>
      </c>
      <c r="JC497" t="s">
        <v>480</v>
      </c>
      <c r="MY497" t="s">
        <v>1095</v>
      </c>
      <c r="MZ497">
        <v>1963</v>
      </c>
      <c r="NA497" t="s">
        <v>1119</v>
      </c>
      <c r="NB497" t="s">
        <v>1097</v>
      </c>
      <c r="NG497" t="s">
        <v>1120</v>
      </c>
      <c r="NH497" t="s">
        <v>687</v>
      </c>
      <c r="NJ497" t="s">
        <v>689</v>
      </c>
      <c r="NL497" t="s">
        <v>689</v>
      </c>
      <c r="NM497" s="6" t="s">
        <v>1131</v>
      </c>
      <c r="NV497" t="s">
        <v>518</v>
      </c>
      <c r="NW497">
        <v>8.6999999999999993</v>
      </c>
      <c r="NX497" t="s">
        <v>916</v>
      </c>
      <c r="NY497">
        <v>6.6</v>
      </c>
      <c r="OB497">
        <v>5</v>
      </c>
      <c r="OU497" t="s">
        <v>1053</v>
      </c>
      <c r="OW497">
        <v>2010</v>
      </c>
      <c r="PB497" t="s">
        <v>522</v>
      </c>
      <c r="PC497" s="50">
        <v>46108</v>
      </c>
    </row>
    <row r="498" spans="1:419" ht="15.75" thickBot="1">
      <c r="A498" t="s">
        <v>665</v>
      </c>
      <c r="B498" t="s">
        <v>1075</v>
      </c>
      <c r="C498" t="s">
        <v>1076</v>
      </c>
      <c r="D498" s="4" t="s">
        <v>472</v>
      </c>
      <c r="E498" t="s">
        <v>1077</v>
      </c>
      <c r="F498" t="s">
        <v>865</v>
      </c>
      <c r="G498" t="s">
        <v>1078</v>
      </c>
      <c r="H498" s="2" t="s">
        <v>1079</v>
      </c>
      <c r="I498">
        <v>-23.748532000000001</v>
      </c>
      <c r="J498">
        <v>-62.056702000000001</v>
      </c>
      <c r="K498" s="78">
        <v>65000</v>
      </c>
      <c r="AV498" t="s">
        <v>1080</v>
      </c>
      <c r="AW498" t="s">
        <v>866</v>
      </c>
      <c r="AX498" t="s">
        <v>866</v>
      </c>
      <c r="AY498" s="5">
        <v>1</v>
      </c>
      <c r="AZ498" t="s">
        <v>1081</v>
      </c>
      <c r="BA498">
        <v>2010</v>
      </c>
      <c r="BC498" t="s">
        <v>1082</v>
      </c>
      <c r="BD498" t="s">
        <v>1113</v>
      </c>
      <c r="BE498" t="s">
        <v>483</v>
      </c>
      <c r="BF498" t="s">
        <v>1102</v>
      </c>
      <c r="BG498" t="s">
        <v>1112</v>
      </c>
      <c r="BH498" t="s">
        <v>480</v>
      </c>
      <c r="BI498" t="s">
        <v>480</v>
      </c>
      <c r="BJ498" t="s">
        <v>480</v>
      </c>
      <c r="GL498" t="s">
        <v>1105</v>
      </c>
      <c r="GM498" s="9" t="s">
        <v>480</v>
      </c>
      <c r="GN498" s="9" t="s">
        <v>480</v>
      </c>
      <c r="GO498" s="9" t="s">
        <v>480</v>
      </c>
      <c r="HY498" s="50"/>
      <c r="IV498" t="s">
        <v>1113</v>
      </c>
      <c r="IW498" s="46" t="s">
        <v>1114</v>
      </c>
      <c r="IX498" s="46" t="s">
        <v>1114</v>
      </c>
      <c r="IY498" s="46" t="s">
        <v>1115</v>
      </c>
      <c r="IZ498">
        <v>1</v>
      </c>
      <c r="JA498">
        <v>6</v>
      </c>
      <c r="JB498" t="s">
        <v>480</v>
      </c>
      <c r="JC498" t="s">
        <v>480</v>
      </c>
      <c r="MY498" t="s">
        <v>1095</v>
      </c>
      <c r="MZ498">
        <v>1963</v>
      </c>
      <c r="NA498" t="s">
        <v>1119</v>
      </c>
      <c r="NB498" t="s">
        <v>1097</v>
      </c>
      <c r="NG498" t="s">
        <v>1120</v>
      </c>
      <c r="NH498" t="s">
        <v>687</v>
      </c>
      <c r="NJ498" t="s">
        <v>689</v>
      </c>
      <c r="NL498" t="s">
        <v>689</v>
      </c>
      <c r="NM498" s="6" t="s">
        <v>1131</v>
      </c>
      <c r="NU498" t="s">
        <v>1116</v>
      </c>
      <c r="NV498" t="s">
        <v>518</v>
      </c>
      <c r="NW498">
        <v>4.5999999999999996</v>
      </c>
      <c r="NX498" t="s">
        <v>916</v>
      </c>
      <c r="NY498">
        <v>3.4</v>
      </c>
      <c r="OB498">
        <v>7</v>
      </c>
      <c r="OU498" t="s">
        <v>1053</v>
      </c>
      <c r="OW498">
        <v>2010</v>
      </c>
      <c r="PB498" t="s">
        <v>522</v>
      </c>
      <c r="PC498" s="50">
        <v>46108</v>
      </c>
    </row>
    <row r="499" spans="1:419" ht="15.75" thickBot="1">
      <c r="A499" t="s">
        <v>665</v>
      </c>
      <c r="B499" t="s">
        <v>1075</v>
      </c>
      <c r="C499" t="s">
        <v>1076</v>
      </c>
      <c r="D499" s="4" t="s">
        <v>472</v>
      </c>
      <c r="E499" t="s">
        <v>1077</v>
      </c>
      <c r="F499" t="s">
        <v>865</v>
      </c>
      <c r="G499" t="s">
        <v>1078</v>
      </c>
      <c r="H499" s="2" t="s">
        <v>1079</v>
      </c>
      <c r="I499">
        <v>-23.748532000000001</v>
      </c>
      <c r="J499">
        <v>-62.056702000000001</v>
      </c>
      <c r="K499" s="78">
        <v>65000</v>
      </c>
      <c r="AV499" t="s">
        <v>1080</v>
      </c>
      <c r="AW499" t="s">
        <v>866</v>
      </c>
      <c r="AX499">
        <v>1000</v>
      </c>
      <c r="AY499" s="5">
        <v>1</v>
      </c>
      <c r="AZ499" t="s">
        <v>1081</v>
      </c>
      <c r="BA499">
        <v>2010</v>
      </c>
      <c r="BC499" t="s">
        <v>1082</v>
      </c>
      <c r="BD499" t="s">
        <v>1083</v>
      </c>
      <c r="BE499" t="s">
        <v>524</v>
      </c>
      <c r="BF499" t="s">
        <v>1084</v>
      </c>
      <c r="ED499" t="s">
        <v>1085</v>
      </c>
      <c r="EE499" t="s">
        <v>480</v>
      </c>
      <c r="EF499" t="s">
        <v>480</v>
      </c>
      <c r="EG499" t="s">
        <v>537</v>
      </c>
      <c r="EH499" t="s">
        <v>1086</v>
      </c>
      <c r="EI499" t="s">
        <v>480</v>
      </c>
      <c r="EJ499" t="s">
        <v>480</v>
      </c>
      <c r="EK499" t="s">
        <v>537</v>
      </c>
      <c r="EL499" t="s">
        <v>1087</v>
      </c>
      <c r="EM499" t="s">
        <v>480</v>
      </c>
      <c r="EN499" t="s">
        <v>480</v>
      </c>
      <c r="EO499" t="s">
        <v>537</v>
      </c>
      <c r="EP499" t="s">
        <v>1088</v>
      </c>
      <c r="EQ499" t="s">
        <v>480</v>
      </c>
      <c r="ER499" t="s">
        <v>480</v>
      </c>
      <c r="ES499" t="s">
        <v>537</v>
      </c>
      <c r="ET499" t="s">
        <v>1089</v>
      </c>
      <c r="EU499" t="s">
        <v>480</v>
      </c>
      <c r="EV499" t="s">
        <v>480</v>
      </c>
      <c r="EW499" t="s">
        <v>537</v>
      </c>
      <c r="EX499" t="s">
        <v>1090</v>
      </c>
      <c r="EY499" t="s">
        <v>480</v>
      </c>
      <c r="EZ499" t="s">
        <v>480</v>
      </c>
      <c r="FA499" t="s">
        <v>537</v>
      </c>
      <c r="FB499" t="s">
        <v>1091</v>
      </c>
      <c r="FC499" t="s">
        <v>480</v>
      </c>
      <c r="FD499" t="s">
        <v>480</v>
      </c>
      <c r="HY499" s="50"/>
      <c r="IV499" t="s">
        <v>1083</v>
      </c>
      <c r="IW499" t="s">
        <v>1092</v>
      </c>
      <c r="IX499" t="s">
        <v>1092</v>
      </c>
      <c r="IY499" t="s">
        <v>1092</v>
      </c>
      <c r="IZ499">
        <v>5</v>
      </c>
      <c r="JA499">
        <v>70</v>
      </c>
      <c r="JB499" t="s">
        <v>480</v>
      </c>
      <c r="JC499" t="s">
        <v>480</v>
      </c>
      <c r="MT499" t="s">
        <v>1083</v>
      </c>
      <c r="MU499" s="185" t="s">
        <v>1092</v>
      </c>
      <c r="MV499" t="s">
        <v>480</v>
      </c>
      <c r="MW499" s="185" t="s">
        <v>1093</v>
      </c>
      <c r="MX499" s="185" t="s">
        <v>1094</v>
      </c>
      <c r="MY499" t="s">
        <v>1095</v>
      </c>
      <c r="MZ499">
        <v>1963</v>
      </c>
      <c r="NA499" t="s">
        <v>1125</v>
      </c>
      <c r="NB499" t="s">
        <v>1097</v>
      </c>
      <c r="NG499" t="s">
        <v>1126</v>
      </c>
      <c r="NH499" t="s">
        <v>687</v>
      </c>
      <c r="NJ499" t="s">
        <v>689</v>
      </c>
      <c r="NL499" t="s">
        <v>689</v>
      </c>
      <c r="NM499" s="6" t="s">
        <v>1131</v>
      </c>
      <c r="NU499" t="s">
        <v>1100</v>
      </c>
      <c r="NV499" t="s">
        <v>518</v>
      </c>
      <c r="NW499">
        <v>12.3</v>
      </c>
      <c r="NX499" t="s">
        <v>916</v>
      </c>
      <c r="NY499">
        <v>5.0999999999999996</v>
      </c>
      <c r="OB499">
        <v>6</v>
      </c>
      <c r="OU499" t="s">
        <v>1053</v>
      </c>
      <c r="OW499">
        <v>2010</v>
      </c>
      <c r="PB499" t="s">
        <v>522</v>
      </c>
      <c r="PC499" s="50">
        <v>46108</v>
      </c>
    </row>
    <row r="500" spans="1:419" ht="15.75" thickBot="1">
      <c r="A500" t="s">
        <v>665</v>
      </c>
      <c r="B500" t="s">
        <v>1075</v>
      </c>
      <c r="C500" t="s">
        <v>1076</v>
      </c>
      <c r="D500" s="4" t="s">
        <v>472</v>
      </c>
      <c r="E500" t="s">
        <v>1077</v>
      </c>
      <c r="F500" t="s">
        <v>865</v>
      </c>
      <c r="G500" t="s">
        <v>1078</v>
      </c>
      <c r="H500" s="2" t="s">
        <v>1079</v>
      </c>
      <c r="I500">
        <v>-23.748532000000001</v>
      </c>
      <c r="J500">
        <v>-62.056702000000001</v>
      </c>
      <c r="K500" s="78">
        <v>65000</v>
      </c>
      <c r="AV500" t="s">
        <v>1080</v>
      </c>
      <c r="AW500" t="s">
        <v>866</v>
      </c>
      <c r="AX500" t="s">
        <v>866</v>
      </c>
      <c r="AY500" s="5">
        <v>1</v>
      </c>
      <c r="AZ500" t="s">
        <v>1081</v>
      </c>
      <c r="BA500">
        <v>2010</v>
      </c>
      <c r="BC500" t="s">
        <v>1082</v>
      </c>
      <c r="BD500" t="s">
        <v>1101</v>
      </c>
      <c r="BE500" t="s">
        <v>536</v>
      </c>
      <c r="BF500" t="s">
        <v>1102</v>
      </c>
      <c r="BG500" t="s">
        <v>1103</v>
      </c>
      <c r="BH500" t="s">
        <v>1104</v>
      </c>
      <c r="BI500" t="s">
        <v>480</v>
      </c>
      <c r="BJ500" t="s">
        <v>480</v>
      </c>
      <c r="ED500" t="s">
        <v>1085</v>
      </c>
      <c r="EE500" t="s">
        <v>480</v>
      </c>
      <c r="EF500" t="s">
        <v>480</v>
      </c>
      <c r="EG500" t="s">
        <v>537</v>
      </c>
      <c r="EH500" t="s">
        <v>1086</v>
      </c>
      <c r="EI500" t="s">
        <v>480</v>
      </c>
      <c r="EJ500" t="s">
        <v>480</v>
      </c>
      <c r="EK500" t="s">
        <v>537</v>
      </c>
      <c r="EL500" t="s">
        <v>1087</v>
      </c>
      <c r="EM500" t="s">
        <v>480</v>
      </c>
      <c r="EN500" t="s">
        <v>480</v>
      </c>
      <c r="EO500" t="s">
        <v>537</v>
      </c>
      <c r="EP500" t="s">
        <v>1088</v>
      </c>
      <c r="EQ500" t="s">
        <v>480</v>
      </c>
      <c r="ER500" t="s">
        <v>480</v>
      </c>
      <c r="ES500" t="s">
        <v>537</v>
      </c>
      <c r="ET500" t="s">
        <v>1089</v>
      </c>
      <c r="EU500" t="s">
        <v>480</v>
      </c>
      <c r="EV500" t="s">
        <v>480</v>
      </c>
      <c r="EW500" t="s">
        <v>537</v>
      </c>
      <c r="EX500" t="s">
        <v>1090</v>
      </c>
      <c r="EY500" t="s">
        <v>480</v>
      </c>
      <c r="EZ500" t="s">
        <v>480</v>
      </c>
      <c r="FA500" t="s">
        <v>537</v>
      </c>
      <c r="FB500" t="s">
        <v>1091</v>
      </c>
      <c r="FC500" t="s">
        <v>480</v>
      </c>
      <c r="FD500" t="s">
        <v>480</v>
      </c>
      <c r="GL500" t="s">
        <v>1105</v>
      </c>
      <c r="GM500" s="9" t="s">
        <v>480</v>
      </c>
      <c r="GN500" s="9" t="s">
        <v>480</v>
      </c>
      <c r="GO500" s="9" t="s">
        <v>480</v>
      </c>
      <c r="GP500" s="9"/>
      <c r="GQ500" s="9"/>
      <c r="GR500" s="9"/>
      <c r="GS500" s="9"/>
      <c r="GT500" s="9"/>
      <c r="GU500" s="9"/>
      <c r="GV500" s="9"/>
      <c r="GW500" s="9"/>
      <c r="GX500" s="9"/>
      <c r="GY500" s="9"/>
      <c r="GZ500" s="9"/>
      <c r="HA500" s="9"/>
      <c r="HB500" s="9"/>
      <c r="HC500" s="9"/>
      <c r="HD500" s="9"/>
      <c r="HE500" s="9"/>
      <c r="HF500" s="9"/>
      <c r="HG500" s="9"/>
      <c r="HH500" s="9"/>
      <c r="HI500" s="9"/>
      <c r="HJ500" s="9"/>
      <c r="HK500" s="9"/>
      <c r="HX500" s="50"/>
      <c r="HY500" s="50"/>
      <c r="IV500" t="s">
        <v>1101</v>
      </c>
      <c r="IW500" s="75" t="s">
        <v>1106</v>
      </c>
      <c r="IX500" t="s">
        <v>1107</v>
      </c>
      <c r="IY500" s="46" t="s">
        <v>1108</v>
      </c>
      <c r="IZ500">
        <v>1</v>
      </c>
      <c r="JA500">
        <v>81</v>
      </c>
      <c r="JB500" t="s">
        <v>480</v>
      </c>
      <c r="JC500" t="s">
        <v>480</v>
      </c>
      <c r="MY500" t="s">
        <v>1095</v>
      </c>
      <c r="MZ500">
        <v>1963</v>
      </c>
      <c r="NA500" t="s">
        <v>1125</v>
      </c>
      <c r="NB500" t="s">
        <v>1097</v>
      </c>
      <c r="NG500" t="s">
        <v>1126</v>
      </c>
      <c r="NH500" t="s">
        <v>687</v>
      </c>
      <c r="NJ500" t="s">
        <v>689</v>
      </c>
      <c r="NL500" t="s">
        <v>689</v>
      </c>
      <c r="NM500" s="6" t="s">
        <v>1131</v>
      </c>
      <c r="NV500" t="s">
        <v>518</v>
      </c>
      <c r="NW500">
        <v>12.3</v>
      </c>
      <c r="NX500" t="s">
        <v>916</v>
      </c>
      <c r="NY500">
        <v>11.4</v>
      </c>
      <c r="OB500">
        <v>8</v>
      </c>
      <c r="OU500" t="s">
        <v>1053</v>
      </c>
      <c r="OW500">
        <v>2010</v>
      </c>
      <c r="PB500" t="s">
        <v>522</v>
      </c>
      <c r="PC500" s="50">
        <v>46108</v>
      </c>
    </row>
    <row r="501" spans="1:419" ht="15.75" thickBot="1">
      <c r="A501" t="s">
        <v>665</v>
      </c>
      <c r="B501" t="s">
        <v>1075</v>
      </c>
      <c r="C501" t="s">
        <v>1076</v>
      </c>
      <c r="D501" s="4" t="s">
        <v>472</v>
      </c>
      <c r="E501" t="s">
        <v>1077</v>
      </c>
      <c r="F501" t="s">
        <v>865</v>
      </c>
      <c r="G501" t="s">
        <v>1078</v>
      </c>
      <c r="H501" s="2" t="s">
        <v>1079</v>
      </c>
      <c r="I501">
        <v>-23.748532000000001</v>
      </c>
      <c r="J501">
        <v>-62.056702000000001</v>
      </c>
      <c r="K501" s="78">
        <v>65000</v>
      </c>
      <c r="AV501" t="s">
        <v>1080</v>
      </c>
      <c r="AW501" t="s">
        <v>866</v>
      </c>
      <c r="AX501">
        <v>3600</v>
      </c>
      <c r="AY501" s="5">
        <v>1</v>
      </c>
      <c r="AZ501" t="s">
        <v>1081</v>
      </c>
      <c r="BA501">
        <v>2010</v>
      </c>
      <c r="BC501" t="s">
        <v>1082</v>
      </c>
      <c r="BD501" t="s">
        <v>1109</v>
      </c>
      <c r="BE501" t="s">
        <v>566</v>
      </c>
      <c r="BF501" t="s">
        <v>1102</v>
      </c>
      <c r="BG501" t="s">
        <v>1103</v>
      </c>
      <c r="BH501" t="s">
        <v>480</v>
      </c>
      <c r="BI501" t="s">
        <v>480</v>
      </c>
      <c r="BJ501" t="s">
        <v>480</v>
      </c>
      <c r="ED501" t="s">
        <v>1085</v>
      </c>
      <c r="EE501" t="s">
        <v>480</v>
      </c>
      <c r="EF501" t="s">
        <v>480</v>
      </c>
      <c r="EG501" t="s">
        <v>537</v>
      </c>
      <c r="EH501" t="s">
        <v>1086</v>
      </c>
      <c r="EI501" t="s">
        <v>480</v>
      </c>
      <c r="EJ501" t="s">
        <v>480</v>
      </c>
      <c r="EK501" t="s">
        <v>537</v>
      </c>
      <c r="EL501" t="s">
        <v>1087</v>
      </c>
      <c r="EM501" t="s">
        <v>480</v>
      </c>
      <c r="EN501" t="s">
        <v>480</v>
      </c>
      <c r="EO501" t="s">
        <v>537</v>
      </c>
      <c r="EP501" t="s">
        <v>1088</v>
      </c>
      <c r="EQ501" t="s">
        <v>480</v>
      </c>
      <c r="ER501" t="s">
        <v>480</v>
      </c>
      <c r="ES501" t="s">
        <v>537</v>
      </c>
      <c r="ET501" t="s">
        <v>1089</v>
      </c>
      <c r="EU501" t="s">
        <v>480</v>
      </c>
      <c r="EV501" t="s">
        <v>480</v>
      </c>
      <c r="EW501" t="s">
        <v>537</v>
      </c>
      <c r="EX501" t="s">
        <v>1090</v>
      </c>
      <c r="EY501" t="s">
        <v>480</v>
      </c>
      <c r="EZ501" t="s">
        <v>480</v>
      </c>
      <c r="FA501" t="s">
        <v>537</v>
      </c>
      <c r="FB501" t="s">
        <v>1091</v>
      </c>
      <c r="FC501" t="s">
        <v>480</v>
      </c>
      <c r="FD501" t="s">
        <v>480</v>
      </c>
      <c r="FF501" s="9"/>
      <c r="FG501" s="9"/>
      <c r="FH501" s="9"/>
      <c r="FI501" s="9"/>
      <c r="FJ501" s="9"/>
      <c r="FK501" s="9"/>
      <c r="FL501" s="9"/>
      <c r="FM501" s="9"/>
      <c r="FN501" s="9"/>
      <c r="FO501" s="9"/>
      <c r="FP501" s="9"/>
      <c r="FQ501" s="9"/>
      <c r="FR501" s="9"/>
      <c r="FS501" s="9"/>
      <c r="FT501" s="9"/>
      <c r="FU501" s="9"/>
      <c r="FV501" s="9"/>
      <c r="FW501" s="9"/>
      <c r="FX501" s="9"/>
      <c r="FY501" s="9"/>
      <c r="FZ501" s="9"/>
      <c r="GA501" s="9"/>
      <c r="GB501" s="9"/>
      <c r="GC501" s="9"/>
      <c r="GD501" s="9"/>
      <c r="GE501" s="9"/>
      <c r="GF501" s="9"/>
      <c r="GG501" s="9"/>
      <c r="GH501" s="9"/>
      <c r="GI501" s="9"/>
      <c r="GJ501" s="9"/>
      <c r="GK501" s="9"/>
      <c r="GL501" s="9" t="s">
        <v>1105</v>
      </c>
      <c r="GM501" s="9" t="s">
        <v>480</v>
      </c>
      <c r="GN501" s="9" t="s">
        <v>480</v>
      </c>
      <c r="GO501" s="9" t="s">
        <v>480</v>
      </c>
      <c r="GP501" s="9"/>
      <c r="GQ501" s="9"/>
      <c r="GR501" s="9"/>
      <c r="GS501" s="9"/>
      <c r="GT501" s="9"/>
      <c r="GU501" s="9"/>
      <c r="GV501" s="9"/>
      <c r="GW501" s="9"/>
      <c r="GX501" s="9"/>
      <c r="GY501" s="9"/>
      <c r="GZ501" s="9"/>
      <c r="HA501" s="9"/>
      <c r="HB501" s="9"/>
      <c r="HC501" s="9"/>
      <c r="HD501" s="9"/>
      <c r="HE501" s="9"/>
      <c r="HF501" s="9"/>
      <c r="HG501" s="9"/>
      <c r="HH501" s="9"/>
      <c r="HI501" s="9"/>
      <c r="HJ501" s="9"/>
      <c r="HK501" s="9"/>
      <c r="HX501" s="50"/>
      <c r="HY501" s="50"/>
      <c r="IV501" t="s">
        <v>1109</v>
      </c>
      <c r="IW501" s="75" t="s">
        <v>1106</v>
      </c>
      <c r="IX501" s="12" t="s">
        <v>1107</v>
      </c>
      <c r="IY501" s="46" t="s">
        <v>1110</v>
      </c>
      <c r="IZ501">
        <v>7.5</v>
      </c>
      <c r="JA501">
        <v>56</v>
      </c>
      <c r="JB501" t="s">
        <v>480</v>
      </c>
      <c r="JC501" t="s">
        <v>480</v>
      </c>
      <c r="MY501" t="s">
        <v>1095</v>
      </c>
      <c r="MZ501">
        <v>1963</v>
      </c>
      <c r="NA501" t="s">
        <v>1125</v>
      </c>
      <c r="NB501" t="s">
        <v>1097</v>
      </c>
      <c r="NG501" t="s">
        <v>1126</v>
      </c>
      <c r="NH501" t="s">
        <v>687</v>
      </c>
      <c r="NJ501" t="s">
        <v>689</v>
      </c>
      <c r="NL501" t="s">
        <v>689</v>
      </c>
      <c r="NM501" s="6" t="s">
        <v>1131</v>
      </c>
      <c r="NV501" t="s">
        <v>518</v>
      </c>
      <c r="NW501">
        <v>7.8</v>
      </c>
      <c r="NX501" t="s">
        <v>916</v>
      </c>
      <c r="NY501">
        <v>5.0999999999999996</v>
      </c>
      <c r="OB501">
        <v>7</v>
      </c>
      <c r="OU501" t="s">
        <v>1053</v>
      </c>
      <c r="OW501">
        <v>2010</v>
      </c>
      <c r="PB501" t="s">
        <v>522</v>
      </c>
      <c r="PC501" s="50">
        <v>46108</v>
      </c>
    </row>
    <row r="502" spans="1:419" ht="15.75" thickBot="1">
      <c r="A502" t="s">
        <v>665</v>
      </c>
      <c r="B502" t="s">
        <v>1075</v>
      </c>
      <c r="C502" t="s">
        <v>1076</v>
      </c>
      <c r="D502" s="4" t="s">
        <v>472</v>
      </c>
      <c r="E502" t="s">
        <v>1077</v>
      </c>
      <c r="F502" t="s">
        <v>865</v>
      </c>
      <c r="G502" t="s">
        <v>1078</v>
      </c>
      <c r="H502" s="2" t="s">
        <v>1079</v>
      </c>
      <c r="I502">
        <v>-23.748532000000001</v>
      </c>
      <c r="J502">
        <v>-62.056702000000001</v>
      </c>
      <c r="K502" s="78">
        <v>65000</v>
      </c>
      <c r="AV502" t="s">
        <v>1080</v>
      </c>
      <c r="AW502" t="s">
        <v>866</v>
      </c>
      <c r="AX502">
        <v>3600</v>
      </c>
      <c r="AY502" s="5">
        <v>1</v>
      </c>
      <c r="AZ502" t="s">
        <v>1081</v>
      </c>
      <c r="BA502">
        <v>2010</v>
      </c>
      <c r="BC502" t="s">
        <v>1082</v>
      </c>
      <c r="BD502" t="s">
        <v>1111</v>
      </c>
      <c r="BE502" t="s">
        <v>572</v>
      </c>
      <c r="BF502" t="s">
        <v>1102</v>
      </c>
      <c r="BG502" t="s">
        <v>1112</v>
      </c>
      <c r="BH502" t="s">
        <v>480</v>
      </c>
      <c r="BI502" t="s">
        <v>480</v>
      </c>
      <c r="BJ502" t="s">
        <v>480</v>
      </c>
      <c r="ED502" t="s">
        <v>1085</v>
      </c>
      <c r="EE502" t="s">
        <v>480</v>
      </c>
      <c r="EF502" t="s">
        <v>480</v>
      </c>
      <c r="EG502" t="s">
        <v>537</v>
      </c>
      <c r="EH502" t="s">
        <v>1086</v>
      </c>
      <c r="EI502" t="s">
        <v>480</v>
      </c>
      <c r="EJ502" t="s">
        <v>480</v>
      </c>
      <c r="EK502" t="s">
        <v>537</v>
      </c>
      <c r="EL502" t="s">
        <v>1087</v>
      </c>
      <c r="EM502" t="s">
        <v>480</v>
      </c>
      <c r="EN502" t="s">
        <v>480</v>
      </c>
      <c r="EO502" t="s">
        <v>537</v>
      </c>
      <c r="EP502" t="s">
        <v>1088</v>
      </c>
      <c r="EQ502" t="s">
        <v>480</v>
      </c>
      <c r="ER502" t="s">
        <v>480</v>
      </c>
      <c r="ES502" t="s">
        <v>537</v>
      </c>
      <c r="ET502" t="s">
        <v>1089</v>
      </c>
      <c r="EU502" t="s">
        <v>480</v>
      </c>
      <c r="EV502" t="s">
        <v>480</v>
      </c>
      <c r="EW502" t="s">
        <v>537</v>
      </c>
      <c r="EX502" t="s">
        <v>1090</v>
      </c>
      <c r="EY502" t="s">
        <v>480</v>
      </c>
      <c r="EZ502" t="s">
        <v>480</v>
      </c>
      <c r="FA502" t="s">
        <v>537</v>
      </c>
      <c r="FB502" t="s">
        <v>1091</v>
      </c>
      <c r="FC502" t="s">
        <v>480</v>
      </c>
      <c r="FD502" t="s">
        <v>480</v>
      </c>
      <c r="FF502" s="9"/>
      <c r="FG502" s="9"/>
      <c r="FH502" s="9"/>
      <c r="FI502" s="9"/>
      <c r="FJ502" s="9"/>
      <c r="FK502" s="9"/>
      <c r="FL502" s="9"/>
      <c r="FM502" s="9"/>
      <c r="FN502" s="9"/>
      <c r="FO502" s="9"/>
      <c r="FP502" s="9"/>
      <c r="FQ502" s="9"/>
      <c r="FR502" s="9"/>
      <c r="FS502" s="9"/>
      <c r="FT502" s="9"/>
      <c r="FU502" s="9"/>
      <c r="FV502" s="9"/>
      <c r="FW502" s="9"/>
      <c r="FX502" s="9"/>
      <c r="FY502" s="9"/>
      <c r="FZ502" s="9"/>
      <c r="GA502" s="9"/>
      <c r="GB502" s="9"/>
      <c r="GC502" s="9"/>
      <c r="GD502" s="9"/>
      <c r="GE502" s="9"/>
      <c r="GF502" s="9"/>
      <c r="GG502" s="9"/>
      <c r="GH502" s="9"/>
      <c r="GI502" s="9"/>
      <c r="GJ502" s="9"/>
      <c r="GK502" s="9"/>
      <c r="GL502" s="9" t="s">
        <v>1105</v>
      </c>
      <c r="GM502" s="9" t="s">
        <v>480</v>
      </c>
      <c r="GN502" s="9" t="s">
        <v>480</v>
      </c>
      <c r="GO502" s="9" t="s">
        <v>480</v>
      </c>
      <c r="GP502" s="9"/>
      <c r="GQ502" s="9"/>
      <c r="GR502" s="9"/>
      <c r="GS502" s="9"/>
      <c r="GT502" s="9"/>
      <c r="GU502" s="9"/>
      <c r="GV502" s="9"/>
      <c r="GW502" s="9"/>
      <c r="GX502" s="9"/>
      <c r="GY502" s="9"/>
      <c r="GZ502" s="9"/>
      <c r="HA502" s="9"/>
      <c r="HB502" s="9"/>
      <c r="HC502" s="9"/>
      <c r="HD502" s="9"/>
      <c r="HE502" s="9"/>
      <c r="HF502" s="9"/>
      <c r="HG502" s="9"/>
      <c r="HH502" s="9"/>
      <c r="HI502" s="9"/>
      <c r="HJ502" s="9"/>
      <c r="HK502" s="9"/>
      <c r="HX502" s="50"/>
      <c r="HY502" s="50"/>
      <c r="IV502" t="s">
        <v>1111</v>
      </c>
      <c r="IW502" s="75" t="s">
        <v>1106</v>
      </c>
      <c r="IX502" s="12" t="s">
        <v>1107</v>
      </c>
      <c r="IY502" s="46" t="s">
        <v>1110</v>
      </c>
      <c r="IZ502">
        <v>7.5</v>
      </c>
      <c r="JA502">
        <v>37</v>
      </c>
      <c r="JB502" t="s">
        <v>480</v>
      </c>
      <c r="JC502" t="s">
        <v>480</v>
      </c>
      <c r="MY502" t="s">
        <v>1095</v>
      </c>
      <c r="MZ502">
        <v>1963</v>
      </c>
      <c r="NA502" t="s">
        <v>1125</v>
      </c>
      <c r="NB502" t="s">
        <v>1097</v>
      </c>
      <c r="NG502" t="s">
        <v>1126</v>
      </c>
      <c r="NH502" t="s">
        <v>687</v>
      </c>
      <c r="NJ502" t="s">
        <v>689</v>
      </c>
      <c r="NL502" t="s">
        <v>689</v>
      </c>
      <c r="NM502" s="6" t="s">
        <v>1131</v>
      </c>
      <c r="NV502" t="s">
        <v>518</v>
      </c>
      <c r="NW502">
        <v>5.2</v>
      </c>
      <c r="NX502" t="s">
        <v>916</v>
      </c>
      <c r="NY502">
        <v>4.7</v>
      </c>
      <c r="OB502">
        <v>5</v>
      </c>
      <c r="OU502" t="s">
        <v>1053</v>
      </c>
      <c r="OW502">
        <v>2010</v>
      </c>
      <c r="PB502" t="s">
        <v>522</v>
      </c>
      <c r="PC502" s="50">
        <v>46108</v>
      </c>
    </row>
    <row r="503" spans="1:419" ht="15.75" thickBot="1">
      <c r="A503" t="s">
        <v>665</v>
      </c>
      <c r="B503" t="s">
        <v>1075</v>
      </c>
      <c r="C503" t="s">
        <v>1076</v>
      </c>
      <c r="D503" s="4" t="s">
        <v>472</v>
      </c>
      <c r="E503" t="s">
        <v>1077</v>
      </c>
      <c r="F503" t="s">
        <v>865</v>
      </c>
      <c r="G503" t="s">
        <v>1078</v>
      </c>
      <c r="H503" s="2" t="s">
        <v>1079</v>
      </c>
      <c r="I503">
        <v>-23.748532000000001</v>
      </c>
      <c r="J503">
        <v>-62.056702000000001</v>
      </c>
      <c r="K503" s="78">
        <v>65000</v>
      </c>
      <c r="AV503" t="s">
        <v>1080</v>
      </c>
      <c r="AW503" t="s">
        <v>866</v>
      </c>
      <c r="AX503" t="s">
        <v>866</v>
      </c>
      <c r="AY503" s="5">
        <v>1</v>
      </c>
      <c r="AZ503" t="s">
        <v>1081</v>
      </c>
      <c r="BA503">
        <v>2010</v>
      </c>
      <c r="BC503" t="s">
        <v>1082</v>
      </c>
      <c r="BD503" t="s">
        <v>1113</v>
      </c>
      <c r="BE503" t="s">
        <v>483</v>
      </c>
      <c r="BF503" t="s">
        <v>1102</v>
      </c>
      <c r="BG503" t="s">
        <v>1112</v>
      </c>
      <c r="BH503" t="s">
        <v>480</v>
      </c>
      <c r="BI503" t="s">
        <v>480</v>
      </c>
      <c r="BJ503" t="s">
        <v>480</v>
      </c>
      <c r="GL503" t="s">
        <v>1105</v>
      </c>
      <c r="GM503" s="9" t="s">
        <v>480</v>
      </c>
      <c r="GN503" s="9" t="s">
        <v>480</v>
      </c>
      <c r="GO503" s="9" t="s">
        <v>480</v>
      </c>
      <c r="HY503" s="50"/>
      <c r="IV503" t="s">
        <v>1113</v>
      </c>
      <c r="IW503" s="46" t="s">
        <v>1114</v>
      </c>
      <c r="IX503" s="46" t="s">
        <v>1114</v>
      </c>
      <c r="IY503" s="46" t="s">
        <v>1115</v>
      </c>
      <c r="IZ503">
        <v>1</v>
      </c>
      <c r="JA503">
        <v>6</v>
      </c>
      <c r="JB503" t="s">
        <v>480</v>
      </c>
      <c r="JC503" t="s">
        <v>480</v>
      </c>
      <c r="MY503" t="s">
        <v>1095</v>
      </c>
      <c r="MZ503">
        <v>1963</v>
      </c>
      <c r="NA503" t="s">
        <v>1125</v>
      </c>
      <c r="NB503" t="s">
        <v>1097</v>
      </c>
      <c r="NG503" t="s">
        <v>1126</v>
      </c>
      <c r="NH503" t="s">
        <v>687</v>
      </c>
      <c r="NJ503" t="s">
        <v>689</v>
      </c>
      <c r="NL503" t="s">
        <v>689</v>
      </c>
      <c r="NM503" s="6" t="s">
        <v>1131</v>
      </c>
      <c r="NU503" t="s">
        <v>1116</v>
      </c>
      <c r="NV503" t="s">
        <v>518</v>
      </c>
      <c r="NW503">
        <v>0</v>
      </c>
      <c r="NX503" t="s">
        <v>916</v>
      </c>
      <c r="NY503">
        <v>0</v>
      </c>
      <c r="OB503">
        <v>7</v>
      </c>
      <c r="OU503" t="s">
        <v>1053</v>
      </c>
      <c r="OW503">
        <v>2010</v>
      </c>
      <c r="PB503" t="s">
        <v>522</v>
      </c>
      <c r="PC503" s="50">
        <v>46108</v>
      </c>
    </row>
    <row r="504" spans="1:419" ht="15.75" thickBot="1">
      <c r="A504" t="s">
        <v>665</v>
      </c>
      <c r="B504" t="s">
        <v>1075</v>
      </c>
      <c r="C504" t="s">
        <v>1076</v>
      </c>
      <c r="D504" s="4" t="s">
        <v>472</v>
      </c>
      <c r="E504" t="s">
        <v>1077</v>
      </c>
      <c r="F504" t="s">
        <v>865</v>
      </c>
      <c r="G504" t="s">
        <v>1078</v>
      </c>
      <c r="H504" s="2" t="s">
        <v>1079</v>
      </c>
      <c r="I504">
        <v>-23.748532000000001</v>
      </c>
      <c r="J504">
        <v>-62.056702000000001</v>
      </c>
      <c r="K504" s="78">
        <v>65000</v>
      </c>
      <c r="AV504" t="s">
        <v>1080</v>
      </c>
      <c r="AW504" t="s">
        <v>866</v>
      </c>
      <c r="AX504">
        <v>1000</v>
      </c>
      <c r="AY504" s="5">
        <v>1</v>
      </c>
      <c r="AZ504" t="s">
        <v>1081</v>
      </c>
      <c r="BA504">
        <v>2010</v>
      </c>
      <c r="BC504" t="s">
        <v>1082</v>
      </c>
      <c r="BD504" t="s">
        <v>1083</v>
      </c>
      <c r="BE504" t="s">
        <v>524</v>
      </c>
      <c r="BF504" t="s">
        <v>1084</v>
      </c>
      <c r="ED504" t="s">
        <v>1085</v>
      </c>
      <c r="EE504" t="s">
        <v>480</v>
      </c>
      <c r="EF504" t="s">
        <v>480</v>
      </c>
      <c r="EG504" t="s">
        <v>537</v>
      </c>
      <c r="EH504" t="s">
        <v>1086</v>
      </c>
      <c r="EI504" t="s">
        <v>480</v>
      </c>
      <c r="EJ504" t="s">
        <v>480</v>
      </c>
      <c r="EK504" t="s">
        <v>537</v>
      </c>
      <c r="EL504" t="s">
        <v>1087</v>
      </c>
      <c r="EM504" t="s">
        <v>480</v>
      </c>
      <c r="EN504" t="s">
        <v>480</v>
      </c>
      <c r="EO504" t="s">
        <v>537</v>
      </c>
      <c r="EP504" t="s">
        <v>1088</v>
      </c>
      <c r="EQ504" t="s">
        <v>480</v>
      </c>
      <c r="ER504" t="s">
        <v>480</v>
      </c>
      <c r="ES504" t="s">
        <v>537</v>
      </c>
      <c r="ET504" t="s">
        <v>1089</v>
      </c>
      <c r="EU504" t="s">
        <v>480</v>
      </c>
      <c r="EV504" t="s">
        <v>480</v>
      </c>
      <c r="EW504" t="s">
        <v>537</v>
      </c>
      <c r="EX504" t="s">
        <v>1090</v>
      </c>
      <c r="EY504" t="s">
        <v>480</v>
      </c>
      <c r="EZ504" t="s">
        <v>480</v>
      </c>
      <c r="FA504" t="s">
        <v>537</v>
      </c>
      <c r="FB504" t="s">
        <v>1091</v>
      </c>
      <c r="FC504" t="s">
        <v>480</v>
      </c>
      <c r="FD504" t="s">
        <v>480</v>
      </c>
      <c r="HY504" s="50"/>
      <c r="IV504" t="s">
        <v>1083</v>
      </c>
      <c r="IW504" t="s">
        <v>1092</v>
      </c>
      <c r="IX504" t="s">
        <v>1092</v>
      </c>
      <c r="IY504" t="s">
        <v>1092</v>
      </c>
      <c r="IZ504">
        <v>5</v>
      </c>
      <c r="JA504">
        <v>70</v>
      </c>
      <c r="JB504" t="s">
        <v>480</v>
      </c>
      <c r="JC504" t="s">
        <v>480</v>
      </c>
      <c r="MT504" t="s">
        <v>1083</v>
      </c>
      <c r="MU504" s="185" t="s">
        <v>1092</v>
      </c>
      <c r="MV504" t="s">
        <v>480</v>
      </c>
      <c r="MW504" s="185" t="s">
        <v>1093</v>
      </c>
      <c r="MX504" s="185" t="s">
        <v>1094</v>
      </c>
      <c r="MY504" t="s">
        <v>1095</v>
      </c>
      <c r="MZ504">
        <v>1963</v>
      </c>
      <c r="NA504" t="s">
        <v>1127</v>
      </c>
      <c r="NB504" t="s">
        <v>1097</v>
      </c>
      <c r="NG504" t="s">
        <v>1128</v>
      </c>
      <c r="NH504" t="s">
        <v>687</v>
      </c>
      <c r="NJ504" t="s">
        <v>689</v>
      </c>
      <c r="NL504" t="s">
        <v>689</v>
      </c>
      <c r="NM504" s="6" t="s">
        <v>1131</v>
      </c>
      <c r="NU504" t="s">
        <v>1100</v>
      </c>
      <c r="NV504" t="s">
        <v>518</v>
      </c>
      <c r="NW504">
        <v>6.2</v>
      </c>
      <c r="NX504" t="s">
        <v>916</v>
      </c>
      <c r="NY504">
        <v>4.8</v>
      </c>
      <c r="OB504">
        <v>6</v>
      </c>
      <c r="OU504" t="s">
        <v>1053</v>
      </c>
      <c r="OW504">
        <v>2010</v>
      </c>
      <c r="PB504" t="s">
        <v>522</v>
      </c>
      <c r="PC504" s="50">
        <v>46108</v>
      </c>
    </row>
    <row r="505" spans="1:419" ht="15.75" thickBot="1">
      <c r="A505" t="s">
        <v>665</v>
      </c>
      <c r="B505" t="s">
        <v>1075</v>
      </c>
      <c r="C505" t="s">
        <v>1076</v>
      </c>
      <c r="D505" s="4" t="s">
        <v>472</v>
      </c>
      <c r="E505" t="s">
        <v>1077</v>
      </c>
      <c r="F505" t="s">
        <v>865</v>
      </c>
      <c r="G505" t="s">
        <v>1078</v>
      </c>
      <c r="H505" s="2" t="s">
        <v>1079</v>
      </c>
      <c r="I505">
        <v>-23.748532000000001</v>
      </c>
      <c r="J505">
        <v>-62.056702000000001</v>
      </c>
      <c r="K505" s="78">
        <v>65000</v>
      </c>
      <c r="AV505" t="s">
        <v>1080</v>
      </c>
      <c r="AW505" t="s">
        <v>866</v>
      </c>
      <c r="AX505" t="s">
        <v>866</v>
      </c>
      <c r="AY505" s="5">
        <v>1</v>
      </c>
      <c r="AZ505" t="s">
        <v>1081</v>
      </c>
      <c r="BA505">
        <v>2010</v>
      </c>
      <c r="BC505" t="s">
        <v>1082</v>
      </c>
      <c r="BD505" t="s">
        <v>1101</v>
      </c>
      <c r="BE505" t="s">
        <v>536</v>
      </c>
      <c r="BF505" t="s">
        <v>1102</v>
      </c>
      <c r="BG505" t="s">
        <v>1103</v>
      </c>
      <c r="BH505" t="s">
        <v>1104</v>
      </c>
      <c r="BI505" t="s">
        <v>480</v>
      </c>
      <c r="BJ505" t="s">
        <v>480</v>
      </c>
      <c r="ED505" t="s">
        <v>1085</v>
      </c>
      <c r="EE505" t="s">
        <v>480</v>
      </c>
      <c r="EF505" t="s">
        <v>480</v>
      </c>
      <c r="EG505" t="s">
        <v>537</v>
      </c>
      <c r="EH505" t="s">
        <v>1086</v>
      </c>
      <c r="EI505" t="s">
        <v>480</v>
      </c>
      <c r="EJ505" t="s">
        <v>480</v>
      </c>
      <c r="EK505" t="s">
        <v>537</v>
      </c>
      <c r="EL505" t="s">
        <v>1087</v>
      </c>
      <c r="EM505" t="s">
        <v>480</v>
      </c>
      <c r="EN505" t="s">
        <v>480</v>
      </c>
      <c r="EO505" t="s">
        <v>537</v>
      </c>
      <c r="EP505" t="s">
        <v>1088</v>
      </c>
      <c r="EQ505" t="s">
        <v>480</v>
      </c>
      <c r="ER505" t="s">
        <v>480</v>
      </c>
      <c r="ES505" t="s">
        <v>537</v>
      </c>
      <c r="ET505" t="s">
        <v>1089</v>
      </c>
      <c r="EU505" t="s">
        <v>480</v>
      </c>
      <c r="EV505" t="s">
        <v>480</v>
      </c>
      <c r="EW505" t="s">
        <v>537</v>
      </c>
      <c r="EX505" t="s">
        <v>1090</v>
      </c>
      <c r="EY505" t="s">
        <v>480</v>
      </c>
      <c r="EZ505" t="s">
        <v>480</v>
      </c>
      <c r="FA505" t="s">
        <v>537</v>
      </c>
      <c r="FB505" t="s">
        <v>1091</v>
      </c>
      <c r="FC505" t="s">
        <v>480</v>
      </c>
      <c r="FD505" t="s">
        <v>480</v>
      </c>
      <c r="GL505" t="s">
        <v>1105</v>
      </c>
      <c r="GM505" s="9" t="s">
        <v>480</v>
      </c>
      <c r="GN505" s="9" t="s">
        <v>480</v>
      </c>
      <c r="GO505" s="9" t="s">
        <v>480</v>
      </c>
      <c r="GP505" s="9"/>
      <c r="GQ505" s="9"/>
      <c r="GR505" s="9"/>
      <c r="GS505" s="9"/>
      <c r="GT505" s="9"/>
      <c r="GU505" s="9"/>
      <c r="GV505" s="9"/>
      <c r="GW505" s="9"/>
      <c r="GX505" s="9"/>
      <c r="GY505" s="9"/>
      <c r="GZ505" s="9"/>
      <c r="HA505" s="9"/>
      <c r="HB505" s="9"/>
      <c r="HC505" s="9"/>
      <c r="HD505" s="9"/>
      <c r="HE505" s="9"/>
      <c r="HF505" s="9"/>
      <c r="HG505" s="9"/>
      <c r="HH505" s="9"/>
      <c r="HI505" s="9"/>
      <c r="HJ505" s="9"/>
      <c r="HK505" s="9"/>
      <c r="HX505" s="50"/>
      <c r="HY505" s="50"/>
      <c r="IV505" t="s">
        <v>1101</v>
      </c>
      <c r="IW505" s="75" t="s">
        <v>1106</v>
      </c>
      <c r="IX505" t="s">
        <v>1107</v>
      </c>
      <c r="IY505" s="46" t="s">
        <v>1108</v>
      </c>
      <c r="IZ505">
        <v>1</v>
      </c>
      <c r="JA505">
        <v>81</v>
      </c>
      <c r="JB505" t="s">
        <v>480</v>
      </c>
      <c r="JC505" t="s">
        <v>480</v>
      </c>
      <c r="MY505" t="s">
        <v>1095</v>
      </c>
      <c r="MZ505">
        <v>1963</v>
      </c>
      <c r="NA505" t="s">
        <v>1127</v>
      </c>
      <c r="NB505" t="s">
        <v>1097</v>
      </c>
      <c r="NG505" t="s">
        <v>1128</v>
      </c>
      <c r="NH505" t="s">
        <v>687</v>
      </c>
      <c r="NJ505" t="s">
        <v>689</v>
      </c>
      <c r="NL505" t="s">
        <v>689</v>
      </c>
      <c r="NM505" s="6" t="s">
        <v>1131</v>
      </c>
      <c r="NV505" t="s">
        <v>518</v>
      </c>
      <c r="NW505">
        <v>8.5</v>
      </c>
      <c r="NX505" t="s">
        <v>916</v>
      </c>
      <c r="NY505">
        <v>8.1</v>
      </c>
      <c r="OB505">
        <v>8</v>
      </c>
      <c r="OU505" t="s">
        <v>1053</v>
      </c>
      <c r="OW505">
        <v>2010</v>
      </c>
      <c r="PB505" t="s">
        <v>522</v>
      </c>
      <c r="PC505" s="50">
        <v>46108</v>
      </c>
    </row>
    <row r="506" spans="1:419" ht="15.75" thickBot="1">
      <c r="A506" t="s">
        <v>665</v>
      </c>
      <c r="B506" t="s">
        <v>1075</v>
      </c>
      <c r="C506" t="s">
        <v>1076</v>
      </c>
      <c r="D506" s="4" t="s">
        <v>472</v>
      </c>
      <c r="E506" t="s">
        <v>1077</v>
      </c>
      <c r="F506" t="s">
        <v>865</v>
      </c>
      <c r="G506" t="s">
        <v>1078</v>
      </c>
      <c r="H506" s="2" t="s">
        <v>1079</v>
      </c>
      <c r="I506">
        <v>-23.748532000000001</v>
      </c>
      <c r="J506">
        <v>-62.056702000000001</v>
      </c>
      <c r="K506" s="78">
        <v>65000</v>
      </c>
      <c r="AV506" t="s">
        <v>1080</v>
      </c>
      <c r="AW506" t="s">
        <v>866</v>
      </c>
      <c r="AX506">
        <v>3600</v>
      </c>
      <c r="AY506" s="5">
        <v>1</v>
      </c>
      <c r="AZ506" t="s">
        <v>1081</v>
      </c>
      <c r="BA506">
        <v>2010</v>
      </c>
      <c r="BC506" t="s">
        <v>1082</v>
      </c>
      <c r="BD506" t="s">
        <v>1109</v>
      </c>
      <c r="BE506" t="s">
        <v>566</v>
      </c>
      <c r="BF506" t="s">
        <v>1102</v>
      </c>
      <c r="BG506" t="s">
        <v>1103</v>
      </c>
      <c r="BH506" t="s">
        <v>480</v>
      </c>
      <c r="BI506" t="s">
        <v>480</v>
      </c>
      <c r="BJ506" t="s">
        <v>480</v>
      </c>
      <c r="ED506" t="s">
        <v>1085</v>
      </c>
      <c r="EE506" t="s">
        <v>480</v>
      </c>
      <c r="EF506" t="s">
        <v>480</v>
      </c>
      <c r="EG506" t="s">
        <v>537</v>
      </c>
      <c r="EH506" t="s">
        <v>1086</v>
      </c>
      <c r="EI506" t="s">
        <v>480</v>
      </c>
      <c r="EJ506" t="s">
        <v>480</v>
      </c>
      <c r="EK506" t="s">
        <v>537</v>
      </c>
      <c r="EL506" t="s">
        <v>1087</v>
      </c>
      <c r="EM506" t="s">
        <v>480</v>
      </c>
      <c r="EN506" t="s">
        <v>480</v>
      </c>
      <c r="EO506" t="s">
        <v>537</v>
      </c>
      <c r="EP506" t="s">
        <v>1088</v>
      </c>
      <c r="EQ506" t="s">
        <v>480</v>
      </c>
      <c r="ER506" t="s">
        <v>480</v>
      </c>
      <c r="ES506" t="s">
        <v>537</v>
      </c>
      <c r="ET506" t="s">
        <v>1089</v>
      </c>
      <c r="EU506" t="s">
        <v>480</v>
      </c>
      <c r="EV506" t="s">
        <v>480</v>
      </c>
      <c r="EW506" t="s">
        <v>537</v>
      </c>
      <c r="EX506" t="s">
        <v>1090</v>
      </c>
      <c r="EY506" t="s">
        <v>480</v>
      </c>
      <c r="EZ506" t="s">
        <v>480</v>
      </c>
      <c r="FA506" t="s">
        <v>537</v>
      </c>
      <c r="FB506" t="s">
        <v>1091</v>
      </c>
      <c r="FC506" t="s">
        <v>480</v>
      </c>
      <c r="FD506" t="s">
        <v>480</v>
      </c>
      <c r="FF506" s="9"/>
      <c r="FG506" s="9"/>
      <c r="FH506" s="9"/>
      <c r="FI506" s="9"/>
      <c r="FJ506" s="9"/>
      <c r="FK506" s="9"/>
      <c r="FL506" s="9"/>
      <c r="FM506" s="9"/>
      <c r="FN506" s="9"/>
      <c r="FO506" s="9"/>
      <c r="FP506" s="9"/>
      <c r="FQ506" s="9"/>
      <c r="FR506" s="9"/>
      <c r="FS506" s="9"/>
      <c r="FT506" s="9"/>
      <c r="FU506" s="9"/>
      <c r="FV506" s="9"/>
      <c r="FW506" s="9"/>
      <c r="FX506" s="9"/>
      <c r="FY506" s="9"/>
      <c r="FZ506" s="9"/>
      <c r="GA506" s="9"/>
      <c r="GB506" s="9"/>
      <c r="GC506" s="9"/>
      <c r="GD506" s="9"/>
      <c r="GE506" s="9"/>
      <c r="GF506" s="9"/>
      <c r="GG506" s="9"/>
      <c r="GH506" s="9"/>
      <c r="GI506" s="9"/>
      <c r="GJ506" s="9"/>
      <c r="GK506" s="9"/>
      <c r="GL506" s="9" t="s">
        <v>1105</v>
      </c>
      <c r="GM506" s="9" t="s">
        <v>480</v>
      </c>
      <c r="GN506" s="9" t="s">
        <v>480</v>
      </c>
      <c r="GO506" s="9" t="s">
        <v>480</v>
      </c>
      <c r="GP506" s="9"/>
      <c r="GQ506" s="9"/>
      <c r="GR506" s="9"/>
      <c r="GS506" s="9"/>
      <c r="GT506" s="9"/>
      <c r="GU506" s="9"/>
      <c r="GV506" s="9"/>
      <c r="GW506" s="9"/>
      <c r="GX506" s="9"/>
      <c r="GY506" s="9"/>
      <c r="GZ506" s="9"/>
      <c r="HA506" s="9"/>
      <c r="HB506" s="9"/>
      <c r="HC506" s="9"/>
      <c r="HD506" s="9"/>
      <c r="HE506" s="9"/>
      <c r="HF506" s="9"/>
      <c r="HG506" s="9"/>
      <c r="HH506" s="9"/>
      <c r="HI506" s="9"/>
      <c r="HJ506" s="9"/>
      <c r="HK506" s="9"/>
      <c r="HX506" s="50"/>
      <c r="HY506" s="50"/>
      <c r="IV506" t="s">
        <v>1109</v>
      </c>
      <c r="IW506" s="75" t="s">
        <v>1106</v>
      </c>
      <c r="IX506" s="12" t="s">
        <v>1107</v>
      </c>
      <c r="IY506" s="46" t="s">
        <v>1110</v>
      </c>
      <c r="IZ506">
        <v>7.5</v>
      </c>
      <c r="JA506">
        <v>56</v>
      </c>
      <c r="JB506" t="s">
        <v>480</v>
      </c>
      <c r="JC506" t="s">
        <v>480</v>
      </c>
      <c r="MY506" t="s">
        <v>1095</v>
      </c>
      <c r="MZ506">
        <v>1963</v>
      </c>
      <c r="NA506" t="s">
        <v>1127</v>
      </c>
      <c r="NB506" t="s">
        <v>1097</v>
      </c>
      <c r="NG506" t="s">
        <v>1128</v>
      </c>
      <c r="NH506" t="s">
        <v>687</v>
      </c>
      <c r="NJ506" t="s">
        <v>689</v>
      </c>
      <c r="NL506" t="s">
        <v>689</v>
      </c>
      <c r="NM506" s="6" t="s">
        <v>1131</v>
      </c>
      <c r="NV506" t="s">
        <v>518</v>
      </c>
      <c r="NW506">
        <v>11.3</v>
      </c>
      <c r="NX506" t="s">
        <v>916</v>
      </c>
      <c r="NY506">
        <v>9.3000000000000007</v>
      </c>
      <c r="OB506">
        <v>7</v>
      </c>
      <c r="OU506" t="s">
        <v>1053</v>
      </c>
      <c r="OW506">
        <v>2010</v>
      </c>
      <c r="PB506" t="s">
        <v>522</v>
      </c>
      <c r="PC506" s="50">
        <v>46108</v>
      </c>
    </row>
    <row r="507" spans="1:419" ht="15.75" thickBot="1">
      <c r="A507" t="s">
        <v>665</v>
      </c>
      <c r="B507" t="s">
        <v>1075</v>
      </c>
      <c r="C507" t="s">
        <v>1076</v>
      </c>
      <c r="D507" s="4" t="s">
        <v>472</v>
      </c>
      <c r="E507" t="s">
        <v>1077</v>
      </c>
      <c r="F507" t="s">
        <v>865</v>
      </c>
      <c r="G507" t="s">
        <v>1078</v>
      </c>
      <c r="H507" s="2" t="s">
        <v>1079</v>
      </c>
      <c r="I507">
        <v>-23.748532000000001</v>
      </c>
      <c r="J507">
        <v>-62.056702000000001</v>
      </c>
      <c r="K507" s="78">
        <v>65000</v>
      </c>
      <c r="AV507" t="s">
        <v>1080</v>
      </c>
      <c r="AW507" t="s">
        <v>866</v>
      </c>
      <c r="AX507">
        <v>3600</v>
      </c>
      <c r="AY507" s="5">
        <v>1</v>
      </c>
      <c r="AZ507" t="s">
        <v>1081</v>
      </c>
      <c r="BA507">
        <v>2010</v>
      </c>
      <c r="BC507" t="s">
        <v>1082</v>
      </c>
      <c r="BD507" t="s">
        <v>1111</v>
      </c>
      <c r="BE507" t="s">
        <v>572</v>
      </c>
      <c r="BF507" t="s">
        <v>1102</v>
      </c>
      <c r="BG507" t="s">
        <v>1112</v>
      </c>
      <c r="BH507" t="s">
        <v>480</v>
      </c>
      <c r="BI507" t="s">
        <v>480</v>
      </c>
      <c r="BJ507" t="s">
        <v>480</v>
      </c>
      <c r="ED507" t="s">
        <v>1085</v>
      </c>
      <c r="EE507" t="s">
        <v>480</v>
      </c>
      <c r="EF507" t="s">
        <v>480</v>
      </c>
      <c r="EG507" t="s">
        <v>537</v>
      </c>
      <c r="EH507" t="s">
        <v>1086</v>
      </c>
      <c r="EI507" t="s">
        <v>480</v>
      </c>
      <c r="EJ507" t="s">
        <v>480</v>
      </c>
      <c r="EK507" t="s">
        <v>537</v>
      </c>
      <c r="EL507" t="s">
        <v>1087</v>
      </c>
      <c r="EM507" t="s">
        <v>480</v>
      </c>
      <c r="EN507" t="s">
        <v>480</v>
      </c>
      <c r="EO507" t="s">
        <v>537</v>
      </c>
      <c r="EP507" t="s">
        <v>1088</v>
      </c>
      <c r="EQ507" t="s">
        <v>480</v>
      </c>
      <c r="ER507" t="s">
        <v>480</v>
      </c>
      <c r="ES507" t="s">
        <v>537</v>
      </c>
      <c r="ET507" t="s">
        <v>1089</v>
      </c>
      <c r="EU507" t="s">
        <v>480</v>
      </c>
      <c r="EV507" t="s">
        <v>480</v>
      </c>
      <c r="EW507" t="s">
        <v>537</v>
      </c>
      <c r="EX507" t="s">
        <v>1090</v>
      </c>
      <c r="EY507" t="s">
        <v>480</v>
      </c>
      <c r="EZ507" t="s">
        <v>480</v>
      </c>
      <c r="FA507" t="s">
        <v>537</v>
      </c>
      <c r="FB507" t="s">
        <v>1091</v>
      </c>
      <c r="FC507" t="s">
        <v>480</v>
      </c>
      <c r="FD507" t="s">
        <v>480</v>
      </c>
      <c r="FF507" s="9"/>
      <c r="FG507" s="9"/>
      <c r="FH507" s="9"/>
      <c r="FI507" s="9"/>
      <c r="FJ507" s="9"/>
      <c r="FK507" s="9"/>
      <c r="FL507" s="9"/>
      <c r="FM507" s="9"/>
      <c r="FN507" s="9"/>
      <c r="FO507" s="9"/>
      <c r="FP507" s="9"/>
      <c r="FQ507" s="9"/>
      <c r="FR507" s="9"/>
      <c r="FS507" s="9"/>
      <c r="FT507" s="9"/>
      <c r="FU507" s="9"/>
      <c r="FV507" s="9"/>
      <c r="FW507" s="9"/>
      <c r="FX507" s="9"/>
      <c r="FY507" s="9"/>
      <c r="FZ507" s="9"/>
      <c r="GA507" s="9"/>
      <c r="GB507" s="9"/>
      <c r="GC507" s="9"/>
      <c r="GD507" s="9"/>
      <c r="GE507" s="9"/>
      <c r="GF507" s="9"/>
      <c r="GG507" s="9"/>
      <c r="GH507" s="9"/>
      <c r="GI507" s="9"/>
      <c r="GJ507" s="9"/>
      <c r="GK507" s="9"/>
      <c r="GL507" s="9" t="s">
        <v>1105</v>
      </c>
      <c r="GM507" s="9" t="s">
        <v>480</v>
      </c>
      <c r="GN507" s="9" t="s">
        <v>480</v>
      </c>
      <c r="GO507" s="9" t="s">
        <v>480</v>
      </c>
      <c r="GP507" s="9"/>
      <c r="GQ507" s="9"/>
      <c r="GR507" s="9"/>
      <c r="GS507" s="9"/>
      <c r="GT507" s="9"/>
      <c r="GU507" s="9"/>
      <c r="GV507" s="9"/>
      <c r="GW507" s="9"/>
      <c r="GX507" s="9"/>
      <c r="GY507" s="9"/>
      <c r="GZ507" s="9"/>
      <c r="HA507" s="9"/>
      <c r="HB507" s="9"/>
      <c r="HC507" s="9"/>
      <c r="HD507" s="9"/>
      <c r="HE507" s="9"/>
      <c r="HF507" s="9"/>
      <c r="HG507" s="9"/>
      <c r="HH507" s="9"/>
      <c r="HI507" s="9"/>
      <c r="HJ507" s="9"/>
      <c r="HK507" s="9"/>
      <c r="HX507" s="50"/>
      <c r="HY507" s="50"/>
      <c r="IV507" t="s">
        <v>1111</v>
      </c>
      <c r="IW507" s="75" t="s">
        <v>1106</v>
      </c>
      <c r="IX507" s="12" t="s">
        <v>1107</v>
      </c>
      <c r="IY507" s="46" t="s">
        <v>1110</v>
      </c>
      <c r="IZ507">
        <v>7.5</v>
      </c>
      <c r="JA507">
        <v>37</v>
      </c>
      <c r="JB507" t="s">
        <v>480</v>
      </c>
      <c r="JC507" t="s">
        <v>480</v>
      </c>
      <c r="MY507" t="s">
        <v>1095</v>
      </c>
      <c r="MZ507">
        <v>1963</v>
      </c>
      <c r="NA507" t="s">
        <v>1127</v>
      </c>
      <c r="NB507" t="s">
        <v>1097</v>
      </c>
      <c r="NG507" t="s">
        <v>1128</v>
      </c>
      <c r="NH507" t="s">
        <v>687</v>
      </c>
      <c r="NJ507" t="s">
        <v>689</v>
      </c>
      <c r="NL507" t="s">
        <v>689</v>
      </c>
      <c r="NM507" s="6" t="s">
        <v>1131</v>
      </c>
      <c r="NV507" t="s">
        <v>518</v>
      </c>
      <c r="NW507">
        <v>16.8</v>
      </c>
      <c r="NX507" t="s">
        <v>916</v>
      </c>
      <c r="NY507">
        <v>13</v>
      </c>
      <c r="OB507">
        <v>5</v>
      </c>
      <c r="OU507" t="s">
        <v>1053</v>
      </c>
      <c r="OW507">
        <v>2010</v>
      </c>
      <c r="PB507" t="s">
        <v>522</v>
      </c>
      <c r="PC507" s="50">
        <v>46108</v>
      </c>
    </row>
    <row r="508" spans="1:419" ht="15.75" thickBot="1">
      <c r="A508" t="s">
        <v>665</v>
      </c>
      <c r="B508" t="s">
        <v>1075</v>
      </c>
      <c r="C508" t="s">
        <v>1076</v>
      </c>
      <c r="D508" s="4" t="s">
        <v>472</v>
      </c>
      <c r="E508" t="s">
        <v>1077</v>
      </c>
      <c r="F508" t="s">
        <v>865</v>
      </c>
      <c r="G508" t="s">
        <v>1078</v>
      </c>
      <c r="H508" s="2" t="s">
        <v>1079</v>
      </c>
      <c r="I508">
        <v>-23.748532000000001</v>
      </c>
      <c r="J508">
        <v>-62.056702000000001</v>
      </c>
      <c r="K508" s="78">
        <v>65000</v>
      </c>
      <c r="AV508" t="s">
        <v>1080</v>
      </c>
      <c r="AW508" t="s">
        <v>866</v>
      </c>
      <c r="AX508" t="s">
        <v>866</v>
      </c>
      <c r="AY508" s="5">
        <v>1</v>
      </c>
      <c r="AZ508" t="s">
        <v>1081</v>
      </c>
      <c r="BA508">
        <v>2010</v>
      </c>
      <c r="BC508" t="s">
        <v>1082</v>
      </c>
      <c r="BD508" t="s">
        <v>1113</v>
      </c>
      <c r="BE508" t="s">
        <v>483</v>
      </c>
      <c r="BF508" t="s">
        <v>1102</v>
      </c>
      <c r="BG508" t="s">
        <v>1112</v>
      </c>
      <c r="BH508" t="s">
        <v>480</v>
      </c>
      <c r="BI508" t="s">
        <v>480</v>
      </c>
      <c r="BJ508" t="s">
        <v>480</v>
      </c>
      <c r="GL508" t="s">
        <v>1105</v>
      </c>
      <c r="GM508" s="9" t="s">
        <v>480</v>
      </c>
      <c r="GN508" s="9" t="s">
        <v>480</v>
      </c>
      <c r="GO508" s="9" t="s">
        <v>480</v>
      </c>
      <c r="HY508" s="50"/>
      <c r="IV508" t="s">
        <v>1113</v>
      </c>
      <c r="IW508" s="46" t="s">
        <v>1114</v>
      </c>
      <c r="IX508" s="46" t="s">
        <v>1114</v>
      </c>
      <c r="IY508" s="46" t="s">
        <v>1115</v>
      </c>
      <c r="IZ508">
        <v>1</v>
      </c>
      <c r="JA508">
        <v>6</v>
      </c>
      <c r="JB508" t="s">
        <v>480</v>
      </c>
      <c r="JC508" t="s">
        <v>480</v>
      </c>
      <c r="MY508" t="s">
        <v>1095</v>
      </c>
      <c r="MZ508">
        <v>1963</v>
      </c>
      <c r="NA508" t="s">
        <v>1127</v>
      </c>
      <c r="NB508" t="s">
        <v>1097</v>
      </c>
      <c r="NG508" t="s">
        <v>1128</v>
      </c>
      <c r="NH508" t="s">
        <v>687</v>
      </c>
      <c r="NJ508" t="s">
        <v>689</v>
      </c>
      <c r="NL508" t="s">
        <v>689</v>
      </c>
      <c r="NM508" s="6" t="s">
        <v>1131</v>
      </c>
      <c r="NU508" t="s">
        <v>1116</v>
      </c>
      <c r="NV508" t="s">
        <v>518</v>
      </c>
      <c r="NW508">
        <v>8.6999999999999993</v>
      </c>
      <c r="NX508" t="s">
        <v>916</v>
      </c>
      <c r="NY508">
        <v>7.6</v>
      </c>
      <c r="OB508">
        <v>7</v>
      </c>
      <c r="OU508" t="s">
        <v>1053</v>
      </c>
      <c r="OW508">
        <v>2010</v>
      </c>
      <c r="PB508" t="s">
        <v>522</v>
      </c>
      <c r="PC508" s="50">
        <v>46108</v>
      </c>
    </row>
    <row r="509" spans="1:419" ht="15.75" thickBot="1">
      <c r="A509" t="s">
        <v>665</v>
      </c>
      <c r="B509" t="s">
        <v>1075</v>
      </c>
      <c r="C509" t="s">
        <v>1076</v>
      </c>
      <c r="D509" s="4" t="s">
        <v>472</v>
      </c>
      <c r="E509" t="s">
        <v>1077</v>
      </c>
      <c r="F509" t="s">
        <v>865</v>
      </c>
      <c r="G509" t="s">
        <v>1078</v>
      </c>
      <c r="H509" s="2" t="s">
        <v>1079</v>
      </c>
      <c r="I509">
        <v>-23.748532000000001</v>
      </c>
      <c r="J509">
        <v>-62.056702000000001</v>
      </c>
      <c r="K509" s="78">
        <v>65000</v>
      </c>
      <c r="AV509" t="s">
        <v>1080</v>
      </c>
      <c r="AW509" t="s">
        <v>866</v>
      </c>
      <c r="AX509">
        <v>1000</v>
      </c>
      <c r="AY509" s="5">
        <v>1</v>
      </c>
      <c r="AZ509" t="s">
        <v>1081</v>
      </c>
      <c r="BA509">
        <v>2010</v>
      </c>
      <c r="BC509" t="s">
        <v>1082</v>
      </c>
      <c r="BD509" t="s">
        <v>1083</v>
      </c>
      <c r="BE509" t="s">
        <v>524</v>
      </c>
      <c r="BF509" t="s">
        <v>1084</v>
      </c>
      <c r="ED509" t="s">
        <v>1085</v>
      </c>
      <c r="EE509" t="s">
        <v>480</v>
      </c>
      <c r="EF509" t="s">
        <v>480</v>
      </c>
      <c r="EG509" t="s">
        <v>537</v>
      </c>
      <c r="EH509" t="s">
        <v>1086</v>
      </c>
      <c r="EI509" t="s">
        <v>480</v>
      </c>
      <c r="EJ509" t="s">
        <v>480</v>
      </c>
      <c r="EK509" t="s">
        <v>537</v>
      </c>
      <c r="EL509" t="s">
        <v>1087</v>
      </c>
      <c r="EM509" t="s">
        <v>480</v>
      </c>
      <c r="EN509" t="s">
        <v>480</v>
      </c>
      <c r="EO509" t="s">
        <v>537</v>
      </c>
      <c r="EP509" t="s">
        <v>1088</v>
      </c>
      <c r="EQ509" t="s">
        <v>480</v>
      </c>
      <c r="ER509" t="s">
        <v>480</v>
      </c>
      <c r="ES509" t="s">
        <v>537</v>
      </c>
      <c r="ET509" t="s">
        <v>1089</v>
      </c>
      <c r="EU509" t="s">
        <v>480</v>
      </c>
      <c r="EV509" t="s">
        <v>480</v>
      </c>
      <c r="EW509" t="s">
        <v>537</v>
      </c>
      <c r="EX509" t="s">
        <v>1090</v>
      </c>
      <c r="EY509" t="s">
        <v>480</v>
      </c>
      <c r="EZ509" t="s">
        <v>480</v>
      </c>
      <c r="FA509" t="s">
        <v>537</v>
      </c>
      <c r="FB509" t="s">
        <v>1091</v>
      </c>
      <c r="FC509" t="s">
        <v>480</v>
      </c>
      <c r="FD509" t="s">
        <v>480</v>
      </c>
      <c r="HY509" s="50"/>
      <c r="IV509" t="s">
        <v>1083</v>
      </c>
      <c r="IW509" t="s">
        <v>1092</v>
      </c>
      <c r="IX509" t="s">
        <v>1092</v>
      </c>
      <c r="IY509" t="s">
        <v>1092</v>
      </c>
      <c r="IZ509">
        <v>5</v>
      </c>
      <c r="JA509">
        <v>70</v>
      </c>
      <c r="JB509" t="s">
        <v>480</v>
      </c>
      <c r="JC509" t="s">
        <v>480</v>
      </c>
      <c r="MT509" t="s">
        <v>1083</v>
      </c>
      <c r="MU509" s="185" t="s">
        <v>1092</v>
      </c>
      <c r="MV509" t="s">
        <v>480</v>
      </c>
      <c r="MW509" s="185" t="s">
        <v>1093</v>
      </c>
      <c r="MX509" s="185" t="s">
        <v>1094</v>
      </c>
      <c r="MY509" t="s">
        <v>1095</v>
      </c>
      <c r="MZ509">
        <v>1963</v>
      </c>
      <c r="NA509" t="s">
        <v>1129</v>
      </c>
      <c r="NB509" t="s">
        <v>1097</v>
      </c>
      <c r="NG509" t="s">
        <v>1130</v>
      </c>
      <c r="NH509" t="s">
        <v>687</v>
      </c>
      <c r="NJ509" t="s">
        <v>689</v>
      </c>
      <c r="NL509" t="s">
        <v>689</v>
      </c>
      <c r="NM509" s="6" t="s">
        <v>1131</v>
      </c>
      <c r="NU509" t="s">
        <v>1100</v>
      </c>
      <c r="NV509" t="s">
        <v>518</v>
      </c>
      <c r="NW509">
        <v>1.5</v>
      </c>
      <c r="NX509" t="s">
        <v>916</v>
      </c>
      <c r="NY509">
        <v>2</v>
      </c>
      <c r="OB509">
        <v>6</v>
      </c>
      <c r="OU509" t="s">
        <v>1053</v>
      </c>
      <c r="OW509">
        <v>2010</v>
      </c>
      <c r="PB509" t="s">
        <v>522</v>
      </c>
      <c r="PC509" s="50">
        <v>46108</v>
      </c>
    </row>
    <row r="510" spans="1:419" ht="15.75" thickBot="1">
      <c r="A510" t="s">
        <v>665</v>
      </c>
      <c r="B510" t="s">
        <v>1075</v>
      </c>
      <c r="C510" t="s">
        <v>1076</v>
      </c>
      <c r="D510" s="4" t="s">
        <v>472</v>
      </c>
      <c r="E510" t="s">
        <v>1077</v>
      </c>
      <c r="F510" t="s">
        <v>865</v>
      </c>
      <c r="G510" t="s">
        <v>1078</v>
      </c>
      <c r="H510" s="2" t="s">
        <v>1079</v>
      </c>
      <c r="I510">
        <v>-23.748532000000001</v>
      </c>
      <c r="J510">
        <v>-62.056702000000001</v>
      </c>
      <c r="K510" s="78">
        <v>65000</v>
      </c>
      <c r="AV510" t="s">
        <v>1080</v>
      </c>
      <c r="AW510" t="s">
        <v>866</v>
      </c>
      <c r="AX510" t="s">
        <v>866</v>
      </c>
      <c r="AY510" s="5">
        <v>1</v>
      </c>
      <c r="AZ510" t="s">
        <v>1081</v>
      </c>
      <c r="BA510">
        <v>2010</v>
      </c>
      <c r="BC510" t="s">
        <v>1082</v>
      </c>
      <c r="BD510" t="s">
        <v>1101</v>
      </c>
      <c r="BE510" t="s">
        <v>536</v>
      </c>
      <c r="BF510" t="s">
        <v>1102</v>
      </c>
      <c r="BG510" t="s">
        <v>1103</v>
      </c>
      <c r="BH510" t="s">
        <v>1104</v>
      </c>
      <c r="BI510" t="s">
        <v>480</v>
      </c>
      <c r="BJ510" t="s">
        <v>480</v>
      </c>
      <c r="ED510" t="s">
        <v>1085</v>
      </c>
      <c r="EE510" t="s">
        <v>480</v>
      </c>
      <c r="EF510" t="s">
        <v>480</v>
      </c>
      <c r="EG510" t="s">
        <v>537</v>
      </c>
      <c r="EH510" t="s">
        <v>1086</v>
      </c>
      <c r="EI510" t="s">
        <v>480</v>
      </c>
      <c r="EJ510" t="s">
        <v>480</v>
      </c>
      <c r="EK510" t="s">
        <v>537</v>
      </c>
      <c r="EL510" t="s">
        <v>1087</v>
      </c>
      <c r="EM510" t="s">
        <v>480</v>
      </c>
      <c r="EN510" t="s">
        <v>480</v>
      </c>
      <c r="EO510" t="s">
        <v>537</v>
      </c>
      <c r="EP510" t="s">
        <v>1088</v>
      </c>
      <c r="EQ510" t="s">
        <v>480</v>
      </c>
      <c r="ER510" t="s">
        <v>480</v>
      </c>
      <c r="ES510" t="s">
        <v>537</v>
      </c>
      <c r="ET510" t="s">
        <v>1089</v>
      </c>
      <c r="EU510" t="s">
        <v>480</v>
      </c>
      <c r="EV510" t="s">
        <v>480</v>
      </c>
      <c r="EW510" t="s">
        <v>537</v>
      </c>
      <c r="EX510" t="s">
        <v>1090</v>
      </c>
      <c r="EY510" t="s">
        <v>480</v>
      </c>
      <c r="EZ510" t="s">
        <v>480</v>
      </c>
      <c r="FA510" t="s">
        <v>537</v>
      </c>
      <c r="FB510" t="s">
        <v>1091</v>
      </c>
      <c r="FC510" t="s">
        <v>480</v>
      </c>
      <c r="FD510" t="s">
        <v>480</v>
      </c>
      <c r="GL510" t="s">
        <v>1105</v>
      </c>
      <c r="GM510" s="9" t="s">
        <v>480</v>
      </c>
      <c r="GN510" s="9" t="s">
        <v>480</v>
      </c>
      <c r="GO510" s="9" t="s">
        <v>480</v>
      </c>
      <c r="GP510" s="9"/>
      <c r="GQ510" s="9"/>
      <c r="GR510" s="9"/>
      <c r="GS510" s="9"/>
      <c r="GT510" s="9"/>
      <c r="GU510" s="9"/>
      <c r="GV510" s="9"/>
      <c r="GW510" s="9"/>
      <c r="GX510" s="9"/>
      <c r="GY510" s="9"/>
      <c r="GZ510" s="9"/>
      <c r="HA510" s="9"/>
      <c r="HB510" s="9"/>
      <c r="HC510" s="9"/>
      <c r="HD510" s="9"/>
      <c r="HE510" s="9"/>
      <c r="HF510" s="9"/>
      <c r="HG510" s="9"/>
      <c r="HH510" s="9"/>
      <c r="HI510" s="9"/>
      <c r="HJ510" s="9"/>
      <c r="HK510" s="9"/>
      <c r="HX510" s="50"/>
      <c r="HY510" s="50"/>
      <c r="IV510" t="s">
        <v>1101</v>
      </c>
      <c r="IW510" s="75" t="s">
        <v>1106</v>
      </c>
      <c r="IX510" t="s">
        <v>1107</v>
      </c>
      <c r="IY510" s="46" t="s">
        <v>1108</v>
      </c>
      <c r="IZ510">
        <v>1</v>
      </c>
      <c r="JA510">
        <v>81</v>
      </c>
      <c r="JB510" t="s">
        <v>480</v>
      </c>
      <c r="JC510" t="s">
        <v>480</v>
      </c>
      <c r="MY510" t="s">
        <v>1095</v>
      </c>
      <c r="MZ510">
        <v>1963</v>
      </c>
      <c r="NA510" t="s">
        <v>1129</v>
      </c>
      <c r="NB510" t="s">
        <v>1097</v>
      </c>
      <c r="NG510" t="s">
        <v>1130</v>
      </c>
      <c r="NH510" t="s">
        <v>687</v>
      </c>
      <c r="NJ510" t="s">
        <v>689</v>
      </c>
      <c r="NL510" t="s">
        <v>689</v>
      </c>
      <c r="NM510" s="6" t="s">
        <v>1131</v>
      </c>
      <c r="NV510" t="s">
        <v>518</v>
      </c>
      <c r="NW510">
        <v>1.1000000000000001</v>
      </c>
      <c r="NX510" t="s">
        <v>916</v>
      </c>
      <c r="NY510">
        <v>1.8</v>
      </c>
      <c r="OB510">
        <v>8</v>
      </c>
      <c r="OU510" t="s">
        <v>1053</v>
      </c>
      <c r="OW510">
        <v>2010</v>
      </c>
      <c r="PB510" t="s">
        <v>522</v>
      </c>
      <c r="PC510" s="50">
        <v>46108</v>
      </c>
    </row>
    <row r="511" spans="1:419" ht="15.75" thickBot="1">
      <c r="A511" t="s">
        <v>665</v>
      </c>
      <c r="B511" t="s">
        <v>1075</v>
      </c>
      <c r="C511" t="s">
        <v>1076</v>
      </c>
      <c r="D511" s="4" t="s">
        <v>472</v>
      </c>
      <c r="E511" t="s">
        <v>1077</v>
      </c>
      <c r="F511" t="s">
        <v>865</v>
      </c>
      <c r="G511" t="s">
        <v>1078</v>
      </c>
      <c r="H511" s="2" t="s">
        <v>1079</v>
      </c>
      <c r="I511">
        <v>-23.748532000000001</v>
      </c>
      <c r="J511">
        <v>-62.056702000000001</v>
      </c>
      <c r="K511" s="78">
        <v>65000</v>
      </c>
      <c r="AV511" t="s">
        <v>1080</v>
      </c>
      <c r="AW511" t="s">
        <v>866</v>
      </c>
      <c r="AX511">
        <v>3600</v>
      </c>
      <c r="AY511" s="5">
        <v>1</v>
      </c>
      <c r="AZ511" t="s">
        <v>1081</v>
      </c>
      <c r="BA511">
        <v>2010</v>
      </c>
      <c r="BC511" t="s">
        <v>1082</v>
      </c>
      <c r="BD511" t="s">
        <v>1109</v>
      </c>
      <c r="BE511" t="s">
        <v>566</v>
      </c>
      <c r="BF511" t="s">
        <v>1102</v>
      </c>
      <c r="BG511" t="s">
        <v>1103</v>
      </c>
      <c r="BH511" t="s">
        <v>480</v>
      </c>
      <c r="BI511" t="s">
        <v>480</v>
      </c>
      <c r="BJ511" t="s">
        <v>480</v>
      </c>
      <c r="ED511" t="s">
        <v>1085</v>
      </c>
      <c r="EE511" t="s">
        <v>480</v>
      </c>
      <c r="EF511" t="s">
        <v>480</v>
      </c>
      <c r="EG511" t="s">
        <v>537</v>
      </c>
      <c r="EH511" t="s">
        <v>1086</v>
      </c>
      <c r="EI511" t="s">
        <v>480</v>
      </c>
      <c r="EJ511" t="s">
        <v>480</v>
      </c>
      <c r="EK511" t="s">
        <v>537</v>
      </c>
      <c r="EL511" t="s">
        <v>1087</v>
      </c>
      <c r="EM511" t="s">
        <v>480</v>
      </c>
      <c r="EN511" t="s">
        <v>480</v>
      </c>
      <c r="EO511" t="s">
        <v>537</v>
      </c>
      <c r="EP511" t="s">
        <v>1088</v>
      </c>
      <c r="EQ511" t="s">
        <v>480</v>
      </c>
      <c r="ER511" t="s">
        <v>480</v>
      </c>
      <c r="ES511" t="s">
        <v>537</v>
      </c>
      <c r="ET511" t="s">
        <v>1089</v>
      </c>
      <c r="EU511" t="s">
        <v>480</v>
      </c>
      <c r="EV511" t="s">
        <v>480</v>
      </c>
      <c r="EW511" t="s">
        <v>537</v>
      </c>
      <c r="EX511" t="s">
        <v>1090</v>
      </c>
      <c r="EY511" t="s">
        <v>480</v>
      </c>
      <c r="EZ511" t="s">
        <v>480</v>
      </c>
      <c r="FA511" t="s">
        <v>537</v>
      </c>
      <c r="FB511" t="s">
        <v>1091</v>
      </c>
      <c r="FC511" t="s">
        <v>480</v>
      </c>
      <c r="FD511" t="s">
        <v>480</v>
      </c>
      <c r="FF511" s="9"/>
      <c r="FG511" s="9"/>
      <c r="FH511" s="9"/>
      <c r="FI511" s="9"/>
      <c r="FJ511" s="9"/>
      <c r="FK511" s="9"/>
      <c r="FL511" s="9"/>
      <c r="FM511" s="9"/>
      <c r="FN511" s="9"/>
      <c r="FO511" s="9"/>
      <c r="FP511" s="9"/>
      <c r="FQ511" s="9"/>
      <c r="FR511" s="9"/>
      <c r="FS511" s="9"/>
      <c r="FT511" s="9"/>
      <c r="FU511" s="9"/>
      <c r="FV511" s="9"/>
      <c r="FW511" s="9"/>
      <c r="FX511" s="9"/>
      <c r="FY511" s="9"/>
      <c r="FZ511" s="9"/>
      <c r="GA511" s="9"/>
      <c r="GB511" s="9"/>
      <c r="GC511" s="9"/>
      <c r="GD511" s="9"/>
      <c r="GE511" s="9"/>
      <c r="GF511" s="9"/>
      <c r="GG511" s="9"/>
      <c r="GH511" s="9"/>
      <c r="GI511" s="9"/>
      <c r="GJ511" s="9"/>
      <c r="GK511" s="9"/>
      <c r="GL511" s="9" t="s">
        <v>1105</v>
      </c>
      <c r="GM511" s="9" t="s">
        <v>480</v>
      </c>
      <c r="GN511" s="9" t="s">
        <v>480</v>
      </c>
      <c r="GO511" s="9" t="s">
        <v>480</v>
      </c>
      <c r="GP511" s="9"/>
      <c r="GQ511" s="9"/>
      <c r="GR511" s="9"/>
      <c r="GS511" s="9"/>
      <c r="GT511" s="9"/>
      <c r="GU511" s="9"/>
      <c r="GV511" s="9"/>
      <c r="GW511" s="9"/>
      <c r="GX511" s="9"/>
      <c r="GY511" s="9"/>
      <c r="GZ511" s="9"/>
      <c r="HA511" s="9"/>
      <c r="HB511" s="9"/>
      <c r="HC511" s="9"/>
      <c r="HD511" s="9"/>
      <c r="HE511" s="9"/>
      <c r="HF511" s="9"/>
      <c r="HG511" s="9"/>
      <c r="HH511" s="9"/>
      <c r="HI511" s="9"/>
      <c r="HJ511" s="9"/>
      <c r="HK511" s="9"/>
      <c r="HX511" s="50"/>
      <c r="HY511" s="50"/>
      <c r="IV511" t="s">
        <v>1109</v>
      </c>
      <c r="IW511" s="75" t="s">
        <v>1106</v>
      </c>
      <c r="IX511" s="12" t="s">
        <v>1107</v>
      </c>
      <c r="IY511" s="46" t="s">
        <v>1110</v>
      </c>
      <c r="IZ511">
        <v>7.5</v>
      </c>
      <c r="JA511">
        <v>56</v>
      </c>
      <c r="JB511" t="s">
        <v>480</v>
      </c>
      <c r="JC511" t="s">
        <v>480</v>
      </c>
      <c r="MY511" t="s">
        <v>1095</v>
      </c>
      <c r="MZ511">
        <v>1963</v>
      </c>
      <c r="NA511" t="s">
        <v>1129</v>
      </c>
      <c r="NB511" t="s">
        <v>1097</v>
      </c>
      <c r="NG511" t="s">
        <v>1130</v>
      </c>
      <c r="NH511" t="s">
        <v>687</v>
      </c>
      <c r="NJ511" t="s">
        <v>689</v>
      </c>
      <c r="NL511" t="s">
        <v>689</v>
      </c>
      <c r="NM511" s="6" t="s">
        <v>1131</v>
      </c>
      <c r="NV511" t="s">
        <v>518</v>
      </c>
      <c r="NW511">
        <v>3.6</v>
      </c>
      <c r="NX511" t="s">
        <v>916</v>
      </c>
      <c r="NY511">
        <v>4.3</v>
      </c>
      <c r="OB511">
        <v>7</v>
      </c>
      <c r="OU511" t="s">
        <v>1053</v>
      </c>
      <c r="OW511">
        <v>2010</v>
      </c>
      <c r="PB511" t="s">
        <v>522</v>
      </c>
      <c r="PC511" s="50">
        <v>46108</v>
      </c>
    </row>
    <row r="512" spans="1:419" ht="15.75" thickBot="1">
      <c r="A512" t="s">
        <v>665</v>
      </c>
      <c r="B512" t="s">
        <v>1075</v>
      </c>
      <c r="C512" t="s">
        <v>1076</v>
      </c>
      <c r="D512" s="4" t="s">
        <v>472</v>
      </c>
      <c r="E512" t="s">
        <v>1077</v>
      </c>
      <c r="F512" t="s">
        <v>865</v>
      </c>
      <c r="G512" t="s">
        <v>1078</v>
      </c>
      <c r="H512" s="2" t="s">
        <v>1079</v>
      </c>
      <c r="I512">
        <v>-23.748532000000001</v>
      </c>
      <c r="J512">
        <v>-62.056702000000001</v>
      </c>
      <c r="K512" s="78">
        <v>65000</v>
      </c>
      <c r="AV512" t="s">
        <v>1080</v>
      </c>
      <c r="AW512" t="s">
        <v>866</v>
      </c>
      <c r="AX512">
        <v>3600</v>
      </c>
      <c r="AY512" s="5">
        <v>1</v>
      </c>
      <c r="AZ512" t="s">
        <v>1081</v>
      </c>
      <c r="BA512">
        <v>2010</v>
      </c>
      <c r="BC512" t="s">
        <v>1082</v>
      </c>
      <c r="BD512" t="s">
        <v>1111</v>
      </c>
      <c r="BE512" t="s">
        <v>572</v>
      </c>
      <c r="BF512" t="s">
        <v>1102</v>
      </c>
      <c r="BG512" t="s">
        <v>1112</v>
      </c>
      <c r="BH512" t="s">
        <v>480</v>
      </c>
      <c r="BI512" t="s">
        <v>480</v>
      </c>
      <c r="BJ512" t="s">
        <v>480</v>
      </c>
      <c r="ED512" t="s">
        <v>1085</v>
      </c>
      <c r="EE512" t="s">
        <v>480</v>
      </c>
      <c r="EF512" t="s">
        <v>480</v>
      </c>
      <c r="EG512" t="s">
        <v>537</v>
      </c>
      <c r="EH512" t="s">
        <v>1086</v>
      </c>
      <c r="EI512" t="s">
        <v>480</v>
      </c>
      <c r="EJ512" t="s">
        <v>480</v>
      </c>
      <c r="EK512" t="s">
        <v>537</v>
      </c>
      <c r="EL512" t="s">
        <v>1087</v>
      </c>
      <c r="EM512" t="s">
        <v>480</v>
      </c>
      <c r="EN512" t="s">
        <v>480</v>
      </c>
      <c r="EO512" t="s">
        <v>537</v>
      </c>
      <c r="EP512" t="s">
        <v>1088</v>
      </c>
      <c r="EQ512" t="s">
        <v>480</v>
      </c>
      <c r="ER512" t="s">
        <v>480</v>
      </c>
      <c r="ES512" t="s">
        <v>537</v>
      </c>
      <c r="ET512" t="s">
        <v>1089</v>
      </c>
      <c r="EU512" t="s">
        <v>480</v>
      </c>
      <c r="EV512" t="s">
        <v>480</v>
      </c>
      <c r="EW512" t="s">
        <v>537</v>
      </c>
      <c r="EX512" t="s">
        <v>1090</v>
      </c>
      <c r="EY512" t="s">
        <v>480</v>
      </c>
      <c r="EZ512" t="s">
        <v>480</v>
      </c>
      <c r="FA512" t="s">
        <v>537</v>
      </c>
      <c r="FB512" t="s">
        <v>1091</v>
      </c>
      <c r="FC512" t="s">
        <v>480</v>
      </c>
      <c r="FD512" t="s">
        <v>480</v>
      </c>
      <c r="FF512" s="9"/>
      <c r="FG512" s="9"/>
      <c r="FH512" s="9"/>
      <c r="FI512" s="9"/>
      <c r="FJ512" s="9"/>
      <c r="FK512" s="9"/>
      <c r="FL512" s="9"/>
      <c r="FM512" s="9"/>
      <c r="FN512" s="9"/>
      <c r="FO512" s="9"/>
      <c r="FP512" s="9"/>
      <c r="FQ512" s="9"/>
      <c r="FR512" s="9"/>
      <c r="FS512" s="9"/>
      <c r="FT512" s="9"/>
      <c r="FU512" s="9"/>
      <c r="FV512" s="9"/>
      <c r="FW512" s="9"/>
      <c r="FX512" s="9"/>
      <c r="FY512" s="9"/>
      <c r="FZ512" s="9"/>
      <c r="GA512" s="9"/>
      <c r="GB512" s="9"/>
      <c r="GC512" s="9"/>
      <c r="GD512" s="9"/>
      <c r="GE512" s="9"/>
      <c r="GF512" s="9"/>
      <c r="GG512" s="9"/>
      <c r="GH512" s="9"/>
      <c r="GI512" s="9"/>
      <c r="GJ512" s="9"/>
      <c r="GK512" s="9"/>
      <c r="GL512" s="9" t="s">
        <v>1105</v>
      </c>
      <c r="GM512" s="9" t="s">
        <v>480</v>
      </c>
      <c r="GN512" s="9" t="s">
        <v>480</v>
      </c>
      <c r="GO512" s="9" t="s">
        <v>480</v>
      </c>
      <c r="GP512" s="9"/>
      <c r="GQ512" s="9"/>
      <c r="GR512" s="9"/>
      <c r="GS512" s="9"/>
      <c r="GT512" s="9"/>
      <c r="GU512" s="9"/>
      <c r="GV512" s="9"/>
      <c r="GW512" s="9"/>
      <c r="GX512" s="9"/>
      <c r="GY512" s="9"/>
      <c r="GZ512" s="9"/>
      <c r="HA512" s="9"/>
      <c r="HB512" s="9"/>
      <c r="HC512" s="9"/>
      <c r="HD512" s="9"/>
      <c r="HE512" s="9"/>
      <c r="HF512" s="9"/>
      <c r="HG512" s="9"/>
      <c r="HH512" s="9"/>
      <c r="HI512" s="9"/>
      <c r="HJ512" s="9"/>
      <c r="HK512" s="9"/>
      <c r="HX512" s="50"/>
      <c r="HY512" s="50"/>
      <c r="IV512" t="s">
        <v>1111</v>
      </c>
      <c r="IW512" s="75" t="s">
        <v>1106</v>
      </c>
      <c r="IX512" s="12" t="s">
        <v>1107</v>
      </c>
      <c r="IY512" s="46" t="s">
        <v>1110</v>
      </c>
      <c r="IZ512">
        <v>7.5</v>
      </c>
      <c r="JA512">
        <v>37</v>
      </c>
      <c r="JB512" t="s">
        <v>480</v>
      </c>
      <c r="JC512" t="s">
        <v>480</v>
      </c>
      <c r="MY512" t="s">
        <v>1095</v>
      </c>
      <c r="MZ512">
        <v>1963</v>
      </c>
      <c r="NA512" t="s">
        <v>1129</v>
      </c>
      <c r="NB512" t="s">
        <v>1097</v>
      </c>
      <c r="NG512" t="s">
        <v>1130</v>
      </c>
      <c r="NH512" t="s">
        <v>687</v>
      </c>
      <c r="NJ512" t="s">
        <v>689</v>
      </c>
      <c r="NL512" t="s">
        <v>689</v>
      </c>
      <c r="NM512" s="6" t="s">
        <v>1131</v>
      </c>
      <c r="NV512" t="s">
        <v>518</v>
      </c>
      <c r="NW512">
        <v>8.1999999999999993</v>
      </c>
      <c r="NX512" t="s">
        <v>916</v>
      </c>
      <c r="NY512">
        <v>9.1999999999999993</v>
      </c>
      <c r="OB512">
        <v>5</v>
      </c>
      <c r="OU512" t="s">
        <v>1053</v>
      </c>
      <c r="OW512">
        <v>2010</v>
      </c>
      <c r="PB512" t="s">
        <v>522</v>
      </c>
      <c r="PC512" s="50">
        <v>46108</v>
      </c>
    </row>
    <row r="513" spans="1:419" ht="15.75" thickBot="1">
      <c r="A513" t="s">
        <v>665</v>
      </c>
      <c r="B513" t="s">
        <v>1075</v>
      </c>
      <c r="C513" t="s">
        <v>1076</v>
      </c>
      <c r="D513" s="4" t="s">
        <v>472</v>
      </c>
      <c r="E513" t="s">
        <v>1077</v>
      </c>
      <c r="F513" t="s">
        <v>865</v>
      </c>
      <c r="G513" t="s">
        <v>1078</v>
      </c>
      <c r="H513" s="2" t="s">
        <v>1079</v>
      </c>
      <c r="I513">
        <v>-23.748532000000001</v>
      </c>
      <c r="J513">
        <v>-62.056702000000001</v>
      </c>
      <c r="K513" s="78">
        <v>65000</v>
      </c>
      <c r="AV513" t="s">
        <v>1080</v>
      </c>
      <c r="AW513" t="s">
        <v>866</v>
      </c>
      <c r="AX513" t="s">
        <v>866</v>
      </c>
      <c r="AY513" s="5">
        <v>1</v>
      </c>
      <c r="AZ513" t="s">
        <v>1081</v>
      </c>
      <c r="BA513">
        <v>2010</v>
      </c>
      <c r="BC513" t="s">
        <v>1082</v>
      </c>
      <c r="BD513" t="s">
        <v>1113</v>
      </c>
      <c r="BE513" t="s">
        <v>483</v>
      </c>
      <c r="BF513" t="s">
        <v>1102</v>
      </c>
      <c r="BG513" t="s">
        <v>1112</v>
      </c>
      <c r="BH513" t="s">
        <v>480</v>
      </c>
      <c r="BI513" t="s">
        <v>480</v>
      </c>
      <c r="BJ513" t="s">
        <v>480</v>
      </c>
      <c r="GL513" t="s">
        <v>1105</v>
      </c>
      <c r="GM513" s="9" t="s">
        <v>480</v>
      </c>
      <c r="GN513" s="9" t="s">
        <v>480</v>
      </c>
      <c r="GO513" s="9" t="s">
        <v>480</v>
      </c>
      <c r="HY513" s="50"/>
      <c r="IV513" t="s">
        <v>1113</v>
      </c>
      <c r="IW513" s="46" t="s">
        <v>1114</v>
      </c>
      <c r="IX513" s="46" t="s">
        <v>1114</v>
      </c>
      <c r="IY513" s="46" t="s">
        <v>1115</v>
      </c>
      <c r="IZ513">
        <v>1</v>
      </c>
      <c r="JA513">
        <v>6</v>
      </c>
      <c r="JB513" t="s">
        <v>480</v>
      </c>
      <c r="JC513" t="s">
        <v>480</v>
      </c>
      <c r="MY513" t="s">
        <v>1095</v>
      </c>
      <c r="MZ513">
        <v>1963</v>
      </c>
      <c r="NA513" t="s">
        <v>1129</v>
      </c>
      <c r="NB513" t="s">
        <v>1097</v>
      </c>
      <c r="NG513" t="s">
        <v>1130</v>
      </c>
      <c r="NH513" t="s">
        <v>687</v>
      </c>
      <c r="NJ513" t="s">
        <v>689</v>
      </c>
      <c r="NL513" t="s">
        <v>689</v>
      </c>
      <c r="NM513" s="6" t="s">
        <v>1131</v>
      </c>
      <c r="NU513" t="s">
        <v>1116</v>
      </c>
      <c r="NV513" t="s">
        <v>518</v>
      </c>
      <c r="NW513">
        <v>39.6</v>
      </c>
      <c r="NX513" t="s">
        <v>916</v>
      </c>
      <c r="NY513">
        <v>67.2</v>
      </c>
      <c r="OB513">
        <v>7</v>
      </c>
      <c r="OU513" t="s">
        <v>1053</v>
      </c>
      <c r="OW513">
        <v>2010</v>
      </c>
      <c r="PB513" t="s">
        <v>522</v>
      </c>
      <c r="PC513" s="50">
        <v>46108</v>
      </c>
    </row>
    <row r="514" spans="1:419" ht="15.75" thickBot="1">
      <c r="A514" t="s">
        <v>665</v>
      </c>
      <c r="B514" t="s">
        <v>1075</v>
      </c>
      <c r="C514" t="s">
        <v>1076</v>
      </c>
      <c r="D514" s="4" t="s">
        <v>472</v>
      </c>
      <c r="E514" t="s">
        <v>1077</v>
      </c>
      <c r="F514" t="s">
        <v>865</v>
      </c>
      <c r="G514" t="s">
        <v>1078</v>
      </c>
      <c r="H514" s="2" t="s">
        <v>1079</v>
      </c>
      <c r="I514">
        <v>-23.748532000000001</v>
      </c>
      <c r="J514">
        <v>-62.056702000000001</v>
      </c>
      <c r="K514" s="78">
        <v>65000</v>
      </c>
      <c r="AV514" t="s">
        <v>1080</v>
      </c>
      <c r="AW514" t="s">
        <v>866</v>
      </c>
      <c r="AX514">
        <v>1000</v>
      </c>
      <c r="AY514" s="5">
        <v>1</v>
      </c>
      <c r="AZ514" t="s">
        <v>1081</v>
      </c>
      <c r="BA514">
        <v>2010</v>
      </c>
      <c r="BC514" t="s">
        <v>1082</v>
      </c>
      <c r="BD514" t="s">
        <v>1083</v>
      </c>
      <c r="BE514" t="s">
        <v>524</v>
      </c>
      <c r="BF514" t="s">
        <v>1084</v>
      </c>
      <c r="ED514" t="s">
        <v>1085</v>
      </c>
      <c r="EE514" t="s">
        <v>480</v>
      </c>
      <c r="EF514" t="s">
        <v>480</v>
      </c>
      <c r="EG514" t="s">
        <v>537</v>
      </c>
      <c r="EH514" t="s">
        <v>1086</v>
      </c>
      <c r="EI514" t="s">
        <v>480</v>
      </c>
      <c r="EJ514" t="s">
        <v>480</v>
      </c>
      <c r="EK514" t="s">
        <v>537</v>
      </c>
      <c r="EL514" t="s">
        <v>1087</v>
      </c>
      <c r="EM514" t="s">
        <v>480</v>
      </c>
      <c r="EN514" t="s">
        <v>480</v>
      </c>
      <c r="EO514" t="s">
        <v>537</v>
      </c>
      <c r="EP514" t="s">
        <v>1088</v>
      </c>
      <c r="EQ514" t="s">
        <v>480</v>
      </c>
      <c r="ER514" t="s">
        <v>480</v>
      </c>
      <c r="ES514" t="s">
        <v>537</v>
      </c>
      <c r="ET514" t="s">
        <v>1089</v>
      </c>
      <c r="EU514" t="s">
        <v>480</v>
      </c>
      <c r="EV514" t="s">
        <v>480</v>
      </c>
      <c r="EW514" t="s">
        <v>537</v>
      </c>
      <c r="EX514" t="s">
        <v>1090</v>
      </c>
      <c r="EY514" t="s">
        <v>480</v>
      </c>
      <c r="EZ514" t="s">
        <v>480</v>
      </c>
      <c r="FA514" t="s">
        <v>537</v>
      </c>
      <c r="FB514" t="s">
        <v>1091</v>
      </c>
      <c r="FC514" t="s">
        <v>480</v>
      </c>
      <c r="FD514" t="s">
        <v>480</v>
      </c>
      <c r="HY514" s="50"/>
      <c r="IV514" t="s">
        <v>1083</v>
      </c>
      <c r="IW514" t="s">
        <v>1092</v>
      </c>
      <c r="IX514" t="s">
        <v>1092</v>
      </c>
      <c r="IY514" t="s">
        <v>1092</v>
      </c>
      <c r="IZ514">
        <v>5</v>
      </c>
      <c r="JA514">
        <v>70</v>
      </c>
      <c r="JB514" t="s">
        <v>480</v>
      </c>
      <c r="JC514" t="s">
        <v>480</v>
      </c>
      <c r="MT514" t="s">
        <v>1083</v>
      </c>
      <c r="MU514" s="185" t="s">
        <v>1092</v>
      </c>
      <c r="MV514" t="s">
        <v>480</v>
      </c>
      <c r="MW514" s="185" t="s">
        <v>1093</v>
      </c>
      <c r="MX514" s="185" t="s">
        <v>1094</v>
      </c>
      <c r="MY514" t="s">
        <v>1095</v>
      </c>
      <c r="MZ514">
        <v>1963</v>
      </c>
      <c r="NA514" t="s">
        <v>1132</v>
      </c>
      <c r="NB514" t="s">
        <v>1097</v>
      </c>
      <c r="NH514" t="s">
        <v>687</v>
      </c>
      <c r="NJ514" t="s">
        <v>1133</v>
      </c>
      <c r="NL514" t="s">
        <v>1133</v>
      </c>
      <c r="NU514" t="s">
        <v>1100</v>
      </c>
      <c r="NV514" t="s">
        <v>518</v>
      </c>
      <c r="NW514">
        <v>2.2000000000000002</v>
      </c>
      <c r="NX514" t="s">
        <v>916</v>
      </c>
      <c r="NY514">
        <v>0.3</v>
      </c>
      <c r="OB514">
        <v>6</v>
      </c>
      <c r="OU514" t="s">
        <v>1053</v>
      </c>
      <c r="OW514">
        <v>2010</v>
      </c>
      <c r="PB514" t="s">
        <v>522</v>
      </c>
      <c r="PC514" s="50">
        <v>46108</v>
      </c>
    </row>
    <row r="515" spans="1:419" ht="15.75" thickBot="1">
      <c r="A515" t="s">
        <v>665</v>
      </c>
      <c r="B515" t="s">
        <v>1075</v>
      </c>
      <c r="C515" t="s">
        <v>1076</v>
      </c>
      <c r="D515" s="4" t="s">
        <v>472</v>
      </c>
      <c r="E515" t="s">
        <v>1077</v>
      </c>
      <c r="F515" t="s">
        <v>865</v>
      </c>
      <c r="G515" t="s">
        <v>1078</v>
      </c>
      <c r="H515" s="2" t="s">
        <v>1079</v>
      </c>
      <c r="I515">
        <v>-23.748532000000001</v>
      </c>
      <c r="J515">
        <v>-62.056702000000001</v>
      </c>
      <c r="K515" s="78">
        <v>65000</v>
      </c>
      <c r="AV515" t="s">
        <v>1080</v>
      </c>
      <c r="AW515" t="s">
        <v>866</v>
      </c>
      <c r="AX515" t="s">
        <v>866</v>
      </c>
      <c r="AY515" s="5">
        <v>1</v>
      </c>
      <c r="AZ515" t="s">
        <v>1081</v>
      </c>
      <c r="BA515">
        <v>2010</v>
      </c>
      <c r="BC515" t="s">
        <v>1082</v>
      </c>
      <c r="BD515" t="s">
        <v>1101</v>
      </c>
      <c r="BE515" t="s">
        <v>536</v>
      </c>
      <c r="BF515" t="s">
        <v>1102</v>
      </c>
      <c r="BG515" t="s">
        <v>1103</v>
      </c>
      <c r="BH515" t="s">
        <v>1104</v>
      </c>
      <c r="BI515" t="s">
        <v>480</v>
      </c>
      <c r="BJ515" t="s">
        <v>480</v>
      </c>
      <c r="ED515" t="s">
        <v>1085</v>
      </c>
      <c r="EE515" t="s">
        <v>480</v>
      </c>
      <c r="EF515" t="s">
        <v>480</v>
      </c>
      <c r="EG515" t="s">
        <v>537</v>
      </c>
      <c r="EH515" t="s">
        <v>1086</v>
      </c>
      <c r="EI515" t="s">
        <v>480</v>
      </c>
      <c r="EJ515" t="s">
        <v>480</v>
      </c>
      <c r="EK515" t="s">
        <v>537</v>
      </c>
      <c r="EL515" t="s">
        <v>1087</v>
      </c>
      <c r="EM515" t="s">
        <v>480</v>
      </c>
      <c r="EN515" t="s">
        <v>480</v>
      </c>
      <c r="EO515" t="s">
        <v>537</v>
      </c>
      <c r="EP515" t="s">
        <v>1088</v>
      </c>
      <c r="EQ515" t="s">
        <v>480</v>
      </c>
      <c r="ER515" t="s">
        <v>480</v>
      </c>
      <c r="ES515" t="s">
        <v>537</v>
      </c>
      <c r="ET515" t="s">
        <v>1089</v>
      </c>
      <c r="EU515" t="s">
        <v>480</v>
      </c>
      <c r="EV515" t="s">
        <v>480</v>
      </c>
      <c r="EW515" t="s">
        <v>537</v>
      </c>
      <c r="EX515" t="s">
        <v>1090</v>
      </c>
      <c r="EY515" t="s">
        <v>480</v>
      </c>
      <c r="EZ515" t="s">
        <v>480</v>
      </c>
      <c r="FA515" t="s">
        <v>537</v>
      </c>
      <c r="FB515" t="s">
        <v>1091</v>
      </c>
      <c r="FC515" t="s">
        <v>480</v>
      </c>
      <c r="FD515" t="s">
        <v>480</v>
      </c>
      <c r="GL515" t="s">
        <v>1105</v>
      </c>
      <c r="GM515" s="9" t="s">
        <v>480</v>
      </c>
      <c r="GN515" s="9" t="s">
        <v>480</v>
      </c>
      <c r="GO515" s="9" t="s">
        <v>480</v>
      </c>
      <c r="GP515" s="9"/>
      <c r="GQ515" s="9"/>
      <c r="GR515" s="9"/>
      <c r="GS515" s="9"/>
      <c r="GT515" s="9"/>
      <c r="GU515" s="9"/>
      <c r="GV515" s="9"/>
      <c r="GW515" s="9"/>
      <c r="GX515" s="9"/>
      <c r="GY515" s="9"/>
      <c r="GZ515" s="9"/>
      <c r="HA515" s="9"/>
      <c r="HB515" s="9"/>
      <c r="HC515" s="9"/>
      <c r="HD515" s="9"/>
      <c r="HE515" s="9"/>
      <c r="HF515" s="9"/>
      <c r="HG515" s="9"/>
      <c r="HH515" s="9"/>
      <c r="HI515" s="9"/>
      <c r="HJ515" s="9"/>
      <c r="HK515" s="9"/>
      <c r="HX515" s="50"/>
      <c r="HY515" s="50"/>
      <c r="IV515" t="s">
        <v>1101</v>
      </c>
      <c r="IW515" s="75" t="s">
        <v>1106</v>
      </c>
      <c r="IX515" t="s">
        <v>1107</v>
      </c>
      <c r="IY515" s="46" t="s">
        <v>1108</v>
      </c>
      <c r="IZ515">
        <v>1</v>
      </c>
      <c r="JA515">
        <v>81</v>
      </c>
      <c r="JB515" t="s">
        <v>480</v>
      </c>
      <c r="JC515" t="s">
        <v>480</v>
      </c>
      <c r="MY515" t="s">
        <v>1095</v>
      </c>
      <c r="MZ515">
        <v>1963</v>
      </c>
      <c r="NA515" t="s">
        <v>1132</v>
      </c>
      <c r="NB515" t="s">
        <v>1097</v>
      </c>
      <c r="NH515" t="s">
        <v>687</v>
      </c>
      <c r="NJ515" t="s">
        <v>1133</v>
      </c>
      <c r="NL515" t="s">
        <v>1133</v>
      </c>
      <c r="NV515" t="s">
        <v>518</v>
      </c>
      <c r="NW515">
        <v>2</v>
      </c>
      <c r="NX515" t="s">
        <v>916</v>
      </c>
      <c r="NY515">
        <v>0.3</v>
      </c>
      <c r="OB515">
        <v>8</v>
      </c>
      <c r="OU515" t="s">
        <v>1053</v>
      </c>
      <c r="OW515">
        <v>2010</v>
      </c>
      <c r="PB515" t="s">
        <v>522</v>
      </c>
      <c r="PC515" s="50">
        <v>46108</v>
      </c>
    </row>
    <row r="516" spans="1:419" ht="15.75" thickBot="1">
      <c r="A516" t="s">
        <v>665</v>
      </c>
      <c r="B516" t="s">
        <v>1075</v>
      </c>
      <c r="C516" t="s">
        <v>1076</v>
      </c>
      <c r="D516" s="4" t="s">
        <v>472</v>
      </c>
      <c r="E516" t="s">
        <v>1077</v>
      </c>
      <c r="F516" t="s">
        <v>865</v>
      </c>
      <c r="G516" t="s">
        <v>1078</v>
      </c>
      <c r="H516" s="2" t="s">
        <v>1079</v>
      </c>
      <c r="I516">
        <v>-23.748532000000001</v>
      </c>
      <c r="J516">
        <v>-62.056702000000001</v>
      </c>
      <c r="K516" s="78">
        <v>65000</v>
      </c>
      <c r="AV516" t="s">
        <v>1080</v>
      </c>
      <c r="AW516" t="s">
        <v>866</v>
      </c>
      <c r="AX516">
        <v>3600</v>
      </c>
      <c r="AY516" s="5">
        <v>1</v>
      </c>
      <c r="AZ516" t="s">
        <v>1081</v>
      </c>
      <c r="BA516">
        <v>2010</v>
      </c>
      <c r="BC516" t="s">
        <v>1082</v>
      </c>
      <c r="BD516" t="s">
        <v>1109</v>
      </c>
      <c r="BE516" t="s">
        <v>566</v>
      </c>
      <c r="BF516" t="s">
        <v>1102</v>
      </c>
      <c r="BG516" t="s">
        <v>1103</v>
      </c>
      <c r="BH516" t="s">
        <v>480</v>
      </c>
      <c r="BI516" t="s">
        <v>480</v>
      </c>
      <c r="BJ516" t="s">
        <v>480</v>
      </c>
      <c r="ED516" t="s">
        <v>1085</v>
      </c>
      <c r="EE516" t="s">
        <v>480</v>
      </c>
      <c r="EF516" t="s">
        <v>480</v>
      </c>
      <c r="EG516" t="s">
        <v>537</v>
      </c>
      <c r="EH516" t="s">
        <v>1086</v>
      </c>
      <c r="EI516" t="s">
        <v>480</v>
      </c>
      <c r="EJ516" t="s">
        <v>480</v>
      </c>
      <c r="EK516" t="s">
        <v>537</v>
      </c>
      <c r="EL516" t="s">
        <v>1087</v>
      </c>
      <c r="EM516" t="s">
        <v>480</v>
      </c>
      <c r="EN516" t="s">
        <v>480</v>
      </c>
      <c r="EO516" t="s">
        <v>537</v>
      </c>
      <c r="EP516" t="s">
        <v>1088</v>
      </c>
      <c r="EQ516" t="s">
        <v>480</v>
      </c>
      <c r="ER516" t="s">
        <v>480</v>
      </c>
      <c r="ES516" t="s">
        <v>537</v>
      </c>
      <c r="ET516" t="s">
        <v>1089</v>
      </c>
      <c r="EU516" t="s">
        <v>480</v>
      </c>
      <c r="EV516" t="s">
        <v>480</v>
      </c>
      <c r="EW516" t="s">
        <v>537</v>
      </c>
      <c r="EX516" t="s">
        <v>1090</v>
      </c>
      <c r="EY516" t="s">
        <v>480</v>
      </c>
      <c r="EZ516" t="s">
        <v>480</v>
      </c>
      <c r="FA516" t="s">
        <v>537</v>
      </c>
      <c r="FB516" t="s">
        <v>1091</v>
      </c>
      <c r="FC516" t="s">
        <v>480</v>
      </c>
      <c r="FD516" t="s">
        <v>480</v>
      </c>
      <c r="FF516" s="9"/>
      <c r="FG516" s="9"/>
      <c r="FH516" s="9"/>
      <c r="FI516" s="9"/>
      <c r="FJ516" s="9"/>
      <c r="FK516" s="9"/>
      <c r="FL516" s="9"/>
      <c r="FM516" s="9"/>
      <c r="FN516" s="9"/>
      <c r="FO516" s="9"/>
      <c r="FP516" s="9"/>
      <c r="FQ516" s="9"/>
      <c r="FR516" s="9"/>
      <c r="FS516" s="9"/>
      <c r="FT516" s="9"/>
      <c r="FU516" s="9"/>
      <c r="FV516" s="9"/>
      <c r="FW516" s="9"/>
      <c r="FX516" s="9"/>
      <c r="FY516" s="9"/>
      <c r="FZ516" s="9"/>
      <c r="GA516" s="9"/>
      <c r="GB516" s="9"/>
      <c r="GC516" s="9"/>
      <c r="GD516" s="9"/>
      <c r="GE516" s="9"/>
      <c r="GF516" s="9"/>
      <c r="GG516" s="9"/>
      <c r="GH516" s="9"/>
      <c r="GI516" s="9"/>
      <c r="GJ516" s="9"/>
      <c r="GK516" s="9"/>
      <c r="GL516" s="9" t="s">
        <v>1105</v>
      </c>
      <c r="GM516" s="9" t="s">
        <v>480</v>
      </c>
      <c r="GN516" s="9" t="s">
        <v>480</v>
      </c>
      <c r="GO516" s="9" t="s">
        <v>480</v>
      </c>
      <c r="GP516" s="9"/>
      <c r="GQ516" s="9"/>
      <c r="GR516" s="9"/>
      <c r="GS516" s="9"/>
      <c r="GT516" s="9"/>
      <c r="GU516" s="9"/>
      <c r="GV516" s="9"/>
      <c r="GW516" s="9"/>
      <c r="GX516" s="9"/>
      <c r="GY516" s="9"/>
      <c r="GZ516" s="9"/>
      <c r="HA516" s="9"/>
      <c r="HB516" s="9"/>
      <c r="HC516" s="9"/>
      <c r="HD516" s="9"/>
      <c r="HE516" s="9"/>
      <c r="HF516" s="9"/>
      <c r="HG516" s="9"/>
      <c r="HH516" s="9"/>
      <c r="HI516" s="9"/>
      <c r="HJ516" s="9"/>
      <c r="HK516" s="9"/>
      <c r="HX516" s="50"/>
      <c r="HY516" s="50"/>
      <c r="IV516" t="s">
        <v>1109</v>
      </c>
      <c r="IW516" s="75" t="s">
        <v>1106</v>
      </c>
      <c r="IX516" s="12" t="s">
        <v>1107</v>
      </c>
      <c r="IY516" s="46" t="s">
        <v>1110</v>
      </c>
      <c r="IZ516">
        <v>7.5</v>
      </c>
      <c r="JA516">
        <v>56</v>
      </c>
      <c r="JB516" t="s">
        <v>480</v>
      </c>
      <c r="JC516" t="s">
        <v>480</v>
      </c>
      <c r="MY516" t="s">
        <v>1095</v>
      </c>
      <c r="MZ516">
        <v>1963</v>
      </c>
      <c r="NA516" t="s">
        <v>1132</v>
      </c>
      <c r="NB516" t="s">
        <v>1097</v>
      </c>
      <c r="NH516" t="s">
        <v>687</v>
      </c>
      <c r="NJ516" t="s">
        <v>1133</v>
      </c>
      <c r="NL516" t="s">
        <v>1133</v>
      </c>
      <c r="NV516" t="s">
        <v>518</v>
      </c>
      <c r="NW516">
        <v>2</v>
      </c>
      <c r="NX516" t="s">
        <v>916</v>
      </c>
      <c r="NY516">
        <v>0.3</v>
      </c>
      <c r="OB516">
        <v>7</v>
      </c>
      <c r="OU516" t="s">
        <v>1053</v>
      </c>
      <c r="OW516">
        <v>2010</v>
      </c>
      <c r="PB516" t="s">
        <v>522</v>
      </c>
      <c r="PC516" s="50">
        <v>46108</v>
      </c>
    </row>
    <row r="517" spans="1:419" ht="15.75" thickBot="1">
      <c r="A517" t="s">
        <v>665</v>
      </c>
      <c r="B517" t="s">
        <v>1075</v>
      </c>
      <c r="C517" t="s">
        <v>1076</v>
      </c>
      <c r="D517" s="4" t="s">
        <v>472</v>
      </c>
      <c r="E517" t="s">
        <v>1077</v>
      </c>
      <c r="F517" t="s">
        <v>865</v>
      </c>
      <c r="G517" t="s">
        <v>1078</v>
      </c>
      <c r="H517" s="2" t="s">
        <v>1079</v>
      </c>
      <c r="I517">
        <v>-23.748532000000001</v>
      </c>
      <c r="J517">
        <v>-62.056702000000001</v>
      </c>
      <c r="K517" s="78">
        <v>65000</v>
      </c>
      <c r="AV517" t="s">
        <v>1080</v>
      </c>
      <c r="AW517" t="s">
        <v>866</v>
      </c>
      <c r="AX517">
        <v>3600</v>
      </c>
      <c r="AY517" s="5">
        <v>1</v>
      </c>
      <c r="AZ517" t="s">
        <v>1081</v>
      </c>
      <c r="BA517">
        <v>2010</v>
      </c>
      <c r="BC517" t="s">
        <v>1082</v>
      </c>
      <c r="BD517" t="s">
        <v>1111</v>
      </c>
      <c r="BE517" t="s">
        <v>572</v>
      </c>
      <c r="BF517" t="s">
        <v>1102</v>
      </c>
      <c r="BG517" t="s">
        <v>1112</v>
      </c>
      <c r="BH517" t="s">
        <v>480</v>
      </c>
      <c r="BI517" t="s">
        <v>480</v>
      </c>
      <c r="BJ517" t="s">
        <v>480</v>
      </c>
      <c r="ED517" t="s">
        <v>1085</v>
      </c>
      <c r="EE517" t="s">
        <v>480</v>
      </c>
      <c r="EF517" t="s">
        <v>480</v>
      </c>
      <c r="EG517" t="s">
        <v>537</v>
      </c>
      <c r="EH517" t="s">
        <v>1086</v>
      </c>
      <c r="EI517" t="s">
        <v>480</v>
      </c>
      <c r="EJ517" t="s">
        <v>480</v>
      </c>
      <c r="EK517" t="s">
        <v>537</v>
      </c>
      <c r="EL517" t="s">
        <v>1087</v>
      </c>
      <c r="EM517" t="s">
        <v>480</v>
      </c>
      <c r="EN517" t="s">
        <v>480</v>
      </c>
      <c r="EO517" t="s">
        <v>537</v>
      </c>
      <c r="EP517" t="s">
        <v>1088</v>
      </c>
      <c r="EQ517" t="s">
        <v>480</v>
      </c>
      <c r="ER517" t="s">
        <v>480</v>
      </c>
      <c r="ES517" t="s">
        <v>537</v>
      </c>
      <c r="ET517" t="s">
        <v>1089</v>
      </c>
      <c r="EU517" t="s">
        <v>480</v>
      </c>
      <c r="EV517" t="s">
        <v>480</v>
      </c>
      <c r="EW517" t="s">
        <v>537</v>
      </c>
      <c r="EX517" t="s">
        <v>1090</v>
      </c>
      <c r="EY517" t="s">
        <v>480</v>
      </c>
      <c r="EZ517" t="s">
        <v>480</v>
      </c>
      <c r="FA517" t="s">
        <v>537</v>
      </c>
      <c r="FB517" t="s">
        <v>1091</v>
      </c>
      <c r="FC517" t="s">
        <v>480</v>
      </c>
      <c r="FD517" t="s">
        <v>480</v>
      </c>
      <c r="FF517" s="9"/>
      <c r="FG517" s="9"/>
      <c r="FH517" s="9"/>
      <c r="FI517" s="9"/>
      <c r="FJ517" s="9"/>
      <c r="FK517" s="9"/>
      <c r="FL517" s="9"/>
      <c r="FM517" s="9"/>
      <c r="FN517" s="9"/>
      <c r="FO517" s="9"/>
      <c r="FP517" s="9"/>
      <c r="FQ517" s="9"/>
      <c r="FR517" s="9"/>
      <c r="FS517" s="9"/>
      <c r="FT517" s="9"/>
      <c r="FU517" s="9"/>
      <c r="FV517" s="9"/>
      <c r="FW517" s="9"/>
      <c r="FX517" s="9"/>
      <c r="FY517" s="9"/>
      <c r="FZ517" s="9"/>
      <c r="GA517" s="9"/>
      <c r="GB517" s="9"/>
      <c r="GC517" s="9"/>
      <c r="GD517" s="9"/>
      <c r="GE517" s="9"/>
      <c r="GF517" s="9"/>
      <c r="GG517" s="9"/>
      <c r="GH517" s="9"/>
      <c r="GI517" s="9"/>
      <c r="GJ517" s="9"/>
      <c r="GK517" s="9"/>
      <c r="GL517" s="9" t="s">
        <v>1105</v>
      </c>
      <c r="GM517" s="9" t="s">
        <v>480</v>
      </c>
      <c r="GN517" s="9" t="s">
        <v>480</v>
      </c>
      <c r="GO517" s="9" t="s">
        <v>480</v>
      </c>
      <c r="GP517" s="9"/>
      <c r="GQ517" s="9"/>
      <c r="GR517" s="9"/>
      <c r="GS517" s="9"/>
      <c r="GT517" s="9"/>
      <c r="GU517" s="9"/>
      <c r="GV517" s="9"/>
      <c r="GW517" s="9"/>
      <c r="GX517" s="9"/>
      <c r="GY517" s="9"/>
      <c r="GZ517" s="9"/>
      <c r="HA517" s="9"/>
      <c r="HB517" s="9"/>
      <c r="HC517" s="9"/>
      <c r="HD517" s="9"/>
      <c r="HE517" s="9"/>
      <c r="HF517" s="9"/>
      <c r="HG517" s="9"/>
      <c r="HH517" s="9"/>
      <c r="HI517" s="9"/>
      <c r="HJ517" s="9"/>
      <c r="HK517" s="9"/>
      <c r="HX517" s="50"/>
      <c r="HY517" s="50"/>
      <c r="IV517" t="s">
        <v>1111</v>
      </c>
      <c r="IW517" s="75" t="s">
        <v>1106</v>
      </c>
      <c r="IX517" s="12" t="s">
        <v>1107</v>
      </c>
      <c r="IY517" s="46" t="s">
        <v>1110</v>
      </c>
      <c r="IZ517">
        <v>7.5</v>
      </c>
      <c r="JA517">
        <v>37</v>
      </c>
      <c r="JB517" t="s">
        <v>480</v>
      </c>
      <c r="JC517" t="s">
        <v>480</v>
      </c>
      <c r="MY517" t="s">
        <v>1095</v>
      </c>
      <c r="MZ517">
        <v>1963</v>
      </c>
      <c r="NA517" t="s">
        <v>1132</v>
      </c>
      <c r="NB517" t="s">
        <v>1097</v>
      </c>
      <c r="NH517" t="s">
        <v>687</v>
      </c>
      <c r="NJ517" t="s">
        <v>1133</v>
      </c>
      <c r="NL517" t="s">
        <v>1133</v>
      </c>
      <c r="NV517" t="s">
        <v>518</v>
      </c>
      <c r="NW517">
        <v>2</v>
      </c>
      <c r="NX517" t="s">
        <v>916</v>
      </c>
      <c r="NY517">
        <v>0.3</v>
      </c>
      <c r="OB517">
        <v>5</v>
      </c>
      <c r="OU517" t="s">
        <v>1053</v>
      </c>
      <c r="OW517">
        <v>2010</v>
      </c>
      <c r="PB517" t="s">
        <v>522</v>
      </c>
      <c r="PC517" s="50">
        <v>46108</v>
      </c>
    </row>
    <row r="518" spans="1:419" ht="15.75" thickBot="1">
      <c r="A518" t="s">
        <v>665</v>
      </c>
      <c r="B518" t="s">
        <v>1075</v>
      </c>
      <c r="C518" t="s">
        <v>1076</v>
      </c>
      <c r="D518" s="4" t="s">
        <v>472</v>
      </c>
      <c r="E518" t="s">
        <v>1077</v>
      </c>
      <c r="F518" t="s">
        <v>865</v>
      </c>
      <c r="G518" t="s">
        <v>1078</v>
      </c>
      <c r="H518" s="2" t="s">
        <v>1079</v>
      </c>
      <c r="I518">
        <v>-23.748532000000001</v>
      </c>
      <c r="J518">
        <v>-62.056702000000001</v>
      </c>
      <c r="K518" s="78">
        <v>65000</v>
      </c>
      <c r="AV518" t="s">
        <v>1080</v>
      </c>
      <c r="AW518" t="s">
        <v>866</v>
      </c>
      <c r="AX518" t="s">
        <v>866</v>
      </c>
      <c r="AY518" s="5">
        <v>1</v>
      </c>
      <c r="AZ518" t="s">
        <v>1081</v>
      </c>
      <c r="BA518">
        <v>2010</v>
      </c>
      <c r="BC518" t="s">
        <v>1082</v>
      </c>
      <c r="BD518" t="s">
        <v>1113</v>
      </c>
      <c r="BE518" t="s">
        <v>483</v>
      </c>
      <c r="BF518" t="s">
        <v>1102</v>
      </c>
      <c r="BG518" t="s">
        <v>1112</v>
      </c>
      <c r="BH518" t="s">
        <v>480</v>
      </c>
      <c r="BI518" t="s">
        <v>480</v>
      </c>
      <c r="BJ518" t="s">
        <v>480</v>
      </c>
      <c r="GL518" t="s">
        <v>1105</v>
      </c>
      <c r="GM518" s="9" t="s">
        <v>480</v>
      </c>
      <c r="GN518" s="9" t="s">
        <v>480</v>
      </c>
      <c r="GO518" s="9" t="s">
        <v>480</v>
      </c>
      <c r="HY518" s="50"/>
      <c r="IV518" t="s">
        <v>1113</v>
      </c>
      <c r="IW518" s="46" t="s">
        <v>1114</v>
      </c>
      <c r="IX518" s="46" t="s">
        <v>1114</v>
      </c>
      <c r="IY518" s="46" t="s">
        <v>1115</v>
      </c>
      <c r="IZ518">
        <v>1</v>
      </c>
      <c r="JA518">
        <v>6</v>
      </c>
      <c r="JB518" t="s">
        <v>480</v>
      </c>
      <c r="JC518" t="s">
        <v>480</v>
      </c>
      <c r="MY518" t="s">
        <v>1095</v>
      </c>
      <c r="MZ518">
        <v>1963</v>
      </c>
      <c r="NA518" t="s">
        <v>1132</v>
      </c>
      <c r="NB518" t="s">
        <v>1097</v>
      </c>
      <c r="NH518" t="s">
        <v>687</v>
      </c>
      <c r="NJ518" t="s">
        <v>1133</v>
      </c>
      <c r="NL518" t="s">
        <v>1133</v>
      </c>
      <c r="NU518" t="s">
        <v>1116</v>
      </c>
      <c r="NV518" t="s">
        <v>518</v>
      </c>
      <c r="NW518">
        <v>1.3</v>
      </c>
      <c r="NX518" t="s">
        <v>916</v>
      </c>
      <c r="NY518">
        <v>0.5</v>
      </c>
      <c r="OB518">
        <v>7</v>
      </c>
      <c r="OU518" t="s">
        <v>1053</v>
      </c>
      <c r="OW518">
        <v>2010</v>
      </c>
      <c r="PB518" t="s">
        <v>522</v>
      </c>
      <c r="PC518" s="50">
        <v>46108</v>
      </c>
    </row>
    <row r="519" spans="1:419" ht="15.75" thickBot="1">
      <c r="A519" t="s">
        <v>665</v>
      </c>
      <c r="B519" t="s">
        <v>1075</v>
      </c>
      <c r="C519" t="s">
        <v>1076</v>
      </c>
      <c r="D519" s="4" t="s">
        <v>472</v>
      </c>
      <c r="E519" t="s">
        <v>1077</v>
      </c>
      <c r="F519" t="s">
        <v>865</v>
      </c>
      <c r="G519" t="s">
        <v>1078</v>
      </c>
      <c r="H519" s="2" t="s">
        <v>1079</v>
      </c>
      <c r="I519">
        <v>-23.748532000000001</v>
      </c>
      <c r="J519">
        <v>-62.056702000000001</v>
      </c>
      <c r="K519" s="78">
        <v>65000</v>
      </c>
      <c r="AV519" t="s">
        <v>1080</v>
      </c>
      <c r="AW519" t="s">
        <v>866</v>
      </c>
      <c r="AX519" t="s">
        <v>866</v>
      </c>
      <c r="AY519" s="5">
        <v>1</v>
      </c>
      <c r="AZ519" t="s">
        <v>1134</v>
      </c>
      <c r="BA519">
        <v>2011</v>
      </c>
      <c r="BC519" t="s">
        <v>1082</v>
      </c>
      <c r="BD519" t="s">
        <v>1101</v>
      </c>
      <c r="BE519" t="s">
        <v>536</v>
      </c>
      <c r="BF519" t="s">
        <v>1102</v>
      </c>
      <c r="BG519" t="s">
        <v>1103</v>
      </c>
      <c r="BH519" t="s">
        <v>1104</v>
      </c>
      <c r="BI519" t="s">
        <v>480</v>
      </c>
      <c r="BJ519" t="s">
        <v>480</v>
      </c>
      <c r="ED519" t="s">
        <v>1085</v>
      </c>
      <c r="EE519" t="s">
        <v>480</v>
      </c>
      <c r="EF519" t="s">
        <v>480</v>
      </c>
      <c r="EG519" t="s">
        <v>537</v>
      </c>
      <c r="EH519" t="s">
        <v>1086</v>
      </c>
      <c r="EI519" t="s">
        <v>480</v>
      </c>
      <c r="EJ519" t="s">
        <v>480</v>
      </c>
      <c r="EK519" t="s">
        <v>537</v>
      </c>
      <c r="EL519" t="s">
        <v>1087</v>
      </c>
      <c r="EM519" t="s">
        <v>480</v>
      </c>
      <c r="EN519" t="s">
        <v>480</v>
      </c>
      <c r="EO519" t="s">
        <v>537</v>
      </c>
      <c r="EP519" t="s">
        <v>1088</v>
      </c>
      <c r="EQ519" t="s">
        <v>480</v>
      </c>
      <c r="ER519" t="s">
        <v>480</v>
      </c>
      <c r="ES519" t="s">
        <v>537</v>
      </c>
      <c r="ET519" t="s">
        <v>1089</v>
      </c>
      <c r="EU519" t="s">
        <v>480</v>
      </c>
      <c r="EV519" t="s">
        <v>480</v>
      </c>
      <c r="EW519" t="s">
        <v>537</v>
      </c>
      <c r="EX519" t="s">
        <v>1090</v>
      </c>
      <c r="EY519" t="s">
        <v>480</v>
      </c>
      <c r="EZ519" t="s">
        <v>480</v>
      </c>
      <c r="FA519" t="s">
        <v>537</v>
      </c>
      <c r="FB519" t="s">
        <v>1091</v>
      </c>
      <c r="FC519" t="s">
        <v>480</v>
      </c>
      <c r="FD519" t="s">
        <v>480</v>
      </c>
      <c r="GL519" t="s">
        <v>1105</v>
      </c>
      <c r="GM519" s="9" t="s">
        <v>480</v>
      </c>
      <c r="GN519" s="9" t="s">
        <v>480</v>
      </c>
      <c r="GO519" s="9" t="s">
        <v>480</v>
      </c>
      <c r="GP519" s="9"/>
      <c r="GQ519" s="9"/>
      <c r="GR519" s="9"/>
      <c r="GS519" s="9"/>
      <c r="GT519" s="9"/>
      <c r="GU519" s="9"/>
      <c r="GV519" s="9"/>
      <c r="GW519" s="9"/>
      <c r="GX519" s="9"/>
      <c r="GY519" s="9"/>
      <c r="GZ519" s="9"/>
      <c r="HA519" s="9"/>
      <c r="HB519" s="9"/>
      <c r="HC519" s="9"/>
      <c r="HD519" s="9"/>
      <c r="HE519" s="9"/>
      <c r="HF519" s="9"/>
      <c r="HG519" s="9"/>
      <c r="HH519" s="9"/>
      <c r="HI519" s="9"/>
      <c r="HJ519" s="9"/>
      <c r="HK519" s="9"/>
      <c r="HX519" s="50"/>
      <c r="HY519" s="50"/>
      <c r="IV519" t="s">
        <v>1101</v>
      </c>
      <c r="IW519" s="75" t="s">
        <v>1106</v>
      </c>
      <c r="IX519" t="s">
        <v>1107</v>
      </c>
      <c r="IY519" s="46" t="s">
        <v>1108</v>
      </c>
      <c r="IZ519">
        <v>1</v>
      </c>
      <c r="JA519">
        <v>81</v>
      </c>
      <c r="JB519" t="s">
        <v>480</v>
      </c>
      <c r="JC519" t="s">
        <v>480</v>
      </c>
      <c r="MY519" t="s">
        <v>1135</v>
      </c>
      <c r="NA519" t="s">
        <v>1136</v>
      </c>
      <c r="NB519" s="4" t="s">
        <v>1105</v>
      </c>
      <c r="NJ519" t="s">
        <v>1137</v>
      </c>
      <c r="NK519" t="s">
        <v>1138</v>
      </c>
      <c r="NL519" s="4" t="s">
        <v>1139</v>
      </c>
      <c r="NM519" s="6" t="s">
        <v>1140</v>
      </c>
      <c r="NV519" t="s">
        <v>518</v>
      </c>
      <c r="NW519">
        <v>7</v>
      </c>
      <c r="NX519" t="s">
        <v>916</v>
      </c>
      <c r="NY519">
        <v>2.7</v>
      </c>
      <c r="OB519">
        <v>8</v>
      </c>
      <c r="OU519" t="s">
        <v>1141</v>
      </c>
      <c r="OW519">
        <v>2010</v>
      </c>
      <c r="PB519" t="s">
        <v>522</v>
      </c>
      <c r="PC519" s="50">
        <v>46108</v>
      </c>
    </row>
    <row r="520" spans="1:419" ht="15.75" thickBot="1">
      <c r="A520" t="s">
        <v>665</v>
      </c>
      <c r="B520" t="s">
        <v>1075</v>
      </c>
      <c r="C520" t="s">
        <v>1076</v>
      </c>
      <c r="D520" s="4" t="s">
        <v>472</v>
      </c>
      <c r="E520" t="s">
        <v>1077</v>
      </c>
      <c r="F520" t="s">
        <v>865</v>
      </c>
      <c r="G520" t="s">
        <v>1078</v>
      </c>
      <c r="H520" s="2" t="s">
        <v>1079</v>
      </c>
      <c r="I520">
        <v>-23.748532000000001</v>
      </c>
      <c r="J520">
        <v>-62.056702000000001</v>
      </c>
      <c r="K520" s="78">
        <v>65000</v>
      </c>
      <c r="AV520" t="s">
        <v>1080</v>
      </c>
      <c r="AW520" t="s">
        <v>866</v>
      </c>
      <c r="AX520">
        <v>3600</v>
      </c>
      <c r="AY520" s="5">
        <v>1</v>
      </c>
      <c r="AZ520" t="s">
        <v>1142</v>
      </c>
      <c r="BA520">
        <v>2012</v>
      </c>
      <c r="BC520" t="s">
        <v>1082</v>
      </c>
      <c r="BD520" t="s">
        <v>1109</v>
      </c>
      <c r="BE520" t="s">
        <v>566</v>
      </c>
      <c r="BF520" t="s">
        <v>1102</v>
      </c>
      <c r="BG520" t="s">
        <v>1103</v>
      </c>
      <c r="BH520" t="s">
        <v>480</v>
      </c>
      <c r="BI520" t="s">
        <v>480</v>
      </c>
      <c r="BJ520" t="s">
        <v>480</v>
      </c>
      <c r="ED520" t="s">
        <v>1085</v>
      </c>
      <c r="EE520" t="s">
        <v>480</v>
      </c>
      <c r="EF520" t="s">
        <v>480</v>
      </c>
      <c r="EG520" t="s">
        <v>537</v>
      </c>
      <c r="EH520" t="s">
        <v>1086</v>
      </c>
      <c r="EI520" t="s">
        <v>480</v>
      </c>
      <c r="EJ520" t="s">
        <v>480</v>
      </c>
      <c r="EK520" t="s">
        <v>537</v>
      </c>
      <c r="EL520" t="s">
        <v>1087</v>
      </c>
      <c r="EM520" t="s">
        <v>480</v>
      </c>
      <c r="EN520" t="s">
        <v>480</v>
      </c>
      <c r="EO520" t="s">
        <v>537</v>
      </c>
      <c r="EP520" t="s">
        <v>1088</v>
      </c>
      <c r="EQ520" t="s">
        <v>480</v>
      </c>
      <c r="ER520" t="s">
        <v>480</v>
      </c>
      <c r="ES520" t="s">
        <v>537</v>
      </c>
      <c r="ET520" t="s">
        <v>1089</v>
      </c>
      <c r="EU520" t="s">
        <v>480</v>
      </c>
      <c r="EV520" t="s">
        <v>480</v>
      </c>
      <c r="EW520" t="s">
        <v>537</v>
      </c>
      <c r="EX520" t="s">
        <v>1090</v>
      </c>
      <c r="EY520" t="s">
        <v>480</v>
      </c>
      <c r="EZ520" t="s">
        <v>480</v>
      </c>
      <c r="FA520" t="s">
        <v>537</v>
      </c>
      <c r="FB520" t="s">
        <v>1091</v>
      </c>
      <c r="FC520" t="s">
        <v>480</v>
      </c>
      <c r="FD520" t="s">
        <v>480</v>
      </c>
      <c r="FF520" s="9"/>
      <c r="FG520" s="9"/>
      <c r="FH520" s="9"/>
      <c r="FI520" s="9"/>
      <c r="FJ520" s="9"/>
      <c r="FK520" s="9"/>
      <c r="FL520" s="9"/>
      <c r="FM520" s="9"/>
      <c r="FN520" s="9"/>
      <c r="FO520" s="9"/>
      <c r="FP520" s="9"/>
      <c r="FQ520" s="9"/>
      <c r="FR520" s="9"/>
      <c r="FS520" s="9"/>
      <c r="FT520" s="9"/>
      <c r="FU520" s="9"/>
      <c r="FV520" s="9"/>
      <c r="FW520" s="9"/>
      <c r="FX520" s="9"/>
      <c r="FY520" s="9"/>
      <c r="FZ520" s="9"/>
      <c r="GA520" s="9"/>
      <c r="GB520" s="9"/>
      <c r="GC520" s="9"/>
      <c r="GD520" s="9"/>
      <c r="GE520" s="9"/>
      <c r="GF520" s="9"/>
      <c r="GG520" s="9"/>
      <c r="GH520" s="9"/>
      <c r="GI520" s="9"/>
      <c r="GJ520" s="9"/>
      <c r="GK520" s="9"/>
      <c r="GL520" s="9" t="s">
        <v>1105</v>
      </c>
      <c r="GM520" s="9" t="s">
        <v>480</v>
      </c>
      <c r="GN520" s="9" t="s">
        <v>480</v>
      </c>
      <c r="GO520" s="9" t="s">
        <v>480</v>
      </c>
      <c r="GP520" s="9"/>
      <c r="GQ520" s="9"/>
      <c r="GR520" s="9"/>
      <c r="GS520" s="9"/>
      <c r="GT520" s="9"/>
      <c r="GU520" s="9"/>
      <c r="GV520" s="9"/>
      <c r="GW520" s="9"/>
      <c r="GX520" s="9"/>
      <c r="GY520" s="9"/>
      <c r="GZ520" s="9"/>
      <c r="HA520" s="9"/>
      <c r="HB520" s="9"/>
      <c r="HC520" s="9"/>
      <c r="HD520" s="9"/>
      <c r="HE520" s="9"/>
      <c r="HF520" s="9"/>
      <c r="HG520" s="9"/>
      <c r="HH520" s="9"/>
      <c r="HI520" s="9"/>
      <c r="HJ520" s="9"/>
      <c r="HK520" s="9"/>
      <c r="HX520" s="50"/>
      <c r="HY520" s="50"/>
      <c r="IV520" t="s">
        <v>1109</v>
      </c>
      <c r="IW520" s="75" t="s">
        <v>1106</v>
      </c>
      <c r="IX520" s="12" t="s">
        <v>1107</v>
      </c>
      <c r="IY520" s="46" t="s">
        <v>1110</v>
      </c>
      <c r="IZ520">
        <v>7.5</v>
      </c>
      <c r="JA520">
        <v>56</v>
      </c>
      <c r="JB520" t="s">
        <v>480</v>
      </c>
      <c r="JC520" t="s">
        <v>480</v>
      </c>
      <c r="MY520" t="s">
        <v>1143</v>
      </c>
      <c r="NA520" t="s">
        <v>1136</v>
      </c>
      <c r="NB520" s="4" t="s">
        <v>1105</v>
      </c>
      <c r="NJ520" t="s">
        <v>1137</v>
      </c>
      <c r="NK520" t="s">
        <v>1138</v>
      </c>
      <c r="NL520" s="4" t="s">
        <v>1139</v>
      </c>
      <c r="NM520" s="6" t="s">
        <v>1140</v>
      </c>
      <c r="NV520" t="s">
        <v>518</v>
      </c>
      <c r="NW520">
        <v>20</v>
      </c>
      <c r="NX520" t="s">
        <v>916</v>
      </c>
      <c r="NY520">
        <v>6.6</v>
      </c>
      <c r="OB520">
        <v>7</v>
      </c>
      <c r="OU520" t="s">
        <v>1141</v>
      </c>
      <c r="OW520">
        <v>2010</v>
      </c>
      <c r="PB520" t="s">
        <v>522</v>
      </c>
      <c r="PC520" s="50">
        <v>46108</v>
      </c>
    </row>
    <row r="521" spans="1:419" ht="15.75" thickBot="1">
      <c r="A521" t="s">
        <v>665</v>
      </c>
      <c r="B521" t="s">
        <v>1075</v>
      </c>
      <c r="C521" t="s">
        <v>1076</v>
      </c>
      <c r="D521" s="4" t="s">
        <v>472</v>
      </c>
      <c r="E521" t="s">
        <v>1077</v>
      </c>
      <c r="F521" t="s">
        <v>865</v>
      </c>
      <c r="G521" t="s">
        <v>1078</v>
      </c>
      <c r="H521" s="2" t="s">
        <v>1079</v>
      </c>
      <c r="I521">
        <v>-23.748532000000001</v>
      </c>
      <c r="J521">
        <v>-62.056702000000001</v>
      </c>
      <c r="K521" s="78">
        <v>65000</v>
      </c>
      <c r="AV521" t="s">
        <v>1080</v>
      </c>
      <c r="AW521" t="s">
        <v>866</v>
      </c>
      <c r="AX521">
        <v>3600</v>
      </c>
      <c r="AY521" s="5">
        <v>1</v>
      </c>
      <c r="AZ521" t="s">
        <v>1144</v>
      </c>
      <c r="BA521">
        <v>2013</v>
      </c>
      <c r="BC521" t="s">
        <v>1082</v>
      </c>
      <c r="BD521" t="s">
        <v>1111</v>
      </c>
      <c r="BE521" t="s">
        <v>572</v>
      </c>
      <c r="BF521" t="s">
        <v>1102</v>
      </c>
      <c r="BG521" t="s">
        <v>1112</v>
      </c>
      <c r="BH521" t="s">
        <v>480</v>
      </c>
      <c r="BI521" t="s">
        <v>480</v>
      </c>
      <c r="BJ521" t="s">
        <v>480</v>
      </c>
      <c r="ED521" t="s">
        <v>1085</v>
      </c>
      <c r="EE521" t="s">
        <v>480</v>
      </c>
      <c r="EF521" t="s">
        <v>480</v>
      </c>
      <c r="EG521" t="s">
        <v>537</v>
      </c>
      <c r="EH521" t="s">
        <v>1086</v>
      </c>
      <c r="EI521" t="s">
        <v>480</v>
      </c>
      <c r="EJ521" t="s">
        <v>480</v>
      </c>
      <c r="EK521" t="s">
        <v>537</v>
      </c>
      <c r="EL521" t="s">
        <v>1087</v>
      </c>
      <c r="EM521" t="s">
        <v>480</v>
      </c>
      <c r="EN521" t="s">
        <v>480</v>
      </c>
      <c r="EO521" t="s">
        <v>537</v>
      </c>
      <c r="EP521" t="s">
        <v>1088</v>
      </c>
      <c r="EQ521" t="s">
        <v>480</v>
      </c>
      <c r="ER521" t="s">
        <v>480</v>
      </c>
      <c r="ES521" t="s">
        <v>537</v>
      </c>
      <c r="ET521" t="s">
        <v>1089</v>
      </c>
      <c r="EU521" t="s">
        <v>480</v>
      </c>
      <c r="EV521" t="s">
        <v>480</v>
      </c>
      <c r="EW521" t="s">
        <v>537</v>
      </c>
      <c r="EX521" t="s">
        <v>1090</v>
      </c>
      <c r="EY521" t="s">
        <v>480</v>
      </c>
      <c r="EZ521" t="s">
        <v>480</v>
      </c>
      <c r="FA521" t="s">
        <v>537</v>
      </c>
      <c r="FB521" t="s">
        <v>1091</v>
      </c>
      <c r="FC521" t="s">
        <v>480</v>
      </c>
      <c r="FD521" t="s">
        <v>480</v>
      </c>
      <c r="FF521" s="9"/>
      <c r="FG521" s="9"/>
      <c r="FH521" s="9"/>
      <c r="FI521" s="9"/>
      <c r="FJ521" s="9"/>
      <c r="FK521" s="9"/>
      <c r="FL521" s="9"/>
      <c r="FM521" s="9"/>
      <c r="FN521" s="9"/>
      <c r="FO521" s="9"/>
      <c r="FP521" s="9"/>
      <c r="FQ521" s="9"/>
      <c r="FR521" s="9"/>
      <c r="FS521" s="9"/>
      <c r="FT521" s="9"/>
      <c r="FU521" s="9"/>
      <c r="FV521" s="9"/>
      <c r="FW521" s="9"/>
      <c r="FX521" s="9"/>
      <c r="FY521" s="9"/>
      <c r="FZ521" s="9"/>
      <c r="GA521" s="9"/>
      <c r="GB521" s="9"/>
      <c r="GC521" s="9"/>
      <c r="GD521" s="9"/>
      <c r="GE521" s="9"/>
      <c r="GF521" s="9"/>
      <c r="GG521" s="9"/>
      <c r="GH521" s="9"/>
      <c r="GI521" s="9"/>
      <c r="GJ521" s="9"/>
      <c r="GK521" s="9"/>
      <c r="GL521" s="9" t="s">
        <v>1105</v>
      </c>
      <c r="GM521" s="9" t="s">
        <v>480</v>
      </c>
      <c r="GN521" s="9" t="s">
        <v>480</v>
      </c>
      <c r="GO521" s="9" t="s">
        <v>480</v>
      </c>
      <c r="GP521" s="9"/>
      <c r="GQ521" s="9"/>
      <c r="GR521" s="9"/>
      <c r="GS521" s="9"/>
      <c r="GT521" s="9"/>
      <c r="GU521" s="9"/>
      <c r="GV521" s="9"/>
      <c r="GW521" s="9"/>
      <c r="GX521" s="9"/>
      <c r="GY521" s="9"/>
      <c r="GZ521" s="9"/>
      <c r="HA521" s="9"/>
      <c r="HB521" s="9"/>
      <c r="HC521" s="9"/>
      <c r="HD521" s="9"/>
      <c r="HE521" s="9"/>
      <c r="HF521" s="9"/>
      <c r="HG521" s="9"/>
      <c r="HH521" s="9"/>
      <c r="HI521" s="9"/>
      <c r="HJ521" s="9"/>
      <c r="HK521" s="9"/>
      <c r="HX521" s="50"/>
      <c r="HY521" s="50"/>
      <c r="IV521" t="s">
        <v>1111</v>
      </c>
      <c r="IW521" s="75" t="s">
        <v>1106</v>
      </c>
      <c r="IX521" s="12" t="s">
        <v>1107</v>
      </c>
      <c r="IY521" s="46" t="s">
        <v>1110</v>
      </c>
      <c r="IZ521">
        <v>7.5</v>
      </c>
      <c r="JA521">
        <v>37</v>
      </c>
      <c r="JB521" t="s">
        <v>480</v>
      </c>
      <c r="JC521" t="s">
        <v>480</v>
      </c>
      <c r="MY521" t="s">
        <v>1145</v>
      </c>
      <c r="NA521" t="s">
        <v>1136</v>
      </c>
      <c r="NB521" s="4" t="s">
        <v>1105</v>
      </c>
      <c r="NJ521" t="s">
        <v>1137</v>
      </c>
      <c r="NK521" t="s">
        <v>1138</v>
      </c>
      <c r="NL521" s="4" t="s">
        <v>1139</v>
      </c>
      <c r="NM521" s="6" t="s">
        <v>1140</v>
      </c>
      <c r="NV521" t="s">
        <v>518</v>
      </c>
      <c r="NW521">
        <v>105</v>
      </c>
      <c r="NX521" t="s">
        <v>916</v>
      </c>
      <c r="NY521">
        <v>16.7</v>
      </c>
      <c r="OB521">
        <v>5</v>
      </c>
      <c r="OU521" t="s">
        <v>1141</v>
      </c>
      <c r="OW521">
        <v>2010</v>
      </c>
      <c r="PB521" t="s">
        <v>522</v>
      </c>
      <c r="PC521" s="50">
        <v>46108</v>
      </c>
    </row>
    <row r="522" spans="1:419" ht="15.75" thickBot="1">
      <c r="A522" t="s">
        <v>665</v>
      </c>
      <c r="B522" t="s">
        <v>1075</v>
      </c>
      <c r="C522" t="s">
        <v>1076</v>
      </c>
      <c r="D522" s="4" t="s">
        <v>472</v>
      </c>
      <c r="E522" t="s">
        <v>1077</v>
      </c>
      <c r="F522" t="s">
        <v>865</v>
      </c>
      <c r="G522" t="s">
        <v>1078</v>
      </c>
      <c r="H522" s="2" t="s">
        <v>1079</v>
      </c>
      <c r="I522">
        <v>-23.748532000000001</v>
      </c>
      <c r="J522">
        <v>-62.056702000000001</v>
      </c>
      <c r="K522" s="78">
        <v>65000</v>
      </c>
      <c r="AV522" t="s">
        <v>1080</v>
      </c>
      <c r="AW522" t="s">
        <v>866</v>
      </c>
      <c r="AX522" t="s">
        <v>866</v>
      </c>
      <c r="AY522" s="5">
        <v>1</v>
      </c>
      <c r="AZ522" t="s">
        <v>1146</v>
      </c>
      <c r="BA522">
        <v>2014</v>
      </c>
      <c r="BC522" t="s">
        <v>1082</v>
      </c>
      <c r="BD522" t="s">
        <v>1113</v>
      </c>
      <c r="BE522" t="s">
        <v>483</v>
      </c>
      <c r="BF522" t="s">
        <v>1102</v>
      </c>
      <c r="BG522" t="s">
        <v>1112</v>
      </c>
      <c r="BH522" t="s">
        <v>480</v>
      </c>
      <c r="BI522" t="s">
        <v>480</v>
      </c>
      <c r="BJ522" t="s">
        <v>480</v>
      </c>
      <c r="EH522" s="9"/>
      <c r="EI522" s="9"/>
      <c r="EJ522" s="9"/>
      <c r="EK522" s="9"/>
      <c r="EL522" s="9"/>
      <c r="EM522" s="9"/>
      <c r="EN522" s="9"/>
      <c r="EO522" s="9"/>
      <c r="EP522" s="9"/>
      <c r="EQ522" s="9"/>
      <c r="ER522" s="9"/>
      <c r="ES522" s="9"/>
      <c r="ET522" s="9"/>
      <c r="EU522" s="9"/>
      <c r="EV522" s="9"/>
      <c r="EW522" s="9"/>
      <c r="EX522" s="9"/>
      <c r="EY522" s="9"/>
      <c r="EZ522" s="9"/>
      <c r="FA522" s="9"/>
      <c r="FB522" s="9"/>
      <c r="FC522" s="9"/>
      <c r="FD522" s="9"/>
      <c r="FE522" s="9"/>
      <c r="FF522" s="9"/>
      <c r="FG522" s="9"/>
      <c r="FH522" s="9"/>
      <c r="FI522" s="9"/>
      <c r="FJ522" s="9"/>
      <c r="FK522" s="9"/>
      <c r="FL522" s="9"/>
      <c r="FM522" s="9"/>
      <c r="FN522" s="9"/>
      <c r="FO522" s="9"/>
      <c r="FP522" s="9"/>
      <c r="FQ522" s="9"/>
      <c r="FR522" s="9"/>
      <c r="FS522" s="9"/>
      <c r="FT522" s="9"/>
      <c r="FU522" s="9"/>
      <c r="FV522" s="9"/>
      <c r="FW522" s="9"/>
      <c r="FX522" s="9"/>
      <c r="FY522" s="9"/>
      <c r="FZ522" s="9"/>
      <c r="GA522" s="9"/>
      <c r="GB522" s="9"/>
      <c r="GC522" s="9"/>
      <c r="GD522" s="9"/>
      <c r="GE522" s="9"/>
      <c r="GF522" s="9"/>
      <c r="GG522" s="9"/>
      <c r="GH522" s="9"/>
      <c r="GI522" s="9"/>
      <c r="GJ522" s="9"/>
      <c r="GK522" s="9"/>
      <c r="GL522" s="9" t="s">
        <v>1105</v>
      </c>
      <c r="GM522" s="9" t="s">
        <v>480</v>
      </c>
      <c r="GN522" s="9" t="s">
        <v>480</v>
      </c>
      <c r="GO522" s="9" t="s">
        <v>480</v>
      </c>
      <c r="GP522" s="9"/>
      <c r="GQ522" s="9"/>
      <c r="GR522" s="9"/>
      <c r="GS522" s="9"/>
      <c r="GT522" s="9"/>
      <c r="GU522" s="9"/>
      <c r="GV522" s="9"/>
      <c r="GW522" s="9"/>
      <c r="GX522" s="9"/>
      <c r="GY522" s="9"/>
      <c r="GZ522" s="9"/>
      <c r="HA522" s="9"/>
      <c r="HB522" s="9"/>
      <c r="HC522" s="9"/>
      <c r="HD522" s="9"/>
      <c r="HE522" s="9"/>
      <c r="HF522" s="9"/>
      <c r="HG522" s="9"/>
      <c r="HH522" s="9"/>
      <c r="HI522" s="9"/>
      <c r="HJ522" s="9"/>
      <c r="HK522" s="9"/>
      <c r="HX522" s="50"/>
      <c r="HY522" s="50"/>
      <c r="IV522" t="s">
        <v>1113</v>
      </c>
      <c r="IW522" s="46" t="s">
        <v>1114</v>
      </c>
      <c r="IX522" s="46" t="s">
        <v>1114</v>
      </c>
      <c r="IY522" s="46" t="s">
        <v>1115</v>
      </c>
      <c r="IZ522">
        <v>1</v>
      </c>
      <c r="JA522">
        <v>6</v>
      </c>
      <c r="JB522" t="s">
        <v>480</v>
      </c>
      <c r="JC522" t="s">
        <v>480</v>
      </c>
      <c r="MY522" t="s">
        <v>1147</v>
      </c>
      <c r="NA522" t="s">
        <v>1136</v>
      </c>
      <c r="NB522" s="4" t="s">
        <v>1105</v>
      </c>
      <c r="NJ522" t="s">
        <v>1137</v>
      </c>
      <c r="NK522" t="s">
        <v>1138</v>
      </c>
      <c r="NL522" s="4" t="s">
        <v>1139</v>
      </c>
      <c r="NM522" s="6" t="s">
        <v>1140</v>
      </c>
      <c r="NU522" t="s">
        <v>1116</v>
      </c>
      <c r="NV522" t="s">
        <v>518</v>
      </c>
      <c r="NW522">
        <v>130</v>
      </c>
      <c r="NX522" t="s">
        <v>916</v>
      </c>
      <c r="NY522">
        <v>32.6</v>
      </c>
      <c r="OB522">
        <v>7</v>
      </c>
      <c r="OU522" t="s">
        <v>1141</v>
      </c>
      <c r="OW522">
        <v>2010</v>
      </c>
      <c r="PB522" t="s">
        <v>522</v>
      </c>
      <c r="PC522" s="50">
        <v>46108</v>
      </c>
    </row>
    <row r="523" spans="1:419" ht="15.75" thickBot="1">
      <c r="A523" t="s">
        <v>665</v>
      </c>
      <c r="B523" t="s">
        <v>1148</v>
      </c>
      <c r="C523" t="s">
        <v>900</v>
      </c>
      <c r="D523" s="4" t="s">
        <v>472</v>
      </c>
      <c r="E523" t="s">
        <v>1149</v>
      </c>
      <c r="F523" t="s">
        <v>1150</v>
      </c>
      <c r="G523" t="s">
        <v>475</v>
      </c>
      <c r="H523" t="s">
        <v>476</v>
      </c>
      <c r="I523">
        <v>7.27</v>
      </c>
      <c r="J523">
        <v>36.270000000000003</v>
      </c>
      <c r="K523">
        <v>50000</v>
      </c>
      <c r="AV523" t="s">
        <v>1151</v>
      </c>
      <c r="AW523">
        <v>200</v>
      </c>
      <c r="AX523" t="s">
        <v>866</v>
      </c>
      <c r="AY523" s="5">
        <v>1</v>
      </c>
      <c r="AZ523" t="s">
        <v>1152</v>
      </c>
      <c r="BA523">
        <v>1996</v>
      </c>
      <c r="BD523" t="s">
        <v>1153</v>
      </c>
      <c r="BE523" t="s">
        <v>483</v>
      </c>
      <c r="BF523" t="s">
        <v>1084</v>
      </c>
      <c r="ED523" t="s">
        <v>1154</v>
      </c>
      <c r="EE523" t="s">
        <v>480</v>
      </c>
      <c r="EF523" t="s">
        <v>480</v>
      </c>
      <c r="EG523" t="s">
        <v>537</v>
      </c>
      <c r="EH523" t="s">
        <v>1155</v>
      </c>
      <c r="EI523" t="s">
        <v>480</v>
      </c>
      <c r="EJ523" t="s">
        <v>480</v>
      </c>
      <c r="EK523" t="s">
        <v>537</v>
      </c>
      <c r="EL523" s="9" t="s">
        <v>1156</v>
      </c>
      <c r="EM523" t="s">
        <v>480</v>
      </c>
      <c r="EN523" t="s">
        <v>480</v>
      </c>
      <c r="EO523" t="s">
        <v>537</v>
      </c>
      <c r="EP523" s="9" t="s">
        <v>1157</v>
      </c>
      <c r="EQ523" t="s">
        <v>480</v>
      </c>
      <c r="ER523" t="s">
        <v>480</v>
      </c>
      <c r="ES523" t="s">
        <v>537</v>
      </c>
      <c r="ET523" s="9" t="s">
        <v>1158</v>
      </c>
      <c r="EU523" t="s">
        <v>480</v>
      </c>
      <c r="EV523" t="s">
        <v>480</v>
      </c>
      <c r="EX523" s="9"/>
      <c r="EY523" s="9"/>
      <c r="EZ523" s="9"/>
      <c r="FA523" s="9"/>
      <c r="FB523" s="9"/>
      <c r="FC523" s="9"/>
      <c r="FD523" s="9"/>
      <c r="FE523" s="9"/>
      <c r="FF523" s="9"/>
      <c r="FG523" s="9"/>
      <c r="FH523" s="9"/>
      <c r="FI523" s="9"/>
      <c r="FJ523" s="9"/>
      <c r="FK523" s="9"/>
      <c r="FL523" s="9"/>
      <c r="FM523" s="9"/>
      <c r="FN523" s="9"/>
      <c r="FO523" s="9"/>
      <c r="FP523" s="9"/>
      <c r="FQ523" s="9"/>
      <c r="FR523" s="9"/>
      <c r="FS523" s="9"/>
      <c r="FT523" s="9"/>
      <c r="FU523" s="9"/>
      <c r="FV523" s="9"/>
      <c r="FW523" s="9"/>
      <c r="FX523" s="9"/>
      <c r="FY523" s="9"/>
      <c r="FZ523" s="9"/>
      <c r="GA523" s="9"/>
      <c r="GB523" s="9"/>
      <c r="GC523" s="9"/>
      <c r="GD523" s="9"/>
      <c r="GE523" s="9"/>
      <c r="GF523" s="9"/>
      <c r="GG523" s="9"/>
      <c r="GH523" s="9"/>
      <c r="GI523" s="9"/>
      <c r="GJ523" s="9"/>
      <c r="GK523" s="9"/>
      <c r="GL523" s="9"/>
      <c r="GM523" s="9"/>
      <c r="GN523" s="9"/>
      <c r="GO523" s="9"/>
      <c r="GP523" s="9"/>
      <c r="GQ523" s="9"/>
      <c r="GR523" s="9"/>
      <c r="GS523" s="9"/>
      <c r="GT523" s="9"/>
      <c r="GU523" s="9"/>
      <c r="GV523" s="9"/>
      <c r="GW523" s="9"/>
      <c r="GX523" s="9"/>
      <c r="GY523" s="9"/>
      <c r="GZ523" s="9"/>
      <c r="HA523" s="9"/>
      <c r="HB523" s="9"/>
      <c r="HC523" s="9"/>
      <c r="HD523" s="9"/>
      <c r="HE523" s="9"/>
      <c r="HF523" s="9"/>
      <c r="HG523" s="9"/>
      <c r="HH523" s="9"/>
      <c r="HI523" s="9"/>
      <c r="HJ523" s="9"/>
      <c r="HK523" s="9"/>
      <c r="HL523" s="9"/>
      <c r="HY523" s="50"/>
      <c r="IV523" t="s">
        <v>1159</v>
      </c>
      <c r="IW523" s="185" t="s">
        <v>1092</v>
      </c>
      <c r="IZ523">
        <v>18</v>
      </c>
      <c r="JA523">
        <v>88</v>
      </c>
      <c r="JB523">
        <v>65</v>
      </c>
      <c r="JC523">
        <v>100</v>
      </c>
      <c r="JD523">
        <v>21.3</v>
      </c>
      <c r="JE523">
        <v>17</v>
      </c>
      <c r="JF523">
        <v>26</v>
      </c>
      <c r="JG523">
        <v>0.85</v>
      </c>
      <c r="JH523">
        <v>0.25</v>
      </c>
      <c r="JI523">
        <v>3.2</v>
      </c>
      <c r="MT523" t="s">
        <v>1159</v>
      </c>
      <c r="MU523" s="185" t="s">
        <v>1092</v>
      </c>
      <c r="MV523" t="s">
        <v>480</v>
      </c>
      <c r="MW523" s="185" t="s">
        <v>1093</v>
      </c>
      <c r="MX523" t="s">
        <v>480</v>
      </c>
      <c r="MY523" t="s">
        <v>1160</v>
      </c>
      <c r="MZ523">
        <v>200</v>
      </c>
      <c r="NA523" t="s">
        <v>1161</v>
      </c>
      <c r="NB523" t="s">
        <v>1162</v>
      </c>
      <c r="NC523" t="s">
        <v>1163</v>
      </c>
      <c r="NH523" t="s">
        <v>687</v>
      </c>
      <c r="NJ523" t="s">
        <v>1164</v>
      </c>
      <c r="NL523" t="s">
        <v>1099</v>
      </c>
      <c r="NU523" t="s">
        <v>536</v>
      </c>
      <c r="NV523" t="s">
        <v>518</v>
      </c>
      <c r="NW523">
        <v>8.1999999999999993</v>
      </c>
      <c r="NX523" t="s">
        <v>1165</v>
      </c>
      <c r="NY523">
        <v>1.8</v>
      </c>
      <c r="OB523">
        <v>15</v>
      </c>
      <c r="OU523" t="s">
        <v>1166</v>
      </c>
      <c r="PB523" t="s">
        <v>522</v>
      </c>
      <c r="PC523" s="50">
        <v>46108</v>
      </c>
    </row>
    <row r="524" spans="1:419" ht="15.75" thickBot="1">
      <c r="A524" t="s">
        <v>665</v>
      </c>
      <c r="B524" t="s">
        <v>1148</v>
      </c>
      <c r="C524" t="s">
        <v>900</v>
      </c>
      <c r="D524" s="4" t="s">
        <v>472</v>
      </c>
      <c r="E524" t="s">
        <v>1149</v>
      </c>
      <c r="F524" t="s">
        <v>1150</v>
      </c>
      <c r="G524" t="s">
        <v>475</v>
      </c>
      <c r="H524" t="s">
        <v>476</v>
      </c>
      <c r="I524">
        <v>7.27</v>
      </c>
      <c r="J524">
        <v>36.270000000000003</v>
      </c>
      <c r="K524">
        <v>50000</v>
      </c>
      <c r="AV524" t="s">
        <v>1151</v>
      </c>
      <c r="AW524">
        <v>200</v>
      </c>
      <c r="AX524" t="s">
        <v>866</v>
      </c>
      <c r="AY524" s="5">
        <v>1</v>
      </c>
      <c r="AZ524" t="s">
        <v>1152</v>
      </c>
      <c r="BA524">
        <v>1996</v>
      </c>
      <c r="BD524" t="s">
        <v>1167</v>
      </c>
      <c r="BE524" t="s">
        <v>536</v>
      </c>
      <c r="BF524" t="s">
        <v>484</v>
      </c>
      <c r="BG524" t="s">
        <v>1168</v>
      </c>
      <c r="BH524" t="s">
        <v>480</v>
      </c>
      <c r="BI524" t="s">
        <v>480</v>
      </c>
      <c r="BJ524" t="s">
        <v>480</v>
      </c>
      <c r="ED524" t="s">
        <v>1154</v>
      </c>
      <c r="EE524" t="s">
        <v>480</v>
      </c>
      <c r="EF524" t="s">
        <v>480</v>
      </c>
      <c r="EG524" t="s">
        <v>537</v>
      </c>
      <c r="EH524" t="s">
        <v>1155</v>
      </c>
      <c r="EI524" t="s">
        <v>480</v>
      </c>
      <c r="EJ524" t="s">
        <v>480</v>
      </c>
      <c r="EK524" t="s">
        <v>537</v>
      </c>
      <c r="EL524" s="9" t="s">
        <v>1156</v>
      </c>
      <c r="EM524" t="s">
        <v>480</v>
      </c>
      <c r="EN524" t="s">
        <v>480</v>
      </c>
      <c r="EO524" t="s">
        <v>537</v>
      </c>
      <c r="EP524" s="9" t="s">
        <v>1157</v>
      </c>
      <c r="EQ524" t="s">
        <v>480</v>
      </c>
      <c r="ER524" t="s">
        <v>480</v>
      </c>
      <c r="ES524" t="s">
        <v>537</v>
      </c>
      <c r="ET524" s="9" t="s">
        <v>1158</v>
      </c>
      <c r="EU524" t="s">
        <v>480</v>
      </c>
      <c r="EV524" t="s">
        <v>480</v>
      </c>
      <c r="EX524" s="9"/>
      <c r="EY524" s="9"/>
      <c r="EZ524" s="9"/>
      <c r="FA524" s="9"/>
      <c r="FB524" s="9"/>
      <c r="FC524" s="9"/>
      <c r="FD524" s="9"/>
      <c r="FE524" s="9"/>
      <c r="FF524" s="9"/>
      <c r="FG524" s="9"/>
      <c r="FH524" s="9"/>
      <c r="FI524" s="9"/>
      <c r="FJ524" s="9"/>
      <c r="FK524" s="9"/>
      <c r="FL524" s="9"/>
      <c r="FM524" s="9"/>
      <c r="FN524" s="9"/>
      <c r="FO524" s="9"/>
      <c r="FP524" s="9"/>
      <c r="FQ524" s="9"/>
      <c r="FR524" s="9"/>
      <c r="FS524" s="9"/>
      <c r="FT524" s="9"/>
      <c r="FU524" s="9"/>
      <c r="FV524" s="9"/>
      <c r="FW524" s="9"/>
      <c r="FX524" s="9"/>
      <c r="FY524" s="9"/>
      <c r="FZ524" s="9"/>
      <c r="GA524" s="9"/>
      <c r="GB524" s="9"/>
      <c r="GC524" s="9"/>
      <c r="GD524" s="9"/>
      <c r="GE524" s="9"/>
      <c r="GF524" s="9"/>
      <c r="GG524" s="9"/>
      <c r="GH524" s="9"/>
      <c r="GI524" s="9"/>
      <c r="GJ524" s="9"/>
      <c r="GK524" s="9"/>
      <c r="GL524" s="9"/>
      <c r="GM524" s="9"/>
      <c r="GN524" s="9"/>
      <c r="GO524" s="9"/>
      <c r="GP524" s="9"/>
      <c r="GQ524" s="9"/>
      <c r="GR524" s="9"/>
      <c r="GS524" s="9"/>
      <c r="GT524" s="9"/>
      <c r="GU524" s="9"/>
      <c r="GV524" s="9"/>
      <c r="GW524" s="9"/>
      <c r="GX524" s="9"/>
      <c r="GY524" s="9"/>
      <c r="GZ524" s="9"/>
      <c r="HA524" s="9"/>
      <c r="HB524" s="9"/>
      <c r="HC524" s="9"/>
      <c r="HD524" s="9"/>
      <c r="HE524" s="9"/>
      <c r="HF524" s="9"/>
      <c r="HG524" s="9"/>
      <c r="HH524" s="9"/>
      <c r="HI524" s="9"/>
      <c r="HJ524" s="9"/>
      <c r="HK524" s="9"/>
      <c r="HL524" s="9"/>
      <c r="HY524" s="50"/>
      <c r="IV524" t="s">
        <v>1167</v>
      </c>
      <c r="IW524" s="46" t="s">
        <v>1169</v>
      </c>
      <c r="IZ524">
        <v>18</v>
      </c>
      <c r="JA524">
        <v>65</v>
      </c>
      <c r="JB524">
        <v>10</v>
      </c>
      <c r="JC524">
        <v>100</v>
      </c>
      <c r="JD524">
        <v>17.7</v>
      </c>
      <c r="JE524">
        <v>7</v>
      </c>
      <c r="JF524">
        <v>25</v>
      </c>
      <c r="JG524">
        <v>92</v>
      </c>
      <c r="JH524">
        <v>22</v>
      </c>
      <c r="JI524">
        <v>212</v>
      </c>
      <c r="MY524" t="s">
        <v>1160</v>
      </c>
      <c r="MZ524">
        <v>200</v>
      </c>
      <c r="NA524" t="s">
        <v>1161</v>
      </c>
      <c r="NB524" t="s">
        <v>1162</v>
      </c>
      <c r="NC524" t="s">
        <v>1163</v>
      </c>
      <c r="NH524" t="s">
        <v>687</v>
      </c>
      <c r="NJ524" t="s">
        <v>1164</v>
      </c>
      <c r="NL524" t="s">
        <v>1099</v>
      </c>
      <c r="NV524" t="s">
        <v>518</v>
      </c>
      <c r="NW524">
        <v>5.8</v>
      </c>
      <c r="NX524" t="s">
        <v>1165</v>
      </c>
      <c r="NY524">
        <v>1.3</v>
      </c>
      <c r="OB524">
        <v>14</v>
      </c>
      <c r="OU524" t="s">
        <v>1166</v>
      </c>
      <c r="PB524" t="s">
        <v>522</v>
      </c>
      <c r="PC524" s="50">
        <v>46108</v>
      </c>
    </row>
    <row r="525" spans="1:419" ht="15.75" thickBot="1">
      <c r="A525" t="s">
        <v>665</v>
      </c>
      <c r="B525" t="s">
        <v>1148</v>
      </c>
      <c r="C525" t="s">
        <v>900</v>
      </c>
      <c r="D525" s="4" t="s">
        <v>472</v>
      </c>
      <c r="E525" t="s">
        <v>1149</v>
      </c>
      <c r="F525" t="s">
        <v>1150</v>
      </c>
      <c r="G525" t="s">
        <v>475</v>
      </c>
      <c r="H525" t="s">
        <v>476</v>
      </c>
      <c r="I525">
        <v>7.27</v>
      </c>
      <c r="J525">
        <v>36.270000000000003</v>
      </c>
      <c r="K525">
        <v>50000</v>
      </c>
      <c r="AV525" t="s">
        <v>1151</v>
      </c>
      <c r="AW525">
        <v>200</v>
      </c>
      <c r="AX525" t="s">
        <v>866</v>
      </c>
      <c r="AY525" s="5">
        <v>1</v>
      </c>
      <c r="AZ525" t="s">
        <v>1152</v>
      </c>
      <c r="BA525">
        <v>1996</v>
      </c>
      <c r="BD525" t="s">
        <v>1153</v>
      </c>
      <c r="BE525" t="s">
        <v>483</v>
      </c>
      <c r="BF525" t="s">
        <v>1084</v>
      </c>
      <c r="ED525" t="s">
        <v>1154</v>
      </c>
      <c r="EE525" t="s">
        <v>480</v>
      </c>
      <c r="EF525" t="s">
        <v>480</v>
      </c>
      <c r="EG525" t="s">
        <v>537</v>
      </c>
      <c r="EH525" t="s">
        <v>1155</v>
      </c>
      <c r="EI525" t="s">
        <v>480</v>
      </c>
      <c r="EJ525" t="s">
        <v>480</v>
      </c>
      <c r="EK525" t="s">
        <v>537</v>
      </c>
      <c r="EL525" s="9" t="s">
        <v>1156</v>
      </c>
      <c r="EM525" t="s">
        <v>480</v>
      </c>
      <c r="EN525" t="s">
        <v>480</v>
      </c>
      <c r="EO525" t="s">
        <v>537</v>
      </c>
      <c r="EP525" s="9" t="s">
        <v>1157</v>
      </c>
      <c r="EQ525" t="s">
        <v>480</v>
      </c>
      <c r="ER525" t="s">
        <v>480</v>
      </c>
      <c r="ES525" t="s">
        <v>537</v>
      </c>
      <c r="ET525" s="9" t="s">
        <v>1158</v>
      </c>
      <c r="EU525" t="s">
        <v>480</v>
      </c>
      <c r="EV525" t="s">
        <v>480</v>
      </c>
      <c r="EX525" s="9"/>
      <c r="EY525" s="9"/>
      <c r="EZ525" s="9"/>
      <c r="FA525" s="9"/>
      <c r="FB525" s="9"/>
      <c r="FC525" s="9"/>
      <c r="FD525" s="9"/>
      <c r="FE525" s="9"/>
      <c r="FF525" s="9"/>
      <c r="FG525" s="9"/>
      <c r="FH525" s="9"/>
      <c r="FI525" s="9"/>
      <c r="FJ525" s="9"/>
      <c r="FK525" s="9"/>
      <c r="FL525" s="9"/>
      <c r="FM525" s="9"/>
      <c r="FN525" s="9"/>
      <c r="FO525" s="9"/>
      <c r="FP525" s="9"/>
      <c r="FQ525" s="9"/>
      <c r="FR525" s="9"/>
      <c r="FS525" s="9"/>
      <c r="FT525" s="9"/>
      <c r="FU525" s="9"/>
      <c r="FV525" s="9"/>
      <c r="FW525" s="9"/>
      <c r="FX525" s="9"/>
      <c r="FY525" s="9"/>
      <c r="FZ525" s="9"/>
      <c r="GA525" s="9"/>
      <c r="GB525" s="9"/>
      <c r="GC525" s="9"/>
      <c r="GD525" s="9"/>
      <c r="GE525" s="9"/>
      <c r="GF525" s="9"/>
      <c r="GG525" s="9"/>
      <c r="GH525" s="9"/>
      <c r="GI525" s="9"/>
      <c r="GJ525" s="9"/>
      <c r="GK525" s="9"/>
      <c r="GL525" s="9"/>
      <c r="GM525" s="9"/>
      <c r="GN525" s="9"/>
      <c r="GO525" s="9"/>
      <c r="GP525" s="9"/>
      <c r="GQ525" s="9"/>
      <c r="GR525" s="9"/>
      <c r="GS525" s="9"/>
      <c r="GT525" s="9"/>
      <c r="GU525" s="9"/>
      <c r="GV525" s="9"/>
      <c r="GW525" s="9"/>
      <c r="GX525" s="9"/>
      <c r="GY525" s="9"/>
      <c r="GZ525" s="9"/>
      <c r="HA525" s="9"/>
      <c r="HB525" s="9"/>
      <c r="HC525" s="9"/>
      <c r="HD525" s="9"/>
      <c r="HE525" s="9"/>
      <c r="HF525" s="9"/>
      <c r="HG525" s="9"/>
      <c r="HH525" s="9"/>
      <c r="HI525" s="9"/>
      <c r="HJ525" s="9"/>
      <c r="HK525" s="9"/>
      <c r="HL525" s="9"/>
      <c r="HY525" s="50"/>
      <c r="IV525" t="s">
        <v>1159</v>
      </c>
      <c r="IW525" s="185" t="s">
        <v>1092</v>
      </c>
      <c r="IZ525">
        <v>18</v>
      </c>
      <c r="JA525">
        <v>88</v>
      </c>
      <c r="JB525">
        <v>65</v>
      </c>
      <c r="JC525">
        <v>100</v>
      </c>
      <c r="JD525">
        <v>21.3</v>
      </c>
      <c r="JE525">
        <v>17</v>
      </c>
      <c r="JF525">
        <v>26</v>
      </c>
      <c r="JG525">
        <v>0.85</v>
      </c>
      <c r="JH525">
        <v>0.25</v>
      </c>
      <c r="JI525">
        <v>3.2</v>
      </c>
      <c r="MT525" t="s">
        <v>1159</v>
      </c>
      <c r="MU525" s="185" t="s">
        <v>1092</v>
      </c>
      <c r="MV525" t="s">
        <v>480</v>
      </c>
      <c r="MW525" s="185" t="s">
        <v>1093</v>
      </c>
      <c r="MX525" t="s">
        <v>480</v>
      </c>
      <c r="MY525" t="s">
        <v>1160</v>
      </c>
      <c r="MZ525">
        <v>200</v>
      </c>
      <c r="NA525" t="s">
        <v>1170</v>
      </c>
      <c r="NB525" t="s">
        <v>1171</v>
      </c>
      <c r="NH525" t="s">
        <v>687</v>
      </c>
      <c r="NJ525" t="s">
        <v>1164</v>
      </c>
      <c r="NL525" t="s">
        <v>1099</v>
      </c>
      <c r="NU525" t="s">
        <v>536</v>
      </c>
      <c r="NV525" t="s">
        <v>518</v>
      </c>
      <c r="NW525">
        <v>8.3000000000000007</v>
      </c>
      <c r="NX525" t="s">
        <v>1165</v>
      </c>
      <c r="NY525">
        <v>1.9</v>
      </c>
      <c r="OB525">
        <v>15</v>
      </c>
      <c r="OU525" t="s">
        <v>1166</v>
      </c>
      <c r="PB525" t="s">
        <v>522</v>
      </c>
      <c r="PC525" s="50">
        <v>46108</v>
      </c>
    </row>
    <row r="526" spans="1:419" ht="15.75" thickBot="1">
      <c r="A526" t="s">
        <v>665</v>
      </c>
      <c r="B526" t="s">
        <v>1148</v>
      </c>
      <c r="C526" t="s">
        <v>900</v>
      </c>
      <c r="D526" s="4" t="s">
        <v>472</v>
      </c>
      <c r="E526" t="s">
        <v>1149</v>
      </c>
      <c r="F526" t="s">
        <v>1150</v>
      </c>
      <c r="G526" t="s">
        <v>475</v>
      </c>
      <c r="H526" t="s">
        <v>476</v>
      </c>
      <c r="I526">
        <v>7.27</v>
      </c>
      <c r="J526">
        <v>36.270000000000003</v>
      </c>
      <c r="K526">
        <v>50000</v>
      </c>
      <c r="AV526" t="s">
        <v>1151</v>
      </c>
      <c r="AW526">
        <v>200</v>
      </c>
      <c r="AX526" t="s">
        <v>866</v>
      </c>
      <c r="AY526" s="5">
        <v>1</v>
      </c>
      <c r="AZ526" t="s">
        <v>1152</v>
      </c>
      <c r="BA526">
        <v>1996</v>
      </c>
      <c r="BD526" t="s">
        <v>1167</v>
      </c>
      <c r="BE526" t="s">
        <v>536</v>
      </c>
      <c r="BF526" t="s">
        <v>484</v>
      </c>
      <c r="BG526" t="s">
        <v>1168</v>
      </c>
      <c r="BH526" t="s">
        <v>480</v>
      </c>
      <c r="BI526" t="s">
        <v>480</v>
      </c>
      <c r="BJ526" t="s">
        <v>480</v>
      </c>
      <c r="ED526" t="s">
        <v>1154</v>
      </c>
      <c r="EE526" t="s">
        <v>480</v>
      </c>
      <c r="EF526" t="s">
        <v>480</v>
      </c>
      <c r="EG526" t="s">
        <v>537</v>
      </c>
      <c r="EH526" t="s">
        <v>1155</v>
      </c>
      <c r="EI526" t="s">
        <v>480</v>
      </c>
      <c r="EJ526" t="s">
        <v>480</v>
      </c>
      <c r="EK526" t="s">
        <v>537</v>
      </c>
      <c r="EL526" s="9" t="s">
        <v>1156</v>
      </c>
      <c r="EM526" t="s">
        <v>480</v>
      </c>
      <c r="EN526" t="s">
        <v>480</v>
      </c>
      <c r="EO526" t="s">
        <v>537</v>
      </c>
      <c r="EP526" s="9" t="s">
        <v>1157</v>
      </c>
      <c r="EQ526" t="s">
        <v>480</v>
      </c>
      <c r="ER526" t="s">
        <v>480</v>
      </c>
      <c r="ES526" t="s">
        <v>537</v>
      </c>
      <c r="ET526" s="9" t="s">
        <v>1158</v>
      </c>
      <c r="EU526" t="s">
        <v>480</v>
      </c>
      <c r="EV526" t="s">
        <v>480</v>
      </c>
      <c r="EX526" s="9"/>
      <c r="EY526" s="9"/>
      <c r="EZ526" s="9"/>
      <c r="FA526" s="9"/>
      <c r="FB526" s="9"/>
      <c r="FC526" s="9"/>
      <c r="FD526" s="9"/>
      <c r="FE526" s="9"/>
      <c r="FF526" s="9"/>
      <c r="FG526" s="9"/>
      <c r="FH526" s="9"/>
      <c r="FI526" s="9"/>
      <c r="FJ526" s="9"/>
      <c r="FK526" s="9"/>
      <c r="FL526" s="9"/>
      <c r="FM526" s="9"/>
      <c r="FN526" s="9"/>
      <c r="FO526" s="9"/>
      <c r="FP526" s="9"/>
      <c r="FQ526" s="9"/>
      <c r="FR526" s="9"/>
      <c r="FS526" s="9"/>
      <c r="FT526" s="9"/>
      <c r="FU526" s="9"/>
      <c r="FV526" s="9"/>
      <c r="FW526" s="9"/>
      <c r="FX526" s="9"/>
      <c r="FY526" s="9"/>
      <c r="FZ526" s="9"/>
      <c r="GA526" s="9"/>
      <c r="GB526" s="9"/>
      <c r="GC526" s="9"/>
      <c r="GD526" s="9"/>
      <c r="GE526" s="9"/>
      <c r="GF526" s="9"/>
      <c r="GG526" s="9"/>
      <c r="GH526" s="9"/>
      <c r="GI526" s="9"/>
      <c r="GJ526" s="9"/>
      <c r="GK526" s="9"/>
      <c r="GL526" s="9"/>
      <c r="GM526" s="9"/>
      <c r="GN526" s="9"/>
      <c r="GO526" s="9"/>
      <c r="GP526" s="9"/>
      <c r="GQ526" s="9"/>
      <c r="GR526" s="9"/>
      <c r="GS526" s="9"/>
      <c r="GT526" s="9"/>
      <c r="GU526" s="9"/>
      <c r="GV526" s="9"/>
      <c r="GW526" s="9"/>
      <c r="GX526" s="9"/>
      <c r="GY526" s="9"/>
      <c r="GZ526" s="9"/>
      <c r="HA526" s="9"/>
      <c r="HB526" s="9"/>
      <c r="HC526" s="9"/>
      <c r="HD526" s="9"/>
      <c r="HE526" s="9"/>
      <c r="HF526" s="9"/>
      <c r="HG526" s="9"/>
      <c r="HH526" s="9"/>
      <c r="HI526" s="9"/>
      <c r="HJ526" s="9"/>
      <c r="HK526" s="9"/>
      <c r="HL526" s="9"/>
      <c r="HY526" s="50"/>
      <c r="IV526" t="s">
        <v>1167</v>
      </c>
      <c r="IW526" s="46" t="s">
        <v>1169</v>
      </c>
      <c r="IZ526">
        <v>18</v>
      </c>
      <c r="JA526">
        <v>65</v>
      </c>
      <c r="JB526">
        <v>10</v>
      </c>
      <c r="JC526">
        <v>100</v>
      </c>
      <c r="JD526">
        <v>17.7</v>
      </c>
      <c r="JE526">
        <v>7</v>
      </c>
      <c r="JF526">
        <v>25</v>
      </c>
      <c r="JG526">
        <v>92</v>
      </c>
      <c r="JH526">
        <v>22</v>
      </c>
      <c r="JI526">
        <v>212</v>
      </c>
      <c r="MY526" t="s">
        <v>1160</v>
      </c>
      <c r="MZ526">
        <v>200</v>
      </c>
      <c r="NA526" t="s">
        <v>1170</v>
      </c>
      <c r="NB526" t="s">
        <v>1171</v>
      </c>
      <c r="NH526" t="s">
        <v>687</v>
      </c>
      <c r="NJ526" t="s">
        <v>1164</v>
      </c>
      <c r="NL526" t="s">
        <v>1099</v>
      </c>
      <c r="NV526" t="s">
        <v>518</v>
      </c>
      <c r="NW526">
        <v>6</v>
      </c>
      <c r="NX526" t="s">
        <v>1165</v>
      </c>
      <c r="NY526">
        <v>1.8</v>
      </c>
      <c r="OB526">
        <v>14</v>
      </c>
      <c r="OU526" t="s">
        <v>1166</v>
      </c>
      <c r="PB526" t="s">
        <v>522</v>
      </c>
      <c r="PC526" s="50">
        <v>46108</v>
      </c>
    </row>
    <row r="527" spans="1:419" ht="15.75" thickBot="1">
      <c r="A527" t="s">
        <v>665</v>
      </c>
      <c r="B527" t="s">
        <v>1148</v>
      </c>
      <c r="C527" t="s">
        <v>900</v>
      </c>
      <c r="D527" s="4" t="s">
        <v>472</v>
      </c>
      <c r="E527" t="s">
        <v>1149</v>
      </c>
      <c r="F527" t="s">
        <v>1150</v>
      </c>
      <c r="G527" t="s">
        <v>475</v>
      </c>
      <c r="H527" t="s">
        <v>476</v>
      </c>
      <c r="I527">
        <v>7.27</v>
      </c>
      <c r="J527">
        <v>36.270000000000003</v>
      </c>
      <c r="K527">
        <v>50000</v>
      </c>
      <c r="AV527" t="s">
        <v>1151</v>
      </c>
      <c r="AW527">
        <v>200</v>
      </c>
      <c r="AX527" t="s">
        <v>866</v>
      </c>
      <c r="AY527" s="5">
        <v>1</v>
      </c>
      <c r="AZ527" t="s">
        <v>1152</v>
      </c>
      <c r="BA527">
        <v>1996</v>
      </c>
      <c r="BD527" t="s">
        <v>1153</v>
      </c>
      <c r="BE527" t="s">
        <v>483</v>
      </c>
      <c r="BF527" t="s">
        <v>1084</v>
      </c>
      <c r="ED527" t="s">
        <v>1154</v>
      </c>
      <c r="EE527" t="s">
        <v>480</v>
      </c>
      <c r="EF527" t="s">
        <v>480</v>
      </c>
      <c r="EG527" t="s">
        <v>537</v>
      </c>
      <c r="EH527" t="s">
        <v>1155</v>
      </c>
      <c r="EI527" t="s">
        <v>480</v>
      </c>
      <c r="EJ527" t="s">
        <v>480</v>
      </c>
      <c r="EK527" t="s">
        <v>537</v>
      </c>
      <c r="EL527" s="9" t="s">
        <v>1156</v>
      </c>
      <c r="EM527" t="s">
        <v>480</v>
      </c>
      <c r="EN527" t="s">
        <v>480</v>
      </c>
      <c r="EO527" t="s">
        <v>537</v>
      </c>
      <c r="EP527" s="9" t="s">
        <v>1157</v>
      </c>
      <c r="EQ527" t="s">
        <v>480</v>
      </c>
      <c r="ER527" t="s">
        <v>480</v>
      </c>
      <c r="ES527" t="s">
        <v>537</v>
      </c>
      <c r="ET527" s="9" t="s">
        <v>1158</v>
      </c>
      <c r="EU527" t="s">
        <v>480</v>
      </c>
      <c r="EV527" t="s">
        <v>480</v>
      </c>
      <c r="EX527" s="9"/>
      <c r="EY527" s="9"/>
      <c r="EZ527" s="9"/>
      <c r="FA527" s="9"/>
      <c r="FB527" s="9"/>
      <c r="FC527" s="9"/>
      <c r="FD527" s="9"/>
      <c r="FE527" s="9"/>
      <c r="FF527" s="9"/>
      <c r="FG527" s="9"/>
      <c r="FH527" s="9"/>
      <c r="FI527" s="9"/>
      <c r="FJ527" s="9"/>
      <c r="FK527" s="9"/>
      <c r="FL527" s="9"/>
      <c r="FM527" s="9"/>
      <c r="FN527" s="9"/>
      <c r="FO527" s="9"/>
      <c r="FP527" s="9"/>
      <c r="FQ527" s="9"/>
      <c r="FR527" s="9"/>
      <c r="FS527" s="9"/>
      <c r="FT527" s="9"/>
      <c r="FU527" s="9"/>
      <c r="FV527" s="9"/>
      <c r="FW527" s="9"/>
      <c r="FX527" s="9"/>
      <c r="FY527" s="9"/>
      <c r="FZ527" s="9"/>
      <c r="GA527" s="9"/>
      <c r="GB527" s="9"/>
      <c r="GC527" s="9"/>
      <c r="GD527" s="9"/>
      <c r="GE527" s="9"/>
      <c r="GF527" s="9"/>
      <c r="GG527" s="9"/>
      <c r="GH527" s="9"/>
      <c r="GI527" s="9"/>
      <c r="GJ527" s="9"/>
      <c r="GK527" s="9"/>
      <c r="GL527" s="9"/>
      <c r="GM527" s="9"/>
      <c r="GN527" s="9"/>
      <c r="GO527" s="9"/>
      <c r="GP527" s="9"/>
      <c r="GQ527" s="9"/>
      <c r="GR527" s="9"/>
      <c r="GS527" s="9"/>
      <c r="GT527" s="9"/>
      <c r="GU527" s="9"/>
      <c r="GV527" s="9"/>
      <c r="GW527" s="9"/>
      <c r="GX527" s="9"/>
      <c r="GY527" s="9"/>
      <c r="GZ527" s="9"/>
      <c r="HA527" s="9"/>
      <c r="HB527" s="9"/>
      <c r="HC527" s="9"/>
      <c r="HD527" s="9"/>
      <c r="HE527" s="9"/>
      <c r="HF527" s="9"/>
      <c r="HG527" s="9"/>
      <c r="HH527" s="9"/>
      <c r="HI527" s="9"/>
      <c r="HJ527" s="9"/>
      <c r="HK527" s="9"/>
      <c r="HL527" s="9"/>
      <c r="HY527" s="50"/>
      <c r="IV527" t="s">
        <v>1159</v>
      </c>
      <c r="IW527" s="185" t="s">
        <v>1092</v>
      </c>
      <c r="IZ527">
        <v>18</v>
      </c>
      <c r="JA527">
        <v>88</v>
      </c>
      <c r="JB527">
        <v>65</v>
      </c>
      <c r="JC527">
        <v>100</v>
      </c>
      <c r="JD527">
        <v>21.3</v>
      </c>
      <c r="JE527">
        <v>17</v>
      </c>
      <c r="JF527">
        <v>26</v>
      </c>
      <c r="JG527">
        <v>0.85</v>
      </c>
      <c r="JH527">
        <v>0.25</v>
      </c>
      <c r="JI527">
        <v>3.2</v>
      </c>
      <c r="MT527" t="s">
        <v>1159</v>
      </c>
      <c r="MU527" s="185" t="s">
        <v>1092</v>
      </c>
      <c r="MV527" t="s">
        <v>480</v>
      </c>
      <c r="MW527" s="185" t="s">
        <v>1093</v>
      </c>
      <c r="MX527" t="s">
        <v>480</v>
      </c>
      <c r="MY527" t="s">
        <v>1160</v>
      </c>
      <c r="MZ527">
        <v>200</v>
      </c>
      <c r="NA527" t="s">
        <v>1172</v>
      </c>
      <c r="NB527" t="s">
        <v>1173</v>
      </c>
      <c r="NH527" t="s">
        <v>687</v>
      </c>
      <c r="NJ527" t="s">
        <v>1164</v>
      </c>
      <c r="NL527" t="s">
        <v>1099</v>
      </c>
      <c r="NU527" t="s">
        <v>536</v>
      </c>
      <c r="NV527" t="s">
        <v>518</v>
      </c>
      <c r="NW527">
        <v>30</v>
      </c>
      <c r="NX527" t="s">
        <v>1165</v>
      </c>
      <c r="NY527">
        <v>2</v>
      </c>
      <c r="OB527">
        <v>15</v>
      </c>
      <c r="OU527" t="s">
        <v>1166</v>
      </c>
      <c r="PB527" t="s">
        <v>522</v>
      </c>
      <c r="PC527" s="50">
        <v>46108</v>
      </c>
    </row>
    <row r="528" spans="1:419" ht="15.75" thickBot="1">
      <c r="A528" t="s">
        <v>665</v>
      </c>
      <c r="B528" t="s">
        <v>1148</v>
      </c>
      <c r="C528" t="s">
        <v>900</v>
      </c>
      <c r="D528" s="4" t="s">
        <v>472</v>
      </c>
      <c r="E528" t="s">
        <v>1149</v>
      </c>
      <c r="F528" t="s">
        <v>1150</v>
      </c>
      <c r="G528" t="s">
        <v>475</v>
      </c>
      <c r="H528" t="s">
        <v>476</v>
      </c>
      <c r="I528">
        <v>7.27</v>
      </c>
      <c r="J528">
        <v>36.270000000000003</v>
      </c>
      <c r="K528">
        <v>50000</v>
      </c>
      <c r="AV528" t="s">
        <v>1151</v>
      </c>
      <c r="AW528">
        <v>200</v>
      </c>
      <c r="AX528" t="s">
        <v>866</v>
      </c>
      <c r="AY528" s="5">
        <v>1</v>
      </c>
      <c r="AZ528" t="s">
        <v>1152</v>
      </c>
      <c r="BA528">
        <v>1996</v>
      </c>
      <c r="BD528" t="s">
        <v>1167</v>
      </c>
      <c r="BE528" t="s">
        <v>536</v>
      </c>
      <c r="BF528" t="s">
        <v>484</v>
      </c>
      <c r="BG528" t="s">
        <v>1168</v>
      </c>
      <c r="BH528" t="s">
        <v>480</v>
      </c>
      <c r="BI528" t="s">
        <v>480</v>
      </c>
      <c r="BJ528" t="s">
        <v>480</v>
      </c>
      <c r="ED528" t="s">
        <v>1154</v>
      </c>
      <c r="EE528" t="s">
        <v>480</v>
      </c>
      <c r="EF528" t="s">
        <v>480</v>
      </c>
      <c r="EG528" t="s">
        <v>537</v>
      </c>
      <c r="EH528" t="s">
        <v>1155</v>
      </c>
      <c r="EI528" t="s">
        <v>480</v>
      </c>
      <c r="EJ528" t="s">
        <v>480</v>
      </c>
      <c r="EK528" t="s">
        <v>537</v>
      </c>
      <c r="EL528" s="9" t="s">
        <v>1156</v>
      </c>
      <c r="EM528" t="s">
        <v>480</v>
      </c>
      <c r="EN528" t="s">
        <v>480</v>
      </c>
      <c r="EO528" t="s">
        <v>537</v>
      </c>
      <c r="EP528" s="9" t="s">
        <v>1157</v>
      </c>
      <c r="EQ528" t="s">
        <v>480</v>
      </c>
      <c r="ER528" t="s">
        <v>480</v>
      </c>
      <c r="ES528" t="s">
        <v>537</v>
      </c>
      <c r="ET528" s="9" t="s">
        <v>1158</v>
      </c>
      <c r="EU528" t="s">
        <v>480</v>
      </c>
      <c r="EV528" t="s">
        <v>480</v>
      </c>
      <c r="EX528" s="9"/>
      <c r="EY528" s="9"/>
      <c r="EZ528" s="9"/>
      <c r="FA528" s="9"/>
      <c r="FB528" s="9"/>
      <c r="FC528" s="9"/>
      <c r="FD528" s="9"/>
      <c r="FE528" s="9"/>
      <c r="FF528" s="9"/>
      <c r="FG528" s="9"/>
      <c r="FH528" s="9"/>
      <c r="FI528" s="9"/>
      <c r="FJ528" s="9"/>
      <c r="FK528" s="9"/>
      <c r="FL528" s="9"/>
      <c r="FM528" s="9"/>
      <c r="FN528" s="9"/>
      <c r="FO528" s="9"/>
      <c r="FP528" s="9"/>
      <c r="FQ528" s="9"/>
      <c r="FR528" s="9"/>
      <c r="FS528" s="9"/>
      <c r="FT528" s="9"/>
      <c r="FU528" s="9"/>
      <c r="FV528" s="9"/>
      <c r="FW528" s="9"/>
      <c r="FX528" s="9"/>
      <c r="FY528" s="9"/>
      <c r="FZ528" s="9"/>
      <c r="GA528" s="9"/>
      <c r="GB528" s="9"/>
      <c r="GC528" s="9"/>
      <c r="GD528" s="9"/>
      <c r="GE528" s="9"/>
      <c r="GF528" s="9"/>
      <c r="GG528" s="9"/>
      <c r="GH528" s="9"/>
      <c r="GI528" s="9"/>
      <c r="GJ528" s="9"/>
      <c r="GK528" s="9"/>
      <c r="GL528" s="9"/>
      <c r="GM528" s="9"/>
      <c r="GN528" s="9"/>
      <c r="GO528" s="9"/>
      <c r="GP528" s="9"/>
      <c r="GQ528" s="9"/>
      <c r="GR528" s="9"/>
      <c r="GS528" s="9"/>
      <c r="GT528" s="9"/>
      <c r="GU528" s="9"/>
      <c r="GV528" s="9"/>
      <c r="GW528" s="9"/>
      <c r="GX528" s="9"/>
      <c r="GY528" s="9"/>
      <c r="GZ528" s="9"/>
      <c r="HA528" s="9"/>
      <c r="HB528" s="9"/>
      <c r="HC528" s="9"/>
      <c r="HD528" s="9"/>
      <c r="HE528" s="9"/>
      <c r="HF528" s="9"/>
      <c r="HG528" s="9"/>
      <c r="HH528" s="9"/>
      <c r="HI528" s="9"/>
      <c r="HJ528" s="9"/>
      <c r="HK528" s="9"/>
      <c r="HL528" s="9"/>
      <c r="HY528" s="50"/>
      <c r="IV528" t="s">
        <v>1167</v>
      </c>
      <c r="IW528" s="46" t="s">
        <v>1169</v>
      </c>
      <c r="IZ528">
        <v>18</v>
      </c>
      <c r="JA528">
        <v>65</v>
      </c>
      <c r="JB528">
        <v>10</v>
      </c>
      <c r="JC528">
        <v>100</v>
      </c>
      <c r="JD528">
        <v>17.7</v>
      </c>
      <c r="JE528">
        <v>7</v>
      </c>
      <c r="JF528">
        <v>25</v>
      </c>
      <c r="JG528">
        <v>92</v>
      </c>
      <c r="JH528">
        <v>22</v>
      </c>
      <c r="JI528">
        <v>212</v>
      </c>
      <c r="MY528" t="s">
        <v>1160</v>
      </c>
      <c r="MZ528">
        <v>200</v>
      </c>
      <c r="NA528" t="s">
        <v>1172</v>
      </c>
      <c r="NB528" t="s">
        <v>1173</v>
      </c>
      <c r="NH528" t="s">
        <v>687</v>
      </c>
      <c r="NJ528" t="s">
        <v>1164</v>
      </c>
      <c r="NL528" t="s">
        <v>1099</v>
      </c>
      <c r="NV528" t="s">
        <v>518</v>
      </c>
      <c r="NW528">
        <v>21</v>
      </c>
      <c r="NX528" t="s">
        <v>1165</v>
      </c>
      <c r="NY528">
        <v>1</v>
      </c>
      <c r="OB528">
        <v>14</v>
      </c>
      <c r="OU528" t="s">
        <v>1166</v>
      </c>
      <c r="PB528" t="s">
        <v>522</v>
      </c>
      <c r="PC528" s="50">
        <v>46108</v>
      </c>
    </row>
    <row r="529" spans="1:419" ht="15.75" thickBot="1">
      <c r="A529" t="s">
        <v>665</v>
      </c>
      <c r="B529" t="s">
        <v>1148</v>
      </c>
      <c r="C529" t="s">
        <v>900</v>
      </c>
      <c r="D529" s="4" t="s">
        <v>472</v>
      </c>
      <c r="E529" t="s">
        <v>1149</v>
      </c>
      <c r="F529" t="s">
        <v>1150</v>
      </c>
      <c r="G529" t="s">
        <v>475</v>
      </c>
      <c r="H529" t="s">
        <v>476</v>
      </c>
      <c r="I529">
        <v>7.27</v>
      </c>
      <c r="J529">
        <v>36.270000000000003</v>
      </c>
      <c r="K529">
        <v>50000</v>
      </c>
      <c r="AV529" t="s">
        <v>1151</v>
      </c>
      <c r="AW529">
        <v>200</v>
      </c>
      <c r="AX529" t="s">
        <v>866</v>
      </c>
      <c r="AY529" s="5">
        <v>1</v>
      </c>
      <c r="AZ529" t="s">
        <v>1152</v>
      </c>
      <c r="BA529">
        <v>1996</v>
      </c>
      <c r="BD529" t="s">
        <v>1153</v>
      </c>
      <c r="BE529" t="s">
        <v>483</v>
      </c>
      <c r="BF529" t="s">
        <v>1084</v>
      </c>
      <c r="ED529" t="s">
        <v>1154</v>
      </c>
      <c r="EE529" t="s">
        <v>480</v>
      </c>
      <c r="EF529" t="s">
        <v>480</v>
      </c>
      <c r="EG529" t="s">
        <v>537</v>
      </c>
      <c r="EH529" t="s">
        <v>1155</v>
      </c>
      <c r="EI529" t="s">
        <v>480</v>
      </c>
      <c r="EJ529" t="s">
        <v>480</v>
      </c>
      <c r="EK529" t="s">
        <v>537</v>
      </c>
      <c r="EL529" s="9" t="s">
        <v>1156</v>
      </c>
      <c r="EM529" t="s">
        <v>480</v>
      </c>
      <c r="EN529" t="s">
        <v>480</v>
      </c>
      <c r="EO529" t="s">
        <v>537</v>
      </c>
      <c r="EP529" s="9" t="s">
        <v>1157</v>
      </c>
      <c r="EQ529" t="s">
        <v>480</v>
      </c>
      <c r="ER529" t="s">
        <v>480</v>
      </c>
      <c r="ES529" t="s">
        <v>537</v>
      </c>
      <c r="ET529" s="9" t="s">
        <v>1158</v>
      </c>
      <c r="EU529" t="s">
        <v>480</v>
      </c>
      <c r="EV529" t="s">
        <v>480</v>
      </c>
      <c r="EX529" s="9"/>
      <c r="EY529" s="9"/>
      <c r="EZ529" s="9"/>
      <c r="FA529" s="9"/>
      <c r="FB529" s="9"/>
      <c r="FC529" s="9"/>
      <c r="FD529" s="9"/>
      <c r="FE529" s="9"/>
      <c r="FF529" s="9"/>
      <c r="FG529" s="9"/>
      <c r="FH529" s="9"/>
      <c r="FI529" s="9"/>
      <c r="FJ529" s="9"/>
      <c r="FK529" s="9"/>
      <c r="FL529" s="9"/>
      <c r="FM529" s="9"/>
      <c r="FN529" s="9"/>
      <c r="FO529" s="9"/>
      <c r="FP529" s="9"/>
      <c r="FQ529" s="9"/>
      <c r="FR529" s="9"/>
      <c r="FS529" s="9"/>
      <c r="FT529" s="9"/>
      <c r="FU529" s="9"/>
      <c r="FV529" s="9"/>
      <c r="FW529" s="9"/>
      <c r="FX529" s="9"/>
      <c r="FY529" s="9"/>
      <c r="FZ529" s="9"/>
      <c r="GA529" s="9"/>
      <c r="GB529" s="9"/>
      <c r="GC529" s="9"/>
      <c r="GD529" s="9"/>
      <c r="GE529" s="9"/>
      <c r="GF529" s="9"/>
      <c r="GG529" s="9"/>
      <c r="GH529" s="9"/>
      <c r="GI529" s="9"/>
      <c r="GJ529" s="9"/>
      <c r="GK529" s="9"/>
      <c r="GL529" s="9"/>
      <c r="GM529" s="9"/>
      <c r="GN529" s="9"/>
      <c r="GO529" s="9"/>
      <c r="GP529" s="9"/>
      <c r="GQ529" s="9"/>
      <c r="GR529" s="9"/>
      <c r="GS529" s="9"/>
      <c r="GT529" s="9"/>
      <c r="GU529" s="9"/>
      <c r="GV529" s="9"/>
      <c r="GW529" s="9"/>
      <c r="GX529" s="9"/>
      <c r="GY529" s="9"/>
      <c r="GZ529" s="9"/>
      <c r="HA529" s="9"/>
      <c r="HB529" s="9"/>
      <c r="HC529" s="9"/>
      <c r="HD529" s="9"/>
      <c r="HE529" s="9"/>
      <c r="HF529" s="9"/>
      <c r="HG529" s="9"/>
      <c r="HH529" s="9"/>
      <c r="HI529" s="9"/>
      <c r="HJ529" s="9"/>
      <c r="HK529" s="9"/>
      <c r="HL529" s="9"/>
      <c r="HY529" s="50"/>
      <c r="IV529" t="s">
        <v>1159</v>
      </c>
      <c r="IW529" s="185" t="s">
        <v>1092</v>
      </c>
      <c r="IZ529">
        <v>18</v>
      </c>
      <c r="JA529">
        <v>88</v>
      </c>
      <c r="JB529">
        <v>65</v>
      </c>
      <c r="JC529">
        <v>100</v>
      </c>
      <c r="JD529">
        <v>21.3</v>
      </c>
      <c r="JE529">
        <v>17</v>
      </c>
      <c r="JF529">
        <v>26</v>
      </c>
      <c r="JG529">
        <v>0.85</v>
      </c>
      <c r="JH529">
        <v>0.25</v>
      </c>
      <c r="JI529">
        <v>3.2</v>
      </c>
      <c r="MT529" t="s">
        <v>1159</v>
      </c>
      <c r="MU529" s="185" t="s">
        <v>1092</v>
      </c>
      <c r="MV529" t="s">
        <v>480</v>
      </c>
      <c r="MW529" s="185" t="s">
        <v>1093</v>
      </c>
      <c r="MX529" t="s">
        <v>480</v>
      </c>
      <c r="MY529" t="s">
        <v>1160</v>
      </c>
      <c r="MZ529">
        <v>200</v>
      </c>
      <c r="NA529" t="s">
        <v>1174</v>
      </c>
      <c r="NB529" t="s">
        <v>1175</v>
      </c>
      <c r="NH529" t="s">
        <v>687</v>
      </c>
      <c r="NJ529" t="s">
        <v>1164</v>
      </c>
      <c r="NL529" t="s">
        <v>1099</v>
      </c>
      <c r="NU529" t="s">
        <v>536</v>
      </c>
      <c r="NV529" t="s">
        <v>518</v>
      </c>
      <c r="NW529">
        <v>34</v>
      </c>
      <c r="NX529" t="s">
        <v>1165</v>
      </c>
      <c r="NY529">
        <v>5</v>
      </c>
      <c r="OB529">
        <v>15</v>
      </c>
      <c r="OU529" t="s">
        <v>1166</v>
      </c>
      <c r="PB529" t="s">
        <v>522</v>
      </c>
      <c r="PC529" s="50">
        <v>46108</v>
      </c>
    </row>
    <row r="530" spans="1:419" ht="15.75" thickBot="1">
      <c r="A530" t="s">
        <v>665</v>
      </c>
      <c r="B530" t="s">
        <v>1148</v>
      </c>
      <c r="C530" t="s">
        <v>900</v>
      </c>
      <c r="D530" s="4" t="s">
        <v>472</v>
      </c>
      <c r="E530" t="s">
        <v>1149</v>
      </c>
      <c r="F530" t="s">
        <v>1150</v>
      </c>
      <c r="G530" t="s">
        <v>475</v>
      </c>
      <c r="H530" t="s">
        <v>476</v>
      </c>
      <c r="I530">
        <v>7.27</v>
      </c>
      <c r="J530">
        <v>36.270000000000003</v>
      </c>
      <c r="K530">
        <v>50000</v>
      </c>
      <c r="AV530" t="s">
        <v>1151</v>
      </c>
      <c r="AW530">
        <v>200</v>
      </c>
      <c r="AX530" t="s">
        <v>866</v>
      </c>
      <c r="AY530" s="5">
        <v>1</v>
      </c>
      <c r="AZ530" t="s">
        <v>1152</v>
      </c>
      <c r="BA530">
        <v>1996</v>
      </c>
      <c r="BD530" t="s">
        <v>1167</v>
      </c>
      <c r="BE530" t="s">
        <v>536</v>
      </c>
      <c r="BF530" t="s">
        <v>484</v>
      </c>
      <c r="BG530" t="s">
        <v>1168</v>
      </c>
      <c r="BH530" t="s">
        <v>480</v>
      </c>
      <c r="BI530" t="s">
        <v>480</v>
      </c>
      <c r="BJ530" t="s">
        <v>480</v>
      </c>
      <c r="ED530" t="s">
        <v>1154</v>
      </c>
      <c r="EE530" t="s">
        <v>480</v>
      </c>
      <c r="EF530" t="s">
        <v>480</v>
      </c>
      <c r="EG530" t="s">
        <v>537</v>
      </c>
      <c r="EH530" t="s">
        <v>1155</v>
      </c>
      <c r="EI530" t="s">
        <v>480</v>
      </c>
      <c r="EJ530" t="s">
        <v>480</v>
      </c>
      <c r="EK530" t="s">
        <v>537</v>
      </c>
      <c r="EL530" s="9" t="s">
        <v>1156</v>
      </c>
      <c r="EM530" t="s">
        <v>480</v>
      </c>
      <c r="EN530" t="s">
        <v>480</v>
      </c>
      <c r="EO530" t="s">
        <v>537</v>
      </c>
      <c r="EP530" s="9" t="s">
        <v>1157</v>
      </c>
      <c r="EQ530" t="s">
        <v>480</v>
      </c>
      <c r="ER530" t="s">
        <v>480</v>
      </c>
      <c r="ES530" t="s">
        <v>537</v>
      </c>
      <c r="ET530" s="9" t="s">
        <v>1158</v>
      </c>
      <c r="EU530" t="s">
        <v>480</v>
      </c>
      <c r="EV530" t="s">
        <v>480</v>
      </c>
      <c r="EX530" s="9"/>
      <c r="EY530" s="9"/>
      <c r="EZ530" s="9"/>
      <c r="FA530" s="9"/>
      <c r="FB530" s="9"/>
      <c r="FC530" s="9"/>
      <c r="FD530" s="9"/>
      <c r="FE530" s="9"/>
      <c r="FF530" s="9"/>
      <c r="FG530" s="9"/>
      <c r="FH530" s="9"/>
      <c r="FI530" s="9"/>
      <c r="FJ530" s="9"/>
      <c r="FK530" s="9"/>
      <c r="FL530" s="9"/>
      <c r="FM530" s="9"/>
      <c r="FN530" s="9"/>
      <c r="FO530" s="9"/>
      <c r="FP530" s="9"/>
      <c r="FQ530" s="9"/>
      <c r="FR530" s="9"/>
      <c r="FS530" s="9"/>
      <c r="FT530" s="9"/>
      <c r="FU530" s="9"/>
      <c r="FV530" s="9"/>
      <c r="FW530" s="9"/>
      <c r="FX530" s="9"/>
      <c r="FY530" s="9"/>
      <c r="FZ530" s="9"/>
      <c r="GA530" s="9"/>
      <c r="GB530" s="9"/>
      <c r="GC530" s="9"/>
      <c r="GD530" s="9"/>
      <c r="GE530" s="9"/>
      <c r="GF530" s="9"/>
      <c r="GG530" s="9"/>
      <c r="GH530" s="9"/>
      <c r="GI530" s="9"/>
      <c r="GJ530" s="9"/>
      <c r="GK530" s="9"/>
      <c r="GL530" s="9"/>
      <c r="GM530" s="9"/>
      <c r="GN530" s="9"/>
      <c r="GO530" s="9"/>
      <c r="GP530" s="9"/>
      <c r="GQ530" s="9"/>
      <c r="GR530" s="9"/>
      <c r="GS530" s="9"/>
      <c r="GT530" s="9"/>
      <c r="GU530" s="9"/>
      <c r="GV530" s="9"/>
      <c r="GW530" s="9"/>
      <c r="GX530" s="9"/>
      <c r="GY530" s="9"/>
      <c r="GZ530" s="9"/>
      <c r="HA530" s="9"/>
      <c r="HB530" s="9"/>
      <c r="HC530" s="9"/>
      <c r="HD530" s="9"/>
      <c r="HE530" s="9"/>
      <c r="HF530" s="9"/>
      <c r="HG530" s="9"/>
      <c r="HH530" s="9"/>
      <c r="HI530" s="9"/>
      <c r="HJ530" s="9"/>
      <c r="HK530" s="9"/>
      <c r="HL530" s="9"/>
      <c r="HY530" s="50"/>
      <c r="IV530" t="s">
        <v>1167</v>
      </c>
      <c r="IW530" s="46" t="s">
        <v>1169</v>
      </c>
      <c r="IZ530">
        <v>18</v>
      </c>
      <c r="JA530">
        <v>65</v>
      </c>
      <c r="JB530">
        <v>10</v>
      </c>
      <c r="JC530">
        <v>100</v>
      </c>
      <c r="JD530">
        <v>17.7</v>
      </c>
      <c r="JE530">
        <v>7</v>
      </c>
      <c r="JF530">
        <v>25</v>
      </c>
      <c r="JG530">
        <v>92</v>
      </c>
      <c r="JH530">
        <v>22</v>
      </c>
      <c r="JI530">
        <v>212</v>
      </c>
      <c r="MY530" t="s">
        <v>1160</v>
      </c>
      <c r="MZ530">
        <v>200</v>
      </c>
      <c r="NA530" t="s">
        <v>1174</v>
      </c>
      <c r="NB530" t="s">
        <v>1175</v>
      </c>
      <c r="NH530" t="s">
        <v>687</v>
      </c>
      <c r="NJ530" t="s">
        <v>1164</v>
      </c>
      <c r="NL530" t="s">
        <v>1099</v>
      </c>
      <c r="NV530" t="s">
        <v>518</v>
      </c>
      <c r="NW530">
        <v>17</v>
      </c>
      <c r="NX530" t="s">
        <v>1165</v>
      </c>
      <c r="NY530">
        <v>3</v>
      </c>
      <c r="OB530">
        <v>14</v>
      </c>
      <c r="OU530" t="s">
        <v>1166</v>
      </c>
      <c r="PB530" t="s">
        <v>522</v>
      </c>
      <c r="PC530" s="50">
        <v>46108</v>
      </c>
    </row>
    <row r="531" spans="1:419" ht="15.75" thickBot="1">
      <c r="A531" t="s">
        <v>665</v>
      </c>
      <c r="B531" t="s">
        <v>1176</v>
      </c>
      <c r="C531" t="s">
        <v>1177</v>
      </c>
      <c r="D531" s="4" t="s">
        <v>950</v>
      </c>
      <c r="E531" t="s">
        <v>1178</v>
      </c>
      <c r="F531" t="s">
        <v>1179</v>
      </c>
      <c r="G531" t="s">
        <v>475</v>
      </c>
      <c r="H531" t="s">
        <v>476</v>
      </c>
      <c r="I531">
        <v>-13.65</v>
      </c>
      <c r="J531">
        <v>32.566666669999996</v>
      </c>
      <c r="K531">
        <v>200</v>
      </c>
      <c r="AV531" t="s">
        <v>1180</v>
      </c>
      <c r="AW531">
        <v>100</v>
      </c>
      <c r="AX531" t="s">
        <v>866</v>
      </c>
      <c r="AY531" s="5">
        <v>8</v>
      </c>
      <c r="AZ531" t="s">
        <v>1181</v>
      </c>
      <c r="BA531">
        <v>1999</v>
      </c>
      <c r="BB531">
        <v>2007</v>
      </c>
      <c r="BD531" t="s">
        <v>1182</v>
      </c>
      <c r="BE531" t="s">
        <v>536</v>
      </c>
      <c r="BF531" t="s">
        <v>484</v>
      </c>
      <c r="BG531" t="s">
        <v>485</v>
      </c>
      <c r="BH531" t="s">
        <v>1183</v>
      </c>
      <c r="BI531" t="s">
        <v>486</v>
      </c>
      <c r="BJ531">
        <v>44440</v>
      </c>
      <c r="BK531" t="s">
        <v>555</v>
      </c>
      <c r="BL531" t="s">
        <v>1184</v>
      </c>
      <c r="BM531" t="s">
        <v>480</v>
      </c>
      <c r="BN531" t="s">
        <v>486</v>
      </c>
      <c r="BO531">
        <v>10000</v>
      </c>
      <c r="IO531" t="s">
        <v>1182</v>
      </c>
      <c r="IP531" s="46" t="s">
        <v>1185</v>
      </c>
      <c r="IS531">
        <v>1999</v>
      </c>
      <c r="IU531" s="4" t="s">
        <v>1186</v>
      </c>
      <c r="IW531" s="46"/>
      <c r="JL531" s="8" t="s">
        <v>1187</v>
      </c>
      <c r="KE531" t="s">
        <v>1188</v>
      </c>
      <c r="KF531" s="75" t="s">
        <v>1001</v>
      </c>
      <c r="MY531" t="s">
        <v>1189</v>
      </c>
      <c r="MZ531">
        <v>6.25E-2</v>
      </c>
      <c r="NA531" t="s">
        <v>1190</v>
      </c>
      <c r="NB531" t="s">
        <v>1191</v>
      </c>
      <c r="NG531" t="s">
        <v>480</v>
      </c>
      <c r="NH531" t="s">
        <v>711</v>
      </c>
      <c r="NJ531" t="s">
        <v>689</v>
      </c>
      <c r="NL531" t="s">
        <v>689</v>
      </c>
      <c r="NV531" t="s">
        <v>518</v>
      </c>
      <c r="NW531">
        <v>2.2176000899999999</v>
      </c>
      <c r="NX531" s="220" t="s">
        <v>1192</v>
      </c>
      <c r="NY531">
        <v>1.23</v>
      </c>
      <c r="OB531">
        <v>9</v>
      </c>
      <c r="OU531" t="s">
        <v>1193</v>
      </c>
      <c r="OX531">
        <v>2006</v>
      </c>
      <c r="OZ531" t="s">
        <v>1194</v>
      </c>
      <c r="PB531" t="s">
        <v>522</v>
      </c>
      <c r="PC531" s="50">
        <v>46120</v>
      </c>
    </row>
    <row r="532" spans="1:419" ht="15.75" thickBot="1">
      <c r="A532" t="s">
        <v>665</v>
      </c>
      <c r="B532" t="s">
        <v>1176</v>
      </c>
      <c r="C532" t="s">
        <v>1177</v>
      </c>
      <c r="D532" s="4" t="s">
        <v>950</v>
      </c>
      <c r="E532" t="s">
        <v>1178</v>
      </c>
      <c r="F532" t="s">
        <v>1179</v>
      </c>
      <c r="G532" t="s">
        <v>475</v>
      </c>
      <c r="H532" t="s">
        <v>476</v>
      </c>
      <c r="I532">
        <v>-13.65</v>
      </c>
      <c r="J532">
        <v>32.566666669999996</v>
      </c>
      <c r="K532">
        <v>200</v>
      </c>
      <c r="AV532" t="s">
        <v>1180</v>
      </c>
      <c r="AW532">
        <v>100</v>
      </c>
      <c r="AX532" t="s">
        <v>866</v>
      </c>
      <c r="AY532" s="5">
        <v>8</v>
      </c>
      <c r="AZ532" t="s">
        <v>1181</v>
      </c>
      <c r="BA532">
        <v>1999</v>
      </c>
      <c r="BB532">
        <v>2007</v>
      </c>
      <c r="BD532" t="s">
        <v>1195</v>
      </c>
      <c r="BE532" t="s">
        <v>566</v>
      </c>
      <c r="BF532" t="s">
        <v>484</v>
      </c>
      <c r="BG532" t="s">
        <v>485</v>
      </c>
      <c r="BH532" t="s">
        <v>1183</v>
      </c>
      <c r="BI532" t="s">
        <v>486</v>
      </c>
      <c r="BJ532">
        <v>44440</v>
      </c>
      <c r="BK532" t="s">
        <v>555</v>
      </c>
      <c r="BL532" t="s">
        <v>1184</v>
      </c>
      <c r="BM532" t="s">
        <v>480</v>
      </c>
      <c r="BN532" t="s">
        <v>486</v>
      </c>
      <c r="BO532">
        <v>5000</v>
      </c>
      <c r="BP532" t="s">
        <v>537</v>
      </c>
      <c r="ED532" t="s">
        <v>676</v>
      </c>
      <c r="EE532" t="s">
        <v>486</v>
      </c>
      <c r="EF532">
        <v>5000</v>
      </c>
      <c r="HT532" s="50">
        <v>36495</v>
      </c>
      <c r="IO532" t="s">
        <v>1195</v>
      </c>
      <c r="IP532" s="75" t="s">
        <v>679</v>
      </c>
      <c r="IS532">
        <v>1999</v>
      </c>
      <c r="IU532" s="4" t="s">
        <v>1186</v>
      </c>
      <c r="IW532" s="75"/>
      <c r="JL532" s="8" t="s">
        <v>1187</v>
      </c>
      <c r="KE532" t="s">
        <v>1188</v>
      </c>
      <c r="KF532" s="75" t="s">
        <v>1001</v>
      </c>
      <c r="MY532" t="s">
        <v>1189</v>
      </c>
      <c r="MZ532">
        <v>6.25E-2</v>
      </c>
      <c r="NA532" t="s">
        <v>1190</v>
      </c>
      <c r="NB532" t="s">
        <v>1191</v>
      </c>
      <c r="NG532" t="s">
        <v>480</v>
      </c>
      <c r="NH532" t="s">
        <v>711</v>
      </c>
      <c r="NJ532" t="s">
        <v>689</v>
      </c>
      <c r="NL532" t="s">
        <v>689</v>
      </c>
      <c r="NV532" t="s">
        <v>518</v>
      </c>
      <c r="NW532">
        <v>1.5630169899999999</v>
      </c>
      <c r="NX532" s="220" t="s">
        <v>1192</v>
      </c>
      <c r="NY532">
        <v>0.47</v>
      </c>
      <c r="OB532">
        <v>9</v>
      </c>
      <c r="OU532" t="s">
        <v>1193</v>
      </c>
      <c r="OX532">
        <v>2006</v>
      </c>
      <c r="OZ532" t="s">
        <v>1194</v>
      </c>
      <c r="PB532" t="s">
        <v>522</v>
      </c>
      <c r="PC532" s="50">
        <v>46120</v>
      </c>
    </row>
    <row r="533" spans="1:419" ht="15.75" thickBot="1">
      <c r="A533" t="s">
        <v>665</v>
      </c>
      <c r="B533" t="s">
        <v>1176</v>
      </c>
      <c r="C533" t="s">
        <v>1177</v>
      </c>
      <c r="D533" s="4" t="s">
        <v>950</v>
      </c>
      <c r="E533" t="s">
        <v>1178</v>
      </c>
      <c r="F533" t="s">
        <v>1179</v>
      </c>
      <c r="G533" t="s">
        <v>475</v>
      </c>
      <c r="H533" t="s">
        <v>476</v>
      </c>
      <c r="I533">
        <v>-13.65</v>
      </c>
      <c r="J533">
        <v>32.566666669999996</v>
      </c>
      <c r="K533">
        <v>200</v>
      </c>
      <c r="AV533" t="s">
        <v>1180</v>
      </c>
      <c r="AW533">
        <v>100</v>
      </c>
      <c r="AX533" t="s">
        <v>866</v>
      </c>
      <c r="AY533" s="5">
        <v>8</v>
      </c>
      <c r="AZ533" t="s">
        <v>1181</v>
      </c>
      <c r="BA533">
        <v>1999</v>
      </c>
      <c r="BB533">
        <v>2007</v>
      </c>
      <c r="BD533" t="s">
        <v>1196</v>
      </c>
      <c r="BE533" t="s">
        <v>572</v>
      </c>
      <c r="BF533" t="s">
        <v>484</v>
      </c>
      <c r="BG533" t="s">
        <v>485</v>
      </c>
      <c r="BH533" t="s">
        <v>1183</v>
      </c>
      <c r="BI533" t="s">
        <v>486</v>
      </c>
      <c r="BJ533">
        <v>44440</v>
      </c>
      <c r="BK533" t="s">
        <v>555</v>
      </c>
      <c r="ED533" t="s">
        <v>1197</v>
      </c>
      <c r="EE533" t="s">
        <v>486</v>
      </c>
      <c r="EF533">
        <v>10000</v>
      </c>
      <c r="HT533" s="50">
        <v>36495</v>
      </c>
      <c r="IO533" t="s">
        <v>1196</v>
      </c>
      <c r="IP533" s="75" t="s">
        <v>679</v>
      </c>
      <c r="IS533">
        <v>1999</v>
      </c>
      <c r="IU533" s="4" t="s">
        <v>1186</v>
      </c>
      <c r="JL533" s="8" t="s">
        <v>1187</v>
      </c>
      <c r="KE533" t="s">
        <v>1188</v>
      </c>
      <c r="KF533" s="75" t="s">
        <v>1001</v>
      </c>
      <c r="MY533" t="s">
        <v>1189</v>
      </c>
      <c r="MZ533">
        <v>6.25E-2</v>
      </c>
      <c r="NA533" t="s">
        <v>1190</v>
      </c>
      <c r="NB533" t="s">
        <v>1191</v>
      </c>
      <c r="NG533" t="s">
        <v>480</v>
      </c>
      <c r="NH533" t="s">
        <v>711</v>
      </c>
      <c r="NJ533" t="s">
        <v>689</v>
      </c>
      <c r="NL533" t="s">
        <v>689</v>
      </c>
      <c r="NV533" t="s">
        <v>518</v>
      </c>
      <c r="NW533">
        <v>1.50286114</v>
      </c>
      <c r="NX533" s="220" t="s">
        <v>1192</v>
      </c>
      <c r="NY533">
        <v>0.61</v>
      </c>
      <c r="OB533">
        <v>9</v>
      </c>
      <c r="OU533" t="s">
        <v>1193</v>
      </c>
      <c r="OX533">
        <v>2006</v>
      </c>
      <c r="OZ533" t="s">
        <v>1194</v>
      </c>
      <c r="PB533" t="s">
        <v>522</v>
      </c>
      <c r="PC533" s="50">
        <v>46120</v>
      </c>
    </row>
    <row r="534" spans="1:419" ht="15.75" thickBot="1">
      <c r="A534" t="s">
        <v>665</v>
      </c>
      <c r="B534" t="s">
        <v>1176</v>
      </c>
      <c r="C534" t="s">
        <v>1177</v>
      </c>
      <c r="D534" s="4" t="s">
        <v>950</v>
      </c>
      <c r="E534" t="s">
        <v>1178</v>
      </c>
      <c r="F534" t="s">
        <v>1179</v>
      </c>
      <c r="G534" t="s">
        <v>475</v>
      </c>
      <c r="H534" t="s">
        <v>476</v>
      </c>
      <c r="I534">
        <v>-13.65</v>
      </c>
      <c r="J534">
        <v>32.566666669999996</v>
      </c>
      <c r="K534">
        <v>200</v>
      </c>
      <c r="AV534" t="s">
        <v>1180</v>
      </c>
      <c r="AW534">
        <v>100</v>
      </c>
      <c r="AX534" t="s">
        <v>866</v>
      </c>
      <c r="AY534" s="5">
        <v>8</v>
      </c>
      <c r="AZ534" t="s">
        <v>1181</v>
      </c>
      <c r="BA534">
        <v>1999</v>
      </c>
      <c r="BB534">
        <v>2007</v>
      </c>
      <c r="BD534" t="s">
        <v>1198</v>
      </c>
      <c r="BE534" t="s">
        <v>553</v>
      </c>
      <c r="BF534" t="s">
        <v>484</v>
      </c>
      <c r="BG534" t="s">
        <v>485</v>
      </c>
      <c r="BH534" t="s">
        <v>1183</v>
      </c>
      <c r="BI534" t="s">
        <v>486</v>
      </c>
      <c r="BJ534">
        <v>44440</v>
      </c>
      <c r="BK534" t="s">
        <v>555</v>
      </c>
      <c r="ED534" t="s">
        <v>676</v>
      </c>
      <c r="EE534" t="s">
        <v>486</v>
      </c>
      <c r="EF534">
        <v>5000</v>
      </c>
      <c r="EG534" t="s">
        <v>537</v>
      </c>
      <c r="EH534" t="s">
        <v>1197</v>
      </c>
      <c r="EI534" t="s">
        <v>486</v>
      </c>
      <c r="EJ534">
        <v>5000</v>
      </c>
      <c r="HT534" s="50">
        <v>36495</v>
      </c>
      <c r="IO534" t="s">
        <v>1198</v>
      </c>
      <c r="IP534" s="75" t="s">
        <v>679</v>
      </c>
      <c r="IS534">
        <v>1999</v>
      </c>
      <c r="IU534" s="4" t="s">
        <v>1186</v>
      </c>
      <c r="JL534" s="8" t="s">
        <v>1187</v>
      </c>
      <c r="KE534" t="s">
        <v>1188</v>
      </c>
      <c r="KF534" s="75" t="s">
        <v>1001</v>
      </c>
      <c r="MY534" t="s">
        <v>1189</v>
      </c>
      <c r="MZ534">
        <v>6.25E-2</v>
      </c>
      <c r="NA534" t="s">
        <v>1190</v>
      </c>
      <c r="NB534" t="s">
        <v>1191</v>
      </c>
      <c r="NG534" t="s">
        <v>480</v>
      </c>
      <c r="NH534" t="s">
        <v>711</v>
      </c>
      <c r="NJ534" t="s">
        <v>689</v>
      </c>
      <c r="NL534" t="s">
        <v>689</v>
      </c>
      <c r="NV534" t="s">
        <v>518</v>
      </c>
      <c r="NW534">
        <v>1.1083399599999999</v>
      </c>
      <c r="NX534" s="220" t="s">
        <v>1192</v>
      </c>
      <c r="NY534">
        <v>0.5</v>
      </c>
      <c r="OB534">
        <v>9</v>
      </c>
      <c r="OU534" t="s">
        <v>1193</v>
      </c>
      <c r="OX534">
        <v>2006</v>
      </c>
      <c r="OZ534" t="s">
        <v>1194</v>
      </c>
      <c r="PB534" t="s">
        <v>522</v>
      </c>
      <c r="PC534" s="50">
        <v>46120</v>
      </c>
    </row>
    <row r="535" spans="1:419" ht="15.75" thickBot="1">
      <c r="A535" t="s">
        <v>665</v>
      </c>
      <c r="B535" t="s">
        <v>1176</v>
      </c>
      <c r="C535" t="s">
        <v>1177</v>
      </c>
      <c r="D535" s="4" t="s">
        <v>950</v>
      </c>
      <c r="E535" t="s">
        <v>1178</v>
      </c>
      <c r="F535" t="s">
        <v>1179</v>
      </c>
      <c r="G535" t="s">
        <v>475</v>
      </c>
      <c r="H535" t="s">
        <v>476</v>
      </c>
      <c r="I535">
        <v>-13.65</v>
      </c>
      <c r="J535">
        <v>32.566666669999996</v>
      </c>
      <c r="K535">
        <v>200</v>
      </c>
      <c r="AV535" t="s">
        <v>1180</v>
      </c>
      <c r="AW535">
        <v>100</v>
      </c>
      <c r="AX535" t="s">
        <v>866</v>
      </c>
      <c r="AY535" s="5">
        <v>8</v>
      </c>
      <c r="AZ535" t="s">
        <v>1181</v>
      </c>
      <c r="BA535">
        <v>1999</v>
      </c>
      <c r="BB535">
        <v>2007</v>
      </c>
      <c r="BD535" t="s">
        <v>1199</v>
      </c>
      <c r="BE535" t="s">
        <v>607</v>
      </c>
      <c r="BF535" t="s">
        <v>484</v>
      </c>
      <c r="BG535" t="s">
        <v>485</v>
      </c>
      <c r="BH535" t="s">
        <v>1183</v>
      </c>
      <c r="BI535" t="s">
        <v>486</v>
      </c>
      <c r="BJ535">
        <v>44440</v>
      </c>
      <c r="BK535" t="s">
        <v>555</v>
      </c>
      <c r="ED535" t="s">
        <v>676</v>
      </c>
      <c r="EE535" t="s">
        <v>486</v>
      </c>
      <c r="EF535">
        <v>10000</v>
      </c>
      <c r="HT535" s="50">
        <v>36495</v>
      </c>
      <c r="IO535" t="s">
        <v>1199</v>
      </c>
      <c r="IP535" s="75" t="s">
        <v>679</v>
      </c>
      <c r="IS535">
        <v>1999</v>
      </c>
      <c r="IU535" s="4" t="s">
        <v>1186</v>
      </c>
      <c r="JL535" s="8" t="s">
        <v>1187</v>
      </c>
      <c r="KE535" t="s">
        <v>1188</v>
      </c>
      <c r="KF535" s="75" t="s">
        <v>1001</v>
      </c>
      <c r="MY535" t="s">
        <v>1189</v>
      </c>
      <c r="MZ535">
        <v>6.25E-2</v>
      </c>
      <c r="NA535" t="s">
        <v>1190</v>
      </c>
      <c r="NB535" t="s">
        <v>1191</v>
      </c>
      <c r="NG535" t="s">
        <v>480</v>
      </c>
      <c r="NH535" t="s">
        <v>711</v>
      </c>
      <c r="NJ535" t="s">
        <v>689</v>
      </c>
      <c r="NL535" t="s">
        <v>689</v>
      </c>
      <c r="NV535" t="s">
        <v>518</v>
      </c>
      <c r="NW535">
        <v>0.78816052999999997</v>
      </c>
      <c r="NX535" s="220" t="s">
        <v>1192</v>
      </c>
      <c r="NY535">
        <v>0.27</v>
      </c>
      <c r="OB535">
        <v>9</v>
      </c>
      <c r="OU535" t="s">
        <v>1193</v>
      </c>
      <c r="OX535">
        <v>2006</v>
      </c>
      <c r="OZ535" t="s">
        <v>1194</v>
      </c>
      <c r="PB535" t="s">
        <v>522</v>
      </c>
      <c r="PC535" s="50">
        <v>46120</v>
      </c>
    </row>
    <row r="536" spans="1:419" ht="15.75" thickBot="1">
      <c r="A536" t="s">
        <v>665</v>
      </c>
      <c r="B536" t="s">
        <v>1176</v>
      </c>
      <c r="C536" t="s">
        <v>1177</v>
      </c>
      <c r="D536" s="4" t="s">
        <v>950</v>
      </c>
      <c r="E536" t="s">
        <v>1178</v>
      </c>
      <c r="F536" t="s">
        <v>1179</v>
      </c>
      <c r="G536" t="s">
        <v>475</v>
      </c>
      <c r="H536" t="s">
        <v>476</v>
      </c>
      <c r="I536">
        <v>-13.65</v>
      </c>
      <c r="J536">
        <v>32.566666669999996</v>
      </c>
      <c r="K536">
        <v>200</v>
      </c>
      <c r="AV536" t="s">
        <v>1180</v>
      </c>
      <c r="AW536">
        <v>100</v>
      </c>
      <c r="AX536" t="s">
        <v>866</v>
      </c>
      <c r="AY536" s="5">
        <v>8</v>
      </c>
      <c r="AZ536" t="s">
        <v>1181</v>
      </c>
      <c r="BA536">
        <v>1999</v>
      </c>
      <c r="BB536">
        <v>2007</v>
      </c>
      <c r="BD536" t="s">
        <v>1200</v>
      </c>
      <c r="BE536" t="s">
        <v>611</v>
      </c>
      <c r="BF536" t="s">
        <v>484</v>
      </c>
      <c r="BG536" t="s">
        <v>485</v>
      </c>
      <c r="BH536" t="s">
        <v>1183</v>
      </c>
      <c r="BI536" t="s">
        <v>486</v>
      </c>
      <c r="BJ536">
        <v>44440</v>
      </c>
      <c r="BK536" t="s">
        <v>555</v>
      </c>
      <c r="HT536" s="50">
        <v>36495</v>
      </c>
      <c r="IO536" t="s">
        <v>1201</v>
      </c>
      <c r="IP536" s="46" t="s">
        <v>1185</v>
      </c>
      <c r="IS536">
        <v>1999</v>
      </c>
      <c r="IU536" s="4" t="s">
        <v>1186</v>
      </c>
      <c r="JL536" s="8" t="s">
        <v>1187</v>
      </c>
      <c r="KE536" t="s">
        <v>1188</v>
      </c>
      <c r="KF536" s="75" t="s">
        <v>1001</v>
      </c>
      <c r="MY536" t="s">
        <v>1189</v>
      </c>
      <c r="MZ536">
        <v>6.25E-2</v>
      </c>
      <c r="NA536" t="s">
        <v>1190</v>
      </c>
      <c r="NB536" t="s">
        <v>1191</v>
      </c>
      <c r="NG536" t="s">
        <v>480</v>
      </c>
      <c r="NH536" t="s">
        <v>711</v>
      </c>
      <c r="NJ536" t="s">
        <v>689</v>
      </c>
      <c r="NL536" t="s">
        <v>689</v>
      </c>
      <c r="NV536" t="s">
        <v>518</v>
      </c>
      <c r="NW536">
        <v>0.69081462999999999</v>
      </c>
      <c r="NX536" s="220" t="s">
        <v>1192</v>
      </c>
      <c r="NY536">
        <v>0.31</v>
      </c>
      <c r="OB536">
        <v>9</v>
      </c>
      <c r="OU536" t="s">
        <v>1193</v>
      </c>
      <c r="OX536">
        <v>2006</v>
      </c>
      <c r="OZ536" t="s">
        <v>1194</v>
      </c>
      <c r="PB536" t="s">
        <v>522</v>
      </c>
      <c r="PC536" s="50">
        <v>46120</v>
      </c>
    </row>
    <row r="537" spans="1:419" ht="15.75" thickBot="1">
      <c r="A537" t="s">
        <v>665</v>
      </c>
      <c r="B537" t="s">
        <v>1176</v>
      </c>
      <c r="C537" t="s">
        <v>1177</v>
      </c>
      <c r="D537" s="4" t="s">
        <v>950</v>
      </c>
      <c r="E537" t="s">
        <v>1178</v>
      </c>
      <c r="F537" t="s">
        <v>1179</v>
      </c>
      <c r="G537" t="s">
        <v>475</v>
      </c>
      <c r="H537" t="s">
        <v>476</v>
      </c>
      <c r="I537">
        <v>-13.65</v>
      </c>
      <c r="J537">
        <v>32.566666669999996</v>
      </c>
      <c r="K537">
        <v>200</v>
      </c>
      <c r="AV537" t="s">
        <v>1180</v>
      </c>
      <c r="AW537">
        <v>100</v>
      </c>
      <c r="AX537" t="s">
        <v>866</v>
      </c>
      <c r="AY537" s="5">
        <v>8</v>
      </c>
      <c r="AZ537" t="s">
        <v>1181</v>
      </c>
      <c r="BA537">
        <v>1999</v>
      </c>
      <c r="BB537">
        <v>2007</v>
      </c>
      <c r="BD537" t="s">
        <v>1202</v>
      </c>
      <c r="BE537" t="s">
        <v>524</v>
      </c>
      <c r="BF537" t="s">
        <v>484</v>
      </c>
      <c r="BG537" t="s">
        <v>485</v>
      </c>
      <c r="BH537" t="s">
        <v>1183</v>
      </c>
      <c r="BI537" t="s">
        <v>486</v>
      </c>
      <c r="BJ537">
        <v>44440</v>
      </c>
      <c r="HT537" s="50">
        <v>36495</v>
      </c>
      <c r="IO537" t="s">
        <v>1203</v>
      </c>
      <c r="IP537" t="s">
        <v>492</v>
      </c>
      <c r="IS537">
        <v>1999</v>
      </c>
      <c r="JL537" t="s">
        <v>495</v>
      </c>
      <c r="JM537" t="s">
        <v>1204</v>
      </c>
      <c r="JN537" t="s">
        <v>497</v>
      </c>
      <c r="JO537" t="s">
        <v>1205</v>
      </c>
      <c r="JP537" t="s">
        <v>508</v>
      </c>
      <c r="JQ537" t="s">
        <v>1206</v>
      </c>
      <c r="JR537">
        <v>90</v>
      </c>
      <c r="JS537">
        <v>80</v>
      </c>
      <c r="KE537" t="s">
        <v>1188</v>
      </c>
      <c r="KF537" s="75" t="s">
        <v>1001</v>
      </c>
      <c r="MY537" t="s">
        <v>1189</v>
      </c>
      <c r="MZ537">
        <v>6.25E-2</v>
      </c>
      <c r="NA537" t="s">
        <v>1190</v>
      </c>
      <c r="NB537" t="s">
        <v>1191</v>
      </c>
      <c r="NG537" t="s">
        <v>480</v>
      </c>
      <c r="NH537" t="s">
        <v>711</v>
      </c>
      <c r="NJ537" t="s">
        <v>689</v>
      </c>
      <c r="NL537" t="s">
        <v>689</v>
      </c>
      <c r="NU537" t="s">
        <v>1025</v>
      </c>
      <c r="NV537" t="s">
        <v>518</v>
      </c>
      <c r="NW537">
        <v>0.23445062999999999</v>
      </c>
      <c r="NX537" s="220" t="s">
        <v>1192</v>
      </c>
      <c r="NY537">
        <v>0.15</v>
      </c>
      <c r="OB537">
        <v>9</v>
      </c>
      <c r="OU537" t="s">
        <v>1193</v>
      </c>
      <c r="OX537">
        <v>2006</v>
      </c>
      <c r="OZ537" t="s">
        <v>1194</v>
      </c>
      <c r="PB537" t="s">
        <v>522</v>
      </c>
      <c r="PC537" s="50">
        <v>46120</v>
      </c>
    </row>
    <row r="538" spans="1:419" ht="15.75" thickBot="1">
      <c r="A538" t="s">
        <v>665</v>
      </c>
      <c r="B538" t="s">
        <v>1176</v>
      </c>
      <c r="C538" t="s">
        <v>1177</v>
      </c>
      <c r="D538" s="4" t="s">
        <v>950</v>
      </c>
      <c r="E538" t="s">
        <v>1178</v>
      </c>
      <c r="F538" t="s">
        <v>1179</v>
      </c>
      <c r="G538" t="s">
        <v>475</v>
      </c>
      <c r="H538" t="s">
        <v>476</v>
      </c>
      <c r="I538">
        <v>-13.65</v>
      </c>
      <c r="J538">
        <v>32.566666669999996</v>
      </c>
      <c r="K538">
        <v>200</v>
      </c>
      <c r="AV538" t="s">
        <v>1180</v>
      </c>
      <c r="AW538">
        <v>100</v>
      </c>
      <c r="AX538" t="s">
        <v>866</v>
      </c>
      <c r="AY538" s="5">
        <v>8</v>
      </c>
      <c r="AZ538" t="s">
        <v>1181</v>
      </c>
      <c r="BA538">
        <v>1999</v>
      </c>
      <c r="BB538">
        <v>2007</v>
      </c>
      <c r="BD538" t="s">
        <v>1182</v>
      </c>
      <c r="BE538" t="s">
        <v>536</v>
      </c>
      <c r="BF538" t="s">
        <v>484</v>
      </c>
      <c r="BG538" t="s">
        <v>485</v>
      </c>
      <c r="BH538" t="s">
        <v>1183</v>
      </c>
      <c r="BI538" t="s">
        <v>486</v>
      </c>
      <c r="BJ538">
        <v>44440</v>
      </c>
      <c r="BK538" t="s">
        <v>555</v>
      </c>
      <c r="BL538" t="s">
        <v>1184</v>
      </c>
      <c r="BM538" t="s">
        <v>480</v>
      </c>
      <c r="BN538" t="s">
        <v>486</v>
      </c>
      <c r="BO538">
        <v>10000</v>
      </c>
      <c r="FQ538" s="9"/>
      <c r="FR538" s="9"/>
      <c r="FS538" s="9"/>
      <c r="FT538" s="9"/>
      <c r="FU538" s="9"/>
      <c r="FV538" s="9"/>
      <c r="FW538" s="9"/>
      <c r="FX538" s="9"/>
      <c r="FY538" s="9"/>
      <c r="FZ538" s="9"/>
      <c r="GA538" s="9"/>
      <c r="GB538" s="9"/>
      <c r="GC538" s="9"/>
      <c r="GD538" s="9"/>
      <c r="GE538" s="9"/>
      <c r="GF538" s="9"/>
      <c r="GG538" s="9"/>
      <c r="GH538" s="9"/>
      <c r="GI538" s="9"/>
      <c r="GJ538" s="9"/>
      <c r="GK538" s="9"/>
      <c r="GL538" s="9"/>
      <c r="GM538" s="9"/>
      <c r="GN538" s="9"/>
      <c r="GO538" s="9"/>
      <c r="GP538" s="9"/>
      <c r="GQ538" s="9"/>
      <c r="GR538" s="9"/>
      <c r="GS538" s="9"/>
      <c r="GT538" s="9"/>
      <c r="GU538" s="9"/>
      <c r="GV538" s="9"/>
      <c r="GW538" s="9"/>
      <c r="GX538" s="9"/>
      <c r="GY538" s="9"/>
      <c r="GZ538" s="9"/>
      <c r="HA538" s="9"/>
      <c r="HB538" s="9"/>
      <c r="HC538" s="9"/>
      <c r="HD538" s="9"/>
      <c r="HE538" s="9"/>
      <c r="HF538" s="9"/>
      <c r="HG538" s="9"/>
      <c r="HH538" s="9"/>
      <c r="HI538" s="9"/>
      <c r="HJ538" s="9"/>
      <c r="HK538" s="9"/>
      <c r="HL538" s="9"/>
      <c r="HT538" s="50">
        <v>36495</v>
      </c>
      <c r="IO538" t="s">
        <v>1182</v>
      </c>
      <c r="IP538" s="46" t="s">
        <v>1185</v>
      </c>
      <c r="IS538">
        <v>1999</v>
      </c>
      <c r="IU538" s="4" t="s">
        <v>1186</v>
      </c>
      <c r="JL538" s="8" t="s">
        <v>1187</v>
      </c>
      <c r="KE538" t="s">
        <v>1188</v>
      </c>
      <c r="KF538" s="75" t="s">
        <v>1001</v>
      </c>
      <c r="MY538" t="s">
        <v>1189</v>
      </c>
      <c r="MZ538">
        <v>6.25E-2</v>
      </c>
      <c r="NA538" t="s">
        <v>1207</v>
      </c>
      <c r="NB538" t="s">
        <v>1208</v>
      </c>
      <c r="NG538" t="s">
        <v>480</v>
      </c>
      <c r="NH538" t="s">
        <v>711</v>
      </c>
      <c r="NJ538" t="s">
        <v>689</v>
      </c>
      <c r="NL538" t="s">
        <v>689</v>
      </c>
      <c r="NV538" t="s">
        <v>518</v>
      </c>
      <c r="NW538">
        <v>2.2263313600000001</v>
      </c>
      <c r="NX538" s="220" t="s">
        <v>1192</v>
      </c>
      <c r="NY538">
        <v>1.06</v>
      </c>
      <c r="OB538">
        <v>9</v>
      </c>
      <c r="OU538" t="s">
        <v>1209</v>
      </c>
      <c r="OX538">
        <v>2006</v>
      </c>
      <c r="OZ538" t="s">
        <v>1194</v>
      </c>
      <c r="PB538" t="s">
        <v>522</v>
      </c>
      <c r="PC538" s="50">
        <v>46120</v>
      </c>
    </row>
    <row r="539" spans="1:419" ht="15.75" thickBot="1">
      <c r="A539" t="s">
        <v>665</v>
      </c>
      <c r="B539" t="s">
        <v>1176</v>
      </c>
      <c r="C539" t="s">
        <v>1177</v>
      </c>
      <c r="D539" s="4" t="s">
        <v>950</v>
      </c>
      <c r="E539" t="s">
        <v>1178</v>
      </c>
      <c r="F539" t="s">
        <v>1179</v>
      </c>
      <c r="G539" t="s">
        <v>475</v>
      </c>
      <c r="H539" t="s">
        <v>476</v>
      </c>
      <c r="I539">
        <v>-13.65</v>
      </c>
      <c r="J539">
        <v>32.566666669999996</v>
      </c>
      <c r="K539">
        <v>200</v>
      </c>
      <c r="AV539" t="s">
        <v>1180</v>
      </c>
      <c r="AW539">
        <v>100</v>
      </c>
      <c r="AX539" t="s">
        <v>866</v>
      </c>
      <c r="AY539" s="5">
        <v>8</v>
      </c>
      <c r="AZ539" t="s">
        <v>1181</v>
      </c>
      <c r="BA539">
        <v>1999</v>
      </c>
      <c r="BB539">
        <v>2007</v>
      </c>
      <c r="BD539" t="s">
        <v>1195</v>
      </c>
      <c r="BE539" t="s">
        <v>566</v>
      </c>
      <c r="BF539" t="s">
        <v>484</v>
      </c>
      <c r="BG539" t="s">
        <v>485</v>
      </c>
      <c r="BH539" t="s">
        <v>1183</v>
      </c>
      <c r="BI539" t="s">
        <v>486</v>
      </c>
      <c r="BJ539">
        <v>44440</v>
      </c>
      <c r="BK539" t="s">
        <v>555</v>
      </c>
      <c r="BL539" t="s">
        <v>1184</v>
      </c>
      <c r="BM539" t="s">
        <v>480</v>
      </c>
      <c r="BN539" t="s">
        <v>486</v>
      </c>
      <c r="BO539">
        <v>5000</v>
      </c>
      <c r="BP539" t="s">
        <v>537</v>
      </c>
      <c r="ED539" t="s">
        <v>676</v>
      </c>
      <c r="EE539" t="s">
        <v>486</v>
      </c>
      <c r="EF539">
        <v>5000</v>
      </c>
      <c r="FQ539" s="9"/>
      <c r="FR539" s="9"/>
      <c r="FS539" s="9"/>
      <c r="FT539" s="9"/>
      <c r="FU539" s="9"/>
      <c r="FV539" s="9"/>
      <c r="FW539" s="9"/>
      <c r="FX539" s="9"/>
      <c r="FY539" s="9"/>
      <c r="FZ539" s="9"/>
      <c r="GA539" s="9"/>
      <c r="GB539" s="9"/>
      <c r="GC539" s="9"/>
      <c r="GD539" s="9"/>
      <c r="GE539" s="9"/>
      <c r="GF539" s="9"/>
      <c r="GG539" s="9"/>
      <c r="GH539" s="9"/>
      <c r="GI539" s="9"/>
      <c r="GJ539" s="9"/>
      <c r="GK539" s="9"/>
      <c r="GL539" s="9"/>
      <c r="GM539" s="9"/>
      <c r="GN539" s="9"/>
      <c r="GO539" s="9"/>
      <c r="GP539" s="9"/>
      <c r="GQ539" s="9"/>
      <c r="GR539" s="9"/>
      <c r="GS539" s="9"/>
      <c r="GT539" s="9"/>
      <c r="GU539" s="9"/>
      <c r="GV539" s="9"/>
      <c r="GW539" s="9"/>
      <c r="GX539" s="9"/>
      <c r="GY539" s="9"/>
      <c r="GZ539" s="9"/>
      <c r="HA539" s="9"/>
      <c r="HB539" s="9"/>
      <c r="HC539" s="9"/>
      <c r="HD539" s="9"/>
      <c r="HE539" s="9"/>
      <c r="HF539" s="9"/>
      <c r="HG539" s="9"/>
      <c r="HH539" s="9"/>
      <c r="HI539" s="9"/>
      <c r="HJ539" s="9"/>
      <c r="HK539" s="9"/>
      <c r="HL539" s="9"/>
      <c r="HT539" s="50">
        <v>36495</v>
      </c>
      <c r="IO539" t="s">
        <v>1195</v>
      </c>
      <c r="IP539" s="75" t="s">
        <v>679</v>
      </c>
      <c r="IS539">
        <v>1999</v>
      </c>
      <c r="IU539" s="4" t="s">
        <v>1186</v>
      </c>
      <c r="JL539" s="8" t="s">
        <v>1187</v>
      </c>
      <c r="KE539" t="s">
        <v>1188</v>
      </c>
      <c r="KF539" s="75" t="s">
        <v>1001</v>
      </c>
      <c r="MY539" t="s">
        <v>1189</v>
      </c>
      <c r="MZ539">
        <v>6.25E-2</v>
      </c>
      <c r="NA539" t="s">
        <v>1207</v>
      </c>
      <c r="NB539" t="s">
        <v>1208</v>
      </c>
      <c r="NG539" t="s">
        <v>480</v>
      </c>
      <c r="NH539" t="s">
        <v>711</v>
      </c>
      <c r="NJ539" t="s">
        <v>689</v>
      </c>
      <c r="NL539" t="s">
        <v>689</v>
      </c>
      <c r="NV539" t="s">
        <v>518</v>
      </c>
      <c r="NW539">
        <v>0.55917159999999999</v>
      </c>
      <c r="NX539" s="220" t="s">
        <v>1192</v>
      </c>
      <c r="NY539">
        <v>0.33</v>
      </c>
      <c r="OB539">
        <v>9</v>
      </c>
      <c r="OU539" t="s">
        <v>1209</v>
      </c>
      <c r="OX539">
        <v>2006</v>
      </c>
      <c r="OZ539" t="s">
        <v>1194</v>
      </c>
      <c r="PB539" t="s">
        <v>522</v>
      </c>
      <c r="PC539" s="50">
        <v>46120</v>
      </c>
    </row>
    <row r="540" spans="1:419" ht="15.75" thickBot="1">
      <c r="A540" t="s">
        <v>665</v>
      </c>
      <c r="B540" t="s">
        <v>1176</v>
      </c>
      <c r="C540" t="s">
        <v>1177</v>
      </c>
      <c r="D540" s="4" t="s">
        <v>950</v>
      </c>
      <c r="E540" t="s">
        <v>1178</v>
      </c>
      <c r="F540" t="s">
        <v>1179</v>
      </c>
      <c r="G540" t="s">
        <v>475</v>
      </c>
      <c r="H540" t="s">
        <v>476</v>
      </c>
      <c r="I540">
        <v>-13.65</v>
      </c>
      <c r="J540">
        <v>32.566666669999996</v>
      </c>
      <c r="K540">
        <v>200</v>
      </c>
      <c r="AV540" t="s">
        <v>1180</v>
      </c>
      <c r="AW540">
        <v>100</v>
      </c>
      <c r="AX540" t="s">
        <v>866</v>
      </c>
      <c r="AY540" s="5">
        <v>8</v>
      </c>
      <c r="AZ540" t="s">
        <v>1181</v>
      </c>
      <c r="BA540">
        <v>1999</v>
      </c>
      <c r="BB540">
        <v>2007</v>
      </c>
      <c r="BD540" t="s">
        <v>1196</v>
      </c>
      <c r="BE540" t="s">
        <v>572</v>
      </c>
      <c r="BF540" t="s">
        <v>484</v>
      </c>
      <c r="BG540" t="s">
        <v>485</v>
      </c>
      <c r="BH540" t="s">
        <v>1183</v>
      </c>
      <c r="BI540" t="s">
        <v>486</v>
      </c>
      <c r="BJ540">
        <v>44440</v>
      </c>
      <c r="BK540" t="s">
        <v>555</v>
      </c>
      <c r="ED540" t="s">
        <v>1197</v>
      </c>
      <c r="EE540" t="s">
        <v>486</v>
      </c>
      <c r="EF540">
        <v>10000</v>
      </c>
      <c r="FQ540" s="9"/>
      <c r="FR540" s="9"/>
      <c r="FS540" s="9"/>
      <c r="FT540" s="9"/>
      <c r="FU540" s="9"/>
      <c r="FV540" s="9"/>
      <c r="FW540" s="9"/>
      <c r="FX540" s="9"/>
      <c r="FY540" s="9"/>
      <c r="FZ540" s="9"/>
      <c r="GA540" s="9"/>
      <c r="GB540" s="9"/>
      <c r="GC540" s="9"/>
      <c r="GD540" s="9"/>
      <c r="GE540" s="9"/>
      <c r="GF540" s="9"/>
      <c r="GG540" s="9"/>
      <c r="GH540" s="9"/>
      <c r="GI540" s="9"/>
      <c r="GJ540" s="9"/>
      <c r="GK540" s="9"/>
      <c r="GL540" s="9"/>
      <c r="GM540" s="9"/>
      <c r="GN540" s="9"/>
      <c r="GO540" s="9"/>
      <c r="GP540" s="9"/>
      <c r="GQ540" s="9"/>
      <c r="GR540" s="9"/>
      <c r="GS540" s="9"/>
      <c r="GT540" s="9"/>
      <c r="GU540" s="9"/>
      <c r="GV540" s="9"/>
      <c r="GW540" s="9"/>
      <c r="GX540" s="9"/>
      <c r="GY540" s="9"/>
      <c r="GZ540" s="9"/>
      <c r="HA540" s="9"/>
      <c r="HB540" s="9"/>
      <c r="HC540" s="9"/>
      <c r="HD540" s="9"/>
      <c r="HE540" s="9"/>
      <c r="HF540" s="9"/>
      <c r="HG540" s="9"/>
      <c r="HH540" s="9"/>
      <c r="HI540" s="9"/>
      <c r="HJ540" s="9"/>
      <c r="HK540" s="9"/>
      <c r="HL540" s="9"/>
      <c r="HT540" s="50">
        <v>36495</v>
      </c>
      <c r="IO540" t="s">
        <v>1196</v>
      </c>
      <c r="IP540" s="75" t="s">
        <v>679</v>
      </c>
      <c r="IS540">
        <v>1999</v>
      </c>
      <c r="IU540" s="4" t="s">
        <v>1186</v>
      </c>
      <c r="JL540" s="8" t="s">
        <v>1187</v>
      </c>
      <c r="KE540" t="s">
        <v>1188</v>
      </c>
      <c r="KF540" s="75" t="s">
        <v>1001</v>
      </c>
      <c r="MY540" t="s">
        <v>1189</v>
      </c>
      <c r="MZ540">
        <v>6.25E-2</v>
      </c>
      <c r="NA540" t="s">
        <v>1207</v>
      </c>
      <c r="NB540" t="s">
        <v>1208</v>
      </c>
      <c r="NG540" t="s">
        <v>480</v>
      </c>
      <c r="NH540" t="s">
        <v>711</v>
      </c>
      <c r="NJ540" t="s">
        <v>689</v>
      </c>
      <c r="NL540" t="s">
        <v>689</v>
      </c>
      <c r="NV540" t="s">
        <v>518</v>
      </c>
      <c r="NW540">
        <v>0.48668639000000002</v>
      </c>
      <c r="NX540" s="220" t="s">
        <v>1192</v>
      </c>
      <c r="NY540">
        <v>0.31</v>
      </c>
      <c r="OB540">
        <v>9</v>
      </c>
      <c r="OU540" t="s">
        <v>1209</v>
      </c>
      <c r="OX540">
        <v>2006</v>
      </c>
      <c r="OZ540" t="s">
        <v>1194</v>
      </c>
      <c r="PB540" t="s">
        <v>522</v>
      </c>
      <c r="PC540" s="50">
        <v>46120</v>
      </c>
    </row>
    <row r="541" spans="1:419" ht="15.75" thickBot="1">
      <c r="A541" t="s">
        <v>665</v>
      </c>
      <c r="B541" t="s">
        <v>1176</v>
      </c>
      <c r="C541" t="s">
        <v>1177</v>
      </c>
      <c r="D541" s="4" t="s">
        <v>950</v>
      </c>
      <c r="E541" t="s">
        <v>1178</v>
      </c>
      <c r="F541" t="s">
        <v>1179</v>
      </c>
      <c r="G541" t="s">
        <v>475</v>
      </c>
      <c r="H541" t="s">
        <v>476</v>
      </c>
      <c r="I541">
        <v>-13.65</v>
      </c>
      <c r="J541">
        <v>32.566666669999996</v>
      </c>
      <c r="K541">
        <v>200</v>
      </c>
      <c r="AV541" t="s">
        <v>1180</v>
      </c>
      <c r="AW541">
        <v>100</v>
      </c>
      <c r="AX541" t="s">
        <v>866</v>
      </c>
      <c r="AY541" s="5">
        <v>8</v>
      </c>
      <c r="AZ541" t="s">
        <v>1181</v>
      </c>
      <c r="BA541">
        <v>1999</v>
      </c>
      <c r="BB541">
        <v>2007</v>
      </c>
      <c r="BD541" t="s">
        <v>1198</v>
      </c>
      <c r="BE541" t="s">
        <v>553</v>
      </c>
      <c r="BF541" t="s">
        <v>484</v>
      </c>
      <c r="BG541" t="s">
        <v>485</v>
      </c>
      <c r="BH541" t="s">
        <v>1183</v>
      </c>
      <c r="BI541" t="s">
        <v>486</v>
      </c>
      <c r="BJ541">
        <v>44440</v>
      </c>
      <c r="BK541" t="s">
        <v>555</v>
      </c>
      <c r="ED541" t="s">
        <v>676</v>
      </c>
      <c r="EE541" t="s">
        <v>486</v>
      </c>
      <c r="EF541">
        <v>5000</v>
      </c>
      <c r="EG541" t="s">
        <v>537</v>
      </c>
      <c r="EH541" t="s">
        <v>1197</v>
      </c>
      <c r="EI541" t="s">
        <v>486</v>
      </c>
      <c r="EJ541">
        <v>5000</v>
      </c>
      <c r="FQ541" s="9"/>
      <c r="FR541" s="9"/>
      <c r="FS541" s="9"/>
      <c r="FT541" s="9"/>
      <c r="FU541" s="9"/>
      <c r="FV541" s="9"/>
      <c r="FW541" s="9"/>
      <c r="FX541" s="9"/>
      <c r="FY541" s="9"/>
      <c r="FZ541" s="9"/>
      <c r="GA541" s="9"/>
      <c r="GB541" s="9"/>
      <c r="GC541" s="9"/>
      <c r="GD541" s="9"/>
      <c r="GE541" s="9"/>
      <c r="GF541" s="9"/>
      <c r="GG541" s="9"/>
      <c r="GH541" s="9"/>
      <c r="GI541" s="9"/>
      <c r="GJ541" s="9"/>
      <c r="GK541" s="9"/>
      <c r="GL541" s="9"/>
      <c r="GM541" s="9"/>
      <c r="GN541" s="9"/>
      <c r="GO541" s="9"/>
      <c r="GP541" s="9"/>
      <c r="GQ541" s="9"/>
      <c r="GR541" s="9"/>
      <c r="GS541" s="9"/>
      <c r="GT541" s="9"/>
      <c r="GU541" s="9"/>
      <c r="GV541" s="9"/>
      <c r="GW541" s="9"/>
      <c r="GX541" s="9"/>
      <c r="GY541" s="9"/>
      <c r="GZ541" s="9"/>
      <c r="HA541" s="9"/>
      <c r="HB541" s="9"/>
      <c r="HC541" s="9"/>
      <c r="HD541" s="9"/>
      <c r="HE541" s="9"/>
      <c r="HF541" s="9"/>
      <c r="HG541" s="9"/>
      <c r="HH541" s="9"/>
      <c r="HI541" s="9"/>
      <c r="HJ541" s="9"/>
      <c r="HK541" s="9"/>
      <c r="HL541" s="9"/>
      <c r="HT541" s="50">
        <v>36495</v>
      </c>
      <c r="IO541" t="s">
        <v>1198</v>
      </c>
      <c r="IP541" s="75" t="s">
        <v>679</v>
      </c>
      <c r="IS541">
        <v>1999</v>
      </c>
      <c r="IU541" s="4" t="s">
        <v>1186</v>
      </c>
      <c r="JL541" s="8" t="s">
        <v>1187</v>
      </c>
      <c r="KE541" t="s">
        <v>1188</v>
      </c>
      <c r="KF541" s="75" t="s">
        <v>1001</v>
      </c>
      <c r="MY541" t="s">
        <v>1189</v>
      </c>
      <c r="MZ541">
        <v>6.25E-2</v>
      </c>
      <c r="NA541" t="s">
        <v>1207</v>
      </c>
      <c r="NB541" t="s">
        <v>1208</v>
      </c>
      <c r="NG541" t="s">
        <v>480</v>
      </c>
      <c r="NH541" t="s">
        <v>711</v>
      </c>
      <c r="NJ541" t="s">
        <v>689</v>
      </c>
      <c r="NL541" t="s">
        <v>689</v>
      </c>
      <c r="NV541" t="s">
        <v>518</v>
      </c>
      <c r="NW541">
        <v>0.69378698000000005</v>
      </c>
      <c r="NX541" s="220" t="s">
        <v>1192</v>
      </c>
      <c r="NY541">
        <v>0.31</v>
      </c>
      <c r="OB541">
        <v>9</v>
      </c>
      <c r="OU541" t="s">
        <v>1209</v>
      </c>
      <c r="OX541">
        <v>2006</v>
      </c>
      <c r="OZ541" t="s">
        <v>1194</v>
      </c>
      <c r="PB541" t="s">
        <v>522</v>
      </c>
      <c r="PC541" s="50">
        <v>46120</v>
      </c>
    </row>
    <row r="542" spans="1:419" ht="15.75" thickBot="1">
      <c r="A542" t="s">
        <v>665</v>
      </c>
      <c r="B542" t="s">
        <v>1176</v>
      </c>
      <c r="C542" t="s">
        <v>1177</v>
      </c>
      <c r="D542" s="4" t="s">
        <v>950</v>
      </c>
      <c r="E542" t="s">
        <v>1178</v>
      </c>
      <c r="F542" t="s">
        <v>1179</v>
      </c>
      <c r="G542" t="s">
        <v>475</v>
      </c>
      <c r="H542" t="s">
        <v>476</v>
      </c>
      <c r="I542">
        <v>-13.65</v>
      </c>
      <c r="J542">
        <v>32.566666669999996</v>
      </c>
      <c r="K542">
        <v>200</v>
      </c>
      <c r="AV542" t="s">
        <v>1180</v>
      </c>
      <c r="AW542">
        <v>100</v>
      </c>
      <c r="AX542" t="s">
        <v>866</v>
      </c>
      <c r="AY542" s="5">
        <v>8</v>
      </c>
      <c r="AZ542" t="s">
        <v>1181</v>
      </c>
      <c r="BA542">
        <v>1999</v>
      </c>
      <c r="BB542">
        <v>2007</v>
      </c>
      <c r="BD542" t="s">
        <v>1199</v>
      </c>
      <c r="BE542" t="s">
        <v>607</v>
      </c>
      <c r="BF542" t="s">
        <v>484</v>
      </c>
      <c r="BG542" t="s">
        <v>485</v>
      </c>
      <c r="BH542" t="s">
        <v>1183</v>
      </c>
      <c r="BI542" t="s">
        <v>486</v>
      </c>
      <c r="BJ542">
        <v>44440</v>
      </c>
      <c r="BK542" t="s">
        <v>555</v>
      </c>
      <c r="ED542" t="s">
        <v>676</v>
      </c>
      <c r="EE542" t="s">
        <v>486</v>
      </c>
      <c r="EF542">
        <v>10000</v>
      </c>
      <c r="FQ542" s="9"/>
      <c r="FR542" s="9"/>
      <c r="FS542" s="9"/>
      <c r="FT542" s="9"/>
      <c r="FU542" s="9"/>
      <c r="FV542" s="9"/>
      <c r="FW542" s="9"/>
      <c r="FX542" s="9"/>
      <c r="FY542" s="9"/>
      <c r="FZ542" s="9"/>
      <c r="GA542" s="9"/>
      <c r="GB542" s="9"/>
      <c r="GC542" s="9"/>
      <c r="GD542" s="9"/>
      <c r="GE542" s="9"/>
      <c r="GF542" s="9"/>
      <c r="GG542" s="9"/>
      <c r="GH542" s="9"/>
      <c r="GI542" s="9"/>
      <c r="GJ542" s="9"/>
      <c r="GK542" s="9"/>
      <c r="GL542" s="9"/>
      <c r="GM542" s="9"/>
      <c r="GN542" s="9"/>
      <c r="GO542" s="9"/>
      <c r="GP542" s="9"/>
      <c r="GQ542" s="9"/>
      <c r="GR542" s="9"/>
      <c r="GS542" s="9"/>
      <c r="GT542" s="9"/>
      <c r="GU542" s="9"/>
      <c r="GV542" s="9"/>
      <c r="GW542" s="9"/>
      <c r="GX542" s="9"/>
      <c r="GY542" s="9"/>
      <c r="GZ542" s="9"/>
      <c r="HA542" s="9"/>
      <c r="HB542" s="9"/>
      <c r="HC542" s="9"/>
      <c r="HD542" s="9"/>
      <c r="HE542" s="9"/>
      <c r="HF542" s="9"/>
      <c r="HG542" s="9"/>
      <c r="HH542" s="9"/>
      <c r="HI542" s="9"/>
      <c r="HJ542" s="9"/>
      <c r="HK542" s="9"/>
      <c r="HL542" s="9"/>
      <c r="HT542" s="50">
        <v>36495</v>
      </c>
      <c r="IO542" t="s">
        <v>1199</v>
      </c>
      <c r="IP542" s="75" t="s">
        <v>679</v>
      </c>
      <c r="IS542">
        <v>1999</v>
      </c>
      <c r="IU542" s="4" t="s">
        <v>1186</v>
      </c>
      <c r="JL542" s="8" t="s">
        <v>1187</v>
      </c>
      <c r="KE542" t="s">
        <v>1188</v>
      </c>
      <c r="KF542" s="75" t="s">
        <v>1001</v>
      </c>
      <c r="MY542" t="s">
        <v>1189</v>
      </c>
      <c r="MZ542">
        <v>6.25E-2</v>
      </c>
      <c r="NA542" t="s">
        <v>1207</v>
      </c>
      <c r="NB542" t="s">
        <v>1208</v>
      </c>
      <c r="NG542" t="s">
        <v>480</v>
      </c>
      <c r="NH542" t="s">
        <v>711</v>
      </c>
      <c r="NJ542" t="s">
        <v>689</v>
      </c>
      <c r="NL542" t="s">
        <v>689</v>
      </c>
      <c r="NV542" t="s">
        <v>518</v>
      </c>
      <c r="NW542">
        <v>0.77662721999999995</v>
      </c>
      <c r="NX542" s="220" t="s">
        <v>1192</v>
      </c>
      <c r="NY542">
        <v>0.47</v>
      </c>
      <c r="OB542">
        <v>9</v>
      </c>
      <c r="OU542" t="s">
        <v>1209</v>
      </c>
      <c r="OX542">
        <v>2006</v>
      </c>
      <c r="OZ542" t="s">
        <v>1194</v>
      </c>
      <c r="PB542" t="s">
        <v>522</v>
      </c>
      <c r="PC542" s="50">
        <v>46120</v>
      </c>
    </row>
    <row r="543" spans="1:419" ht="15.75" thickBot="1">
      <c r="A543" t="s">
        <v>665</v>
      </c>
      <c r="B543" t="s">
        <v>1176</v>
      </c>
      <c r="C543" t="s">
        <v>1177</v>
      </c>
      <c r="D543" s="4" t="s">
        <v>950</v>
      </c>
      <c r="E543" t="s">
        <v>1178</v>
      </c>
      <c r="F543" t="s">
        <v>1179</v>
      </c>
      <c r="G543" t="s">
        <v>475</v>
      </c>
      <c r="H543" t="s">
        <v>476</v>
      </c>
      <c r="I543">
        <v>-13.65</v>
      </c>
      <c r="J543">
        <v>32.566666669999996</v>
      </c>
      <c r="K543">
        <v>200</v>
      </c>
      <c r="AV543" t="s">
        <v>1180</v>
      </c>
      <c r="AW543">
        <v>100</v>
      </c>
      <c r="AX543" t="s">
        <v>866</v>
      </c>
      <c r="AY543" s="5">
        <v>8</v>
      </c>
      <c r="AZ543" t="s">
        <v>1181</v>
      </c>
      <c r="BA543">
        <v>1999</v>
      </c>
      <c r="BB543">
        <v>2007</v>
      </c>
      <c r="BD543" t="s">
        <v>1200</v>
      </c>
      <c r="BE543" t="s">
        <v>611</v>
      </c>
      <c r="BF543" t="s">
        <v>484</v>
      </c>
      <c r="BG543" t="s">
        <v>485</v>
      </c>
      <c r="BH543" t="s">
        <v>1183</v>
      </c>
      <c r="BI543" t="s">
        <v>486</v>
      </c>
      <c r="BJ543">
        <v>44440</v>
      </c>
      <c r="BK543" t="s">
        <v>555</v>
      </c>
      <c r="FQ543" s="9"/>
      <c r="FR543" s="9"/>
      <c r="FS543" s="9"/>
      <c r="FT543" s="9"/>
      <c r="FU543" s="9"/>
      <c r="FV543" s="9"/>
      <c r="FW543" s="9"/>
      <c r="FX543" s="9"/>
      <c r="FY543" s="9"/>
      <c r="FZ543" s="9"/>
      <c r="GA543" s="9"/>
      <c r="GB543" s="9"/>
      <c r="GC543" s="9"/>
      <c r="GD543" s="9"/>
      <c r="GE543" s="9"/>
      <c r="GF543" s="9"/>
      <c r="GG543" s="9"/>
      <c r="GH543" s="9"/>
      <c r="GI543" s="9"/>
      <c r="GJ543" s="9"/>
      <c r="GK543" s="9"/>
      <c r="GL543" s="9"/>
      <c r="GM543" s="9"/>
      <c r="GN543" s="9"/>
      <c r="GO543" s="9"/>
      <c r="GP543" s="9"/>
      <c r="GQ543" s="9"/>
      <c r="GR543" s="9"/>
      <c r="GS543" s="9"/>
      <c r="GT543" s="9"/>
      <c r="GU543" s="9"/>
      <c r="GV543" s="9"/>
      <c r="GW543" s="9"/>
      <c r="GX543" s="9"/>
      <c r="GY543" s="9"/>
      <c r="GZ543" s="9"/>
      <c r="HA543" s="9"/>
      <c r="HB543" s="9"/>
      <c r="HC543" s="9"/>
      <c r="HD543" s="9"/>
      <c r="HE543" s="9"/>
      <c r="HF543" s="9"/>
      <c r="HG543" s="9"/>
      <c r="HH543" s="9"/>
      <c r="HI543" s="9"/>
      <c r="HJ543" s="9"/>
      <c r="HK543" s="9"/>
      <c r="HL543" s="9"/>
      <c r="HT543" s="50">
        <v>36495</v>
      </c>
      <c r="IO543" t="s">
        <v>1201</v>
      </c>
      <c r="IP543" s="46" t="s">
        <v>1185</v>
      </c>
      <c r="IS543">
        <v>1999</v>
      </c>
      <c r="IU543" s="4" t="s">
        <v>1186</v>
      </c>
      <c r="JL543" s="8" t="s">
        <v>1187</v>
      </c>
      <c r="KE543" t="s">
        <v>1188</v>
      </c>
      <c r="KF543" s="75" t="s">
        <v>1001</v>
      </c>
      <c r="MY543" t="s">
        <v>1189</v>
      </c>
      <c r="MZ543">
        <v>6.25E-2</v>
      </c>
      <c r="NA543" t="s">
        <v>1207</v>
      </c>
      <c r="NB543" t="s">
        <v>1208</v>
      </c>
      <c r="NG543" t="s">
        <v>480</v>
      </c>
      <c r="NH543" t="s">
        <v>711</v>
      </c>
      <c r="NJ543" t="s">
        <v>689</v>
      </c>
      <c r="NL543" t="s">
        <v>689</v>
      </c>
      <c r="NV543" t="s">
        <v>518</v>
      </c>
      <c r="NW543">
        <v>0.11390533</v>
      </c>
      <c r="NX543" s="220" t="s">
        <v>1192</v>
      </c>
      <c r="NY543">
        <v>0.09</v>
      </c>
      <c r="OB543">
        <v>9</v>
      </c>
      <c r="OU543" t="s">
        <v>1209</v>
      </c>
      <c r="OX543">
        <v>2006</v>
      </c>
      <c r="OZ543" t="s">
        <v>1194</v>
      </c>
      <c r="PB543" t="s">
        <v>522</v>
      </c>
      <c r="PC543" s="50">
        <v>46120</v>
      </c>
    </row>
    <row r="544" spans="1:419" ht="15.75" thickBot="1">
      <c r="A544" t="s">
        <v>665</v>
      </c>
      <c r="B544" t="s">
        <v>1176</v>
      </c>
      <c r="C544" t="s">
        <v>1177</v>
      </c>
      <c r="D544" s="4" t="s">
        <v>950</v>
      </c>
      <c r="E544" t="s">
        <v>1178</v>
      </c>
      <c r="F544" t="s">
        <v>1179</v>
      </c>
      <c r="G544" t="s">
        <v>475</v>
      </c>
      <c r="H544" t="s">
        <v>476</v>
      </c>
      <c r="I544">
        <v>-13.65</v>
      </c>
      <c r="J544">
        <v>32.566666669999996</v>
      </c>
      <c r="K544">
        <v>200</v>
      </c>
      <c r="AV544" t="s">
        <v>1180</v>
      </c>
      <c r="AW544">
        <v>100</v>
      </c>
      <c r="AX544" t="s">
        <v>866</v>
      </c>
      <c r="AY544" s="5">
        <v>8</v>
      </c>
      <c r="AZ544" t="s">
        <v>1181</v>
      </c>
      <c r="BA544">
        <v>1999</v>
      </c>
      <c r="BB544">
        <v>2007</v>
      </c>
      <c r="BD544" t="s">
        <v>1202</v>
      </c>
      <c r="BE544" t="s">
        <v>524</v>
      </c>
      <c r="BF544" t="s">
        <v>484</v>
      </c>
      <c r="BG544" t="s">
        <v>485</v>
      </c>
      <c r="BH544" t="s">
        <v>1183</v>
      </c>
      <c r="BI544" t="s">
        <v>486</v>
      </c>
      <c r="BJ544">
        <v>44440</v>
      </c>
      <c r="FQ544" s="9"/>
      <c r="FR544" s="9"/>
      <c r="FS544" s="9"/>
      <c r="FT544" s="9"/>
      <c r="FU544" s="9"/>
      <c r="FV544" s="9"/>
      <c r="FW544" s="9"/>
      <c r="FX544" s="9"/>
      <c r="FY544" s="9"/>
      <c r="FZ544" s="9"/>
      <c r="GA544" s="9"/>
      <c r="GB544" s="9"/>
      <c r="GC544" s="9"/>
      <c r="GD544" s="9"/>
      <c r="GE544" s="9"/>
      <c r="GF544" s="9"/>
      <c r="GG544" s="9"/>
      <c r="GH544" s="9"/>
      <c r="GI544" s="9"/>
      <c r="GJ544" s="9"/>
      <c r="GK544" s="9"/>
      <c r="GL544" s="9"/>
      <c r="GM544" s="9"/>
      <c r="GN544" s="9"/>
      <c r="GO544" s="9"/>
      <c r="GP544" s="9"/>
      <c r="GQ544" s="9"/>
      <c r="GR544" s="9"/>
      <c r="GS544" s="9"/>
      <c r="GT544" s="9"/>
      <c r="GU544" s="9"/>
      <c r="GV544" s="9"/>
      <c r="GW544" s="9"/>
      <c r="GX544" s="9"/>
      <c r="GY544" s="9"/>
      <c r="GZ544" s="9"/>
      <c r="HA544" s="9"/>
      <c r="HB544" s="9"/>
      <c r="HC544" s="9"/>
      <c r="HD544" s="9"/>
      <c r="HE544" s="9"/>
      <c r="HF544" s="9"/>
      <c r="HG544" s="9"/>
      <c r="HH544" s="9"/>
      <c r="HI544" s="9"/>
      <c r="HJ544" s="9"/>
      <c r="HK544" s="9"/>
      <c r="HL544" s="9"/>
      <c r="HT544" s="50">
        <v>36495</v>
      </c>
      <c r="IO544" t="s">
        <v>1203</v>
      </c>
      <c r="IP544" t="s">
        <v>492</v>
      </c>
      <c r="IS544">
        <v>1999</v>
      </c>
      <c r="JL544" t="s">
        <v>495</v>
      </c>
      <c r="JM544" t="s">
        <v>1204</v>
      </c>
      <c r="JN544" t="s">
        <v>497</v>
      </c>
      <c r="JO544" t="s">
        <v>1205</v>
      </c>
      <c r="JP544" t="s">
        <v>508</v>
      </c>
      <c r="JQ544" t="s">
        <v>1206</v>
      </c>
      <c r="JR544">
        <v>90</v>
      </c>
      <c r="JS544">
        <v>80</v>
      </c>
      <c r="KE544" t="s">
        <v>1188</v>
      </c>
      <c r="KF544" s="75" t="s">
        <v>1001</v>
      </c>
      <c r="MY544" t="s">
        <v>1189</v>
      </c>
      <c r="MZ544">
        <v>6.25E-2</v>
      </c>
      <c r="NA544" t="s">
        <v>1207</v>
      </c>
      <c r="NB544" t="s">
        <v>1208</v>
      </c>
      <c r="NG544" t="s">
        <v>480</v>
      </c>
      <c r="NH544" t="s">
        <v>711</v>
      </c>
      <c r="NJ544" t="s">
        <v>689</v>
      </c>
      <c r="NL544" t="s">
        <v>689</v>
      </c>
      <c r="NU544" t="s">
        <v>1025</v>
      </c>
      <c r="NV544" t="s">
        <v>518</v>
      </c>
      <c r="NW544">
        <v>0.20710059</v>
      </c>
      <c r="NX544" s="220" t="s">
        <v>1192</v>
      </c>
      <c r="NY544">
        <v>0.23</v>
      </c>
      <c r="OB544">
        <v>9</v>
      </c>
      <c r="OU544" t="s">
        <v>1209</v>
      </c>
      <c r="OX544">
        <v>2006</v>
      </c>
      <c r="OZ544" t="s">
        <v>1194</v>
      </c>
      <c r="PB544" t="s">
        <v>522</v>
      </c>
      <c r="PC544" s="50">
        <v>46120</v>
      </c>
    </row>
    <row r="545" spans="1:419" ht="15.75" thickBot="1">
      <c r="A545" t="s">
        <v>665</v>
      </c>
      <c r="B545" t="s">
        <v>1176</v>
      </c>
      <c r="C545" t="s">
        <v>1177</v>
      </c>
      <c r="D545" s="4" t="s">
        <v>950</v>
      </c>
      <c r="E545" t="s">
        <v>1178</v>
      </c>
      <c r="F545" t="s">
        <v>1179</v>
      </c>
      <c r="G545" t="s">
        <v>475</v>
      </c>
      <c r="H545" t="s">
        <v>476</v>
      </c>
      <c r="I545">
        <v>-13.65</v>
      </c>
      <c r="J545">
        <v>32.566666669999996</v>
      </c>
      <c r="K545">
        <v>200</v>
      </c>
      <c r="AV545" t="s">
        <v>1180</v>
      </c>
      <c r="AW545">
        <v>100</v>
      </c>
      <c r="AX545" t="s">
        <v>866</v>
      </c>
      <c r="AY545" s="5">
        <v>8</v>
      </c>
      <c r="AZ545" t="s">
        <v>1181</v>
      </c>
      <c r="BA545">
        <v>1999</v>
      </c>
      <c r="BB545">
        <v>2007</v>
      </c>
      <c r="BD545" t="s">
        <v>1182</v>
      </c>
      <c r="BE545" t="s">
        <v>536</v>
      </c>
      <c r="BF545" t="s">
        <v>484</v>
      </c>
      <c r="BG545" t="s">
        <v>485</v>
      </c>
      <c r="BH545" t="s">
        <v>1183</v>
      </c>
      <c r="BI545" t="s">
        <v>486</v>
      </c>
      <c r="BJ545">
        <v>44440</v>
      </c>
      <c r="BK545" t="s">
        <v>555</v>
      </c>
      <c r="BL545" t="s">
        <v>1184</v>
      </c>
      <c r="BM545" t="s">
        <v>480</v>
      </c>
      <c r="BN545" t="s">
        <v>486</v>
      </c>
      <c r="BO545">
        <v>10000</v>
      </c>
      <c r="FQ545" s="9"/>
      <c r="FR545" s="9"/>
      <c r="FS545" s="9"/>
      <c r="FT545" s="9"/>
      <c r="FU545" s="9"/>
      <c r="FV545" s="9"/>
      <c r="FW545" s="9"/>
      <c r="FX545" s="9"/>
      <c r="FY545" s="9"/>
      <c r="FZ545" s="9"/>
      <c r="GA545" s="9"/>
      <c r="GB545" s="9"/>
      <c r="GC545" s="9"/>
      <c r="GD545" s="9"/>
      <c r="GE545" s="9"/>
      <c r="GF545" s="9"/>
      <c r="GG545" s="9"/>
      <c r="GH545" s="9"/>
      <c r="GI545" s="9"/>
      <c r="GJ545" s="9"/>
      <c r="GK545" s="9"/>
      <c r="GL545" s="9"/>
      <c r="GM545" s="9"/>
      <c r="GN545" s="9"/>
      <c r="GO545" s="9"/>
      <c r="GP545" s="9"/>
      <c r="GQ545" s="9"/>
      <c r="GR545" s="9"/>
      <c r="GS545" s="9"/>
      <c r="GT545" s="9"/>
      <c r="GU545" s="9"/>
      <c r="GV545" s="9"/>
      <c r="GW545" s="9"/>
      <c r="GX545" s="9"/>
      <c r="GY545" s="9"/>
      <c r="GZ545" s="9"/>
      <c r="HA545" s="9"/>
      <c r="HB545" s="9"/>
      <c r="HC545" s="9"/>
      <c r="HD545" s="9"/>
      <c r="HE545" s="9"/>
      <c r="HF545" s="9"/>
      <c r="HG545" s="9"/>
      <c r="HH545" s="9"/>
      <c r="HI545" s="9"/>
      <c r="HJ545" s="9"/>
      <c r="HK545" s="9"/>
      <c r="HL545" s="9"/>
      <c r="HT545" s="50">
        <v>36495</v>
      </c>
      <c r="IO545" t="s">
        <v>1182</v>
      </c>
      <c r="IP545" s="46" t="s">
        <v>1185</v>
      </c>
      <c r="IS545">
        <v>1999</v>
      </c>
      <c r="IU545" s="4" t="s">
        <v>1186</v>
      </c>
      <c r="JL545" s="8" t="s">
        <v>1187</v>
      </c>
      <c r="KE545" t="s">
        <v>1188</v>
      </c>
      <c r="KF545" s="75" t="s">
        <v>1001</v>
      </c>
      <c r="MY545" t="s">
        <v>1189</v>
      </c>
      <c r="MZ545">
        <v>6.25E-2</v>
      </c>
      <c r="NA545" t="s">
        <v>1210</v>
      </c>
      <c r="NB545" t="s">
        <v>1211</v>
      </c>
      <c r="NG545" t="s">
        <v>480</v>
      </c>
      <c r="NH545" t="s">
        <v>711</v>
      </c>
      <c r="NJ545" t="s">
        <v>689</v>
      </c>
      <c r="NL545" t="s">
        <v>689</v>
      </c>
      <c r="NV545" t="s">
        <v>518</v>
      </c>
      <c r="NW545">
        <v>1.6519174000000001</v>
      </c>
      <c r="NX545" s="220" t="s">
        <v>1192</v>
      </c>
      <c r="NY545">
        <v>1.06</v>
      </c>
      <c r="OB545">
        <v>9</v>
      </c>
      <c r="OU545" t="s">
        <v>1212</v>
      </c>
      <c r="OX545">
        <v>2006</v>
      </c>
      <c r="OZ545" t="s">
        <v>1194</v>
      </c>
      <c r="PB545" t="s">
        <v>522</v>
      </c>
      <c r="PC545" s="50">
        <v>46120</v>
      </c>
    </row>
    <row r="546" spans="1:419" ht="15.75" thickBot="1">
      <c r="A546" t="s">
        <v>665</v>
      </c>
      <c r="B546" t="s">
        <v>1176</v>
      </c>
      <c r="C546" t="s">
        <v>1177</v>
      </c>
      <c r="D546" s="4" t="s">
        <v>950</v>
      </c>
      <c r="E546" t="s">
        <v>1178</v>
      </c>
      <c r="F546" t="s">
        <v>1179</v>
      </c>
      <c r="G546" t="s">
        <v>475</v>
      </c>
      <c r="H546" t="s">
        <v>476</v>
      </c>
      <c r="I546">
        <v>-13.65</v>
      </c>
      <c r="J546">
        <v>32.566666669999996</v>
      </c>
      <c r="K546">
        <v>200</v>
      </c>
      <c r="AV546" t="s">
        <v>1180</v>
      </c>
      <c r="AW546">
        <v>100</v>
      </c>
      <c r="AX546" t="s">
        <v>866</v>
      </c>
      <c r="AY546" s="5">
        <v>8</v>
      </c>
      <c r="AZ546" t="s">
        <v>1181</v>
      </c>
      <c r="BA546">
        <v>1999</v>
      </c>
      <c r="BB546">
        <v>2007</v>
      </c>
      <c r="BD546" t="s">
        <v>1195</v>
      </c>
      <c r="BE546" t="s">
        <v>566</v>
      </c>
      <c r="BF546" t="s">
        <v>484</v>
      </c>
      <c r="BG546" t="s">
        <v>485</v>
      </c>
      <c r="BH546" t="s">
        <v>1183</v>
      </c>
      <c r="BI546" t="s">
        <v>486</v>
      </c>
      <c r="BJ546">
        <v>44440</v>
      </c>
      <c r="BK546" t="s">
        <v>555</v>
      </c>
      <c r="BL546" t="s">
        <v>1184</v>
      </c>
      <c r="BM546" t="s">
        <v>480</v>
      </c>
      <c r="BN546" t="s">
        <v>486</v>
      </c>
      <c r="BO546">
        <v>5000</v>
      </c>
      <c r="BP546" t="s">
        <v>537</v>
      </c>
      <c r="ED546" t="s">
        <v>676</v>
      </c>
      <c r="EE546" t="s">
        <v>486</v>
      </c>
      <c r="EF546">
        <v>5000</v>
      </c>
      <c r="FQ546" s="9"/>
      <c r="FR546" s="9"/>
      <c r="FS546" s="9"/>
      <c r="FT546" s="9"/>
      <c r="FU546" s="9"/>
      <c r="FV546" s="9"/>
      <c r="FW546" s="9"/>
      <c r="FX546" s="9"/>
      <c r="FY546" s="9"/>
      <c r="FZ546" s="9"/>
      <c r="GA546" s="9"/>
      <c r="GB546" s="9"/>
      <c r="GC546" s="9"/>
      <c r="GD546" s="9"/>
      <c r="GE546" s="9"/>
      <c r="GF546" s="9"/>
      <c r="GG546" s="9"/>
      <c r="GH546" s="9"/>
      <c r="GI546" s="9"/>
      <c r="GJ546" s="9"/>
      <c r="GK546" s="9"/>
      <c r="GL546" s="9"/>
      <c r="GM546" s="9"/>
      <c r="GN546" s="9"/>
      <c r="GO546" s="9"/>
      <c r="GP546" s="9"/>
      <c r="GQ546" s="9"/>
      <c r="GR546" s="9"/>
      <c r="GS546" s="9"/>
      <c r="GT546" s="9"/>
      <c r="GU546" s="9"/>
      <c r="GV546" s="9"/>
      <c r="GW546" s="9"/>
      <c r="GX546" s="9"/>
      <c r="GY546" s="9"/>
      <c r="GZ546" s="9"/>
      <c r="HA546" s="9"/>
      <c r="HB546" s="9"/>
      <c r="HC546" s="9"/>
      <c r="HD546" s="9"/>
      <c r="HE546" s="9"/>
      <c r="HF546" s="9"/>
      <c r="HG546" s="9"/>
      <c r="HH546" s="9"/>
      <c r="HI546" s="9"/>
      <c r="HJ546" s="9"/>
      <c r="HK546" s="9"/>
      <c r="HL546" s="9"/>
      <c r="HT546" s="50">
        <v>36495</v>
      </c>
      <c r="IO546" t="s">
        <v>1195</v>
      </c>
      <c r="IP546" s="75" t="s">
        <v>679</v>
      </c>
      <c r="IS546">
        <v>1999</v>
      </c>
      <c r="IU546" s="4" t="s">
        <v>1186</v>
      </c>
      <c r="JL546" s="8" t="s">
        <v>1187</v>
      </c>
      <c r="KE546" t="s">
        <v>1188</v>
      </c>
      <c r="KF546" s="75" t="s">
        <v>1001</v>
      </c>
      <c r="MY546" t="s">
        <v>1189</v>
      </c>
      <c r="MZ546">
        <v>6.25E-2</v>
      </c>
      <c r="NA546" t="s">
        <v>1210</v>
      </c>
      <c r="NB546" t="s">
        <v>1211</v>
      </c>
      <c r="NG546" t="s">
        <v>480</v>
      </c>
      <c r="NH546" t="s">
        <v>711</v>
      </c>
      <c r="NJ546" t="s">
        <v>689</v>
      </c>
      <c r="NL546" t="s">
        <v>689</v>
      </c>
      <c r="NV546" t="s">
        <v>518</v>
      </c>
      <c r="NW546">
        <v>13.569321499999999</v>
      </c>
      <c r="NX546" s="220" t="s">
        <v>1192</v>
      </c>
      <c r="NY546">
        <v>5.13</v>
      </c>
      <c r="OB546">
        <v>9</v>
      </c>
      <c r="OU546" t="s">
        <v>1212</v>
      </c>
      <c r="OX546">
        <v>2006</v>
      </c>
      <c r="OZ546" t="s">
        <v>1194</v>
      </c>
      <c r="PB546" t="s">
        <v>522</v>
      </c>
      <c r="PC546" s="50">
        <v>46120</v>
      </c>
    </row>
    <row r="547" spans="1:419" ht="15.75" thickBot="1">
      <c r="A547" t="s">
        <v>665</v>
      </c>
      <c r="B547" t="s">
        <v>1176</v>
      </c>
      <c r="C547" t="s">
        <v>1177</v>
      </c>
      <c r="D547" s="4" t="s">
        <v>950</v>
      </c>
      <c r="E547" t="s">
        <v>1178</v>
      </c>
      <c r="F547" t="s">
        <v>1179</v>
      </c>
      <c r="G547" t="s">
        <v>475</v>
      </c>
      <c r="H547" t="s">
        <v>476</v>
      </c>
      <c r="I547">
        <v>-13.65</v>
      </c>
      <c r="J547">
        <v>32.566666669999996</v>
      </c>
      <c r="K547">
        <v>200</v>
      </c>
      <c r="AV547" t="s">
        <v>1180</v>
      </c>
      <c r="AW547">
        <v>100</v>
      </c>
      <c r="AX547" t="s">
        <v>866</v>
      </c>
      <c r="AY547" s="5">
        <v>8</v>
      </c>
      <c r="AZ547" t="s">
        <v>1181</v>
      </c>
      <c r="BA547">
        <v>1999</v>
      </c>
      <c r="BB547">
        <v>2007</v>
      </c>
      <c r="BD547" t="s">
        <v>1196</v>
      </c>
      <c r="BE547" t="s">
        <v>572</v>
      </c>
      <c r="BF547" t="s">
        <v>484</v>
      </c>
      <c r="BG547" t="s">
        <v>485</v>
      </c>
      <c r="BH547" t="s">
        <v>1183</v>
      </c>
      <c r="BI547" t="s">
        <v>486</v>
      </c>
      <c r="BJ547">
        <v>44440</v>
      </c>
      <c r="BK547" t="s">
        <v>555</v>
      </c>
      <c r="ED547" t="s">
        <v>1197</v>
      </c>
      <c r="EE547" t="s">
        <v>486</v>
      </c>
      <c r="EF547">
        <v>10000</v>
      </c>
      <c r="FQ547" s="9"/>
      <c r="FR547" s="9"/>
      <c r="FS547" s="9"/>
      <c r="FT547" s="9"/>
      <c r="FU547" s="9"/>
      <c r="FV547" s="9"/>
      <c r="FW547" s="9"/>
      <c r="FX547" s="9"/>
      <c r="FY547" s="9"/>
      <c r="FZ547" s="9"/>
      <c r="GA547" s="9"/>
      <c r="GB547" s="9"/>
      <c r="GC547" s="9"/>
      <c r="GD547" s="9"/>
      <c r="GE547" s="9"/>
      <c r="GF547" s="9"/>
      <c r="GG547" s="9"/>
      <c r="GH547" s="9"/>
      <c r="GI547" s="9"/>
      <c r="GJ547" s="9"/>
      <c r="GK547" s="9"/>
      <c r="GL547" s="9"/>
      <c r="GM547" s="9"/>
      <c r="GN547" s="9"/>
      <c r="GO547" s="9"/>
      <c r="GP547" s="9"/>
      <c r="GQ547" s="9"/>
      <c r="GR547" s="9"/>
      <c r="GS547" s="9"/>
      <c r="GT547" s="9"/>
      <c r="GU547" s="9"/>
      <c r="GV547" s="9"/>
      <c r="GW547" s="9"/>
      <c r="GX547" s="9"/>
      <c r="GY547" s="9"/>
      <c r="GZ547" s="9"/>
      <c r="HA547" s="9"/>
      <c r="HB547" s="9"/>
      <c r="HC547" s="9"/>
      <c r="HD547" s="9"/>
      <c r="HE547" s="9"/>
      <c r="HF547" s="9"/>
      <c r="HG547" s="9"/>
      <c r="HH547" s="9"/>
      <c r="HI547" s="9"/>
      <c r="HJ547" s="9"/>
      <c r="HK547" s="9"/>
      <c r="HL547" s="9"/>
      <c r="HT547" s="50">
        <v>36495</v>
      </c>
      <c r="IO547" t="s">
        <v>1196</v>
      </c>
      <c r="IP547" s="75" t="s">
        <v>679</v>
      </c>
      <c r="IS547">
        <v>1999</v>
      </c>
      <c r="IU547" s="4" t="s">
        <v>1186</v>
      </c>
      <c r="JL547" s="8" t="s">
        <v>1187</v>
      </c>
      <c r="KE547" t="s">
        <v>1188</v>
      </c>
      <c r="KF547" s="75" t="s">
        <v>1001</v>
      </c>
      <c r="MY547" t="s">
        <v>1189</v>
      </c>
      <c r="MZ547">
        <v>6.25E-2</v>
      </c>
      <c r="NA547" t="s">
        <v>1210</v>
      </c>
      <c r="NB547" t="s">
        <v>1211</v>
      </c>
      <c r="NG547" t="s">
        <v>480</v>
      </c>
      <c r="NH547" t="s">
        <v>711</v>
      </c>
      <c r="NJ547" t="s">
        <v>689</v>
      </c>
      <c r="NL547" t="s">
        <v>689</v>
      </c>
      <c r="NV547" t="s">
        <v>518</v>
      </c>
      <c r="NW547">
        <v>7.0206489699999999</v>
      </c>
      <c r="NX547" s="220" t="s">
        <v>1192</v>
      </c>
      <c r="NY547">
        <v>2.0099999999999998</v>
      </c>
      <c r="OB547">
        <v>9</v>
      </c>
      <c r="OU547" t="s">
        <v>1212</v>
      </c>
      <c r="OX547">
        <v>2006</v>
      </c>
      <c r="OZ547" t="s">
        <v>1194</v>
      </c>
      <c r="PB547" t="s">
        <v>522</v>
      </c>
      <c r="PC547" s="50">
        <v>46120</v>
      </c>
    </row>
    <row r="548" spans="1:419" ht="15.75" thickBot="1">
      <c r="A548" t="s">
        <v>665</v>
      </c>
      <c r="B548" t="s">
        <v>1176</v>
      </c>
      <c r="C548" t="s">
        <v>1177</v>
      </c>
      <c r="D548" s="4" t="s">
        <v>950</v>
      </c>
      <c r="E548" t="s">
        <v>1178</v>
      </c>
      <c r="F548" t="s">
        <v>1179</v>
      </c>
      <c r="G548" t="s">
        <v>475</v>
      </c>
      <c r="H548" t="s">
        <v>476</v>
      </c>
      <c r="I548">
        <v>-13.65</v>
      </c>
      <c r="J548">
        <v>32.566666669999996</v>
      </c>
      <c r="K548">
        <v>200</v>
      </c>
      <c r="AV548" t="s">
        <v>1180</v>
      </c>
      <c r="AW548">
        <v>100</v>
      </c>
      <c r="AX548" t="s">
        <v>866</v>
      </c>
      <c r="AY548" s="5">
        <v>8</v>
      </c>
      <c r="AZ548" t="s">
        <v>1181</v>
      </c>
      <c r="BA548">
        <v>1999</v>
      </c>
      <c r="BB548">
        <v>2007</v>
      </c>
      <c r="BD548" t="s">
        <v>1198</v>
      </c>
      <c r="BE548" t="s">
        <v>553</v>
      </c>
      <c r="BF548" t="s">
        <v>484</v>
      </c>
      <c r="BG548" t="s">
        <v>485</v>
      </c>
      <c r="BH548" t="s">
        <v>1183</v>
      </c>
      <c r="BI548" t="s">
        <v>486</v>
      </c>
      <c r="BJ548">
        <v>44440</v>
      </c>
      <c r="BK548" t="s">
        <v>555</v>
      </c>
      <c r="ED548" t="s">
        <v>676</v>
      </c>
      <c r="EE548" t="s">
        <v>486</v>
      </c>
      <c r="EF548">
        <v>5000</v>
      </c>
      <c r="EG548" t="s">
        <v>537</v>
      </c>
      <c r="EH548" t="s">
        <v>1197</v>
      </c>
      <c r="EI548" t="s">
        <v>486</v>
      </c>
      <c r="EJ548">
        <v>5000</v>
      </c>
      <c r="FQ548" s="9"/>
      <c r="FR548" s="9"/>
      <c r="FS548" s="9"/>
      <c r="FT548" s="9"/>
      <c r="FU548" s="9"/>
      <c r="FV548" s="9"/>
      <c r="FW548" s="9"/>
      <c r="FX548" s="9"/>
      <c r="FY548" s="9"/>
      <c r="FZ548" s="9"/>
      <c r="GA548" s="9"/>
      <c r="GB548" s="9"/>
      <c r="GC548" s="9"/>
      <c r="GD548" s="9"/>
      <c r="GE548" s="9"/>
      <c r="GF548" s="9"/>
      <c r="GG548" s="9"/>
      <c r="GH548" s="9"/>
      <c r="GI548" s="9"/>
      <c r="GJ548" s="9"/>
      <c r="GK548" s="9"/>
      <c r="GL548" s="9"/>
      <c r="GM548" s="9"/>
      <c r="GN548" s="9"/>
      <c r="GO548" s="9"/>
      <c r="GP548" s="9"/>
      <c r="GQ548" s="9"/>
      <c r="GR548" s="9"/>
      <c r="GS548" s="9"/>
      <c r="GT548" s="9"/>
      <c r="GU548" s="9"/>
      <c r="GV548" s="9"/>
      <c r="GW548" s="9"/>
      <c r="GX548" s="9"/>
      <c r="GY548" s="9"/>
      <c r="GZ548" s="9"/>
      <c r="HA548" s="9"/>
      <c r="HB548" s="9"/>
      <c r="HC548" s="9"/>
      <c r="HD548" s="9"/>
      <c r="HE548" s="9"/>
      <c r="HF548" s="9"/>
      <c r="HG548" s="9"/>
      <c r="HH548" s="9"/>
      <c r="HI548" s="9"/>
      <c r="HJ548" s="9"/>
      <c r="HK548" s="9"/>
      <c r="HL548" s="9"/>
      <c r="HT548" s="50">
        <v>36495</v>
      </c>
      <c r="IO548" t="s">
        <v>1198</v>
      </c>
      <c r="IP548" s="75" t="s">
        <v>679</v>
      </c>
      <c r="IS548">
        <v>1999</v>
      </c>
      <c r="IU548" s="4" t="s">
        <v>1186</v>
      </c>
      <c r="JL548" s="8" t="s">
        <v>1187</v>
      </c>
      <c r="KE548" t="s">
        <v>1188</v>
      </c>
      <c r="KF548" s="75" t="s">
        <v>1001</v>
      </c>
      <c r="MY548" t="s">
        <v>1189</v>
      </c>
      <c r="MZ548">
        <v>6.25E-2</v>
      </c>
      <c r="NA548" t="s">
        <v>1210</v>
      </c>
      <c r="NB548" t="s">
        <v>1211</v>
      </c>
      <c r="NG548" t="s">
        <v>480</v>
      </c>
      <c r="NH548" t="s">
        <v>711</v>
      </c>
      <c r="NJ548" t="s">
        <v>689</v>
      </c>
      <c r="NL548" t="s">
        <v>689</v>
      </c>
      <c r="NV548" t="s">
        <v>518</v>
      </c>
      <c r="NW548">
        <v>5.0147492600000003</v>
      </c>
      <c r="NX548" s="220" t="s">
        <v>1192</v>
      </c>
      <c r="NY548">
        <v>1.65</v>
      </c>
      <c r="OB548">
        <v>9</v>
      </c>
      <c r="OU548" t="s">
        <v>1212</v>
      </c>
      <c r="OX548">
        <v>2006</v>
      </c>
      <c r="OZ548" t="s">
        <v>1194</v>
      </c>
      <c r="PB548" t="s">
        <v>522</v>
      </c>
      <c r="PC548" s="50">
        <v>46120</v>
      </c>
    </row>
    <row r="549" spans="1:419" ht="15.75" thickBot="1">
      <c r="A549" t="s">
        <v>665</v>
      </c>
      <c r="B549" t="s">
        <v>1176</v>
      </c>
      <c r="C549" t="s">
        <v>1177</v>
      </c>
      <c r="D549" s="4" t="s">
        <v>950</v>
      </c>
      <c r="E549" t="s">
        <v>1178</v>
      </c>
      <c r="F549" t="s">
        <v>1179</v>
      </c>
      <c r="G549" t="s">
        <v>475</v>
      </c>
      <c r="H549" t="s">
        <v>476</v>
      </c>
      <c r="I549">
        <v>-13.65</v>
      </c>
      <c r="J549">
        <v>32.566666669999996</v>
      </c>
      <c r="K549">
        <v>200</v>
      </c>
      <c r="AV549" t="s">
        <v>1180</v>
      </c>
      <c r="AW549">
        <v>100</v>
      </c>
      <c r="AX549" t="s">
        <v>866</v>
      </c>
      <c r="AY549" s="5">
        <v>8</v>
      </c>
      <c r="AZ549" t="s">
        <v>1181</v>
      </c>
      <c r="BA549">
        <v>1999</v>
      </c>
      <c r="BB549">
        <v>2007</v>
      </c>
      <c r="BD549" t="s">
        <v>1199</v>
      </c>
      <c r="BE549" t="s">
        <v>607</v>
      </c>
      <c r="BF549" t="s">
        <v>484</v>
      </c>
      <c r="BG549" t="s">
        <v>485</v>
      </c>
      <c r="BH549" t="s">
        <v>1183</v>
      </c>
      <c r="BI549" t="s">
        <v>486</v>
      </c>
      <c r="BJ549">
        <v>44440</v>
      </c>
      <c r="BK549" t="s">
        <v>555</v>
      </c>
      <c r="ED549" t="s">
        <v>676</v>
      </c>
      <c r="EE549" t="s">
        <v>486</v>
      </c>
      <c r="EF549">
        <v>10000</v>
      </c>
      <c r="FQ549" s="9"/>
      <c r="FR549" s="9"/>
      <c r="FS549" s="9"/>
      <c r="FT549" s="9"/>
      <c r="FU549" s="9"/>
      <c r="FV549" s="9"/>
      <c r="FW549" s="9"/>
      <c r="FX549" s="9"/>
      <c r="FY549" s="9"/>
      <c r="FZ549" s="9"/>
      <c r="GA549" s="9"/>
      <c r="GB549" s="9"/>
      <c r="GC549" s="9"/>
      <c r="GD549" s="9"/>
      <c r="GE549" s="9"/>
      <c r="GF549" s="9"/>
      <c r="GG549" s="9"/>
      <c r="GH549" s="9"/>
      <c r="GI549" s="9"/>
      <c r="GJ549" s="9"/>
      <c r="GK549" s="9"/>
      <c r="GL549" s="9"/>
      <c r="GM549" s="9"/>
      <c r="GN549" s="9"/>
      <c r="GO549" s="9"/>
      <c r="GP549" s="9"/>
      <c r="GQ549" s="9"/>
      <c r="GR549" s="9"/>
      <c r="GS549" s="9"/>
      <c r="GT549" s="9"/>
      <c r="GU549" s="9"/>
      <c r="GV549" s="9"/>
      <c r="GW549" s="9"/>
      <c r="GX549" s="9"/>
      <c r="GY549" s="9"/>
      <c r="GZ549" s="9"/>
      <c r="HA549" s="9"/>
      <c r="HB549" s="9"/>
      <c r="HC549" s="9"/>
      <c r="HD549" s="9"/>
      <c r="HE549" s="9"/>
      <c r="HF549" s="9"/>
      <c r="HG549" s="9"/>
      <c r="HH549" s="9"/>
      <c r="HI549" s="9"/>
      <c r="HJ549" s="9"/>
      <c r="HK549" s="9"/>
      <c r="HL549" s="9"/>
      <c r="HT549" s="50">
        <v>36495</v>
      </c>
      <c r="IO549" t="s">
        <v>1199</v>
      </c>
      <c r="IP549" s="75" t="s">
        <v>679</v>
      </c>
      <c r="IS549">
        <v>1999</v>
      </c>
      <c r="IU549" s="4" t="s">
        <v>1186</v>
      </c>
      <c r="JL549" s="8" t="s">
        <v>1187</v>
      </c>
      <c r="KE549" t="s">
        <v>1188</v>
      </c>
      <c r="KF549" s="75" t="s">
        <v>1001</v>
      </c>
      <c r="MY549" t="s">
        <v>1189</v>
      </c>
      <c r="MZ549">
        <v>6.25E-2</v>
      </c>
      <c r="NA549" t="s">
        <v>1210</v>
      </c>
      <c r="NB549" t="s">
        <v>1211</v>
      </c>
      <c r="NG549" t="s">
        <v>480</v>
      </c>
      <c r="NH549" t="s">
        <v>711</v>
      </c>
      <c r="NJ549" t="s">
        <v>689</v>
      </c>
      <c r="NL549" t="s">
        <v>689</v>
      </c>
      <c r="NV549" t="s">
        <v>518</v>
      </c>
      <c r="NW549">
        <v>2.4188790600000001</v>
      </c>
      <c r="NX549" s="220" t="s">
        <v>1192</v>
      </c>
      <c r="NY549">
        <v>1.59</v>
      </c>
      <c r="OB549">
        <v>9</v>
      </c>
      <c r="OU549" t="s">
        <v>1212</v>
      </c>
      <c r="OX549">
        <v>2006</v>
      </c>
      <c r="OZ549" t="s">
        <v>1194</v>
      </c>
      <c r="PB549" t="s">
        <v>522</v>
      </c>
      <c r="PC549" s="50">
        <v>46120</v>
      </c>
    </row>
    <row r="550" spans="1:419" ht="15.75" thickBot="1">
      <c r="A550" t="s">
        <v>665</v>
      </c>
      <c r="B550" t="s">
        <v>1176</v>
      </c>
      <c r="C550" t="s">
        <v>1177</v>
      </c>
      <c r="D550" s="4" t="s">
        <v>950</v>
      </c>
      <c r="E550" t="s">
        <v>1178</v>
      </c>
      <c r="F550" t="s">
        <v>1179</v>
      </c>
      <c r="G550" t="s">
        <v>475</v>
      </c>
      <c r="H550" t="s">
        <v>476</v>
      </c>
      <c r="I550">
        <v>-13.65</v>
      </c>
      <c r="J550">
        <v>32.566666669999996</v>
      </c>
      <c r="K550">
        <v>200</v>
      </c>
      <c r="AV550" t="s">
        <v>1180</v>
      </c>
      <c r="AW550">
        <v>100</v>
      </c>
      <c r="AX550" t="s">
        <v>866</v>
      </c>
      <c r="AY550" s="5">
        <v>8</v>
      </c>
      <c r="AZ550" t="s">
        <v>1181</v>
      </c>
      <c r="BA550">
        <v>1999</v>
      </c>
      <c r="BB550">
        <v>2007</v>
      </c>
      <c r="BD550" t="s">
        <v>1200</v>
      </c>
      <c r="BE550" t="s">
        <v>611</v>
      </c>
      <c r="BF550" t="s">
        <v>484</v>
      </c>
      <c r="BG550" t="s">
        <v>485</v>
      </c>
      <c r="BH550" t="s">
        <v>1183</v>
      </c>
      <c r="BI550" t="s">
        <v>486</v>
      </c>
      <c r="BJ550">
        <v>44440</v>
      </c>
      <c r="BK550" t="s">
        <v>555</v>
      </c>
      <c r="FQ550" s="9"/>
      <c r="FR550" s="9"/>
      <c r="FS550" s="9"/>
      <c r="FT550" s="9"/>
      <c r="FU550" s="9"/>
      <c r="FV550" s="9"/>
      <c r="FW550" s="9"/>
      <c r="FX550" s="9"/>
      <c r="FY550" s="9"/>
      <c r="FZ550" s="9"/>
      <c r="GA550" s="9"/>
      <c r="GB550" s="9"/>
      <c r="GC550" s="9"/>
      <c r="GD550" s="9"/>
      <c r="GE550" s="9"/>
      <c r="GF550" s="9"/>
      <c r="GG550" s="9"/>
      <c r="GH550" s="9"/>
      <c r="GI550" s="9"/>
      <c r="GJ550" s="9"/>
      <c r="GK550" s="9"/>
      <c r="GL550" s="9"/>
      <c r="GM550" s="9"/>
      <c r="GN550" s="9"/>
      <c r="GO550" s="9"/>
      <c r="GP550" s="9"/>
      <c r="GQ550" s="9"/>
      <c r="GR550" s="9"/>
      <c r="GS550" s="9"/>
      <c r="GT550" s="9"/>
      <c r="GU550" s="9"/>
      <c r="GV550" s="9"/>
      <c r="GW550" s="9"/>
      <c r="GX550" s="9"/>
      <c r="GY550" s="9"/>
      <c r="GZ550" s="9"/>
      <c r="HA550" s="9"/>
      <c r="HB550" s="9"/>
      <c r="HC550" s="9"/>
      <c r="HD550" s="9"/>
      <c r="HE550" s="9"/>
      <c r="HF550" s="9"/>
      <c r="HG550" s="9"/>
      <c r="HH550" s="9"/>
      <c r="HI550" s="9"/>
      <c r="HJ550" s="9"/>
      <c r="HK550" s="9"/>
      <c r="HL550" s="9"/>
      <c r="HT550" s="50">
        <v>36495</v>
      </c>
      <c r="IO550" t="s">
        <v>1201</v>
      </c>
      <c r="IP550" s="46" t="s">
        <v>1185</v>
      </c>
      <c r="IS550">
        <v>1999</v>
      </c>
      <c r="IU550" s="4" t="s">
        <v>1186</v>
      </c>
      <c r="JL550" s="8" t="s">
        <v>1187</v>
      </c>
      <c r="KE550" t="s">
        <v>1188</v>
      </c>
      <c r="KF550" s="75" t="s">
        <v>1001</v>
      </c>
      <c r="MY550" t="s">
        <v>1189</v>
      </c>
      <c r="MZ550">
        <v>6.25E-2</v>
      </c>
      <c r="NA550" t="s">
        <v>1210</v>
      </c>
      <c r="NB550" t="s">
        <v>1211</v>
      </c>
      <c r="NG550" t="s">
        <v>480</v>
      </c>
      <c r="NH550" t="s">
        <v>711</v>
      </c>
      <c r="NJ550" t="s">
        <v>689</v>
      </c>
      <c r="NL550" t="s">
        <v>689</v>
      </c>
      <c r="NV550" t="s">
        <v>518</v>
      </c>
      <c r="NW550">
        <v>12.0943953</v>
      </c>
      <c r="NX550" s="220" t="s">
        <v>1192</v>
      </c>
      <c r="NY550">
        <v>5.66</v>
      </c>
      <c r="OB550">
        <v>9</v>
      </c>
      <c r="OU550" t="s">
        <v>1212</v>
      </c>
      <c r="OX550">
        <v>2006</v>
      </c>
      <c r="OZ550" t="s">
        <v>1194</v>
      </c>
      <c r="PB550" t="s">
        <v>522</v>
      </c>
      <c r="PC550" s="50">
        <v>46120</v>
      </c>
    </row>
    <row r="551" spans="1:419" ht="15.75" thickBot="1">
      <c r="A551" t="s">
        <v>665</v>
      </c>
      <c r="B551" t="s">
        <v>1176</v>
      </c>
      <c r="C551" t="s">
        <v>1177</v>
      </c>
      <c r="D551" s="4" t="s">
        <v>950</v>
      </c>
      <c r="E551" t="s">
        <v>1178</v>
      </c>
      <c r="F551" t="s">
        <v>1179</v>
      </c>
      <c r="G551" t="s">
        <v>475</v>
      </c>
      <c r="H551" t="s">
        <v>476</v>
      </c>
      <c r="I551">
        <v>-13.65</v>
      </c>
      <c r="J551">
        <v>32.566666669999996</v>
      </c>
      <c r="K551">
        <v>200</v>
      </c>
      <c r="AV551" t="s">
        <v>1180</v>
      </c>
      <c r="AW551">
        <v>100</v>
      </c>
      <c r="AX551" t="s">
        <v>866</v>
      </c>
      <c r="AY551" s="5">
        <v>8</v>
      </c>
      <c r="AZ551" t="s">
        <v>1181</v>
      </c>
      <c r="BA551">
        <v>1999</v>
      </c>
      <c r="BB551">
        <v>2007</v>
      </c>
      <c r="BD551" t="s">
        <v>1202</v>
      </c>
      <c r="BE551" t="s">
        <v>524</v>
      </c>
      <c r="BF551" t="s">
        <v>484</v>
      </c>
      <c r="BG551" t="s">
        <v>485</v>
      </c>
      <c r="BH551" t="s">
        <v>1183</v>
      </c>
      <c r="BI551" t="s">
        <v>486</v>
      </c>
      <c r="BJ551">
        <v>44440</v>
      </c>
      <c r="FQ551" s="9"/>
      <c r="FR551" s="9"/>
      <c r="FS551" s="9"/>
      <c r="FT551" s="9"/>
      <c r="FU551" s="9"/>
      <c r="FV551" s="9"/>
      <c r="FW551" s="9"/>
      <c r="FX551" s="9"/>
      <c r="FY551" s="9"/>
      <c r="FZ551" s="9"/>
      <c r="GA551" s="9"/>
      <c r="GB551" s="9"/>
      <c r="GC551" s="9"/>
      <c r="GD551" s="9"/>
      <c r="GE551" s="9"/>
      <c r="GF551" s="9"/>
      <c r="GG551" s="9"/>
      <c r="GH551" s="9"/>
      <c r="GI551" s="9"/>
      <c r="GJ551" s="9"/>
      <c r="GK551" s="9"/>
      <c r="GL551" s="9"/>
      <c r="GM551" s="9"/>
      <c r="GN551" s="9"/>
      <c r="GO551" s="9"/>
      <c r="GP551" s="9"/>
      <c r="GQ551" s="9"/>
      <c r="GR551" s="9"/>
      <c r="GS551" s="9"/>
      <c r="GT551" s="9"/>
      <c r="GU551" s="9"/>
      <c r="GV551" s="9"/>
      <c r="GW551" s="9"/>
      <c r="GX551" s="9"/>
      <c r="GY551" s="9"/>
      <c r="GZ551" s="9"/>
      <c r="HA551" s="9"/>
      <c r="HB551" s="9"/>
      <c r="HC551" s="9"/>
      <c r="HD551" s="9"/>
      <c r="HE551" s="9"/>
      <c r="HF551" s="9"/>
      <c r="HG551" s="9"/>
      <c r="HH551" s="9"/>
      <c r="HI551" s="9"/>
      <c r="HJ551" s="9"/>
      <c r="HK551" s="9"/>
      <c r="HL551" s="9"/>
      <c r="HT551" s="50">
        <v>36495</v>
      </c>
      <c r="IO551" t="s">
        <v>1203</v>
      </c>
      <c r="IP551" t="s">
        <v>492</v>
      </c>
      <c r="IS551">
        <v>1999</v>
      </c>
      <c r="JL551" t="s">
        <v>495</v>
      </c>
      <c r="JM551" t="s">
        <v>1204</v>
      </c>
      <c r="JN551" t="s">
        <v>497</v>
      </c>
      <c r="JO551" t="s">
        <v>1205</v>
      </c>
      <c r="JP551" t="s">
        <v>508</v>
      </c>
      <c r="JQ551" t="s">
        <v>1206</v>
      </c>
      <c r="JR551">
        <v>90</v>
      </c>
      <c r="JS551">
        <v>80</v>
      </c>
      <c r="KE551" t="s">
        <v>1188</v>
      </c>
      <c r="KF551" s="75" t="s">
        <v>1001</v>
      </c>
      <c r="MY551" t="s">
        <v>1189</v>
      </c>
      <c r="MZ551">
        <v>6.25E-2</v>
      </c>
      <c r="NA551" t="s">
        <v>1210</v>
      </c>
      <c r="NB551" t="s">
        <v>1211</v>
      </c>
      <c r="NG551" t="s">
        <v>480</v>
      </c>
      <c r="NH551" t="s">
        <v>711</v>
      </c>
      <c r="NJ551" t="s">
        <v>689</v>
      </c>
      <c r="NL551" t="s">
        <v>689</v>
      </c>
      <c r="NU551" t="s">
        <v>1025</v>
      </c>
      <c r="NV551" t="s">
        <v>518</v>
      </c>
      <c r="NW551">
        <v>3.59882006</v>
      </c>
      <c r="NX551" s="220" t="s">
        <v>1192</v>
      </c>
      <c r="NY551">
        <v>1.53</v>
      </c>
      <c r="OB551">
        <v>9</v>
      </c>
      <c r="OU551" t="s">
        <v>1212</v>
      </c>
      <c r="OX551">
        <v>2006</v>
      </c>
      <c r="OZ551" t="s">
        <v>1194</v>
      </c>
      <c r="PB551" t="s">
        <v>522</v>
      </c>
      <c r="PC551" s="50">
        <v>46120</v>
      </c>
    </row>
    <row r="552" spans="1:419" ht="15.75" thickBot="1">
      <c r="A552" t="s">
        <v>665</v>
      </c>
      <c r="B552" t="s">
        <v>1176</v>
      </c>
      <c r="C552" t="s">
        <v>1177</v>
      </c>
      <c r="D552" s="4" t="s">
        <v>950</v>
      </c>
      <c r="E552" t="s">
        <v>1178</v>
      </c>
      <c r="F552" t="s">
        <v>1179</v>
      </c>
      <c r="G552" t="s">
        <v>475</v>
      </c>
      <c r="H552" t="s">
        <v>476</v>
      </c>
      <c r="I552">
        <v>-13.65</v>
      </c>
      <c r="J552">
        <v>32.566666669999996</v>
      </c>
      <c r="K552">
        <v>200</v>
      </c>
      <c r="AV552" t="s">
        <v>1180</v>
      </c>
      <c r="AW552">
        <v>100</v>
      </c>
      <c r="AX552" t="s">
        <v>866</v>
      </c>
      <c r="AY552" s="5">
        <v>8</v>
      </c>
      <c r="AZ552" t="s">
        <v>1181</v>
      </c>
      <c r="BA552">
        <v>1999</v>
      </c>
      <c r="BB552">
        <v>2007</v>
      </c>
      <c r="BD552" t="s">
        <v>1182</v>
      </c>
      <c r="BE552" t="s">
        <v>536</v>
      </c>
      <c r="BF552" t="s">
        <v>484</v>
      </c>
      <c r="BG552" t="s">
        <v>485</v>
      </c>
      <c r="BH552" t="s">
        <v>1183</v>
      </c>
      <c r="BI552" t="s">
        <v>486</v>
      </c>
      <c r="BJ552">
        <v>44440</v>
      </c>
      <c r="BK552" t="s">
        <v>555</v>
      </c>
      <c r="BL552" t="s">
        <v>1184</v>
      </c>
      <c r="BM552" t="s">
        <v>480</v>
      </c>
      <c r="BN552" t="s">
        <v>486</v>
      </c>
      <c r="BO552">
        <v>10000</v>
      </c>
      <c r="FM552" s="9"/>
      <c r="FN552" s="9"/>
      <c r="FO552" s="9"/>
      <c r="FP552" s="9"/>
      <c r="FQ552" s="9"/>
      <c r="FR552" s="9"/>
      <c r="FS552" s="9"/>
      <c r="FT552" s="9"/>
      <c r="FU552" s="9"/>
      <c r="FV552" s="9"/>
      <c r="FW552" s="9"/>
      <c r="FX552" s="9"/>
      <c r="FY552" s="9"/>
      <c r="FZ552" s="9"/>
      <c r="GA552" s="9"/>
      <c r="GB552" s="9"/>
      <c r="GC552" s="9"/>
      <c r="GD552" s="9"/>
      <c r="GE552" s="9"/>
      <c r="GF552" s="9"/>
      <c r="GG552" s="9"/>
      <c r="GH552" s="9"/>
      <c r="GI552" s="9"/>
      <c r="GJ552" s="9"/>
      <c r="GK552" s="9"/>
      <c r="GL552" s="9"/>
      <c r="GM552" s="9"/>
      <c r="GN552" s="9"/>
      <c r="GO552" s="9"/>
      <c r="GP552" s="9"/>
      <c r="GQ552" s="9"/>
      <c r="GR552" s="9"/>
      <c r="GS552" s="9"/>
      <c r="GT552" s="9"/>
      <c r="GU552" s="9"/>
      <c r="GV552" s="9"/>
      <c r="GW552" s="9"/>
      <c r="GX552" s="9"/>
      <c r="GY552" s="9"/>
      <c r="GZ552" s="9"/>
      <c r="HA552" s="9"/>
      <c r="HB552" s="9"/>
      <c r="HC552" s="9"/>
      <c r="HD552" s="9"/>
      <c r="HE552" s="9"/>
      <c r="HF552" s="9"/>
      <c r="HG552" s="9"/>
      <c r="HH552" s="9"/>
      <c r="HI552" s="9"/>
      <c r="HJ552" s="9"/>
      <c r="HK552" s="9"/>
      <c r="HL552" s="9"/>
      <c r="HT552" s="50">
        <v>36495</v>
      </c>
      <c r="IO552" t="s">
        <v>1182</v>
      </c>
      <c r="IP552" s="46" t="s">
        <v>1185</v>
      </c>
      <c r="IS552">
        <v>1999</v>
      </c>
      <c r="IU552" s="4" t="s">
        <v>1186</v>
      </c>
      <c r="JL552" s="8" t="s">
        <v>1187</v>
      </c>
      <c r="KE552" t="s">
        <v>1188</v>
      </c>
      <c r="KF552" s="75" t="s">
        <v>1001</v>
      </c>
      <c r="MY552" t="s">
        <v>1189</v>
      </c>
      <c r="MZ552">
        <v>6.25E-2</v>
      </c>
      <c r="NA552" t="s">
        <v>1213</v>
      </c>
      <c r="NB552" t="s">
        <v>1213</v>
      </c>
      <c r="NG552" t="s">
        <v>480</v>
      </c>
      <c r="NH552" t="s">
        <v>711</v>
      </c>
      <c r="NJ552" t="s">
        <v>689</v>
      </c>
      <c r="NL552" t="s">
        <v>689</v>
      </c>
      <c r="NV552" t="s">
        <v>518</v>
      </c>
      <c r="NW552">
        <v>1.22891566</v>
      </c>
      <c r="NX552" s="220" t="s">
        <v>1192</v>
      </c>
      <c r="NY552">
        <v>0.35</v>
      </c>
      <c r="OB552">
        <v>9</v>
      </c>
      <c r="OU552" t="s">
        <v>1214</v>
      </c>
      <c r="OX552">
        <v>2006</v>
      </c>
      <c r="OZ552" t="s">
        <v>1194</v>
      </c>
      <c r="PB552" t="s">
        <v>522</v>
      </c>
      <c r="PC552" s="50">
        <v>46120</v>
      </c>
    </row>
    <row r="553" spans="1:419" ht="15.75" thickBot="1">
      <c r="A553" t="s">
        <v>665</v>
      </c>
      <c r="B553" t="s">
        <v>1176</v>
      </c>
      <c r="C553" t="s">
        <v>1177</v>
      </c>
      <c r="D553" s="4" t="s">
        <v>950</v>
      </c>
      <c r="E553" t="s">
        <v>1178</v>
      </c>
      <c r="F553" t="s">
        <v>1179</v>
      </c>
      <c r="G553" t="s">
        <v>475</v>
      </c>
      <c r="H553" t="s">
        <v>476</v>
      </c>
      <c r="I553">
        <v>-13.65</v>
      </c>
      <c r="J553">
        <v>32.566666669999996</v>
      </c>
      <c r="K553">
        <v>200</v>
      </c>
      <c r="AV553" t="s">
        <v>1180</v>
      </c>
      <c r="AW553">
        <v>100</v>
      </c>
      <c r="AX553" t="s">
        <v>866</v>
      </c>
      <c r="AY553" s="5">
        <v>8</v>
      </c>
      <c r="AZ553" t="s">
        <v>1181</v>
      </c>
      <c r="BA553">
        <v>1999</v>
      </c>
      <c r="BB553">
        <v>2007</v>
      </c>
      <c r="BD553" t="s">
        <v>1195</v>
      </c>
      <c r="BE553" t="s">
        <v>566</v>
      </c>
      <c r="BF553" t="s">
        <v>484</v>
      </c>
      <c r="BG553" t="s">
        <v>485</v>
      </c>
      <c r="BH553" t="s">
        <v>1183</v>
      </c>
      <c r="BI553" t="s">
        <v>486</v>
      </c>
      <c r="BJ553">
        <v>44440</v>
      </c>
      <c r="BK553" t="s">
        <v>555</v>
      </c>
      <c r="BL553" t="s">
        <v>1184</v>
      </c>
      <c r="BM553" t="s">
        <v>480</v>
      </c>
      <c r="BN553" t="s">
        <v>486</v>
      </c>
      <c r="BO553">
        <v>5000</v>
      </c>
      <c r="BP553" t="s">
        <v>537</v>
      </c>
      <c r="ED553" t="s">
        <v>676</v>
      </c>
      <c r="EE553" t="s">
        <v>486</v>
      </c>
      <c r="EF553">
        <v>5000</v>
      </c>
      <c r="FM553" s="9"/>
      <c r="FN553" s="9"/>
      <c r="FO553" s="9"/>
      <c r="FP553" s="9"/>
      <c r="FQ553" s="9"/>
      <c r="FR553" s="9"/>
      <c r="FS553" s="9"/>
      <c r="FT553" s="9"/>
      <c r="FU553" s="9"/>
      <c r="FV553" s="9"/>
      <c r="FW553" s="9"/>
      <c r="FX553" s="9"/>
      <c r="FY553" s="9"/>
      <c r="FZ553" s="9"/>
      <c r="GA553" s="9"/>
      <c r="GB553" s="9"/>
      <c r="GC553" s="9"/>
      <c r="GD553" s="9"/>
      <c r="GE553" s="9"/>
      <c r="GF553" s="9"/>
      <c r="GG553" s="9"/>
      <c r="GH553" s="9"/>
      <c r="GI553" s="9"/>
      <c r="GJ553" s="9"/>
      <c r="GK553" s="9"/>
      <c r="GL553" s="9"/>
      <c r="GM553" s="9"/>
      <c r="GN553" s="9"/>
      <c r="GO553" s="9"/>
      <c r="GP553" s="9"/>
      <c r="GQ553" s="9"/>
      <c r="GR553" s="9"/>
      <c r="GS553" s="9"/>
      <c r="GT553" s="9"/>
      <c r="GU553" s="9"/>
      <c r="GV553" s="9"/>
      <c r="GW553" s="9"/>
      <c r="GX553" s="9"/>
      <c r="GY553" s="9"/>
      <c r="GZ553" s="9"/>
      <c r="HA553" s="9"/>
      <c r="HB553" s="9"/>
      <c r="HC553" s="9"/>
      <c r="HD553" s="9"/>
      <c r="HE553" s="9"/>
      <c r="HF553" s="9"/>
      <c r="HG553" s="9"/>
      <c r="HH553" s="9"/>
      <c r="HI553" s="9"/>
      <c r="HJ553" s="9"/>
      <c r="HK553" s="9"/>
      <c r="HL553" s="9"/>
      <c r="HT553" s="50">
        <v>36495</v>
      </c>
      <c r="IO553" t="s">
        <v>1195</v>
      </c>
      <c r="IP553" s="75" t="s">
        <v>679</v>
      </c>
      <c r="IS553">
        <v>1999</v>
      </c>
      <c r="IU553" s="4" t="s">
        <v>1186</v>
      </c>
      <c r="JL553" s="8" t="s">
        <v>1187</v>
      </c>
      <c r="KE553" t="s">
        <v>1188</v>
      </c>
      <c r="KF553" s="75" t="s">
        <v>1001</v>
      </c>
      <c r="MY553" t="s">
        <v>1189</v>
      </c>
      <c r="MZ553">
        <v>6.25E-2</v>
      </c>
      <c r="NA553" t="s">
        <v>1213</v>
      </c>
      <c r="NB553" t="s">
        <v>1213</v>
      </c>
      <c r="NG553" t="s">
        <v>480</v>
      </c>
      <c r="NH553" t="s">
        <v>711</v>
      </c>
      <c r="NJ553" t="s">
        <v>689</v>
      </c>
      <c r="NL553" t="s">
        <v>689</v>
      </c>
      <c r="NV553" t="s">
        <v>518</v>
      </c>
      <c r="NW553">
        <v>1.1114457799999999</v>
      </c>
      <c r="NX553" s="220" t="s">
        <v>1192</v>
      </c>
      <c r="NY553">
        <v>0.34</v>
      </c>
      <c r="OB553">
        <v>9</v>
      </c>
      <c r="OU553" t="s">
        <v>1214</v>
      </c>
      <c r="OX553">
        <v>2006</v>
      </c>
      <c r="OZ553" t="s">
        <v>1194</v>
      </c>
      <c r="PB553" t="s">
        <v>522</v>
      </c>
      <c r="PC553" s="50">
        <v>46120</v>
      </c>
    </row>
    <row r="554" spans="1:419" ht="15.75" thickBot="1">
      <c r="A554" t="s">
        <v>665</v>
      </c>
      <c r="B554" t="s">
        <v>1176</v>
      </c>
      <c r="C554" t="s">
        <v>1177</v>
      </c>
      <c r="D554" s="4" t="s">
        <v>950</v>
      </c>
      <c r="E554" t="s">
        <v>1178</v>
      </c>
      <c r="F554" t="s">
        <v>1179</v>
      </c>
      <c r="G554" t="s">
        <v>475</v>
      </c>
      <c r="H554" t="s">
        <v>476</v>
      </c>
      <c r="I554">
        <v>-13.65</v>
      </c>
      <c r="J554">
        <v>32.566666669999996</v>
      </c>
      <c r="K554">
        <v>200</v>
      </c>
      <c r="AV554" t="s">
        <v>1180</v>
      </c>
      <c r="AW554">
        <v>100</v>
      </c>
      <c r="AX554" t="s">
        <v>866</v>
      </c>
      <c r="AY554" s="5">
        <v>8</v>
      </c>
      <c r="AZ554" t="s">
        <v>1181</v>
      </c>
      <c r="BA554">
        <v>1999</v>
      </c>
      <c r="BB554">
        <v>2007</v>
      </c>
      <c r="BD554" t="s">
        <v>1196</v>
      </c>
      <c r="BE554" t="s">
        <v>572</v>
      </c>
      <c r="BF554" t="s">
        <v>484</v>
      </c>
      <c r="BG554" t="s">
        <v>485</v>
      </c>
      <c r="BH554" t="s">
        <v>1183</v>
      </c>
      <c r="BI554" t="s">
        <v>486</v>
      </c>
      <c r="BJ554">
        <v>44440</v>
      </c>
      <c r="BK554" t="s">
        <v>555</v>
      </c>
      <c r="ED554" t="s">
        <v>1197</v>
      </c>
      <c r="EE554" t="s">
        <v>486</v>
      </c>
      <c r="EF554">
        <v>10000</v>
      </c>
      <c r="FM554" s="9"/>
      <c r="FN554" s="9"/>
      <c r="FO554" s="9"/>
      <c r="FP554" s="9"/>
      <c r="FQ554" s="9"/>
      <c r="FR554" s="9"/>
      <c r="FS554" s="9"/>
      <c r="FT554" s="9"/>
      <c r="FU554" s="9"/>
      <c r="FV554" s="9"/>
      <c r="FW554" s="9"/>
      <c r="FX554" s="9"/>
      <c r="FY554" s="9"/>
      <c r="FZ554" s="9"/>
      <c r="GA554" s="9"/>
      <c r="GB554" s="9"/>
      <c r="GC554" s="9"/>
      <c r="GD554" s="9"/>
      <c r="GE554" s="9"/>
      <c r="GF554" s="9"/>
      <c r="GG554" s="9"/>
      <c r="GH554" s="9"/>
      <c r="GI554" s="9"/>
      <c r="GJ554" s="9"/>
      <c r="GK554" s="9"/>
      <c r="GL554" s="9"/>
      <c r="GM554" s="9"/>
      <c r="GN554" s="9"/>
      <c r="GO554" s="9"/>
      <c r="GP554" s="9"/>
      <c r="GQ554" s="9"/>
      <c r="GR554" s="9"/>
      <c r="GS554" s="9"/>
      <c r="GT554" s="9"/>
      <c r="GU554" s="9"/>
      <c r="GV554" s="9"/>
      <c r="GW554" s="9"/>
      <c r="GX554" s="9"/>
      <c r="GY554" s="9"/>
      <c r="GZ554" s="9"/>
      <c r="HA554" s="9"/>
      <c r="HB554" s="9"/>
      <c r="HC554" s="9"/>
      <c r="HD554" s="9"/>
      <c r="HE554" s="9"/>
      <c r="HF554" s="9"/>
      <c r="HG554" s="9"/>
      <c r="HH554" s="9"/>
      <c r="HI554" s="9"/>
      <c r="HJ554" s="9"/>
      <c r="HK554" s="9"/>
      <c r="HL554" s="9"/>
      <c r="HT554" s="50">
        <v>36495</v>
      </c>
      <c r="IO554" t="s">
        <v>1196</v>
      </c>
      <c r="IP554" s="75" t="s">
        <v>679</v>
      </c>
      <c r="IS554">
        <v>1999</v>
      </c>
      <c r="IU554" s="4" t="s">
        <v>1186</v>
      </c>
      <c r="JL554" s="8" t="s">
        <v>1187</v>
      </c>
      <c r="KE554" t="s">
        <v>1188</v>
      </c>
      <c r="KF554" s="75" t="s">
        <v>1001</v>
      </c>
      <c r="MY554" t="s">
        <v>1189</v>
      </c>
      <c r="MZ554">
        <v>6.25E-2</v>
      </c>
      <c r="NA554" t="s">
        <v>1213</v>
      </c>
      <c r="NB554" t="s">
        <v>1213</v>
      </c>
      <c r="NG554" t="s">
        <v>480</v>
      </c>
      <c r="NH554" t="s">
        <v>711</v>
      </c>
      <c r="NJ554" t="s">
        <v>689</v>
      </c>
      <c r="NL554" t="s">
        <v>689</v>
      </c>
      <c r="NV554" t="s">
        <v>518</v>
      </c>
      <c r="NW554">
        <v>1.9969879500000001</v>
      </c>
      <c r="NX554" s="220" t="s">
        <v>1192</v>
      </c>
      <c r="NY554">
        <v>0.49</v>
      </c>
      <c r="OB554">
        <v>9</v>
      </c>
      <c r="OU554" t="s">
        <v>1214</v>
      </c>
      <c r="OX554">
        <v>2006</v>
      </c>
      <c r="OZ554" t="s">
        <v>1194</v>
      </c>
      <c r="PB554" t="s">
        <v>522</v>
      </c>
      <c r="PC554" s="50">
        <v>46120</v>
      </c>
    </row>
    <row r="555" spans="1:419" ht="15.75" thickBot="1">
      <c r="A555" t="s">
        <v>665</v>
      </c>
      <c r="B555" t="s">
        <v>1176</v>
      </c>
      <c r="C555" t="s">
        <v>1177</v>
      </c>
      <c r="D555" s="4" t="s">
        <v>950</v>
      </c>
      <c r="E555" t="s">
        <v>1178</v>
      </c>
      <c r="F555" t="s">
        <v>1179</v>
      </c>
      <c r="G555" t="s">
        <v>475</v>
      </c>
      <c r="H555" t="s">
        <v>476</v>
      </c>
      <c r="I555">
        <v>-13.65</v>
      </c>
      <c r="J555">
        <v>32.566666669999996</v>
      </c>
      <c r="K555">
        <v>200</v>
      </c>
      <c r="AV555" t="s">
        <v>1180</v>
      </c>
      <c r="AW555">
        <v>100</v>
      </c>
      <c r="AX555" t="s">
        <v>866</v>
      </c>
      <c r="AY555" s="5">
        <v>8</v>
      </c>
      <c r="AZ555" t="s">
        <v>1181</v>
      </c>
      <c r="BA555">
        <v>1999</v>
      </c>
      <c r="BB555">
        <v>2007</v>
      </c>
      <c r="BD555" t="s">
        <v>1198</v>
      </c>
      <c r="BE555" t="s">
        <v>553</v>
      </c>
      <c r="BF555" t="s">
        <v>484</v>
      </c>
      <c r="BG555" t="s">
        <v>485</v>
      </c>
      <c r="BH555" t="s">
        <v>1183</v>
      </c>
      <c r="BI555" t="s">
        <v>486</v>
      </c>
      <c r="BJ555">
        <v>44440</v>
      </c>
      <c r="BK555" t="s">
        <v>555</v>
      </c>
      <c r="ED555" t="s">
        <v>676</v>
      </c>
      <c r="EE555" t="s">
        <v>486</v>
      </c>
      <c r="EF555">
        <v>5000</v>
      </c>
      <c r="EG555" t="s">
        <v>537</v>
      </c>
      <c r="EH555" t="s">
        <v>1197</v>
      </c>
      <c r="EI555" t="s">
        <v>486</v>
      </c>
      <c r="EJ555">
        <v>5000</v>
      </c>
      <c r="FM555" s="9"/>
      <c r="FN555" s="9"/>
      <c r="FO555" s="9"/>
      <c r="FP555" s="9"/>
      <c r="FQ555" s="9"/>
      <c r="FR555" s="9"/>
      <c r="FS555" s="9"/>
      <c r="FT555" s="9"/>
      <c r="FU555" s="9"/>
      <c r="FV555" s="9"/>
      <c r="FW555" s="9"/>
      <c r="FX555" s="9"/>
      <c r="FY555" s="9"/>
      <c r="FZ555" s="9"/>
      <c r="GA555" s="9"/>
      <c r="GB555" s="9"/>
      <c r="GC555" s="9"/>
      <c r="GD555" s="9"/>
      <c r="GE555" s="9"/>
      <c r="GF555" s="9"/>
      <c r="GG555" s="9"/>
      <c r="GH555" s="9"/>
      <c r="GI555" s="9"/>
      <c r="GJ555" s="9"/>
      <c r="GK555" s="9"/>
      <c r="GL555" s="9"/>
      <c r="GM555" s="9"/>
      <c r="GN555" s="9"/>
      <c r="GO555" s="9"/>
      <c r="GP555" s="9"/>
      <c r="GQ555" s="9"/>
      <c r="GR555" s="9"/>
      <c r="GS555" s="9"/>
      <c r="GT555" s="9"/>
      <c r="GU555" s="9"/>
      <c r="GV555" s="9"/>
      <c r="GW555" s="9"/>
      <c r="GX555" s="9"/>
      <c r="GY555" s="9"/>
      <c r="GZ555" s="9"/>
      <c r="HA555" s="9"/>
      <c r="HB555" s="9"/>
      <c r="HC555" s="9"/>
      <c r="HD555" s="9"/>
      <c r="HE555" s="9"/>
      <c r="HF555" s="9"/>
      <c r="HG555" s="9"/>
      <c r="HH555" s="9"/>
      <c r="HI555" s="9"/>
      <c r="HJ555" s="9"/>
      <c r="HK555" s="9"/>
      <c r="HL555" s="9"/>
      <c r="HT555" s="50">
        <v>36495</v>
      </c>
      <c r="IO555" t="s">
        <v>1198</v>
      </c>
      <c r="IP555" s="75" t="s">
        <v>679</v>
      </c>
      <c r="IS555">
        <v>1999</v>
      </c>
      <c r="IU555" s="4" t="s">
        <v>1186</v>
      </c>
      <c r="JL555" s="8" t="s">
        <v>1187</v>
      </c>
      <c r="KE555" t="s">
        <v>1188</v>
      </c>
      <c r="KF555" s="75" t="s">
        <v>1001</v>
      </c>
      <c r="MY555" t="s">
        <v>1189</v>
      </c>
      <c r="MZ555">
        <v>6.25E-2</v>
      </c>
      <c r="NA555" t="s">
        <v>1213</v>
      </c>
      <c r="NB555" t="s">
        <v>1213</v>
      </c>
      <c r="NG555" t="s">
        <v>480</v>
      </c>
      <c r="NH555" t="s">
        <v>711</v>
      </c>
      <c r="NJ555" t="s">
        <v>689</v>
      </c>
      <c r="NL555" t="s">
        <v>689</v>
      </c>
      <c r="NV555" t="s">
        <v>518</v>
      </c>
      <c r="NW555">
        <v>0.99397590000000002</v>
      </c>
      <c r="NX555" s="220" t="s">
        <v>1192</v>
      </c>
      <c r="NY555">
        <v>0.21</v>
      </c>
      <c r="OB555">
        <v>9</v>
      </c>
      <c r="OU555" t="s">
        <v>1214</v>
      </c>
      <c r="OX555">
        <v>2006</v>
      </c>
      <c r="OZ555" t="s">
        <v>1194</v>
      </c>
      <c r="PB555" t="s">
        <v>522</v>
      </c>
      <c r="PC555" s="50">
        <v>46120</v>
      </c>
    </row>
    <row r="556" spans="1:419" ht="15.75" thickBot="1">
      <c r="A556" t="s">
        <v>665</v>
      </c>
      <c r="B556" t="s">
        <v>1176</v>
      </c>
      <c r="C556" t="s">
        <v>1177</v>
      </c>
      <c r="D556" s="4" t="s">
        <v>950</v>
      </c>
      <c r="E556" t="s">
        <v>1178</v>
      </c>
      <c r="F556" t="s">
        <v>1179</v>
      </c>
      <c r="G556" t="s">
        <v>475</v>
      </c>
      <c r="H556" t="s">
        <v>476</v>
      </c>
      <c r="I556">
        <v>-13.65</v>
      </c>
      <c r="J556">
        <v>32.566666669999996</v>
      </c>
      <c r="K556">
        <v>200</v>
      </c>
      <c r="AV556" t="s">
        <v>1180</v>
      </c>
      <c r="AW556">
        <v>100</v>
      </c>
      <c r="AX556" t="s">
        <v>866</v>
      </c>
      <c r="AY556" s="5">
        <v>8</v>
      </c>
      <c r="AZ556" t="s">
        <v>1181</v>
      </c>
      <c r="BA556">
        <v>1999</v>
      </c>
      <c r="BB556">
        <v>2007</v>
      </c>
      <c r="BD556" t="s">
        <v>1199</v>
      </c>
      <c r="BE556" t="s">
        <v>607</v>
      </c>
      <c r="BF556" t="s">
        <v>484</v>
      </c>
      <c r="BG556" t="s">
        <v>485</v>
      </c>
      <c r="BH556" t="s">
        <v>1183</v>
      </c>
      <c r="BI556" t="s">
        <v>486</v>
      </c>
      <c r="BJ556">
        <v>44440</v>
      </c>
      <c r="BK556" t="s">
        <v>555</v>
      </c>
      <c r="ED556" t="s">
        <v>676</v>
      </c>
      <c r="EE556" t="s">
        <v>486</v>
      </c>
      <c r="EF556">
        <v>10000</v>
      </c>
      <c r="FM556" s="9"/>
      <c r="FN556" s="9"/>
      <c r="FO556" s="9"/>
      <c r="FP556" s="9"/>
      <c r="FQ556" s="9"/>
      <c r="FR556" s="9"/>
      <c r="FS556" s="9"/>
      <c r="FT556" s="9"/>
      <c r="FU556" s="9"/>
      <c r="FV556" s="9"/>
      <c r="FW556" s="9"/>
      <c r="FX556" s="9"/>
      <c r="FY556" s="9"/>
      <c r="FZ556" s="9"/>
      <c r="GA556" s="9"/>
      <c r="GB556" s="9"/>
      <c r="GC556" s="9"/>
      <c r="GD556" s="9"/>
      <c r="GE556" s="9"/>
      <c r="GF556" s="9"/>
      <c r="GG556" s="9"/>
      <c r="GH556" s="9"/>
      <c r="GI556" s="9"/>
      <c r="GJ556" s="9"/>
      <c r="GK556" s="9"/>
      <c r="GL556" s="9"/>
      <c r="GM556" s="9"/>
      <c r="GN556" s="9"/>
      <c r="GO556" s="9"/>
      <c r="GP556" s="9"/>
      <c r="GQ556" s="9"/>
      <c r="GR556" s="9"/>
      <c r="GS556" s="9"/>
      <c r="GT556" s="9"/>
      <c r="GU556" s="9"/>
      <c r="GV556" s="9"/>
      <c r="GW556" s="9"/>
      <c r="GX556" s="9"/>
      <c r="GY556" s="9"/>
      <c r="GZ556" s="9"/>
      <c r="HA556" s="9"/>
      <c r="HB556" s="9"/>
      <c r="HC556" s="9"/>
      <c r="HD556" s="9"/>
      <c r="HE556" s="9"/>
      <c r="HF556" s="9"/>
      <c r="HG556" s="9"/>
      <c r="HH556" s="9"/>
      <c r="HI556" s="9"/>
      <c r="HJ556" s="9"/>
      <c r="HK556" s="9"/>
      <c r="HL556" s="9"/>
      <c r="HT556" s="50">
        <v>36495</v>
      </c>
      <c r="IO556" t="s">
        <v>1199</v>
      </c>
      <c r="IP556" s="75" t="s">
        <v>679</v>
      </c>
      <c r="IS556">
        <v>1999</v>
      </c>
      <c r="IU556" s="4" t="s">
        <v>1186</v>
      </c>
      <c r="JL556" s="8" t="s">
        <v>1187</v>
      </c>
      <c r="KE556" t="s">
        <v>1188</v>
      </c>
      <c r="KF556" s="75" t="s">
        <v>1001</v>
      </c>
      <c r="MY556" t="s">
        <v>1189</v>
      </c>
      <c r="MZ556">
        <v>6.25E-2</v>
      </c>
      <c r="NA556" t="s">
        <v>1213</v>
      </c>
      <c r="NB556" t="s">
        <v>1213</v>
      </c>
      <c r="NG556" t="s">
        <v>480</v>
      </c>
      <c r="NH556" t="s">
        <v>711</v>
      </c>
      <c r="NJ556" t="s">
        <v>689</v>
      </c>
      <c r="NL556" t="s">
        <v>689</v>
      </c>
      <c r="NV556" t="s">
        <v>518</v>
      </c>
      <c r="NW556">
        <v>1.77108434</v>
      </c>
      <c r="NX556" s="220" t="s">
        <v>1192</v>
      </c>
      <c r="NY556">
        <v>0.56999999999999995</v>
      </c>
      <c r="OB556">
        <v>9</v>
      </c>
      <c r="OU556" t="s">
        <v>1214</v>
      </c>
      <c r="OX556">
        <v>2006</v>
      </c>
      <c r="OZ556" t="s">
        <v>1194</v>
      </c>
      <c r="PB556" t="s">
        <v>522</v>
      </c>
      <c r="PC556" s="50">
        <v>46120</v>
      </c>
    </row>
    <row r="557" spans="1:419" ht="15.75" thickBot="1">
      <c r="A557" t="s">
        <v>665</v>
      </c>
      <c r="B557" t="s">
        <v>1176</v>
      </c>
      <c r="C557" t="s">
        <v>1177</v>
      </c>
      <c r="D557" s="4" t="s">
        <v>950</v>
      </c>
      <c r="E557" t="s">
        <v>1178</v>
      </c>
      <c r="F557" t="s">
        <v>1179</v>
      </c>
      <c r="G557" t="s">
        <v>475</v>
      </c>
      <c r="H557" t="s">
        <v>476</v>
      </c>
      <c r="I557">
        <v>-13.65</v>
      </c>
      <c r="J557">
        <v>32.566666669999996</v>
      </c>
      <c r="K557">
        <v>200</v>
      </c>
      <c r="AV557" t="s">
        <v>1180</v>
      </c>
      <c r="AW557">
        <v>100</v>
      </c>
      <c r="AX557" t="s">
        <v>866</v>
      </c>
      <c r="AY557" s="5">
        <v>8</v>
      </c>
      <c r="AZ557" t="s">
        <v>1181</v>
      </c>
      <c r="BA557">
        <v>1999</v>
      </c>
      <c r="BB557">
        <v>2007</v>
      </c>
      <c r="BD557" t="s">
        <v>1200</v>
      </c>
      <c r="BE557" t="s">
        <v>611</v>
      </c>
      <c r="BF557" t="s">
        <v>484</v>
      </c>
      <c r="BG557" t="s">
        <v>485</v>
      </c>
      <c r="BH557" t="s">
        <v>1183</v>
      </c>
      <c r="BI557" t="s">
        <v>486</v>
      </c>
      <c r="BJ557">
        <v>44440</v>
      </c>
      <c r="BK557" t="s">
        <v>555</v>
      </c>
      <c r="FM557" s="9"/>
      <c r="FN557" s="9"/>
      <c r="FO557" s="9"/>
      <c r="FP557" s="9"/>
      <c r="FQ557" s="9"/>
      <c r="FR557" s="9"/>
      <c r="FS557" s="9"/>
      <c r="FT557" s="9"/>
      <c r="FU557" s="9"/>
      <c r="FV557" s="9"/>
      <c r="FW557" s="9"/>
      <c r="FX557" s="9"/>
      <c r="FY557" s="9"/>
      <c r="FZ557" s="9"/>
      <c r="GA557" s="9"/>
      <c r="GB557" s="9"/>
      <c r="GC557" s="9"/>
      <c r="GD557" s="9"/>
      <c r="GE557" s="9"/>
      <c r="GF557" s="9"/>
      <c r="GG557" s="9"/>
      <c r="GH557" s="9"/>
      <c r="GI557" s="9"/>
      <c r="GJ557" s="9"/>
      <c r="GK557" s="9"/>
      <c r="GL557" s="9"/>
      <c r="GM557" s="9"/>
      <c r="GN557" s="9"/>
      <c r="GO557" s="9"/>
      <c r="GP557" s="9"/>
      <c r="GQ557" s="9"/>
      <c r="GR557" s="9"/>
      <c r="GS557" s="9"/>
      <c r="GT557" s="9"/>
      <c r="GU557" s="9"/>
      <c r="GV557" s="9"/>
      <c r="GW557" s="9"/>
      <c r="GX557" s="9"/>
      <c r="GY557" s="9"/>
      <c r="GZ557" s="9"/>
      <c r="HA557" s="9"/>
      <c r="HB557" s="9"/>
      <c r="HC557" s="9"/>
      <c r="HD557" s="9"/>
      <c r="HE557" s="9"/>
      <c r="HF557" s="9"/>
      <c r="HG557" s="9"/>
      <c r="HH557" s="9"/>
      <c r="HI557" s="9"/>
      <c r="HJ557" s="9"/>
      <c r="HK557" s="9"/>
      <c r="HL557" s="9"/>
      <c r="HT557" s="50">
        <v>36495</v>
      </c>
      <c r="IO557" t="s">
        <v>1201</v>
      </c>
      <c r="IP557" s="46" t="s">
        <v>1185</v>
      </c>
      <c r="IS557">
        <v>1999</v>
      </c>
      <c r="IU557" s="4" t="s">
        <v>1186</v>
      </c>
      <c r="JL557" s="8" t="s">
        <v>1187</v>
      </c>
      <c r="KE557" t="s">
        <v>1188</v>
      </c>
      <c r="KF557" s="75" t="s">
        <v>1001</v>
      </c>
      <c r="MY557" t="s">
        <v>1189</v>
      </c>
      <c r="MZ557">
        <v>6.25E-2</v>
      </c>
      <c r="NA557" t="s">
        <v>1213</v>
      </c>
      <c r="NB557" t="s">
        <v>1213</v>
      </c>
      <c r="NG557" t="s">
        <v>480</v>
      </c>
      <c r="NH557" t="s">
        <v>711</v>
      </c>
      <c r="NJ557" t="s">
        <v>689</v>
      </c>
      <c r="NL557" t="s">
        <v>689</v>
      </c>
      <c r="NV557" t="s">
        <v>518</v>
      </c>
      <c r="NW557">
        <v>0.10843373000000001</v>
      </c>
      <c r="NX557" s="220" t="s">
        <v>1192</v>
      </c>
      <c r="NY557">
        <v>0.12</v>
      </c>
      <c r="OB557">
        <v>9</v>
      </c>
      <c r="OU557" t="s">
        <v>1214</v>
      </c>
      <c r="OX557">
        <v>2006</v>
      </c>
      <c r="OZ557" t="s">
        <v>1194</v>
      </c>
      <c r="PB557" t="s">
        <v>522</v>
      </c>
      <c r="PC557" s="50">
        <v>46120</v>
      </c>
    </row>
    <row r="558" spans="1:419" ht="15.75" thickBot="1">
      <c r="A558" t="s">
        <v>665</v>
      </c>
      <c r="B558" t="s">
        <v>1176</v>
      </c>
      <c r="C558" t="s">
        <v>1177</v>
      </c>
      <c r="D558" s="4" t="s">
        <v>950</v>
      </c>
      <c r="E558" t="s">
        <v>1178</v>
      </c>
      <c r="F558" t="s">
        <v>1179</v>
      </c>
      <c r="G558" t="s">
        <v>475</v>
      </c>
      <c r="H558" t="s">
        <v>476</v>
      </c>
      <c r="I558">
        <v>-13.65</v>
      </c>
      <c r="J558">
        <v>32.566666669999996</v>
      </c>
      <c r="K558">
        <v>200</v>
      </c>
      <c r="AV558" t="s">
        <v>1180</v>
      </c>
      <c r="AW558">
        <v>100</v>
      </c>
      <c r="AX558" t="s">
        <v>866</v>
      </c>
      <c r="AY558" s="5">
        <v>8</v>
      </c>
      <c r="AZ558" t="s">
        <v>1181</v>
      </c>
      <c r="BA558">
        <v>1999</v>
      </c>
      <c r="BB558">
        <v>2007</v>
      </c>
      <c r="BD558" t="s">
        <v>1202</v>
      </c>
      <c r="BE558" t="s">
        <v>524</v>
      </c>
      <c r="BF558" t="s">
        <v>484</v>
      </c>
      <c r="BG558" t="s">
        <v>485</v>
      </c>
      <c r="BH558" t="s">
        <v>1183</v>
      </c>
      <c r="BI558" t="s">
        <v>486</v>
      </c>
      <c r="BJ558">
        <v>44440</v>
      </c>
      <c r="FM558" s="9"/>
      <c r="FN558" s="9"/>
      <c r="FO558" s="9"/>
      <c r="FP558" s="9"/>
      <c r="FQ558" s="9"/>
      <c r="FR558" s="9"/>
      <c r="FS558" s="9"/>
      <c r="FT558" s="9"/>
      <c r="FU558" s="9"/>
      <c r="FV558" s="9"/>
      <c r="FW558" s="9"/>
      <c r="FX558" s="9"/>
      <c r="FY558" s="9"/>
      <c r="FZ558" s="9"/>
      <c r="GA558" s="9"/>
      <c r="GB558" s="9"/>
      <c r="GC558" s="9"/>
      <c r="GD558" s="9"/>
      <c r="GE558" s="9"/>
      <c r="GF558" s="9"/>
      <c r="GG558" s="9"/>
      <c r="GH558" s="9"/>
      <c r="GI558" s="9"/>
      <c r="GJ558" s="9"/>
      <c r="GK558" s="9"/>
      <c r="GL558" s="9"/>
      <c r="GM558" s="9"/>
      <c r="GN558" s="9"/>
      <c r="GO558" s="9"/>
      <c r="GP558" s="9"/>
      <c r="GQ558" s="9"/>
      <c r="GR558" s="9"/>
      <c r="GS558" s="9"/>
      <c r="GT558" s="9"/>
      <c r="GU558" s="9"/>
      <c r="GV558" s="9"/>
      <c r="GW558" s="9"/>
      <c r="GX558" s="9"/>
      <c r="GY558" s="9"/>
      <c r="GZ558" s="9"/>
      <c r="HA558" s="9"/>
      <c r="HB558" s="9"/>
      <c r="HC558" s="9"/>
      <c r="HD558" s="9"/>
      <c r="HE558" s="9"/>
      <c r="HF558" s="9"/>
      <c r="HG558" s="9"/>
      <c r="HH558" s="9"/>
      <c r="HI558" s="9"/>
      <c r="HJ558" s="9"/>
      <c r="HK558" s="9"/>
      <c r="HL558" s="9"/>
      <c r="HT558" s="50">
        <v>36495</v>
      </c>
      <c r="IO558" t="s">
        <v>1203</v>
      </c>
      <c r="IP558" t="s">
        <v>492</v>
      </c>
      <c r="IS558">
        <v>1999</v>
      </c>
      <c r="JL558" t="s">
        <v>495</v>
      </c>
      <c r="JM558" t="s">
        <v>1204</v>
      </c>
      <c r="JN558" t="s">
        <v>497</v>
      </c>
      <c r="JO558" t="s">
        <v>1205</v>
      </c>
      <c r="JP558" t="s">
        <v>508</v>
      </c>
      <c r="JQ558" t="s">
        <v>1206</v>
      </c>
      <c r="JR558">
        <v>90</v>
      </c>
      <c r="JS558">
        <v>80</v>
      </c>
      <c r="KE558" t="s">
        <v>1188</v>
      </c>
      <c r="KF558" s="75" t="s">
        <v>1001</v>
      </c>
      <c r="MY558" t="s">
        <v>1189</v>
      </c>
      <c r="MZ558">
        <v>6.25E-2</v>
      </c>
      <c r="NA558" t="s">
        <v>1213</v>
      </c>
      <c r="NB558" t="s">
        <v>1213</v>
      </c>
      <c r="NG558" t="s">
        <v>480</v>
      </c>
      <c r="NH558" t="s">
        <v>711</v>
      </c>
      <c r="NJ558" t="s">
        <v>689</v>
      </c>
      <c r="NL558" t="s">
        <v>689</v>
      </c>
      <c r="NU558" t="s">
        <v>1025</v>
      </c>
      <c r="NV558" t="s">
        <v>518</v>
      </c>
      <c r="NW558">
        <v>0.77710842999999996</v>
      </c>
      <c r="NX558" s="220" t="s">
        <v>1192</v>
      </c>
      <c r="NY558">
        <v>0.36</v>
      </c>
      <c r="OB558">
        <v>9</v>
      </c>
      <c r="OU558" t="s">
        <v>1214</v>
      </c>
      <c r="OX558">
        <v>2006</v>
      </c>
      <c r="OZ558" t="s">
        <v>1194</v>
      </c>
      <c r="PB558" t="s">
        <v>522</v>
      </c>
      <c r="PC558" s="50">
        <v>46120</v>
      </c>
    </row>
    <row r="559" spans="1:419" ht="15.75" thickBot="1">
      <c r="A559" t="s">
        <v>665</v>
      </c>
      <c r="B559" t="s">
        <v>1176</v>
      </c>
      <c r="C559" t="s">
        <v>1177</v>
      </c>
      <c r="D559" s="4" t="s">
        <v>950</v>
      </c>
      <c r="E559" t="s">
        <v>1178</v>
      </c>
      <c r="F559" t="s">
        <v>1179</v>
      </c>
      <c r="G559" t="s">
        <v>475</v>
      </c>
      <c r="H559" t="s">
        <v>476</v>
      </c>
      <c r="I559">
        <v>-13.65</v>
      </c>
      <c r="J559">
        <v>32.566666669999996</v>
      </c>
      <c r="K559">
        <v>200</v>
      </c>
      <c r="AV559" t="s">
        <v>1180</v>
      </c>
      <c r="AW559">
        <v>100</v>
      </c>
      <c r="AX559" t="s">
        <v>866</v>
      </c>
      <c r="AY559" s="5">
        <v>8</v>
      </c>
      <c r="AZ559" t="s">
        <v>1181</v>
      </c>
      <c r="BA559">
        <v>1999</v>
      </c>
      <c r="BB559">
        <v>2007</v>
      </c>
      <c r="BD559" t="s">
        <v>1182</v>
      </c>
      <c r="BE559" t="s">
        <v>536</v>
      </c>
      <c r="BF559" t="s">
        <v>484</v>
      </c>
      <c r="BG559" t="s">
        <v>485</v>
      </c>
      <c r="BH559" t="s">
        <v>1183</v>
      </c>
      <c r="BI559" t="s">
        <v>486</v>
      </c>
      <c r="BJ559">
        <v>44440</v>
      </c>
      <c r="BK559" t="s">
        <v>555</v>
      </c>
      <c r="BL559" t="s">
        <v>1184</v>
      </c>
      <c r="BM559" t="s">
        <v>480</v>
      </c>
      <c r="BN559" t="s">
        <v>486</v>
      </c>
      <c r="BO559">
        <v>10000</v>
      </c>
      <c r="FM559" s="9"/>
      <c r="FN559" s="9"/>
      <c r="FO559" s="9"/>
      <c r="FP559" s="9"/>
      <c r="FQ559" s="9"/>
      <c r="FR559" s="9"/>
      <c r="FS559" s="9"/>
      <c r="FT559" s="9"/>
      <c r="FU559" s="9"/>
      <c r="FV559" s="9"/>
      <c r="FW559" s="9"/>
      <c r="FX559" s="9"/>
      <c r="FY559" s="9"/>
      <c r="FZ559" s="9"/>
      <c r="GA559" s="9"/>
      <c r="GB559" s="9"/>
      <c r="GC559" s="9"/>
      <c r="GD559" s="9"/>
      <c r="GE559" s="9"/>
      <c r="GF559" s="9"/>
      <c r="GG559" s="9"/>
      <c r="GH559" s="9"/>
      <c r="GI559" s="9"/>
      <c r="GJ559" s="9"/>
      <c r="GK559" s="9"/>
      <c r="GL559" s="9"/>
      <c r="GM559" s="9"/>
      <c r="GN559" s="9"/>
      <c r="GO559" s="9"/>
      <c r="GP559" s="9"/>
      <c r="GQ559" s="9"/>
      <c r="GR559" s="9"/>
      <c r="GS559" s="9"/>
      <c r="GT559" s="9"/>
      <c r="GU559" s="9"/>
      <c r="GV559" s="9"/>
      <c r="GW559" s="9"/>
      <c r="GX559" s="9"/>
      <c r="GY559" s="9"/>
      <c r="GZ559" s="9"/>
      <c r="HA559" s="9"/>
      <c r="HB559" s="9"/>
      <c r="HC559" s="9"/>
      <c r="HD559" s="9"/>
      <c r="HE559" s="9"/>
      <c r="HF559" s="9"/>
      <c r="HG559" s="9"/>
      <c r="HH559" s="9"/>
      <c r="HI559" s="9"/>
      <c r="HJ559" s="9"/>
      <c r="HK559" s="9"/>
      <c r="HL559" s="9"/>
      <c r="HT559" s="50">
        <v>36495</v>
      </c>
      <c r="IO559" t="s">
        <v>1182</v>
      </c>
      <c r="IP559" s="46" t="s">
        <v>1185</v>
      </c>
      <c r="IS559">
        <v>1999</v>
      </c>
      <c r="IU559" s="4" t="s">
        <v>1186</v>
      </c>
      <c r="JL559" t="s">
        <v>1187</v>
      </c>
      <c r="KE559" t="s">
        <v>1188</v>
      </c>
      <c r="KF559" s="75" t="s">
        <v>1001</v>
      </c>
      <c r="MY559" t="s">
        <v>1189</v>
      </c>
      <c r="MZ559">
        <v>6.25E-2</v>
      </c>
      <c r="NA559" t="s">
        <v>1215</v>
      </c>
      <c r="NB559" t="s">
        <v>1215</v>
      </c>
      <c r="NG559" t="s">
        <v>480</v>
      </c>
      <c r="NH559" t="s">
        <v>711</v>
      </c>
      <c r="NJ559" t="s">
        <v>689</v>
      </c>
      <c r="NL559" t="s">
        <v>689</v>
      </c>
      <c r="NV559" t="s">
        <v>518</v>
      </c>
      <c r="NW559">
        <v>0</v>
      </c>
      <c r="NX559" s="220" t="s">
        <v>1192</v>
      </c>
      <c r="NY559">
        <v>0</v>
      </c>
      <c r="OB559">
        <v>9</v>
      </c>
      <c r="OU559" t="s">
        <v>1216</v>
      </c>
      <c r="OX559">
        <v>2006</v>
      </c>
      <c r="OZ559" t="s">
        <v>1194</v>
      </c>
      <c r="PB559" t="s">
        <v>522</v>
      </c>
      <c r="PC559" s="50">
        <v>46120</v>
      </c>
    </row>
    <row r="560" spans="1:419" ht="15.75" thickBot="1">
      <c r="A560" t="s">
        <v>665</v>
      </c>
      <c r="B560" t="s">
        <v>1176</v>
      </c>
      <c r="C560" t="s">
        <v>1177</v>
      </c>
      <c r="D560" s="4" t="s">
        <v>950</v>
      </c>
      <c r="E560" t="s">
        <v>1178</v>
      </c>
      <c r="F560" t="s">
        <v>1179</v>
      </c>
      <c r="G560" t="s">
        <v>475</v>
      </c>
      <c r="H560" t="s">
        <v>476</v>
      </c>
      <c r="I560">
        <v>-13.65</v>
      </c>
      <c r="J560">
        <v>32.566666669999996</v>
      </c>
      <c r="K560">
        <v>200</v>
      </c>
      <c r="AV560" t="s">
        <v>1180</v>
      </c>
      <c r="AW560">
        <v>100</v>
      </c>
      <c r="AX560" t="s">
        <v>866</v>
      </c>
      <c r="AY560" s="5">
        <v>8</v>
      </c>
      <c r="AZ560" t="s">
        <v>1181</v>
      </c>
      <c r="BA560">
        <v>1999</v>
      </c>
      <c r="BB560">
        <v>2007</v>
      </c>
      <c r="BD560" t="s">
        <v>1195</v>
      </c>
      <c r="BE560" t="s">
        <v>566</v>
      </c>
      <c r="BF560" t="s">
        <v>484</v>
      </c>
      <c r="BG560" t="s">
        <v>485</v>
      </c>
      <c r="BH560" t="s">
        <v>1183</v>
      </c>
      <c r="BI560" t="s">
        <v>486</v>
      </c>
      <c r="BJ560">
        <v>44440</v>
      </c>
      <c r="BK560" t="s">
        <v>555</v>
      </c>
      <c r="BL560" t="s">
        <v>1184</v>
      </c>
      <c r="BM560" t="s">
        <v>480</v>
      </c>
      <c r="BN560" t="s">
        <v>486</v>
      </c>
      <c r="BO560">
        <v>5000</v>
      </c>
      <c r="BP560" t="s">
        <v>537</v>
      </c>
      <c r="ED560" t="s">
        <v>676</v>
      </c>
      <c r="EE560" t="s">
        <v>486</v>
      </c>
      <c r="EF560">
        <v>5000</v>
      </c>
      <c r="FM560" s="9"/>
      <c r="FN560" s="9"/>
      <c r="FO560" s="9"/>
      <c r="FP560" s="9"/>
      <c r="FQ560" s="9"/>
      <c r="FR560" s="9"/>
      <c r="FS560" s="9"/>
      <c r="FT560" s="9"/>
      <c r="FU560" s="9"/>
      <c r="FV560" s="9"/>
      <c r="FW560" s="9"/>
      <c r="FX560" s="9"/>
      <c r="FY560" s="9"/>
      <c r="FZ560" s="9"/>
      <c r="GA560" s="9"/>
      <c r="GB560" s="9"/>
      <c r="GC560" s="9"/>
      <c r="GD560" s="9"/>
      <c r="GE560" s="9"/>
      <c r="GF560" s="9"/>
      <c r="GG560" s="9"/>
      <c r="GH560" s="9"/>
      <c r="GI560" s="9"/>
      <c r="GJ560" s="9"/>
      <c r="GK560" s="9"/>
      <c r="GL560" s="9"/>
      <c r="GM560" s="9"/>
      <c r="GN560" s="9"/>
      <c r="GO560" s="9"/>
      <c r="GP560" s="9"/>
      <c r="GQ560" s="9"/>
      <c r="GR560" s="9"/>
      <c r="GS560" s="9"/>
      <c r="GT560" s="9"/>
      <c r="GU560" s="9"/>
      <c r="GV560" s="9"/>
      <c r="GW560" s="9"/>
      <c r="GX560" s="9"/>
      <c r="GY560" s="9"/>
      <c r="GZ560" s="9"/>
      <c r="HA560" s="9"/>
      <c r="HB560" s="9"/>
      <c r="HC560" s="9"/>
      <c r="HD560" s="9"/>
      <c r="HE560" s="9"/>
      <c r="HF560" s="9"/>
      <c r="HG560" s="9"/>
      <c r="HH560" s="9"/>
      <c r="HI560" s="9"/>
      <c r="HJ560" s="9"/>
      <c r="HK560" s="9"/>
      <c r="HL560" s="9"/>
      <c r="HT560" s="50">
        <v>36495</v>
      </c>
      <c r="IO560" t="s">
        <v>1195</v>
      </c>
      <c r="IP560" s="75" t="s">
        <v>679</v>
      </c>
      <c r="IS560">
        <v>1999</v>
      </c>
      <c r="IU560" s="4" t="s">
        <v>1186</v>
      </c>
      <c r="JL560" t="s">
        <v>1187</v>
      </c>
      <c r="KE560" t="s">
        <v>1188</v>
      </c>
      <c r="KF560" s="75" t="s">
        <v>1001</v>
      </c>
      <c r="MY560" t="s">
        <v>1189</v>
      </c>
      <c r="MZ560">
        <v>6.25E-2</v>
      </c>
      <c r="NA560" t="s">
        <v>1215</v>
      </c>
      <c r="NB560" t="s">
        <v>1215</v>
      </c>
      <c r="NG560" t="s">
        <v>480</v>
      </c>
      <c r="NH560" t="s">
        <v>711</v>
      </c>
      <c r="NJ560" t="s">
        <v>689</v>
      </c>
      <c r="NL560" t="s">
        <v>689</v>
      </c>
      <c r="NV560" t="s">
        <v>518</v>
      </c>
      <c r="NW560">
        <v>0</v>
      </c>
      <c r="NX560" s="220" t="s">
        <v>1192</v>
      </c>
      <c r="NY560">
        <v>0</v>
      </c>
      <c r="OB560">
        <v>9</v>
      </c>
      <c r="OU560" t="s">
        <v>1216</v>
      </c>
      <c r="OX560">
        <v>2006</v>
      </c>
      <c r="OZ560" t="s">
        <v>1194</v>
      </c>
      <c r="PB560" t="s">
        <v>522</v>
      </c>
      <c r="PC560" s="50">
        <v>46120</v>
      </c>
    </row>
    <row r="561" spans="1:419" ht="15.75" thickBot="1">
      <c r="A561" t="s">
        <v>665</v>
      </c>
      <c r="B561" t="s">
        <v>1176</v>
      </c>
      <c r="C561" t="s">
        <v>1177</v>
      </c>
      <c r="D561" s="4" t="s">
        <v>950</v>
      </c>
      <c r="E561" t="s">
        <v>1178</v>
      </c>
      <c r="F561" t="s">
        <v>1179</v>
      </c>
      <c r="G561" t="s">
        <v>475</v>
      </c>
      <c r="H561" t="s">
        <v>476</v>
      </c>
      <c r="I561">
        <v>-13.65</v>
      </c>
      <c r="J561">
        <v>32.566666669999996</v>
      </c>
      <c r="K561">
        <v>200</v>
      </c>
      <c r="AV561" t="s">
        <v>1180</v>
      </c>
      <c r="AW561">
        <v>100</v>
      </c>
      <c r="AX561" t="s">
        <v>866</v>
      </c>
      <c r="AY561" s="5">
        <v>8</v>
      </c>
      <c r="AZ561" t="s">
        <v>1181</v>
      </c>
      <c r="BA561">
        <v>1999</v>
      </c>
      <c r="BB561">
        <v>2007</v>
      </c>
      <c r="BD561" t="s">
        <v>1196</v>
      </c>
      <c r="BE561" t="s">
        <v>572</v>
      </c>
      <c r="BF561" t="s">
        <v>484</v>
      </c>
      <c r="BG561" t="s">
        <v>485</v>
      </c>
      <c r="BH561" t="s">
        <v>1183</v>
      </c>
      <c r="BI561" t="s">
        <v>486</v>
      </c>
      <c r="BJ561">
        <v>44440</v>
      </c>
      <c r="BK561" t="s">
        <v>555</v>
      </c>
      <c r="ED561" t="s">
        <v>1197</v>
      </c>
      <c r="EE561" t="s">
        <v>486</v>
      </c>
      <c r="EF561">
        <v>10000</v>
      </c>
      <c r="FM561" s="9"/>
      <c r="FN561" s="9"/>
      <c r="FO561" s="9"/>
      <c r="FP561" s="9"/>
      <c r="FQ561" s="9"/>
      <c r="FR561" s="9"/>
      <c r="FS561" s="9"/>
      <c r="FT561" s="9"/>
      <c r="FU561" s="9"/>
      <c r="FV561" s="9"/>
      <c r="FW561" s="9"/>
      <c r="FX561" s="9"/>
      <c r="FY561" s="9"/>
      <c r="FZ561" s="9"/>
      <c r="GA561" s="9"/>
      <c r="GB561" s="9"/>
      <c r="GC561" s="9"/>
      <c r="GD561" s="9"/>
      <c r="GE561" s="9"/>
      <c r="GF561" s="9"/>
      <c r="GG561" s="9"/>
      <c r="GH561" s="9"/>
      <c r="GI561" s="9"/>
      <c r="GJ561" s="9"/>
      <c r="GK561" s="9"/>
      <c r="GL561" s="9"/>
      <c r="GM561" s="9"/>
      <c r="GN561" s="9"/>
      <c r="GO561" s="9"/>
      <c r="GP561" s="9"/>
      <c r="GQ561" s="9"/>
      <c r="GR561" s="9"/>
      <c r="GS561" s="9"/>
      <c r="GT561" s="9"/>
      <c r="GU561" s="9"/>
      <c r="GV561" s="9"/>
      <c r="GW561" s="9"/>
      <c r="GX561" s="9"/>
      <c r="GY561" s="9"/>
      <c r="GZ561" s="9"/>
      <c r="HA561" s="9"/>
      <c r="HB561" s="9"/>
      <c r="HC561" s="9"/>
      <c r="HD561" s="9"/>
      <c r="HE561" s="9"/>
      <c r="HF561" s="9"/>
      <c r="HG561" s="9"/>
      <c r="HH561" s="9"/>
      <c r="HI561" s="9"/>
      <c r="HJ561" s="9"/>
      <c r="HK561" s="9"/>
      <c r="HL561" s="9"/>
      <c r="HT561" s="50">
        <v>36495</v>
      </c>
      <c r="IO561" t="s">
        <v>1196</v>
      </c>
      <c r="IP561" s="75" t="s">
        <v>679</v>
      </c>
      <c r="IS561">
        <v>1999</v>
      </c>
      <c r="IU561" s="4" t="s">
        <v>1186</v>
      </c>
      <c r="JL561" t="s">
        <v>1187</v>
      </c>
      <c r="KE561" t="s">
        <v>1188</v>
      </c>
      <c r="KF561" s="75" t="s">
        <v>1001</v>
      </c>
      <c r="MY561" t="s">
        <v>1189</v>
      </c>
      <c r="MZ561">
        <v>6.25E-2</v>
      </c>
      <c r="NA561" t="s">
        <v>1215</v>
      </c>
      <c r="NB561" t="s">
        <v>1215</v>
      </c>
      <c r="NG561" t="s">
        <v>480</v>
      </c>
      <c r="NH561" t="s">
        <v>711</v>
      </c>
      <c r="NJ561" t="s">
        <v>689</v>
      </c>
      <c r="NL561" t="s">
        <v>689</v>
      </c>
      <c r="NV561" t="s">
        <v>518</v>
      </c>
      <c r="NW561">
        <v>0.1</v>
      </c>
      <c r="NX561" s="220" t="s">
        <v>1192</v>
      </c>
      <c r="NY561">
        <v>0.1</v>
      </c>
      <c r="OB561">
        <v>9</v>
      </c>
      <c r="OU561" t="s">
        <v>1216</v>
      </c>
      <c r="OX561">
        <v>2006</v>
      </c>
      <c r="OZ561" t="s">
        <v>1194</v>
      </c>
      <c r="PB561" t="s">
        <v>522</v>
      </c>
      <c r="PC561" s="50">
        <v>46120</v>
      </c>
    </row>
    <row r="562" spans="1:419" ht="15.75" thickBot="1">
      <c r="A562" t="s">
        <v>665</v>
      </c>
      <c r="B562" t="s">
        <v>1176</v>
      </c>
      <c r="C562" t="s">
        <v>1177</v>
      </c>
      <c r="D562" s="4" t="s">
        <v>950</v>
      </c>
      <c r="E562" t="s">
        <v>1178</v>
      </c>
      <c r="F562" t="s">
        <v>1179</v>
      </c>
      <c r="G562" t="s">
        <v>475</v>
      </c>
      <c r="H562" t="s">
        <v>476</v>
      </c>
      <c r="I562">
        <v>-13.65</v>
      </c>
      <c r="J562">
        <v>32.566666669999996</v>
      </c>
      <c r="K562">
        <v>200</v>
      </c>
      <c r="AV562" t="s">
        <v>1180</v>
      </c>
      <c r="AW562">
        <v>100</v>
      </c>
      <c r="AX562" t="s">
        <v>866</v>
      </c>
      <c r="AY562" s="5">
        <v>8</v>
      </c>
      <c r="AZ562" t="s">
        <v>1181</v>
      </c>
      <c r="BA562">
        <v>1999</v>
      </c>
      <c r="BB562">
        <v>2007</v>
      </c>
      <c r="BD562" t="s">
        <v>1198</v>
      </c>
      <c r="BE562" t="s">
        <v>553</v>
      </c>
      <c r="BF562" t="s">
        <v>484</v>
      </c>
      <c r="BG562" t="s">
        <v>485</v>
      </c>
      <c r="BH562" t="s">
        <v>1183</v>
      </c>
      <c r="BI562" t="s">
        <v>486</v>
      </c>
      <c r="BJ562">
        <v>44440</v>
      </c>
      <c r="BK562" t="s">
        <v>555</v>
      </c>
      <c r="ED562" t="s">
        <v>676</v>
      </c>
      <c r="EE562" t="s">
        <v>486</v>
      </c>
      <c r="EF562">
        <v>5000</v>
      </c>
      <c r="EG562" t="s">
        <v>537</v>
      </c>
      <c r="EH562" t="s">
        <v>1197</v>
      </c>
      <c r="EI562" t="s">
        <v>486</v>
      </c>
      <c r="EJ562">
        <v>5000</v>
      </c>
      <c r="FM562" s="9"/>
      <c r="FN562" s="9"/>
      <c r="FO562" s="9"/>
      <c r="FP562" s="9"/>
      <c r="FQ562" s="9"/>
      <c r="FR562" s="9"/>
      <c r="FS562" s="9"/>
      <c r="FT562" s="9"/>
      <c r="FU562" s="9"/>
      <c r="FV562" s="9"/>
      <c r="FW562" s="9"/>
      <c r="FX562" s="9"/>
      <c r="FY562" s="9"/>
      <c r="FZ562" s="9"/>
      <c r="GA562" s="9"/>
      <c r="GB562" s="9"/>
      <c r="GC562" s="9"/>
      <c r="GD562" s="9"/>
      <c r="GE562" s="9"/>
      <c r="GF562" s="9"/>
      <c r="GG562" s="9"/>
      <c r="GH562" s="9"/>
      <c r="GI562" s="9"/>
      <c r="GJ562" s="9"/>
      <c r="GK562" s="9"/>
      <c r="GL562" s="9"/>
      <c r="GM562" s="9"/>
      <c r="GN562" s="9"/>
      <c r="GO562" s="9"/>
      <c r="GP562" s="9"/>
      <c r="GQ562" s="9"/>
      <c r="GR562" s="9"/>
      <c r="GS562" s="9"/>
      <c r="GT562" s="9"/>
      <c r="GU562" s="9"/>
      <c r="GV562" s="9"/>
      <c r="GW562" s="9"/>
      <c r="GX562" s="9"/>
      <c r="GY562" s="9"/>
      <c r="GZ562" s="9"/>
      <c r="HA562" s="9"/>
      <c r="HB562" s="9"/>
      <c r="HC562" s="9"/>
      <c r="HD562" s="9"/>
      <c r="HE562" s="9"/>
      <c r="HF562" s="9"/>
      <c r="HG562" s="9"/>
      <c r="HH562" s="9"/>
      <c r="HI562" s="9"/>
      <c r="HJ562" s="9"/>
      <c r="HK562" s="9"/>
      <c r="HL562" s="9"/>
      <c r="HT562" s="50">
        <v>36495</v>
      </c>
      <c r="IO562" t="s">
        <v>1198</v>
      </c>
      <c r="IP562" s="75" t="s">
        <v>679</v>
      </c>
      <c r="IS562">
        <v>1999</v>
      </c>
      <c r="IU562" s="4" t="s">
        <v>1186</v>
      </c>
      <c r="JL562" t="s">
        <v>1187</v>
      </c>
      <c r="KE562" t="s">
        <v>1188</v>
      </c>
      <c r="KF562" s="75" t="s">
        <v>1001</v>
      </c>
      <c r="MY562" t="s">
        <v>1189</v>
      </c>
      <c r="MZ562">
        <v>6.25E-2</v>
      </c>
      <c r="NA562" t="s">
        <v>1215</v>
      </c>
      <c r="NB562" t="s">
        <v>1215</v>
      </c>
      <c r="NG562" t="s">
        <v>480</v>
      </c>
      <c r="NH562" t="s">
        <v>711</v>
      </c>
      <c r="NJ562" t="s">
        <v>689</v>
      </c>
      <c r="NL562" t="s">
        <v>689</v>
      </c>
      <c r="NV562" t="s">
        <v>518</v>
      </c>
      <c r="NW562">
        <v>0.1</v>
      </c>
      <c r="NX562" s="220" t="s">
        <v>1192</v>
      </c>
      <c r="NY562">
        <v>0.1</v>
      </c>
      <c r="OB562">
        <v>9</v>
      </c>
      <c r="OU562" t="s">
        <v>1216</v>
      </c>
      <c r="OX562">
        <v>2006</v>
      </c>
      <c r="OZ562" t="s">
        <v>1194</v>
      </c>
      <c r="PB562" t="s">
        <v>522</v>
      </c>
      <c r="PC562" s="50">
        <v>46120</v>
      </c>
    </row>
    <row r="563" spans="1:419" ht="15.75" thickBot="1">
      <c r="A563" t="s">
        <v>665</v>
      </c>
      <c r="B563" t="s">
        <v>1176</v>
      </c>
      <c r="C563" t="s">
        <v>1177</v>
      </c>
      <c r="D563" s="4" t="s">
        <v>950</v>
      </c>
      <c r="E563" t="s">
        <v>1178</v>
      </c>
      <c r="F563" t="s">
        <v>1179</v>
      </c>
      <c r="G563" t="s">
        <v>475</v>
      </c>
      <c r="H563" t="s">
        <v>476</v>
      </c>
      <c r="I563">
        <v>-13.65</v>
      </c>
      <c r="J563">
        <v>32.566666669999996</v>
      </c>
      <c r="K563">
        <v>200</v>
      </c>
      <c r="AV563" t="s">
        <v>1180</v>
      </c>
      <c r="AW563">
        <v>100</v>
      </c>
      <c r="AX563" t="s">
        <v>866</v>
      </c>
      <c r="AY563" s="5">
        <v>8</v>
      </c>
      <c r="AZ563" t="s">
        <v>1181</v>
      </c>
      <c r="BA563">
        <v>1999</v>
      </c>
      <c r="BB563">
        <v>2007</v>
      </c>
      <c r="BD563" t="s">
        <v>1199</v>
      </c>
      <c r="BE563" t="s">
        <v>607</v>
      </c>
      <c r="BF563" t="s">
        <v>484</v>
      </c>
      <c r="BG563" t="s">
        <v>485</v>
      </c>
      <c r="BH563" t="s">
        <v>1183</v>
      </c>
      <c r="BI563" t="s">
        <v>486</v>
      </c>
      <c r="BJ563">
        <v>44440</v>
      </c>
      <c r="BK563" t="s">
        <v>555</v>
      </c>
      <c r="ED563" t="s">
        <v>676</v>
      </c>
      <c r="EE563" t="s">
        <v>486</v>
      </c>
      <c r="EF563">
        <v>10000</v>
      </c>
      <c r="FM563" s="9"/>
      <c r="FN563" s="9"/>
      <c r="FO563" s="9"/>
      <c r="FP563" s="9"/>
      <c r="FQ563" s="9"/>
      <c r="FR563" s="9"/>
      <c r="FS563" s="9"/>
      <c r="FT563" s="9"/>
      <c r="FU563" s="9"/>
      <c r="FV563" s="9"/>
      <c r="FW563" s="9"/>
      <c r="FX563" s="9"/>
      <c r="FY563" s="9"/>
      <c r="FZ563" s="9"/>
      <c r="GA563" s="9"/>
      <c r="GB563" s="9"/>
      <c r="GC563" s="9"/>
      <c r="GD563" s="9"/>
      <c r="GE563" s="9"/>
      <c r="GF563" s="9"/>
      <c r="GG563" s="9"/>
      <c r="GH563" s="9"/>
      <c r="GI563" s="9"/>
      <c r="GJ563" s="9"/>
      <c r="GK563" s="9"/>
      <c r="GL563" s="9"/>
      <c r="GM563" s="9"/>
      <c r="GN563" s="9"/>
      <c r="GO563" s="9"/>
      <c r="GP563" s="9"/>
      <c r="GQ563" s="9"/>
      <c r="GR563" s="9"/>
      <c r="GS563" s="9"/>
      <c r="GT563" s="9"/>
      <c r="GU563" s="9"/>
      <c r="GV563" s="9"/>
      <c r="GW563" s="9"/>
      <c r="GX563" s="9"/>
      <c r="GY563" s="9"/>
      <c r="GZ563" s="9"/>
      <c r="HA563" s="9"/>
      <c r="HB563" s="9"/>
      <c r="HC563" s="9"/>
      <c r="HD563" s="9"/>
      <c r="HE563" s="9"/>
      <c r="HF563" s="9"/>
      <c r="HG563" s="9"/>
      <c r="HH563" s="9"/>
      <c r="HI563" s="9"/>
      <c r="HJ563" s="9"/>
      <c r="HK563" s="9"/>
      <c r="HL563" s="9"/>
      <c r="HT563" s="50">
        <v>36495</v>
      </c>
      <c r="IO563" t="s">
        <v>1199</v>
      </c>
      <c r="IP563" s="75" t="s">
        <v>679</v>
      </c>
      <c r="IS563">
        <v>1999</v>
      </c>
      <c r="IU563" s="4" t="s">
        <v>1186</v>
      </c>
      <c r="JL563" t="s">
        <v>1187</v>
      </c>
      <c r="KE563" t="s">
        <v>1188</v>
      </c>
      <c r="KF563" s="75" t="s">
        <v>1001</v>
      </c>
      <c r="MY563" t="s">
        <v>1189</v>
      </c>
      <c r="MZ563">
        <v>6.25E-2</v>
      </c>
      <c r="NA563" t="s">
        <v>1215</v>
      </c>
      <c r="NB563" t="s">
        <v>1215</v>
      </c>
      <c r="NG563" t="s">
        <v>480</v>
      </c>
      <c r="NH563" t="s">
        <v>711</v>
      </c>
      <c r="NJ563" t="s">
        <v>689</v>
      </c>
      <c r="NL563" t="s">
        <v>689</v>
      </c>
      <c r="NV563" t="s">
        <v>518</v>
      </c>
      <c r="NW563">
        <v>0.22424242</v>
      </c>
      <c r="NX563" s="220" t="s">
        <v>1192</v>
      </c>
      <c r="NY563">
        <v>0.15</v>
      </c>
      <c r="OB563">
        <v>9</v>
      </c>
      <c r="OU563" t="s">
        <v>1216</v>
      </c>
      <c r="OX563">
        <v>2006</v>
      </c>
      <c r="OZ563" t="s">
        <v>1194</v>
      </c>
      <c r="PB563" t="s">
        <v>522</v>
      </c>
      <c r="PC563" s="50">
        <v>46120</v>
      </c>
    </row>
    <row r="564" spans="1:419" ht="15.75" thickBot="1">
      <c r="A564" t="s">
        <v>665</v>
      </c>
      <c r="B564" t="s">
        <v>1176</v>
      </c>
      <c r="C564" t="s">
        <v>1177</v>
      </c>
      <c r="D564" s="4" t="s">
        <v>950</v>
      </c>
      <c r="E564" t="s">
        <v>1178</v>
      </c>
      <c r="F564" t="s">
        <v>1179</v>
      </c>
      <c r="G564" t="s">
        <v>475</v>
      </c>
      <c r="H564" t="s">
        <v>476</v>
      </c>
      <c r="I564">
        <v>-13.65</v>
      </c>
      <c r="J564">
        <v>32.566666669999996</v>
      </c>
      <c r="K564">
        <v>200</v>
      </c>
      <c r="AV564" t="s">
        <v>1180</v>
      </c>
      <c r="AW564">
        <v>100</v>
      </c>
      <c r="AX564" t="s">
        <v>866</v>
      </c>
      <c r="AY564" s="5">
        <v>8</v>
      </c>
      <c r="AZ564" t="s">
        <v>1181</v>
      </c>
      <c r="BA564">
        <v>1999</v>
      </c>
      <c r="BB564">
        <v>2007</v>
      </c>
      <c r="BD564" t="s">
        <v>1200</v>
      </c>
      <c r="BE564" t="s">
        <v>611</v>
      </c>
      <c r="BF564" t="s">
        <v>484</v>
      </c>
      <c r="BG564" t="s">
        <v>485</v>
      </c>
      <c r="BH564" t="s">
        <v>1183</v>
      </c>
      <c r="BI564" t="s">
        <v>486</v>
      </c>
      <c r="BJ564">
        <v>44440</v>
      </c>
      <c r="BK564" t="s">
        <v>555</v>
      </c>
      <c r="FM564" s="9"/>
      <c r="FN564" s="9"/>
      <c r="FO564" s="9"/>
      <c r="FP564" s="9"/>
      <c r="FQ564" s="9"/>
      <c r="FR564" s="9"/>
      <c r="FS564" s="9"/>
      <c r="FT564" s="9"/>
      <c r="FU564" s="9"/>
      <c r="FV564" s="9"/>
      <c r="FW564" s="9"/>
      <c r="FX564" s="9"/>
      <c r="FY564" s="9"/>
      <c r="FZ564" s="9"/>
      <c r="GA564" s="9"/>
      <c r="GB564" s="9"/>
      <c r="GC564" s="9"/>
      <c r="GD564" s="9"/>
      <c r="GE564" s="9"/>
      <c r="GF564" s="9"/>
      <c r="GG564" s="9"/>
      <c r="GH564" s="9"/>
      <c r="GI564" s="9"/>
      <c r="GJ564" s="9"/>
      <c r="GK564" s="9"/>
      <c r="GL564" s="9"/>
      <c r="GM564" s="9"/>
      <c r="GN564" s="9"/>
      <c r="GO564" s="9"/>
      <c r="GP564" s="9"/>
      <c r="GQ564" s="9"/>
      <c r="GR564" s="9"/>
      <c r="GS564" s="9"/>
      <c r="GT564" s="9"/>
      <c r="GU564" s="9"/>
      <c r="GV564" s="9"/>
      <c r="GW564" s="9"/>
      <c r="GX564" s="9"/>
      <c r="GY564" s="9"/>
      <c r="GZ564" s="9"/>
      <c r="HA564" s="9"/>
      <c r="HB564" s="9"/>
      <c r="HC564" s="9"/>
      <c r="HD564" s="9"/>
      <c r="HE564" s="9"/>
      <c r="HF564" s="9"/>
      <c r="HG564" s="9"/>
      <c r="HH564" s="9"/>
      <c r="HI564" s="9"/>
      <c r="HJ564" s="9"/>
      <c r="HK564" s="9"/>
      <c r="HL564" s="9"/>
      <c r="HT564" s="50">
        <v>36495</v>
      </c>
      <c r="IO564" t="s">
        <v>1201</v>
      </c>
      <c r="IP564" s="46" t="s">
        <v>1185</v>
      </c>
      <c r="IS564">
        <v>1999</v>
      </c>
      <c r="IU564" s="4" t="s">
        <v>1186</v>
      </c>
      <c r="JL564" t="s">
        <v>1187</v>
      </c>
      <c r="KE564" t="s">
        <v>1188</v>
      </c>
      <c r="KF564" s="75" t="s">
        <v>1001</v>
      </c>
      <c r="MY564" t="s">
        <v>1189</v>
      </c>
      <c r="MZ564">
        <v>6.25E-2</v>
      </c>
      <c r="NA564" t="s">
        <v>1215</v>
      </c>
      <c r="NB564" t="s">
        <v>1215</v>
      </c>
      <c r="NG564" t="s">
        <v>480</v>
      </c>
      <c r="NH564" t="s">
        <v>711</v>
      </c>
      <c r="NJ564" t="s">
        <v>689</v>
      </c>
      <c r="NL564" t="s">
        <v>689</v>
      </c>
      <c r="NV564" t="s">
        <v>518</v>
      </c>
      <c r="NW564">
        <v>0.22424242</v>
      </c>
      <c r="NX564" s="220" t="s">
        <v>1192</v>
      </c>
      <c r="NY564">
        <v>0.15</v>
      </c>
      <c r="OB564">
        <v>9</v>
      </c>
      <c r="OU564" t="s">
        <v>1216</v>
      </c>
      <c r="OX564">
        <v>2006</v>
      </c>
      <c r="OZ564" t="s">
        <v>1194</v>
      </c>
      <c r="PB564" t="s">
        <v>522</v>
      </c>
      <c r="PC564" s="50">
        <v>46120</v>
      </c>
    </row>
    <row r="565" spans="1:419" ht="15.75" thickBot="1">
      <c r="A565" t="s">
        <v>665</v>
      </c>
      <c r="B565" t="s">
        <v>1176</v>
      </c>
      <c r="C565" t="s">
        <v>1177</v>
      </c>
      <c r="D565" s="4" t="s">
        <v>950</v>
      </c>
      <c r="E565" t="s">
        <v>1178</v>
      </c>
      <c r="F565" t="s">
        <v>1179</v>
      </c>
      <c r="G565" t="s">
        <v>475</v>
      </c>
      <c r="H565" t="s">
        <v>476</v>
      </c>
      <c r="I565">
        <v>-13.65</v>
      </c>
      <c r="J565">
        <v>32.566666669999996</v>
      </c>
      <c r="K565">
        <v>200</v>
      </c>
      <c r="AV565" t="s">
        <v>1180</v>
      </c>
      <c r="AW565">
        <v>100</v>
      </c>
      <c r="AX565" t="s">
        <v>866</v>
      </c>
      <c r="AY565" s="5">
        <v>8</v>
      </c>
      <c r="AZ565" t="s">
        <v>1181</v>
      </c>
      <c r="BA565">
        <v>1999</v>
      </c>
      <c r="BB565">
        <v>2007</v>
      </c>
      <c r="BD565" t="s">
        <v>1202</v>
      </c>
      <c r="BE565" t="s">
        <v>524</v>
      </c>
      <c r="BF565" t="s">
        <v>484</v>
      </c>
      <c r="BG565" t="s">
        <v>485</v>
      </c>
      <c r="BH565" t="s">
        <v>1183</v>
      </c>
      <c r="BI565" t="s">
        <v>486</v>
      </c>
      <c r="BJ565">
        <v>44440</v>
      </c>
      <c r="FM565" s="9"/>
      <c r="FN565" s="9"/>
      <c r="FO565" s="9"/>
      <c r="FP565" s="9"/>
      <c r="FQ565" s="9"/>
      <c r="FR565" s="9"/>
      <c r="FS565" s="9"/>
      <c r="FT565" s="9"/>
      <c r="FU565" s="9"/>
      <c r="FV565" s="9"/>
      <c r="FW565" s="9"/>
      <c r="FX565" s="9"/>
      <c r="FY565" s="9"/>
      <c r="FZ565" s="9"/>
      <c r="GA565" s="9"/>
      <c r="GB565" s="9"/>
      <c r="GC565" s="9"/>
      <c r="GD565" s="9"/>
      <c r="GE565" s="9"/>
      <c r="GF565" s="9"/>
      <c r="GG565" s="9"/>
      <c r="GH565" s="9"/>
      <c r="GI565" s="9"/>
      <c r="GJ565" s="9"/>
      <c r="GK565" s="9"/>
      <c r="GL565" s="9"/>
      <c r="GM565" s="9"/>
      <c r="GN565" s="9"/>
      <c r="GO565" s="9"/>
      <c r="GP565" s="9"/>
      <c r="GQ565" s="9"/>
      <c r="GR565" s="9"/>
      <c r="GS565" s="9"/>
      <c r="GT565" s="9"/>
      <c r="GU565" s="9"/>
      <c r="GV565" s="9"/>
      <c r="GW565" s="9"/>
      <c r="GX565" s="9"/>
      <c r="GY565" s="9"/>
      <c r="GZ565" s="9"/>
      <c r="HA565" s="9"/>
      <c r="HB565" s="9"/>
      <c r="HC565" s="9"/>
      <c r="HD565" s="9"/>
      <c r="HE565" s="9"/>
      <c r="HF565" s="9"/>
      <c r="HG565" s="9"/>
      <c r="HH565" s="9"/>
      <c r="HI565" s="9"/>
      <c r="HJ565" s="9"/>
      <c r="HK565" s="9"/>
      <c r="HL565" s="9"/>
      <c r="HT565" s="50">
        <v>36495</v>
      </c>
      <c r="IO565" t="s">
        <v>1203</v>
      </c>
      <c r="IP565" t="s">
        <v>492</v>
      </c>
      <c r="IS565">
        <v>1999</v>
      </c>
      <c r="JL565" t="s">
        <v>495</v>
      </c>
      <c r="JM565" t="s">
        <v>1204</v>
      </c>
      <c r="JN565" t="s">
        <v>497</v>
      </c>
      <c r="JO565" t="s">
        <v>1205</v>
      </c>
      <c r="JP565" t="s">
        <v>508</v>
      </c>
      <c r="JQ565" t="s">
        <v>1206</v>
      </c>
      <c r="JR565">
        <v>90</v>
      </c>
      <c r="JS565">
        <v>80</v>
      </c>
      <c r="KE565" t="s">
        <v>1188</v>
      </c>
      <c r="KF565" s="75" t="s">
        <v>1001</v>
      </c>
      <c r="MY565" t="s">
        <v>1189</v>
      </c>
      <c r="MZ565">
        <v>6.25E-2</v>
      </c>
      <c r="NA565" t="s">
        <v>1215</v>
      </c>
      <c r="NB565" t="s">
        <v>1215</v>
      </c>
      <c r="NG565" t="s">
        <v>480</v>
      </c>
      <c r="NH565" t="s">
        <v>711</v>
      </c>
      <c r="NJ565" t="s">
        <v>689</v>
      </c>
      <c r="NL565" t="s">
        <v>689</v>
      </c>
      <c r="NU565" t="s">
        <v>1025</v>
      </c>
      <c r="NV565" t="s">
        <v>518</v>
      </c>
      <c r="NW565">
        <v>0.22272727</v>
      </c>
      <c r="NX565" s="220" t="s">
        <v>1192</v>
      </c>
      <c r="NY565">
        <v>0.15</v>
      </c>
      <c r="OB565">
        <v>9</v>
      </c>
      <c r="OU565" t="s">
        <v>1216</v>
      </c>
      <c r="OX565">
        <v>2006</v>
      </c>
      <c r="OZ565" t="s">
        <v>1194</v>
      </c>
      <c r="PB565" t="s">
        <v>522</v>
      </c>
      <c r="PC565" s="50">
        <v>46120</v>
      </c>
    </row>
    <row r="566" spans="1:419" ht="15.75" thickBot="1">
      <c r="A566" t="s">
        <v>665</v>
      </c>
      <c r="B566" t="s">
        <v>1176</v>
      </c>
      <c r="C566" t="s">
        <v>1177</v>
      </c>
      <c r="D566" s="4" t="s">
        <v>950</v>
      </c>
      <c r="E566" t="s">
        <v>1178</v>
      </c>
      <c r="F566" t="s">
        <v>1179</v>
      </c>
      <c r="G566" t="s">
        <v>475</v>
      </c>
      <c r="H566" t="s">
        <v>476</v>
      </c>
      <c r="I566">
        <v>-13.65</v>
      </c>
      <c r="J566">
        <v>32.566666669999996</v>
      </c>
      <c r="K566">
        <v>200</v>
      </c>
      <c r="AV566" t="s">
        <v>1180</v>
      </c>
      <c r="AW566">
        <v>100</v>
      </c>
      <c r="AX566" t="s">
        <v>866</v>
      </c>
      <c r="AY566" s="5">
        <v>8</v>
      </c>
      <c r="AZ566" t="s">
        <v>1181</v>
      </c>
      <c r="BA566">
        <v>1999</v>
      </c>
      <c r="BB566">
        <v>2007</v>
      </c>
      <c r="BD566" t="s">
        <v>1182</v>
      </c>
      <c r="BE566" t="s">
        <v>536</v>
      </c>
      <c r="BF566" t="s">
        <v>484</v>
      </c>
      <c r="BG566" t="s">
        <v>485</v>
      </c>
      <c r="BH566" t="s">
        <v>1183</v>
      </c>
      <c r="BI566" t="s">
        <v>486</v>
      </c>
      <c r="BJ566">
        <v>44440</v>
      </c>
      <c r="BK566" t="s">
        <v>555</v>
      </c>
      <c r="BL566" t="s">
        <v>1184</v>
      </c>
      <c r="BM566" t="s">
        <v>480</v>
      </c>
      <c r="BN566" t="s">
        <v>486</v>
      </c>
      <c r="BO566">
        <v>10000</v>
      </c>
      <c r="FM566" s="9"/>
      <c r="FN566" s="9"/>
      <c r="FO566" s="9"/>
      <c r="FP566" s="9"/>
      <c r="FQ566" s="9"/>
      <c r="FR566" s="9"/>
      <c r="FS566" s="9"/>
      <c r="FT566" s="9"/>
      <c r="FU566" s="9"/>
      <c r="FV566" s="9"/>
      <c r="FW566" s="9"/>
      <c r="FX566" s="9"/>
      <c r="FY566" s="9"/>
      <c r="FZ566" s="9"/>
      <c r="GA566" s="9"/>
      <c r="GB566" s="9"/>
      <c r="GC566" s="9"/>
      <c r="GD566" s="9"/>
      <c r="GE566" s="9"/>
      <c r="GF566" s="9"/>
      <c r="GG566" s="9"/>
      <c r="GH566" s="9"/>
      <c r="GI566" s="9"/>
      <c r="GJ566" s="9"/>
      <c r="GK566" s="9"/>
      <c r="GL566" s="9"/>
      <c r="GM566" s="9"/>
      <c r="GN566" s="9"/>
      <c r="GO566" s="9"/>
      <c r="GP566" s="9"/>
      <c r="GQ566" s="9"/>
      <c r="GR566" s="9"/>
      <c r="GS566" s="9"/>
      <c r="GT566" s="9"/>
      <c r="GU566" s="9"/>
      <c r="GV566" s="9"/>
      <c r="GW566" s="9"/>
      <c r="GX566" s="9"/>
      <c r="GY566" s="9"/>
      <c r="GZ566" s="9"/>
      <c r="HA566" s="9"/>
      <c r="HB566" s="9"/>
      <c r="HC566" s="9"/>
      <c r="HD566" s="9"/>
      <c r="HE566" s="9"/>
      <c r="HF566" s="9"/>
      <c r="HG566" s="9"/>
      <c r="HH566" s="9"/>
      <c r="HI566" s="9"/>
      <c r="HJ566" s="9"/>
      <c r="HK566" s="9"/>
      <c r="HL566" s="9"/>
      <c r="HT566" s="50">
        <v>36495</v>
      </c>
      <c r="IO566" t="s">
        <v>1182</v>
      </c>
      <c r="IP566" s="46" t="s">
        <v>1185</v>
      </c>
      <c r="IS566">
        <v>1999</v>
      </c>
      <c r="IU566" s="4" t="s">
        <v>1186</v>
      </c>
      <c r="JL566" t="s">
        <v>1187</v>
      </c>
      <c r="KE566" t="s">
        <v>1188</v>
      </c>
      <c r="KF566" s="75" t="s">
        <v>1001</v>
      </c>
      <c r="MY566" t="s">
        <v>1217</v>
      </c>
      <c r="MZ566">
        <v>100</v>
      </c>
      <c r="NA566" t="s">
        <v>1218</v>
      </c>
      <c r="NB566" t="s">
        <v>548</v>
      </c>
      <c r="NJ566" t="s">
        <v>1219</v>
      </c>
      <c r="NL566" t="s">
        <v>660</v>
      </c>
      <c r="NV566" t="s">
        <v>518</v>
      </c>
      <c r="NW566" s="5" t="s">
        <v>1220</v>
      </c>
      <c r="NX566" s="220" t="s">
        <v>1192</v>
      </c>
      <c r="NY566">
        <v>0.79166666666667007</v>
      </c>
      <c r="OB566">
        <v>3</v>
      </c>
      <c r="OU566" t="s">
        <v>1221</v>
      </c>
      <c r="OX566">
        <v>2001</v>
      </c>
      <c r="OY566">
        <v>2002</v>
      </c>
      <c r="PB566" t="s">
        <v>522</v>
      </c>
      <c r="PC566" s="50">
        <v>46164</v>
      </c>
    </row>
    <row r="567" spans="1:419" ht="15.75" thickBot="1">
      <c r="A567" t="s">
        <v>665</v>
      </c>
      <c r="B567" t="s">
        <v>1176</v>
      </c>
      <c r="C567" t="s">
        <v>1177</v>
      </c>
      <c r="D567" s="4" t="s">
        <v>950</v>
      </c>
      <c r="E567" t="s">
        <v>1178</v>
      </c>
      <c r="F567" t="s">
        <v>1179</v>
      </c>
      <c r="G567" t="s">
        <v>475</v>
      </c>
      <c r="H567" t="s">
        <v>476</v>
      </c>
      <c r="I567">
        <v>-13.65</v>
      </c>
      <c r="J567">
        <v>32.566666669999996</v>
      </c>
      <c r="K567">
        <v>200</v>
      </c>
      <c r="AV567" t="s">
        <v>1180</v>
      </c>
      <c r="AW567">
        <v>100</v>
      </c>
      <c r="AX567" t="s">
        <v>866</v>
      </c>
      <c r="AY567" s="5">
        <v>8</v>
      </c>
      <c r="AZ567" t="s">
        <v>1181</v>
      </c>
      <c r="BA567">
        <v>1999</v>
      </c>
      <c r="BB567">
        <v>2007</v>
      </c>
      <c r="BD567" t="s">
        <v>1195</v>
      </c>
      <c r="BE567" t="s">
        <v>566</v>
      </c>
      <c r="BF567" t="s">
        <v>484</v>
      </c>
      <c r="BG567" t="s">
        <v>485</v>
      </c>
      <c r="BH567" t="s">
        <v>1183</v>
      </c>
      <c r="BI567" t="s">
        <v>486</v>
      </c>
      <c r="BJ567">
        <v>44440</v>
      </c>
      <c r="BK567" t="s">
        <v>555</v>
      </c>
      <c r="BL567" t="s">
        <v>1184</v>
      </c>
      <c r="BM567" t="s">
        <v>480</v>
      </c>
      <c r="BN567" t="s">
        <v>486</v>
      </c>
      <c r="BO567">
        <v>5000</v>
      </c>
      <c r="BP567" t="s">
        <v>537</v>
      </c>
      <c r="ED567" t="s">
        <v>676</v>
      </c>
      <c r="EE567" t="s">
        <v>486</v>
      </c>
      <c r="EF567">
        <v>5000</v>
      </c>
      <c r="FM567" s="9"/>
      <c r="FN567" s="9"/>
      <c r="FO567" s="9"/>
      <c r="FP567" s="9"/>
      <c r="FQ567" s="9"/>
      <c r="FR567" s="9"/>
      <c r="FS567" s="9"/>
      <c r="FT567" s="9"/>
      <c r="FU567" s="9"/>
      <c r="FV567" s="9"/>
      <c r="FW567" s="9"/>
      <c r="FX567" s="9"/>
      <c r="FY567" s="9"/>
      <c r="FZ567" s="9"/>
      <c r="GA567" s="9"/>
      <c r="GB567" s="9"/>
      <c r="GC567" s="9"/>
      <c r="GD567" s="9"/>
      <c r="GE567" s="9"/>
      <c r="GF567" s="9"/>
      <c r="GG567" s="9"/>
      <c r="GH567" s="9"/>
      <c r="GI567" s="9"/>
      <c r="GJ567" s="9"/>
      <c r="GK567" s="9"/>
      <c r="GL567" s="9"/>
      <c r="GM567" s="9"/>
      <c r="GN567" s="9"/>
      <c r="GO567" s="9"/>
      <c r="GP567" s="9"/>
      <c r="GQ567" s="9"/>
      <c r="GR567" s="9"/>
      <c r="GS567" s="9"/>
      <c r="GT567" s="9"/>
      <c r="GU567" s="9"/>
      <c r="GV567" s="9"/>
      <c r="GW567" s="9"/>
      <c r="GX567" s="9"/>
      <c r="GY567" s="9"/>
      <c r="GZ567" s="9"/>
      <c r="HA567" s="9"/>
      <c r="HB567" s="9"/>
      <c r="HC567" s="9"/>
      <c r="HD567" s="9"/>
      <c r="HE567" s="9"/>
      <c r="HF567" s="9"/>
      <c r="HG567" s="9"/>
      <c r="HH567" s="9"/>
      <c r="HI567" s="9"/>
      <c r="HJ567" s="9"/>
      <c r="HK567" s="9"/>
      <c r="HL567" s="9"/>
      <c r="HT567" s="50">
        <v>36495</v>
      </c>
      <c r="IO567" t="s">
        <v>1195</v>
      </c>
      <c r="IP567" s="75" t="s">
        <v>679</v>
      </c>
      <c r="IS567">
        <v>1999</v>
      </c>
      <c r="IU567" s="4" t="s">
        <v>1186</v>
      </c>
      <c r="JL567" t="s">
        <v>1187</v>
      </c>
      <c r="KE567" t="s">
        <v>1188</v>
      </c>
      <c r="KF567" s="75" t="s">
        <v>1001</v>
      </c>
      <c r="MY567" t="s">
        <v>1217</v>
      </c>
      <c r="MZ567">
        <v>100</v>
      </c>
      <c r="NA567" t="s">
        <v>1218</v>
      </c>
      <c r="NB567" t="s">
        <v>548</v>
      </c>
      <c r="NJ567" t="s">
        <v>1219</v>
      </c>
      <c r="NL567" t="s">
        <v>660</v>
      </c>
      <c r="NV567" t="s">
        <v>518</v>
      </c>
      <c r="NW567" s="5" t="s">
        <v>1222</v>
      </c>
      <c r="NX567" s="220" t="s">
        <v>1192</v>
      </c>
      <c r="NY567">
        <v>0.60416666666667052</v>
      </c>
      <c r="OB567">
        <v>3</v>
      </c>
      <c r="OU567" t="s">
        <v>1221</v>
      </c>
      <c r="OX567">
        <v>2001</v>
      </c>
      <c r="OY567">
        <v>2002</v>
      </c>
      <c r="PB567" t="s">
        <v>522</v>
      </c>
      <c r="PC567" s="50">
        <v>46164</v>
      </c>
    </row>
    <row r="568" spans="1:419" ht="15.75" thickBot="1">
      <c r="A568" t="s">
        <v>665</v>
      </c>
      <c r="B568" t="s">
        <v>1176</v>
      </c>
      <c r="C568" t="s">
        <v>1177</v>
      </c>
      <c r="D568" s="4" t="s">
        <v>950</v>
      </c>
      <c r="E568" t="s">
        <v>1178</v>
      </c>
      <c r="F568" t="s">
        <v>1179</v>
      </c>
      <c r="G568" t="s">
        <v>475</v>
      </c>
      <c r="H568" t="s">
        <v>476</v>
      </c>
      <c r="I568">
        <v>-13.65</v>
      </c>
      <c r="J568">
        <v>32.566666669999996</v>
      </c>
      <c r="K568">
        <v>200</v>
      </c>
      <c r="AV568" t="s">
        <v>1180</v>
      </c>
      <c r="AW568">
        <v>100</v>
      </c>
      <c r="AX568" t="s">
        <v>866</v>
      </c>
      <c r="AY568" s="5">
        <v>8</v>
      </c>
      <c r="AZ568" t="s">
        <v>1181</v>
      </c>
      <c r="BA568">
        <v>1999</v>
      </c>
      <c r="BB568">
        <v>2007</v>
      </c>
      <c r="BD568" t="s">
        <v>1196</v>
      </c>
      <c r="BE568" t="s">
        <v>572</v>
      </c>
      <c r="BF568" t="s">
        <v>484</v>
      </c>
      <c r="BG568" t="s">
        <v>485</v>
      </c>
      <c r="BH568" t="s">
        <v>1183</v>
      </c>
      <c r="BI568" t="s">
        <v>486</v>
      </c>
      <c r="BJ568">
        <v>44440</v>
      </c>
      <c r="BK568" t="s">
        <v>555</v>
      </c>
      <c r="ED568" t="s">
        <v>1197</v>
      </c>
      <c r="EE568" t="s">
        <v>486</v>
      </c>
      <c r="EF568">
        <v>10000</v>
      </c>
      <c r="FM568" s="9"/>
      <c r="FN568" s="9"/>
      <c r="FO568" s="9"/>
      <c r="FP568" s="9"/>
      <c r="FQ568" s="9"/>
      <c r="FR568" s="9"/>
      <c r="FS568" s="9"/>
      <c r="FT568" s="9"/>
      <c r="FU568" s="9"/>
      <c r="FV568" s="9"/>
      <c r="FW568" s="9"/>
      <c r="FX568" s="9"/>
      <c r="FY568" s="9"/>
      <c r="FZ568" s="9"/>
      <c r="GA568" s="9"/>
      <c r="GB568" s="9"/>
      <c r="GC568" s="9"/>
      <c r="GD568" s="9"/>
      <c r="GE568" s="9"/>
      <c r="GF568" s="9"/>
      <c r="GG568" s="9"/>
      <c r="GH568" s="9"/>
      <c r="GI568" s="9"/>
      <c r="GJ568" s="9"/>
      <c r="GK568" s="9"/>
      <c r="GL568" s="9"/>
      <c r="GM568" s="9"/>
      <c r="GN568" s="9"/>
      <c r="GO568" s="9"/>
      <c r="GP568" s="9"/>
      <c r="GQ568" s="9"/>
      <c r="GR568" s="9"/>
      <c r="GS568" s="9"/>
      <c r="GT568" s="9"/>
      <c r="GU568" s="9"/>
      <c r="GV568" s="9"/>
      <c r="GW568" s="9"/>
      <c r="GX568" s="9"/>
      <c r="GY568" s="9"/>
      <c r="GZ568" s="9"/>
      <c r="HA568" s="9"/>
      <c r="HB568" s="9"/>
      <c r="HC568" s="9"/>
      <c r="HD568" s="9"/>
      <c r="HE568" s="9"/>
      <c r="HF568" s="9"/>
      <c r="HG568" s="9"/>
      <c r="HH568" s="9"/>
      <c r="HI568" s="9"/>
      <c r="HJ568" s="9"/>
      <c r="HK568" s="9"/>
      <c r="HL568" s="9"/>
      <c r="HT568" s="50">
        <v>36495</v>
      </c>
      <c r="IO568" t="s">
        <v>1196</v>
      </c>
      <c r="IP568" s="75" t="s">
        <v>679</v>
      </c>
      <c r="IS568">
        <v>1999</v>
      </c>
      <c r="IU568" s="4" t="s">
        <v>1186</v>
      </c>
      <c r="JL568" t="s">
        <v>1187</v>
      </c>
      <c r="KE568" t="s">
        <v>1188</v>
      </c>
      <c r="KF568" s="75" t="s">
        <v>1001</v>
      </c>
      <c r="MY568" t="s">
        <v>1217</v>
      </c>
      <c r="MZ568">
        <v>100</v>
      </c>
      <c r="NA568" t="s">
        <v>1218</v>
      </c>
      <c r="NB568" t="s">
        <v>548</v>
      </c>
      <c r="NJ568" t="s">
        <v>1219</v>
      </c>
      <c r="NL568" t="s">
        <v>660</v>
      </c>
      <c r="NV568" t="s">
        <v>518</v>
      </c>
      <c r="NW568" s="5" t="s">
        <v>1223</v>
      </c>
      <c r="NX568" s="220" t="s">
        <v>1192</v>
      </c>
      <c r="NY568">
        <v>0.4375</v>
      </c>
      <c r="OB568">
        <v>3</v>
      </c>
      <c r="OU568" t="s">
        <v>1221</v>
      </c>
      <c r="OX568">
        <v>2001</v>
      </c>
      <c r="OY568">
        <v>2002</v>
      </c>
      <c r="PB568" t="s">
        <v>522</v>
      </c>
      <c r="PC568" s="50">
        <v>46164</v>
      </c>
    </row>
    <row r="569" spans="1:419" ht="15.75" thickBot="1">
      <c r="A569" t="s">
        <v>665</v>
      </c>
      <c r="B569" t="s">
        <v>1176</v>
      </c>
      <c r="C569" t="s">
        <v>1177</v>
      </c>
      <c r="D569" s="4" t="s">
        <v>950</v>
      </c>
      <c r="E569" t="s">
        <v>1178</v>
      </c>
      <c r="F569" t="s">
        <v>1179</v>
      </c>
      <c r="G569" t="s">
        <v>475</v>
      </c>
      <c r="H569" t="s">
        <v>476</v>
      </c>
      <c r="I569">
        <v>-13.65</v>
      </c>
      <c r="J569">
        <v>32.566666669999996</v>
      </c>
      <c r="K569">
        <v>200</v>
      </c>
      <c r="AV569" t="s">
        <v>1180</v>
      </c>
      <c r="AW569">
        <v>100</v>
      </c>
      <c r="AX569" t="s">
        <v>866</v>
      </c>
      <c r="AY569" s="5">
        <v>8</v>
      </c>
      <c r="AZ569" t="s">
        <v>1181</v>
      </c>
      <c r="BA569">
        <v>1999</v>
      </c>
      <c r="BB569">
        <v>2007</v>
      </c>
      <c r="BD569" t="s">
        <v>1198</v>
      </c>
      <c r="BE569" t="s">
        <v>553</v>
      </c>
      <c r="BF569" t="s">
        <v>484</v>
      </c>
      <c r="BG569" t="s">
        <v>485</v>
      </c>
      <c r="BH569" t="s">
        <v>1183</v>
      </c>
      <c r="BI569" t="s">
        <v>486</v>
      </c>
      <c r="BJ569">
        <v>44440</v>
      </c>
      <c r="BK569" t="s">
        <v>555</v>
      </c>
      <c r="ED569" t="s">
        <v>676</v>
      </c>
      <c r="EE569" t="s">
        <v>486</v>
      </c>
      <c r="EF569">
        <v>5000</v>
      </c>
      <c r="EG569" t="s">
        <v>537</v>
      </c>
      <c r="EH569" t="s">
        <v>1197</v>
      </c>
      <c r="EI569" t="s">
        <v>486</v>
      </c>
      <c r="EJ569">
        <v>5000</v>
      </c>
      <c r="FM569" s="9"/>
      <c r="FN569" s="9"/>
      <c r="FO569" s="9"/>
      <c r="FP569" s="9"/>
      <c r="FQ569" s="9"/>
      <c r="FR569" s="9"/>
      <c r="FS569" s="9"/>
      <c r="FT569" s="9"/>
      <c r="FU569" s="9"/>
      <c r="FV569" s="9"/>
      <c r="FW569" s="9"/>
      <c r="FX569" s="9"/>
      <c r="FY569" s="9"/>
      <c r="FZ569" s="9"/>
      <c r="GA569" s="9"/>
      <c r="GB569" s="9"/>
      <c r="GC569" s="9"/>
      <c r="GD569" s="9"/>
      <c r="GE569" s="9"/>
      <c r="GF569" s="9"/>
      <c r="GG569" s="9"/>
      <c r="GH569" s="9"/>
      <c r="GI569" s="9"/>
      <c r="GJ569" s="9"/>
      <c r="GK569" s="9"/>
      <c r="GL569" s="9"/>
      <c r="GM569" s="9"/>
      <c r="GN569" s="9"/>
      <c r="GO569" s="9"/>
      <c r="GP569" s="9"/>
      <c r="GQ569" s="9"/>
      <c r="GR569" s="9"/>
      <c r="GS569" s="9"/>
      <c r="GT569" s="9"/>
      <c r="GU569" s="9"/>
      <c r="GV569" s="9"/>
      <c r="GW569" s="9"/>
      <c r="GX569" s="9"/>
      <c r="GY569" s="9"/>
      <c r="GZ569" s="9"/>
      <c r="HA569" s="9"/>
      <c r="HB569" s="9"/>
      <c r="HC569" s="9"/>
      <c r="HD569" s="9"/>
      <c r="HE569" s="9"/>
      <c r="HF569" s="9"/>
      <c r="HG569" s="9"/>
      <c r="HH569" s="9"/>
      <c r="HI569" s="9"/>
      <c r="HJ569" s="9"/>
      <c r="HK569" s="9"/>
      <c r="HL569" s="9"/>
      <c r="HT569" s="50">
        <v>36495</v>
      </c>
      <c r="IO569" t="s">
        <v>1198</v>
      </c>
      <c r="IP569" s="75" t="s">
        <v>679</v>
      </c>
      <c r="IS569">
        <v>1999</v>
      </c>
      <c r="IU569" s="4" t="s">
        <v>1186</v>
      </c>
      <c r="JL569" t="s">
        <v>1187</v>
      </c>
      <c r="KE569" t="s">
        <v>1188</v>
      </c>
      <c r="KF569" s="75" t="s">
        <v>1001</v>
      </c>
      <c r="MY569" t="s">
        <v>1217</v>
      </c>
      <c r="MZ569">
        <v>100</v>
      </c>
      <c r="NA569" t="s">
        <v>1218</v>
      </c>
      <c r="NB569" t="s">
        <v>548</v>
      </c>
      <c r="NJ569" t="s">
        <v>1219</v>
      </c>
      <c r="NL569" t="s">
        <v>660</v>
      </c>
      <c r="NV569" t="s">
        <v>518</v>
      </c>
      <c r="NW569" s="5" t="s">
        <v>1224</v>
      </c>
      <c r="NX569" s="220" t="s">
        <v>1192</v>
      </c>
      <c r="NY569">
        <v>1.0416666666666705</v>
      </c>
      <c r="OB569">
        <v>3</v>
      </c>
      <c r="OU569" t="s">
        <v>1221</v>
      </c>
      <c r="OX569">
        <v>2001</v>
      </c>
      <c r="OY569">
        <v>2002</v>
      </c>
      <c r="PB569" t="s">
        <v>522</v>
      </c>
      <c r="PC569" s="50">
        <v>46164</v>
      </c>
    </row>
    <row r="570" spans="1:419" ht="15.75" thickBot="1">
      <c r="A570" t="s">
        <v>665</v>
      </c>
      <c r="B570" t="s">
        <v>1176</v>
      </c>
      <c r="C570" t="s">
        <v>1177</v>
      </c>
      <c r="D570" s="4" t="s">
        <v>950</v>
      </c>
      <c r="E570" t="s">
        <v>1178</v>
      </c>
      <c r="F570" t="s">
        <v>1179</v>
      </c>
      <c r="G570" t="s">
        <v>475</v>
      </c>
      <c r="H570" t="s">
        <v>476</v>
      </c>
      <c r="I570">
        <v>-13.65</v>
      </c>
      <c r="J570">
        <v>32.566666669999996</v>
      </c>
      <c r="K570">
        <v>200</v>
      </c>
      <c r="AV570" t="s">
        <v>1180</v>
      </c>
      <c r="AW570">
        <v>100</v>
      </c>
      <c r="AX570" t="s">
        <v>866</v>
      </c>
      <c r="AY570" s="5">
        <v>8</v>
      </c>
      <c r="AZ570" t="s">
        <v>1181</v>
      </c>
      <c r="BA570">
        <v>1999</v>
      </c>
      <c r="BB570">
        <v>2007</v>
      </c>
      <c r="BD570" t="s">
        <v>1199</v>
      </c>
      <c r="BE570" t="s">
        <v>607</v>
      </c>
      <c r="BF570" t="s">
        <v>484</v>
      </c>
      <c r="BG570" t="s">
        <v>485</v>
      </c>
      <c r="BH570" t="s">
        <v>1183</v>
      </c>
      <c r="BI570" t="s">
        <v>486</v>
      </c>
      <c r="BJ570">
        <v>44440</v>
      </c>
      <c r="BK570" t="s">
        <v>555</v>
      </c>
      <c r="ED570" t="s">
        <v>676</v>
      </c>
      <c r="EE570" t="s">
        <v>486</v>
      </c>
      <c r="EF570">
        <v>10000</v>
      </c>
      <c r="FM570" s="9"/>
      <c r="FN570" s="9"/>
      <c r="FO570" s="9"/>
      <c r="FP570" s="9"/>
      <c r="FQ570" s="9"/>
      <c r="FR570" s="9"/>
      <c r="FS570" s="9"/>
      <c r="FT570" s="9"/>
      <c r="FU570" s="9"/>
      <c r="FV570" s="9"/>
      <c r="FW570" s="9"/>
      <c r="FX570" s="9"/>
      <c r="FY570" s="9"/>
      <c r="FZ570" s="9"/>
      <c r="GA570" s="9"/>
      <c r="GB570" s="9"/>
      <c r="GC570" s="9"/>
      <c r="GD570" s="9"/>
      <c r="GE570" s="9"/>
      <c r="GF570" s="9"/>
      <c r="GG570" s="9"/>
      <c r="GH570" s="9"/>
      <c r="GI570" s="9"/>
      <c r="GJ570" s="9"/>
      <c r="GK570" s="9"/>
      <c r="GL570" s="9"/>
      <c r="GM570" s="9"/>
      <c r="GN570" s="9"/>
      <c r="GO570" s="9"/>
      <c r="GP570" s="9"/>
      <c r="GQ570" s="9"/>
      <c r="GR570" s="9"/>
      <c r="GS570" s="9"/>
      <c r="GT570" s="9"/>
      <c r="GU570" s="9"/>
      <c r="GV570" s="9"/>
      <c r="GW570" s="9"/>
      <c r="GX570" s="9"/>
      <c r="GY570" s="9"/>
      <c r="GZ570" s="9"/>
      <c r="HA570" s="9"/>
      <c r="HB570" s="9"/>
      <c r="HC570" s="9"/>
      <c r="HD570" s="9"/>
      <c r="HE570" s="9"/>
      <c r="HF570" s="9"/>
      <c r="HG570" s="9"/>
      <c r="HH570" s="9"/>
      <c r="HI570" s="9"/>
      <c r="HJ570" s="9"/>
      <c r="HK570" s="9"/>
      <c r="HL570" s="9"/>
      <c r="HT570" s="50">
        <v>36495</v>
      </c>
      <c r="IO570" t="s">
        <v>1199</v>
      </c>
      <c r="IP570" s="75" t="s">
        <v>679</v>
      </c>
      <c r="IS570">
        <v>1999</v>
      </c>
      <c r="IU570" s="4" t="s">
        <v>1186</v>
      </c>
      <c r="JL570" t="s">
        <v>1187</v>
      </c>
      <c r="KE570" t="s">
        <v>1188</v>
      </c>
      <c r="KF570" s="75" t="s">
        <v>1001</v>
      </c>
      <c r="MY570" t="s">
        <v>1217</v>
      </c>
      <c r="MZ570">
        <v>100</v>
      </c>
      <c r="NA570" t="s">
        <v>1218</v>
      </c>
      <c r="NB570" t="s">
        <v>548</v>
      </c>
      <c r="NJ570" t="s">
        <v>1219</v>
      </c>
      <c r="NL570" t="s">
        <v>660</v>
      </c>
      <c r="NV570" t="s">
        <v>518</v>
      </c>
      <c r="NW570" s="5" t="s">
        <v>1225</v>
      </c>
      <c r="NX570" s="220" t="s">
        <v>1192</v>
      </c>
      <c r="NY570">
        <v>1.125</v>
      </c>
      <c r="OB570">
        <v>3</v>
      </c>
      <c r="OU570" t="s">
        <v>1221</v>
      </c>
      <c r="OX570">
        <v>2001</v>
      </c>
      <c r="OY570">
        <v>2002</v>
      </c>
      <c r="PB570" t="s">
        <v>522</v>
      </c>
      <c r="PC570" s="50">
        <v>46164</v>
      </c>
    </row>
    <row r="571" spans="1:419" ht="15.75" thickBot="1">
      <c r="A571" t="s">
        <v>665</v>
      </c>
      <c r="B571" t="s">
        <v>1176</v>
      </c>
      <c r="C571" t="s">
        <v>1177</v>
      </c>
      <c r="D571" s="4" t="s">
        <v>950</v>
      </c>
      <c r="E571" t="s">
        <v>1178</v>
      </c>
      <c r="F571" t="s">
        <v>1179</v>
      </c>
      <c r="G571" t="s">
        <v>475</v>
      </c>
      <c r="H571" t="s">
        <v>476</v>
      </c>
      <c r="I571">
        <v>-13.65</v>
      </c>
      <c r="J571">
        <v>32.566666669999996</v>
      </c>
      <c r="K571">
        <v>200</v>
      </c>
      <c r="AV571" t="s">
        <v>1180</v>
      </c>
      <c r="AW571">
        <v>100</v>
      </c>
      <c r="AX571" t="s">
        <v>866</v>
      </c>
      <c r="AY571" s="5">
        <v>8</v>
      </c>
      <c r="AZ571" t="s">
        <v>1181</v>
      </c>
      <c r="BA571">
        <v>1999</v>
      </c>
      <c r="BB571">
        <v>2007</v>
      </c>
      <c r="BD571" t="s">
        <v>1226</v>
      </c>
      <c r="BE571" t="s">
        <v>611</v>
      </c>
      <c r="BF571" t="s">
        <v>484</v>
      </c>
      <c r="BG571" t="s">
        <v>485</v>
      </c>
      <c r="BH571" t="s">
        <v>1183</v>
      </c>
      <c r="BI571" t="s">
        <v>486</v>
      </c>
      <c r="BJ571">
        <v>44440</v>
      </c>
      <c r="BK571" t="s">
        <v>555</v>
      </c>
      <c r="FM571" s="9"/>
      <c r="FN571" s="9"/>
      <c r="FO571" s="9"/>
      <c r="FP571" s="9"/>
      <c r="FQ571" s="9"/>
      <c r="FR571" s="9"/>
      <c r="FS571" s="9"/>
      <c r="FT571" s="9"/>
      <c r="FU571" s="9"/>
      <c r="FV571" s="9"/>
      <c r="FW571" s="9"/>
      <c r="FX571" s="9"/>
      <c r="FY571" s="9"/>
      <c r="FZ571" s="9"/>
      <c r="GA571" s="9"/>
      <c r="GB571" s="9"/>
      <c r="GC571" s="9"/>
      <c r="GD571" s="9"/>
      <c r="GE571" s="9"/>
      <c r="GF571" s="9"/>
      <c r="GG571" s="9"/>
      <c r="GH571" s="9"/>
      <c r="GI571" s="9"/>
      <c r="GJ571" s="9"/>
      <c r="GK571" s="9"/>
      <c r="GL571" s="9"/>
      <c r="GM571" s="9"/>
      <c r="GN571" s="9"/>
      <c r="GO571" s="9"/>
      <c r="GP571" s="9"/>
      <c r="GQ571" s="9"/>
      <c r="GR571" s="9"/>
      <c r="GS571" s="9"/>
      <c r="GT571" s="9"/>
      <c r="GU571" s="9"/>
      <c r="GV571" s="9"/>
      <c r="GW571" s="9"/>
      <c r="GX571" s="9"/>
      <c r="GY571" s="9"/>
      <c r="GZ571" s="9"/>
      <c r="HA571" s="9"/>
      <c r="HB571" s="9"/>
      <c r="HC571" s="9"/>
      <c r="HD571" s="9"/>
      <c r="HE571" s="9"/>
      <c r="HF571" s="9"/>
      <c r="HG571" s="9"/>
      <c r="HH571" s="9"/>
      <c r="HI571" s="9"/>
      <c r="HJ571" s="9"/>
      <c r="HK571" s="9"/>
      <c r="HL571" s="9"/>
      <c r="HT571" s="50">
        <v>36495</v>
      </c>
      <c r="IO571" t="s">
        <v>1201</v>
      </c>
      <c r="IP571" s="46" t="s">
        <v>1185</v>
      </c>
      <c r="IS571">
        <v>1999</v>
      </c>
      <c r="IU571" s="4" t="s">
        <v>1186</v>
      </c>
      <c r="JL571" t="s">
        <v>1187</v>
      </c>
      <c r="KE571" t="s">
        <v>1188</v>
      </c>
      <c r="KF571" s="75" t="s">
        <v>1001</v>
      </c>
      <c r="MY571" t="s">
        <v>1217</v>
      </c>
      <c r="MZ571">
        <v>100</v>
      </c>
      <c r="NA571" t="s">
        <v>1218</v>
      </c>
      <c r="NB571" t="s">
        <v>548</v>
      </c>
      <c r="NJ571" t="s">
        <v>1219</v>
      </c>
      <c r="NL571" t="s">
        <v>660</v>
      </c>
      <c r="NV571" t="s">
        <v>518</v>
      </c>
      <c r="NW571">
        <v>0.91666666666666696</v>
      </c>
      <c r="NX571" s="220" t="s">
        <v>1192</v>
      </c>
      <c r="NY571">
        <v>0.20833333333333304</v>
      </c>
      <c r="OB571">
        <v>3</v>
      </c>
      <c r="OU571" t="s">
        <v>1221</v>
      </c>
      <c r="OX571">
        <v>2001</v>
      </c>
      <c r="OY571">
        <v>2002</v>
      </c>
      <c r="PB571" t="s">
        <v>522</v>
      </c>
      <c r="PC571" s="50">
        <v>46164</v>
      </c>
    </row>
    <row r="572" spans="1:419" ht="15.75" thickBot="1">
      <c r="A572" t="s">
        <v>665</v>
      </c>
      <c r="B572" t="s">
        <v>1176</v>
      </c>
      <c r="C572" t="s">
        <v>1177</v>
      </c>
      <c r="D572" s="4" t="s">
        <v>950</v>
      </c>
      <c r="E572" t="s">
        <v>1178</v>
      </c>
      <c r="F572" t="s">
        <v>1179</v>
      </c>
      <c r="G572" t="s">
        <v>475</v>
      </c>
      <c r="H572" t="s">
        <v>476</v>
      </c>
      <c r="I572">
        <v>-13.65</v>
      </c>
      <c r="J572">
        <v>32.566666669999996</v>
      </c>
      <c r="K572">
        <v>200</v>
      </c>
      <c r="AV572" t="s">
        <v>1180</v>
      </c>
      <c r="AW572">
        <v>100</v>
      </c>
      <c r="AX572" t="s">
        <v>866</v>
      </c>
      <c r="AY572" s="5">
        <v>8</v>
      </c>
      <c r="AZ572" t="s">
        <v>1181</v>
      </c>
      <c r="BA572">
        <v>1999</v>
      </c>
      <c r="BB572">
        <v>2007</v>
      </c>
      <c r="BD572" t="s">
        <v>1202</v>
      </c>
      <c r="BE572" t="s">
        <v>524</v>
      </c>
      <c r="BF572" t="s">
        <v>484</v>
      </c>
      <c r="BG572" t="s">
        <v>485</v>
      </c>
      <c r="BH572" t="s">
        <v>1183</v>
      </c>
      <c r="BI572" t="s">
        <v>486</v>
      </c>
      <c r="BJ572">
        <v>44440</v>
      </c>
      <c r="FM572" s="9"/>
      <c r="FN572" s="9"/>
      <c r="FO572" s="9"/>
      <c r="FP572" s="9"/>
      <c r="FQ572" s="9"/>
      <c r="FR572" s="9"/>
      <c r="FS572" s="9"/>
      <c r="FT572" s="9"/>
      <c r="FU572" s="9"/>
      <c r="FV572" s="9"/>
      <c r="FW572" s="9"/>
      <c r="FX572" s="9"/>
      <c r="FY572" s="9"/>
      <c r="FZ572" s="9"/>
      <c r="GA572" s="9"/>
      <c r="GB572" s="9"/>
      <c r="GC572" s="9"/>
      <c r="GD572" s="9"/>
      <c r="GE572" s="9"/>
      <c r="GF572" s="9"/>
      <c r="GG572" s="9"/>
      <c r="GH572" s="9"/>
      <c r="GI572" s="9"/>
      <c r="GJ572" s="9"/>
      <c r="GK572" s="9"/>
      <c r="GL572" s="9"/>
      <c r="GM572" s="9"/>
      <c r="GN572" s="9"/>
      <c r="GO572" s="9"/>
      <c r="GP572" s="9"/>
      <c r="GQ572" s="9"/>
      <c r="GR572" s="9"/>
      <c r="GS572" s="9"/>
      <c r="GT572" s="9"/>
      <c r="GU572" s="9"/>
      <c r="GV572" s="9"/>
      <c r="GW572" s="9"/>
      <c r="GX572" s="9"/>
      <c r="GY572" s="9"/>
      <c r="GZ572" s="9"/>
      <c r="HA572" s="9"/>
      <c r="HB572" s="9"/>
      <c r="HC572" s="9"/>
      <c r="HD572" s="9"/>
      <c r="HE572" s="9"/>
      <c r="HF572" s="9"/>
      <c r="HG572" s="9"/>
      <c r="HH572" s="9"/>
      <c r="HI572" s="9"/>
      <c r="HJ572" s="9"/>
      <c r="HK572" s="9"/>
      <c r="HL572" s="9"/>
      <c r="HT572" s="50">
        <v>36495</v>
      </c>
      <c r="IO572" t="s">
        <v>1203</v>
      </c>
      <c r="IP572" t="s">
        <v>492</v>
      </c>
      <c r="IS572">
        <v>1999</v>
      </c>
      <c r="JL572" t="s">
        <v>495</v>
      </c>
      <c r="JM572" t="s">
        <v>1204</v>
      </c>
      <c r="JN572" t="s">
        <v>497</v>
      </c>
      <c r="JO572" t="s">
        <v>1205</v>
      </c>
      <c r="JP572" t="s">
        <v>508</v>
      </c>
      <c r="JQ572" t="s">
        <v>1206</v>
      </c>
      <c r="JR572">
        <v>90</v>
      </c>
      <c r="JS572">
        <v>80</v>
      </c>
      <c r="KE572" t="s">
        <v>1188</v>
      </c>
      <c r="KF572" s="75" t="s">
        <v>1001</v>
      </c>
      <c r="MY572" t="s">
        <v>1217</v>
      </c>
      <c r="MZ572">
        <v>100</v>
      </c>
      <c r="NA572" t="s">
        <v>1218</v>
      </c>
      <c r="NB572" t="s">
        <v>548</v>
      </c>
      <c r="NJ572" t="s">
        <v>1219</v>
      </c>
      <c r="NL572" t="s">
        <v>660</v>
      </c>
      <c r="NU572" t="s">
        <v>1025</v>
      </c>
      <c r="NV572" t="s">
        <v>518</v>
      </c>
      <c r="NW572" s="5" t="s">
        <v>1227</v>
      </c>
      <c r="NX572" s="220" t="s">
        <v>1192</v>
      </c>
      <c r="NY572">
        <v>8.3333333333340143E-2</v>
      </c>
      <c r="OB572">
        <v>3</v>
      </c>
      <c r="OU572" t="s">
        <v>1221</v>
      </c>
      <c r="OX572">
        <v>2001</v>
      </c>
      <c r="OY572">
        <v>2002</v>
      </c>
      <c r="PB572" t="s">
        <v>522</v>
      </c>
      <c r="PC572" s="50">
        <v>46164</v>
      </c>
    </row>
    <row r="573" spans="1:419" ht="15.75" thickBot="1">
      <c r="A573" t="s">
        <v>665</v>
      </c>
      <c r="B573" t="s">
        <v>1176</v>
      </c>
      <c r="C573" t="s">
        <v>1177</v>
      </c>
      <c r="D573" s="4" t="s">
        <v>950</v>
      </c>
      <c r="E573" t="s">
        <v>1178</v>
      </c>
      <c r="F573" t="s">
        <v>1179</v>
      </c>
      <c r="G573" t="s">
        <v>475</v>
      </c>
      <c r="H573" t="s">
        <v>476</v>
      </c>
      <c r="I573">
        <v>-13.65</v>
      </c>
      <c r="J573">
        <v>32.566666669999996</v>
      </c>
      <c r="K573">
        <v>200</v>
      </c>
      <c r="AV573" t="s">
        <v>1180</v>
      </c>
      <c r="AW573">
        <v>100</v>
      </c>
      <c r="AX573" t="s">
        <v>866</v>
      </c>
      <c r="AY573" s="5">
        <v>8</v>
      </c>
      <c r="AZ573" t="s">
        <v>1181</v>
      </c>
      <c r="BA573">
        <v>1999</v>
      </c>
      <c r="BB573">
        <v>2007</v>
      </c>
      <c r="BD573" t="s">
        <v>1182</v>
      </c>
      <c r="BE573" t="s">
        <v>536</v>
      </c>
      <c r="BF573" t="s">
        <v>484</v>
      </c>
      <c r="BG573" t="s">
        <v>485</v>
      </c>
      <c r="BH573" t="s">
        <v>1183</v>
      </c>
      <c r="BI573" t="s">
        <v>486</v>
      </c>
      <c r="BJ573">
        <v>44440</v>
      </c>
      <c r="BK573" t="s">
        <v>555</v>
      </c>
      <c r="BL573" t="s">
        <v>1184</v>
      </c>
      <c r="BM573" t="s">
        <v>480</v>
      </c>
      <c r="BN573" t="s">
        <v>486</v>
      </c>
      <c r="BO573">
        <v>10000</v>
      </c>
      <c r="FM573" s="9"/>
      <c r="FN573" s="9"/>
      <c r="FO573" s="9"/>
      <c r="FP573" s="9"/>
      <c r="FQ573" s="9"/>
      <c r="FR573" s="9"/>
      <c r="FS573" s="9"/>
      <c r="FT573" s="9"/>
      <c r="FU573" s="9"/>
      <c r="FV573" s="9"/>
      <c r="FW573" s="9"/>
      <c r="FX573" s="9"/>
      <c r="FY573" s="9"/>
      <c r="FZ573" s="9"/>
      <c r="GA573" s="9"/>
      <c r="GB573" s="9"/>
      <c r="GC573" s="9"/>
      <c r="GD573" s="9"/>
      <c r="GE573" s="9"/>
      <c r="GF573" s="9"/>
      <c r="GG573" s="9"/>
      <c r="GH573" s="9"/>
      <c r="GI573" s="9"/>
      <c r="GJ573" s="9"/>
      <c r="GK573" s="9"/>
      <c r="GL573" s="9"/>
      <c r="GM573" s="9"/>
      <c r="GN573" s="9"/>
      <c r="GO573" s="9"/>
      <c r="GP573" s="9"/>
      <c r="GQ573" s="9"/>
      <c r="GR573" s="9"/>
      <c r="GS573" s="9"/>
      <c r="GT573" s="9"/>
      <c r="GU573" s="9"/>
      <c r="GV573" s="9"/>
      <c r="GW573" s="9"/>
      <c r="GX573" s="9"/>
      <c r="GY573" s="9"/>
      <c r="GZ573" s="9"/>
      <c r="HA573" s="9"/>
      <c r="HB573" s="9"/>
      <c r="HC573" s="9"/>
      <c r="HD573" s="9"/>
      <c r="HE573" s="9"/>
      <c r="HF573" s="9"/>
      <c r="HG573" s="9"/>
      <c r="HH573" s="9"/>
      <c r="HI573" s="9"/>
      <c r="HJ573" s="9"/>
      <c r="HK573" s="9"/>
      <c r="HL573" s="9"/>
      <c r="HT573" s="50">
        <v>36495</v>
      </c>
      <c r="IO573" t="s">
        <v>1182</v>
      </c>
      <c r="IP573" s="46" t="s">
        <v>1185</v>
      </c>
      <c r="IS573">
        <v>1999</v>
      </c>
      <c r="IU573" s="4" t="s">
        <v>1186</v>
      </c>
      <c r="JL573" t="s">
        <v>1187</v>
      </c>
      <c r="KE573" t="s">
        <v>1188</v>
      </c>
      <c r="KF573" s="75" t="s">
        <v>1001</v>
      </c>
      <c r="MY573" t="s">
        <v>1217</v>
      </c>
      <c r="MZ573">
        <v>100</v>
      </c>
      <c r="NA573" t="s">
        <v>1218</v>
      </c>
      <c r="NB573" t="s">
        <v>548</v>
      </c>
      <c r="NJ573" t="s">
        <v>1219</v>
      </c>
      <c r="NL573" t="s">
        <v>660</v>
      </c>
      <c r="NV573" t="s">
        <v>518</v>
      </c>
      <c r="NW573" s="5" t="s">
        <v>1228</v>
      </c>
      <c r="NX573" s="220" t="s">
        <v>1192</v>
      </c>
      <c r="NY573">
        <v>0.37873338888644792</v>
      </c>
      <c r="OB573">
        <v>3</v>
      </c>
      <c r="OU573" t="s">
        <v>1229</v>
      </c>
      <c r="OX573">
        <v>2002</v>
      </c>
      <c r="OY573">
        <v>2003</v>
      </c>
      <c r="PB573" t="s">
        <v>522</v>
      </c>
      <c r="PC573" s="50">
        <v>46164</v>
      </c>
    </row>
    <row r="574" spans="1:419" ht="15.75" thickBot="1">
      <c r="A574" t="s">
        <v>665</v>
      </c>
      <c r="B574" t="s">
        <v>1176</v>
      </c>
      <c r="C574" t="s">
        <v>1177</v>
      </c>
      <c r="D574" s="4" t="s">
        <v>950</v>
      </c>
      <c r="E574" t="s">
        <v>1178</v>
      </c>
      <c r="F574" t="s">
        <v>1179</v>
      </c>
      <c r="G574" t="s">
        <v>475</v>
      </c>
      <c r="H574" t="s">
        <v>476</v>
      </c>
      <c r="I574">
        <v>-13.65</v>
      </c>
      <c r="J574">
        <v>32.566666669999996</v>
      </c>
      <c r="K574">
        <v>200</v>
      </c>
      <c r="AV574" t="s">
        <v>1180</v>
      </c>
      <c r="AW574">
        <v>100</v>
      </c>
      <c r="AX574" t="s">
        <v>866</v>
      </c>
      <c r="AY574" s="5">
        <v>8</v>
      </c>
      <c r="AZ574" t="s">
        <v>1181</v>
      </c>
      <c r="BA574">
        <v>1999</v>
      </c>
      <c r="BB574">
        <v>2007</v>
      </c>
      <c r="BD574" t="s">
        <v>1195</v>
      </c>
      <c r="BE574" t="s">
        <v>566</v>
      </c>
      <c r="BF574" t="s">
        <v>484</v>
      </c>
      <c r="BG574" t="s">
        <v>485</v>
      </c>
      <c r="BH574" t="s">
        <v>1183</v>
      </c>
      <c r="BI574" t="s">
        <v>486</v>
      </c>
      <c r="BJ574">
        <v>44440</v>
      </c>
      <c r="BK574" t="s">
        <v>555</v>
      </c>
      <c r="BL574" t="s">
        <v>1184</v>
      </c>
      <c r="BM574" t="s">
        <v>480</v>
      </c>
      <c r="BN574" t="s">
        <v>486</v>
      </c>
      <c r="BO574">
        <v>5000</v>
      </c>
      <c r="BP574" t="s">
        <v>537</v>
      </c>
      <c r="ED574" t="s">
        <v>676</v>
      </c>
      <c r="EE574" t="s">
        <v>486</v>
      </c>
      <c r="EF574">
        <v>5000</v>
      </c>
      <c r="FM574" s="9"/>
      <c r="FN574" s="9"/>
      <c r="FO574" s="9"/>
      <c r="FP574" s="9"/>
      <c r="FQ574" s="9"/>
      <c r="FR574" s="9"/>
      <c r="FS574" s="9"/>
      <c r="FT574" s="9"/>
      <c r="FU574" s="9"/>
      <c r="FV574" s="9"/>
      <c r="FW574" s="9"/>
      <c r="FX574" s="9"/>
      <c r="FY574" s="9"/>
      <c r="FZ574" s="9"/>
      <c r="GA574" s="9"/>
      <c r="GB574" s="9"/>
      <c r="GC574" s="9"/>
      <c r="GD574" s="9"/>
      <c r="GE574" s="9"/>
      <c r="GF574" s="9"/>
      <c r="GG574" s="9"/>
      <c r="GH574" s="9"/>
      <c r="GI574" s="9"/>
      <c r="GJ574" s="9"/>
      <c r="GK574" s="9"/>
      <c r="GL574" s="9"/>
      <c r="GM574" s="9"/>
      <c r="GN574" s="9"/>
      <c r="GO574" s="9"/>
      <c r="GP574" s="9"/>
      <c r="GQ574" s="9"/>
      <c r="GR574" s="9"/>
      <c r="GS574" s="9"/>
      <c r="GT574" s="9"/>
      <c r="GU574" s="9"/>
      <c r="GV574" s="9"/>
      <c r="GW574" s="9"/>
      <c r="GX574" s="9"/>
      <c r="GY574" s="9"/>
      <c r="GZ574" s="9"/>
      <c r="HA574" s="9"/>
      <c r="HB574" s="9"/>
      <c r="HC574" s="9"/>
      <c r="HD574" s="9"/>
      <c r="HE574" s="9"/>
      <c r="HF574" s="9"/>
      <c r="HG574" s="9"/>
      <c r="HH574" s="9"/>
      <c r="HI574" s="9"/>
      <c r="HJ574" s="9"/>
      <c r="HK574" s="9"/>
      <c r="HL574" s="9"/>
      <c r="HT574" s="50">
        <v>36495</v>
      </c>
      <c r="IO574" t="s">
        <v>1195</v>
      </c>
      <c r="IP574" s="75" t="s">
        <v>679</v>
      </c>
      <c r="IS574">
        <v>1999</v>
      </c>
      <c r="IU574" s="4" t="s">
        <v>1186</v>
      </c>
      <c r="JL574" t="s">
        <v>1187</v>
      </c>
      <c r="KE574" t="s">
        <v>1188</v>
      </c>
      <c r="KF574" s="75" t="s">
        <v>1001</v>
      </c>
      <c r="MY574" t="s">
        <v>1217</v>
      </c>
      <c r="MZ574">
        <v>100</v>
      </c>
      <c r="NA574" t="s">
        <v>1218</v>
      </c>
      <c r="NB574" t="s">
        <v>548</v>
      </c>
      <c r="NJ574" t="s">
        <v>1219</v>
      </c>
      <c r="NL574" t="s">
        <v>660</v>
      </c>
      <c r="NV574" t="s">
        <v>518</v>
      </c>
      <c r="NW574" s="5" t="s">
        <v>1230</v>
      </c>
      <c r="NX574" s="220" t="s">
        <v>1192</v>
      </c>
      <c r="NY574">
        <v>9.960089469760014E-2</v>
      </c>
      <c r="OB574">
        <v>3</v>
      </c>
      <c r="OU574" t="s">
        <v>1229</v>
      </c>
      <c r="OX574">
        <v>2002</v>
      </c>
      <c r="OY574">
        <v>2003</v>
      </c>
      <c r="PB574" t="s">
        <v>522</v>
      </c>
      <c r="PC574" s="50">
        <v>46164</v>
      </c>
    </row>
    <row r="575" spans="1:419" ht="15.75" thickBot="1">
      <c r="A575" t="s">
        <v>665</v>
      </c>
      <c r="B575" t="s">
        <v>1176</v>
      </c>
      <c r="C575" t="s">
        <v>1177</v>
      </c>
      <c r="D575" s="4" t="s">
        <v>950</v>
      </c>
      <c r="E575" t="s">
        <v>1178</v>
      </c>
      <c r="F575" t="s">
        <v>1179</v>
      </c>
      <c r="G575" t="s">
        <v>475</v>
      </c>
      <c r="H575" t="s">
        <v>476</v>
      </c>
      <c r="I575">
        <v>-13.65</v>
      </c>
      <c r="J575">
        <v>32.566666669999996</v>
      </c>
      <c r="K575">
        <v>200</v>
      </c>
      <c r="AV575" t="s">
        <v>1180</v>
      </c>
      <c r="AW575">
        <v>100</v>
      </c>
      <c r="AX575" t="s">
        <v>866</v>
      </c>
      <c r="AY575" s="5">
        <v>8</v>
      </c>
      <c r="AZ575" t="s">
        <v>1181</v>
      </c>
      <c r="BA575">
        <v>1999</v>
      </c>
      <c r="BB575">
        <v>2007</v>
      </c>
      <c r="BD575" t="s">
        <v>1196</v>
      </c>
      <c r="BE575" t="s">
        <v>572</v>
      </c>
      <c r="BF575" t="s">
        <v>484</v>
      </c>
      <c r="BG575" t="s">
        <v>485</v>
      </c>
      <c r="BH575" t="s">
        <v>1183</v>
      </c>
      <c r="BI575" t="s">
        <v>486</v>
      </c>
      <c r="BJ575">
        <v>44440</v>
      </c>
      <c r="BK575" t="s">
        <v>555</v>
      </c>
      <c r="ED575" t="s">
        <v>1197</v>
      </c>
      <c r="EE575" t="s">
        <v>486</v>
      </c>
      <c r="EF575">
        <v>10000</v>
      </c>
      <c r="FM575" s="9"/>
      <c r="FN575" s="9"/>
      <c r="FO575" s="9"/>
      <c r="FP575" s="9"/>
      <c r="FQ575" s="9"/>
      <c r="FR575" s="9"/>
      <c r="FS575" s="9"/>
      <c r="FT575" s="9"/>
      <c r="FU575" s="9"/>
      <c r="FV575" s="9"/>
      <c r="FW575" s="9"/>
      <c r="FX575" s="9"/>
      <c r="FY575" s="9"/>
      <c r="FZ575" s="9"/>
      <c r="GA575" s="9"/>
      <c r="GB575" s="9"/>
      <c r="GC575" s="9"/>
      <c r="GD575" s="9"/>
      <c r="GE575" s="9"/>
      <c r="GF575" s="9"/>
      <c r="GG575" s="9"/>
      <c r="GH575" s="9"/>
      <c r="GI575" s="9"/>
      <c r="GJ575" s="9"/>
      <c r="GK575" s="9"/>
      <c r="GL575" s="9"/>
      <c r="GM575" s="9"/>
      <c r="GN575" s="9"/>
      <c r="GO575" s="9"/>
      <c r="GP575" s="9"/>
      <c r="GQ575" s="9"/>
      <c r="GR575" s="9"/>
      <c r="GS575" s="9"/>
      <c r="GT575" s="9"/>
      <c r="GU575" s="9"/>
      <c r="GV575" s="9"/>
      <c r="GW575" s="9"/>
      <c r="GX575" s="9"/>
      <c r="GY575" s="9"/>
      <c r="GZ575" s="9"/>
      <c r="HA575" s="9"/>
      <c r="HB575" s="9"/>
      <c r="HC575" s="9"/>
      <c r="HD575" s="9"/>
      <c r="HE575" s="9"/>
      <c r="HF575" s="9"/>
      <c r="HG575" s="9"/>
      <c r="HH575" s="9"/>
      <c r="HI575" s="9"/>
      <c r="HJ575" s="9"/>
      <c r="HK575" s="9"/>
      <c r="HL575" s="9"/>
      <c r="HT575" s="50">
        <v>36495</v>
      </c>
      <c r="IO575" t="s">
        <v>1196</v>
      </c>
      <c r="IP575" s="75" t="s">
        <v>679</v>
      </c>
      <c r="IS575">
        <v>1999</v>
      </c>
      <c r="IU575" s="4" t="s">
        <v>1186</v>
      </c>
      <c r="JL575" t="s">
        <v>1187</v>
      </c>
      <c r="KE575" t="s">
        <v>1188</v>
      </c>
      <c r="KF575" s="75" t="s">
        <v>1001</v>
      </c>
      <c r="MY575" t="s">
        <v>1217</v>
      </c>
      <c r="MZ575">
        <v>100</v>
      </c>
      <c r="NA575" t="s">
        <v>1218</v>
      </c>
      <c r="NB575" t="s">
        <v>548</v>
      </c>
      <c r="NJ575" t="s">
        <v>1219</v>
      </c>
      <c r="NL575" t="s">
        <v>660</v>
      </c>
      <c r="NV575" t="s">
        <v>518</v>
      </c>
      <c r="NW575" s="5" t="s">
        <v>1231</v>
      </c>
      <c r="NX575" s="220" t="s">
        <v>1192</v>
      </c>
      <c r="NY575">
        <v>0.27906670760053998</v>
      </c>
      <c r="OB575">
        <v>3</v>
      </c>
      <c r="OU575" t="s">
        <v>1229</v>
      </c>
      <c r="OX575">
        <v>2002</v>
      </c>
      <c r="OY575">
        <v>2003</v>
      </c>
      <c r="PB575" t="s">
        <v>522</v>
      </c>
      <c r="PC575" s="50">
        <v>46164</v>
      </c>
    </row>
    <row r="576" spans="1:419" ht="15.75" thickBot="1">
      <c r="A576" t="s">
        <v>665</v>
      </c>
      <c r="B576" t="s">
        <v>1176</v>
      </c>
      <c r="C576" t="s">
        <v>1177</v>
      </c>
      <c r="D576" s="4" t="s">
        <v>950</v>
      </c>
      <c r="E576" t="s">
        <v>1178</v>
      </c>
      <c r="F576" t="s">
        <v>1179</v>
      </c>
      <c r="G576" t="s">
        <v>475</v>
      </c>
      <c r="H576" t="s">
        <v>476</v>
      </c>
      <c r="I576">
        <v>-13.65</v>
      </c>
      <c r="J576">
        <v>32.566666669999996</v>
      </c>
      <c r="K576">
        <v>200</v>
      </c>
      <c r="AV576" t="s">
        <v>1180</v>
      </c>
      <c r="AW576">
        <v>100</v>
      </c>
      <c r="AX576" t="s">
        <v>866</v>
      </c>
      <c r="AY576" s="5">
        <v>8</v>
      </c>
      <c r="AZ576" t="s">
        <v>1181</v>
      </c>
      <c r="BA576">
        <v>1999</v>
      </c>
      <c r="BB576">
        <v>2007</v>
      </c>
      <c r="BD576" t="s">
        <v>1198</v>
      </c>
      <c r="BE576" t="s">
        <v>553</v>
      </c>
      <c r="BF576" t="s">
        <v>484</v>
      </c>
      <c r="BG576" t="s">
        <v>485</v>
      </c>
      <c r="BH576" t="s">
        <v>1183</v>
      </c>
      <c r="BI576" t="s">
        <v>486</v>
      </c>
      <c r="BJ576">
        <v>44440</v>
      </c>
      <c r="BK576" t="s">
        <v>555</v>
      </c>
      <c r="ED576" t="s">
        <v>676</v>
      </c>
      <c r="EE576" t="s">
        <v>486</v>
      </c>
      <c r="EF576">
        <v>5000</v>
      </c>
      <c r="EG576" t="s">
        <v>537</v>
      </c>
      <c r="EH576" t="s">
        <v>1197</v>
      </c>
      <c r="EI576" t="s">
        <v>486</v>
      </c>
      <c r="EJ576">
        <v>5000</v>
      </c>
      <c r="FM576" s="9"/>
      <c r="FN576" s="9"/>
      <c r="FO576" s="9"/>
      <c r="FP576" s="9"/>
      <c r="FQ576" s="9"/>
      <c r="FR576" s="9"/>
      <c r="FS576" s="9"/>
      <c r="FT576" s="9"/>
      <c r="FU576" s="9"/>
      <c r="FV576" s="9"/>
      <c r="FW576" s="9"/>
      <c r="FX576" s="9"/>
      <c r="FY576" s="9"/>
      <c r="FZ576" s="9"/>
      <c r="GA576" s="9"/>
      <c r="GB576" s="9"/>
      <c r="GC576" s="9"/>
      <c r="GD576" s="9"/>
      <c r="GE576" s="9"/>
      <c r="GF576" s="9"/>
      <c r="GG576" s="9"/>
      <c r="GH576" s="9"/>
      <c r="GI576" s="9"/>
      <c r="GJ576" s="9"/>
      <c r="GK576" s="9"/>
      <c r="GL576" s="9"/>
      <c r="GM576" s="9"/>
      <c r="GN576" s="9"/>
      <c r="GO576" s="9"/>
      <c r="GP576" s="9"/>
      <c r="GQ576" s="9"/>
      <c r="GR576" s="9"/>
      <c r="GS576" s="9"/>
      <c r="GT576" s="9"/>
      <c r="GU576" s="9"/>
      <c r="GV576" s="9"/>
      <c r="GW576" s="9"/>
      <c r="GX576" s="9"/>
      <c r="GY576" s="9"/>
      <c r="GZ576" s="9"/>
      <c r="HA576" s="9"/>
      <c r="HB576" s="9"/>
      <c r="HC576" s="9"/>
      <c r="HD576" s="9"/>
      <c r="HE576" s="9"/>
      <c r="HF576" s="9"/>
      <c r="HG576" s="9"/>
      <c r="HH576" s="9"/>
      <c r="HI576" s="9"/>
      <c r="HJ576" s="9"/>
      <c r="HK576" s="9"/>
      <c r="HL576" s="9"/>
      <c r="HT576" s="50">
        <v>36495</v>
      </c>
      <c r="IO576" t="s">
        <v>1198</v>
      </c>
      <c r="IP576" s="75" t="s">
        <v>679</v>
      </c>
      <c r="IS576">
        <v>1999</v>
      </c>
      <c r="IU576" s="4" t="s">
        <v>1186</v>
      </c>
      <c r="JL576" t="s">
        <v>1187</v>
      </c>
      <c r="KE576" t="s">
        <v>1188</v>
      </c>
      <c r="KF576" s="75" t="s">
        <v>1001</v>
      </c>
      <c r="MY576" t="s">
        <v>1217</v>
      </c>
      <c r="MZ576">
        <v>100</v>
      </c>
      <c r="NA576" t="s">
        <v>1218</v>
      </c>
      <c r="NB576" t="s">
        <v>548</v>
      </c>
      <c r="NJ576" t="s">
        <v>1219</v>
      </c>
      <c r="NL576" t="s">
        <v>660</v>
      </c>
      <c r="NV576" t="s">
        <v>518</v>
      </c>
      <c r="NW576" s="5" t="s">
        <v>1232</v>
      </c>
      <c r="NX576" s="220" t="s">
        <v>1192</v>
      </c>
      <c r="NY576">
        <v>0.37866760229814012</v>
      </c>
      <c r="OB576">
        <v>3</v>
      </c>
      <c r="OU576" t="s">
        <v>1229</v>
      </c>
      <c r="OX576">
        <v>2002</v>
      </c>
      <c r="OY576">
        <v>2003</v>
      </c>
      <c r="PB576" t="s">
        <v>522</v>
      </c>
      <c r="PC576" s="50">
        <v>46164</v>
      </c>
    </row>
    <row r="577" spans="1:419" ht="15.75" thickBot="1">
      <c r="A577" t="s">
        <v>665</v>
      </c>
      <c r="B577" t="s">
        <v>1176</v>
      </c>
      <c r="C577" t="s">
        <v>1177</v>
      </c>
      <c r="D577" s="4" t="s">
        <v>950</v>
      </c>
      <c r="E577" t="s">
        <v>1178</v>
      </c>
      <c r="F577" t="s">
        <v>1179</v>
      </c>
      <c r="G577" t="s">
        <v>475</v>
      </c>
      <c r="H577" t="s">
        <v>476</v>
      </c>
      <c r="I577">
        <v>-13.65</v>
      </c>
      <c r="J577">
        <v>32.566666669999996</v>
      </c>
      <c r="K577">
        <v>200</v>
      </c>
      <c r="AV577" t="s">
        <v>1180</v>
      </c>
      <c r="AW577">
        <v>100</v>
      </c>
      <c r="AX577" t="s">
        <v>866</v>
      </c>
      <c r="AY577" s="5">
        <v>8</v>
      </c>
      <c r="AZ577" t="s">
        <v>1181</v>
      </c>
      <c r="BA577">
        <v>1999</v>
      </c>
      <c r="BB577">
        <v>2007</v>
      </c>
      <c r="BD577" t="s">
        <v>1199</v>
      </c>
      <c r="BE577" t="s">
        <v>607</v>
      </c>
      <c r="BF577" t="s">
        <v>484</v>
      </c>
      <c r="BG577" t="s">
        <v>485</v>
      </c>
      <c r="BH577" t="s">
        <v>1183</v>
      </c>
      <c r="BI577" t="s">
        <v>486</v>
      </c>
      <c r="BJ577">
        <v>44440</v>
      </c>
      <c r="BK577" t="s">
        <v>555</v>
      </c>
      <c r="ED577" t="s">
        <v>676</v>
      </c>
      <c r="EE577" t="s">
        <v>486</v>
      </c>
      <c r="EF577">
        <v>10000</v>
      </c>
      <c r="FM577" s="9"/>
      <c r="FN577" s="9"/>
      <c r="FO577" s="9"/>
      <c r="FP577" s="9"/>
      <c r="FQ577" s="9"/>
      <c r="FR577" s="9"/>
      <c r="FS577" s="9"/>
      <c r="FT577" s="9"/>
      <c r="FU577" s="9"/>
      <c r="FV577" s="9"/>
      <c r="FW577" s="9"/>
      <c r="FX577" s="9"/>
      <c r="FY577" s="9"/>
      <c r="FZ577" s="9"/>
      <c r="GA577" s="9"/>
      <c r="GB577" s="9"/>
      <c r="GC577" s="9"/>
      <c r="GD577" s="9"/>
      <c r="GE577" s="9"/>
      <c r="GF577" s="9"/>
      <c r="GG577" s="9"/>
      <c r="GH577" s="9"/>
      <c r="GI577" s="9"/>
      <c r="GJ577" s="9"/>
      <c r="GK577" s="9"/>
      <c r="GL577" s="9"/>
      <c r="GM577" s="9"/>
      <c r="GN577" s="9"/>
      <c r="GO577" s="9"/>
      <c r="GP577" s="9"/>
      <c r="GQ577" s="9"/>
      <c r="GR577" s="9"/>
      <c r="GS577" s="9"/>
      <c r="GT577" s="9"/>
      <c r="GU577" s="9"/>
      <c r="GV577" s="9"/>
      <c r="GW577" s="9"/>
      <c r="GX577" s="9"/>
      <c r="GY577" s="9"/>
      <c r="GZ577" s="9"/>
      <c r="HA577" s="9"/>
      <c r="HB577" s="9"/>
      <c r="HC577" s="9"/>
      <c r="HD577" s="9"/>
      <c r="HE577" s="9"/>
      <c r="HF577" s="9"/>
      <c r="HG577" s="9"/>
      <c r="HH577" s="9"/>
      <c r="HI577" s="9"/>
      <c r="HJ577" s="9"/>
      <c r="HK577" s="9"/>
      <c r="HL577" s="9"/>
      <c r="HT577" s="50">
        <v>36495</v>
      </c>
      <c r="IO577" t="s">
        <v>1199</v>
      </c>
      <c r="IP577" s="75" t="s">
        <v>679</v>
      </c>
      <c r="IS577">
        <v>1999</v>
      </c>
      <c r="IU577" s="4" t="s">
        <v>1186</v>
      </c>
      <c r="JL577" t="s">
        <v>1187</v>
      </c>
      <c r="KE577" t="s">
        <v>1188</v>
      </c>
      <c r="KF577" s="75" t="s">
        <v>1001</v>
      </c>
      <c r="MY577" t="s">
        <v>1217</v>
      </c>
      <c r="MZ577">
        <v>100</v>
      </c>
      <c r="NA577" t="s">
        <v>1218</v>
      </c>
      <c r="NB577" t="s">
        <v>548</v>
      </c>
      <c r="NJ577" t="s">
        <v>1219</v>
      </c>
      <c r="NL577" t="s">
        <v>660</v>
      </c>
      <c r="NV577" t="s">
        <v>518</v>
      </c>
      <c r="NW577" s="5" t="s">
        <v>1233</v>
      </c>
      <c r="NX577" s="220" t="s">
        <v>1192</v>
      </c>
      <c r="NY577">
        <v>0.33880092978378018</v>
      </c>
      <c r="OB577">
        <v>3</v>
      </c>
      <c r="OU577" t="s">
        <v>1229</v>
      </c>
      <c r="OX577">
        <v>2002</v>
      </c>
      <c r="OY577">
        <v>2003</v>
      </c>
      <c r="PB577" t="s">
        <v>522</v>
      </c>
      <c r="PC577" s="50">
        <v>46164</v>
      </c>
    </row>
    <row r="578" spans="1:419" ht="15.75" thickBot="1">
      <c r="A578" t="s">
        <v>665</v>
      </c>
      <c r="B578" t="s">
        <v>1176</v>
      </c>
      <c r="C578" t="s">
        <v>1177</v>
      </c>
      <c r="D578" s="4" t="s">
        <v>950</v>
      </c>
      <c r="E578" t="s">
        <v>1178</v>
      </c>
      <c r="F578" t="s">
        <v>1179</v>
      </c>
      <c r="G578" t="s">
        <v>475</v>
      </c>
      <c r="H578" t="s">
        <v>476</v>
      </c>
      <c r="I578">
        <v>-13.65</v>
      </c>
      <c r="J578">
        <v>32.566666669999996</v>
      </c>
      <c r="K578">
        <v>200</v>
      </c>
      <c r="AV578" t="s">
        <v>1180</v>
      </c>
      <c r="AW578">
        <v>100</v>
      </c>
      <c r="AX578" t="s">
        <v>866</v>
      </c>
      <c r="AY578" s="5">
        <v>8</v>
      </c>
      <c r="AZ578" t="s">
        <v>1181</v>
      </c>
      <c r="BA578">
        <v>1999</v>
      </c>
      <c r="BB578">
        <v>2007</v>
      </c>
      <c r="BD578" t="s">
        <v>1226</v>
      </c>
      <c r="BE578" t="s">
        <v>611</v>
      </c>
      <c r="BF578" t="s">
        <v>484</v>
      </c>
      <c r="BG578" t="s">
        <v>485</v>
      </c>
      <c r="BH578" t="s">
        <v>1183</v>
      </c>
      <c r="BI578" t="s">
        <v>486</v>
      </c>
      <c r="BJ578">
        <v>44440</v>
      </c>
      <c r="BK578" t="s">
        <v>555</v>
      </c>
      <c r="FM578" s="9"/>
      <c r="FN578" s="9"/>
      <c r="FO578" s="9"/>
      <c r="FP578" s="9"/>
      <c r="FQ578" s="9"/>
      <c r="FR578" s="9"/>
      <c r="FS578" s="9"/>
      <c r="FT578" s="9"/>
      <c r="FU578" s="9"/>
      <c r="FV578" s="9"/>
      <c r="FW578" s="9"/>
      <c r="FX578" s="9"/>
      <c r="FY578" s="9"/>
      <c r="FZ578" s="9"/>
      <c r="GA578" s="9"/>
      <c r="GB578" s="9"/>
      <c r="GC578" s="9"/>
      <c r="GD578" s="9"/>
      <c r="GE578" s="9"/>
      <c r="GF578" s="9"/>
      <c r="GG578" s="9"/>
      <c r="GH578" s="9"/>
      <c r="GI578" s="9"/>
      <c r="GJ578" s="9"/>
      <c r="GK578" s="9"/>
      <c r="GL578" s="9"/>
      <c r="GM578" s="9"/>
      <c r="GN578" s="9"/>
      <c r="GO578" s="9"/>
      <c r="GP578" s="9"/>
      <c r="GQ578" s="9"/>
      <c r="GR578" s="9"/>
      <c r="GS578" s="9"/>
      <c r="GT578" s="9"/>
      <c r="GU578" s="9"/>
      <c r="GV578" s="9"/>
      <c r="GW578" s="9"/>
      <c r="GX578" s="9"/>
      <c r="GY578" s="9"/>
      <c r="GZ578" s="9"/>
      <c r="HA578" s="9"/>
      <c r="HB578" s="9"/>
      <c r="HC578" s="9"/>
      <c r="HD578" s="9"/>
      <c r="HE578" s="9"/>
      <c r="HF578" s="9"/>
      <c r="HG578" s="9"/>
      <c r="HH578" s="9"/>
      <c r="HI578" s="9"/>
      <c r="HJ578" s="9"/>
      <c r="HK578" s="9"/>
      <c r="HL578" s="9"/>
      <c r="HT578" s="50">
        <v>36495</v>
      </c>
      <c r="IO578" t="s">
        <v>1201</v>
      </c>
      <c r="IP578" s="46" t="s">
        <v>1185</v>
      </c>
      <c r="IS578">
        <v>1999</v>
      </c>
      <c r="IU578" s="4" t="s">
        <v>1186</v>
      </c>
      <c r="JL578" t="s">
        <v>1187</v>
      </c>
      <c r="KE578" t="s">
        <v>1188</v>
      </c>
      <c r="KF578" s="75" t="s">
        <v>1001</v>
      </c>
      <c r="MY578" t="s">
        <v>1217</v>
      </c>
      <c r="MZ578">
        <v>100</v>
      </c>
      <c r="NA578" t="s">
        <v>1218</v>
      </c>
      <c r="NB578" t="s">
        <v>548</v>
      </c>
      <c r="NJ578" t="s">
        <v>1219</v>
      </c>
      <c r="NL578" t="s">
        <v>660</v>
      </c>
      <c r="NV578" t="s">
        <v>518</v>
      </c>
      <c r="NW578" s="5" t="s">
        <v>1234</v>
      </c>
      <c r="NX578" s="220" t="s">
        <v>1192</v>
      </c>
      <c r="NY578">
        <v>0.19913600280689003</v>
      </c>
      <c r="OB578">
        <v>3</v>
      </c>
      <c r="OU578" t="s">
        <v>1229</v>
      </c>
      <c r="OX578">
        <v>2002</v>
      </c>
      <c r="OY578">
        <v>2003</v>
      </c>
      <c r="PB578" t="s">
        <v>522</v>
      </c>
      <c r="PC578" s="50">
        <v>46164</v>
      </c>
    </row>
    <row r="579" spans="1:419" ht="15.75" thickBot="1">
      <c r="A579" t="s">
        <v>665</v>
      </c>
      <c r="B579" t="s">
        <v>1176</v>
      </c>
      <c r="C579" t="s">
        <v>1177</v>
      </c>
      <c r="D579" s="4" t="s">
        <v>950</v>
      </c>
      <c r="E579" t="s">
        <v>1178</v>
      </c>
      <c r="F579" t="s">
        <v>1179</v>
      </c>
      <c r="G579" t="s">
        <v>475</v>
      </c>
      <c r="H579" t="s">
        <v>476</v>
      </c>
      <c r="I579">
        <v>-13.65</v>
      </c>
      <c r="J579">
        <v>32.566666669999996</v>
      </c>
      <c r="K579">
        <v>200</v>
      </c>
      <c r="AV579" t="s">
        <v>1180</v>
      </c>
      <c r="AW579">
        <v>100</v>
      </c>
      <c r="AX579" t="s">
        <v>866</v>
      </c>
      <c r="AY579" s="5">
        <v>8</v>
      </c>
      <c r="AZ579" t="s">
        <v>1181</v>
      </c>
      <c r="BA579">
        <v>1999</v>
      </c>
      <c r="BB579">
        <v>2007</v>
      </c>
      <c r="BD579" t="s">
        <v>1202</v>
      </c>
      <c r="BE579" t="s">
        <v>524</v>
      </c>
      <c r="BF579" t="s">
        <v>484</v>
      </c>
      <c r="BG579" t="s">
        <v>485</v>
      </c>
      <c r="BH579" t="s">
        <v>1183</v>
      </c>
      <c r="BI579" t="s">
        <v>486</v>
      </c>
      <c r="BJ579">
        <v>44440</v>
      </c>
      <c r="FM579" s="9"/>
      <c r="FN579" s="9"/>
      <c r="FO579" s="9"/>
      <c r="FP579" s="9"/>
      <c r="FQ579" s="9"/>
      <c r="FR579" s="9"/>
      <c r="FS579" s="9"/>
      <c r="FT579" s="9"/>
      <c r="FU579" s="9"/>
      <c r="FV579" s="9"/>
      <c r="FW579" s="9"/>
      <c r="FX579" s="9"/>
      <c r="FY579" s="9"/>
      <c r="FZ579" s="9"/>
      <c r="GA579" s="9"/>
      <c r="GB579" s="9"/>
      <c r="GC579" s="9"/>
      <c r="GD579" s="9"/>
      <c r="GE579" s="9"/>
      <c r="GF579" s="9"/>
      <c r="GG579" s="9"/>
      <c r="GH579" s="9"/>
      <c r="GI579" s="9"/>
      <c r="GJ579" s="9"/>
      <c r="GK579" s="9"/>
      <c r="GL579" s="9"/>
      <c r="GM579" s="9"/>
      <c r="GN579" s="9"/>
      <c r="GO579" s="9"/>
      <c r="GP579" s="9"/>
      <c r="GQ579" s="9"/>
      <c r="GR579" s="9"/>
      <c r="GS579" s="9"/>
      <c r="GT579" s="9"/>
      <c r="GU579" s="9"/>
      <c r="GV579" s="9"/>
      <c r="GW579" s="9"/>
      <c r="GX579" s="9"/>
      <c r="GY579" s="9"/>
      <c r="GZ579" s="9"/>
      <c r="HA579" s="9"/>
      <c r="HB579" s="9"/>
      <c r="HC579" s="9"/>
      <c r="HD579" s="9"/>
      <c r="HE579" s="9"/>
      <c r="HF579" s="9"/>
      <c r="HG579" s="9"/>
      <c r="HH579" s="9"/>
      <c r="HI579" s="9"/>
      <c r="HJ579" s="9"/>
      <c r="HK579" s="9"/>
      <c r="HL579" s="9"/>
      <c r="HT579" s="50">
        <v>36495</v>
      </c>
      <c r="IO579" t="s">
        <v>1203</v>
      </c>
      <c r="IP579" t="s">
        <v>492</v>
      </c>
      <c r="IS579">
        <v>1999</v>
      </c>
      <c r="JL579" t="s">
        <v>495</v>
      </c>
      <c r="JM579" t="s">
        <v>1204</v>
      </c>
      <c r="JN579" t="s">
        <v>497</v>
      </c>
      <c r="JO579" t="s">
        <v>1205</v>
      </c>
      <c r="JP579" t="s">
        <v>508</v>
      </c>
      <c r="JQ579" t="s">
        <v>1206</v>
      </c>
      <c r="JR579">
        <v>90</v>
      </c>
      <c r="JS579">
        <v>80</v>
      </c>
      <c r="KE579" t="s">
        <v>1188</v>
      </c>
      <c r="KF579" s="75" t="s">
        <v>1001</v>
      </c>
      <c r="MY579" t="s">
        <v>1217</v>
      </c>
      <c r="MZ579">
        <v>100</v>
      </c>
      <c r="NA579" t="s">
        <v>1218</v>
      </c>
      <c r="NB579" t="s">
        <v>548</v>
      </c>
      <c r="NJ579" t="s">
        <v>1219</v>
      </c>
      <c r="NL579" t="s">
        <v>660</v>
      </c>
      <c r="NU579" t="s">
        <v>1025</v>
      </c>
      <c r="NV579" t="s">
        <v>518</v>
      </c>
      <c r="NW579" s="5" t="s">
        <v>1235</v>
      </c>
      <c r="NX579" s="220" t="s">
        <v>1192</v>
      </c>
      <c r="NY579">
        <v>0.35880005262927028</v>
      </c>
      <c r="OB579">
        <v>3</v>
      </c>
      <c r="OU579" t="s">
        <v>1229</v>
      </c>
      <c r="OX579">
        <v>2002</v>
      </c>
      <c r="OY579">
        <v>2003</v>
      </c>
      <c r="PB579" t="s">
        <v>522</v>
      </c>
      <c r="PC579" s="50">
        <v>46164</v>
      </c>
    </row>
    <row r="580" spans="1:419" ht="15.75" thickBot="1">
      <c r="A580" t="s">
        <v>665</v>
      </c>
      <c r="B580" t="s">
        <v>1176</v>
      </c>
      <c r="C580" t="s">
        <v>1177</v>
      </c>
      <c r="D580" s="4" t="s">
        <v>950</v>
      </c>
      <c r="E580" t="s">
        <v>1178</v>
      </c>
      <c r="F580" t="s">
        <v>1179</v>
      </c>
      <c r="G580" t="s">
        <v>475</v>
      </c>
      <c r="H580" t="s">
        <v>476</v>
      </c>
      <c r="I580">
        <v>-13.65</v>
      </c>
      <c r="J580">
        <v>32.566666669999996</v>
      </c>
      <c r="K580">
        <v>200</v>
      </c>
      <c r="AV580" t="s">
        <v>1180</v>
      </c>
      <c r="AW580">
        <v>100</v>
      </c>
      <c r="AX580" t="s">
        <v>866</v>
      </c>
      <c r="AY580" s="5">
        <v>8</v>
      </c>
      <c r="AZ580" t="s">
        <v>1181</v>
      </c>
      <c r="BA580">
        <v>1999</v>
      </c>
      <c r="BB580">
        <v>2007</v>
      </c>
      <c r="BD580" t="s">
        <v>1182</v>
      </c>
      <c r="BE580" t="s">
        <v>536</v>
      </c>
      <c r="BF580" t="s">
        <v>484</v>
      </c>
      <c r="BG580" t="s">
        <v>485</v>
      </c>
      <c r="BH580" t="s">
        <v>1183</v>
      </c>
      <c r="BI580" t="s">
        <v>486</v>
      </c>
      <c r="BJ580">
        <v>44440</v>
      </c>
      <c r="BK580" t="s">
        <v>555</v>
      </c>
      <c r="BL580" t="s">
        <v>1184</v>
      </c>
      <c r="BM580" t="s">
        <v>480</v>
      </c>
      <c r="BN580" t="s">
        <v>486</v>
      </c>
      <c r="BO580">
        <v>10000</v>
      </c>
      <c r="FM580" s="9"/>
      <c r="FN580" s="9"/>
      <c r="FO580" s="9"/>
      <c r="FP580" s="9"/>
      <c r="FQ580" s="9"/>
      <c r="FR580" s="9"/>
      <c r="FS580" s="9"/>
      <c r="FT580" s="9"/>
      <c r="FU580" s="9"/>
      <c r="FV580" s="9"/>
      <c r="FW580" s="9"/>
      <c r="FX580" s="9"/>
      <c r="FY580" s="9"/>
      <c r="FZ580" s="9"/>
      <c r="GA580" s="9"/>
      <c r="GB580" s="9"/>
      <c r="GC580" s="9"/>
      <c r="GD580" s="9"/>
      <c r="GE580" s="9"/>
      <c r="GF580" s="9"/>
      <c r="GG580" s="9"/>
      <c r="GH580" s="9"/>
      <c r="GI580" s="9"/>
      <c r="GJ580" s="9"/>
      <c r="GK580" s="9"/>
      <c r="GL580" s="9"/>
      <c r="GM580" s="9"/>
      <c r="GN580" s="9"/>
      <c r="GO580" s="9"/>
      <c r="GP580" s="9"/>
      <c r="GQ580" s="9"/>
      <c r="GR580" s="9"/>
      <c r="GS580" s="9"/>
      <c r="GT580" s="9"/>
      <c r="GU580" s="9"/>
      <c r="GV580" s="9"/>
      <c r="GW580" s="9"/>
      <c r="GX580" s="9"/>
      <c r="GY580" s="9"/>
      <c r="GZ580" s="9"/>
      <c r="HA580" s="9"/>
      <c r="HB580" s="9"/>
      <c r="HC580" s="9"/>
      <c r="HD580" s="9"/>
      <c r="HE580" s="9"/>
      <c r="HF580" s="9"/>
      <c r="HG580" s="9"/>
      <c r="HH580" s="9"/>
      <c r="HI580" s="9"/>
      <c r="HJ580" s="9"/>
      <c r="HK580" s="9"/>
      <c r="HL580" s="9"/>
      <c r="HT580" s="50">
        <v>36495</v>
      </c>
      <c r="IO580" t="s">
        <v>1182</v>
      </c>
      <c r="IP580" s="46" t="s">
        <v>1185</v>
      </c>
      <c r="IS580">
        <v>1999</v>
      </c>
      <c r="IU580" s="4" t="s">
        <v>1186</v>
      </c>
      <c r="JL580" t="s">
        <v>1187</v>
      </c>
      <c r="KE580" t="s">
        <v>1188</v>
      </c>
      <c r="KF580" s="75" t="s">
        <v>1001</v>
      </c>
      <c r="MY580" t="s">
        <v>1217</v>
      </c>
      <c r="MZ580">
        <v>100</v>
      </c>
      <c r="NA580" t="s">
        <v>1218</v>
      </c>
      <c r="NB580" t="s">
        <v>548</v>
      </c>
      <c r="NJ580" t="s">
        <v>1219</v>
      </c>
      <c r="NL580" t="s">
        <v>660</v>
      </c>
      <c r="NV580" t="s">
        <v>518</v>
      </c>
      <c r="NW580" s="5" t="s">
        <v>1236</v>
      </c>
      <c r="NX580" s="220" t="s">
        <v>1192</v>
      </c>
      <c r="NY580">
        <v>0.73769320690999018</v>
      </c>
      <c r="OB580">
        <v>3</v>
      </c>
      <c r="OU580" t="s">
        <v>1237</v>
      </c>
      <c r="OX580">
        <v>2005</v>
      </c>
      <c r="OY580">
        <v>2006</v>
      </c>
      <c r="PB580" t="s">
        <v>522</v>
      </c>
      <c r="PC580" s="50">
        <v>46164</v>
      </c>
    </row>
    <row r="581" spans="1:419" ht="15.75" thickBot="1">
      <c r="A581" t="s">
        <v>665</v>
      </c>
      <c r="B581" t="s">
        <v>1176</v>
      </c>
      <c r="C581" t="s">
        <v>1177</v>
      </c>
      <c r="D581" s="4" t="s">
        <v>950</v>
      </c>
      <c r="E581" t="s">
        <v>1178</v>
      </c>
      <c r="F581" t="s">
        <v>1179</v>
      </c>
      <c r="G581" t="s">
        <v>475</v>
      </c>
      <c r="H581" t="s">
        <v>476</v>
      </c>
      <c r="I581">
        <v>-13.65</v>
      </c>
      <c r="J581">
        <v>32.566666669999996</v>
      </c>
      <c r="K581">
        <v>200</v>
      </c>
      <c r="AV581" t="s">
        <v>1180</v>
      </c>
      <c r="AW581">
        <v>100</v>
      </c>
      <c r="AX581" t="s">
        <v>866</v>
      </c>
      <c r="AY581" s="5">
        <v>8</v>
      </c>
      <c r="AZ581" t="s">
        <v>1181</v>
      </c>
      <c r="BA581">
        <v>1999</v>
      </c>
      <c r="BB581">
        <v>2007</v>
      </c>
      <c r="BD581" t="s">
        <v>1195</v>
      </c>
      <c r="BE581" t="s">
        <v>566</v>
      </c>
      <c r="BF581" t="s">
        <v>484</v>
      </c>
      <c r="BG581" t="s">
        <v>485</v>
      </c>
      <c r="BH581" t="s">
        <v>1183</v>
      </c>
      <c r="BI581" t="s">
        <v>486</v>
      </c>
      <c r="BJ581">
        <v>44440</v>
      </c>
      <c r="BK581" t="s">
        <v>555</v>
      </c>
      <c r="BL581" t="s">
        <v>1184</v>
      </c>
      <c r="BM581" t="s">
        <v>480</v>
      </c>
      <c r="BN581" t="s">
        <v>486</v>
      </c>
      <c r="BO581">
        <v>5000</v>
      </c>
      <c r="BP581" t="s">
        <v>537</v>
      </c>
      <c r="ED581" t="s">
        <v>676</v>
      </c>
      <c r="EE581" t="s">
        <v>486</v>
      </c>
      <c r="EF581">
        <v>5000</v>
      </c>
      <c r="FM581" s="9"/>
      <c r="FN581" s="9"/>
      <c r="FO581" s="9"/>
      <c r="FP581" s="9"/>
      <c r="FQ581" s="9"/>
      <c r="FR581" s="9"/>
      <c r="FS581" s="9"/>
      <c r="FT581" s="9"/>
      <c r="FU581" s="9"/>
      <c r="FV581" s="9"/>
      <c r="FW581" s="9"/>
      <c r="FX581" s="9"/>
      <c r="FY581" s="9"/>
      <c r="FZ581" s="9"/>
      <c r="GA581" s="9"/>
      <c r="GB581" s="9"/>
      <c r="GC581" s="9"/>
      <c r="GD581" s="9"/>
      <c r="GE581" s="9"/>
      <c r="GF581" s="9"/>
      <c r="GG581" s="9"/>
      <c r="GH581" s="9"/>
      <c r="GI581" s="9"/>
      <c r="GJ581" s="9"/>
      <c r="GK581" s="9"/>
      <c r="GL581" s="9"/>
      <c r="GM581" s="9"/>
      <c r="GN581" s="9"/>
      <c r="GO581" s="9"/>
      <c r="GP581" s="9"/>
      <c r="GQ581" s="9"/>
      <c r="GR581" s="9"/>
      <c r="GS581" s="9"/>
      <c r="GT581" s="9"/>
      <c r="GU581" s="9"/>
      <c r="GV581" s="9"/>
      <c r="GW581" s="9"/>
      <c r="GX581" s="9"/>
      <c r="GY581" s="9"/>
      <c r="GZ581" s="9"/>
      <c r="HA581" s="9"/>
      <c r="HB581" s="9"/>
      <c r="HC581" s="9"/>
      <c r="HD581" s="9"/>
      <c r="HE581" s="9"/>
      <c r="HF581" s="9"/>
      <c r="HG581" s="9"/>
      <c r="HH581" s="9"/>
      <c r="HI581" s="9"/>
      <c r="HJ581" s="9"/>
      <c r="HK581" s="9"/>
      <c r="HL581" s="9"/>
      <c r="HT581" s="50">
        <v>36495</v>
      </c>
      <c r="IO581" t="s">
        <v>1195</v>
      </c>
      <c r="IP581" s="75" t="s">
        <v>679</v>
      </c>
      <c r="IS581">
        <v>1999</v>
      </c>
      <c r="IU581" s="4" t="s">
        <v>1186</v>
      </c>
      <c r="JL581" t="s">
        <v>1187</v>
      </c>
      <c r="KE581" t="s">
        <v>1188</v>
      </c>
      <c r="KF581" s="75" t="s">
        <v>1001</v>
      </c>
      <c r="MY581" t="s">
        <v>1217</v>
      </c>
      <c r="MZ581">
        <v>100</v>
      </c>
      <c r="NA581" t="s">
        <v>1218</v>
      </c>
      <c r="NB581" t="s">
        <v>548</v>
      </c>
      <c r="NJ581" t="s">
        <v>1219</v>
      </c>
      <c r="NL581" t="s">
        <v>660</v>
      </c>
      <c r="NV581" t="s">
        <v>518</v>
      </c>
      <c r="NW581" s="5" t="s">
        <v>1238</v>
      </c>
      <c r="NX581" s="220" t="s">
        <v>1192</v>
      </c>
      <c r="NY581">
        <v>0.54383686193013014</v>
      </c>
      <c r="OB581">
        <v>3</v>
      </c>
      <c r="OU581" t="s">
        <v>1237</v>
      </c>
      <c r="OX581">
        <v>2005</v>
      </c>
      <c r="OY581">
        <v>2006</v>
      </c>
      <c r="PB581" t="s">
        <v>522</v>
      </c>
      <c r="PC581" s="50">
        <v>46164</v>
      </c>
    </row>
    <row r="582" spans="1:419" ht="15.75" thickBot="1">
      <c r="A582" t="s">
        <v>665</v>
      </c>
      <c r="B582" t="s">
        <v>1176</v>
      </c>
      <c r="C582" t="s">
        <v>1177</v>
      </c>
      <c r="D582" s="4" t="s">
        <v>950</v>
      </c>
      <c r="E582" t="s">
        <v>1178</v>
      </c>
      <c r="F582" t="s">
        <v>1179</v>
      </c>
      <c r="G582" t="s">
        <v>475</v>
      </c>
      <c r="H582" t="s">
        <v>476</v>
      </c>
      <c r="I582">
        <v>-13.65</v>
      </c>
      <c r="J582">
        <v>32.566666669999996</v>
      </c>
      <c r="K582">
        <v>200</v>
      </c>
      <c r="AV582" t="s">
        <v>1180</v>
      </c>
      <c r="AW582">
        <v>100</v>
      </c>
      <c r="AX582" t="s">
        <v>866</v>
      </c>
      <c r="AY582" s="5">
        <v>8</v>
      </c>
      <c r="AZ582" t="s">
        <v>1181</v>
      </c>
      <c r="BA582">
        <v>1999</v>
      </c>
      <c r="BB582">
        <v>2007</v>
      </c>
      <c r="BD582" t="s">
        <v>1196</v>
      </c>
      <c r="BE582" t="s">
        <v>572</v>
      </c>
      <c r="BF582" t="s">
        <v>484</v>
      </c>
      <c r="BG582" t="s">
        <v>485</v>
      </c>
      <c r="BH582" t="s">
        <v>1183</v>
      </c>
      <c r="BI582" t="s">
        <v>486</v>
      </c>
      <c r="BJ582">
        <v>44440</v>
      </c>
      <c r="BK582" t="s">
        <v>555</v>
      </c>
      <c r="ED582" t="s">
        <v>1197</v>
      </c>
      <c r="EE582" t="s">
        <v>486</v>
      </c>
      <c r="EF582">
        <v>10000</v>
      </c>
      <c r="FM582" s="9"/>
      <c r="FN582" s="9"/>
      <c r="FO582" s="9"/>
      <c r="FP582" s="9"/>
      <c r="FQ582" s="9"/>
      <c r="FR582" s="9"/>
      <c r="FS582" s="9"/>
      <c r="FT582" s="9"/>
      <c r="FU582" s="9"/>
      <c r="FV582" s="9"/>
      <c r="FW582" s="9"/>
      <c r="FX582" s="9"/>
      <c r="FY582" s="9"/>
      <c r="FZ582" s="9"/>
      <c r="GA582" s="9"/>
      <c r="GB582" s="9"/>
      <c r="GC582" s="9"/>
      <c r="GD582" s="9"/>
      <c r="GE582" s="9"/>
      <c r="GF582" s="9"/>
      <c r="GG582" s="9"/>
      <c r="GH582" s="9"/>
      <c r="GI582" s="9"/>
      <c r="GJ582" s="9"/>
      <c r="GK582" s="9"/>
      <c r="GL582" s="9"/>
      <c r="GM582" s="9"/>
      <c r="GN582" s="9"/>
      <c r="GO582" s="9"/>
      <c r="GP582" s="9"/>
      <c r="GQ582" s="9"/>
      <c r="GR582" s="9"/>
      <c r="GS582" s="9"/>
      <c r="GT582" s="9"/>
      <c r="GU582" s="9"/>
      <c r="GV582" s="9"/>
      <c r="GW582" s="9"/>
      <c r="GX582" s="9"/>
      <c r="GY582" s="9"/>
      <c r="GZ582" s="9"/>
      <c r="HA582" s="9"/>
      <c r="HB582" s="9"/>
      <c r="HC582" s="9"/>
      <c r="HD582" s="9"/>
      <c r="HE582" s="9"/>
      <c r="HF582" s="9"/>
      <c r="HG582" s="9"/>
      <c r="HH582" s="9"/>
      <c r="HI582" s="9"/>
      <c r="HJ582" s="9"/>
      <c r="HK582" s="9"/>
      <c r="HL582" s="9"/>
      <c r="HT582" s="50">
        <v>36495</v>
      </c>
      <c r="IO582" t="s">
        <v>1196</v>
      </c>
      <c r="IP582" s="75" t="s">
        <v>679</v>
      </c>
      <c r="IS582">
        <v>1999</v>
      </c>
      <c r="IU582" s="4" t="s">
        <v>1186</v>
      </c>
      <c r="JL582" t="s">
        <v>1187</v>
      </c>
      <c r="KE582" t="s">
        <v>1188</v>
      </c>
      <c r="KF582" s="75" t="s">
        <v>1001</v>
      </c>
      <c r="MY582" t="s">
        <v>1217</v>
      </c>
      <c r="MZ582">
        <v>100</v>
      </c>
      <c r="NA582" t="s">
        <v>1218</v>
      </c>
      <c r="NB582" t="s">
        <v>548</v>
      </c>
      <c r="NJ582" t="s">
        <v>1219</v>
      </c>
      <c r="NL582" t="s">
        <v>660</v>
      </c>
      <c r="NV582" t="s">
        <v>518</v>
      </c>
      <c r="NW582" s="5" t="s">
        <v>1239</v>
      </c>
      <c r="NX582" s="220" t="s">
        <v>1192</v>
      </c>
      <c r="NY582">
        <v>0.29120665021432002</v>
      </c>
      <c r="OB582">
        <v>3</v>
      </c>
      <c r="OU582" t="s">
        <v>1237</v>
      </c>
      <c r="OX582">
        <v>2005</v>
      </c>
      <c r="OY582">
        <v>2006</v>
      </c>
      <c r="PB582" t="s">
        <v>522</v>
      </c>
      <c r="PC582" s="50">
        <v>46164</v>
      </c>
    </row>
    <row r="583" spans="1:419" ht="15.75" thickBot="1">
      <c r="A583" t="s">
        <v>665</v>
      </c>
      <c r="B583" t="s">
        <v>1176</v>
      </c>
      <c r="C583" t="s">
        <v>1177</v>
      </c>
      <c r="D583" s="4" t="s">
        <v>950</v>
      </c>
      <c r="E583" t="s">
        <v>1178</v>
      </c>
      <c r="F583" t="s">
        <v>1179</v>
      </c>
      <c r="G583" t="s">
        <v>475</v>
      </c>
      <c r="H583" t="s">
        <v>476</v>
      </c>
      <c r="I583">
        <v>-13.65</v>
      </c>
      <c r="J583">
        <v>32.566666669999996</v>
      </c>
      <c r="K583">
        <v>200</v>
      </c>
      <c r="AV583" t="s">
        <v>1180</v>
      </c>
      <c r="AW583">
        <v>100</v>
      </c>
      <c r="AX583" t="s">
        <v>866</v>
      </c>
      <c r="AY583" s="5">
        <v>8</v>
      </c>
      <c r="AZ583" t="s">
        <v>1181</v>
      </c>
      <c r="BA583">
        <v>1999</v>
      </c>
      <c r="BB583">
        <v>2007</v>
      </c>
      <c r="BD583" t="s">
        <v>1198</v>
      </c>
      <c r="BE583" t="s">
        <v>553</v>
      </c>
      <c r="BF583" t="s">
        <v>484</v>
      </c>
      <c r="BG583" t="s">
        <v>485</v>
      </c>
      <c r="BH583" t="s">
        <v>1183</v>
      </c>
      <c r="BI583" t="s">
        <v>486</v>
      </c>
      <c r="BJ583">
        <v>44440</v>
      </c>
      <c r="BK583" t="s">
        <v>555</v>
      </c>
      <c r="ED583" t="s">
        <v>676</v>
      </c>
      <c r="EE583" t="s">
        <v>486</v>
      </c>
      <c r="EF583">
        <v>5000</v>
      </c>
      <c r="EG583" t="s">
        <v>537</v>
      </c>
      <c r="EH583" t="s">
        <v>1197</v>
      </c>
      <c r="EI583" t="s">
        <v>486</v>
      </c>
      <c r="EJ583">
        <v>5000</v>
      </c>
      <c r="FM583" s="9"/>
      <c r="FN583" s="9"/>
      <c r="FO583" s="9"/>
      <c r="FP583" s="9"/>
      <c r="FQ583" s="9"/>
      <c r="FR583" s="9"/>
      <c r="FS583" s="9"/>
      <c r="FT583" s="9"/>
      <c r="FU583" s="9"/>
      <c r="FV583" s="9"/>
      <c r="FW583" s="9"/>
      <c r="FX583" s="9"/>
      <c r="FY583" s="9"/>
      <c r="FZ583" s="9"/>
      <c r="GA583" s="9"/>
      <c r="GB583" s="9"/>
      <c r="GC583" s="9"/>
      <c r="GD583" s="9"/>
      <c r="GE583" s="9"/>
      <c r="GF583" s="9"/>
      <c r="GG583" s="9"/>
      <c r="GH583" s="9"/>
      <c r="GI583" s="9"/>
      <c r="GJ583" s="9"/>
      <c r="GK583" s="9"/>
      <c r="GL583" s="9"/>
      <c r="GM583" s="9"/>
      <c r="GN583" s="9"/>
      <c r="GO583" s="9"/>
      <c r="GP583" s="9"/>
      <c r="GQ583" s="9"/>
      <c r="GR583" s="9"/>
      <c r="GS583" s="9"/>
      <c r="GT583" s="9"/>
      <c r="GU583" s="9"/>
      <c r="GV583" s="9"/>
      <c r="GW583" s="9"/>
      <c r="GX583" s="9"/>
      <c r="GY583" s="9"/>
      <c r="GZ583" s="9"/>
      <c r="HA583" s="9"/>
      <c r="HB583" s="9"/>
      <c r="HC583" s="9"/>
      <c r="HD583" s="9"/>
      <c r="HE583" s="9"/>
      <c r="HF583" s="9"/>
      <c r="HG583" s="9"/>
      <c r="HH583" s="9"/>
      <c r="HI583" s="9"/>
      <c r="HJ583" s="9"/>
      <c r="HK583" s="9"/>
      <c r="HL583" s="9"/>
      <c r="HT583" s="50">
        <v>36495</v>
      </c>
      <c r="IO583" t="s">
        <v>1198</v>
      </c>
      <c r="IP583" s="75" t="s">
        <v>679</v>
      </c>
      <c r="IS583">
        <v>1999</v>
      </c>
      <c r="IU583" s="4" t="s">
        <v>1186</v>
      </c>
      <c r="JL583" t="s">
        <v>1187</v>
      </c>
      <c r="KE583" t="s">
        <v>1188</v>
      </c>
      <c r="KF583" s="75" t="s">
        <v>1001</v>
      </c>
      <c r="MY583" t="s">
        <v>1217</v>
      </c>
      <c r="MZ583">
        <v>100</v>
      </c>
      <c r="NA583" t="s">
        <v>1218</v>
      </c>
      <c r="NB583" t="s">
        <v>548</v>
      </c>
      <c r="NJ583" t="s">
        <v>1219</v>
      </c>
      <c r="NL583" t="s">
        <v>660</v>
      </c>
      <c r="NV583" t="s">
        <v>518</v>
      </c>
      <c r="NW583" s="5" t="s">
        <v>1240</v>
      </c>
      <c r="NX583" s="220" t="s">
        <v>1192</v>
      </c>
      <c r="NY583">
        <v>1.0290297441226204</v>
      </c>
      <c r="OB583">
        <v>3</v>
      </c>
      <c r="OU583" t="s">
        <v>1237</v>
      </c>
      <c r="OX583">
        <v>2005</v>
      </c>
      <c r="OY583">
        <v>2006</v>
      </c>
      <c r="PB583" t="s">
        <v>522</v>
      </c>
      <c r="PC583" s="50">
        <v>46164</v>
      </c>
    </row>
    <row r="584" spans="1:419" ht="15.75" thickBot="1">
      <c r="A584" t="s">
        <v>665</v>
      </c>
      <c r="B584" t="s">
        <v>1176</v>
      </c>
      <c r="C584" t="s">
        <v>1177</v>
      </c>
      <c r="D584" s="4" t="s">
        <v>950</v>
      </c>
      <c r="E584" t="s">
        <v>1178</v>
      </c>
      <c r="F584" t="s">
        <v>1179</v>
      </c>
      <c r="G584" t="s">
        <v>475</v>
      </c>
      <c r="H584" t="s">
        <v>476</v>
      </c>
      <c r="I584">
        <v>-13.65</v>
      </c>
      <c r="J584">
        <v>32.566666669999996</v>
      </c>
      <c r="K584">
        <v>200</v>
      </c>
      <c r="AV584" t="s">
        <v>1180</v>
      </c>
      <c r="AW584">
        <v>100</v>
      </c>
      <c r="AX584" t="s">
        <v>866</v>
      </c>
      <c r="AY584" s="5">
        <v>8</v>
      </c>
      <c r="AZ584" t="s">
        <v>1181</v>
      </c>
      <c r="BA584">
        <v>1999</v>
      </c>
      <c r="BB584">
        <v>2007</v>
      </c>
      <c r="BD584" t="s">
        <v>1199</v>
      </c>
      <c r="BE584" t="s">
        <v>607</v>
      </c>
      <c r="BF584" t="s">
        <v>484</v>
      </c>
      <c r="BG584" t="s">
        <v>485</v>
      </c>
      <c r="BH584" t="s">
        <v>1183</v>
      </c>
      <c r="BI584" t="s">
        <v>486</v>
      </c>
      <c r="BJ584">
        <v>44440</v>
      </c>
      <c r="BK584" t="s">
        <v>555</v>
      </c>
      <c r="ED584" t="s">
        <v>676</v>
      </c>
      <c r="EE584" t="s">
        <v>486</v>
      </c>
      <c r="EF584">
        <v>10000</v>
      </c>
      <c r="FM584" s="9"/>
      <c r="FN584" s="9"/>
      <c r="FO584" s="9"/>
      <c r="FP584" s="9"/>
      <c r="FQ584" s="9"/>
      <c r="FR584" s="9"/>
      <c r="FS584" s="9"/>
      <c r="FT584" s="9"/>
      <c r="FU584" s="9"/>
      <c r="FV584" s="9"/>
      <c r="FW584" s="9"/>
      <c r="FX584" s="9"/>
      <c r="FY584" s="9"/>
      <c r="FZ584" s="9"/>
      <c r="GA584" s="9"/>
      <c r="GB584" s="9"/>
      <c r="GC584" s="9"/>
      <c r="GD584" s="9"/>
      <c r="GE584" s="9"/>
      <c r="GF584" s="9"/>
      <c r="GG584" s="9"/>
      <c r="GH584" s="9"/>
      <c r="GI584" s="9"/>
      <c r="GJ584" s="9"/>
      <c r="GK584" s="9"/>
      <c r="GL584" s="9"/>
      <c r="GM584" s="9"/>
      <c r="GN584" s="9"/>
      <c r="GO584" s="9"/>
      <c r="GP584" s="9"/>
      <c r="GQ584" s="9"/>
      <c r="GR584" s="9"/>
      <c r="GS584" s="9"/>
      <c r="GT584" s="9"/>
      <c r="GU584" s="9"/>
      <c r="GV584" s="9"/>
      <c r="GW584" s="9"/>
      <c r="GX584" s="9"/>
      <c r="GY584" s="9"/>
      <c r="GZ584" s="9"/>
      <c r="HA584" s="9"/>
      <c r="HB584" s="9"/>
      <c r="HC584" s="9"/>
      <c r="HD584" s="9"/>
      <c r="HE584" s="9"/>
      <c r="HF584" s="9"/>
      <c r="HG584" s="9"/>
      <c r="HH584" s="9"/>
      <c r="HI584" s="9"/>
      <c r="HJ584" s="9"/>
      <c r="HK584" s="9"/>
      <c r="HL584" s="9"/>
      <c r="HT584" s="50">
        <v>36495</v>
      </c>
      <c r="IO584" t="s">
        <v>1199</v>
      </c>
      <c r="IP584" s="75" t="s">
        <v>679</v>
      </c>
      <c r="IS584">
        <v>1999</v>
      </c>
      <c r="IU584" s="4" t="s">
        <v>1186</v>
      </c>
      <c r="JL584" t="s">
        <v>1187</v>
      </c>
      <c r="KE584" t="s">
        <v>1188</v>
      </c>
      <c r="KF584" s="75" t="s">
        <v>1001</v>
      </c>
      <c r="MY584" t="s">
        <v>1217</v>
      </c>
      <c r="MZ584">
        <v>100</v>
      </c>
      <c r="NA584" t="s">
        <v>1218</v>
      </c>
      <c r="NB584" t="s">
        <v>548</v>
      </c>
      <c r="NJ584" t="s">
        <v>1219</v>
      </c>
      <c r="NL584" t="s">
        <v>660</v>
      </c>
      <c r="NV584" t="s">
        <v>518</v>
      </c>
      <c r="NW584" s="5" t="s">
        <v>1241</v>
      </c>
      <c r="NX584" s="220" t="s">
        <v>1192</v>
      </c>
      <c r="NY584">
        <v>0.75698142615924002</v>
      </c>
      <c r="OB584">
        <v>3</v>
      </c>
      <c r="OU584" t="s">
        <v>1237</v>
      </c>
      <c r="OX584">
        <v>2005</v>
      </c>
      <c r="OY584">
        <v>2006</v>
      </c>
      <c r="PB584" t="s">
        <v>522</v>
      </c>
      <c r="PC584" s="50">
        <v>46164</v>
      </c>
    </row>
    <row r="585" spans="1:419" ht="15.75" thickBot="1">
      <c r="A585" t="s">
        <v>665</v>
      </c>
      <c r="B585" t="s">
        <v>1176</v>
      </c>
      <c r="C585" t="s">
        <v>1177</v>
      </c>
      <c r="D585" s="4" t="s">
        <v>950</v>
      </c>
      <c r="E585" t="s">
        <v>1178</v>
      </c>
      <c r="F585" t="s">
        <v>1179</v>
      </c>
      <c r="G585" t="s">
        <v>475</v>
      </c>
      <c r="H585" t="s">
        <v>476</v>
      </c>
      <c r="I585">
        <v>-13.65</v>
      </c>
      <c r="J585">
        <v>32.566666669999996</v>
      </c>
      <c r="K585">
        <v>200</v>
      </c>
      <c r="AV585" t="s">
        <v>1180</v>
      </c>
      <c r="AW585">
        <v>100</v>
      </c>
      <c r="AX585" t="s">
        <v>866</v>
      </c>
      <c r="AY585" s="5">
        <v>8</v>
      </c>
      <c r="AZ585" t="s">
        <v>1181</v>
      </c>
      <c r="BA585">
        <v>1999</v>
      </c>
      <c r="BB585">
        <v>2007</v>
      </c>
      <c r="BD585" t="s">
        <v>1226</v>
      </c>
      <c r="BE585" t="s">
        <v>611</v>
      </c>
      <c r="BF585" t="s">
        <v>484</v>
      </c>
      <c r="BG585" t="s">
        <v>485</v>
      </c>
      <c r="BH585" t="s">
        <v>1183</v>
      </c>
      <c r="BI585" t="s">
        <v>486</v>
      </c>
      <c r="BJ585">
        <v>44440</v>
      </c>
      <c r="BK585" t="s">
        <v>555</v>
      </c>
      <c r="FM585" s="9"/>
      <c r="FN585" s="9"/>
      <c r="FO585" s="9"/>
      <c r="FP585" s="9"/>
      <c r="FQ585" s="9"/>
      <c r="FR585" s="9"/>
      <c r="FS585" s="9"/>
      <c r="FT585" s="9"/>
      <c r="FU585" s="9"/>
      <c r="FV585" s="9"/>
      <c r="FW585" s="9"/>
      <c r="FX585" s="9"/>
      <c r="FY585" s="9"/>
      <c r="FZ585" s="9"/>
      <c r="GA585" s="9"/>
      <c r="GB585" s="9"/>
      <c r="GC585" s="9"/>
      <c r="GD585" s="9"/>
      <c r="GE585" s="9"/>
      <c r="GF585" s="9"/>
      <c r="GG585" s="9"/>
      <c r="GH585" s="9"/>
      <c r="GI585" s="9"/>
      <c r="GJ585" s="9"/>
      <c r="GK585" s="9"/>
      <c r="GL585" s="9"/>
      <c r="GM585" s="9"/>
      <c r="GN585" s="9"/>
      <c r="GO585" s="9"/>
      <c r="GP585" s="9"/>
      <c r="GQ585" s="9"/>
      <c r="GR585" s="9"/>
      <c r="GS585" s="9"/>
      <c r="GT585" s="9"/>
      <c r="GU585" s="9"/>
      <c r="GV585" s="9"/>
      <c r="GW585" s="9"/>
      <c r="GX585" s="9"/>
      <c r="GY585" s="9"/>
      <c r="GZ585" s="9"/>
      <c r="HA585" s="9"/>
      <c r="HB585" s="9"/>
      <c r="HC585" s="9"/>
      <c r="HD585" s="9"/>
      <c r="HE585" s="9"/>
      <c r="HF585" s="9"/>
      <c r="HG585" s="9"/>
      <c r="HH585" s="9"/>
      <c r="HI585" s="9"/>
      <c r="HJ585" s="9"/>
      <c r="HK585" s="9"/>
      <c r="HL585" s="9"/>
      <c r="HT585" s="50">
        <v>36495</v>
      </c>
      <c r="IO585" t="s">
        <v>1201</v>
      </c>
      <c r="IP585" s="46" t="s">
        <v>1185</v>
      </c>
      <c r="IS585">
        <v>1999</v>
      </c>
      <c r="IU585" s="4" t="s">
        <v>1186</v>
      </c>
      <c r="JL585" t="s">
        <v>1187</v>
      </c>
      <c r="KE585" t="s">
        <v>1188</v>
      </c>
      <c r="KF585" s="75" t="s">
        <v>1001</v>
      </c>
      <c r="MY585" t="s">
        <v>1217</v>
      </c>
      <c r="MZ585">
        <v>100</v>
      </c>
      <c r="NA585" t="s">
        <v>1218</v>
      </c>
      <c r="NB585" t="s">
        <v>548</v>
      </c>
      <c r="NJ585" t="s">
        <v>1219</v>
      </c>
      <c r="NL585" t="s">
        <v>660</v>
      </c>
      <c r="NV585" t="s">
        <v>518</v>
      </c>
      <c r="NW585" s="5" t="s">
        <v>1242</v>
      </c>
      <c r="NX585" s="220" t="s">
        <v>1192</v>
      </c>
      <c r="NY585">
        <v>0.2526302117158099</v>
      </c>
      <c r="OB585">
        <v>3</v>
      </c>
      <c r="OU585" t="s">
        <v>1237</v>
      </c>
      <c r="OX585">
        <v>2005</v>
      </c>
      <c r="OY585">
        <v>2006</v>
      </c>
      <c r="PB585" t="s">
        <v>522</v>
      </c>
      <c r="PC585" s="50">
        <v>46164</v>
      </c>
    </row>
    <row r="586" spans="1:419" ht="15.75" thickBot="1">
      <c r="A586" t="s">
        <v>665</v>
      </c>
      <c r="B586" t="s">
        <v>1176</v>
      </c>
      <c r="C586" t="s">
        <v>1177</v>
      </c>
      <c r="D586" s="4" t="s">
        <v>950</v>
      </c>
      <c r="E586" t="s">
        <v>1178</v>
      </c>
      <c r="F586" t="s">
        <v>1179</v>
      </c>
      <c r="G586" t="s">
        <v>475</v>
      </c>
      <c r="H586" t="s">
        <v>476</v>
      </c>
      <c r="I586">
        <v>-13.65</v>
      </c>
      <c r="J586">
        <v>32.566666669999996</v>
      </c>
      <c r="K586">
        <v>200</v>
      </c>
      <c r="AV586" t="s">
        <v>1180</v>
      </c>
      <c r="AW586">
        <v>100</v>
      </c>
      <c r="AX586" t="s">
        <v>866</v>
      </c>
      <c r="AY586" s="5">
        <v>8</v>
      </c>
      <c r="AZ586" t="s">
        <v>1181</v>
      </c>
      <c r="BA586">
        <v>1999</v>
      </c>
      <c r="BB586">
        <v>2007</v>
      </c>
      <c r="BD586" t="s">
        <v>1202</v>
      </c>
      <c r="BE586" t="s">
        <v>524</v>
      </c>
      <c r="BF586" t="s">
        <v>484</v>
      </c>
      <c r="BG586" t="s">
        <v>485</v>
      </c>
      <c r="BH586" t="s">
        <v>1183</v>
      </c>
      <c r="BI586" t="s">
        <v>486</v>
      </c>
      <c r="BJ586">
        <v>44440</v>
      </c>
      <c r="FM586" s="9"/>
      <c r="FN586" s="9"/>
      <c r="FO586" s="9"/>
      <c r="FP586" s="9"/>
      <c r="FQ586" s="9"/>
      <c r="FR586" s="9"/>
      <c r="FS586" s="9"/>
      <c r="FT586" s="9"/>
      <c r="FU586" s="9"/>
      <c r="FV586" s="9"/>
      <c r="FW586" s="9"/>
      <c r="FX586" s="9"/>
      <c r="FY586" s="9"/>
      <c r="FZ586" s="9"/>
      <c r="GA586" s="9"/>
      <c r="GB586" s="9"/>
      <c r="GC586" s="9"/>
      <c r="GD586" s="9"/>
      <c r="GE586" s="9"/>
      <c r="GF586" s="9"/>
      <c r="GG586" s="9"/>
      <c r="GH586" s="9"/>
      <c r="GI586" s="9"/>
      <c r="GJ586" s="9"/>
      <c r="GK586" s="9"/>
      <c r="GL586" s="9"/>
      <c r="GM586" s="9"/>
      <c r="GN586" s="9"/>
      <c r="GO586" s="9"/>
      <c r="GP586" s="9"/>
      <c r="GQ586" s="9"/>
      <c r="GR586" s="9"/>
      <c r="GS586" s="9"/>
      <c r="GT586" s="9"/>
      <c r="GU586" s="9"/>
      <c r="GV586" s="9"/>
      <c r="GW586" s="9"/>
      <c r="GX586" s="9"/>
      <c r="GY586" s="9"/>
      <c r="GZ586" s="9"/>
      <c r="HA586" s="9"/>
      <c r="HB586" s="9"/>
      <c r="HC586" s="9"/>
      <c r="HD586" s="9"/>
      <c r="HE586" s="9"/>
      <c r="HF586" s="9"/>
      <c r="HG586" s="9"/>
      <c r="HH586" s="9"/>
      <c r="HI586" s="9"/>
      <c r="HJ586" s="9"/>
      <c r="HK586" s="9"/>
      <c r="HL586" s="9"/>
      <c r="HT586" s="50">
        <v>36495</v>
      </c>
      <c r="IO586" t="s">
        <v>1203</v>
      </c>
      <c r="IP586" t="s">
        <v>492</v>
      </c>
      <c r="IS586">
        <v>1999</v>
      </c>
      <c r="JL586" t="s">
        <v>495</v>
      </c>
      <c r="JM586" t="s">
        <v>1204</v>
      </c>
      <c r="JN586" t="s">
        <v>497</v>
      </c>
      <c r="JO586" t="s">
        <v>1205</v>
      </c>
      <c r="JP586" t="s">
        <v>508</v>
      </c>
      <c r="JQ586" t="s">
        <v>1206</v>
      </c>
      <c r="JR586">
        <v>90</v>
      </c>
      <c r="JS586">
        <v>80</v>
      </c>
      <c r="KE586" t="s">
        <v>1188</v>
      </c>
      <c r="KF586" s="75" t="s">
        <v>1001</v>
      </c>
      <c r="MY586" t="s">
        <v>1217</v>
      </c>
      <c r="MZ586">
        <v>100</v>
      </c>
      <c r="NA586" t="s">
        <v>1218</v>
      </c>
      <c r="NB586" t="s">
        <v>548</v>
      </c>
      <c r="NJ586" t="s">
        <v>1219</v>
      </c>
      <c r="NL586" t="s">
        <v>660</v>
      </c>
      <c r="NU586" t="s">
        <v>1025</v>
      </c>
      <c r="NV586" t="s">
        <v>518</v>
      </c>
      <c r="NW586" s="5" t="s">
        <v>1243</v>
      </c>
      <c r="NX586" s="220" t="s">
        <v>1192</v>
      </c>
      <c r="NY586">
        <v>0.34946096895701029</v>
      </c>
      <c r="OB586">
        <v>3</v>
      </c>
      <c r="OU586" t="s">
        <v>1237</v>
      </c>
      <c r="OX586">
        <v>2005</v>
      </c>
      <c r="OY586">
        <v>2006</v>
      </c>
      <c r="PB586" t="s">
        <v>522</v>
      </c>
      <c r="PC586" s="50">
        <v>46164</v>
      </c>
    </row>
    <row r="587" spans="1:419" ht="15.75" thickBot="1">
      <c r="A587" t="s">
        <v>665</v>
      </c>
      <c r="B587" t="s">
        <v>1176</v>
      </c>
      <c r="C587" t="s">
        <v>1177</v>
      </c>
      <c r="D587" s="4" t="s">
        <v>950</v>
      </c>
      <c r="E587" t="s">
        <v>1178</v>
      </c>
      <c r="F587" t="s">
        <v>1179</v>
      </c>
      <c r="G587" t="s">
        <v>475</v>
      </c>
      <c r="H587" t="s">
        <v>476</v>
      </c>
      <c r="I587">
        <v>-13.65</v>
      </c>
      <c r="J587">
        <v>32.566666669999996</v>
      </c>
      <c r="K587">
        <v>200</v>
      </c>
      <c r="AV587" t="s">
        <v>1180</v>
      </c>
      <c r="AW587">
        <v>100</v>
      </c>
      <c r="AX587" t="s">
        <v>866</v>
      </c>
      <c r="AY587" s="5">
        <v>8</v>
      </c>
      <c r="AZ587" t="s">
        <v>1181</v>
      </c>
      <c r="BA587">
        <v>1999</v>
      </c>
      <c r="BB587">
        <v>2007</v>
      </c>
      <c r="BD587" t="s">
        <v>1182</v>
      </c>
      <c r="BE587" t="s">
        <v>536</v>
      </c>
      <c r="BF587" t="s">
        <v>484</v>
      </c>
      <c r="BG587" t="s">
        <v>485</v>
      </c>
      <c r="BH587" t="s">
        <v>1183</v>
      </c>
      <c r="BI587" t="s">
        <v>486</v>
      </c>
      <c r="BJ587">
        <v>44440</v>
      </c>
      <c r="BK587" t="s">
        <v>555</v>
      </c>
      <c r="BL587" t="s">
        <v>1184</v>
      </c>
      <c r="BM587" t="s">
        <v>480</v>
      </c>
      <c r="BN587" t="s">
        <v>486</v>
      </c>
      <c r="BO587">
        <v>10000</v>
      </c>
      <c r="FM587" s="9"/>
      <c r="FN587" s="9"/>
      <c r="FO587" s="9"/>
      <c r="FP587" s="9"/>
      <c r="FQ587" s="9"/>
      <c r="FR587" s="9"/>
      <c r="FS587" s="9"/>
      <c r="FT587" s="9"/>
      <c r="FU587" s="9"/>
      <c r="FV587" s="9"/>
      <c r="FW587" s="9"/>
      <c r="FX587" s="9"/>
      <c r="FY587" s="9"/>
      <c r="FZ587" s="9"/>
      <c r="GA587" s="9"/>
      <c r="GB587" s="9"/>
      <c r="GC587" s="9"/>
      <c r="GD587" s="9"/>
      <c r="GE587" s="9"/>
      <c r="GF587" s="9"/>
      <c r="GG587" s="9"/>
      <c r="GH587" s="9"/>
      <c r="GI587" s="9"/>
      <c r="GJ587" s="9"/>
      <c r="GK587" s="9"/>
      <c r="GL587" s="9"/>
      <c r="GM587" s="9"/>
      <c r="GN587" s="9"/>
      <c r="GO587" s="9"/>
      <c r="GP587" s="9"/>
      <c r="GQ587" s="9"/>
      <c r="GR587" s="9"/>
      <c r="GS587" s="9"/>
      <c r="GT587" s="9"/>
      <c r="GU587" s="9"/>
      <c r="GV587" s="9"/>
      <c r="GW587" s="9"/>
      <c r="GX587" s="9"/>
      <c r="GY587" s="9"/>
      <c r="GZ587" s="9"/>
      <c r="HA587" s="9"/>
      <c r="HB587" s="9"/>
      <c r="HC587" s="9"/>
      <c r="HD587" s="9"/>
      <c r="HE587" s="9"/>
      <c r="HF587" s="9"/>
      <c r="HG587" s="9"/>
      <c r="HH587" s="9"/>
      <c r="HI587" s="9"/>
      <c r="HJ587" s="9"/>
      <c r="HK587" s="9"/>
      <c r="HL587" s="9"/>
      <c r="HT587" s="50">
        <v>36495</v>
      </c>
      <c r="IO587" t="s">
        <v>1182</v>
      </c>
      <c r="IP587" s="46" t="s">
        <v>1185</v>
      </c>
      <c r="IS587">
        <v>1999</v>
      </c>
      <c r="IU587" s="4" t="s">
        <v>1186</v>
      </c>
      <c r="JL587" t="s">
        <v>1187</v>
      </c>
      <c r="KE587" t="s">
        <v>1188</v>
      </c>
      <c r="KF587" s="75" t="s">
        <v>1001</v>
      </c>
      <c r="MY587" t="s">
        <v>1217</v>
      </c>
      <c r="MZ587">
        <v>100</v>
      </c>
      <c r="NA587" t="s">
        <v>1218</v>
      </c>
      <c r="NB587" t="s">
        <v>548</v>
      </c>
      <c r="NJ587" t="s">
        <v>1219</v>
      </c>
      <c r="NL587" t="s">
        <v>660</v>
      </c>
      <c r="NV587" t="s">
        <v>518</v>
      </c>
      <c r="NW587" s="5" t="s">
        <v>1244</v>
      </c>
      <c r="NX587" s="220" t="s">
        <v>1192</v>
      </c>
      <c r="NY587">
        <v>0.30769230769229905</v>
      </c>
      <c r="OB587">
        <v>3</v>
      </c>
      <c r="OU587" t="s">
        <v>1245</v>
      </c>
      <c r="OX587">
        <v>2006</v>
      </c>
      <c r="OY587">
        <v>2007</v>
      </c>
      <c r="PB587" t="s">
        <v>522</v>
      </c>
      <c r="PC587" s="50">
        <v>46164</v>
      </c>
    </row>
    <row r="588" spans="1:419" ht="15.75" thickBot="1">
      <c r="A588" t="s">
        <v>665</v>
      </c>
      <c r="B588" t="s">
        <v>1176</v>
      </c>
      <c r="C588" t="s">
        <v>1177</v>
      </c>
      <c r="D588" s="4" t="s">
        <v>950</v>
      </c>
      <c r="E588" t="s">
        <v>1178</v>
      </c>
      <c r="F588" t="s">
        <v>1179</v>
      </c>
      <c r="G588" t="s">
        <v>475</v>
      </c>
      <c r="H588" t="s">
        <v>476</v>
      </c>
      <c r="I588">
        <v>-13.65</v>
      </c>
      <c r="J588">
        <v>32.566666669999996</v>
      </c>
      <c r="K588">
        <v>200</v>
      </c>
      <c r="AV588" t="s">
        <v>1180</v>
      </c>
      <c r="AW588">
        <v>100</v>
      </c>
      <c r="AX588" t="s">
        <v>866</v>
      </c>
      <c r="AY588" s="5">
        <v>8</v>
      </c>
      <c r="AZ588" t="s">
        <v>1181</v>
      </c>
      <c r="BA588">
        <v>1999</v>
      </c>
      <c r="BB588">
        <v>2007</v>
      </c>
      <c r="BD588" t="s">
        <v>1195</v>
      </c>
      <c r="BE588" t="s">
        <v>566</v>
      </c>
      <c r="BF588" t="s">
        <v>484</v>
      </c>
      <c r="BG588" t="s">
        <v>485</v>
      </c>
      <c r="BH588" t="s">
        <v>1183</v>
      </c>
      <c r="BI588" t="s">
        <v>486</v>
      </c>
      <c r="BJ588">
        <v>44440</v>
      </c>
      <c r="BK588" t="s">
        <v>555</v>
      </c>
      <c r="BL588" t="s">
        <v>1184</v>
      </c>
      <c r="BM588" t="s">
        <v>480</v>
      </c>
      <c r="BN588" t="s">
        <v>486</v>
      </c>
      <c r="BO588">
        <v>5000</v>
      </c>
      <c r="BP588" t="s">
        <v>537</v>
      </c>
      <c r="ED588" t="s">
        <v>676</v>
      </c>
      <c r="EE588" t="s">
        <v>486</v>
      </c>
      <c r="EF588">
        <v>5000</v>
      </c>
      <c r="FM588" s="9"/>
      <c r="FN588" s="9"/>
      <c r="FO588" s="9"/>
      <c r="FP588" s="9"/>
      <c r="FQ588" s="9"/>
      <c r="FR588" s="9"/>
      <c r="FS588" s="9"/>
      <c r="FT588" s="9"/>
      <c r="FU588" s="9"/>
      <c r="FV588" s="9"/>
      <c r="FW588" s="9"/>
      <c r="FX588" s="9"/>
      <c r="FY588" s="9"/>
      <c r="FZ588" s="9"/>
      <c r="GA588" s="9"/>
      <c r="GB588" s="9"/>
      <c r="GC588" s="9"/>
      <c r="GD588" s="9"/>
      <c r="GE588" s="9"/>
      <c r="GF588" s="9"/>
      <c r="GG588" s="9"/>
      <c r="GH588" s="9"/>
      <c r="GI588" s="9"/>
      <c r="GJ588" s="9"/>
      <c r="GK588" s="9"/>
      <c r="GL588" s="9"/>
      <c r="GM588" s="9"/>
      <c r="GN588" s="9"/>
      <c r="GO588" s="9"/>
      <c r="GP588" s="9"/>
      <c r="GQ588" s="9"/>
      <c r="GR588" s="9"/>
      <c r="GS588" s="9"/>
      <c r="GT588" s="9"/>
      <c r="GU588" s="9"/>
      <c r="GV588" s="9"/>
      <c r="GW588" s="9"/>
      <c r="GX588" s="9"/>
      <c r="GY588" s="9"/>
      <c r="GZ588" s="9"/>
      <c r="HA588" s="9"/>
      <c r="HB588" s="9"/>
      <c r="HC588" s="9"/>
      <c r="HD588" s="9"/>
      <c r="HE588" s="9"/>
      <c r="HF588" s="9"/>
      <c r="HG588" s="9"/>
      <c r="HH588" s="9"/>
      <c r="HI588" s="9"/>
      <c r="HJ588" s="9"/>
      <c r="HK588" s="9"/>
      <c r="HL588" s="9"/>
      <c r="HT588" s="50">
        <v>36495</v>
      </c>
      <c r="IO588" t="s">
        <v>1195</v>
      </c>
      <c r="IP588" s="75" t="s">
        <v>679</v>
      </c>
      <c r="IS588">
        <v>1999</v>
      </c>
      <c r="IU588" s="4" t="s">
        <v>1186</v>
      </c>
      <c r="JL588" t="s">
        <v>1187</v>
      </c>
      <c r="KE588" t="s">
        <v>1188</v>
      </c>
      <c r="KF588" s="75" t="s">
        <v>1001</v>
      </c>
      <c r="MY588" t="s">
        <v>1217</v>
      </c>
      <c r="MZ588">
        <v>100</v>
      </c>
      <c r="NA588" t="s">
        <v>1218</v>
      </c>
      <c r="NB588" t="s">
        <v>548</v>
      </c>
      <c r="NJ588" t="s">
        <v>1219</v>
      </c>
      <c r="NL588" t="s">
        <v>660</v>
      </c>
      <c r="NV588" t="s">
        <v>518</v>
      </c>
      <c r="NW588">
        <v>0.86538461538461497</v>
      </c>
      <c r="NX588" s="220" t="s">
        <v>1192</v>
      </c>
      <c r="NY588">
        <v>0.28846153846153499</v>
      </c>
      <c r="OB588">
        <v>3</v>
      </c>
      <c r="OU588" t="s">
        <v>1245</v>
      </c>
      <c r="OX588">
        <v>2006</v>
      </c>
      <c r="OY588">
        <v>2007</v>
      </c>
      <c r="PB588" t="s">
        <v>522</v>
      </c>
      <c r="PC588" s="50">
        <v>46164</v>
      </c>
    </row>
    <row r="589" spans="1:419" ht="15.75" thickBot="1">
      <c r="A589" t="s">
        <v>665</v>
      </c>
      <c r="B589" t="s">
        <v>1176</v>
      </c>
      <c r="C589" t="s">
        <v>1177</v>
      </c>
      <c r="D589" s="4" t="s">
        <v>950</v>
      </c>
      <c r="E589" t="s">
        <v>1178</v>
      </c>
      <c r="F589" t="s">
        <v>1179</v>
      </c>
      <c r="G589" t="s">
        <v>475</v>
      </c>
      <c r="H589" t="s">
        <v>476</v>
      </c>
      <c r="I589">
        <v>-13.65</v>
      </c>
      <c r="J589">
        <v>32.566666669999996</v>
      </c>
      <c r="K589">
        <v>200</v>
      </c>
      <c r="AV589" t="s">
        <v>1180</v>
      </c>
      <c r="AW589">
        <v>100</v>
      </c>
      <c r="AX589" t="s">
        <v>866</v>
      </c>
      <c r="AY589" s="5">
        <v>8</v>
      </c>
      <c r="AZ589" t="s">
        <v>1181</v>
      </c>
      <c r="BA589">
        <v>1999</v>
      </c>
      <c r="BB589">
        <v>2007</v>
      </c>
      <c r="BD589" t="s">
        <v>1196</v>
      </c>
      <c r="BE589" t="s">
        <v>572</v>
      </c>
      <c r="BF589" t="s">
        <v>484</v>
      </c>
      <c r="BG589" t="s">
        <v>485</v>
      </c>
      <c r="BH589" t="s">
        <v>1183</v>
      </c>
      <c r="BI589" t="s">
        <v>486</v>
      </c>
      <c r="BJ589">
        <v>44440</v>
      </c>
      <c r="BK589" t="s">
        <v>555</v>
      </c>
      <c r="ED589" t="s">
        <v>1197</v>
      </c>
      <c r="EE589" t="s">
        <v>486</v>
      </c>
      <c r="EF589">
        <v>10000</v>
      </c>
      <c r="FM589" s="9"/>
      <c r="FN589" s="9"/>
      <c r="FO589" s="9"/>
      <c r="FP589" s="9"/>
      <c r="FQ589" s="9"/>
      <c r="FR589" s="9"/>
      <c r="FS589" s="9"/>
      <c r="FT589" s="9"/>
      <c r="FU589" s="9"/>
      <c r="FV589" s="9"/>
      <c r="FW589" s="9"/>
      <c r="FX589" s="9"/>
      <c r="FY589" s="9"/>
      <c r="FZ589" s="9"/>
      <c r="GA589" s="9"/>
      <c r="GB589" s="9"/>
      <c r="GC589" s="9"/>
      <c r="GD589" s="9"/>
      <c r="GE589" s="9"/>
      <c r="GF589" s="9"/>
      <c r="GG589" s="9"/>
      <c r="GH589" s="9"/>
      <c r="GI589" s="9"/>
      <c r="GJ589" s="9"/>
      <c r="GK589" s="9"/>
      <c r="GL589" s="9"/>
      <c r="GM589" s="9"/>
      <c r="GN589" s="9"/>
      <c r="GO589" s="9"/>
      <c r="GP589" s="9"/>
      <c r="GQ589" s="9"/>
      <c r="GR589" s="9"/>
      <c r="GS589" s="9"/>
      <c r="GT589" s="9"/>
      <c r="GU589" s="9"/>
      <c r="GV589" s="9"/>
      <c r="GW589" s="9"/>
      <c r="GX589" s="9"/>
      <c r="GY589" s="9"/>
      <c r="GZ589" s="9"/>
      <c r="HA589" s="9"/>
      <c r="HB589" s="9"/>
      <c r="HC589" s="9"/>
      <c r="HD589" s="9"/>
      <c r="HE589" s="9"/>
      <c r="HF589" s="9"/>
      <c r="HG589" s="9"/>
      <c r="HH589" s="9"/>
      <c r="HI589" s="9"/>
      <c r="HJ589" s="9"/>
      <c r="HK589" s="9"/>
      <c r="HL589" s="9"/>
      <c r="HT589" s="50">
        <v>36495</v>
      </c>
      <c r="IO589" t="s">
        <v>1196</v>
      </c>
      <c r="IP589" s="75" t="s">
        <v>679</v>
      </c>
      <c r="IS589">
        <v>1999</v>
      </c>
      <c r="IU589" s="4" t="s">
        <v>1186</v>
      </c>
      <c r="JL589" t="s">
        <v>1187</v>
      </c>
      <c r="KE589" t="s">
        <v>1188</v>
      </c>
      <c r="KF589" s="75" t="s">
        <v>1001</v>
      </c>
      <c r="MY589" t="s">
        <v>1217</v>
      </c>
      <c r="MZ589">
        <v>100</v>
      </c>
      <c r="NA589" t="s">
        <v>1218</v>
      </c>
      <c r="NB589" t="s">
        <v>548</v>
      </c>
      <c r="NJ589" t="s">
        <v>1219</v>
      </c>
      <c r="NL589" t="s">
        <v>660</v>
      </c>
      <c r="NV589" t="s">
        <v>518</v>
      </c>
      <c r="NW589" s="5" t="s">
        <v>1246</v>
      </c>
      <c r="NX589" s="220" t="s">
        <v>1192</v>
      </c>
      <c r="NY589">
        <v>0.13461538461538303</v>
      </c>
      <c r="OB589">
        <v>3</v>
      </c>
      <c r="OU589" t="s">
        <v>1245</v>
      </c>
      <c r="OX589">
        <v>2006</v>
      </c>
      <c r="OY589">
        <v>2007</v>
      </c>
      <c r="PB589" t="s">
        <v>522</v>
      </c>
      <c r="PC589" s="50">
        <v>46164</v>
      </c>
    </row>
    <row r="590" spans="1:419" ht="15.75" thickBot="1">
      <c r="A590" t="s">
        <v>665</v>
      </c>
      <c r="B590" t="s">
        <v>1176</v>
      </c>
      <c r="C590" t="s">
        <v>1177</v>
      </c>
      <c r="D590" s="4" t="s">
        <v>950</v>
      </c>
      <c r="E590" t="s">
        <v>1178</v>
      </c>
      <c r="F590" t="s">
        <v>1179</v>
      </c>
      <c r="G590" t="s">
        <v>475</v>
      </c>
      <c r="H590" t="s">
        <v>476</v>
      </c>
      <c r="I590">
        <v>-13.65</v>
      </c>
      <c r="J590">
        <v>32.566666669999996</v>
      </c>
      <c r="K590">
        <v>200</v>
      </c>
      <c r="AV590" t="s">
        <v>1180</v>
      </c>
      <c r="AW590">
        <v>100</v>
      </c>
      <c r="AX590" t="s">
        <v>866</v>
      </c>
      <c r="AY590" s="5">
        <v>8</v>
      </c>
      <c r="AZ590" t="s">
        <v>1181</v>
      </c>
      <c r="BA590">
        <v>1999</v>
      </c>
      <c r="BB590">
        <v>2007</v>
      </c>
      <c r="BD590" t="s">
        <v>1198</v>
      </c>
      <c r="BE590" t="s">
        <v>553</v>
      </c>
      <c r="BF590" t="s">
        <v>484</v>
      </c>
      <c r="BG590" t="s">
        <v>485</v>
      </c>
      <c r="BH590" t="s">
        <v>1183</v>
      </c>
      <c r="BI590" t="s">
        <v>486</v>
      </c>
      <c r="BJ590">
        <v>44440</v>
      </c>
      <c r="BK590" t="s">
        <v>555</v>
      </c>
      <c r="ED590" t="s">
        <v>676</v>
      </c>
      <c r="EE590" t="s">
        <v>486</v>
      </c>
      <c r="EF590">
        <v>5000</v>
      </c>
      <c r="EG590" t="s">
        <v>537</v>
      </c>
      <c r="EH590" t="s">
        <v>1197</v>
      </c>
      <c r="EI590" t="s">
        <v>486</v>
      </c>
      <c r="EJ590">
        <v>5000</v>
      </c>
      <c r="FM590" s="9"/>
      <c r="FN590" s="9"/>
      <c r="FO590" s="9"/>
      <c r="FP590" s="9"/>
      <c r="FQ590" s="9"/>
      <c r="FR590" s="9"/>
      <c r="FS590" s="9"/>
      <c r="FT590" s="9"/>
      <c r="FU590" s="9"/>
      <c r="FV590" s="9"/>
      <c r="FW590" s="9"/>
      <c r="FX590" s="9"/>
      <c r="FY590" s="9"/>
      <c r="FZ590" s="9"/>
      <c r="GA590" s="9"/>
      <c r="GB590" s="9"/>
      <c r="GC590" s="9"/>
      <c r="GD590" s="9"/>
      <c r="GE590" s="9"/>
      <c r="GF590" s="9"/>
      <c r="GG590" s="9"/>
      <c r="GH590" s="9"/>
      <c r="GI590" s="9"/>
      <c r="GJ590" s="9"/>
      <c r="GK590" s="9"/>
      <c r="GL590" s="9"/>
      <c r="GM590" s="9"/>
      <c r="GN590" s="9"/>
      <c r="GO590" s="9"/>
      <c r="GP590" s="9"/>
      <c r="GQ590" s="9"/>
      <c r="GR590" s="9"/>
      <c r="GS590" s="9"/>
      <c r="GT590" s="9"/>
      <c r="GU590" s="9"/>
      <c r="GV590" s="9"/>
      <c r="GW590" s="9"/>
      <c r="GX590" s="9"/>
      <c r="GY590" s="9"/>
      <c r="GZ590" s="9"/>
      <c r="HA590" s="9"/>
      <c r="HB590" s="9"/>
      <c r="HC590" s="9"/>
      <c r="HD590" s="9"/>
      <c r="HE590" s="9"/>
      <c r="HF590" s="9"/>
      <c r="HG590" s="9"/>
      <c r="HH590" s="9"/>
      <c r="HI590" s="9"/>
      <c r="HJ590" s="9"/>
      <c r="HK590" s="9"/>
      <c r="HL590" s="9"/>
      <c r="HT590" s="50">
        <v>36495</v>
      </c>
      <c r="IO590" t="s">
        <v>1198</v>
      </c>
      <c r="IP590" s="75" t="s">
        <v>679</v>
      </c>
      <c r="IS590">
        <v>1999</v>
      </c>
      <c r="IU590" s="4" t="s">
        <v>1186</v>
      </c>
      <c r="JL590" t="s">
        <v>1187</v>
      </c>
      <c r="KE590" t="s">
        <v>1188</v>
      </c>
      <c r="KF590" s="75" t="s">
        <v>1001</v>
      </c>
      <c r="MY590" t="s">
        <v>1217</v>
      </c>
      <c r="MZ590">
        <v>100</v>
      </c>
      <c r="NA590" t="s">
        <v>1218</v>
      </c>
      <c r="NB590" t="s">
        <v>548</v>
      </c>
      <c r="NJ590" t="s">
        <v>1219</v>
      </c>
      <c r="NL590" t="s">
        <v>660</v>
      </c>
      <c r="NV590" t="s">
        <v>518</v>
      </c>
      <c r="NW590" s="5" t="s">
        <v>1247</v>
      </c>
      <c r="NX590" s="220" t="s">
        <v>1192</v>
      </c>
      <c r="NY590">
        <v>0.19230769230769196</v>
      </c>
      <c r="OB590">
        <v>3</v>
      </c>
      <c r="OU590" t="s">
        <v>1245</v>
      </c>
      <c r="OX590">
        <v>2006</v>
      </c>
      <c r="OY590">
        <v>2007</v>
      </c>
      <c r="PB590" t="s">
        <v>522</v>
      </c>
      <c r="PC590" s="50">
        <v>46164</v>
      </c>
    </row>
    <row r="591" spans="1:419" ht="15.75" thickBot="1">
      <c r="A591" t="s">
        <v>665</v>
      </c>
      <c r="B591" t="s">
        <v>1176</v>
      </c>
      <c r="C591" t="s">
        <v>1177</v>
      </c>
      <c r="D591" s="4" t="s">
        <v>950</v>
      </c>
      <c r="E591" t="s">
        <v>1178</v>
      </c>
      <c r="F591" t="s">
        <v>1179</v>
      </c>
      <c r="G591" t="s">
        <v>475</v>
      </c>
      <c r="H591" t="s">
        <v>476</v>
      </c>
      <c r="I591">
        <v>-13.65</v>
      </c>
      <c r="J591">
        <v>32.566666669999996</v>
      </c>
      <c r="K591">
        <v>200</v>
      </c>
      <c r="AV591" t="s">
        <v>1180</v>
      </c>
      <c r="AW591">
        <v>100</v>
      </c>
      <c r="AX591" t="s">
        <v>866</v>
      </c>
      <c r="AY591" s="5">
        <v>8</v>
      </c>
      <c r="AZ591" t="s">
        <v>1181</v>
      </c>
      <c r="BA591">
        <v>1999</v>
      </c>
      <c r="BB591">
        <v>2007</v>
      </c>
      <c r="BD591" t="s">
        <v>1199</v>
      </c>
      <c r="BE591" t="s">
        <v>607</v>
      </c>
      <c r="BF591" t="s">
        <v>484</v>
      </c>
      <c r="BG591" t="s">
        <v>485</v>
      </c>
      <c r="BH591" t="s">
        <v>1183</v>
      </c>
      <c r="BI591" t="s">
        <v>486</v>
      </c>
      <c r="BJ591">
        <v>44440</v>
      </c>
      <c r="BK591" t="s">
        <v>555</v>
      </c>
      <c r="ED591" t="s">
        <v>676</v>
      </c>
      <c r="EE591" t="s">
        <v>486</v>
      </c>
      <c r="EF591">
        <v>10000</v>
      </c>
      <c r="FM591" s="9"/>
      <c r="FN591" s="9"/>
      <c r="FO591" s="9"/>
      <c r="FP591" s="9"/>
      <c r="FQ591" s="9"/>
      <c r="FR591" s="9"/>
      <c r="FS591" s="9"/>
      <c r="FT591" s="9"/>
      <c r="FU591" s="9"/>
      <c r="FV591" s="9"/>
      <c r="FW591" s="9"/>
      <c r="FX591" s="9"/>
      <c r="FY591" s="9"/>
      <c r="FZ591" s="9"/>
      <c r="GA591" s="9"/>
      <c r="GB591" s="9"/>
      <c r="GC591" s="9"/>
      <c r="GD591" s="9"/>
      <c r="GE591" s="9"/>
      <c r="GF591" s="9"/>
      <c r="GG591" s="9"/>
      <c r="GH591" s="9"/>
      <c r="GI591" s="9"/>
      <c r="GJ591" s="9"/>
      <c r="GK591" s="9"/>
      <c r="GL591" s="9"/>
      <c r="GM591" s="9"/>
      <c r="GN591" s="9"/>
      <c r="GO591" s="9"/>
      <c r="GP591" s="9"/>
      <c r="GQ591" s="9"/>
      <c r="GR591" s="9"/>
      <c r="GS591" s="9"/>
      <c r="GT591" s="9"/>
      <c r="GU591" s="9"/>
      <c r="GV591" s="9"/>
      <c r="GW591" s="9"/>
      <c r="GX591" s="9"/>
      <c r="GY591" s="9"/>
      <c r="GZ591" s="9"/>
      <c r="HA591" s="9"/>
      <c r="HB591" s="9"/>
      <c r="HC591" s="9"/>
      <c r="HD591" s="9"/>
      <c r="HE591" s="9"/>
      <c r="HF591" s="9"/>
      <c r="HG591" s="9"/>
      <c r="HH591" s="9"/>
      <c r="HI591" s="9"/>
      <c r="HJ591" s="9"/>
      <c r="HK591" s="9"/>
      <c r="HL591" s="9"/>
      <c r="HT591" s="50">
        <v>36495</v>
      </c>
      <c r="IO591" t="s">
        <v>1199</v>
      </c>
      <c r="IP591" s="75" t="s">
        <v>679</v>
      </c>
      <c r="IS591">
        <v>1999</v>
      </c>
      <c r="IU591" s="4" t="s">
        <v>1186</v>
      </c>
      <c r="JL591" t="s">
        <v>1187</v>
      </c>
      <c r="KE591" t="s">
        <v>1188</v>
      </c>
      <c r="KF591" s="75" t="s">
        <v>1001</v>
      </c>
      <c r="MY591" t="s">
        <v>1217</v>
      </c>
      <c r="MZ591">
        <v>100</v>
      </c>
      <c r="NA591" t="s">
        <v>1218</v>
      </c>
      <c r="NB591" t="s">
        <v>548</v>
      </c>
      <c r="NJ591" t="s">
        <v>1219</v>
      </c>
      <c r="NL591" t="s">
        <v>660</v>
      </c>
      <c r="NV591" t="s">
        <v>518</v>
      </c>
      <c r="NW591" s="5" t="s">
        <v>1248</v>
      </c>
      <c r="NX591" s="220" t="s">
        <v>1192</v>
      </c>
      <c r="NY591">
        <v>0.15384615384615208</v>
      </c>
      <c r="OB591">
        <v>3</v>
      </c>
      <c r="OU591" t="s">
        <v>1245</v>
      </c>
      <c r="OX591">
        <v>2006</v>
      </c>
      <c r="OY591">
        <v>2007</v>
      </c>
      <c r="PB591" t="s">
        <v>522</v>
      </c>
      <c r="PC591" s="50">
        <v>46164</v>
      </c>
    </row>
    <row r="592" spans="1:419" ht="15.75" thickBot="1">
      <c r="A592" t="s">
        <v>665</v>
      </c>
      <c r="B592" t="s">
        <v>1176</v>
      </c>
      <c r="C592" t="s">
        <v>1177</v>
      </c>
      <c r="D592" s="4" t="s">
        <v>950</v>
      </c>
      <c r="E592" t="s">
        <v>1178</v>
      </c>
      <c r="F592" t="s">
        <v>1179</v>
      </c>
      <c r="G592" t="s">
        <v>475</v>
      </c>
      <c r="H592" t="s">
        <v>476</v>
      </c>
      <c r="I592">
        <v>-13.65</v>
      </c>
      <c r="J592">
        <v>32.566666669999996</v>
      </c>
      <c r="K592">
        <v>200</v>
      </c>
      <c r="AV592" t="s">
        <v>1180</v>
      </c>
      <c r="AW592">
        <v>100</v>
      </c>
      <c r="AX592" t="s">
        <v>866</v>
      </c>
      <c r="AY592" s="5">
        <v>8</v>
      </c>
      <c r="AZ592" t="s">
        <v>1181</v>
      </c>
      <c r="BA592">
        <v>1999</v>
      </c>
      <c r="BB592">
        <v>2007</v>
      </c>
      <c r="BD592" t="s">
        <v>1226</v>
      </c>
      <c r="BE592" t="s">
        <v>611</v>
      </c>
      <c r="BF592" t="s">
        <v>484</v>
      </c>
      <c r="BG592" t="s">
        <v>485</v>
      </c>
      <c r="BH592" t="s">
        <v>1183</v>
      </c>
      <c r="BI592" t="s">
        <v>486</v>
      </c>
      <c r="BJ592">
        <v>44440</v>
      </c>
      <c r="BK592" t="s">
        <v>555</v>
      </c>
      <c r="FM592" s="9"/>
      <c r="FN592" s="9"/>
      <c r="FO592" s="9"/>
      <c r="FP592" s="9"/>
      <c r="FQ592" s="9"/>
      <c r="FR592" s="9"/>
      <c r="FS592" s="9"/>
      <c r="FT592" s="9"/>
      <c r="FU592" s="9"/>
      <c r="FV592" s="9"/>
      <c r="FW592" s="9"/>
      <c r="FX592" s="9"/>
      <c r="FY592" s="9"/>
      <c r="FZ592" s="9"/>
      <c r="GA592" s="9"/>
      <c r="GB592" s="9"/>
      <c r="GC592" s="9"/>
      <c r="GD592" s="9"/>
      <c r="GE592" s="9"/>
      <c r="GF592" s="9"/>
      <c r="GG592" s="9"/>
      <c r="GH592" s="9"/>
      <c r="GI592" s="9"/>
      <c r="GJ592" s="9"/>
      <c r="GK592" s="9"/>
      <c r="GL592" s="9"/>
      <c r="GM592" s="9"/>
      <c r="GN592" s="9"/>
      <c r="GO592" s="9"/>
      <c r="GP592" s="9"/>
      <c r="GQ592" s="9"/>
      <c r="GR592" s="9"/>
      <c r="GS592" s="9"/>
      <c r="GT592" s="9"/>
      <c r="GU592" s="9"/>
      <c r="GV592" s="9"/>
      <c r="GW592" s="9"/>
      <c r="GX592" s="9"/>
      <c r="GY592" s="9"/>
      <c r="GZ592" s="9"/>
      <c r="HA592" s="9"/>
      <c r="HB592" s="9"/>
      <c r="HC592" s="9"/>
      <c r="HD592" s="9"/>
      <c r="HE592" s="9"/>
      <c r="HF592" s="9"/>
      <c r="HG592" s="9"/>
      <c r="HH592" s="9"/>
      <c r="HI592" s="9"/>
      <c r="HJ592" s="9"/>
      <c r="HK592" s="9"/>
      <c r="HL592" s="9"/>
      <c r="HT592" s="50">
        <v>36495</v>
      </c>
      <c r="IO592" t="s">
        <v>1201</v>
      </c>
      <c r="IP592" s="46" t="s">
        <v>1185</v>
      </c>
      <c r="IS592">
        <v>1999</v>
      </c>
      <c r="IU592" s="4" t="s">
        <v>1186</v>
      </c>
      <c r="JL592" t="s">
        <v>1187</v>
      </c>
      <c r="KE592" t="s">
        <v>1188</v>
      </c>
      <c r="KF592" s="75" t="s">
        <v>1001</v>
      </c>
      <c r="MY592" t="s">
        <v>1217</v>
      </c>
      <c r="MZ592">
        <v>100</v>
      </c>
      <c r="NA592" t="s">
        <v>1218</v>
      </c>
      <c r="NB592" t="s">
        <v>548</v>
      </c>
      <c r="NJ592" t="s">
        <v>1219</v>
      </c>
      <c r="NL592" t="s">
        <v>660</v>
      </c>
      <c r="NV592" t="s">
        <v>518</v>
      </c>
      <c r="NW592" s="5" t="s">
        <v>1249</v>
      </c>
      <c r="NX592" s="220" t="s">
        <v>1192</v>
      </c>
      <c r="NY592">
        <v>1.9230769230767997E-2</v>
      </c>
      <c r="OB592">
        <v>3</v>
      </c>
      <c r="OU592" t="s">
        <v>1245</v>
      </c>
      <c r="OX592">
        <v>2006</v>
      </c>
      <c r="OY592">
        <v>2007</v>
      </c>
      <c r="PB592" t="s">
        <v>522</v>
      </c>
      <c r="PC592" s="50">
        <v>46164</v>
      </c>
    </row>
    <row r="593" spans="1:419" ht="15.75" thickBot="1">
      <c r="A593" t="s">
        <v>665</v>
      </c>
      <c r="B593" t="s">
        <v>1176</v>
      </c>
      <c r="C593" t="s">
        <v>1177</v>
      </c>
      <c r="D593" s="4" t="s">
        <v>950</v>
      </c>
      <c r="E593" t="s">
        <v>1178</v>
      </c>
      <c r="F593" t="s">
        <v>1179</v>
      </c>
      <c r="G593" t="s">
        <v>475</v>
      </c>
      <c r="H593" t="s">
        <v>476</v>
      </c>
      <c r="I593">
        <v>-13.65</v>
      </c>
      <c r="J593">
        <v>32.566666669999996</v>
      </c>
      <c r="K593">
        <v>200</v>
      </c>
      <c r="AV593" t="s">
        <v>1180</v>
      </c>
      <c r="AW593">
        <v>100</v>
      </c>
      <c r="AX593" t="s">
        <v>866</v>
      </c>
      <c r="AY593" s="5">
        <v>8</v>
      </c>
      <c r="AZ593" t="s">
        <v>1181</v>
      </c>
      <c r="BA593">
        <v>1999</v>
      </c>
      <c r="BB593">
        <v>2007</v>
      </c>
      <c r="BD593" t="s">
        <v>1202</v>
      </c>
      <c r="BE593" t="s">
        <v>524</v>
      </c>
      <c r="BF593" t="s">
        <v>484</v>
      </c>
      <c r="BG593" t="s">
        <v>485</v>
      </c>
      <c r="BH593" t="s">
        <v>1183</v>
      </c>
      <c r="BI593" t="s">
        <v>486</v>
      </c>
      <c r="BJ593">
        <v>44440</v>
      </c>
      <c r="FM593" s="9"/>
      <c r="FN593" s="9"/>
      <c r="FO593" s="9"/>
      <c r="FP593" s="9"/>
      <c r="FQ593" s="9"/>
      <c r="FR593" s="9"/>
      <c r="FS593" s="9"/>
      <c r="FT593" s="9"/>
      <c r="FU593" s="9"/>
      <c r="FV593" s="9"/>
      <c r="FW593" s="9"/>
      <c r="FX593" s="9"/>
      <c r="FY593" s="9"/>
      <c r="FZ593" s="9"/>
      <c r="GA593" s="9"/>
      <c r="GB593" s="9"/>
      <c r="GC593" s="9"/>
      <c r="GD593" s="9"/>
      <c r="GE593" s="9"/>
      <c r="GF593" s="9"/>
      <c r="GG593" s="9"/>
      <c r="GH593" s="9"/>
      <c r="GI593" s="9"/>
      <c r="GJ593" s="9"/>
      <c r="GK593" s="9"/>
      <c r="GL593" s="9"/>
      <c r="GM593" s="9"/>
      <c r="GN593" s="9"/>
      <c r="GO593" s="9"/>
      <c r="GP593" s="9"/>
      <c r="GQ593" s="9"/>
      <c r="GR593" s="9"/>
      <c r="GS593" s="9"/>
      <c r="GT593" s="9"/>
      <c r="GU593" s="9"/>
      <c r="GV593" s="9"/>
      <c r="GW593" s="9"/>
      <c r="GX593" s="9"/>
      <c r="GY593" s="9"/>
      <c r="GZ593" s="9"/>
      <c r="HA593" s="9"/>
      <c r="HB593" s="9"/>
      <c r="HC593" s="9"/>
      <c r="HD593" s="9"/>
      <c r="HE593" s="9"/>
      <c r="HF593" s="9"/>
      <c r="HG593" s="9"/>
      <c r="HH593" s="9"/>
      <c r="HI593" s="9"/>
      <c r="HJ593" s="9"/>
      <c r="HK593" s="9"/>
      <c r="HL593" s="9"/>
      <c r="HT593" s="50">
        <v>36495</v>
      </c>
      <c r="IO593" t="s">
        <v>1203</v>
      </c>
      <c r="IP593" t="s">
        <v>492</v>
      </c>
      <c r="IS593">
        <v>1999</v>
      </c>
      <c r="JL593" t="s">
        <v>495</v>
      </c>
      <c r="JM593" t="s">
        <v>1204</v>
      </c>
      <c r="JN593" t="s">
        <v>497</v>
      </c>
      <c r="JO593" t="s">
        <v>1205</v>
      </c>
      <c r="JP593" t="s">
        <v>508</v>
      </c>
      <c r="JQ593" t="s">
        <v>1206</v>
      </c>
      <c r="JR593">
        <v>90</v>
      </c>
      <c r="JS593">
        <v>80</v>
      </c>
      <c r="KE593" t="s">
        <v>1188</v>
      </c>
      <c r="KF593" s="75" t="s">
        <v>1001</v>
      </c>
      <c r="MY593" t="s">
        <v>1217</v>
      </c>
      <c r="MZ593">
        <v>100</v>
      </c>
      <c r="NA593" t="s">
        <v>1218</v>
      </c>
      <c r="NB593" t="s">
        <v>548</v>
      </c>
      <c r="NJ593" t="s">
        <v>1219</v>
      </c>
      <c r="NL593" t="s">
        <v>660</v>
      </c>
      <c r="NU593" t="s">
        <v>1025</v>
      </c>
      <c r="NV593" t="s">
        <v>518</v>
      </c>
      <c r="NW593" s="5" t="s">
        <v>1250</v>
      </c>
      <c r="NX593" s="220" t="s">
        <v>1192</v>
      </c>
      <c r="NY593">
        <v>0.40384615384615996</v>
      </c>
      <c r="OB593">
        <v>3</v>
      </c>
      <c r="OU593" t="s">
        <v>1245</v>
      </c>
      <c r="OX593">
        <v>2006</v>
      </c>
      <c r="OY593">
        <v>2007</v>
      </c>
      <c r="PB593" t="s">
        <v>522</v>
      </c>
      <c r="PC593" s="50">
        <v>46164</v>
      </c>
    </row>
    <row r="594" spans="1:419" ht="15.75" thickBot="1">
      <c r="A594" t="s">
        <v>469</v>
      </c>
      <c r="B594" t="s">
        <v>1251</v>
      </c>
      <c r="C594" t="s">
        <v>1252</v>
      </c>
      <c r="D594" s="4" t="s">
        <v>950</v>
      </c>
      <c r="E594" s="81" t="s">
        <v>1253</v>
      </c>
      <c r="F594" t="s">
        <v>1179</v>
      </c>
      <c r="G594" t="s">
        <v>475</v>
      </c>
      <c r="H594" t="s">
        <v>476</v>
      </c>
      <c r="I594">
        <v>30.9</v>
      </c>
      <c r="J594">
        <v>75.75</v>
      </c>
      <c r="K594">
        <v>200</v>
      </c>
      <c r="AV594" t="s">
        <v>1254</v>
      </c>
      <c r="AW594" t="s">
        <v>866</v>
      </c>
      <c r="AX594" t="s">
        <v>866</v>
      </c>
      <c r="AY594">
        <v>2</v>
      </c>
      <c r="AZ594" t="s">
        <v>1255</v>
      </c>
      <c r="BA594">
        <v>2016</v>
      </c>
      <c r="BB594">
        <v>2018</v>
      </c>
      <c r="BD594" t="s">
        <v>1256</v>
      </c>
      <c r="BE594" t="s">
        <v>524</v>
      </c>
      <c r="BF594" t="s">
        <v>484</v>
      </c>
      <c r="BG594" t="s">
        <v>485</v>
      </c>
      <c r="BH594" t="s">
        <v>1257</v>
      </c>
      <c r="BI594" t="s">
        <v>508</v>
      </c>
      <c r="BJ594">
        <v>20</v>
      </c>
      <c r="BK594" t="s">
        <v>555</v>
      </c>
      <c r="BL594" t="s">
        <v>1258</v>
      </c>
      <c r="BM594" t="s">
        <v>480</v>
      </c>
      <c r="BN594" t="s">
        <v>480</v>
      </c>
      <c r="BO594" t="s">
        <v>480</v>
      </c>
      <c r="HT594" s="50">
        <v>42539</v>
      </c>
      <c r="IO594" t="s">
        <v>1256</v>
      </c>
      <c r="IP594" s="46" t="s">
        <v>1259</v>
      </c>
      <c r="IS594">
        <v>2016</v>
      </c>
      <c r="JJ594" t="s">
        <v>1260</v>
      </c>
      <c r="JL594" t="s">
        <v>495</v>
      </c>
      <c r="JP594" t="s">
        <v>508</v>
      </c>
      <c r="JQ594">
        <v>125</v>
      </c>
      <c r="JT594">
        <v>60</v>
      </c>
      <c r="JU594">
        <v>30</v>
      </c>
      <c r="KE594" t="s">
        <v>1261</v>
      </c>
      <c r="KF594" s="75" t="s">
        <v>1001</v>
      </c>
      <c r="KG594" t="s">
        <v>1262</v>
      </c>
      <c r="KH594">
        <v>2</v>
      </c>
      <c r="KI594" t="s">
        <v>1263</v>
      </c>
      <c r="KK594" s="8" t="s">
        <v>1264</v>
      </c>
      <c r="KL594" t="s">
        <v>1265</v>
      </c>
      <c r="KM594">
        <v>3</v>
      </c>
      <c r="KO594" s="8" t="s">
        <v>1266</v>
      </c>
      <c r="KP594" s="64" t="s">
        <v>480</v>
      </c>
      <c r="KQ594" s="64" t="s">
        <v>480</v>
      </c>
      <c r="KS594" t="s">
        <v>1267</v>
      </c>
      <c r="KT594" s="3" t="s">
        <v>480</v>
      </c>
      <c r="KU594" t="s">
        <v>480</v>
      </c>
      <c r="LT594" t="s">
        <v>1268</v>
      </c>
      <c r="LY594" t="s">
        <v>1269</v>
      </c>
      <c r="LZ594">
        <v>206.25</v>
      </c>
      <c r="MA594" s="4" t="s">
        <v>480</v>
      </c>
      <c r="MI594" s="50">
        <v>42997</v>
      </c>
      <c r="MJ594" s="50">
        <v>42997</v>
      </c>
      <c r="MY594" t="s">
        <v>1270</v>
      </c>
      <c r="MZ594" t="s">
        <v>866</v>
      </c>
      <c r="NA594" t="s">
        <v>1271</v>
      </c>
      <c r="NB594" t="s">
        <v>548</v>
      </c>
      <c r="NI594" t="s">
        <v>1272</v>
      </c>
      <c r="NJ594" t="s">
        <v>1273</v>
      </c>
      <c r="NK594" t="s">
        <v>1274</v>
      </c>
      <c r="NL594" s="4" t="s">
        <v>515</v>
      </c>
      <c r="NM594" s="6" t="s">
        <v>1275</v>
      </c>
      <c r="NU594" t="s">
        <v>1025</v>
      </c>
      <c r="NV594" t="s">
        <v>518</v>
      </c>
      <c r="NW594">
        <v>36580</v>
      </c>
      <c r="NX594" t="s">
        <v>866</v>
      </c>
      <c r="NY594" t="s">
        <v>866</v>
      </c>
      <c r="OB594" s="15">
        <v>3</v>
      </c>
      <c r="OU594" t="s">
        <v>1276</v>
      </c>
      <c r="OV594" t="s">
        <v>518</v>
      </c>
      <c r="OX594">
        <v>2016</v>
      </c>
      <c r="OY594">
        <v>2017</v>
      </c>
      <c r="PB594" t="s">
        <v>522</v>
      </c>
      <c r="PC594" s="50">
        <v>46129</v>
      </c>
    </row>
    <row r="595" spans="1:419" ht="15.75" thickBot="1">
      <c r="A595" t="s">
        <v>469</v>
      </c>
      <c r="B595" t="s">
        <v>1251</v>
      </c>
      <c r="C595" t="s">
        <v>1252</v>
      </c>
      <c r="D595" s="4" t="s">
        <v>950</v>
      </c>
      <c r="E595" s="81" t="s">
        <v>1253</v>
      </c>
      <c r="F595" t="s">
        <v>1179</v>
      </c>
      <c r="G595" t="s">
        <v>475</v>
      </c>
      <c r="H595" t="s">
        <v>476</v>
      </c>
      <c r="I595">
        <v>30.9</v>
      </c>
      <c r="J595">
        <v>75.75</v>
      </c>
      <c r="K595">
        <v>200</v>
      </c>
      <c r="AV595" t="s">
        <v>1254</v>
      </c>
      <c r="AW595" t="s">
        <v>866</v>
      </c>
      <c r="AX595" t="s">
        <v>866</v>
      </c>
      <c r="AY595">
        <v>2</v>
      </c>
      <c r="AZ595" t="s">
        <v>1255</v>
      </c>
      <c r="BA595">
        <v>2016</v>
      </c>
      <c r="BB595">
        <v>2018</v>
      </c>
      <c r="BD595" t="s">
        <v>1277</v>
      </c>
      <c r="BE595" t="s">
        <v>536</v>
      </c>
      <c r="BF595" t="s">
        <v>484</v>
      </c>
      <c r="BG595" t="s">
        <v>485</v>
      </c>
      <c r="BH595" t="s">
        <v>1257</v>
      </c>
      <c r="BI595" t="s">
        <v>508</v>
      </c>
      <c r="BJ595">
        <v>20</v>
      </c>
      <c r="BK595" t="s">
        <v>555</v>
      </c>
      <c r="BL595" t="s">
        <v>1278</v>
      </c>
      <c r="BM595" t="s">
        <v>480</v>
      </c>
      <c r="BN595" t="s">
        <v>480</v>
      </c>
      <c r="BO595" t="s">
        <v>480</v>
      </c>
      <c r="BP595" t="s">
        <v>555</v>
      </c>
      <c r="BQ595" t="s">
        <v>1279</v>
      </c>
      <c r="BR595" t="s">
        <v>480</v>
      </c>
      <c r="BS595" t="s">
        <v>480</v>
      </c>
      <c r="BT595" t="s">
        <v>480</v>
      </c>
      <c r="BU595" t="s">
        <v>537</v>
      </c>
      <c r="BV595" t="s">
        <v>870</v>
      </c>
      <c r="BW595" t="s">
        <v>480</v>
      </c>
      <c r="BX595" t="s">
        <v>480</v>
      </c>
      <c r="BY595" t="s">
        <v>480</v>
      </c>
      <c r="HT595" s="50">
        <v>42539</v>
      </c>
      <c r="IO595" t="s">
        <v>1277</v>
      </c>
      <c r="IP595" s="46" t="s">
        <v>1280</v>
      </c>
      <c r="IS595">
        <v>2016</v>
      </c>
      <c r="JJ595" t="s">
        <v>1260</v>
      </c>
      <c r="JL595" t="s">
        <v>495</v>
      </c>
      <c r="JP595" t="s">
        <v>508</v>
      </c>
      <c r="JQ595">
        <v>125</v>
      </c>
      <c r="JT595">
        <v>60</v>
      </c>
      <c r="JU595">
        <v>30</v>
      </c>
      <c r="KE595" t="s">
        <v>1261</v>
      </c>
      <c r="KF595" s="75" t="s">
        <v>1001</v>
      </c>
      <c r="KG595" t="s">
        <v>1262</v>
      </c>
      <c r="KH595">
        <v>2</v>
      </c>
      <c r="KI595" t="s">
        <v>1263</v>
      </c>
      <c r="KK595" s="8" t="s">
        <v>1264</v>
      </c>
      <c r="KL595" t="s">
        <v>1265</v>
      </c>
      <c r="KM595">
        <v>3</v>
      </c>
      <c r="KO595" s="8" t="s">
        <v>1266</v>
      </c>
      <c r="KP595" s="64" t="s">
        <v>480</v>
      </c>
      <c r="KQ595" s="64" t="s">
        <v>480</v>
      </c>
      <c r="KS595" t="s">
        <v>1267</v>
      </c>
      <c r="KT595" s="3" t="s">
        <v>480</v>
      </c>
      <c r="KU595" t="s">
        <v>480</v>
      </c>
      <c r="LT595" t="s">
        <v>1268</v>
      </c>
      <c r="LY595" t="s">
        <v>1269</v>
      </c>
      <c r="LZ595">
        <v>206.25</v>
      </c>
      <c r="MA595" s="4" t="s">
        <v>480</v>
      </c>
      <c r="MI595" s="50">
        <v>42997</v>
      </c>
      <c r="MJ595" s="50">
        <v>42997</v>
      </c>
      <c r="MY595" t="s">
        <v>1270</v>
      </c>
      <c r="MZ595" t="s">
        <v>866</v>
      </c>
      <c r="NA595" t="s">
        <v>1281</v>
      </c>
      <c r="NB595" t="s">
        <v>548</v>
      </c>
      <c r="NI595" t="s">
        <v>1272</v>
      </c>
      <c r="NJ595" t="s">
        <v>1273</v>
      </c>
      <c r="NK595" t="s">
        <v>1274</v>
      </c>
      <c r="NL595" s="4" t="s">
        <v>515</v>
      </c>
      <c r="NM595" s="6" t="s">
        <v>1275</v>
      </c>
      <c r="NV595" t="s">
        <v>518</v>
      </c>
      <c r="NW595">
        <v>36700</v>
      </c>
      <c r="NX595" t="s">
        <v>866</v>
      </c>
      <c r="NY595" t="s">
        <v>866</v>
      </c>
      <c r="OB595" s="15">
        <v>3</v>
      </c>
      <c r="OU595" t="s">
        <v>1276</v>
      </c>
      <c r="OV595" t="s">
        <v>518</v>
      </c>
      <c r="OX595">
        <v>2016</v>
      </c>
      <c r="OY595">
        <v>2017</v>
      </c>
      <c r="PB595" t="s">
        <v>522</v>
      </c>
      <c r="PC595" s="50">
        <v>46129</v>
      </c>
    </row>
    <row r="596" spans="1:419" ht="15.75" thickBot="1">
      <c r="A596" t="s">
        <v>469</v>
      </c>
      <c r="B596" t="s">
        <v>1251</v>
      </c>
      <c r="C596" t="s">
        <v>1252</v>
      </c>
      <c r="D596" s="4" t="s">
        <v>950</v>
      </c>
      <c r="E596" s="81" t="s">
        <v>1253</v>
      </c>
      <c r="F596" t="s">
        <v>1179</v>
      </c>
      <c r="G596" t="s">
        <v>475</v>
      </c>
      <c r="H596" t="s">
        <v>476</v>
      </c>
      <c r="I596">
        <v>30.9</v>
      </c>
      <c r="J596">
        <v>75.75</v>
      </c>
      <c r="K596">
        <v>200</v>
      </c>
      <c r="AV596" t="s">
        <v>1254</v>
      </c>
      <c r="AW596" t="s">
        <v>866</v>
      </c>
      <c r="AX596" t="s">
        <v>866</v>
      </c>
      <c r="AY596">
        <v>2</v>
      </c>
      <c r="AZ596" t="s">
        <v>1255</v>
      </c>
      <c r="BA596">
        <v>2016</v>
      </c>
      <c r="BB596">
        <v>2018</v>
      </c>
      <c r="BD596" t="s">
        <v>1282</v>
      </c>
      <c r="BE596" t="s">
        <v>566</v>
      </c>
      <c r="BF596" t="s">
        <v>484</v>
      </c>
      <c r="BG596" t="s">
        <v>485</v>
      </c>
      <c r="BH596" t="s">
        <v>1257</v>
      </c>
      <c r="BI596" t="s">
        <v>508</v>
      </c>
      <c r="BJ596">
        <v>20</v>
      </c>
      <c r="BK596" t="s">
        <v>537</v>
      </c>
      <c r="BL596" t="s">
        <v>538</v>
      </c>
      <c r="BM596" t="s">
        <v>480</v>
      </c>
      <c r="BN596" t="s">
        <v>480</v>
      </c>
      <c r="BO596" t="s">
        <v>480</v>
      </c>
      <c r="BP596" t="s">
        <v>555</v>
      </c>
      <c r="BQ596" t="s">
        <v>1278</v>
      </c>
      <c r="BR596" t="s">
        <v>480</v>
      </c>
      <c r="BS596" t="s">
        <v>480</v>
      </c>
      <c r="BT596" t="s">
        <v>480</v>
      </c>
      <c r="BU596" t="s">
        <v>555</v>
      </c>
      <c r="BV596" t="s">
        <v>1279</v>
      </c>
      <c r="BW596" t="s">
        <v>480</v>
      </c>
      <c r="BX596" t="s">
        <v>480</v>
      </c>
      <c r="BY596" t="s">
        <v>480</v>
      </c>
      <c r="BZ596" t="s">
        <v>537</v>
      </c>
      <c r="CA596" t="s">
        <v>870</v>
      </c>
      <c r="CB596" t="s">
        <v>480</v>
      </c>
      <c r="CC596" t="s">
        <v>480</v>
      </c>
      <c r="CD596" t="s">
        <v>480</v>
      </c>
      <c r="HT596" s="50">
        <v>42539</v>
      </c>
      <c r="IO596" t="s">
        <v>1283</v>
      </c>
      <c r="IP596" s="46" t="s">
        <v>1280</v>
      </c>
      <c r="IS596">
        <v>2016</v>
      </c>
      <c r="JJ596" t="s">
        <v>1260</v>
      </c>
      <c r="JL596" t="s">
        <v>495</v>
      </c>
      <c r="JP596" t="s">
        <v>508</v>
      </c>
      <c r="JQ596">
        <v>125</v>
      </c>
      <c r="JT596">
        <v>60</v>
      </c>
      <c r="JU596">
        <v>30</v>
      </c>
      <c r="KE596" t="s">
        <v>1261</v>
      </c>
      <c r="KF596" s="75" t="s">
        <v>1001</v>
      </c>
      <c r="KG596" t="s">
        <v>1262</v>
      </c>
      <c r="KH596">
        <v>2</v>
      </c>
      <c r="KI596" t="s">
        <v>1263</v>
      </c>
      <c r="KK596" s="8" t="s">
        <v>1264</v>
      </c>
      <c r="KL596" t="s">
        <v>1265</v>
      </c>
      <c r="KM596">
        <v>3</v>
      </c>
      <c r="KO596" s="8" t="s">
        <v>1266</v>
      </c>
      <c r="KP596" s="64" t="s">
        <v>480</v>
      </c>
      <c r="KQ596" s="64" t="s">
        <v>480</v>
      </c>
      <c r="KS596" t="s">
        <v>1267</v>
      </c>
      <c r="KT596" s="3" t="s">
        <v>480</v>
      </c>
      <c r="KU596" t="s">
        <v>480</v>
      </c>
      <c r="LT596" t="s">
        <v>1268</v>
      </c>
      <c r="LY596" t="s">
        <v>1269</v>
      </c>
      <c r="LZ596">
        <v>206.25</v>
      </c>
      <c r="MA596" s="4" t="s">
        <v>480</v>
      </c>
      <c r="MI596" s="50">
        <v>42997</v>
      </c>
      <c r="MJ596" s="50">
        <v>42997</v>
      </c>
      <c r="MY596" t="s">
        <v>1270</v>
      </c>
      <c r="MZ596" t="s">
        <v>866</v>
      </c>
      <c r="NA596" t="s">
        <v>1284</v>
      </c>
      <c r="NB596" t="s">
        <v>548</v>
      </c>
      <c r="NC596" t="s">
        <v>538</v>
      </c>
      <c r="NI596" t="s">
        <v>1272</v>
      </c>
      <c r="NJ596" t="s">
        <v>1273</v>
      </c>
      <c r="NK596" t="s">
        <v>1274</v>
      </c>
      <c r="NL596" s="4" t="s">
        <v>515</v>
      </c>
      <c r="NM596" s="6" t="s">
        <v>1275</v>
      </c>
      <c r="NV596" t="s">
        <v>518</v>
      </c>
      <c r="NW596">
        <v>48700</v>
      </c>
      <c r="NX596" t="s">
        <v>866</v>
      </c>
      <c r="NY596" t="s">
        <v>866</v>
      </c>
      <c r="OB596" s="15">
        <v>3</v>
      </c>
      <c r="OU596" t="s">
        <v>1276</v>
      </c>
      <c r="OV596" t="s">
        <v>518</v>
      </c>
      <c r="OX596">
        <v>2016</v>
      </c>
      <c r="OY596">
        <v>2017</v>
      </c>
      <c r="PB596" t="s">
        <v>522</v>
      </c>
      <c r="PC596" s="50">
        <v>46129</v>
      </c>
    </row>
    <row r="597" spans="1:419" ht="15.75" thickBot="1">
      <c r="A597" t="s">
        <v>469</v>
      </c>
      <c r="B597" t="s">
        <v>1251</v>
      </c>
      <c r="C597" t="s">
        <v>1252</v>
      </c>
      <c r="D597" s="4" t="s">
        <v>950</v>
      </c>
      <c r="E597" s="81" t="s">
        <v>1253</v>
      </c>
      <c r="F597" t="s">
        <v>1179</v>
      </c>
      <c r="G597" t="s">
        <v>475</v>
      </c>
      <c r="H597" t="s">
        <v>476</v>
      </c>
      <c r="I597">
        <v>30.9</v>
      </c>
      <c r="J597">
        <v>75.75</v>
      </c>
      <c r="K597">
        <v>200</v>
      </c>
      <c r="AV597" t="s">
        <v>1254</v>
      </c>
      <c r="AW597" t="s">
        <v>866</v>
      </c>
      <c r="AX597" t="s">
        <v>866</v>
      </c>
      <c r="AY597">
        <v>2</v>
      </c>
      <c r="AZ597" t="s">
        <v>1255</v>
      </c>
      <c r="BA597">
        <v>2016</v>
      </c>
      <c r="BB597">
        <v>2018</v>
      </c>
      <c r="BD597" t="s">
        <v>1285</v>
      </c>
      <c r="BE597" t="s">
        <v>572</v>
      </c>
      <c r="BF597" t="s">
        <v>484</v>
      </c>
      <c r="BG597" t="s">
        <v>485</v>
      </c>
      <c r="BH597" t="s">
        <v>1257</v>
      </c>
      <c r="BI597" t="s">
        <v>508</v>
      </c>
      <c r="BJ597">
        <v>20</v>
      </c>
      <c r="BK597" t="s">
        <v>537</v>
      </c>
      <c r="BL597" t="s">
        <v>538</v>
      </c>
      <c r="BM597" t="s">
        <v>480</v>
      </c>
      <c r="BN597" t="s">
        <v>480</v>
      </c>
      <c r="BO597" t="s">
        <v>480</v>
      </c>
      <c r="BP597" t="s">
        <v>555</v>
      </c>
      <c r="BQ597" t="s">
        <v>1278</v>
      </c>
      <c r="BR597" t="s">
        <v>480</v>
      </c>
      <c r="BS597" t="s">
        <v>480</v>
      </c>
      <c r="BT597" t="s">
        <v>480</v>
      </c>
      <c r="HT597" s="50">
        <v>42539</v>
      </c>
      <c r="IO597" t="s">
        <v>1286</v>
      </c>
      <c r="IP597" s="46" t="s">
        <v>1280</v>
      </c>
      <c r="IS597">
        <v>2016</v>
      </c>
      <c r="JJ597" t="s">
        <v>1260</v>
      </c>
      <c r="JL597" t="s">
        <v>495</v>
      </c>
      <c r="JP597" t="s">
        <v>508</v>
      </c>
      <c r="JQ597">
        <v>125</v>
      </c>
      <c r="JT597">
        <v>60</v>
      </c>
      <c r="JU597">
        <v>30</v>
      </c>
      <c r="KE597" t="s">
        <v>1261</v>
      </c>
      <c r="KF597" s="75" t="s">
        <v>1001</v>
      </c>
      <c r="KG597" t="s">
        <v>1262</v>
      </c>
      <c r="KH597">
        <v>2</v>
      </c>
      <c r="KI597" t="s">
        <v>1263</v>
      </c>
      <c r="KK597" s="8" t="s">
        <v>1264</v>
      </c>
      <c r="KL597" t="s">
        <v>1265</v>
      </c>
      <c r="KM597">
        <v>3</v>
      </c>
      <c r="KO597" s="8" t="s">
        <v>1266</v>
      </c>
      <c r="KP597" s="64" t="s">
        <v>480</v>
      </c>
      <c r="KQ597" s="64" t="s">
        <v>480</v>
      </c>
      <c r="KS597" t="s">
        <v>1267</v>
      </c>
      <c r="KT597" s="3" t="s">
        <v>480</v>
      </c>
      <c r="KU597" t="s">
        <v>480</v>
      </c>
      <c r="LT597" t="s">
        <v>1268</v>
      </c>
      <c r="LY597" t="s">
        <v>1269</v>
      </c>
      <c r="LZ597">
        <v>206.25</v>
      </c>
      <c r="MA597" s="4" t="s">
        <v>480</v>
      </c>
      <c r="MI597" s="50">
        <v>42997</v>
      </c>
      <c r="MJ597" s="50">
        <v>42997</v>
      </c>
      <c r="MY597" t="s">
        <v>1270</v>
      </c>
      <c r="MZ597" t="s">
        <v>866</v>
      </c>
      <c r="NA597" t="s">
        <v>1287</v>
      </c>
      <c r="NB597" t="s">
        <v>548</v>
      </c>
      <c r="NC597" t="s">
        <v>538</v>
      </c>
      <c r="NI597" t="s">
        <v>1272</v>
      </c>
      <c r="NJ597" t="s">
        <v>1273</v>
      </c>
      <c r="NK597" t="s">
        <v>1274</v>
      </c>
      <c r="NL597" s="4" t="s">
        <v>515</v>
      </c>
      <c r="NM597" s="6" t="s">
        <v>1275</v>
      </c>
      <c r="NV597" t="s">
        <v>518</v>
      </c>
      <c r="NW597">
        <v>49600</v>
      </c>
      <c r="NX597" t="s">
        <v>866</v>
      </c>
      <c r="NY597" t="s">
        <v>866</v>
      </c>
      <c r="OB597" s="15">
        <v>3</v>
      </c>
      <c r="OU597" t="s">
        <v>1276</v>
      </c>
      <c r="OV597" t="s">
        <v>518</v>
      </c>
      <c r="OX597">
        <v>2016</v>
      </c>
      <c r="OY597">
        <v>2017</v>
      </c>
      <c r="PB597" t="s">
        <v>522</v>
      </c>
      <c r="PC597" s="50">
        <v>46129</v>
      </c>
    </row>
    <row r="598" spans="1:419" ht="15.75" thickBot="1">
      <c r="A598" t="s">
        <v>469</v>
      </c>
      <c r="B598" t="s">
        <v>1251</v>
      </c>
      <c r="C598" t="s">
        <v>1252</v>
      </c>
      <c r="D598" s="4" t="s">
        <v>950</v>
      </c>
      <c r="E598" s="81" t="s">
        <v>1253</v>
      </c>
      <c r="F598" t="s">
        <v>1179</v>
      </c>
      <c r="G598" t="s">
        <v>475</v>
      </c>
      <c r="H598" t="s">
        <v>476</v>
      </c>
      <c r="I598">
        <v>30.9</v>
      </c>
      <c r="J598">
        <v>75.75</v>
      </c>
      <c r="K598">
        <v>200</v>
      </c>
      <c r="AV598" t="s">
        <v>1254</v>
      </c>
      <c r="AW598" t="s">
        <v>866</v>
      </c>
      <c r="AX598" t="s">
        <v>866</v>
      </c>
      <c r="AY598">
        <v>2</v>
      </c>
      <c r="AZ598" t="s">
        <v>1255</v>
      </c>
      <c r="BA598">
        <v>2016</v>
      </c>
      <c r="BB598">
        <v>2018</v>
      </c>
      <c r="BD598" t="s">
        <v>1288</v>
      </c>
      <c r="BE598" t="s">
        <v>553</v>
      </c>
      <c r="BF598" t="s">
        <v>484</v>
      </c>
      <c r="BG598" t="s">
        <v>485</v>
      </c>
      <c r="BH598" t="s">
        <v>1257</v>
      </c>
      <c r="BI598" t="s">
        <v>508</v>
      </c>
      <c r="BJ598">
        <v>20</v>
      </c>
      <c r="BK598" t="s">
        <v>537</v>
      </c>
      <c r="BL598" t="s">
        <v>538</v>
      </c>
      <c r="BM598" t="s">
        <v>480</v>
      </c>
      <c r="BN598" t="s">
        <v>480</v>
      </c>
      <c r="BO598" t="s">
        <v>480</v>
      </c>
      <c r="BP598" t="s">
        <v>555</v>
      </c>
      <c r="BQ598" t="s">
        <v>1289</v>
      </c>
      <c r="BR598" t="s">
        <v>480</v>
      </c>
      <c r="BS598" t="s">
        <v>480</v>
      </c>
      <c r="BT598" t="s">
        <v>480</v>
      </c>
      <c r="BU598" t="s">
        <v>555</v>
      </c>
      <c r="BV598" t="s">
        <v>1290</v>
      </c>
      <c r="BW598" t="s">
        <v>480</v>
      </c>
      <c r="BX598" t="s">
        <v>480</v>
      </c>
      <c r="BY598" t="s">
        <v>480</v>
      </c>
      <c r="HT598" s="50">
        <v>42539</v>
      </c>
      <c r="IO598" t="s">
        <v>1291</v>
      </c>
      <c r="IP598" s="46" t="s">
        <v>1280</v>
      </c>
      <c r="IS598">
        <v>2016</v>
      </c>
      <c r="JJ598" t="s">
        <v>1260</v>
      </c>
      <c r="JL598" t="s">
        <v>495</v>
      </c>
      <c r="JP598" t="s">
        <v>508</v>
      </c>
      <c r="JQ598">
        <v>125</v>
      </c>
      <c r="JT598">
        <v>60</v>
      </c>
      <c r="JU598">
        <v>30</v>
      </c>
      <c r="KE598" t="s">
        <v>1261</v>
      </c>
      <c r="KF598" s="75" t="s">
        <v>1001</v>
      </c>
      <c r="KG598" t="s">
        <v>1262</v>
      </c>
      <c r="KH598">
        <v>2</v>
      </c>
      <c r="KI598" t="s">
        <v>1263</v>
      </c>
      <c r="KK598" s="8" t="s">
        <v>1264</v>
      </c>
      <c r="KL598" t="s">
        <v>1265</v>
      </c>
      <c r="KM598">
        <v>3</v>
      </c>
      <c r="KO598" s="8" t="s">
        <v>1266</v>
      </c>
      <c r="KP598" s="64" t="s">
        <v>480</v>
      </c>
      <c r="KQ598" s="64" t="s">
        <v>480</v>
      </c>
      <c r="KS598" t="s">
        <v>1267</v>
      </c>
      <c r="KT598" s="3" t="s">
        <v>480</v>
      </c>
      <c r="KU598" t="s">
        <v>480</v>
      </c>
      <c r="LT598" t="s">
        <v>1268</v>
      </c>
      <c r="LY598" t="s">
        <v>1269</v>
      </c>
      <c r="LZ598">
        <v>206.25</v>
      </c>
      <c r="MA598" s="4" t="s">
        <v>480</v>
      </c>
      <c r="MI598" s="50">
        <v>42997</v>
      </c>
      <c r="MJ598" s="50">
        <v>42997</v>
      </c>
      <c r="MY598" t="s">
        <v>1270</v>
      </c>
      <c r="MZ598" t="s">
        <v>866</v>
      </c>
      <c r="NA598" t="s">
        <v>1292</v>
      </c>
      <c r="NB598" t="s">
        <v>548</v>
      </c>
      <c r="NC598" t="s">
        <v>538</v>
      </c>
      <c r="NI598" t="s">
        <v>1272</v>
      </c>
      <c r="NJ598" t="s">
        <v>1273</v>
      </c>
      <c r="NK598" t="s">
        <v>1274</v>
      </c>
      <c r="NL598" s="4" t="s">
        <v>515</v>
      </c>
      <c r="NM598" s="6" t="s">
        <v>1275</v>
      </c>
      <c r="NV598" t="s">
        <v>518</v>
      </c>
      <c r="NW598">
        <v>49140</v>
      </c>
      <c r="NX598" t="s">
        <v>866</v>
      </c>
      <c r="NY598" t="s">
        <v>866</v>
      </c>
      <c r="OB598" s="15">
        <v>3</v>
      </c>
      <c r="OU598" t="s">
        <v>1276</v>
      </c>
      <c r="OV598" t="s">
        <v>518</v>
      </c>
      <c r="OX598">
        <v>2016</v>
      </c>
      <c r="OY598">
        <v>2017</v>
      </c>
      <c r="PB598" t="s">
        <v>522</v>
      </c>
      <c r="PC598" s="50">
        <v>46129</v>
      </c>
    </row>
    <row r="599" spans="1:419" ht="15.75" thickBot="1">
      <c r="A599" t="s">
        <v>469</v>
      </c>
      <c r="B599" t="s">
        <v>1251</v>
      </c>
      <c r="C599" t="s">
        <v>1252</v>
      </c>
      <c r="D599" s="4" t="s">
        <v>950</v>
      </c>
      <c r="E599" s="81" t="s">
        <v>1253</v>
      </c>
      <c r="F599" t="s">
        <v>1179</v>
      </c>
      <c r="G599" t="s">
        <v>475</v>
      </c>
      <c r="H599" t="s">
        <v>476</v>
      </c>
      <c r="I599">
        <v>30.9</v>
      </c>
      <c r="J599">
        <v>75.75</v>
      </c>
      <c r="K599">
        <v>200</v>
      </c>
      <c r="AV599" t="s">
        <v>1254</v>
      </c>
      <c r="AW599" t="s">
        <v>866</v>
      </c>
      <c r="AX599" t="s">
        <v>866</v>
      </c>
      <c r="AY599">
        <v>2</v>
      </c>
      <c r="AZ599" t="s">
        <v>1255</v>
      </c>
      <c r="BA599">
        <v>2016</v>
      </c>
      <c r="BB599">
        <v>2018</v>
      </c>
      <c r="BD599" s="3" t="s">
        <v>1293</v>
      </c>
      <c r="BE599" t="s">
        <v>607</v>
      </c>
      <c r="BF599" t="s">
        <v>484</v>
      </c>
      <c r="BG599" t="s">
        <v>485</v>
      </c>
      <c r="BH599" t="s">
        <v>1257</v>
      </c>
      <c r="BI599" t="s">
        <v>508</v>
      </c>
      <c r="BJ599">
        <v>20</v>
      </c>
      <c r="BK599" t="s">
        <v>555</v>
      </c>
      <c r="BL599" t="s">
        <v>1294</v>
      </c>
      <c r="BM599" t="s">
        <v>480</v>
      </c>
      <c r="BN599" t="s">
        <v>480</v>
      </c>
      <c r="BO599" t="s">
        <v>480</v>
      </c>
      <c r="BP599" t="s">
        <v>555</v>
      </c>
      <c r="BQ599" t="s">
        <v>1289</v>
      </c>
      <c r="BR599" t="s">
        <v>480</v>
      </c>
      <c r="BS599" t="s">
        <v>480</v>
      </c>
      <c r="BT599" t="s">
        <v>480</v>
      </c>
      <c r="BU599" t="s">
        <v>555</v>
      </c>
      <c r="BV599" t="s">
        <v>1290</v>
      </c>
      <c r="BW599" t="s">
        <v>480</v>
      </c>
      <c r="BX599" t="s">
        <v>480</v>
      </c>
      <c r="BY599" t="s">
        <v>480</v>
      </c>
      <c r="HT599" s="50">
        <v>42539</v>
      </c>
      <c r="IO599" s="3" t="s">
        <v>1293</v>
      </c>
      <c r="IP599" s="46" t="s">
        <v>1280</v>
      </c>
      <c r="IS599">
        <v>2016</v>
      </c>
      <c r="JJ599" t="s">
        <v>1260</v>
      </c>
      <c r="JL599" t="s">
        <v>495</v>
      </c>
      <c r="JP599" t="s">
        <v>508</v>
      </c>
      <c r="JQ599">
        <v>125</v>
      </c>
      <c r="JT599">
        <v>60</v>
      </c>
      <c r="JU599">
        <v>30</v>
      </c>
      <c r="KE599" t="s">
        <v>1261</v>
      </c>
      <c r="KF599" s="75" t="s">
        <v>1001</v>
      </c>
      <c r="KG599" t="s">
        <v>1262</v>
      </c>
      <c r="KH599">
        <v>2</v>
      </c>
      <c r="KI599" t="s">
        <v>1263</v>
      </c>
      <c r="KK599" s="8" t="s">
        <v>1264</v>
      </c>
      <c r="KL599" t="s">
        <v>1265</v>
      </c>
      <c r="KM599">
        <v>3</v>
      </c>
      <c r="KO599" s="8" t="s">
        <v>1266</v>
      </c>
      <c r="KP599" s="64" t="s">
        <v>480</v>
      </c>
      <c r="KQ599" s="64" t="s">
        <v>480</v>
      </c>
      <c r="KS599" t="s">
        <v>1267</v>
      </c>
      <c r="KT599" s="3" t="s">
        <v>480</v>
      </c>
      <c r="KU599" t="s">
        <v>480</v>
      </c>
      <c r="LT599" t="s">
        <v>1268</v>
      </c>
      <c r="LY599" t="s">
        <v>1269</v>
      </c>
      <c r="LZ599">
        <v>206.25</v>
      </c>
      <c r="MA599" s="4" t="s">
        <v>480</v>
      </c>
      <c r="MI599" s="50">
        <v>42997</v>
      </c>
      <c r="MJ599" s="50">
        <v>42997</v>
      </c>
      <c r="MY599" t="s">
        <v>1270</v>
      </c>
      <c r="MZ599" t="s">
        <v>866</v>
      </c>
      <c r="NA599" t="s">
        <v>1295</v>
      </c>
      <c r="NB599" t="s">
        <v>548</v>
      </c>
      <c r="NI599" t="s">
        <v>1272</v>
      </c>
      <c r="NJ599" t="s">
        <v>1273</v>
      </c>
      <c r="NK599" t="s">
        <v>1274</v>
      </c>
      <c r="NL599" s="4" t="s">
        <v>515</v>
      </c>
      <c r="NM599" s="6" t="s">
        <v>1275</v>
      </c>
      <c r="NV599" t="s">
        <v>518</v>
      </c>
      <c r="NW599">
        <v>36310</v>
      </c>
      <c r="NX599" t="s">
        <v>866</v>
      </c>
      <c r="NY599" t="s">
        <v>866</v>
      </c>
      <c r="OB599" s="15">
        <v>3</v>
      </c>
      <c r="OU599" t="s">
        <v>1276</v>
      </c>
      <c r="OV599" t="s">
        <v>518</v>
      </c>
      <c r="OX599">
        <v>2016</v>
      </c>
      <c r="OY599">
        <v>2017</v>
      </c>
      <c r="PB599" t="s">
        <v>522</v>
      </c>
      <c r="PC599" s="50">
        <v>46129</v>
      </c>
    </row>
    <row r="600" spans="1:419" ht="15.75" thickBot="1">
      <c r="A600" t="s">
        <v>469</v>
      </c>
      <c r="B600" t="s">
        <v>1251</v>
      </c>
      <c r="C600" t="s">
        <v>1252</v>
      </c>
      <c r="D600" s="4" t="s">
        <v>950</v>
      </c>
      <c r="E600" s="81" t="s">
        <v>1253</v>
      </c>
      <c r="F600" t="s">
        <v>1179</v>
      </c>
      <c r="G600" t="s">
        <v>475</v>
      </c>
      <c r="H600" t="s">
        <v>476</v>
      </c>
      <c r="I600">
        <v>30.9</v>
      </c>
      <c r="J600">
        <v>75.75</v>
      </c>
      <c r="K600">
        <v>200</v>
      </c>
      <c r="AV600" t="s">
        <v>1254</v>
      </c>
      <c r="AW600" t="s">
        <v>866</v>
      </c>
      <c r="AX600" t="s">
        <v>866</v>
      </c>
      <c r="AY600">
        <v>2</v>
      </c>
      <c r="AZ600" t="s">
        <v>1255</v>
      </c>
      <c r="BA600">
        <v>2016</v>
      </c>
      <c r="BB600">
        <v>2018</v>
      </c>
      <c r="BD600" s="15" t="s">
        <v>1296</v>
      </c>
      <c r="BE600" t="s">
        <v>611</v>
      </c>
      <c r="BF600" t="s">
        <v>484</v>
      </c>
      <c r="BG600" t="s">
        <v>485</v>
      </c>
      <c r="BH600" t="s">
        <v>1257</v>
      </c>
      <c r="BI600" t="s">
        <v>508</v>
      </c>
      <c r="BJ600">
        <v>20</v>
      </c>
      <c r="BK600" t="s">
        <v>537</v>
      </c>
      <c r="BL600" t="s">
        <v>538</v>
      </c>
      <c r="BM600" t="s">
        <v>480</v>
      </c>
      <c r="BN600" t="s">
        <v>480</v>
      </c>
      <c r="BO600" t="s">
        <v>480</v>
      </c>
      <c r="BP600" t="s">
        <v>555</v>
      </c>
      <c r="BQ600" t="s">
        <v>1294</v>
      </c>
      <c r="BR600" t="s">
        <v>480</v>
      </c>
      <c r="BS600" t="s">
        <v>480</v>
      </c>
      <c r="BT600" t="s">
        <v>480</v>
      </c>
      <c r="BU600" t="s">
        <v>555</v>
      </c>
      <c r="BV600" t="s">
        <v>1289</v>
      </c>
      <c r="BW600" t="s">
        <v>480</v>
      </c>
      <c r="BX600" t="s">
        <v>480</v>
      </c>
      <c r="BY600" t="s">
        <v>480</v>
      </c>
      <c r="BZ600" t="s">
        <v>555</v>
      </c>
      <c r="CA600" t="s">
        <v>1290</v>
      </c>
      <c r="CB600" t="s">
        <v>480</v>
      </c>
      <c r="CC600" t="s">
        <v>480</v>
      </c>
      <c r="CD600" t="s">
        <v>480</v>
      </c>
      <c r="HT600" s="50">
        <v>42539</v>
      </c>
      <c r="IO600" s="3" t="s">
        <v>1297</v>
      </c>
      <c r="IP600" s="46" t="s">
        <v>1280</v>
      </c>
      <c r="IS600">
        <v>2016</v>
      </c>
      <c r="JJ600" t="s">
        <v>1260</v>
      </c>
      <c r="JL600" t="s">
        <v>495</v>
      </c>
      <c r="JP600" t="s">
        <v>508</v>
      </c>
      <c r="JQ600">
        <v>125</v>
      </c>
      <c r="JT600">
        <v>60</v>
      </c>
      <c r="JU600">
        <v>30</v>
      </c>
      <c r="KE600" t="s">
        <v>1261</v>
      </c>
      <c r="KF600" s="75" t="s">
        <v>1001</v>
      </c>
      <c r="KG600" t="s">
        <v>1262</v>
      </c>
      <c r="KH600">
        <v>2</v>
      </c>
      <c r="KI600" t="s">
        <v>1263</v>
      </c>
      <c r="KK600" s="8" t="s">
        <v>1264</v>
      </c>
      <c r="KL600" t="s">
        <v>1265</v>
      </c>
      <c r="KM600">
        <v>3</v>
      </c>
      <c r="KO600" s="8" t="s">
        <v>1266</v>
      </c>
      <c r="KP600" s="64" t="s">
        <v>480</v>
      </c>
      <c r="KQ600" s="64" t="s">
        <v>480</v>
      </c>
      <c r="KS600" t="s">
        <v>1267</v>
      </c>
      <c r="KT600" s="3" t="s">
        <v>480</v>
      </c>
      <c r="KU600" t="s">
        <v>480</v>
      </c>
      <c r="LT600" t="s">
        <v>1268</v>
      </c>
      <c r="LY600" t="s">
        <v>1269</v>
      </c>
      <c r="LZ600">
        <v>206.25</v>
      </c>
      <c r="MA600" s="4" t="s">
        <v>480</v>
      </c>
      <c r="MI600" s="50">
        <v>42997</v>
      </c>
      <c r="MJ600" s="50">
        <v>42997</v>
      </c>
      <c r="MY600" t="s">
        <v>1270</v>
      </c>
      <c r="MZ600" t="s">
        <v>866</v>
      </c>
      <c r="NA600" t="s">
        <v>1298</v>
      </c>
      <c r="NB600" t="s">
        <v>548</v>
      </c>
      <c r="NC600" t="s">
        <v>538</v>
      </c>
      <c r="NI600" t="s">
        <v>1272</v>
      </c>
      <c r="NJ600" t="s">
        <v>1273</v>
      </c>
      <c r="NK600" t="s">
        <v>1274</v>
      </c>
      <c r="NL600" s="4" t="s">
        <v>515</v>
      </c>
      <c r="NM600" s="6" t="s">
        <v>1275</v>
      </c>
      <c r="NV600" t="s">
        <v>518</v>
      </c>
      <c r="NW600">
        <v>50130</v>
      </c>
      <c r="NX600" t="s">
        <v>866</v>
      </c>
      <c r="NY600" t="s">
        <v>866</v>
      </c>
      <c r="OB600" s="15">
        <v>3</v>
      </c>
      <c r="OU600" t="s">
        <v>1276</v>
      </c>
      <c r="OV600" t="s">
        <v>518</v>
      </c>
      <c r="OX600">
        <v>2016</v>
      </c>
      <c r="OY600">
        <v>2017</v>
      </c>
      <c r="PB600" t="s">
        <v>522</v>
      </c>
      <c r="PC600" s="50">
        <v>46129</v>
      </c>
    </row>
    <row r="601" spans="1:419" ht="15.75" thickBot="1">
      <c r="A601" t="s">
        <v>469</v>
      </c>
      <c r="B601" t="s">
        <v>1251</v>
      </c>
      <c r="C601" t="s">
        <v>1252</v>
      </c>
      <c r="D601" s="4" t="s">
        <v>950</v>
      </c>
      <c r="E601" s="81" t="s">
        <v>1253</v>
      </c>
      <c r="F601" t="s">
        <v>1179</v>
      </c>
      <c r="G601" t="s">
        <v>475</v>
      </c>
      <c r="H601" t="s">
        <v>476</v>
      </c>
      <c r="I601">
        <v>30.9</v>
      </c>
      <c r="J601">
        <v>75.75</v>
      </c>
      <c r="K601">
        <v>200</v>
      </c>
      <c r="AV601" t="s">
        <v>1254</v>
      </c>
      <c r="AW601" t="s">
        <v>866</v>
      </c>
      <c r="AX601" t="s">
        <v>866</v>
      </c>
      <c r="AY601">
        <v>2</v>
      </c>
      <c r="AZ601" t="s">
        <v>1255</v>
      </c>
      <c r="BA601">
        <v>2016</v>
      </c>
      <c r="BB601">
        <v>2018</v>
      </c>
      <c r="BD601" t="s">
        <v>1256</v>
      </c>
      <c r="BE601" t="s">
        <v>524</v>
      </c>
      <c r="BF601" t="s">
        <v>484</v>
      </c>
      <c r="BG601" t="s">
        <v>485</v>
      </c>
      <c r="BH601" t="s">
        <v>1257</v>
      </c>
      <c r="BI601" t="s">
        <v>508</v>
      </c>
      <c r="BJ601">
        <v>20</v>
      </c>
      <c r="BK601" t="s">
        <v>555</v>
      </c>
      <c r="BL601" t="s">
        <v>1258</v>
      </c>
      <c r="BM601" t="s">
        <v>480</v>
      </c>
      <c r="BN601" t="s">
        <v>480</v>
      </c>
      <c r="BO601" t="s">
        <v>480</v>
      </c>
      <c r="HT601" s="50">
        <v>42907</v>
      </c>
      <c r="IO601" t="s">
        <v>1256</v>
      </c>
      <c r="IP601" s="46" t="s">
        <v>1259</v>
      </c>
      <c r="IS601">
        <v>2016</v>
      </c>
      <c r="JJ601" t="s">
        <v>1260</v>
      </c>
      <c r="JL601" t="s">
        <v>495</v>
      </c>
      <c r="JP601" t="s">
        <v>508</v>
      </c>
      <c r="JQ601">
        <v>125</v>
      </c>
      <c r="JT601">
        <v>60</v>
      </c>
      <c r="JU601">
        <v>30</v>
      </c>
      <c r="KE601" t="s">
        <v>1261</v>
      </c>
      <c r="KF601" s="75" t="s">
        <v>1001</v>
      </c>
      <c r="KG601" t="s">
        <v>1262</v>
      </c>
      <c r="KH601">
        <v>2</v>
      </c>
      <c r="KI601" t="s">
        <v>1263</v>
      </c>
      <c r="KK601" s="8" t="s">
        <v>1264</v>
      </c>
      <c r="KL601" t="s">
        <v>1265</v>
      </c>
      <c r="KM601">
        <v>3</v>
      </c>
      <c r="KO601" s="8" t="s">
        <v>1266</v>
      </c>
      <c r="KP601" s="64" t="s">
        <v>480</v>
      </c>
      <c r="KQ601" s="64" t="s">
        <v>480</v>
      </c>
      <c r="KS601" t="s">
        <v>1267</v>
      </c>
      <c r="KT601" s="3" t="s">
        <v>480</v>
      </c>
      <c r="KU601" t="s">
        <v>480</v>
      </c>
      <c r="LT601" t="s">
        <v>1268</v>
      </c>
      <c r="LY601" t="s">
        <v>1269</v>
      </c>
      <c r="LZ601">
        <v>225</v>
      </c>
      <c r="MA601" s="4" t="s">
        <v>480</v>
      </c>
      <c r="MI601" s="50">
        <v>43362</v>
      </c>
      <c r="MJ601" s="50">
        <v>43362</v>
      </c>
      <c r="MY601" t="s">
        <v>1270</v>
      </c>
      <c r="MZ601" t="s">
        <v>866</v>
      </c>
      <c r="NA601" t="s">
        <v>1271</v>
      </c>
      <c r="NB601" t="s">
        <v>548</v>
      </c>
      <c r="NI601" t="s">
        <v>1272</v>
      </c>
      <c r="NJ601" t="s">
        <v>1273</v>
      </c>
      <c r="NK601" t="s">
        <v>1274</v>
      </c>
      <c r="NL601" s="4" t="s">
        <v>515</v>
      </c>
      <c r="NM601" s="6" t="s">
        <v>1275</v>
      </c>
      <c r="NU601" t="s">
        <v>1025</v>
      </c>
      <c r="NV601" t="s">
        <v>518</v>
      </c>
      <c r="NW601">
        <f ca="1">+Table1[[#This Row],[out_value]]*1000</f>
        <v>40020</v>
      </c>
      <c r="NX601" t="s">
        <v>866</v>
      </c>
      <c r="NY601" t="s">
        <v>866</v>
      </c>
      <c r="OB601" s="3">
        <v>3</v>
      </c>
      <c r="OU601" t="s">
        <v>1276</v>
      </c>
      <c r="OV601" t="s">
        <v>518</v>
      </c>
      <c r="OX601">
        <v>2017</v>
      </c>
      <c r="OY601">
        <v>2018</v>
      </c>
      <c r="PB601" t="s">
        <v>522</v>
      </c>
      <c r="PC601" s="50">
        <v>46129</v>
      </c>
    </row>
    <row r="602" spans="1:419" ht="15.75" thickBot="1">
      <c r="A602" t="s">
        <v>469</v>
      </c>
      <c r="B602" t="s">
        <v>1251</v>
      </c>
      <c r="C602" t="s">
        <v>1252</v>
      </c>
      <c r="D602" s="4" t="s">
        <v>950</v>
      </c>
      <c r="E602" s="81" t="s">
        <v>1253</v>
      </c>
      <c r="F602" t="s">
        <v>1179</v>
      </c>
      <c r="G602" t="s">
        <v>475</v>
      </c>
      <c r="H602" t="s">
        <v>476</v>
      </c>
      <c r="I602">
        <v>30.9</v>
      </c>
      <c r="J602">
        <v>75.75</v>
      </c>
      <c r="K602">
        <v>200</v>
      </c>
      <c r="AV602" t="s">
        <v>1254</v>
      </c>
      <c r="AW602" t="s">
        <v>866</v>
      </c>
      <c r="AX602" t="s">
        <v>866</v>
      </c>
      <c r="AY602">
        <v>2</v>
      </c>
      <c r="AZ602" t="s">
        <v>1255</v>
      </c>
      <c r="BA602">
        <v>2016</v>
      </c>
      <c r="BB602">
        <v>2018</v>
      </c>
      <c r="BD602" t="s">
        <v>1277</v>
      </c>
      <c r="BE602" t="s">
        <v>536</v>
      </c>
      <c r="BF602" t="s">
        <v>484</v>
      </c>
      <c r="BG602" t="s">
        <v>485</v>
      </c>
      <c r="BH602" t="s">
        <v>1257</v>
      </c>
      <c r="BI602" t="s">
        <v>508</v>
      </c>
      <c r="BJ602">
        <v>20</v>
      </c>
      <c r="BK602" t="s">
        <v>555</v>
      </c>
      <c r="BL602" t="s">
        <v>1278</v>
      </c>
      <c r="BM602" t="s">
        <v>480</v>
      </c>
      <c r="BN602" t="s">
        <v>480</v>
      </c>
      <c r="BO602" t="s">
        <v>480</v>
      </c>
      <c r="BP602" t="s">
        <v>555</v>
      </c>
      <c r="BQ602" t="s">
        <v>1279</v>
      </c>
      <c r="BR602" t="s">
        <v>480</v>
      </c>
      <c r="BS602" t="s">
        <v>480</v>
      </c>
      <c r="BT602" t="s">
        <v>480</v>
      </c>
      <c r="BU602" t="s">
        <v>537</v>
      </c>
      <c r="BV602" t="s">
        <v>870</v>
      </c>
      <c r="BW602" t="s">
        <v>480</v>
      </c>
      <c r="BX602" t="s">
        <v>480</v>
      </c>
      <c r="BY602" t="s">
        <v>480</v>
      </c>
      <c r="HT602" s="50">
        <v>42907</v>
      </c>
      <c r="IO602" t="s">
        <v>1277</v>
      </c>
      <c r="IP602" s="46" t="s">
        <v>1280</v>
      </c>
      <c r="IS602">
        <v>2016</v>
      </c>
      <c r="JJ602" t="s">
        <v>1260</v>
      </c>
      <c r="JL602" t="s">
        <v>495</v>
      </c>
      <c r="JP602" t="s">
        <v>508</v>
      </c>
      <c r="JQ602">
        <v>125</v>
      </c>
      <c r="JT602">
        <v>60</v>
      </c>
      <c r="JU602">
        <v>30</v>
      </c>
      <c r="KE602" t="s">
        <v>1261</v>
      </c>
      <c r="KF602" s="75" t="s">
        <v>1001</v>
      </c>
      <c r="KG602" t="s">
        <v>1262</v>
      </c>
      <c r="KH602">
        <v>2</v>
      </c>
      <c r="KI602" t="s">
        <v>1263</v>
      </c>
      <c r="KK602" s="8" t="s">
        <v>1264</v>
      </c>
      <c r="KL602" t="s">
        <v>1265</v>
      </c>
      <c r="KM602">
        <v>3</v>
      </c>
      <c r="KO602" s="8" t="s">
        <v>1266</v>
      </c>
      <c r="KP602" s="64" t="s">
        <v>480</v>
      </c>
      <c r="KQ602" s="64" t="s">
        <v>480</v>
      </c>
      <c r="KS602" t="s">
        <v>1267</v>
      </c>
      <c r="KT602" s="3" t="s">
        <v>480</v>
      </c>
      <c r="KU602" t="s">
        <v>480</v>
      </c>
      <c r="LT602" t="s">
        <v>1268</v>
      </c>
      <c r="LY602" t="s">
        <v>1269</v>
      </c>
      <c r="LZ602">
        <v>225</v>
      </c>
      <c r="MA602" s="4" t="s">
        <v>480</v>
      </c>
      <c r="MI602" s="50">
        <v>43362</v>
      </c>
      <c r="MJ602" s="50">
        <v>43362</v>
      </c>
      <c r="MY602" t="s">
        <v>1270</v>
      </c>
      <c r="MZ602" t="s">
        <v>866</v>
      </c>
      <c r="NA602" t="s">
        <v>1281</v>
      </c>
      <c r="NB602" t="s">
        <v>548</v>
      </c>
      <c r="NI602" t="s">
        <v>1272</v>
      </c>
      <c r="NJ602" t="s">
        <v>1273</v>
      </c>
      <c r="NK602" t="s">
        <v>1274</v>
      </c>
      <c r="NL602" s="4" t="s">
        <v>515</v>
      </c>
      <c r="NM602" s="6" t="s">
        <v>1275</v>
      </c>
      <c r="NV602" t="s">
        <v>518</v>
      </c>
      <c r="NW602">
        <f ca="1">+Table1[[#This Row],[out_value]]*1000</f>
        <v>41330</v>
      </c>
      <c r="NX602" t="s">
        <v>866</v>
      </c>
      <c r="NY602" t="s">
        <v>866</v>
      </c>
      <c r="OB602" s="3">
        <v>3</v>
      </c>
      <c r="OU602" t="s">
        <v>1276</v>
      </c>
      <c r="OV602" t="s">
        <v>518</v>
      </c>
      <c r="OX602">
        <v>2017</v>
      </c>
      <c r="OY602">
        <v>2018</v>
      </c>
      <c r="PB602" t="s">
        <v>522</v>
      </c>
      <c r="PC602" s="50">
        <v>46129</v>
      </c>
    </row>
    <row r="603" spans="1:419" ht="15.75" thickBot="1">
      <c r="A603" t="s">
        <v>469</v>
      </c>
      <c r="B603" t="s">
        <v>1251</v>
      </c>
      <c r="C603" t="s">
        <v>1252</v>
      </c>
      <c r="D603" s="4" t="s">
        <v>950</v>
      </c>
      <c r="E603" s="81" t="s">
        <v>1253</v>
      </c>
      <c r="F603" t="s">
        <v>1179</v>
      </c>
      <c r="G603" t="s">
        <v>475</v>
      </c>
      <c r="H603" t="s">
        <v>476</v>
      </c>
      <c r="I603">
        <v>30.9</v>
      </c>
      <c r="J603">
        <v>75.75</v>
      </c>
      <c r="K603">
        <v>200</v>
      </c>
      <c r="AV603" t="s">
        <v>1254</v>
      </c>
      <c r="AW603" t="s">
        <v>866</v>
      </c>
      <c r="AX603" t="s">
        <v>866</v>
      </c>
      <c r="AY603">
        <v>2</v>
      </c>
      <c r="AZ603" t="s">
        <v>1255</v>
      </c>
      <c r="BA603">
        <v>2016</v>
      </c>
      <c r="BB603">
        <v>2018</v>
      </c>
      <c r="BD603" t="s">
        <v>1282</v>
      </c>
      <c r="BE603" t="s">
        <v>566</v>
      </c>
      <c r="BF603" t="s">
        <v>484</v>
      </c>
      <c r="BG603" t="s">
        <v>485</v>
      </c>
      <c r="BH603" t="s">
        <v>1257</v>
      </c>
      <c r="BI603" t="s">
        <v>508</v>
      </c>
      <c r="BJ603">
        <v>20</v>
      </c>
      <c r="BK603" t="s">
        <v>537</v>
      </c>
      <c r="BL603" t="s">
        <v>538</v>
      </c>
      <c r="BM603" t="s">
        <v>480</v>
      </c>
      <c r="BN603" t="s">
        <v>480</v>
      </c>
      <c r="BO603" t="s">
        <v>480</v>
      </c>
      <c r="BP603" t="s">
        <v>555</v>
      </c>
      <c r="BQ603" t="s">
        <v>1278</v>
      </c>
      <c r="BR603" t="s">
        <v>480</v>
      </c>
      <c r="BS603" t="s">
        <v>480</v>
      </c>
      <c r="BT603" t="s">
        <v>480</v>
      </c>
      <c r="BU603" t="s">
        <v>555</v>
      </c>
      <c r="BV603" t="s">
        <v>1279</v>
      </c>
      <c r="BW603" t="s">
        <v>480</v>
      </c>
      <c r="BX603" t="s">
        <v>480</v>
      </c>
      <c r="BY603" t="s">
        <v>480</v>
      </c>
      <c r="BZ603" t="s">
        <v>537</v>
      </c>
      <c r="CA603" t="s">
        <v>870</v>
      </c>
      <c r="CB603" t="s">
        <v>480</v>
      </c>
      <c r="CC603" t="s">
        <v>480</v>
      </c>
      <c r="CD603" t="s">
        <v>480</v>
      </c>
      <c r="HT603" s="50">
        <v>42907</v>
      </c>
      <c r="IO603" t="s">
        <v>1283</v>
      </c>
      <c r="IP603" s="46" t="s">
        <v>1280</v>
      </c>
      <c r="IS603">
        <v>2016</v>
      </c>
      <c r="JJ603" t="s">
        <v>1260</v>
      </c>
      <c r="JL603" t="s">
        <v>495</v>
      </c>
      <c r="JP603" t="s">
        <v>508</v>
      </c>
      <c r="JQ603">
        <v>125</v>
      </c>
      <c r="JT603">
        <v>60</v>
      </c>
      <c r="JU603">
        <v>30</v>
      </c>
      <c r="KE603" t="s">
        <v>1261</v>
      </c>
      <c r="KF603" s="75" t="s">
        <v>1001</v>
      </c>
      <c r="KG603" t="s">
        <v>1262</v>
      </c>
      <c r="KH603">
        <v>2</v>
      </c>
      <c r="KI603" t="s">
        <v>1263</v>
      </c>
      <c r="KK603" s="8" t="s">
        <v>1264</v>
      </c>
      <c r="KL603" t="s">
        <v>1265</v>
      </c>
      <c r="KM603">
        <v>3</v>
      </c>
      <c r="KO603" s="8" t="s">
        <v>1266</v>
      </c>
      <c r="KP603" s="64" t="s">
        <v>480</v>
      </c>
      <c r="KQ603" s="64" t="s">
        <v>480</v>
      </c>
      <c r="KS603" t="s">
        <v>1267</v>
      </c>
      <c r="KT603" s="3" t="s">
        <v>480</v>
      </c>
      <c r="KU603" t="s">
        <v>480</v>
      </c>
      <c r="LT603" t="s">
        <v>1268</v>
      </c>
      <c r="LY603" t="s">
        <v>1269</v>
      </c>
      <c r="LZ603">
        <v>225</v>
      </c>
      <c r="MA603" s="4" t="s">
        <v>480</v>
      </c>
      <c r="MI603" s="50">
        <v>43362</v>
      </c>
      <c r="MJ603" s="50">
        <v>43362</v>
      </c>
      <c r="MY603" t="s">
        <v>1270</v>
      </c>
      <c r="MZ603" t="s">
        <v>866</v>
      </c>
      <c r="NA603" t="s">
        <v>1284</v>
      </c>
      <c r="NB603" t="s">
        <v>548</v>
      </c>
      <c r="NC603" t="s">
        <v>538</v>
      </c>
      <c r="NI603" t="s">
        <v>1272</v>
      </c>
      <c r="NJ603" t="s">
        <v>1273</v>
      </c>
      <c r="NK603" t="s">
        <v>1274</v>
      </c>
      <c r="NL603" s="4" t="s">
        <v>515</v>
      </c>
      <c r="NM603" s="6" t="s">
        <v>1275</v>
      </c>
      <c r="NV603" t="s">
        <v>518</v>
      </c>
      <c r="NW603">
        <f ca="1">+Table1[[#This Row],[out_value]]*1000</f>
        <v>55730</v>
      </c>
      <c r="NX603" t="s">
        <v>866</v>
      </c>
      <c r="NY603" t="s">
        <v>866</v>
      </c>
      <c r="OB603" s="3">
        <v>3</v>
      </c>
      <c r="OU603" t="s">
        <v>1276</v>
      </c>
      <c r="OV603" t="s">
        <v>518</v>
      </c>
      <c r="OX603">
        <v>2017</v>
      </c>
      <c r="OY603">
        <v>2018</v>
      </c>
      <c r="PB603" t="s">
        <v>522</v>
      </c>
      <c r="PC603" s="50">
        <v>46129</v>
      </c>
    </row>
    <row r="604" spans="1:419" ht="15.75" thickBot="1">
      <c r="A604" t="s">
        <v>469</v>
      </c>
      <c r="B604" t="s">
        <v>1251</v>
      </c>
      <c r="C604" t="s">
        <v>1252</v>
      </c>
      <c r="D604" s="4" t="s">
        <v>950</v>
      </c>
      <c r="E604" s="81" t="s">
        <v>1253</v>
      </c>
      <c r="F604" t="s">
        <v>1179</v>
      </c>
      <c r="G604" t="s">
        <v>475</v>
      </c>
      <c r="H604" t="s">
        <v>476</v>
      </c>
      <c r="I604">
        <v>30.9</v>
      </c>
      <c r="J604">
        <v>75.75</v>
      </c>
      <c r="K604">
        <v>200</v>
      </c>
      <c r="AV604" t="s">
        <v>1254</v>
      </c>
      <c r="AW604" t="s">
        <v>866</v>
      </c>
      <c r="AX604" t="s">
        <v>866</v>
      </c>
      <c r="AY604">
        <v>2</v>
      </c>
      <c r="AZ604" t="s">
        <v>1255</v>
      </c>
      <c r="BA604">
        <v>2016</v>
      </c>
      <c r="BB604">
        <v>2018</v>
      </c>
      <c r="BD604" t="s">
        <v>1285</v>
      </c>
      <c r="BE604" t="s">
        <v>572</v>
      </c>
      <c r="BF604" t="s">
        <v>484</v>
      </c>
      <c r="BG604" t="s">
        <v>485</v>
      </c>
      <c r="BH604" t="s">
        <v>1257</v>
      </c>
      <c r="BI604" t="s">
        <v>508</v>
      </c>
      <c r="BJ604">
        <v>20</v>
      </c>
      <c r="BK604" t="s">
        <v>537</v>
      </c>
      <c r="BL604" t="s">
        <v>538</v>
      </c>
      <c r="BM604" t="s">
        <v>480</v>
      </c>
      <c r="BN604" t="s">
        <v>480</v>
      </c>
      <c r="BO604" t="s">
        <v>480</v>
      </c>
      <c r="BP604" t="s">
        <v>555</v>
      </c>
      <c r="BQ604" t="s">
        <v>1278</v>
      </c>
      <c r="BR604" t="s">
        <v>480</v>
      </c>
      <c r="BS604" t="s">
        <v>480</v>
      </c>
      <c r="BT604" t="s">
        <v>480</v>
      </c>
      <c r="HT604" s="50">
        <v>42907</v>
      </c>
      <c r="IO604" t="s">
        <v>1286</v>
      </c>
      <c r="IP604" s="46" t="s">
        <v>1280</v>
      </c>
      <c r="IS604">
        <v>2016</v>
      </c>
      <c r="JJ604" t="s">
        <v>1260</v>
      </c>
      <c r="JL604" t="s">
        <v>495</v>
      </c>
      <c r="JP604" t="s">
        <v>508</v>
      </c>
      <c r="JQ604">
        <v>125</v>
      </c>
      <c r="JT604">
        <v>60</v>
      </c>
      <c r="JU604">
        <v>30</v>
      </c>
      <c r="KE604" t="s">
        <v>1261</v>
      </c>
      <c r="KF604" s="75" t="s">
        <v>1001</v>
      </c>
      <c r="KG604" t="s">
        <v>1262</v>
      </c>
      <c r="KH604">
        <v>2</v>
      </c>
      <c r="KI604" t="s">
        <v>1263</v>
      </c>
      <c r="KK604" s="8" t="s">
        <v>1264</v>
      </c>
      <c r="KL604" t="s">
        <v>1265</v>
      </c>
      <c r="KM604">
        <v>3</v>
      </c>
      <c r="KO604" s="8" t="s">
        <v>1266</v>
      </c>
      <c r="KP604" s="64" t="s">
        <v>480</v>
      </c>
      <c r="KQ604" s="64" t="s">
        <v>480</v>
      </c>
      <c r="KS604" t="s">
        <v>1267</v>
      </c>
      <c r="KT604" s="3" t="s">
        <v>480</v>
      </c>
      <c r="KU604" t="s">
        <v>480</v>
      </c>
      <c r="LT604" t="s">
        <v>1268</v>
      </c>
      <c r="LY604" t="s">
        <v>1269</v>
      </c>
      <c r="LZ604">
        <v>225</v>
      </c>
      <c r="MA604" s="4" t="s">
        <v>480</v>
      </c>
      <c r="MI604" s="50">
        <v>43362</v>
      </c>
      <c r="MJ604" s="50">
        <v>43362</v>
      </c>
      <c r="MY604" t="s">
        <v>1270</v>
      </c>
      <c r="MZ604" t="s">
        <v>866</v>
      </c>
      <c r="NA604" t="s">
        <v>1287</v>
      </c>
      <c r="NB604" t="s">
        <v>548</v>
      </c>
      <c r="NC604" t="s">
        <v>538</v>
      </c>
      <c r="NI604" t="s">
        <v>1272</v>
      </c>
      <c r="NJ604" t="s">
        <v>1273</v>
      </c>
      <c r="NK604" t="s">
        <v>1274</v>
      </c>
      <c r="NL604" s="4" t="s">
        <v>515</v>
      </c>
      <c r="NM604" s="6" t="s">
        <v>1275</v>
      </c>
      <c r="NV604" t="s">
        <v>518</v>
      </c>
      <c r="NW604">
        <f ca="1">+Table1[[#This Row],[out_value]]*1000</f>
        <v>55180</v>
      </c>
      <c r="NX604" t="s">
        <v>866</v>
      </c>
      <c r="NY604" t="s">
        <v>866</v>
      </c>
      <c r="OB604" s="3">
        <v>3</v>
      </c>
      <c r="OU604" t="s">
        <v>1276</v>
      </c>
      <c r="OV604" t="s">
        <v>518</v>
      </c>
      <c r="OX604">
        <v>2017</v>
      </c>
      <c r="OY604">
        <v>2018</v>
      </c>
      <c r="PB604" t="s">
        <v>522</v>
      </c>
      <c r="PC604" s="50">
        <v>46129</v>
      </c>
    </row>
    <row r="605" spans="1:419" ht="15.75" thickBot="1">
      <c r="A605" t="s">
        <v>469</v>
      </c>
      <c r="B605" t="s">
        <v>1251</v>
      </c>
      <c r="C605" t="s">
        <v>1252</v>
      </c>
      <c r="D605" s="4" t="s">
        <v>950</v>
      </c>
      <c r="E605" s="81" t="s">
        <v>1253</v>
      </c>
      <c r="F605" t="s">
        <v>1179</v>
      </c>
      <c r="G605" t="s">
        <v>475</v>
      </c>
      <c r="H605" t="s">
        <v>476</v>
      </c>
      <c r="I605">
        <v>30.9</v>
      </c>
      <c r="J605">
        <v>75.75</v>
      </c>
      <c r="K605">
        <v>200</v>
      </c>
      <c r="AV605" t="s">
        <v>1254</v>
      </c>
      <c r="AW605" t="s">
        <v>866</v>
      </c>
      <c r="AX605" t="s">
        <v>866</v>
      </c>
      <c r="AY605">
        <v>2</v>
      </c>
      <c r="AZ605" t="s">
        <v>1255</v>
      </c>
      <c r="BA605">
        <v>2016</v>
      </c>
      <c r="BB605">
        <v>2018</v>
      </c>
      <c r="BD605" t="s">
        <v>1288</v>
      </c>
      <c r="BE605" t="s">
        <v>553</v>
      </c>
      <c r="BF605" t="s">
        <v>484</v>
      </c>
      <c r="BG605" t="s">
        <v>485</v>
      </c>
      <c r="BH605" t="s">
        <v>1257</v>
      </c>
      <c r="BI605" t="s">
        <v>508</v>
      </c>
      <c r="BJ605">
        <v>20</v>
      </c>
      <c r="BK605" t="s">
        <v>537</v>
      </c>
      <c r="BL605" t="s">
        <v>538</v>
      </c>
      <c r="BM605" t="s">
        <v>480</v>
      </c>
      <c r="BN605" t="s">
        <v>480</v>
      </c>
      <c r="BO605" t="s">
        <v>480</v>
      </c>
      <c r="BP605" t="s">
        <v>555</v>
      </c>
      <c r="BQ605" t="s">
        <v>1289</v>
      </c>
      <c r="BR605" t="s">
        <v>480</v>
      </c>
      <c r="BS605" t="s">
        <v>480</v>
      </c>
      <c r="BT605" t="s">
        <v>480</v>
      </c>
      <c r="BU605" t="s">
        <v>555</v>
      </c>
      <c r="BV605" t="s">
        <v>1290</v>
      </c>
      <c r="BW605" t="s">
        <v>480</v>
      </c>
      <c r="BX605" t="s">
        <v>480</v>
      </c>
      <c r="BY605" t="s">
        <v>480</v>
      </c>
      <c r="HT605" s="50">
        <v>42907</v>
      </c>
      <c r="IO605" t="s">
        <v>1299</v>
      </c>
      <c r="IP605" s="46" t="s">
        <v>1280</v>
      </c>
      <c r="IS605">
        <v>2016</v>
      </c>
      <c r="JJ605" t="s">
        <v>1260</v>
      </c>
      <c r="JL605" t="s">
        <v>495</v>
      </c>
      <c r="JP605" t="s">
        <v>508</v>
      </c>
      <c r="JQ605">
        <v>125</v>
      </c>
      <c r="JT605">
        <v>60</v>
      </c>
      <c r="JU605">
        <v>30</v>
      </c>
      <c r="KE605" t="s">
        <v>1261</v>
      </c>
      <c r="KF605" s="75" t="s">
        <v>1001</v>
      </c>
      <c r="KG605" t="s">
        <v>1262</v>
      </c>
      <c r="KH605">
        <v>2</v>
      </c>
      <c r="KI605" t="s">
        <v>1263</v>
      </c>
      <c r="KK605" s="8" t="s">
        <v>1264</v>
      </c>
      <c r="KL605" t="s">
        <v>1265</v>
      </c>
      <c r="KM605">
        <v>3</v>
      </c>
      <c r="KO605" s="8" t="s">
        <v>1266</v>
      </c>
      <c r="KP605" s="64" t="s">
        <v>480</v>
      </c>
      <c r="KQ605" s="64" t="s">
        <v>480</v>
      </c>
      <c r="KS605" t="s">
        <v>1267</v>
      </c>
      <c r="KT605" s="3" t="s">
        <v>480</v>
      </c>
      <c r="KU605" t="s">
        <v>480</v>
      </c>
      <c r="LT605" t="s">
        <v>1268</v>
      </c>
      <c r="LY605" t="s">
        <v>1269</v>
      </c>
      <c r="LZ605">
        <v>225</v>
      </c>
      <c r="MA605" s="4" t="s">
        <v>480</v>
      </c>
      <c r="MI605" s="50">
        <v>43362</v>
      </c>
      <c r="MJ605" s="50">
        <v>43362</v>
      </c>
      <c r="MY605" t="s">
        <v>1270</v>
      </c>
      <c r="MZ605" t="s">
        <v>866</v>
      </c>
      <c r="NA605" t="s">
        <v>1292</v>
      </c>
      <c r="NB605" t="s">
        <v>548</v>
      </c>
      <c r="NC605" t="s">
        <v>538</v>
      </c>
      <c r="NI605" t="s">
        <v>1272</v>
      </c>
      <c r="NJ605" t="s">
        <v>1273</v>
      </c>
      <c r="NK605" t="s">
        <v>1274</v>
      </c>
      <c r="NL605" s="4" t="s">
        <v>515</v>
      </c>
      <c r="NM605" s="6" t="s">
        <v>1275</v>
      </c>
      <c r="NV605" t="s">
        <v>518</v>
      </c>
      <c r="NW605">
        <f ca="1">+Table1[[#This Row],[out_value]]*1000</f>
        <v>57470</v>
      </c>
      <c r="NX605" t="s">
        <v>866</v>
      </c>
      <c r="NY605" t="s">
        <v>866</v>
      </c>
      <c r="OB605" s="3">
        <v>3</v>
      </c>
      <c r="OU605" t="s">
        <v>1276</v>
      </c>
      <c r="OV605" t="s">
        <v>518</v>
      </c>
      <c r="OX605">
        <v>2017</v>
      </c>
      <c r="OY605">
        <v>2018</v>
      </c>
      <c r="PB605" t="s">
        <v>522</v>
      </c>
      <c r="PC605" s="50">
        <v>46129</v>
      </c>
    </row>
    <row r="606" spans="1:419" ht="15.75" thickBot="1">
      <c r="A606" t="s">
        <v>469</v>
      </c>
      <c r="B606" t="s">
        <v>1251</v>
      </c>
      <c r="C606" t="s">
        <v>1252</v>
      </c>
      <c r="D606" s="4" t="s">
        <v>950</v>
      </c>
      <c r="E606" s="81" t="s">
        <v>1253</v>
      </c>
      <c r="F606" t="s">
        <v>1179</v>
      </c>
      <c r="G606" t="s">
        <v>475</v>
      </c>
      <c r="H606" t="s">
        <v>476</v>
      </c>
      <c r="I606">
        <v>30.9</v>
      </c>
      <c r="J606">
        <v>75.75</v>
      </c>
      <c r="K606">
        <v>200</v>
      </c>
      <c r="AV606" t="s">
        <v>1254</v>
      </c>
      <c r="AW606" t="s">
        <v>866</v>
      </c>
      <c r="AX606" t="s">
        <v>866</v>
      </c>
      <c r="AY606">
        <v>2</v>
      </c>
      <c r="AZ606" t="s">
        <v>1255</v>
      </c>
      <c r="BA606">
        <v>2016</v>
      </c>
      <c r="BB606">
        <v>2018</v>
      </c>
      <c r="BD606" s="3" t="s">
        <v>1293</v>
      </c>
      <c r="BE606" t="s">
        <v>607</v>
      </c>
      <c r="BF606" t="s">
        <v>484</v>
      </c>
      <c r="BG606" t="s">
        <v>485</v>
      </c>
      <c r="BH606" t="s">
        <v>1257</v>
      </c>
      <c r="BI606" t="s">
        <v>508</v>
      </c>
      <c r="BJ606">
        <v>20</v>
      </c>
      <c r="BK606" t="s">
        <v>555</v>
      </c>
      <c r="BL606" t="s">
        <v>1294</v>
      </c>
      <c r="BM606" t="s">
        <v>480</v>
      </c>
      <c r="BN606" t="s">
        <v>480</v>
      </c>
      <c r="BO606" t="s">
        <v>480</v>
      </c>
      <c r="BP606" t="s">
        <v>555</v>
      </c>
      <c r="BQ606" t="s">
        <v>1289</v>
      </c>
      <c r="BR606" t="s">
        <v>480</v>
      </c>
      <c r="BS606" t="s">
        <v>480</v>
      </c>
      <c r="BT606" t="s">
        <v>480</v>
      </c>
      <c r="BU606" t="s">
        <v>555</v>
      </c>
      <c r="BV606" t="s">
        <v>1290</v>
      </c>
      <c r="BW606" t="s">
        <v>480</v>
      </c>
      <c r="BX606" t="s">
        <v>480</v>
      </c>
      <c r="BY606" t="s">
        <v>480</v>
      </c>
      <c r="HT606" s="50">
        <v>42907</v>
      </c>
      <c r="IO606" t="s">
        <v>1293</v>
      </c>
      <c r="IP606" s="46" t="s">
        <v>1280</v>
      </c>
      <c r="IS606">
        <v>2016</v>
      </c>
      <c r="JJ606" t="s">
        <v>1260</v>
      </c>
      <c r="JL606" t="s">
        <v>495</v>
      </c>
      <c r="JP606" t="s">
        <v>508</v>
      </c>
      <c r="JQ606">
        <v>125</v>
      </c>
      <c r="JT606">
        <v>60</v>
      </c>
      <c r="JU606">
        <v>30</v>
      </c>
      <c r="KE606" t="s">
        <v>1261</v>
      </c>
      <c r="KF606" s="75" t="s">
        <v>1001</v>
      </c>
      <c r="KG606" t="s">
        <v>1262</v>
      </c>
      <c r="KH606">
        <v>2</v>
      </c>
      <c r="KI606" t="s">
        <v>1263</v>
      </c>
      <c r="KK606" s="8" t="s">
        <v>1264</v>
      </c>
      <c r="KL606" t="s">
        <v>1265</v>
      </c>
      <c r="KM606">
        <v>3</v>
      </c>
      <c r="KO606" s="8" t="s">
        <v>1266</v>
      </c>
      <c r="KP606" s="64" t="s">
        <v>480</v>
      </c>
      <c r="KQ606" s="64" t="s">
        <v>480</v>
      </c>
      <c r="KS606" t="s">
        <v>1267</v>
      </c>
      <c r="KT606" s="3" t="s">
        <v>480</v>
      </c>
      <c r="KU606" t="s">
        <v>480</v>
      </c>
      <c r="LT606" t="s">
        <v>1268</v>
      </c>
      <c r="LY606" t="s">
        <v>1269</v>
      </c>
      <c r="LZ606">
        <v>225</v>
      </c>
      <c r="MA606" s="4" t="s">
        <v>480</v>
      </c>
      <c r="MI606" s="50">
        <v>43362</v>
      </c>
      <c r="MJ606" s="50">
        <v>43362</v>
      </c>
      <c r="MY606" t="s">
        <v>1270</v>
      </c>
      <c r="MZ606" t="s">
        <v>866</v>
      </c>
      <c r="NA606" t="s">
        <v>1295</v>
      </c>
      <c r="NB606" t="s">
        <v>548</v>
      </c>
      <c r="NI606" t="s">
        <v>1272</v>
      </c>
      <c r="NJ606" t="s">
        <v>1273</v>
      </c>
      <c r="NK606" t="s">
        <v>1274</v>
      </c>
      <c r="NL606" s="4" t="s">
        <v>515</v>
      </c>
      <c r="NM606" s="6" t="s">
        <v>1275</v>
      </c>
      <c r="NV606" t="s">
        <v>518</v>
      </c>
      <c r="NW606">
        <f ca="1">+Table1[[#This Row],[out_value]]*1000</f>
        <v>41390</v>
      </c>
      <c r="NX606" t="s">
        <v>866</v>
      </c>
      <c r="NY606" t="s">
        <v>866</v>
      </c>
      <c r="OB606" s="3">
        <v>3</v>
      </c>
      <c r="OU606" t="s">
        <v>1276</v>
      </c>
      <c r="OV606" t="s">
        <v>518</v>
      </c>
      <c r="OX606">
        <v>2017</v>
      </c>
      <c r="OY606">
        <v>2018</v>
      </c>
      <c r="PB606" t="s">
        <v>522</v>
      </c>
      <c r="PC606" s="50">
        <v>46129</v>
      </c>
    </row>
    <row r="607" spans="1:419" ht="15.75" thickBot="1">
      <c r="A607" t="s">
        <v>469</v>
      </c>
      <c r="B607" t="s">
        <v>1251</v>
      </c>
      <c r="C607" t="s">
        <v>1252</v>
      </c>
      <c r="D607" s="4" t="s">
        <v>950</v>
      </c>
      <c r="E607" s="81" t="s">
        <v>1253</v>
      </c>
      <c r="F607" t="s">
        <v>1179</v>
      </c>
      <c r="G607" t="s">
        <v>475</v>
      </c>
      <c r="H607" t="s">
        <v>476</v>
      </c>
      <c r="I607">
        <v>30.9</v>
      </c>
      <c r="J607">
        <v>75.75</v>
      </c>
      <c r="K607">
        <v>200</v>
      </c>
      <c r="AV607" t="s">
        <v>1254</v>
      </c>
      <c r="AW607" t="s">
        <v>866</v>
      </c>
      <c r="AX607" t="s">
        <v>866</v>
      </c>
      <c r="AY607">
        <v>2</v>
      </c>
      <c r="AZ607" t="s">
        <v>1255</v>
      </c>
      <c r="BA607">
        <v>2016</v>
      </c>
      <c r="BB607">
        <v>2018</v>
      </c>
      <c r="BD607" s="15" t="s">
        <v>1296</v>
      </c>
      <c r="BE607" t="s">
        <v>611</v>
      </c>
      <c r="BF607" t="s">
        <v>484</v>
      </c>
      <c r="BG607" t="s">
        <v>485</v>
      </c>
      <c r="BH607" t="s">
        <v>1257</v>
      </c>
      <c r="BI607" t="s">
        <v>508</v>
      </c>
      <c r="BJ607">
        <v>20</v>
      </c>
      <c r="BK607" t="s">
        <v>537</v>
      </c>
      <c r="BL607" t="s">
        <v>538</v>
      </c>
      <c r="BM607" t="s">
        <v>480</v>
      </c>
      <c r="BN607" t="s">
        <v>480</v>
      </c>
      <c r="BO607" t="s">
        <v>480</v>
      </c>
      <c r="BP607" t="s">
        <v>555</v>
      </c>
      <c r="BQ607" t="s">
        <v>1294</v>
      </c>
      <c r="BR607" t="s">
        <v>480</v>
      </c>
      <c r="BS607" t="s">
        <v>480</v>
      </c>
      <c r="BT607" t="s">
        <v>480</v>
      </c>
      <c r="BU607" t="s">
        <v>555</v>
      </c>
      <c r="BV607" t="s">
        <v>1289</v>
      </c>
      <c r="BW607" t="s">
        <v>480</v>
      </c>
      <c r="BX607" t="s">
        <v>480</v>
      </c>
      <c r="BY607" t="s">
        <v>480</v>
      </c>
      <c r="BZ607" t="s">
        <v>555</v>
      </c>
      <c r="CA607" t="s">
        <v>1290</v>
      </c>
      <c r="CB607" t="s">
        <v>480</v>
      </c>
      <c r="CC607" t="s">
        <v>480</v>
      </c>
      <c r="CD607" t="s">
        <v>480</v>
      </c>
      <c r="HT607" s="50">
        <v>42907</v>
      </c>
      <c r="IO607" t="s">
        <v>1297</v>
      </c>
      <c r="IP607" s="46" t="s">
        <v>1280</v>
      </c>
      <c r="IS607">
        <v>2016</v>
      </c>
      <c r="JJ607" t="s">
        <v>1260</v>
      </c>
      <c r="JL607" t="s">
        <v>495</v>
      </c>
      <c r="JP607" t="s">
        <v>508</v>
      </c>
      <c r="JQ607">
        <v>125</v>
      </c>
      <c r="JT607">
        <v>60</v>
      </c>
      <c r="JU607">
        <v>30</v>
      </c>
      <c r="KE607" t="s">
        <v>1261</v>
      </c>
      <c r="KF607" s="75" t="s">
        <v>1001</v>
      </c>
      <c r="KG607" t="s">
        <v>1262</v>
      </c>
      <c r="KH607">
        <v>2</v>
      </c>
      <c r="KI607" t="s">
        <v>1263</v>
      </c>
      <c r="KK607" s="8" t="s">
        <v>1264</v>
      </c>
      <c r="KL607" t="s">
        <v>1265</v>
      </c>
      <c r="KM607">
        <v>3</v>
      </c>
      <c r="KO607" s="8" t="s">
        <v>1266</v>
      </c>
      <c r="KP607" s="64" t="s">
        <v>480</v>
      </c>
      <c r="KQ607" s="64" t="s">
        <v>480</v>
      </c>
      <c r="KS607" t="s">
        <v>1267</v>
      </c>
      <c r="KT607" s="3" t="s">
        <v>480</v>
      </c>
      <c r="KU607" t="s">
        <v>480</v>
      </c>
      <c r="LT607" t="s">
        <v>1268</v>
      </c>
      <c r="LY607" t="s">
        <v>1269</v>
      </c>
      <c r="LZ607">
        <v>225</v>
      </c>
      <c r="MA607" s="4" t="s">
        <v>480</v>
      </c>
      <c r="MI607" s="50">
        <v>43362</v>
      </c>
      <c r="MJ607" s="50">
        <v>43362</v>
      </c>
      <c r="MY607" t="s">
        <v>1270</v>
      </c>
      <c r="MZ607" t="s">
        <v>866</v>
      </c>
      <c r="NA607" t="s">
        <v>1298</v>
      </c>
      <c r="NB607" t="s">
        <v>548</v>
      </c>
      <c r="NC607" t="s">
        <v>538</v>
      </c>
      <c r="NI607" t="s">
        <v>1272</v>
      </c>
      <c r="NJ607" t="s">
        <v>1273</v>
      </c>
      <c r="NK607" t="s">
        <v>1274</v>
      </c>
      <c r="NL607" s="4" t="s">
        <v>515</v>
      </c>
      <c r="NM607" s="6" t="s">
        <v>1275</v>
      </c>
      <c r="NV607" t="s">
        <v>518</v>
      </c>
      <c r="NW607">
        <f ca="1">+Table1[[#This Row],[out_value]]*1000</f>
        <v>58090</v>
      </c>
      <c r="NX607" t="s">
        <v>866</v>
      </c>
      <c r="NY607" t="s">
        <v>866</v>
      </c>
      <c r="OB607" s="3">
        <v>3</v>
      </c>
      <c r="OU607" t="s">
        <v>1276</v>
      </c>
      <c r="OV607" t="s">
        <v>518</v>
      </c>
      <c r="OX607">
        <v>2017</v>
      </c>
      <c r="OY607">
        <v>2018</v>
      </c>
      <c r="PB607" t="s">
        <v>522</v>
      </c>
      <c r="PC607" s="50">
        <v>46129</v>
      </c>
    </row>
    <row r="608" spans="1:419" ht="15.75" thickBot="1">
      <c r="A608" t="s">
        <v>469</v>
      </c>
      <c r="B608" t="s">
        <v>1251</v>
      </c>
      <c r="C608" t="s">
        <v>1252</v>
      </c>
      <c r="D608" s="4" t="s">
        <v>950</v>
      </c>
      <c r="E608" s="81" t="s">
        <v>1253</v>
      </c>
      <c r="F608" t="s">
        <v>1179</v>
      </c>
      <c r="G608" t="s">
        <v>475</v>
      </c>
      <c r="H608" t="s">
        <v>476</v>
      </c>
      <c r="I608">
        <v>30.9</v>
      </c>
      <c r="J608">
        <v>75.75</v>
      </c>
      <c r="K608">
        <v>200</v>
      </c>
      <c r="AV608" t="s">
        <v>1254</v>
      </c>
      <c r="AW608" t="s">
        <v>866</v>
      </c>
      <c r="AX608" t="s">
        <v>866</v>
      </c>
      <c r="AY608">
        <v>2</v>
      </c>
      <c r="AZ608" t="s">
        <v>1255</v>
      </c>
      <c r="BA608">
        <v>2016</v>
      </c>
      <c r="BB608">
        <v>2018</v>
      </c>
      <c r="BD608" t="s">
        <v>1256</v>
      </c>
      <c r="BE608" t="s">
        <v>524</v>
      </c>
      <c r="BF608" t="s">
        <v>484</v>
      </c>
      <c r="BG608" t="s">
        <v>485</v>
      </c>
      <c r="BH608" t="s">
        <v>1257</v>
      </c>
      <c r="BI608" t="s">
        <v>508</v>
      </c>
      <c r="BJ608">
        <v>20</v>
      </c>
      <c r="BK608" t="s">
        <v>555</v>
      </c>
      <c r="BL608" t="s">
        <v>1258</v>
      </c>
      <c r="BM608" t="s">
        <v>480</v>
      </c>
      <c r="BN608" t="s">
        <v>480</v>
      </c>
      <c r="BO608" t="s">
        <v>480</v>
      </c>
      <c r="HT608" s="50">
        <v>42539</v>
      </c>
      <c r="IO608" t="s">
        <v>1256</v>
      </c>
      <c r="IP608" s="46" t="s">
        <v>1259</v>
      </c>
      <c r="IS608">
        <v>2016</v>
      </c>
      <c r="JJ608" t="s">
        <v>1260</v>
      </c>
      <c r="JL608" t="s">
        <v>495</v>
      </c>
      <c r="JP608" t="s">
        <v>508</v>
      </c>
      <c r="JQ608">
        <v>125</v>
      </c>
      <c r="JT608">
        <v>60</v>
      </c>
      <c r="JU608">
        <v>30</v>
      </c>
      <c r="KE608" t="s">
        <v>1261</v>
      </c>
      <c r="KF608" s="75" t="s">
        <v>1001</v>
      </c>
      <c r="KG608" t="s">
        <v>1262</v>
      </c>
      <c r="KH608">
        <v>2</v>
      </c>
      <c r="KI608" t="s">
        <v>1263</v>
      </c>
      <c r="KK608" s="8" t="s">
        <v>1264</v>
      </c>
      <c r="KL608" t="s">
        <v>1265</v>
      </c>
      <c r="KM608">
        <v>3</v>
      </c>
      <c r="KO608" s="8" t="s">
        <v>1266</v>
      </c>
      <c r="KP608" s="64" t="s">
        <v>480</v>
      </c>
      <c r="KQ608" s="64" t="s">
        <v>480</v>
      </c>
      <c r="KS608" t="s">
        <v>1267</v>
      </c>
      <c r="KT608" s="3" t="s">
        <v>480</v>
      </c>
      <c r="KU608" t="s">
        <v>480</v>
      </c>
      <c r="LT608" t="s">
        <v>1268</v>
      </c>
      <c r="LY608" t="s">
        <v>1269</v>
      </c>
      <c r="LZ608">
        <v>206.25</v>
      </c>
      <c r="MA608" s="4" t="s">
        <v>480</v>
      </c>
      <c r="MI608" s="50">
        <v>42997</v>
      </c>
      <c r="MJ608" s="50">
        <v>42997</v>
      </c>
      <c r="MY608" t="s">
        <v>1270</v>
      </c>
      <c r="MZ608" t="s">
        <v>866</v>
      </c>
      <c r="NA608" t="s">
        <v>1271</v>
      </c>
      <c r="NB608" t="s">
        <v>548</v>
      </c>
      <c r="NI608" t="s">
        <v>1272</v>
      </c>
      <c r="NJ608" t="s">
        <v>1300</v>
      </c>
      <c r="NK608" t="s">
        <v>1301</v>
      </c>
      <c r="NL608" s="4" t="s">
        <v>1302</v>
      </c>
      <c r="NM608" s="6"/>
      <c r="NU608" t="s">
        <v>1025</v>
      </c>
      <c r="NV608" t="s">
        <v>518</v>
      </c>
      <c r="NW608">
        <v>1.06</v>
      </c>
      <c r="NX608" t="s">
        <v>866</v>
      </c>
      <c r="NY608" t="s">
        <v>866</v>
      </c>
      <c r="OB608" s="15">
        <v>3</v>
      </c>
      <c r="OU608" t="s">
        <v>1276</v>
      </c>
      <c r="OV608" t="s">
        <v>518</v>
      </c>
      <c r="OX608">
        <v>2016</v>
      </c>
      <c r="OY608">
        <v>2017</v>
      </c>
      <c r="PB608" t="s">
        <v>522</v>
      </c>
      <c r="PC608" s="50">
        <v>46129</v>
      </c>
    </row>
    <row r="609" spans="1:419" ht="15.75" thickBot="1">
      <c r="A609" t="s">
        <v>469</v>
      </c>
      <c r="B609" t="s">
        <v>1251</v>
      </c>
      <c r="C609" t="s">
        <v>1252</v>
      </c>
      <c r="D609" s="4" t="s">
        <v>950</v>
      </c>
      <c r="E609" s="81" t="s">
        <v>1253</v>
      </c>
      <c r="F609" t="s">
        <v>1179</v>
      </c>
      <c r="G609" t="s">
        <v>475</v>
      </c>
      <c r="H609" t="s">
        <v>476</v>
      </c>
      <c r="I609">
        <v>30.9</v>
      </c>
      <c r="J609">
        <v>75.75</v>
      </c>
      <c r="K609">
        <v>200</v>
      </c>
      <c r="AV609" t="s">
        <v>1254</v>
      </c>
      <c r="AW609" t="s">
        <v>866</v>
      </c>
      <c r="AX609" t="s">
        <v>866</v>
      </c>
      <c r="AY609">
        <v>2</v>
      </c>
      <c r="AZ609" t="s">
        <v>1255</v>
      </c>
      <c r="BA609">
        <v>2016</v>
      </c>
      <c r="BB609">
        <v>2018</v>
      </c>
      <c r="BD609" t="s">
        <v>1277</v>
      </c>
      <c r="BE609" t="s">
        <v>536</v>
      </c>
      <c r="BF609" t="s">
        <v>484</v>
      </c>
      <c r="BG609" t="s">
        <v>485</v>
      </c>
      <c r="BH609" t="s">
        <v>1257</v>
      </c>
      <c r="BI609" t="s">
        <v>508</v>
      </c>
      <c r="BJ609">
        <v>20</v>
      </c>
      <c r="BK609" t="s">
        <v>555</v>
      </c>
      <c r="BL609" t="s">
        <v>1278</v>
      </c>
      <c r="BM609" t="s">
        <v>480</v>
      </c>
      <c r="BN609" t="s">
        <v>480</v>
      </c>
      <c r="BO609" t="s">
        <v>480</v>
      </c>
      <c r="BP609" t="s">
        <v>555</v>
      </c>
      <c r="BQ609" t="s">
        <v>1279</v>
      </c>
      <c r="BR609" t="s">
        <v>480</v>
      </c>
      <c r="BS609" t="s">
        <v>480</v>
      </c>
      <c r="BT609" t="s">
        <v>480</v>
      </c>
      <c r="BU609" t="s">
        <v>537</v>
      </c>
      <c r="BV609" t="s">
        <v>870</v>
      </c>
      <c r="BW609" t="s">
        <v>480</v>
      </c>
      <c r="BX609" t="s">
        <v>480</v>
      </c>
      <c r="BY609" t="s">
        <v>480</v>
      </c>
      <c r="EI609" s="9"/>
      <c r="EJ609" s="9"/>
      <c r="EK609" s="9"/>
      <c r="EL609" s="9"/>
      <c r="EM609" s="9"/>
      <c r="EN609" s="9"/>
      <c r="EO609" s="9"/>
      <c r="EP609" s="9"/>
      <c r="EQ609" s="9"/>
      <c r="ER609" s="9"/>
      <c r="ES609" s="9"/>
      <c r="ET609" s="9"/>
      <c r="EU609" s="9"/>
      <c r="EV609" s="9"/>
      <c r="EW609" s="9"/>
      <c r="EX609" s="9"/>
      <c r="EY609" s="9"/>
      <c r="EZ609" s="9"/>
      <c r="FA609" s="9"/>
      <c r="FB609" s="9"/>
      <c r="FC609" s="9"/>
      <c r="FD609" s="9"/>
      <c r="FE609" s="9"/>
      <c r="FF609" s="9"/>
      <c r="FG609" s="9"/>
      <c r="FH609" s="9"/>
      <c r="FI609" s="9"/>
      <c r="FJ609" s="9"/>
      <c r="FK609" s="9"/>
      <c r="FL609" s="9"/>
      <c r="FM609" s="9"/>
      <c r="FN609" s="9"/>
      <c r="FO609" s="9"/>
      <c r="FP609" s="9"/>
      <c r="FQ609" s="9"/>
      <c r="FR609" s="9"/>
      <c r="FS609" s="9"/>
      <c r="FT609" s="9"/>
      <c r="FU609" s="9"/>
      <c r="FV609" s="9"/>
      <c r="FW609" s="9"/>
      <c r="FX609" s="9"/>
      <c r="FY609" s="9"/>
      <c r="FZ609" s="9"/>
      <c r="GA609" s="9"/>
      <c r="GB609" s="9"/>
      <c r="GC609" s="9"/>
      <c r="GD609" s="9"/>
      <c r="GE609" s="9"/>
      <c r="GF609" s="9"/>
      <c r="GG609" s="9"/>
      <c r="GH609" s="9"/>
      <c r="GI609" s="9"/>
      <c r="GJ609" s="9"/>
      <c r="GK609" s="9"/>
      <c r="GL609" s="9"/>
      <c r="GM609" s="9"/>
      <c r="GN609" s="9"/>
      <c r="GO609" s="9"/>
      <c r="GP609" s="9"/>
      <c r="GQ609" s="9"/>
      <c r="GR609" s="9"/>
      <c r="GS609" s="9"/>
      <c r="GT609" s="9"/>
      <c r="GU609" s="9"/>
      <c r="GV609" s="9"/>
      <c r="GW609" s="9"/>
      <c r="GX609" s="9"/>
      <c r="GY609" s="9"/>
      <c r="GZ609" s="9"/>
      <c r="HA609" s="9"/>
      <c r="HB609" s="9"/>
      <c r="HC609" s="9"/>
      <c r="HD609" s="9"/>
      <c r="HE609" s="9"/>
      <c r="HF609" s="9"/>
      <c r="HG609" s="9"/>
      <c r="HH609" s="9"/>
      <c r="HI609" s="9"/>
      <c r="HJ609" s="9"/>
      <c r="HK609" s="9"/>
      <c r="HL609" s="9"/>
      <c r="HT609" s="50">
        <v>42539</v>
      </c>
      <c r="IO609" t="s">
        <v>1303</v>
      </c>
      <c r="IP609" s="46" t="s">
        <v>1280</v>
      </c>
      <c r="IS609">
        <v>2016</v>
      </c>
      <c r="JJ609" t="s">
        <v>1260</v>
      </c>
      <c r="JL609" t="s">
        <v>495</v>
      </c>
      <c r="JP609" t="s">
        <v>508</v>
      </c>
      <c r="JQ609">
        <v>125</v>
      </c>
      <c r="JT609">
        <v>60</v>
      </c>
      <c r="JU609">
        <v>30</v>
      </c>
      <c r="KE609" t="s">
        <v>1261</v>
      </c>
      <c r="KF609" s="75" t="s">
        <v>1001</v>
      </c>
      <c r="KG609" t="s">
        <v>1262</v>
      </c>
      <c r="KH609">
        <v>2</v>
      </c>
      <c r="KI609" t="s">
        <v>1263</v>
      </c>
      <c r="KK609" s="8" t="s">
        <v>1264</v>
      </c>
      <c r="KL609" t="s">
        <v>1265</v>
      </c>
      <c r="KM609">
        <v>3</v>
      </c>
      <c r="KO609" s="8" t="s">
        <v>1266</v>
      </c>
      <c r="KP609" s="64" t="s">
        <v>480</v>
      </c>
      <c r="KQ609" s="64" t="s">
        <v>480</v>
      </c>
      <c r="KS609" t="s">
        <v>1267</v>
      </c>
      <c r="KT609" s="3" t="s">
        <v>480</v>
      </c>
      <c r="KU609" t="s">
        <v>480</v>
      </c>
      <c r="LT609" t="s">
        <v>1268</v>
      </c>
      <c r="LY609" t="s">
        <v>1269</v>
      </c>
      <c r="LZ609">
        <v>206.25</v>
      </c>
      <c r="MA609" s="4" t="s">
        <v>480</v>
      </c>
      <c r="MI609" s="50">
        <v>42997</v>
      </c>
      <c r="MJ609" s="50">
        <v>42997</v>
      </c>
      <c r="MY609" t="s">
        <v>1270</v>
      </c>
      <c r="MZ609" t="s">
        <v>866</v>
      </c>
      <c r="NA609" t="s">
        <v>1281</v>
      </c>
      <c r="NB609" t="s">
        <v>548</v>
      </c>
      <c r="NI609" t="s">
        <v>1272</v>
      </c>
      <c r="NJ609" t="s">
        <v>1300</v>
      </c>
      <c r="NK609" t="s">
        <v>1301</v>
      </c>
      <c r="NL609" s="4" t="s">
        <v>1302</v>
      </c>
      <c r="NM609" s="6"/>
      <c r="NV609" t="s">
        <v>518</v>
      </c>
      <c r="NW609">
        <v>1.06</v>
      </c>
      <c r="NX609" t="s">
        <v>866</v>
      </c>
      <c r="NY609" t="s">
        <v>866</v>
      </c>
      <c r="OB609" s="15">
        <v>3</v>
      </c>
      <c r="OU609" t="s">
        <v>1276</v>
      </c>
      <c r="OV609" t="s">
        <v>518</v>
      </c>
      <c r="OX609">
        <v>2016</v>
      </c>
      <c r="OY609">
        <v>2017</v>
      </c>
      <c r="PB609" t="s">
        <v>522</v>
      </c>
      <c r="PC609" s="50">
        <v>46129</v>
      </c>
    </row>
    <row r="610" spans="1:419" ht="15.75" thickBot="1">
      <c r="A610" t="s">
        <v>469</v>
      </c>
      <c r="B610" t="s">
        <v>1251</v>
      </c>
      <c r="C610" t="s">
        <v>1252</v>
      </c>
      <c r="D610" s="4" t="s">
        <v>950</v>
      </c>
      <c r="E610" s="81" t="s">
        <v>1253</v>
      </c>
      <c r="F610" t="s">
        <v>1179</v>
      </c>
      <c r="G610" t="s">
        <v>475</v>
      </c>
      <c r="H610" t="s">
        <v>476</v>
      </c>
      <c r="I610">
        <v>30.9</v>
      </c>
      <c r="J610">
        <v>75.75</v>
      </c>
      <c r="K610">
        <v>200</v>
      </c>
      <c r="AV610" t="s">
        <v>1254</v>
      </c>
      <c r="AW610" t="s">
        <v>866</v>
      </c>
      <c r="AX610" t="s">
        <v>866</v>
      </c>
      <c r="AY610">
        <v>2</v>
      </c>
      <c r="AZ610" t="s">
        <v>1255</v>
      </c>
      <c r="BA610">
        <v>2016</v>
      </c>
      <c r="BB610">
        <v>2018</v>
      </c>
      <c r="BD610" t="s">
        <v>1282</v>
      </c>
      <c r="BE610" t="s">
        <v>566</v>
      </c>
      <c r="BF610" t="s">
        <v>484</v>
      </c>
      <c r="BG610" t="s">
        <v>485</v>
      </c>
      <c r="BH610" t="s">
        <v>1257</v>
      </c>
      <c r="BI610" t="s">
        <v>508</v>
      </c>
      <c r="BJ610">
        <v>20</v>
      </c>
      <c r="BK610" t="s">
        <v>537</v>
      </c>
      <c r="BL610" t="s">
        <v>538</v>
      </c>
      <c r="BM610" t="s">
        <v>480</v>
      </c>
      <c r="BN610" t="s">
        <v>480</v>
      </c>
      <c r="BO610" t="s">
        <v>480</v>
      </c>
      <c r="BP610" t="s">
        <v>555</v>
      </c>
      <c r="BQ610" t="s">
        <v>1278</v>
      </c>
      <c r="BR610" t="s">
        <v>480</v>
      </c>
      <c r="BS610" t="s">
        <v>480</v>
      </c>
      <c r="BT610" t="s">
        <v>480</v>
      </c>
      <c r="BU610" t="s">
        <v>555</v>
      </c>
      <c r="BV610" t="s">
        <v>1279</v>
      </c>
      <c r="BW610" t="s">
        <v>480</v>
      </c>
      <c r="BX610" t="s">
        <v>480</v>
      </c>
      <c r="BY610" t="s">
        <v>480</v>
      </c>
      <c r="BZ610" t="s">
        <v>537</v>
      </c>
      <c r="CA610" t="s">
        <v>870</v>
      </c>
      <c r="CB610" t="s">
        <v>480</v>
      </c>
      <c r="CC610" t="s">
        <v>480</v>
      </c>
      <c r="CD610" t="s">
        <v>480</v>
      </c>
      <c r="EI610" s="9"/>
      <c r="EJ610" s="9"/>
      <c r="EK610" s="9"/>
      <c r="EL610" s="9"/>
      <c r="EM610" s="9"/>
      <c r="EN610" s="9"/>
      <c r="EO610" s="9"/>
      <c r="EP610" s="9"/>
      <c r="EQ610" s="9"/>
      <c r="ER610" s="9"/>
      <c r="ES610" s="9"/>
      <c r="ET610" s="9"/>
      <c r="EU610" s="9"/>
      <c r="EV610" s="9"/>
      <c r="EW610" s="9"/>
      <c r="EX610" s="9"/>
      <c r="EY610" s="9"/>
      <c r="EZ610" s="9"/>
      <c r="FA610" s="9"/>
      <c r="FB610" s="9"/>
      <c r="FC610" s="9"/>
      <c r="FD610" s="9"/>
      <c r="FE610" s="9"/>
      <c r="FF610" s="9"/>
      <c r="FG610" s="9"/>
      <c r="FH610" s="9"/>
      <c r="FI610" s="9"/>
      <c r="FJ610" s="9"/>
      <c r="FK610" s="9"/>
      <c r="FL610" s="9"/>
      <c r="FM610" s="9"/>
      <c r="FN610" s="9"/>
      <c r="FO610" s="9"/>
      <c r="FP610" s="9"/>
      <c r="FQ610" s="9"/>
      <c r="FR610" s="9"/>
      <c r="FS610" s="9"/>
      <c r="FT610" s="9"/>
      <c r="FU610" s="9"/>
      <c r="FV610" s="9"/>
      <c r="FW610" s="9"/>
      <c r="FX610" s="9"/>
      <c r="FY610" s="9"/>
      <c r="FZ610" s="9"/>
      <c r="GA610" s="9"/>
      <c r="GB610" s="9"/>
      <c r="GC610" s="9"/>
      <c r="GD610" s="9"/>
      <c r="GE610" s="9"/>
      <c r="GF610" s="9"/>
      <c r="GG610" s="9"/>
      <c r="GH610" s="9"/>
      <c r="GI610" s="9"/>
      <c r="GJ610" s="9"/>
      <c r="GK610" s="9"/>
      <c r="GL610" s="9"/>
      <c r="GM610" s="9"/>
      <c r="GN610" s="9"/>
      <c r="GO610" s="9"/>
      <c r="GP610" s="9"/>
      <c r="GQ610" s="9"/>
      <c r="GR610" s="9"/>
      <c r="GS610" s="9"/>
      <c r="GT610" s="9"/>
      <c r="GU610" s="9"/>
      <c r="GV610" s="9"/>
      <c r="GW610" s="9"/>
      <c r="GX610" s="9"/>
      <c r="GY610" s="9"/>
      <c r="GZ610" s="9"/>
      <c r="HA610" s="9"/>
      <c r="HB610" s="9"/>
      <c r="HC610" s="9"/>
      <c r="HD610" s="9"/>
      <c r="HE610" s="9"/>
      <c r="HF610" s="9"/>
      <c r="HG610" s="9"/>
      <c r="HH610" s="9"/>
      <c r="HI610" s="9"/>
      <c r="HJ610" s="9"/>
      <c r="HK610" s="9"/>
      <c r="HL610" s="9"/>
      <c r="HT610" s="50">
        <v>42539</v>
      </c>
      <c r="IO610" t="s">
        <v>1304</v>
      </c>
      <c r="IP610" s="46" t="s">
        <v>1280</v>
      </c>
      <c r="IS610">
        <v>2016</v>
      </c>
      <c r="JJ610" t="s">
        <v>1260</v>
      </c>
      <c r="JL610" t="s">
        <v>495</v>
      </c>
      <c r="JP610" t="s">
        <v>508</v>
      </c>
      <c r="JQ610">
        <v>125</v>
      </c>
      <c r="JT610">
        <v>60</v>
      </c>
      <c r="JU610">
        <v>30</v>
      </c>
      <c r="KE610" t="s">
        <v>1261</v>
      </c>
      <c r="KF610" s="75" t="s">
        <v>1001</v>
      </c>
      <c r="KG610" t="s">
        <v>1262</v>
      </c>
      <c r="KH610">
        <v>2</v>
      </c>
      <c r="KI610" t="s">
        <v>1263</v>
      </c>
      <c r="KK610" s="8" t="s">
        <v>1264</v>
      </c>
      <c r="KL610" t="s">
        <v>1265</v>
      </c>
      <c r="KM610">
        <v>3</v>
      </c>
      <c r="KO610" s="8" t="s">
        <v>1266</v>
      </c>
      <c r="KP610" s="64" t="s">
        <v>480</v>
      </c>
      <c r="KQ610" s="64" t="s">
        <v>480</v>
      </c>
      <c r="KS610" t="s">
        <v>1267</v>
      </c>
      <c r="KT610" s="3" t="s">
        <v>480</v>
      </c>
      <c r="KU610" t="s">
        <v>480</v>
      </c>
      <c r="LT610" t="s">
        <v>1268</v>
      </c>
      <c r="LY610" t="s">
        <v>1269</v>
      </c>
      <c r="LZ610">
        <v>206.25</v>
      </c>
      <c r="MA610" s="4" t="s">
        <v>480</v>
      </c>
      <c r="MI610" s="50">
        <v>42997</v>
      </c>
      <c r="MJ610" s="50">
        <v>42997</v>
      </c>
      <c r="MY610" t="s">
        <v>1270</v>
      </c>
      <c r="MZ610" t="s">
        <v>866</v>
      </c>
      <c r="NA610" t="s">
        <v>1284</v>
      </c>
      <c r="NB610" t="s">
        <v>548</v>
      </c>
      <c r="NC610" t="s">
        <v>538</v>
      </c>
      <c r="NI610" t="s">
        <v>1272</v>
      </c>
      <c r="NJ610" t="s">
        <v>1300</v>
      </c>
      <c r="NK610" t="s">
        <v>1301</v>
      </c>
      <c r="NL610" s="4" t="s">
        <v>1302</v>
      </c>
      <c r="NM610" s="6"/>
      <c r="NV610" t="s">
        <v>518</v>
      </c>
      <c r="NW610">
        <v>1.29</v>
      </c>
      <c r="NX610" t="s">
        <v>866</v>
      </c>
      <c r="NY610" t="s">
        <v>866</v>
      </c>
      <c r="OB610" s="15">
        <v>3</v>
      </c>
      <c r="OU610" t="s">
        <v>1276</v>
      </c>
      <c r="OV610" t="s">
        <v>518</v>
      </c>
      <c r="OX610">
        <v>2016</v>
      </c>
      <c r="OY610">
        <v>2017</v>
      </c>
      <c r="PB610" t="s">
        <v>522</v>
      </c>
      <c r="PC610" s="50">
        <v>46129</v>
      </c>
    </row>
    <row r="611" spans="1:419" ht="15.75" thickBot="1">
      <c r="A611" t="s">
        <v>469</v>
      </c>
      <c r="B611" t="s">
        <v>1251</v>
      </c>
      <c r="C611" t="s">
        <v>1252</v>
      </c>
      <c r="D611" s="4" t="s">
        <v>950</v>
      </c>
      <c r="E611" s="81" t="s">
        <v>1253</v>
      </c>
      <c r="F611" t="s">
        <v>1179</v>
      </c>
      <c r="G611" t="s">
        <v>475</v>
      </c>
      <c r="H611" t="s">
        <v>476</v>
      </c>
      <c r="I611">
        <v>30.9</v>
      </c>
      <c r="J611">
        <v>75.75</v>
      </c>
      <c r="K611">
        <v>200</v>
      </c>
      <c r="AV611" t="s">
        <v>1254</v>
      </c>
      <c r="AW611" t="s">
        <v>866</v>
      </c>
      <c r="AX611" t="s">
        <v>866</v>
      </c>
      <c r="AY611">
        <v>2</v>
      </c>
      <c r="AZ611" t="s">
        <v>1255</v>
      </c>
      <c r="BA611">
        <v>2016</v>
      </c>
      <c r="BB611">
        <v>2018</v>
      </c>
      <c r="BD611" t="s">
        <v>1285</v>
      </c>
      <c r="BE611" t="s">
        <v>572</v>
      </c>
      <c r="BF611" t="s">
        <v>484</v>
      </c>
      <c r="BG611" t="s">
        <v>485</v>
      </c>
      <c r="BH611" t="s">
        <v>1257</v>
      </c>
      <c r="BI611" t="s">
        <v>508</v>
      </c>
      <c r="BJ611">
        <v>20</v>
      </c>
      <c r="BK611" t="s">
        <v>537</v>
      </c>
      <c r="BL611" t="s">
        <v>538</v>
      </c>
      <c r="BM611" t="s">
        <v>480</v>
      </c>
      <c r="BN611" t="s">
        <v>480</v>
      </c>
      <c r="BO611" t="s">
        <v>480</v>
      </c>
      <c r="BP611" t="s">
        <v>555</v>
      </c>
      <c r="BQ611" t="s">
        <v>1278</v>
      </c>
      <c r="BR611" t="s">
        <v>480</v>
      </c>
      <c r="BS611" t="s">
        <v>480</v>
      </c>
      <c r="BT611" t="s">
        <v>480</v>
      </c>
      <c r="EI611" s="9"/>
      <c r="EJ611" s="9"/>
      <c r="EK611" s="9"/>
      <c r="EL611" s="9"/>
      <c r="EM611" s="9"/>
      <c r="EN611" s="9"/>
      <c r="EO611" s="9"/>
      <c r="EP611" s="9"/>
      <c r="EQ611" s="9"/>
      <c r="ER611" s="9"/>
      <c r="ES611" s="9"/>
      <c r="ET611" s="9"/>
      <c r="EU611" s="9"/>
      <c r="EV611" s="9"/>
      <c r="EW611" s="9"/>
      <c r="EX611" s="9"/>
      <c r="EY611" s="9"/>
      <c r="EZ611" s="9"/>
      <c r="FA611" s="9"/>
      <c r="FB611" s="9"/>
      <c r="FC611" s="9"/>
      <c r="FD611" s="9"/>
      <c r="FE611" s="9"/>
      <c r="FF611" s="9"/>
      <c r="FG611" s="9"/>
      <c r="FH611" s="9"/>
      <c r="FI611" s="9"/>
      <c r="FJ611" s="9"/>
      <c r="FK611" s="9"/>
      <c r="FL611" s="9"/>
      <c r="FM611" s="9"/>
      <c r="FN611" s="9"/>
      <c r="FO611" s="9"/>
      <c r="FP611" s="9"/>
      <c r="FQ611" s="9"/>
      <c r="FR611" s="9"/>
      <c r="FS611" s="9"/>
      <c r="FT611" s="9"/>
      <c r="FU611" s="9"/>
      <c r="FV611" s="9"/>
      <c r="FW611" s="9"/>
      <c r="FX611" s="9"/>
      <c r="FY611" s="9"/>
      <c r="FZ611" s="9"/>
      <c r="GA611" s="9"/>
      <c r="GB611" s="9"/>
      <c r="GC611" s="9"/>
      <c r="GD611" s="9"/>
      <c r="GE611" s="9"/>
      <c r="GF611" s="9"/>
      <c r="GG611" s="9"/>
      <c r="GH611" s="9"/>
      <c r="GI611" s="9"/>
      <c r="GJ611" s="9"/>
      <c r="GK611" s="9"/>
      <c r="GL611" s="9"/>
      <c r="GM611" s="9"/>
      <c r="GN611" s="9"/>
      <c r="GO611" s="9"/>
      <c r="GP611" s="9"/>
      <c r="GQ611" s="9"/>
      <c r="GR611" s="9"/>
      <c r="GS611" s="9"/>
      <c r="GT611" s="9"/>
      <c r="GU611" s="9"/>
      <c r="GV611" s="9"/>
      <c r="GW611" s="9"/>
      <c r="GX611" s="9"/>
      <c r="GY611" s="9"/>
      <c r="GZ611" s="9"/>
      <c r="HA611" s="9"/>
      <c r="HB611" s="9"/>
      <c r="HC611" s="9"/>
      <c r="HD611" s="9"/>
      <c r="HE611" s="9"/>
      <c r="HF611" s="9"/>
      <c r="HG611" s="9"/>
      <c r="HH611" s="9"/>
      <c r="HI611" s="9"/>
      <c r="HJ611" s="9"/>
      <c r="HK611" s="9"/>
      <c r="HL611" s="9"/>
      <c r="HT611" s="50">
        <v>42539</v>
      </c>
      <c r="IO611" t="s">
        <v>1286</v>
      </c>
      <c r="IP611" s="46" t="s">
        <v>1280</v>
      </c>
      <c r="IS611">
        <v>2016</v>
      </c>
      <c r="JJ611" t="s">
        <v>1260</v>
      </c>
      <c r="JL611" t="s">
        <v>495</v>
      </c>
      <c r="JP611" t="s">
        <v>508</v>
      </c>
      <c r="JQ611">
        <v>125</v>
      </c>
      <c r="JT611">
        <v>60</v>
      </c>
      <c r="JU611">
        <v>30</v>
      </c>
      <c r="KE611" t="s">
        <v>1261</v>
      </c>
      <c r="KF611" s="75" t="s">
        <v>1001</v>
      </c>
      <c r="KG611" t="s">
        <v>1262</v>
      </c>
      <c r="KH611">
        <v>2</v>
      </c>
      <c r="KI611" t="s">
        <v>1263</v>
      </c>
      <c r="KK611" s="8" t="s">
        <v>1264</v>
      </c>
      <c r="KL611" t="s">
        <v>1265</v>
      </c>
      <c r="KM611">
        <v>3</v>
      </c>
      <c r="KO611" s="8" t="s">
        <v>1266</v>
      </c>
      <c r="KP611" s="64" t="s">
        <v>480</v>
      </c>
      <c r="KQ611" s="64" t="s">
        <v>480</v>
      </c>
      <c r="KS611" t="s">
        <v>1267</v>
      </c>
      <c r="KT611" s="3" t="s">
        <v>480</v>
      </c>
      <c r="KU611" t="s">
        <v>480</v>
      </c>
      <c r="LT611" t="s">
        <v>1268</v>
      </c>
      <c r="LY611" t="s">
        <v>1269</v>
      </c>
      <c r="LZ611">
        <v>206.25</v>
      </c>
      <c r="MA611" s="4" t="s">
        <v>480</v>
      </c>
      <c r="MI611" s="50">
        <v>42997</v>
      </c>
      <c r="MJ611" s="50">
        <v>42997</v>
      </c>
      <c r="MY611" t="s">
        <v>1270</v>
      </c>
      <c r="MZ611" t="s">
        <v>866</v>
      </c>
      <c r="NA611" t="s">
        <v>1287</v>
      </c>
      <c r="NB611" t="s">
        <v>548</v>
      </c>
      <c r="NC611" t="s">
        <v>538</v>
      </c>
      <c r="NI611" t="s">
        <v>1272</v>
      </c>
      <c r="NJ611" t="s">
        <v>1300</v>
      </c>
      <c r="NK611" t="s">
        <v>1301</v>
      </c>
      <c r="NL611" s="4" t="s">
        <v>1302</v>
      </c>
      <c r="NM611" s="6"/>
      <c r="NV611" t="s">
        <v>518</v>
      </c>
      <c r="NW611">
        <v>1.31</v>
      </c>
      <c r="NX611" t="s">
        <v>866</v>
      </c>
      <c r="NY611" t="s">
        <v>866</v>
      </c>
      <c r="OB611" s="15">
        <v>3</v>
      </c>
      <c r="OU611" t="s">
        <v>1276</v>
      </c>
      <c r="OV611" t="s">
        <v>518</v>
      </c>
      <c r="OX611">
        <v>2016</v>
      </c>
      <c r="OY611">
        <v>2017</v>
      </c>
      <c r="PB611" t="s">
        <v>522</v>
      </c>
      <c r="PC611" s="50">
        <v>46129</v>
      </c>
    </row>
    <row r="612" spans="1:419" ht="15.75" thickBot="1">
      <c r="A612" t="s">
        <v>469</v>
      </c>
      <c r="B612" t="s">
        <v>1251</v>
      </c>
      <c r="C612" t="s">
        <v>1252</v>
      </c>
      <c r="D612" s="4" t="s">
        <v>950</v>
      </c>
      <c r="E612" s="81" t="s">
        <v>1253</v>
      </c>
      <c r="F612" t="s">
        <v>1179</v>
      </c>
      <c r="G612" t="s">
        <v>475</v>
      </c>
      <c r="H612" t="s">
        <v>476</v>
      </c>
      <c r="I612">
        <v>30.9</v>
      </c>
      <c r="J612">
        <v>75.75</v>
      </c>
      <c r="K612">
        <v>200</v>
      </c>
      <c r="AV612" t="s">
        <v>1254</v>
      </c>
      <c r="AW612" t="s">
        <v>866</v>
      </c>
      <c r="AX612" t="s">
        <v>866</v>
      </c>
      <c r="AY612">
        <v>2</v>
      </c>
      <c r="AZ612" t="s">
        <v>1255</v>
      </c>
      <c r="BA612">
        <v>2016</v>
      </c>
      <c r="BB612">
        <v>2018</v>
      </c>
      <c r="BD612" t="s">
        <v>1288</v>
      </c>
      <c r="BE612" t="s">
        <v>553</v>
      </c>
      <c r="BF612" t="s">
        <v>484</v>
      </c>
      <c r="BG612" t="s">
        <v>485</v>
      </c>
      <c r="BH612" t="s">
        <v>1257</v>
      </c>
      <c r="BI612" t="s">
        <v>508</v>
      </c>
      <c r="BJ612">
        <v>20</v>
      </c>
      <c r="BK612" t="s">
        <v>537</v>
      </c>
      <c r="BL612" t="s">
        <v>538</v>
      </c>
      <c r="BM612" t="s">
        <v>480</v>
      </c>
      <c r="BN612" t="s">
        <v>480</v>
      </c>
      <c r="BO612" t="s">
        <v>480</v>
      </c>
      <c r="BP612" t="s">
        <v>555</v>
      </c>
      <c r="BQ612" t="s">
        <v>1289</v>
      </c>
      <c r="BR612" t="s">
        <v>480</v>
      </c>
      <c r="BS612" t="s">
        <v>480</v>
      </c>
      <c r="BT612" t="s">
        <v>480</v>
      </c>
      <c r="BU612" t="s">
        <v>555</v>
      </c>
      <c r="BV612" t="s">
        <v>1290</v>
      </c>
      <c r="BW612" t="s">
        <v>480</v>
      </c>
      <c r="BX612" t="s">
        <v>480</v>
      </c>
      <c r="BY612" t="s">
        <v>480</v>
      </c>
      <c r="EI612" s="9"/>
      <c r="EJ612" s="9"/>
      <c r="EK612" s="9"/>
      <c r="EL612" s="9"/>
      <c r="EM612" s="9"/>
      <c r="EN612" s="9"/>
      <c r="EO612" s="9"/>
      <c r="EP612" s="9"/>
      <c r="EQ612" s="9"/>
      <c r="ER612" s="9"/>
      <c r="ES612" s="9"/>
      <c r="ET612" s="9"/>
      <c r="EU612" s="9"/>
      <c r="EV612" s="9"/>
      <c r="EW612" s="9"/>
      <c r="EX612" s="9"/>
      <c r="EY612" s="9"/>
      <c r="EZ612" s="9"/>
      <c r="FA612" s="9"/>
      <c r="FB612" s="9"/>
      <c r="FC612" s="9"/>
      <c r="FD612" s="9"/>
      <c r="FE612" s="9"/>
      <c r="FF612" s="9"/>
      <c r="FG612" s="9"/>
      <c r="FH612" s="9"/>
      <c r="FI612" s="9"/>
      <c r="FJ612" s="9"/>
      <c r="FK612" s="9"/>
      <c r="FL612" s="9"/>
      <c r="FM612" s="9"/>
      <c r="FN612" s="9"/>
      <c r="FO612" s="9"/>
      <c r="FP612" s="9"/>
      <c r="FQ612" s="9"/>
      <c r="FR612" s="9"/>
      <c r="FS612" s="9"/>
      <c r="FT612" s="9"/>
      <c r="FU612" s="9"/>
      <c r="FV612" s="9"/>
      <c r="FW612" s="9"/>
      <c r="FX612" s="9"/>
      <c r="FY612" s="9"/>
      <c r="FZ612" s="9"/>
      <c r="GA612" s="9"/>
      <c r="GB612" s="9"/>
      <c r="GC612" s="9"/>
      <c r="GD612" s="9"/>
      <c r="GE612" s="9"/>
      <c r="GF612" s="9"/>
      <c r="GG612" s="9"/>
      <c r="GH612" s="9"/>
      <c r="GI612" s="9"/>
      <c r="GJ612" s="9"/>
      <c r="GK612" s="9"/>
      <c r="GL612" s="9"/>
      <c r="GM612" s="9"/>
      <c r="GN612" s="9"/>
      <c r="GO612" s="9"/>
      <c r="GP612" s="9"/>
      <c r="GQ612" s="9"/>
      <c r="GR612" s="9"/>
      <c r="GS612" s="9"/>
      <c r="GT612" s="9"/>
      <c r="GU612" s="9"/>
      <c r="GV612" s="9"/>
      <c r="GW612" s="9"/>
      <c r="GX612" s="9"/>
      <c r="GY612" s="9"/>
      <c r="GZ612" s="9"/>
      <c r="HA612" s="9"/>
      <c r="HB612" s="9"/>
      <c r="HC612" s="9"/>
      <c r="HD612" s="9"/>
      <c r="HE612" s="9"/>
      <c r="HF612" s="9"/>
      <c r="HG612" s="9"/>
      <c r="HH612" s="9"/>
      <c r="HI612" s="9"/>
      <c r="HJ612" s="9"/>
      <c r="HK612" s="9"/>
      <c r="HL612" s="9"/>
      <c r="HT612" s="50">
        <v>42539</v>
      </c>
      <c r="IO612" t="s">
        <v>1299</v>
      </c>
      <c r="IP612" s="46" t="s">
        <v>1280</v>
      </c>
      <c r="IS612">
        <v>2016</v>
      </c>
      <c r="JJ612" t="s">
        <v>1260</v>
      </c>
      <c r="JL612" t="s">
        <v>495</v>
      </c>
      <c r="JP612" t="s">
        <v>508</v>
      </c>
      <c r="JQ612">
        <v>125</v>
      </c>
      <c r="JT612">
        <v>60</v>
      </c>
      <c r="JU612">
        <v>30</v>
      </c>
      <c r="KE612" t="s">
        <v>1261</v>
      </c>
      <c r="KF612" s="75" t="s">
        <v>1001</v>
      </c>
      <c r="KG612" t="s">
        <v>1262</v>
      </c>
      <c r="KH612">
        <v>2</v>
      </c>
      <c r="KI612" t="s">
        <v>1263</v>
      </c>
      <c r="KK612" s="8" t="s">
        <v>1264</v>
      </c>
      <c r="KL612" t="s">
        <v>1265</v>
      </c>
      <c r="KM612">
        <v>3</v>
      </c>
      <c r="KO612" s="8" t="s">
        <v>1266</v>
      </c>
      <c r="KP612" s="64" t="s">
        <v>480</v>
      </c>
      <c r="KQ612" s="64" t="s">
        <v>480</v>
      </c>
      <c r="KS612" t="s">
        <v>1267</v>
      </c>
      <c r="KT612" s="3" t="s">
        <v>480</v>
      </c>
      <c r="KU612" t="s">
        <v>480</v>
      </c>
      <c r="LT612" t="s">
        <v>1268</v>
      </c>
      <c r="LY612" t="s">
        <v>1269</v>
      </c>
      <c r="LZ612">
        <v>206.25</v>
      </c>
      <c r="MA612" s="4" t="s">
        <v>480</v>
      </c>
      <c r="MI612" s="50">
        <v>42997</v>
      </c>
      <c r="MJ612" s="50">
        <v>42997</v>
      </c>
      <c r="MY612" t="s">
        <v>1270</v>
      </c>
      <c r="MZ612" t="s">
        <v>866</v>
      </c>
      <c r="NA612" t="s">
        <v>1292</v>
      </c>
      <c r="NB612" t="s">
        <v>548</v>
      </c>
      <c r="NC612" t="s">
        <v>538</v>
      </c>
      <c r="NI612" t="s">
        <v>1272</v>
      </c>
      <c r="NJ612" t="s">
        <v>1300</v>
      </c>
      <c r="NK612" t="s">
        <v>1301</v>
      </c>
      <c r="NL612" s="4" t="s">
        <v>1302</v>
      </c>
      <c r="NM612" s="6"/>
      <c r="NV612" t="s">
        <v>518</v>
      </c>
      <c r="NW612">
        <v>1.3</v>
      </c>
      <c r="NX612" t="s">
        <v>866</v>
      </c>
      <c r="NY612" t="s">
        <v>866</v>
      </c>
      <c r="OB612" s="15">
        <v>3</v>
      </c>
      <c r="OU612" t="s">
        <v>1276</v>
      </c>
      <c r="OV612" t="s">
        <v>518</v>
      </c>
      <c r="OX612">
        <v>2016</v>
      </c>
      <c r="OY612">
        <v>2017</v>
      </c>
      <c r="PB612" t="s">
        <v>522</v>
      </c>
      <c r="PC612" s="50">
        <v>46129</v>
      </c>
    </row>
    <row r="613" spans="1:419" ht="15.75" thickBot="1">
      <c r="A613" t="s">
        <v>469</v>
      </c>
      <c r="B613" t="s">
        <v>1251</v>
      </c>
      <c r="C613" t="s">
        <v>1252</v>
      </c>
      <c r="D613" s="4" t="s">
        <v>950</v>
      </c>
      <c r="E613" s="81" t="s">
        <v>1253</v>
      </c>
      <c r="F613" t="s">
        <v>1179</v>
      </c>
      <c r="G613" t="s">
        <v>475</v>
      </c>
      <c r="H613" t="s">
        <v>476</v>
      </c>
      <c r="I613">
        <v>30.9</v>
      </c>
      <c r="J613">
        <v>75.75</v>
      </c>
      <c r="K613">
        <v>200</v>
      </c>
      <c r="AV613" t="s">
        <v>1254</v>
      </c>
      <c r="AW613" t="s">
        <v>866</v>
      </c>
      <c r="AX613" t="s">
        <v>866</v>
      </c>
      <c r="AY613">
        <v>2</v>
      </c>
      <c r="AZ613" t="s">
        <v>1255</v>
      </c>
      <c r="BA613">
        <v>2016</v>
      </c>
      <c r="BB613">
        <v>2018</v>
      </c>
      <c r="BD613" s="3" t="s">
        <v>1293</v>
      </c>
      <c r="BE613" t="s">
        <v>607</v>
      </c>
      <c r="BF613" t="s">
        <v>484</v>
      </c>
      <c r="BG613" t="s">
        <v>485</v>
      </c>
      <c r="BH613" t="s">
        <v>1257</v>
      </c>
      <c r="BI613" t="s">
        <v>508</v>
      </c>
      <c r="BJ613">
        <v>20</v>
      </c>
      <c r="BK613" t="s">
        <v>555</v>
      </c>
      <c r="BL613" t="s">
        <v>1294</v>
      </c>
      <c r="BM613" t="s">
        <v>480</v>
      </c>
      <c r="BN613" t="s">
        <v>480</v>
      </c>
      <c r="BO613" t="s">
        <v>480</v>
      </c>
      <c r="BP613" t="s">
        <v>555</v>
      </c>
      <c r="BQ613" t="s">
        <v>1289</v>
      </c>
      <c r="BR613" t="s">
        <v>480</v>
      </c>
      <c r="BS613" t="s">
        <v>480</v>
      </c>
      <c r="BT613" t="s">
        <v>480</v>
      </c>
      <c r="BU613" t="s">
        <v>555</v>
      </c>
      <c r="BV613" t="s">
        <v>1290</v>
      </c>
      <c r="BW613" t="s">
        <v>480</v>
      </c>
      <c r="BX613" t="s">
        <v>480</v>
      </c>
      <c r="BY613" t="s">
        <v>480</v>
      </c>
      <c r="EI613" s="9"/>
      <c r="EJ613" s="9"/>
      <c r="EK613" s="9"/>
      <c r="EL613" s="9"/>
      <c r="EM613" s="9"/>
      <c r="EN613" s="9"/>
      <c r="EO613" s="9"/>
      <c r="EP613" s="9"/>
      <c r="EQ613" s="9"/>
      <c r="ER613" s="9"/>
      <c r="ES613" s="9"/>
      <c r="ET613" s="9"/>
      <c r="EU613" s="9"/>
      <c r="EV613" s="9"/>
      <c r="EW613" s="9"/>
      <c r="EX613" s="9"/>
      <c r="EY613" s="9"/>
      <c r="EZ613" s="9"/>
      <c r="FA613" s="9"/>
      <c r="FB613" s="9"/>
      <c r="FC613" s="9"/>
      <c r="FD613" s="9"/>
      <c r="FE613" s="9"/>
      <c r="FF613" s="9"/>
      <c r="FG613" s="9"/>
      <c r="FH613" s="9"/>
      <c r="FI613" s="9"/>
      <c r="FJ613" s="9"/>
      <c r="FK613" s="9"/>
      <c r="FL613" s="9"/>
      <c r="FM613" s="9"/>
      <c r="FN613" s="9"/>
      <c r="FO613" s="9"/>
      <c r="FP613" s="9"/>
      <c r="FQ613" s="9"/>
      <c r="FR613" s="9"/>
      <c r="FS613" s="9"/>
      <c r="FT613" s="9"/>
      <c r="FU613" s="9"/>
      <c r="FV613" s="9"/>
      <c r="FW613" s="9"/>
      <c r="FX613" s="9"/>
      <c r="FY613" s="9"/>
      <c r="FZ613" s="9"/>
      <c r="GA613" s="9"/>
      <c r="GB613" s="9"/>
      <c r="GC613" s="9"/>
      <c r="GD613" s="9"/>
      <c r="GE613" s="9"/>
      <c r="GF613" s="9"/>
      <c r="GG613" s="9"/>
      <c r="GH613" s="9"/>
      <c r="GI613" s="9"/>
      <c r="GJ613" s="9"/>
      <c r="GK613" s="9"/>
      <c r="GL613" s="9"/>
      <c r="GM613" s="9"/>
      <c r="GN613" s="9"/>
      <c r="GO613" s="9"/>
      <c r="GP613" s="9"/>
      <c r="GQ613" s="9"/>
      <c r="GR613" s="9"/>
      <c r="GS613" s="9"/>
      <c r="GT613" s="9"/>
      <c r="GU613" s="9"/>
      <c r="GV613" s="9"/>
      <c r="GW613" s="9"/>
      <c r="GX613" s="9"/>
      <c r="GY613" s="9"/>
      <c r="GZ613" s="9"/>
      <c r="HA613" s="9"/>
      <c r="HB613" s="9"/>
      <c r="HC613" s="9"/>
      <c r="HD613" s="9"/>
      <c r="HE613" s="9"/>
      <c r="HF613" s="9"/>
      <c r="HG613" s="9"/>
      <c r="HH613" s="9"/>
      <c r="HI613" s="9"/>
      <c r="HJ613" s="9"/>
      <c r="HK613" s="9"/>
      <c r="HL613" s="9"/>
      <c r="HT613" s="50">
        <v>42539</v>
      </c>
      <c r="IO613" t="s">
        <v>1293</v>
      </c>
      <c r="IP613" s="46" t="s">
        <v>1280</v>
      </c>
      <c r="IS613">
        <v>2016</v>
      </c>
      <c r="JJ613" t="s">
        <v>1260</v>
      </c>
      <c r="JL613" t="s">
        <v>495</v>
      </c>
      <c r="JP613" t="s">
        <v>508</v>
      </c>
      <c r="JQ613">
        <v>125</v>
      </c>
      <c r="JT613">
        <v>60</v>
      </c>
      <c r="JU613">
        <v>30</v>
      </c>
      <c r="KE613" t="s">
        <v>1261</v>
      </c>
      <c r="KF613" s="75" t="s">
        <v>1001</v>
      </c>
      <c r="KG613" t="s">
        <v>1262</v>
      </c>
      <c r="KH613">
        <v>2</v>
      </c>
      <c r="KI613" t="s">
        <v>1263</v>
      </c>
      <c r="KK613" s="8" t="s">
        <v>1264</v>
      </c>
      <c r="KL613" t="s">
        <v>1265</v>
      </c>
      <c r="KM613">
        <v>3</v>
      </c>
      <c r="KO613" s="8" t="s">
        <v>1266</v>
      </c>
      <c r="KP613" s="64" t="s">
        <v>480</v>
      </c>
      <c r="KQ613" s="64" t="s">
        <v>480</v>
      </c>
      <c r="KS613" t="s">
        <v>1267</v>
      </c>
      <c r="KT613" s="3" t="s">
        <v>480</v>
      </c>
      <c r="KU613" t="s">
        <v>480</v>
      </c>
      <c r="LT613" t="s">
        <v>1268</v>
      </c>
      <c r="LY613" t="s">
        <v>1269</v>
      </c>
      <c r="LZ613">
        <v>206.25</v>
      </c>
      <c r="MA613" s="4" t="s">
        <v>480</v>
      </c>
      <c r="MI613" s="50">
        <v>42997</v>
      </c>
      <c r="MJ613" s="50">
        <v>42997</v>
      </c>
      <c r="MY613" t="s">
        <v>1270</v>
      </c>
      <c r="MZ613" t="s">
        <v>866</v>
      </c>
      <c r="NA613" t="s">
        <v>1295</v>
      </c>
      <c r="NB613" t="s">
        <v>548</v>
      </c>
      <c r="NI613" t="s">
        <v>1272</v>
      </c>
      <c r="NJ613" t="s">
        <v>1300</v>
      </c>
      <c r="NK613" t="s">
        <v>1301</v>
      </c>
      <c r="NL613" s="4" t="s">
        <v>1302</v>
      </c>
      <c r="NM613" s="6"/>
      <c r="NV613" t="s">
        <v>518</v>
      </c>
      <c r="NW613">
        <v>1.05</v>
      </c>
      <c r="NX613" t="s">
        <v>866</v>
      </c>
      <c r="NY613" t="s">
        <v>866</v>
      </c>
      <c r="OB613" s="15">
        <v>3</v>
      </c>
      <c r="OU613" t="s">
        <v>1276</v>
      </c>
      <c r="OV613" t="s">
        <v>518</v>
      </c>
      <c r="OX613">
        <v>2016</v>
      </c>
      <c r="OY613">
        <v>2017</v>
      </c>
      <c r="PB613" t="s">
        <v>522</v>
      </c>
      <c r="PC613" s="50">
        <v>46129</v>
      </c>
    </row>
    <row r="614" spans="1:419" ht="15.75" thickBot="1">
      <c r="A614" t="s">
        <v>469</v>
      </c>
      <c r="B614" t="s">
        <v>1251</v>
      </c>
      <c r="C614" t="s">
        <v>1252</v>
      </c>
      <c r="D614" s="4" t="s">
        <v>950</v>
      </c>
      <c r="E614" s="81" t="s">
        <v>1253</v>
      </c>
      <c r="F614" t="s">
        <v>1179</v>
      </c>
      <c r="G614" t="s">
        <v>475</v>
      </c>
      <c r="H614" t="s">
        <v>476</v>
      </c>
      <c r="I614">
        <v>30.9</v>
      </c>
      <c r="J614">
        <v>75.75</v>
      </c>
      <c r="K614">
        <v>200</v>
      </c>
      <c r="AV614" t="s">
        <v>1254</v>
      </c>
      <c r="AW614" t="s">
        <v>866</v>
      </c>
      <c r="AX614" t="s">
        <v>866</v>
      </c>
      <c r="AY614">
        <v>2</v>
      </c>
      <c r="AZ614" t="s">
        <v>1255</v>
      </c>
      <c r="BA614">
        <v>2016</v>
      </c>
      <c r="BB614">
        <v>2018</v>
      </c>
      <c r="BD614" s="15" t="s">
        <v>1296</v>
      </c>
      <c r="BE614" t="s">
        <v>611</v>
      </c>
      <c r="BF614" t="s">
        <v>484</v>
      </c>
      <c r="BG614" t="s">
        <v>485</v>
      </c>
      <c r="BH614" t="s">
        <v>1257</v>
      </c>
      <c r="BI614" t="s">
        <v>508</v>
      </c>
      <c r="BJ614">
        <v>20</v>
      </c>
      <c r="BK614" t="s">
        <v>537</v>
      </c>
      <c r="BL614" t="s">
        <v>538</v>
      </c>
      <c r="BM614" t="s">
        <v>480</v>
      </c>
      <c r="BN614" t="s">
        <v>480</v>
      </c>
      <c r="BO614" t="s">
        <v>480</v>
      </c>
      <c r="BP614" t="s">
        <v>555</v>
      </c>
      <c r="BQ614" t="s">
        <v>1294</v>
      </c>
      <c r="BR614" t="s">
        <v>480</v>
      </c>
      <c r="BS614" t="s">
        <v>480</v>
      </c>
      <c r="BT614" t="s">
        <v>480</v>
      </c>
      <c r="BU614" t="s">
        <v>555</v>
      </c>
      <c r="BV614" t="s">
        <v>1289</v>
      </c>
      <c r="BW614" t="s">
        <v>480</v>
      </c>
      <c r="BX614" t="s">
        <v>480</v>
      </c>
      <c r="BY614" t="s">
        <v>480</v>
      </c>
      <c r="BZ614" t="s">
        <v>555</v>
      </c>
      <c r="CA614" t="s">
        <v>1290</v>
      </c>
      <c r="CB614" t="s">
        <v>480</v>
      </c>
      <c r="CC614" t="s">
        <v>480</v>
      </c>
      <c r="CD614" t="s">
        <v>480</v>
      </c>
      <c r="EI614" s="9"/>
      <c r="EJ614" s="9"/>
      <c r="EK614" s="9"/>
      <c r="EL614" s="9"/>
      <c r="EM614" s="9"/>
      <c r="EN614" s="9"/>
      <c r="EO614" s="9"/>
      <c r="EP614" s="9"/>
      <c r="EQ614" s="9"/>
      <c r="ER614" s="9"/>
      <c r="ES614" s="9"/>
      <c r="ET614" s="9"/>
      <c r="EU614" s="9"/>
      <c r="EV614" s="9"/>
      <c r="EW614" s="9"/>
      <c r="EX614" s="9"/>
      <c r="EY614" s="9"/>
      <c r="EZ614" s="9"/>
      <c r="FA614" s="9"/>
      <c r="FB614" s="9"/>
      <c r="FC614" s="9"/>
      <c r="FD614" s="9"/>
      <c r="FE614" s="9"/>
      <c r="FF614" s="9"/>
      <c r="FG614" s="9"/>
      <c r="FH614" s="9"/>
      <c r="FI614" s="9"/>
      <c r="FJ614" s="9"/>
      <c r="FK614" s="9"/>
      <c r="FL614" s="9"/>
      <c r="FM614" s="9"/>
      <c r="FN614" s="9"/>
      <c r="FO614" s="9"/>
      <c r="FP614" s="9"/>
      <c r="FQ614" s="9"/>
      <c r="FR614" s="9"/>
      <c r="FS614" s="9"/>
      <c r="FT614" s="9"/>
      <c r="FU614" s="9"/>
      <c r="FV614" s="9"/>
      <c r="FW614" s="9"/>
      <c r="FX614" s="9"/>
      <c r="FY614" s="9"/>
      <c r="FZ614" s="9"/>
      <c r="GA614" s="9"/>
      <c r="GB614" s="9"/>
      <c r="GC614" s="9"/>
      <c r="GD614" s="9"/>
      <c r="GE614" s="9"/>
      <c r="GF614" s="9"/>
      <c r="GG614" s="9"/>
      <c r="GH614" s="9"/>
      <c r="GI614" s="9"/>
      <c r="GJ614" s="9"/>
      <c r="GK614" s="9"/>
      <c r="GL614" s="9"/>
      <c r="GM614" s="9"/>
      <c r="GN614" s="9"/>
      <c r="GO614" s="9"/>
      <c r="GP614" s="9"/>
      <c r="GQ614" s="9"/>
      <c r="GR614" s="9"/>
      <c r="GS614" s="9"/>
      <c r="GT614" s="9"/>
      <c r="GU614" s="9"/>
      <c r="GV614" s="9"/>
      <c r="GW614" s="9"/>
      <c r="GX614" s="9"/>
      <c r="GY614" s="9"/>
      <c r="GZ614" s="9"/>
      <c r="HA614" s="9"/>
      <c r="HB614" s="9"/>
      <c r="HC614" s="9"/>
      <c r="HD614" s="9"/>
      <c r="HE614" s="9"/>
      <c r="HF614" s="9"/>
      <c r="HG614" s="9"/>
      <c r="HH614" s="9"/>
      <c r="HI614" s="9"/>
      <c r="HJ614" s="9"/>
      <c r="HK614" s="9"/>
      <c r="HL614" s="9"/>
      <c r="HT614" s="50">
        <v>42539</v>
      </c>
      <c r="IO614" t="s">
        <v>1297</v>
      </c>
      <c r="IP614" s="46" t="s">
        <v>1280</v>
      </c>
      <c r="IS614">
        <v>2016</v>
      </c>
      <c r="JJ614" t="s">
        <v>1260</v>
      </c>
      <c r="JL614" t="s">
        <v>495</v>
      </c>
      <c r="JP614" t="s">
        <v>508</v>
      </c>
      <c r="JQ614">
        <v>125</v>
      </c>
      <c r="JT614">
        <v>60</v>
      </c>
      <c r="JU614">
        <v>30</v>
      </c>
      <c r="KE614" t="s">
        <v>1261</v>
      </c>
      <c r="KF614" s="75" t="s">
        <v>1001</v>
      </c>
      <c r="KG614" t="s">
        <v>1262</v>
      </c>
      <c r="KH614">
        <v>2</v>
      </c>
      <c r="KI614" t="s">
        <v>1263</v>
      </c>
      <c r="KK614" s="8" t="s">
        <v>1264</v>
      </c>
      <c r="KL614" t="s">
        <v>1265</v>
      </c>
      <c r="KM614">
        <v>3</v>
      </c>
      <c r="KO614" s="8" t="s">
        <v>1266</v>
      </c>
      <c r="KP614" s="64" t="s">
        <v>480</v>
      </c>
      <c r="KQ614" s="64" t="s">
        <v>480</v>
      </c>
      <c r="KS614" t="s">
        <v>1267</v>
      </c>
      <c r="KT614" s="3" t="s">
        <v>480</v>
      </c>
      <c r="KU614" t="s">
        <v>480</v>
      </c>
      <c r="LT614" t="s">
        <v>1268</v>
      </c>
      <c r="LY614" t="s">
        <v>1269</v>
      </c>
      <c r="LZ614">
        <v>206.25</v>
      </c>
      <c r="MA614" s="4" t="s">
        <v>480</v>
      </c>
      <c r="MI614" s="50">
        <v>42997</v>
      </c>
      <c r="MJ614" s="50">
        <v>42997</v>
      </c>
      <c r="MY614" t="s">
        <v>1270</v>
      </c>
      <c r="MZ614" t="s">
        <v>866</v>
      </c>
      <c r="NA614" t="s">
        <v>1298</v>
      </c>
      <c r="NB614" t="s">
        <v>548</v>
      </c>
      <c r="NC614" t="s">
        <v>538</v>
      </c>
      <c r="NI614" t="s">
        <v>1272</v>
      </c>
      <c r="NJ614" t="s">
        <v>1300</v>
      </c>
      <c r="NK614" t="s">
        <v>1301</v>
      </c>
      <c r="NL614" s="4" t="s">
        <v>1302</v>
      </c>
      <c r="NM614" s="6"/>
      <c r="NV614" t="s">
        <v>518</v>
      </c>
      <c r="NW614">
        <v>1.33</v>
      </c>
      <c r="NX614" t="s">
        <v>866</v>
      </c>
      <c r="NY614" t="s">
        <v>866</v>
      </c>
      <c r="OB614" s="15">
        <v>3</v>
      </c>
      <c r="OU614" t="s">
        <v>1276</v>
      </c>
      <c r="OV614" t="s">
        <v>518</v>
      </c>
      <c r="OX614">
        <v>2016</v>
      </c>
      <c r="OY614">
        <v>2017</v>
      </c>
      <c r="PB614" t="s">
        <v>522</v>
      </c>
      <c r="PC614" s="50">
        <v>46129</v>
      </c>
    </row>
    <row r="615" spans="1:419" ht="15.75" thickBot="1">
      <c r="A615" t="s">
        <v>469</v>
      </c>
      <c r="B615" t="s">
        <v>1251</v>
      </c>
      <c r="C615" t="s">
        <v>1252</v>
      </c>
      <c r="D615" s="4" t="s">
        <v>950</v>
      </c>
      <c r="E615" s="81" t="s">
        <v>1253</v>
      </c>
      <c r="F615" t="s">
        <v>1179</v>
      </c>
      <c r="G615" t="s">
        <v>475</v>
      </c>
      <c r="H615" t="s">
        <v>476</v>
      </c>
      <c r="I615">
        <v>30.9</v>
      </c>
      <c r="J615">
        <v>75.75</v>
      </c>
      <c r="K615">
        <v>200</v>
      </c>
      <c r="AV615" t="s">
        <v>1254</v>
      </c>
      <c r="AW615" t="s">
        <v>866</v>
      </c>
      <c r="AX615" t="s">
        <v>866</v>
      </c>
      <c r="AY615">
        <v>2</v>
      </c>
      <c r="AZ615" t="s">
        <v>1255</v>
      </c>
      <c r="BA615">
        <v>2016</v>
      </c>
      <c r="BB615">
        <v>2018</v>
      </c>
      <c r="BD615" t="s">
        <v>1256</v>
      </c>
      <c r="BE615" t="s">
        <v>524</v>
      </c>
      <c r="BF615" t="s">
        <v>484</v>
      </c>
      <c r="BG615" t="s">
        <v>485</v>
      </c>
      <c r="BH615" t="s">
        <v>1257</v>
      </c>
      <c r="BI615" t="s">
        <v>508</v>
      </c>
      <c r="BJ615">
        <v>20</v>
      </c>
      <c r="BK615" t="s">
        <v>555</v>
      </c>
      <c r="BL615" t="s">
        <v>1258</v>
      </c>
      <c r="BM615" t="s">
        <v>480</v>
      </c>
      <c r="BN615" t="s">
        <v>480</v>
      </c>
      <c r="BO615" t="s">
        <v>480</v>
      </c>
      <c r="HT615" s="50">
        <v>42907</v>
      </c>
      <c r="IO615" t="s">
        <v>1256</v>
      </c>
      <c r="IP615" s="46" t="s">
        <v>1259</v>
      </c>
      <c r="IS615">
        <v>2016</v>
      </c>
      <c r="JJ615" t="s">
        <v>1260</v>
      </c>
      <c r="JL615" t="s">
        <v>495</v>
      </c>
      <c r="JP615" t="s">
        <v>508</v>
      </c>
      <c r="JQ615">
        <v>125</v>
      </c>
      <c r="JT615">
        <v>60</v>
      </c>
      <c r="JU615">
        <v>30</v>
      </c>
      <c r="KE615" t="s">
        <v>1261</v>
      </c>
      <c r="KF615" s="75" t="s">
        <v>1001</v>
      </c>
      <c r="KG615" t="s">
        <v>1262</v>
      </c>
      <c r="KH615">
        <v>2</v>
      </c>
      <c r="KI615" t="s">
        <v>1263</v>
      </c>
      <c r="KK615" s="8" t="s">
        <v>1264</v>
      </c>
      <c r="KL615" t="s">
        <v>1265</v>
      </c>
      <c r="KM615">
        <v>3</v>
      </c>
      <c r="KO615" s="8" t="s">
        <v>1266</v>
      </c>
      <c r="KP615" s="64" t="s">
        <v>480</v>
      </c>
      <c r="KQ615" s="64" t="s">
        <v>480</v>
      </c>
      <c r="KS615" t="s">
        <v>1267</v>
      </c>
      <c r="KT615" s="3" t="s">
        <v>480</v>
      </c>
      <c r="KU615" t="s">
        <v>480</v>
      </c>
      <c r="LT615" t="s">
        <v>1268</v>
      </c>
      <c r="LY615" t="s">
        <v>1269</v>
      </c>
      <c r="LZ615">
        <v>225</v>
      </c>
      <c r="MA615" s="4" t="s">
        <v>480</v>
      </c>
      <c r="MI615" s="50">
        <v>43362</v>
      </c>
      <c r="MJ615" s="50">
        <v>43362</v>
      </c>
      <c r="MY615" t="s">
        <v>1270</v>
      </c>
      <c r="MZ615" t="s">
        <v>866</v>
      </c>
      <c r="NA615" t="s">
        <v>1271</v>
      </c>
      <c r="NB615" t="s">
        <v>548</v>
      </c>
      <c r="NI615" t="s">
        <v>1272</v>
      </c>
      <c r="NJ615" t="s">
        <v>1300</v>
      </c>
      <c r="NK615" t="s">
        <v>1301</v>
      </c>
      <c r="NL615" s="4" t="s">
        <v>1302</v>
      </c>
      <c r="NM615" s="6"/>
      <c r="NU615" t="s">
        <v>1025</v>
      </c>
      <c r="NV615" t="s">
        <v>518</v>
      </c>
      <c r="NW615">
        <v>1.1599999999999999</v>
      </c>
      <c r="NX615" t="s">
        <v>866</v>
      </c>
      <c r="NY615" t="s">
        <v>866</v>
      </c>
      <c r="OB615" s="15">
        <v>3</v>
      </c>
      <c r="OU615" t="s">
        <v>1276</v>
      </c>
      <c r="OV615" t="s">
        <v>518</v>
      </c>
      <c r="OX615">
        <v>2017</v>
      </c>
      <c r="OY615">
        <v>2018</v>
      </c>
      <c r="PB615" t="s">
        <v>522</v>
      </c>
      <c r="PC615" s="50">
        <v>46129</v>
      </c>
    </row>
    <row r="616" spans="1:419" ht="15.75" thickBot="1">
      <c r="A616" t="s">
        <v>469</v>
      </c>
      <c r="B616" t="s">
        <v>1251</v>
      </c>
      <c r="C616" t="s">
        <v>1252</v>
      </c>
      <c r="D616" s="4" t="s">
        <v>950</v>
      </c>
      <c r="E616" s="81" t="s">
        <v>1253</v>
      </c>
      <c r="F616" t="s">
        <v>1179</v>
      </c>
      <c r="G616" t="s">
        <v>475</v>
      </c>
      <c r="H616" t="s">
        <v>476</v>
      </c>
      <c r="I616">
        <v>30.9</v>
      </c>
      <c r="J616">
        <v>75.75</v>
      </c>
      <c r="K616">
        <v>200</v>
      </c>
      <c r="AV616" t="s">
        <v>1254</v>
      </c>
      <c r="AW616" t="s">
        <v>866</v>
      </c>
      <c r="AX616" t="s">
        <v>866</v>
      </c>
      <c r="AY616">
        <v>2</v>
      </c>
      <c r="AZ616" t="s">
        <v>1255</v>
      </c>
      <c r="BA616">
        <v>2016</v>
      </c>
      <c r="BB616">
        <v>2018</v>
      </c>
      <c r="BD616" t="s">
        <v>1277</v>
      </c>
      <c r="BE616" t="s">
        <v>536</v>
      </c>
      <c r="BF616" t="s">
        <v>484</v>
      </c>
      <c r="BG616" t="s">
        <v>485</v>
      </c>
      <c r="BH616" t="s">
        <v>1257</v>
      </c>
      <c r="BI616" t="s">
        <v>508</v>
      </c>
      <c r="BJ616">
        <v>20</v>
      </c>
      <c r="BK616" t="s">
        <v>555</v>
      </c>
      <c r="BL616" t="s">
        <v>1278</v>
      </c>
      <c r="BM616" t="s">
        <v>480</v>
      </c>
      <c r="BN616" t="s">
        <v>480</v>
      </c>
      <c r="BO616" t="s">
        <v>480</v>
      </c>
      <c r="BP616" t="s">
        <v>555</v>
      </c>
      <c r="BQ616" t="s">
        <v>1279</v>
      </c>
      <c r="BR616" t="s">
        <v>480</v>
      </c>
      <c r="BS616" t="s">
        <v>480</v>
      </c>
      <c r="BT616" t="s">
        <v>480</v>
      </c>
      <c r="BU616" t="s">
        <v>537</v>
      </c>
      <c r="BV616" t="s">
        <v>870</v>
      </c>
      <c r="BW616" t="s">
        <v>480</v>
      </c>
      <c r="BX616" t="s">
        <v>480</v>
      </c>
      <c r="BY616" t="s">
        <v>480</v>
      </c>
      <c r="HT616" s="50">
        <v>42907</v>
      </c>
      <c r="IO616" t="s">
        <v>1303</v>
      </c>
      <c r="IP616" s="46" t="s">
        <v>1280</v>
      </c>
      <c r="IS616">
        <v>2016</v>
      </c>
      <c r="JJ616" t="s">
        <v>1260</v>
      </c>
      <c r="JL616" t="s">
        <v>495</v>
      </c>
      <c r="JP616" t="s">
        <v>508</v>
      </c>
      <c r="JQ616">
        <v>125</v>
      </c>
      <c r="JT616">
        <v>60</v>
      </c>
      <c r="JU616">
        <v>30</v>
      </c>
      <c r="KE616" t="s">
        <v>1261</v>
      </c>
      <c r="KF616" s="75" t="s">
        <v>1001</v>
      </c>
      <c r="KG616" t="s">
        <v>1262</v>
      </c>
      <c r="KH616">
        <v>2</v>
      </c>
      <c r="KI616" t="s">
        <v>1263</v>
      </c>
      <c r="KK616" s="8" t="s">
        <v>1264</v>
      </c>
      <c r="KL616" t="s">
        <v>1265</v>
      </c>
      <c r="KM616">
        <v>3</v>
      </c>
      <c r="KO616" s="8" t="s">
        <v>1266</v>
      </c>
      <c r="KP616" s="64" t="s">
        <v>480</v>
      </c>
      <c r="KQ616" s="64" t="s">
        <v>480</v>
      </c>
      <c r="KS616" t="s">
        <v>1267</v>
      </c>
      <c r="KT616" s="3" t="s">
        <v>480</v>
      </c>
      <c r="KU616" t="s">
        <v>480</v>
      </c>
      <c r="LT616" t="s">
        <v>1268</v>
      </c>
      <c r="LY616" t="s">
        <v>1269</v>
      </c>
      <c r="LZ616">
        <v>225</v>
      </c>
      <c r="MA616" s="4" t="s">
        <v>480</v>
      </c>
      <c r="MI616" s="50">
        <v>43362</v>
      </c>
      <c r="MJ616" s="50">
        <v>43362</v>
      </c>
      <c r="MY616" t="s">
        <v>1270</v>
      </c>
      <c r="MZ616" t="s">
        <v>866</v>
      </c>
      <c r="NA616" t="s">
        <v>1281</v>
      </c>
      <c r="NB616" t="s">
        <v>548</v>
      </c>
      <c r="NI616" t="s">
        <v>1272</v>
      </c>
      <c r="NJ616" t="s">
        <v>1300</v>
      </c>
      <c r="NK616" t="s">
        <v>1301</v>
      </c>
      <c r="NL616" s="4" t="s">
        <v>1302</v>
      </c>
      <c r="NM616" s="6"/>
      <c r="NV616" t="s">
        <v>518</v>
      </c>
      <c r="NW616">
        <v>1.19</v>
      </c>
      <c r="NX616" t="s">
        <v>866</v>
      </c>
      <c r="NY616" t="s">
        <v>866</v>
      </c>
      <c r="OB616" s="15">
        <v>3</v>
      </c>
      <c r="OU616" t="s">
        <v>1276</v>
      </c>
      <c r="OV616" t="s">
        <v>518</v>
      </c>
      <c r="OX616">
        <v>2017</v>
      </c>
      <c r="OY616">
        <v>2018</v>
      </c>
      <c r="PB616" t="s">
        <v>522</v>
      </c>
      <c r="PC616" s="50">
        <v>46129</v>
      </c>
    </row>
    <row r="617" spans="1:419" ht="15.75" thickBot="1">
      <c r="A617" t="s">
        <v>469</v>
      </c>
      <c r="B617" t="s">
        <v>1251</v>
      </c>
      <c r="C617" t="s">
        <v>1252</v>
      </c>
      <c r="D617" s="4" t="s">
        <v>950</v>
      </c>
      <c r="E617" s="81" t="s">
        <v>1253</v>
      </c>
      <c r="F617" t="s">
        <v>1179</v>
      </c>
      <c r="G617" t="s">
        <v>475</v>
      </c>
      <c r="H617" t="s">
        <v>476</v>
      </c>
      <c r="I617">
        <v>30.9</v>
      </c>
      <c r="J617">
        <v>75.75</v>
      </c>
      <c r="K617">
        <v>200</v>
      </c>
      <c r="AV617" t="s">
        <v>1254</v>
      </c>
      <c r="AW617" t="s">
        <v>866</v>
      </c>
      <c r="AX617" t="s">
        <v>866</v>
      </c>
      <c r="AY617">
        <v>2</v>
      </c>
      <c r="AZ617" t="s">
        <v>1255</v>
      </c>
      <c r="BA617">
        <v>2016</v>
      </c>
      <c r="BB617">
        <v>2018</v>
      </c>
      <c r="BD617" t="s">
        <v>1282</v>
      </c>
      <c r="BE617" t="s">
        <v>566</v>
      </c>
      <c r="BF617" t="s">
        <v>484</v>
      </c>
      <c r="BG617" t="s">
        <v>485</v>
      </c>
      <c r="BH617" t="s">
        <v>1257</v>
      </c>
      <c r="BI617" t="s">
        <v>508</v>
      </c>
      <c r="BJ617">
        <v>20</v>
      </c>
      <c r="BK617" t="s">
        <v>537</v>
      </c>
      <c r="BL617" t="s">
        <v>538</v>
      </c>
      <c r="BM617" t="s">
        <v>480</v>
      </c>
      <c r="BN617" t="s">
        <v>480</v>
      </c>
      <c r="BO617" t="s">
        <v>480</v>
      </c>
      <c r="BP617" t="s">
        <v>555</v>
      </c>
      <c r="BQ617" t="s">
        <v>1278</v>
      </c>
      <c r="BR617" t="s">
        <v>480</v>
      </c>
      <c r="BS617" t="s">
        <v>480</v>
      </c>
      <c r="BT617" t="s">
        <v>480</v>
      </c>
      <c r="BU617" t="s">
        <v>555</v>
      </c>
      <c r="BV617" t="s">
        <v>1279</v>
      </c>
      <c r="BW617" t="s">
        <v>480</v>
      </c>
      <c r="BX617" t="s">
        <v>480</v>
      </c>
      <c r="BY617" t="s">
        <v>480</v>
      </c>
      <c r="BZ617" t="s">
        <v>537</v>
      </c>
      <c r="CA617" t="s">
        <v>870</v>
      </c>
      <c r="CB617" t="s">
        <v>480</v>
      </c>
      <c r="CC617" t="s">
        <v>480</v>
      </c>
      <c r="CD617" t="s">
        <v>480</v>
      </c>
      <c r="HT617" s="50">
        <v>42907</v>
      </c>
      <c r="IO617" t="s">
        <v>1304</v>
      </c>
      <c r="IP617" s="46" t="s">
        <v>1280</v>
      </c>
      <c r="IS617">
        <v>2016</v>
      </c>
      <c r="JJ617" t="s">
        <v>1260</v>
      </c>
      <c r="JL617" t="s">
        <v>495</v>
      </c>
      <c r="JP617" t="s">
        <v>508</v>
      </c>
      <c r="JQ617">
        <v>125</v>
      </c>
      <c r="JT617">
        <v>60</v>
      </c>
      <c r="JU617">
        <v>30</v>
      </c>
      <c r="KE617" t="s">
        <v>1261</v>
      </c>
      <c r="KF617" s="75" t="s">
        <v>1001</v>
      </c>
      <c r="KG617" t="s">
        <v>1262</v>
      </c>
      <c r="KH617">
        <v>2</v>
      </c>
      <c r="KI617" t="s">
        <v>1263</v>
      </c>
      <c r="KK617" s="8" t="s">
        <v>1264</v>
      </c>
      <c r="KL617" t="s">
        <v>1265</v>
      </c>
      <c r="KM617">
        <v>3</v>
      </c>
      <c r="KO617" s="8" t="s">
        <v>1266</v>
      </c>
      <c r="KP617" s="64" t="s">
        <v>480</v>
      </c>
      <c r="KQ617" s="64" t="s">
        <v>480</v>
      </c>
      <c r="KS617" t="s">
        <v>1267</v>
      </c>
      <c r="KT617" s="3" t="s">
        <v>480</v>
      </c>
      <c r="KU617" t="s">
        <v>480</v>
      </c>
      <c r="LT617" t="s">
        <v>1268</v>
      </c>
      <c r="LY617" t="s">
        <v>1269</v>
      </c>
      <c r="LZ617">
        <v>225</v>
      </c>
      <c r="MA617" s="4" t="s">
        <v>480</v>
      </c>
      <c r="MI617" s="50">
        <v>43362</v>
      </c>
      <c r="MJ617" s="50">
        <v>43362</v>
      </c>
      <c r="MY617" t="s">
        <v>1270</v>
      </c>
      <c r="MZ617" t="s">
        <v>866</v>
      </c>
      <c r="NA617" t="s">
        <v>1284</v>
      </c>
      <c r="NB617" t="s">
        <v>548</v>
      </c>
      <c r="NC617" t="s">
        <v>538</v>
      </c>
      <c r="NI617" t="s">
        <v>1272</v>
      </c>
      <c r="NJ617" t="s">
        <v>1300</v>
      </c>
      <c r="NK617" t="s">
        <v>1301</v>
      </c>
      <c r="NL617" s="4" t="s">
        <v>1302</v>
      </c>
      <c r="NM617" s="6"/>
      <c r="NV617" t="s">
        <v>518</v>
      </c>
      <c r="NW617">
        <v>1.47</v>
      </c>
      <c r="NX617" t="s">
        <v>866</v>
      </c>
      <c r="NY617" t="s">
        <v>866</v>
      </c>
      <c r="OB617" s="15">
        <v>3</v>
      </c>
      <c r="OU617" t="s">
        <v>1276</v>
      </c>
      <c r="OV617" t="s">
        <v>518</v>
      </c>
      <c r="OX617">
        <v>2017</v>
      </c>
      <c r="OY617">
        <v>2018</v>
      </c>
      <c r="PB617" t="s">
        <v>522</v>
      </c>
      <c r="PC617" s="50">
        <v>46129</v>
      </c>
    </row>
    <row r="618" spans="1:419" ht="15.75" thickBot="1">
      <c r="A618" t="s">
        <v>469</v>
      </c>
      <c r="B618" t="s">
        <v>1251</v>
      </c>
      <c r="C618" t="s">
        <v>1252</v>
      </c>
      <c r="D618" s="4" t="s">
        <v>950</v>
      </c>
      <c r="E618" s="81" t="s">
        <v>1253</v>
      </c>
      <c r="F618" t="s">
        <v>1179</v>
      </c>
      <c r="G618" t="s">
        <v>475</v>
      </c>
      <c r="H618" t="s">
        <v>476</v>
      </c>
      <c r="I618">
        <v>30.9</v>
      </c>
      <c r="J618">
        <v>75.75</v>
      </c>
      <c r="K618">
        <v>200</v>
      </c>
      <c r="AV618" t="s">
        <v>1254</v>
      </c>
      <c r="AW618" t="s">
        <v>866</v>
      </c>
      <c r="AX618" t="s">
        <v>866</v>
      </c>
      <c r="AY618">
        <v>2</v>
      </c>
      <c r="AZ618" t="s">
        <v>1255</v>
      </c>
      <c r="BA618">
        <v>2016</v>
      </c>
      <c r="BB618">
        <v>2018</v>
      </c>
      <c r="BD618" t="s">
        <v>1285</v>
      </c>
      <c r="BE618" t="s">
        <v>572</v>
      </c>
      <c r="BF618" t="s">
        <v>484</v>
      </c>
      <c r="BG618" t="s">
        <v>485</v>
      </c>
      <c r="BH618" t="s">
        <v>1257</v>
      </c>
      <c r="BI618" t="s">
        <v>508</v>
      </c>
      <c r="BJ618">
        <v>20</v>
      </c>
      <c r="BK618" t="s">
        <v>537</v>
      </c>
      <c r="BL618" t="s">
        <v>538</v>
      </c>
      <c r="BM618" t="s">
        <v>480</v>
      </c>
      <c r="BN618" t="s">
        <v>480</v>
      </c>
      <c r="BO618" t="s">
        <v>480</v>
      </c>
      <c r="BP618" t="s">
        <v>555</v>
      </c>
      <c r="BQ618" t="s">
        <v>1278</v>
      </c>
      <c r="BR618" t="s">
        <v>480</v>
      </c>
      <c r="BS618" t="s">
        <v>480</v>
      </c>
      <c r="BT618" t="s">
        <v>480</v>
      </c>
      <c r="HT618" s="50">
        <v>42907</v>
      </c>
      <c r="IO618" t="s">
        <v>1286</v>
      </c>
      <c r="IP618" s="46" t="s">
        <v>1280</v>
      </c>
      <c r="IS618">
        <v>2016</v>
      </c>
      <c r="JJ618" t="s">
        <v>1260</v>
      </c>
      <c r="JL618" t="s">
        <v>495</v>
      </c>
      <c r="JP618" t="s">
        <v>508</v>
      </c>
      <c r="JQ618">
        <v>125</v>
      </c>
      <c r="JT618">
        <v>60</v>
      </c>
      <c r="JU618">
        <v>30</v>
      </c>
      <c r="KE618" t="s">
        <v>1261</v>
      </c>
      <c r="KF618" s="75" t="s">
        <v>1001</v>
      </c>
      <c r="KG618" t="s">
        <v>1262</v>
      </c>
      <c r="KH618">
        <v>2</v>
      </c>
      <c r="KI618" t="s">
        <v>1263</v>
      </c>
      <c r="KK618" s="8" t="s">
        <v>1264</v>
      </c>
      <c r="KL618" t="s">
        <v>1265</v>
      </c>
      <c r="KM618">
        <v>3</v>
      </c>
      <c r="KO618" s="8" t="s">
        <v>1266</v>
      </c>
      <c r="KP618" s="64" t="s">
        <v>480</v>
      </c>
      <c r="KQ618" s="64" t="s">
        <v>480</v>
      </c>
      <c r="KS618" t="s">
        <v>1267</v>
      </c>
      <c r="KT618" s="3" t="s">
        <v>480</v>
      </c>
      <c r="KU618" t="s">
        <v>480</v>
      </c>
      <c r="LT618" t="s">
        <v>1268</v>
      </c>
      <c r="LY618" t="s">
        <v>1269</v>
      </c>
      <c r="LZ618">
        <v>225</v>
      </c>
      <c r="MA618" s="4" t="s">
        <v>480</v>
      </c>
      <c r="MI618" s="50">
        <v>43362</v>
      </c>
      <c r="MJ618" s="50">
        <v>43362</v>
      </c>
      <c r="MY618" t="s">
        <v>1270</v>
      </c>
      <c r="MZ618" t="s">
        <v>866</v>
      </c>
      <c r="NA618" t="s">
        <v>1287</v>
      </c>
      <c r="NB618" t="s">
        <v>548</v>
      </c>
      <c r="NC618" t="s">
        <v>538</v>
      </c>
      <c r="NI618" t="s">
        <v>1272</v>
      </c>
      <c r="NJ618" t="s">
        <v>1300</v>
      </c>
      <c r="NK618" t="s">
        <v>1301</v>
      </c>
      <c r="NL618" s="4" t="s">
        <v>1302</v>
      </c>
      <c r="NM618" s="6"/>
      <c r="NV618" t="s">
        <v>518</v>
      </c>
      <c r="NW618">
        <v>1.46</v>
      </c>
      <c r="NX618" t="s">
        <v>866</v>
      </c>
      <c r="NY618" t="s">
        <v>866</v>
      </c>
      <c r="OB618" s="15">
        <v>3</v>
      </c>
      <c r="OU618" t="s">
        <v>1276</v>
      </c>
      <c r="OV618" t="s">
        <v>518</v>
      </c>
      <c r="OX618">
        <v>2017</v>
      </c>
      <c r="OY618">
        <v>2018</v>
      </c>
      <c r="PB618" t="s">
        <v>522</v>
      </c>
      <c r="PC618" s="50">
        <v>46129</v>
      </c>
    </row>
    <row r="619" spans="1:419" ht="15.75" thickBot="1">
      <c r="A619" t="s">
        <v>469</v>
      </c>
      <c r="B619" t="s">
        <v>1251</v>
      </c>
      <c r="C619" t="s">
        <v>1252</v>
      </c>
      <c r="D619" s="4" t="s">
        <v>950</v>
      </c>
      <c r="E619" s="81" t="s">
        <v>1253</v>
      </c>
      <c r="F619" t="s">
        <v>1179</v>
      </c>
      <c r="G619" t="s">
        <v>475</v>
      </c>
      <c r="H619" t="s">
        <v>476</v>
      </c>
      <c r="I619">
        <v>30.9</v>
      </c>
      <c r="J619">
        <v>75.75</v>
      </c>
      <c r="K619">
        <v>200</v>
      </c>
      <c r="AV619" t="s">
        <v>1254</v>
      </c>
      <c r="AW619" t="s">
        <v>866</v>
      </c>
      <c r="AX619" t="s">
        <v>866</v>
      </c>
      <c r="AY619">
        <v>2</v>
      </c>
      <c r="AZ619" t="s">
        <v>1255</v>
      </c>
      <c r="BA619">
        <v>2016</v>
      </c>
      <c r="BB619">
        <v>2018</v>
      </c>
      <c r="BD619" t="s">
        <v>1288</v>
      </c>
      <c r="BE619" t="s">
        <v>553</v>
      </c>
      <c r="BF619" t="s">
        <v>484</v>
      </c>
      <c r="BG619" t="s">
        <v>485</v>
      </c>
      <c r="BH619" t="s">
        <v>1257</v>
      </c>
      <c r="BI619" t="s">
        <v>508</v>
      </c>
      <c r="BJ619">
        <v>20</v>
      </c>
      <c r="BK619" t="s">
        <v>537</v>
      </c>
      <c r="BL619" t="s">
        <v>538</v>
      </c>
      <c r="BM619" t="s">
        <v>480</v>
      </c>
      <c r="BN619" t="s">
        <v>480</v>
      </c>
      <c r="BO619" t="s">
        <v>480</v>
      </c>
      <c r="BP619" t="s">
        <v>555</v>
      </c>
      <c r="BQ619" t="s">
        <v>1289</v>
      </c>
      <c r="BR619" t="s">
        <v>480</v>
      </c>
      <c r="BS619" t="s">
        <v>480</v>
      </c>
      <c r="BT619" t="s">
        <v>480</v>
      </c>
      <c r="BU619" t="s">
        <v>555</v>
      </c>
      <c r="BV619" t="s">
        <v>1290</v>
      </c>
      <c r="BW619" t="s">
        <v>480</v>
      </c>
      <c r="BX619" t="s">
        <v>480</v>
      </c>
      <c r="BY619" t="s">
        <v>480</v>
      </c>
      <c r="HT619" s="50">
        <v>42907</v>
      </c>
      <c r="IO619" t="s">
        <v>1299</v>
      </c>
      <c r="IP619" s="46" t="s">
        <v>1280</v>
      </c>
      <c r="IS619">
        <v>2016</v>
      </c>
      <c r="JJ619" t="s">
        <v>1260</v>
      </c>
      <c r="JL619" t="s">
        <v>495</v>
      </c>
      <c r="JP619" t="s">
        <v>508</v>
      </c>
      <c r="JQ619">
        <v>125</v>
      </c>
      <c r="JT619">
        <v>60</v>
      </c>
      <c r="JU619">
        <v>30</v>
      </c>
      <c r="KE619" t="s">
        <v>1261</v>
      </c>
      <c r="KF619" s="75" t="s">
        <v>1001</v>
      </c>
      <c r="KG619" t="s">
        <v>1262</v>
      </c>
      <c r="KH619">
        <v>2</v>
      </c>
      <c r="KI619" t="s">
        <v>1263</v>
      </c>
      <c r="KK619" s="8" t="s">
        <v>1264</v>
      </c>
      <c r="KL619" t="s">
        <v>1265</v>
      </c>
      <c r="KM619">
        <v>3</v>
      </c>
      <c r="KO619" s="8" t="s">
        <v>1266</v>
      </c>
      <c r="KP619" s="64" t="s">
        <v>480</v>
      </c>
      <c r="KQ619" s="64" t="s">
        <v>480</v>
      </c>
      <c r="KS619" t="s">
        <v>1267</v>
      </c>
      <c r="KT619" s="3" t="s">
        <v>480</v>
      </c>
      <c r="KU619" t="s">
        <v>480</v>
      </c>
      <c r="LT619" t="s">
        <v>1268</v>
      </c>
      <c r="LY619" t="s">
        <v>1269</v>
      </c>
      <c r="LZ619">
        <v>225</v>
      </c>
      <c r="MA619" s="4" t="s">
        <v>480</v>
      </c>
      <c r="MI619" s="50">
        <v>43362</v>
      </c>
      <c r="MJ619" s="50">
        <v>43362</v>
      </c>
      <c r="MY619" t="s">
        <v>1270</v>
      </c>
      <c r="MZ619" t="s">
        <v>866</v>
      </c>
      <c r="NA619" t="s">
        <v>1292</v>
      </c>
      <c r="NB619" t="s">
        <v>548</v>
      </c>
      <c r="NC619" t="s">
        <v>538</v>
      </c>
      <c r="NI619" t="s">
        <v>1272</v>
      </c>
      <c r="NJ619" t="s">
        <v>1300</v>
      </c>
      <c r="NK619" t="s">
        <v>1301</v>
      </c>
      <c r="NL619" s="4" t="s">
        <v>1302</v>
      </c>
      <c r="NM619" s="6"/>
      <c r="NV619" t="s">
        <v>518</v>
      </c>
      <c r="NW619">
        <v>1.52</v>
      </c>
      <c r="NX619" t="s">
        <v>866</v>
      </c>
      <c r="NY619" t="s">
        <v>866</v>
      </c>
      <c r="OB619" s="15">
        <v>3</v>
      </c>
      <c r="OU619" t="s">
        <v>1276</v>
      </c>
      <c r="OV619" t="s">
        <v>518</v>
      </c>
      <c r="OX619">
        <v>2017</v>
      </c>
      <c r="OY619">
        <v>2018</v>
      </c>
      <c r="PB619" t="s">
        <v>522</v>
      </c>
      <c r="PC619" s="50">
        <v>46129</v>
      </c>
    </row>
    <row r="620" spans="1:419" ht="15.75" thickBot="1">
      <c r="A620" t="s">
        <v>469</v>
      </c>
      <c r="B620" t="s">
        <v>1251</v>
      </c>
      <c r="C620" t="s">
        <v>1252</v>
      </c>
      <c r="D620" s="4" t="s">
        <v>950</v>
      </c>
      <c r="E620" s="81" t="s">
        <v>1253</v>
      </c>
      <c r="F620" t="s">
        <v>1179</v>
      </c>
      <c r="G620" t="s">
        <v>475</v>
      </c>
      <c r="H620" t="s">
        <v>476</v>
      </c>
      <c r="I620">
        <v>30.9</v>
      </c>
      <c r="J620">
        <v>75.75</v>
      </c>
      <c r="K620">
        <v>200</v>
      </c>
      <c r="AV620" t="s">
        <v>1254</v>
      </c>
      <c r="AW620" t="s">
        <v>866</v>
      </c>
      <c r="AX620" t="s">
        <v>866</v>
      </c>
      <c r="AY620">
        <v>2</v>
      </c>
      <c r="AZ620" t="s">
        <v>1255</v>
      </c>
      <c r="BA620">
        <v>2016</v>
      </c>
      <c r="BB620">
        <v>2018</v>
      </c>
      <c r="BD620" s="3" t="s">
        <v>1293</v>
      </c>
      <c r="BE620" t="s">
        <v>607</v>
      </c>
      <c r="BF620" t="s">
        <v>484</v>
      </c>
      <c r="BG620" t="s">
        <v>485</v>
      </c>
      <c r="BH620" t="s">
        <v>1257</v>
      </c>
      <c r="BI620" t="s">
        <v>508</v>
      </c>
      <c r="BJ620">
        <v>20</v>
      </c>
      <c r="BK620" t="s">
        <v>555</v>
      </c>
      <c r="BL620" t="s">
        <v>1294</v>
      </c>
      <c r="BM620" t="s">
        <v>480</v>
      </c>
      <c r="BN620" t="s">
        <v>480</v>
      </c>
      <c r="BO620" t="s">
        <v>480</v>
      </c>
      <c r="BP620" t="s">
        <v>555</v>
      </c>
      <c r="BQ620" t="s">
        <v>1289</v>
      </c>
      <c r="BR620" t="s">
        <v>480</v>
      </c>
      <c r="BS620" t="s">
        <v>480</v>
      </c>
      <c r="BT620" t="s">
        <v>480</v>
      </c>
      <c r="BU620" t="s">
        <v>555</v>
      </c>
      <c r="BV620" t="s">
        <v>1290</v>
      </c>
      <c r="BW620" t="s">
        <v>480</v>
      </c>
      <c r="BX620" t="s">
        <v>480</v>
      </c>
      <c r="BY620" t="s">
        <v>480</v>
      </c>
      <c r="HT620" s="50">
        <v>42907</v>
      </c>
      <c r="IO620" t="s">
        <v>1293</v>
      </c>
      <c r="IP620" s="46" t="s">
        <v>1280</v>
      </c>
      <c r="IS620">
        <v>2016</v>
      </c>
      <c r="JJ620" t="s">
        <v>1260</v>
      </c>
      <c r="JL620" t="s">
        <v>495</v>
      </c>
      <c r="JP620" t="s">
        <v>508</v>
      </c>
      <c r="JQ620">
        <v>125</v>
      </c>
      <c r="JT620">
        <v>60</v>
      </c>
      <c r="JU620">
        <v>30</v>
      </c>
      <c r="KE620" t="s">
        <v>1261</v>
      </c>
      <c r="KF620" s="75" t="s">
        <v>1001</v>
      </c>
      <c r="KG620" t="s">
        <v>1262</v>
      </c>
      <c r="KH620">
        <v>2</v>
      </c>
      <c r="KI620" t="s">
        <v>1263</v>
      </c>
      <c r="KK620" s="8" t="s">
        <v>1264</v>
      </c>
      <c r="KL620" t="s">
        <v>1265</v>
      </c>
      <c r="KM620">
        <v>3</v>
      </c>
      <c r="KO620" s="8" t="s">
        <v>1266</v>
      </c>
      <c r="KP620" s="64" t="s">
        <v>480</v>
      </c>
      <c r="KQ620" s="64" t="s">
        <v>480</v>
      </c>
      <c r="KS620" t="s">
        <v>1267</v>
      </c>
      <c r="KT620" s="3" t="s">
        <v>480</v>
      </c>
      <c r="KU620" t="s">
        <v>480</v>
      </c>
      <c r="LT620" t="s">
        <v>1268</v>
      </c>
      <c r="LY620" t="s">
        <v>1269</v>
      </c>
      <c r="LZ620">
        <v>225</v>
      </c>
      <c r="MA620" s="4" t="s">
        <v>480</v>
      </c>
      <c r="MI620" s="50">
        <v>43362</v>
      </c>
      <c r="MJ620" s="50">
        <v>43362</v>
      </c>
      <c r="MY620" t="s">
        <v>1270</v>
      </c>
      <c r="MZ620" t="s">
        <v>866</v>
      </c>
      <c r="NA620" t="s">
        <v>1295</v>
      </c>
      <c r="NB620" t="s">
        <v>548</v>
      </c>
      <c r="NI620" t="s">
        <v>1272</v>
      </c>
      <c r="NJ620" t="s">
        <v>1300</v>
      </c>
      <c r="NK620" t="s">
        <v>1301</v>
      </c>
      <c r="NL620" s="4" t="s">
        <v>1302</v>
      </c>
      <c r="NM620" s="6"/>
      <c r="NV620" t="s">
        <v>518</v>
      </c>
      <c r="NW620">
        <v>1.2</v>
      </c>
      <c r="NX620" t="s">
        <v>866</v>
      </c>
      <c r="NY620" t="s">
        <v>866</v>
      </c>
      <c r="OB620" s="15">
        <v>3</v>
      </c>
      <c r="OU620" t="s">
        <v>1276</v>
      </c>
      <c r="OV620" t="s">
        <v>518</v>
      </c>
      <c r="OX620">
        <v>2017</v>
      </c>
      <c r="OY620">
        <v>2018</v>
      </c>
      <c r="PB620" t="s">
        <v>522</v>
      </c>
      <c r="PC620" s="50">
        <v>46129</v>
      </c>
    </row>
    <row r="621" spans="1:419" ht="15.75" thickBot="1">
      <c r="A621" t="s">
        <v>469</v>
      </c>
      <c r="B621" t="s">
        <v>1251</v>
      </c>
      <c r="C621" t="s">
        <v>1252</v>
      </c>
      <c r="D621" s="4" t="s">
        <v>950</v>
      </c>
      <c r="E621" s="81" t="s">
        <v>1253</v>
      </c>
      <c r="F621" t="s">
        <v>1179</v>
      </c>
      <c r="G621" t="s">
        <v>475</v>
      </c>
      <c r="H621" t="s">
        <v>476</v>
      </c>
      <c r="I621">
        <v>30.9</v>
      </c>
      <c r="J621">
        <v>75.75</v>
      </c>
      <c r="K621">
        <v>200</v>
      </c>
      <c r="AV621" t="s">
        <v>1254</v>
      </c>
      <c r="AW621" t="s">
        <v>866</v>
      </c>
      <c r="AX621" t="s">
        <v>866</v>
      </c>
      <c r="AY621">
        <v>2</v>
      </c>
      <c r="AZ621" t="s">
        <v>1255</v>
      </c>
      <c r="BA621">
        <v>2016</v>
      </c>
      <c r="BB621">
        <v>2018</v>
      </c>
      <c r="BD621" s="15" t="s">
        <v>1296</v>
      </c>
      <c r="BE621" t="s">
        <v>611</v>
      </c>
      <c r="BF621" t="s">
        <v>484</v>
      </c>
      <c r="BG621" t="s">
        <v>485</v>
      </c>
      <c r="BH621" t="s">
        <v>1257</v>
      </c>
      <c r="BI621" t="s">
        <v>508</v>
      </c>
      <c r="BJ621">
        <v>20</v>
      </c>
      <c r="BK621" t="s">
        <v>537</v>
      </c>
      <c r="BL621" t="s">
        <v>538</v>
      </c>
      <c r="BM621" t="s">
        <v>480</v>
      </c>
      <c r="BN621" t="s">
        <v>480</v>
      </c>
      <c r="BO621" t="s">
        <v>480</v>
      </c>
      <c r="BP621" t="s">
        <v>555</v>
      </c>
      <c r="BQ621" t="s">
        <v>1294</v>
      </c>
      <c r="BR621" t="s">
        <v>480</v>
      </c>
      <c r="BS621" t="s">
        <v>480</v>
      </c>
      <c r="BT621" t="s">
        <v>480</v>
      </c>
      <c r="BU621" t="s">
        <v>555</v>
      </c>
      <c r="BV621" t="s">
        <v>1289</v>
      </c>
      <c r="BW621" t="s">
        <v>480</v>
      </c>
      <c r="BX621" t="s">
        <v>480</v>
      </c>
      <c r="BY621" t="s">
        <v>480</v>
      </c>
      <c r="BZ621" t="s">
        <v>555</v>
      </c>
      <c r="CA621" t="s">
        <v>1290</v>
      </c>
      <c r="CB621" t="s">
        <v>480</v>
      </c>
      <c r="CC621" t="s">
        <v>480</v>
      </c>
      <c r="CD621" t="s">
        <v>480</v>
      </c>
      <c r="HT621" s="50">
        <v>42907</v>
      </c>
      <c r="IO621" t="s">
        <v>1297</v>
      </c>
      <c r="IP621" s="46" t="s">
        <v>1280</v>
      </c>
      <c r="IS621">
        <v>2016</v>
      </c>
      <c r="JJ621" t="s">
        <v>1260</v>
      </c>
      <c r="JL621" t="s">
        <v>495</v>
      </c>
      <c r="JP621" t="s">
        <v>508</v>
      </c>
      <c r="JQ621">
        <v>125</v>
      </c>
      <c r="JT621">
        <v>60</v>
      </c>
      <c r="JU621">
        <v>30</v>
      </c>
      <c r="KE621" t="s">
        <v>1261</v>
      </c>
      <c r="KF621" s="75" t="s">
        <v>1001</v>
      </c>
      <c r="KG621" t="s">
        <v>1262</v>
      </c>
      <c r="KH621">
        <v>2</v>
      </c>
      <c r="KI621" t="s">
        <v>1263</v>
      </c>
      <c r="KK621" s="8" t="s">
        <v>1264</v>
      </c>
      <c r="KL621" t="s">
        <v>1265</v>
      </c>
      <c r="KM621">
        <v>3</v>
      </c>
      <c r="KO621" s="8" t="s">
        <v>1266</v>
      </c>
      <c r="KP621" s="64" t="s">
        <v>480</v>
      </c>
      <c r="KQ621" s="64" t="s">
        <v>480</v>
      </c>
      <c r="KS621" t="s">
        <v>1267</v>
      </c>
      <c r="KT621" s="3" t="s">
        <v>480</v>
      </c>
      <c r="KU621" t="s">
        <v>480</v>
      </c>
      <c r="LT621" t="s">
        <v>1268</v>
      </c>
      <c r="LY621" t="s">
        <v>1269</v>
      </c>
      <c r="LZ621">
        <v>225</v>
      </c>
      <c r="MA621" s="4" t="s">
        <v>480</v>
      </c>
      <c r="MI621" s="50">
        <v>43362</v>
      </c>
      <c r="MJ621" s="50">
        <v>43362</v>
      </c>
      <c r="MY621" t="s">
        <v>1270</v>
      </c>
      <c r="MZ621" t="s">
        <v>866</v>
      </c>
      <c r="NA621" t="s">
        <v>1298</v>
      </c>
      <c r="NB621" t="s">
        <v>548</v>
      </c>
      <c r="NC621" t="s">
        <v>538</v>
      </c>
      <c r="NI621" t="s">
        <v>1272</v>
      </c>
      <c r="NJ621" t="s">
        <v>1300</v>
      </c>
      <c r="NK621" t="s">
        <v>1301</v>
      </c>
      <c r="NL621" s="4" t="s">
        <v>1302</v>
      </c>
      <c r="NM621" s="6"/>
      <c r="NV621" t="s">
        <v>518</v>
      </c>
      <c r="NW621">
        <v>1.54</v>
      </c>
      <c r="NX621" t="s">
        <v>866</v>
      </c>
      <c r="NY621" t="s">
        <v>866</v>
      </c>
      <c r="OB621" s="15">
        <v>3</v>
      </c>
      <c r="OU621" t="s">
        <v>1276</v>
      </c>
      <c r="OV621" t="s">
        <v>518</v>
      </c>
      <c r="OX621">
        <v>2017</v>
      </c>
      <c r="OY621">
        <v>2018</v>
      </c>
      <c r="PB621" t="s">
        <v>522</v>
      </c>
      <c r="PC621" s="50">
        <v>46129</v>
      </c>
    </row>
    <row r="622" spans="1:419" ht="15.75" thickBot="1">
      <c r="A622" t="s">
        <v>469</v>
      </c>
      <c r="B622" t="s">
        <v>1251</v>
      </c>
      <c r="C622" t="s">
        <v>1252</v>
      </c>
      <c r="D622" s="4" t="s">
        <v>950</v>
      </c>
      <c r="E622" s="81" t="s">
        <v>1253</v>
      </c>
      <c r="F622" t="s">
        <v>1179</v>
      </c>
      <c r="G622" t="s">
        <v>475</v>
      </c>
      <c r="H622" t="s">
        <v>476</v>
      </c>
      <c r="I622">
        <v>30.9</v>
      </c>
      <c r="J622">
        <v>75.75</v>
      </c>
      <c r="K622">
        <v>200</v>
      </c>
      <c r="AV622" t="s">
        <v>1254</v>
      </c>
      <c r="AW622" t="s">
        <v>866</v>
      </c>
      <c r="AX622" t="s">
        <v>866</v>
      </c>
      <c r="AY622">
        <v>2</v>
      </c>
      <c r="AZ622" t="s">
        <v>1255</v>
      </c>
      <c r="BA622">
        <v>2016</v>
      </c>
      <c r="BB622">
        <v>2018</v>
      </c>
      <c r="BD622" t="s">
        <v>1256</v>
      </c>
      <c r="BE622" t="s">
        <v>524</v>
      </c>
      <c r="BF622" t="s">
        <v>484</v>
      </c>
      <c r="BG622" t="s">
        <v>485</v>
      </c>
      <c r="BH622" t="s">
        <v>1257</v>
      </c>
      <c r="BI622" t="s">
        <v>508</v>
      </c>
      <c r="BJ622">
        <v>20</v>
      </c>
      <c r="BK622" t="s">
        <v>555</v>
      </c>
      <c r="BL622" t="s">
        <v>1258</v>
      </c>
      <c r="BM622" t="s">
        <v>480</v>
      </c>
      <c r="BN622" t="s">
        <v>480</v>
      </c>
      <c r="BO622" t="s">
        <v>480</v>
      </c>
      <c r="HT622" s="50"/>
      <c r="IO622" t="s">
        <v>1256</v>
      </c>
      <c r="IP622" s="46" t="s">
        <v>1259</v>
      </c>
      <c r="IS622">
        <v>2016</v>
      </c>
      <c r="JJ622" t="s">
        <v>1260</v>
      </c>
      <c r="JL622" t="s">
        <v>495</v>
      </c>
      <c r="JP622" t="s">
        <v>508</v>
      </c>
      <c r="JQ622">
        <v>125</v>
      </c>
      <c r="JT622">
        <v>60</v>
      </c>
      <c r="JU622">
        <v>30</v>
      </c>
      <c r="KE622" t="s">
        <v>1261</v>
      </c>
      <c r="KF622" s="75" t="s">
        <v>1001</v>
      </c>
      <c r="KG622" t="s">
        <v>1262</v>
      </c>
      <c r="KH622">
        <v>2</v>
      </c>
      <c r="KI622" t="s">
        <v>1263</v>
      </c>
      <c r="KK622" s="8" t="s">
        <v>1264</v>
      </c>
      <c r="KL622" t="s">
        <v>1265</v>
      </c>
      <c r="KM622">
        <v>3</v>
      </c>
      <c r="KO622" s="8" t="s">
        <v>1266</v>
      </c>
      <c r="KP622" s="64" t="s">
        <v>480</v>
      </c>
      <c r="KQ622" s="64" t="s">
        <v>480</v>
      </c>
      <c r="KS622" t="s">
        <v>1267</v>
      </c>
      <c r="KT622" s="3" t="s">
        <v>480</v>
      </c>
      <c r="KU622" t="s">
        <v>480</v>
      </c>
      <c r="LT622" t="s">
        <v>1268</v>
      </c>
      <c r="LY622" t="s">
        <v>1269</v>
      </c>
      <c r="LZ622">
        <v>431.25</v>
      </c>
      <c r="MA622" s="4" t="s">
        <v>480</v>
      </c>
      <c r="MY622" t="s">
        <v>1270</v>
      </c>
      <c r="MZ622" t="s">
        <v>866</v>
      </c>
      <c r="NA622" t="s">
        <v>1305</v>
      </c>
      <c r="NB622" t="s">
        <v>548</v>
      </c>
      <c r="NJ622" t="s">
        <v>1306</v>
      </c>
      <c r="NL622" s="4" t="s">
        <v>660</v>
      </c>
      <c r="NM622" s="6" t="s">
        <v>1307</v>
      </c>
      <c r="NU622" t="s">
        <v>1025</v>
      </c>
      <c r="NV622" t="s">
        <v>518</v>
      </c>
      <c r="NW622">
        <v>46.86</v>
      </c>
      <c r="NX622" t="s">
        <v>866</v>
      </c>
      <c r="NY622" t="s">
        <v>866</v>
      </c>
      <c r="OB622" s="3">
        <v>3</v>
      </c>
      <c r="OU622" t="s">
        <v>1308</v>
      </c>
      <c r="OV622" t="s">
        <v>518</v>
      </c>
      <c r="OX622">
        <v>2016</v>
      </c>
      <c r="OY622">
        <v>2018</v>
      </c>
      <c r="PB622" t="s">
        <v>522</v>
      </c>
      <c r="PC622" s="50">
        <v>46129</v>
      </c>
    </row>
    <row r="623" spans="1:419" ht="15.75" thickBot="1">
      <c r="A623" t="s">
        <v>469</v>
      </c>
      <c r="B623" t="s">
        <v>1251</v>
      </c>
      <c r="C623" t="s">
        <v>1252</v>
      </c>
      <c r="D623" s="4" t="s">
        <v>950</v>
      </c>
      <c r="E623" s="81" t="s">
        <v>1253</v>
      </c>
      <c r="F623" t="s">
        <v>1179</v>
      </c>
      <c r="G623" t="s">
        <v>475</v>
      </c>
      <c r="H623" t="s">
        <v>476</v>
      </c>
      <c r="I623">
        <v>30.9</v>
      </c>
      <c r="J623">
        <v>75.75</v>
      </c>
      <c r="K623">
        <v>200</v>
      </c>
      <c r="AV623" t="s">
        <v>1254</v>
      </c>
      <c r="AW623" t="s">
        <v>866</v>
      </c>
      <c r="AX623" t="s">
        <v>866</v>
      </c>
      <c r="AY623">
        <v>2</v>
      </c>
      <c r="AZ623" t="s">
        <v>1255</v>
      </c>
      <c r="BA623">
        <v>2016</v>
      </c>
      <c r="BB623">
        <v>2018</v>
      </c>
      <c r="BD623" t="s">
        <v>1277</v>
      </c>
      <c r="BE623" t="s">
        <v>536</v>
      </c>
      <c r="BF623" t="s">
        <v>484</v>
      </c>
      <c r="BG623" t="s">
        <v>485</v>
      </c>
      <c r="BH623" t="s">
        <v>1257</v>
      </c>
      <c r="BI623" t="s">
        <v>508</v>
      </c>
      <c r="BJ623">
        <v>20</v>
      </c>
      <c r="BK623" t="s">
        <v>555</v>
      </c>
      <c r="BL623" t="s">
        <v>1278</v>
      </c>
      <c r="BM623" t="s">
        <v>480</v>
      </c>
      <c r="BN623" t="s">
        <v>480</v>
      </c>
      <c r="BO623" t="s">
        <v>480</v>
      </c>
      <c r="BP623" t="s">
        <v>555</v>
      </c>
      <c r="BQ623" t="s">
        <v>1279</v>
      </c>
      <c r="BR623" t="s">
        <v>480</v>
      </c>
      <c r="BS623" t="s">
        <v>480</v>
      </c>
      <c r="BT623" t="s">
        <v>480</v>
      </c>
      <c r="BU623" t="s">
        <v>537</v>
      </c>
      <c r="BV623" t="s">
        <v>870</v>
      </c>
      <c r="BW623" t="s">
        <v>480</v>
      </c>
      <c r="BX623" t="s">
        <v>480</v>
      </c>
      <c r="BY623" t="s">
        <v>480</v>
      </c>
      <c r="HT623" s="50"/>
      <c r="IO623" t="s">
        <v>1303</v>
      </c>
      <c r="IP623" s="46" t="s">
        <v>1280</v>
      </c>
      <c r="IS623">
        <v>2016</v>
      </c>
      <c r="JJ623" t="s">
        <v>1260</v>
      </c>
      <c r="JL623" t="s">
        <v>495</v>
      </c>
      <c r="JP623" t="s">
        <v>508</v>
      </c>
      <c r="JQ623">
        <v>125</v>
      </c>
      <c r="JT623">
        <v>60</v>
      </c>
      <c r="JU623">
        <v>30</v>
      </c>
      <c r="KE623" t="s">
        <v>1261</v>
      </c>
      <c r="KF623" s="75" t="s">
        <v>1001</v>
      </c>
      <c r="KG623" t="s">
        <v>1262</v>
      </c>
      <c r="KH623">
        <v>2</v>
      </c>
      <c r="KI623" t="s">
        <v>1263</v>
      </c>
      <c r="KK623" s="8" t="s">
        <v>1264</v>
      </c>
      <c r="KL623" t="s">
        <v>1265</v>
      </c>
      <c r="KM623">
        <v>3</v>
      </c>
      <c r="KO623" s="8" t="s">
        <v>1266</v>
      </c>
      <c r="KP623" s="64" t="s">
        <v>480</v>
      </c>
      <c r="KQ623" s="64" t="s">
        <v>480</v>
      </c>
      <c r="KS623" t="s">
        <v>1267</v>
      </c>
      <c r="KT623" s="3" t="s">
        <v>480</v>
      </c>
      <c r="KU623" t="s">
        <v>480</v>
      </c>
      <c r="LT623" t="s">
        <v>1268</v>
      </c>
      <c r="LY623" t="s">
        <v>1269</v>
      </c>
      <c r="LZ623">
        <v>431.25</v>
      </c>
      <c r="MA623" s="4" t="s">
        <v>480</v>
      </c>
      <c r="MY623" t="s">
        <v>1270</v>
      </c>
      <c r="MZ623" t="s">
        <v>866</v>
      </c>
      <c r="NA623" t="s">
        <v>1305</v>
      </c>
      <c r="NB623" t="s">
        <v>548</v>
      </c>
      <c r="NJ623" t="s">
        <v>1306</v>
      </c>
      <c r="NL623" s="4" t="s">
        <v>660</v>
      </c>
      <c r="NM623" s="6" t="s">
        <v>1307</v>
      </c>
      <c r="NV623" t="s">
        <v>518</v>
      </c>
      <c r="NW623">
        <v>47.31</v>
      </c>
      <c r="NX623" t="s">
        <v>866</v>
      </c>
      <c r="NY623" t="s">
        <v>866</v>
      </c>
      <c r="OB623" s="3">
        <v>3</v>
      </c>
      <c r="OU623" t="s">
        <v>1308</v>
      </c>
      <c r="OV623" t="s">
        <v>518</v>
      </c>
      <c r="OX623">
        <v>2016</v>
      </c>
      <c r="OY623">
        <v>2018</v>
      </c>
      <c r="PB623" t="s">
        <v>522</v>
      </c>
      <c r="PC623" s="50">
        <v>46129</v>
      </c>
    </row>
    <row r="624" spans="1:419" ht="15.75" thickBot="1">
      <c r="A624" t="s">
        <v>469</v>
      </c>
      <c r="B624" t="s">
        <v>1251</v>
      </c>
      <c r="C624" t="s">
        <v>1252</v>
      </c>
      <c r="D624" s="4" t="s">
        <v>950</v>
      </c>
      <c r="E624" s="81" t="s">
        <v>1253</v>
      </c>
      <c r="F624" t="s">
        <v>1179</v>
      </c>
      <c r="G624" t="s">
        <v>475</v>
      </c>
      <c r="H624" t="s">
        <v>476</v>
      </c>
      <c r="I624">
        <v>30.9</v>
      </c>
      <c r="J624">
        <v>75.75</v>
      </c>
      <c r="K624">
        <v>200</v>
      </c>
      <c r="AV624" t="s">
        <v>1254</v>
      </c>
      <c r="AW624" t="s">
        <v>866</v>
      </c>
      <c r="AX624" t="s">
        <v>866</v>
      </c>
      <c r="AY624">
        <v>2</v>
      </c>
      <c r="AZ624" t="s">
        <v>1255</v>
      </c>
      <c r="BA624">
        <v>2016</v>
      </c>
      <c r="BB624">
        <v>2018</v>
      </c>
      <c r="BD624" t="s">
        <v>1282</v>
      </c>
      <c r="BE624" t="s">
        <v>566</v>
      </c>
      <c r="BF624" t="s">
        <v>484</v>
      </c>
      <c r="BG624" t="s">
        <v>485</v>
      </c>
      <c r="BH624" t="s">
        <v>1257</v>
      </c>
      <c r="BI624" t="s">
        <v>508</v>
      </c>
      <c r="BJ624">
        <v>20</v>
      </c>
      <c r="BK624" t="s">
        <v>537</v>
      </c>
      <c r="BL624" t="s">
        <v>538</v>
      </c>
      <c r="BM624" t="s">
        <v>480</v>
      </c>
      <c r="BN624" t="s">
        <v>480</v>
      </c>
      <c r="BO624" t="s">
        <v>480</v>
      </c>
      <c r="BP624" t="s">
        <v>555</v>
      </c>
      <c r="BQ624" t="s">
        <v>1278</v>
      </c>
      <c r="BR624" t="s">
        <v>480</v>
      </c>
      <c r="BS624" t="s">
        <v>480</v>
      </c>
      <c r="BT624" t="s">
        <v>480</v>
      </c>
      <c r="BU624" t="s">
        <v>555</v>
      </c>
      <c r="BV624" t="s">
        <v>1279</v>
      </c>
      <c r="BW624" t="s">
        <v>480</v>
      </c>
      <c r="BX624" t="s">
        <v>480</v>
      </c>
      <c r="BY624" t="s">
        <v>480</v>
      </c>
      <c r="BZ624" t="s">
        <v>537</v>
      </c>
      <c r="CA624" t="s">
        <v>870</v>
      </c>
      <c r="CB624" t="s">
        <v>480</v>
      </c>
      <c r="CC624" t="s">
        <v>480</v>
      </c>
      <c r="CD624" t="s">
        <v>480</v>
      </c>
      <c r="HT624" s="50"/>
      <c r="IO624" t="s">
        <v>1304</v>
      </c>
      <c r="IP624" s="46" t="s">
        <v>1280</v>
      </c>
      <c r="IS624">
        <v>2016</v>
      </c>
      <c r="JJ624" t="s">
        <v>1260</v>
      </c>
      <c r="JL624" t="s">
        <v>495</v>
      </c>
      <c r="JP624" t="s">
        <v>508</v>
      </c>
      <c r="JQ624">
        <v>125</v>
      </c>
      <c r="JT624">
        <v>60</v>
      </c>
      <c r="JU624">
        <v>30</v>
      </c>
      <c r="KE624" t="s">
        <v>1261</v>
      </c>
      <c r="KF624" s="75" t="s">
        <v>1001</v>
      </c>
      <c r="KG624" t="s">
        <v>1262</v>
      </c>
      <c r="KH624">
        <v>2</v>
      </c>
      <c r="KI624" t="s">
        <v>1263</v>
      </c>
      <c r="KK624" s="8" t="s">
        <v>1264</v>
      </c>
      <c r="KL624" t="s">
        <v>1265</v>
      </c>
      <c r="KM624">
        <v>3</v>
      </c>
      <c r="KO624" s="8" t="s">
        <v>1266</v>
      </c>
      <c r="KP624" s="64" t="s">
        <v>480</v>
      </c>
      <c r="KQ624" s="64" t="s">
        <v>480</v>
      </c>
      <c r="KS624" t="s">
        <v>1267</v>
      </c>
      <c r="KT624" s="3" t="s">
        <v>480</v>
      </c>
      <c r="KU624" t="s">
        <v>480</v>
      </c>
      <c r="LT624" t="s">
        <v>1268</v>
      </c>
      <c r="LY624" t="s">
        <v>1269</v>
      </c>
      <c r="LZ624">
        <v>431.25</v>
      </c>
      <c r="MA624" s="4" t="s">
        <v>480</v>
      </c>
      <c r="MY624" t="s">
        <v>1270</v>
      </c>
      <c r="MZ624" t="s">
        <v>866</v>
      </c>
      <c r="NA624" t="s">
        <v>1305</v>
      </c>
      <c r="NB624" t="s">
        <v>548</v>
      </c>
      <c r="NJ624" t="s">
        <v>1306</v>
      </c>
      <c r="NL624" s="4" t="s">
        <v>660</v>
      </c>
      <c r="NM624" s="6" t="s">
        <v>1307</v>
      </c>
      <c r="NV624" t="s">
        <v>518</v>
      </c>
      <c r="NW624">
        <v>48.5</v>
      </c>
      <c r="NX624" t="s">
        <v>866</v>
      </c>
      <c r="NY624" t="s">
        <v>866</v>
      </c>
      <c r="OB624" s="3">
        <v>3</v>
      </c>
      <c r="OU624" t="s">
        <v>1308</v>
      </c>
      <c r="OV624" t="s">
        <v>518</v>
      </c>
      <c r="OX624">
        <v>2016</v>
      </c>
      <c r="OY624">
        <v>2018</v>
      </c>
      <c r="PB624" t="s">
        <v>522</v>
      </c>
      <c r="PC624" s="50">
        <v>46129</v>
      </c>
    </row>
    <row r="625" spans="1:419" ht="15.75" thickBot="1">
      <c r="A625" t="s">
        <v>469</v>
      </c>
      <c r="B625" t="s">
        <v>1251</v>
      </c>
      <c r="C625" t="s">
        <v>1252</v>
      </c>
      <c r="D625" s="4" t="s">
        <v>950</v>
      </c>
      <c r="E625" s="81" t="s">
        <v>1253</v>
      </c>
      <c r="F625" t="s">
        <v>1179</v>
      </c>
      <c r="G625" t="s">
        <v>475</v>
      </c>
      <c r="H625" t="s">
        <v>476</v>
      </c>
      <c r="I625">
        <v>30.9</v>
      </c>
      <c r="J625">
        <v>75.75</v>
      </c>
      <c r="K625">
        <v>200</v>
      </c>
      <c r="AV625" t="s">
        <v>1254</v>
      </c>
      <c r="AW625" t="s">
        <v>866</v>
      </c>
      <c r="AX625" t="s">
        <v>866</v>
      </c>
      <c r="AY625">
        <v>2</v>
      </c>
      <c r="AZ625" t="s">
        <v>1255</v>
      </c>
      <c r="BA625">
        <v>2016</v>
      </c>
      <c r="BB625">
        <v>2018</v>
      </c>
      <c r="BD625" t="s">
        <v>1285</v>
      </c>
      <c r="BE625" t="s">
        <v>572</v>
      </c>
      <c r="BF625" t="s">
        <v>484</v>
      </c>
      <c r="BG625" t="s">
        <v>485</v>
      </c>
      <c r="BH625" t="s">
        <v>1257</v>
      </c>
      <c r="BI625" t="s">
        <v>508</v>
      </c>
      <c r="BJ625">
        <v>20</v>
      </c>
      <c r="BK625" t="s">
        <v>537</v>
      </c>
      <c r="BL625" t="s">
        <v>538</v>
      </c>
      <c r="BM625" t="s">
        <v>480</v>
      </c>
      <c r="BN625" t="s">
        <v>480</v>
      </c>
      <c r="BO625" t="s">
        <v>480</v>
      </c>
      <c r="BP625" t="s">
        <v>555</v>
      </c>
      <c r="BQ625" t="s">
        <v>1278</v>
      </c>
      <c r="BR625" t="s">
        <v>480</v>
      </c>
      <c r="BS625" t="s">
        <v>480</v>
      </c>
      <c r="BT625" t="s">
        <v>480</v>
      </c>
      <c r="HT625" s="50"/>
      <c r="IO625" t="s">
        <v>1286</v>
      </c>
      <c r="IP625" s="46" t="s">
        <v>1280</v>
      </c>
      <c r="IS625">
        <v>2016</v>
      </c>
      <c r="JJ625" t="s">
        <v>1260</v>
      </c>
      <c r="JL625" t="s">
        <v>495</v>
      </c>
      <c r="JP625" t="s">
        <v>508</v>
      </c>
      <c r="JQ625">
        <v>125</v>
      </c>
      <c r="JT625">
        <v>60</v>
      </c>
      <c r="JU625">
        <v>30</v>
      </c>
      <c r="KE625" t="s">
        <v>1261</v>
      </c>
      <c r="KF625" s="75" t="s">
        <v>1001</v>
      </c>
      <c r="KG625" t="s">
        <v>1262</v>
      </c>
      <c r="KH625">
        <v>2</v>
      </c>
      <c r="KI625" t="s">
        <v>1263</v>
      </c>
      <c r="KK625" s="8" t="s">
        <v>1264</v>
      </c>
      <c r="KL625" t="s">
        <v>1265</v>
      </c>
      <c r="KM625">
        <v>3</v>
      </c>
      <c r="KO625" s="8" t="s">
        <v>1266</v>
      </c>
      <c r="KP625" s="64" t="s">
        <v>480</v>
      </c>
      <c r="KQ625" s="64" t="s">
        <v>480</v>
      </c>
      <c r="KS625" t="s">
        <v>1267</v>
      </c>
      <c r="KT625" s="3" t="s">
        <v>480</v>
      </c>
      <c r="KU625" t="s">
        <v>480</v>
      </c>
      <c r="LT625" t="s">
        <v>1268</v>
      </c>
      <c r="LY625" t="s">
        <v>1269</v>
      </c>
      <c r="LZ625">
        <v>431.25</v>
      </c>
      <c r="MA625" s="4" t="s">
        <v>480</v>
      </c>
      <c r="MY625" t="s">
        <v>1270</v>
      </c>
      <c r="MZ625" t="s">
        <v>866</v>
      </c>
      <c r="NA625" t="s">
        <v>1305</v>
      </c>
      <c r="NB625" t="s">
        <v>548</v>
      </c>
      <c r="NJ625" t="s">
        <v>1306</v>
      </c>
      <c r="NL625" s="4" t="s">
        <v>660</v>
      </c>
      <c r="NM625" s="6" t="s">
        <v>1307</v>
      </c>
      <c r="NV625" t="s">
        <v>518</v>
      </c>
      <c r="NW625">
        <v>48.83</v>
      </c>
      <c r="NX625" t="s">
        <v>866</v>
      </c>
      <c r="NY625" t="s">
        <v>866</v>
      </c>
      <c r="OB625" s="3">
        <v>3</v>
      </c>
      <c r="OU625" t="s">
        <v>1308</v>
      </c>
      <c r="OV625" t="s">
        <v>518</v>
      </c>
      <c r="OX625">
        <v>2016</v>
      </c>
      <c r="OY625">
        <v>2018</v>
      </c>
      <c r="PB625" t="s">
        <v>522</v>
      </c>
      <c r="PC625" s="50">
        <v>46129</v>
      </c>
    </row>
    <row r="626" spans="1:419" ht="15.75" thickBot="1">
      <c r="A626" t="s">
        <v>469</v>
      </c>
      <c r="B626" t="s">
        <v>1251</v>
      </c>
      <c r="C626" t="s">
        <v>1252</v>
      </c>
      <c r="D626" s="4" t="s">
        <v>950</v>
      </c>
      <c r="E626" s="81" t="s">
        <v>1253</v>
      </c>
      <c r="F626" t="s">
        <v>1179</v>
      </c>
      <c r="G626" t="s">
        <v>475</v>
      </c>
      <c r="H626" t="s">
        <v>476</v>
      </c>
      <c r="I626">
        <v>30.9</v>
      </c>
      <c r="J626">
        <v>75.75</v>
      </c>
      <c r="K626">
        <v>200</v>
      </c>
      <c r="AV626" t="s">
        <v>1254</v>
      </c>
      <c r="AW626" t="s">
        <v>866</v>
      </c>
      <c r="AX626" t="s">
        <v>866</v>
      </c>
      <c r="AY626">
        <v>2</v>
      </c>
      <c r="AZ626" t="s">
        <v>1255</v>
      </c>
      <c r="BA626">
        <v>2016</v>
      </c>
      <c r="BB626">
        <v>2018</v>
      </c>
      <c r="BD626" t="s">
        <v>1288</v>
      </c>
      <c r="BE626" t="s">
        <v>553</v>
      </c>
      <c r="BF626" t="s">
        <v>484</v>
      </c>
      <c r="BG626" t="s">
        <v>485</v>
      </c>
      <c r="BH626" t="s">
        <v>1257</v>
      </c>
      <c r="BI626" t="s">
        <v>508</v>
      </c>
      <c r="BJ626">
        <v>20</v>
      </c>
      <c r="BK626" t="s">
        <v>537</v>
      </c>
      <c r="BL626" t="s">
        <v>538</v>
      </c>
      <c r="BM626" t="s">
        <v>480</v>
      </c>
      <c r="BN626" t="s">
        <v>480</v>
      </c>
      <c r="BO626" t="s">
        <v>480</v>
      </c>
      <c r="BP626" t="s">
        <v>555</v>
      </c>
      <c r="BQ626" t="s">
        <v>1289</v>
      </c>
      <c r="BR626" t="s">
        <v>480</v>
      </c>
      <c r="BS626" t="s">
        <v>480</v>
      </c>
      <c r="BT626" t="s">
        <v>480</v>
      </c>
      <c r="BU626" t="s">
        <v>555</v>
      </c>
      <c r="BV626" t="s">
        <v>1290</v>
      </c>
      <c r="BW626" t="s">
        <v>480</v>
      </c>
      <c r="BX626" t="s">
        <v>480</v>
      </c>
      <c r="BY626" t="s">
        <v>480</v>
      </c>
      <c r="HT626" s="50"/>
      <c r="IO626" t="s">
        <v>1299</v>
      </c>
      <c r="IP626" s="46" t="s">
        <v>1280</v>
      </c>
      <c r="IS626">
        <v>2016</v>
      </c>
      <c r="JJ626" t="s">
        <v>1260</v>
      </c>
      <c r="JL626" t="s">
        <v>495</v>
      </c>
      <c r="JP626" t="s">
        <v>508</v>
      </c>
      <c r="JQ626">
        <v>125</v>
      </c>
      <c r="JT626">
        <v>60</v>
      </c>
      <c r="JU626">
        <v>30</v>
      </c>
      <c r="KE626" t="s">
        <v>1261</v>
      </c>
      <c r="KF626" s="75" t="s">
        <v>1001</v>
      </c>
      <c r="KG626" t="s">
        <v>1262</v>
      </c>
      <c r="KH626">
        <v>2</v>
      </c>
      <c r="KI626" t="s">
        <v>1263</v>
      </c>
      <c r="KK626" s="8" t="s">
        <v>1264</v>
      </c>
      <c r="KL626" t="s">
        <v>1265</v>
      </c>
      <c r="KM626">
        <v>3</v>
      </c>
      <c r="KO626" s="8" t="s">
        <v>1266</v>
      </c>
      <c r="KP626" s="64" t="s">
        <v>480</v>
      </c>
      <c r="KQ626" s="64" t="s">
        <v>480</v>
      </c>
      <c r="KS626" t="s">
        <v>1267</v>
      </c>
      <c r="KT626" s="3" t="s">
        <v>480</v>
      </c>
      <c r="KU626" t="s">
        <v>480</v>
      </c>
      <c r="LT626" t="s">
        <v>1268</v>
      </c>
      <c r="LY626" t="s">
        <v>1269</v>
      </c>
      <c r="LZ626">
        <v>431.25</v>
      </c>
      <c r="MA626" s="4" t="s">
        <v>480</v>
      </c>
      <c r="MY626" t="s">
        <v>1270</v>
      </c>
      <c r="MZ626" t="s">
        <v>866</v>
      </c>
      <c r="NA626" t="s">
        <v>1305</v>
      </c>
      <c r="NB626" t="s">
        <v>548</v>
      </c>
      <c r="NJ626" t="s">
        <v>1306</v>
      </c>
      <c r="NL626" s="4" t="s">
        <v>660</v>
      </c>
      <c r="NM626" s="6" t="s">
        <v>1307</v>
      </c>
      <c r="NV626" t="s">
        <v>518</v>
      </c>
      <c r="NW626">
        <v>49.19</v>
      </c>
      <c r="NX626" t="s">
        <v>866</v>
      </c>
      <c r="NY626" t="s">
        <v>866</v>
      </c>
      <c r="OB626" s="3">
        <v>3</v>
      </c>
      <c r="OU626" t="s">
        <v>1308</v>
      </c>
      <c r="OV626" t="s">
        <v>518</v>
      </c>
      <c r="OX626">
        <v>2016</v>
      </c>
      <c r="OY626">
        <v>2018</v>
      </c>
      <c r="PB626" t="s">
        <v>522</v>
      </c>
      <c r="PC626" s="50">
        <v>46129</v>
      </c>
    </row>
    <row r="627" spans="1:419" ht="15.75" thickBot="1">
      <c r="A627" t="s">
        <v>469</v>
      </c>
      <c r="B627" t="s">
        <v>1251</v>
      </c>
      <c r="C627" t="s">
        <v>1252</v>
      </c>
      <c r="D627" s="4" t="s">
        <v>950</v>
      </c>
      <c r="E627" s="81" t="s">
        <v>1253</v>
      </c>
      <c r="F627" t="s">
        <v>1179</v>
      </c>
      <c r="G627" t="s">
        <v>475</v>
      </c>
      <c r="H627" t="s">
        <v>476</v>
      </c>
      <c r="I627">
        <v>30.9</v>
      </c>
      <c r="J627">
        <v>75.75</v>
      </c>
      <c r="K627">
        <v>200</v>
      </c>
      <c r="AV627" t="s">
        <v>1254</v>
      </c>
      <c r="AW627" t="s">
        <v>866</v>
      </c>
      <c r="AX627" t="s">
        <v>866</v>
      </c>
      <c r="AY627">
        <v>2</v>
      </c>
      <c r="AZ627" t="s">
        <v>1255</v>
      </c>
      <c r="BA627">
        <v>2016</v>
      </c>
      <c r="BB627">
        <v>2018</v>
      </c>
      <c r="BD627" s="3" t="s">
        <v>1293</v>
      </c>
      <c r="BE627" t="s">
        <v>607</v>
      </c>
      <c r="BF627" t="s">
        <v>484</v>
      </c>
      <c r="BG627" t="s">
        <v>485</v>
      </c>
      <c r="BH627" t="s">
        <v>1257</v>
      </c>
      <c r="BI627" t="s">
        <v>508</v>
      </c>
      <c r="BJ627">
        <v>20</v>
      </c>
      <c r="BK627" t="s">
        <v>555</v>
      </c>
      <c r="BL627" t="s">
        <v>1294</v>
      </c>
      <c r="BM627" t="s">
        <v>480</v>
      </c>
      <c r="BN627" t="s">
        <v>480</v>
      </c>
      <c r="BO627" t="s">
        <v>480</v>
      </c>
      <c r="BP627" t="s">
        <v>555</v>
      </c>
      <c r="BQ627" t="s">
        <v>1289</v>
      </c>
      <c r="BR627" t="s">
        <v>480</v>
      </c>
      <c r="BS627" t="s">
        <v>480</v>
      </c>
      <c r="BT627" t="s">
        <v>480</v>
      </c>
      <c r="BU627" t="s">
        <v>555</v>
      </c>
      <c r="BV627" t="s">
        <v>1290</v>
      </c>
      <c r="BW627" t="s">
        <v>480</v>
      </c>
      <c r="BX627" t="s">
        <v>480</v>
      </c>
      <c r="BY627" t="s">
        <v>480</v>
      </c>
      <c r="HT627" s="50"/>
      <c r="IO627" t="s">
        <v>1293</v>
      </c>
      <c r="IP627" s="46" t="s">
        <v>1280</v>
      </c>
      <c r="IS627">
        <v>2016</v>
      </c>
      <c r="JJ627" t="s">
        <v>1260</v>
      </c>
      <c r="JL627" t="s">
        <v>495</v>
      </c>
      <c r="JP627" t="s">
        <v>508</v>
      </c>
      <c r="JQ627">
        <v>125</v>
      </c>
      <c r="JT627">
        <v>60</v>
      </c>
      <c r="JU627">
        <v>30</v>
      </c>
      <c r="KE627" t="s">
        <v>1261</v>
      </c>
      <c r="KF627" s="75" t="s">
        <v>1001</v>
      </c>
      <c r="KG627" t="s">
        <v>1262</v>
      </c>
      <c r="KH627">
        <v>2</v>
      </c>
      <c r="KI627" t="s">
        <v>1263</v>
      </c>
      <c r="KK627" s="8" t="s">
        <v>1264</v>
      </c>
      <c r="KL627" t="s">
        <v>1265</v>
      </c>
      <c r="KM627">
        <v>3</v>
      </c>
      <c r="KO627" s="8" t="s">
        <v>1266</v>
      </c>
      <c r="KP627" s="64" t="s">
        <v>480</v>
      </c>
      <c r="KQ627" s="64" t="s">
        <v>480</v>
      </c>
      <c r="KS627" t="s">
        <v>1267</v>
      </c>
      <c r="KT627" s="3" t="s">
        <v>480</v>
      </c>
      <c r="KU627" t="s">
        <v>480</v>
      </c>
      <c r="LT627" t="s">
        <v>1268</v>
      </c>
      <c r="LY627" t="s">
        <v>1269</v>
      </c>
      <c r="LZ627">
        <v>431.25</v>
      </c>
      <c r="MA627" s="4" t="s">
        <v>480</v>
      </c>
      <c r="MY627" t="s">
        <v>1270</v>
      </c>
      <c r="MZ627" t="s">
        <v>866</v>
      </c>
      <c r="NA627" t="s">
        <v>1305</v>
      </c>
      <c r="NB627" t="s">
        <v>548</v>
      </c>
      <c r="NJ627" t="s">
        <v>1306</v>
      </c>
      <c r="NL627" s="4" t="s">
        <v>660</v>
      </c>
      <c r="NM627" s="6" t="s">
        <v>1307</v>
      </c>
      <c r="NV627" t="s">
        <v>518</v>
      </c>
      <c r="NW627">
        <v>47.04</v>
      </c>
      <c r="NX627" t="s">
        <v>866</v>
      </c>
      <c r="NY627" t="s">
        <v>866</v>
      </c>
      <c r="OB627" s="3">
        <v>3</v>
      </c>
      <c r="OU627" t="s">
        <v>1308</v>
      </c>
      <c r="OV627" t="s">
        <v>518</v>
      </c>
      <c r="OX627">
        <v>2016</v>
      </c>
      <c r="OY627">
        <v>2018</v>
      </c>
      <c r="PB627" t="s">
        <v>522</v>
      </c>
      <c r="PC627" s="50">
        <v>46129</v>
      </c>
    </row>
    <row r="628" spans="1:419" ht="15.75" thickBot="1">
      <c r="A628" t="s">
        <v>469</v>
      </c>
      <c r="B628" t="s">
        <v>1251</v>
      </c>
      <c r="C628" t="s">
        <v>1252</v>
      </c>
      <c r="D628" s="4" t="s">
        <v>950</v>
      </c>
      <c r="E628" s="81" t="s">
        <v>1253</v>
      </c>
      <c r="F628" t="s">
        <v>1179</v>
      </c>
      <c r="G628" t="s">
        <v>475</v>
      </c>
      <c r="H628" t="s">
        <v>476</v>
      </c>
      <c r="I628">
        <v>30.9</v>
      </c>
      <c r="J628">
        <v>75.75</v>
      </c>
      <c r="K628">
        <v>200</v>
      </c>
      <c r="AV628" t="s">
        <v>1254</v>
      </c>
      <c r="AW628" t="s">
        <v>866</v>
      </c>
      <c r="AX628" t="s">
        <v>866</v>
      </c>
      <c r="AY628">
        <v>2</v>
      </c>
      <c r="AZ628" t="s">
        <v>1255</v>
      </c>
      <c r="BA628">
        <v>2016</v>
      </c>
      <c r="BB628">
        <v>2018</v>
      </c>
      <c r="BD628" s="15" t="s">
        <v>1296</v>
      </c>
      <c r="BE628" t="s">
        <v>611</v>
      </c>
      <c r="BF628" t="s">
        <v>484</v>
      </c>
      <c r="BG628" t="s">
        <v>485</v>
      </c>
      <c r="BH628" t="s">
        <v>1257</v>
      </c>
      <c r="BI628" t="s">
        <v>508</v>
      </c>
      <c r="BJ628">
        <v>20</v>
      </c>
      <c r="BK628" t="s">
        <v>537</v>
      </c>
      <c r="BL628" t="s">
        <v>538</v>
      </c>
      <c r="BM628" t="s">
        <v>480</v>
      </c>
      <c r="BN628" t="s">
        <v>480</v>
      </c>
      <c r="BO628" t="s">
        <v>480</v>
      </c>
      <c r="BP628" t="s">
        <v>555</v>
      </c>
      <c r="BQ628" t="s">
        <v>1294</v>
      </c>
      <c r="BR628" t="s">
        <v>480</v>
      </c>
      <c r="BS628" t="s">
        <v>480</v>
      </c>
      <c r="BT628" t="s">
        <v>480</v>
      </c>
      <c r="BU628" t="s">
        <v>555</v>
      </c>
      <c r="BV628" t="s">
        <v>1289</v>
      </c>
      <c r="BW628" t="s">
        <v>480</v>
      </c>
      <c r="BX628" t="s">
        <v>480</v>
      </c>
      <c r="BY628" t="s">
        <v>480</v>
      </c>
      <c r="BZ628" t="s">
        <v>555</v>
      </c>
      <c r="CA628" t="s">
        <v>1290</v>
      </c>
      <c r="CB628" t="s">
        <v>480</v>
      </c>
      <c r="CC628" t="s">
        <v>480</v>
      </c>
      <c r="CD628" t="s">
        <v>480</v>
      </c>
      <c r="HT628" s="50"/>
      <c r="IO628" t="s">
        <v>1297</v>
      </c>
      <c r="IP628" s="46" t="s">
        <v>1280</v>
      </c>
      <c r="IS628">
        <v>2016</v>
      </c>
      <c r="JJ628" t="s">
        <v>1260</v>
      </c>
      <c r="JL628" t="s">
        <v>495</v>
      </c>
      <c r="JP628" t="s">
        <v>508</v>
      </c>
      <c r="JQ628">
        <v>125</v>
      </c>
      <c r="JT628">
        <v>60</v>
      </c>
      <c r="JU628">
        <v>30</v>
      </c>
      <c r="KE628" t="s">
        <v>1261</v>
      </c>
      <c r="KF628" s="75" t="s">
        <v>1001</v>
      </c>
      <c r="KG628" t="s">
        <v>1262</v>
      </c>
      <c r="KH628">
        <v>2</v>
      </c>
      <c r="KI628" t="s">
        <v>1263</v>
      </c>
      <c r="KK628" s="8" t="s">
        <v>1264</v>
      </c>
      <c r="KL628" t="s">
        <v>1265</v>
      </c>
      <c r="KM628">
        <v>3</v>
      </c>
      <c r="KO628" s="8" t="s">
        <v>1266</v>
      </c>
      <c r="KP628" s="64" t="s">
        <v>480</v>
      </c>
      <c r="KQ628" s="64" t="s">
        <v>480</v>
      </c>
      <c r="KS628" t="s">
        <v>1267</v>
      </c>
      <c r="KT628" s="3" t="s">
        <v>480</v>
      </c>
      <c r="KU628" t="s">
        <v>480</v>
      </c>
      <c r="LT628" t="s">
        <v>1268</v>
      </c>
      <c r="LY628" t="s">
        <v>1269</v>
      </c>
      <c r="LZ628">
        <v>431.25</v>
      </c>
      <c r="MA628" s="4" t="s">
        <v>480</v>
      </c>
      <c r="MY628" t="s">
        <v>1270</v>
      </c>
      <c r="MZ628" t="s">
        <v>866</v>
      </c>
      <c r="NA628" t="s">
        <v>1305</v>
      </c>
      <c r="NB628" t="s">
        <v>548</v>
      </c>
      <c r="NJ628" t="s">
        <v>1306</v>
      </c>
      <c r="NL628" s="4" t="s">
        <v>660</v>
      </c>
      <c r="NM628" s="6" t="s">
        <v>1307</v>
      </c>
      <c r="NV628" t="s">
        <v>518</v>
      </c>
      <c r="NW628">
        <v>49.59</v>
      </c>
      <c r="NX628" t="s">
        <v>866</v>
      </c>
      <c r="NY628" t="s">
        <v>866</v>
      </c>
      <c r="OB628" s="3">
        <v>3</v>
      </c>
      <c r="OU628" t="s">
        <v>1308</v>
      </c>
      <c r="OV628" t="s">
        <v>518</v>
      </c>
      <c r="OX628">
        <v>2016</v>
      </c>
      <c r="OY628">
        <v>2018</v>
      </c>
      <c r="PB628" t="s">
        <v>522</v>
      </c>
      <c r="PC628" s="50">
        <v>46129</v>
      </c>
    </row>
    <row r="629" spans="1:419" ht="15.75" thickBot="1">
      <c r="A629" t="s">
        <v>469</v>
      </c>
      <c r="B629" t="s">
        <v>1251</v>
      </c>
      <c r="C629" t="s">
        <v>1252</v>
      </c>
      <c r="D629" s="4" t="s">
        <v>950</v>
      </c>
      <c r="E629" s="81" t="s">
        <v>1253</v>
      </c>
      <c r="F629" t="s">
        <v>1179</v>
      </c>
      <c r="G629" t="s">
        <v>475</v>
      </c>
      <c r="H629" t="s">
        <v>476</v>
      </c>
      <c r="I629">
        <v>30.9</v>
      </c>
      <c r="J629">
        <v>75.75</v>
      </c>
      <c r="K629">
        <v>200</v>
      </c>
      <c r="AV629" t="s">
        <v>1254</v>
      </c>
      <c r="AW629" t="s">
        <v>866</v>
      </c>
      <c r="AX629" t="s">
        <v>866</v>
      </c>
      <c r="AY629">
        <v>2</v>
      </c>
      <c r="AZ629" t="s">
        <v>1255</v>
      </c>
      <c r="BA629">
        <v>2016</v>
      </c>
      <c r="BB629">
        <v>2018</v>
      </c>
      <c r="BD629" t="s">
        <v>1256</v>
      </c>
      <c r="BE629" t="s">
        <v>524</v>
      </c>
      <c r="BF629" t="s">
        <v>484</v>
      </c>
      <c r="BG629" t="s">
        <v>485</v>
      </c>
      <c r="BH629" t="s">
        <v>1257</v>
      </c>
      <c r="BI629" t="s">
        <v>508</v>
      </c>
      <c r="BJ629">
        <v>20</v>
      </c>
      <c r="BK629" t="s">
        <v>555</v>
      </c>
      <c r="BL629" t="s">
        <v>1258</v>
      </c>
      <c r="BM629" t="s">
        <v>480</v>
      </c>
      <c r="BN629" t="s">
        <v>480</v>
      </c>
      <c r="BO629" t="s">
        <v>480</v>
      </c>
      <c r="HT629" s="50">
        <v>42539</v>
      </c>
      <c r="IO629" t="s">
        <v>1256</v>
      </c>
      <c r="IP629" s="46" t="s">
        <v>1259</v>
      </c>
      <c r="IS629">
        <v>2016</v>
      </c>
      <c r="JJ629" t="s">
        <v>1260</v>
      </c>
      <c r="JL629" t="s">
        <v>495</v>
      </c>
      <c r="JP629" t="s">
        <v>508</v>
      </c>
      <c r="JQ629">
        <v>125</v>
      </c>
      <c r="JT629">
        <v>60</v>
      </c>
      <c r="JU629">
        <v>30</v>
      </c>
      <c r="KE629" t="s">
        <v>1261</v>
      </c>
      <c r="KF629" s="75" t="s">
        <v>1001</v>
      </c>
      <c r="KG629" t="s">
        <v>1262</v>
      </c>
      <c r="KH629">
        <v>2</v>
      </c>
      <c r="KI629" t="s">
        <v>1263</v>
      </c>
      <c r="KK629" s="8" t="s">
        <v>1264</v>
      </c>
      <c r="KL629" t="s">
        <v>1265</v>
      </c>
      <c r="KM629">
        <v>3</v>
      </c>
      <c r="KO629" s="8" t="s">
        <v>1266</v>
      </c>
      <c r="KP629" s="64" t="s">
        <v>480</v>
      </c>
      <c r="KQ629" s="64" t="s">
        <v>480</v>
      </c>
      <c r="KS629" t="s">
        <v>1267</v>
      </c>
      <c r="KT629" s="3" t="s">
        <v>480</v>
      </c>
      <c r="KU629" t="s">
        <v>480</v>
      </c>
      <c r="LT629" t="s">
        <v>1268</v>
      </c>
      <c r="LY629" t="s">
        <v>1269</v>
      </c>
      <c r="LZ629">
        <v>206.25</v>
      </c>
      <c r="MA629" s="4" t="s">
        <v>480</v>
      </c>
      <c r="MI629" s="50">
        <v>42997</v>
      </c>
      <c r="MJ629" s="50">
        <v>42997</v>
      </c>
      <c r="MY629" t="s">
        <v>1270</v>
      </c>
      <c r="MZ629" t="s">
        <v>866</v>
      </c>
      <c r="NB629" t="s">
        <v>548</v>
      </c>
      <c r="NI629" t="s">
        <v>1309</v>
      </c>
      <c r="NJ629" t="s">
        <v>1310</v>
      </c>
      <c r="NK629" t="s">
        <v>1311</v>
      </c>
      <c r="NL629" s="4" t="s">
        <v>1312</v>
      </c>
      <c r="NM629" s="6" t="s">
        <v>1313</v>
      </c>
      <c r="NU629" t="s">
        <v>1025</v>
      </c>
      <c r="NV629" t="s">
        <v>518</v>
      </c>
      <c r="NW629">
        <v>2.41</v>
      </c>
      <c r="NX629" t="s">
        <v>866</v>
      </c>
      <c r="NY629" t="s">
        <v>866</v>
      </c>
      <c r="OB629" s="3">
        <v>3</v>
      </c>
      <c r="OU629" t="s">
        <v>1308</v>
      </c>
      <c r="OV629" t="s">
        <v>518</v>
      </c>
      <c r="OX629">
        <v>2016</v>
      </c>
      <c r="OY629">
        <v>2017</v>
      </c>
      <c r="PB629" t="s">
        <v>522</v>
      </c>
      <c r="PC629" s="50">
        <v>46129</v>
      </c>
    </row>
    <row r="630" spans="1:419" ht="15.75" thickBot="1">
      <c r="A630" t="s">
        <v>469</v>
      </c>
      <c r="B630" t="s">
        <v>1251</v>
      </c>
      <c r="C630" t="s">
        <v>1252</v>
      </c>
      <c r="D630" s="4" t="s">
        <v>950</v>
      </c>
      <c r="E630" s="81" t="s">
        <v>1253</v>
      </c>
      <c r="F630" t="s">
        <v>1179</v>
      </c>
      <c r="G630" t="s">
        <v>475</v>
      </c>
      <c r="H630" t="s">
        <v>476</v>
      </c>
      <c r="I630">
        <v>30.9</v>
      </c>
      <c r="J630">
        <v>75.75</v>
      </c>
      <c r="K630">
        <v>200</v>
      </c>
      <c r="AV630" t="s">
        <v>1254</v>
      </c>
      <c r="AW630" t="s">
        <v>866</v>
      </c>
      <c r="AX630" t="s">
        <v>866</v>
      </c>
      <c r="AY630">
        <v>2</v>
      </c>
      <c r="AZ630" t="s">
        <v>1255</v>
      </c>
      <c r="BA630">
        <v>2016</v>
      </c>
      <c r="BB630">
        <v>2018</v>
      </c>
      <c r="BD630" t="s">
        <v>1277</v>
      </c>
      <c r="BE630" t="s">
        <v>536</v>
      </c>
      <c r="BF630" t="s">
        <v>484</v>
      </c>
      <c r="BG630" t="s">
        <v>485</v>
      </c>
      <c r="BH630" t="s">
        <v>1257</v>
      </c>
      <c r="BI630" t="s">
        <v>508</v>
      </c>
      <c r="BJ630">
        <v>20</v>
      </c>
      <c r="BK630" t="s">
        <v>555</v>
      </c>
      <c r="BL630" t="s">
        <v>1278</v>
      </c>
      <c r="BM630" t="s">
        <v>480</v>
      </c>
      <c r="BN630" t="s">
        <v>480</v>
      </c>
      <c r="BO630" t="s">
        <v>480</v>
      </c>
      <c r="BP630" t="s">
        <v>555</v>
      </c>
      <c r="BQ630" t="s">
        <v>1279</v>
      </c>
      <c r="BR630" t="s">
        <v>480</v>
      </c>
      <c r="BS630" t="s">
        <v>480</v>
      </c>
      <c r="BT630" t="s">
        <v>480</v>
      </c>
      <c r="BU630" t="s">
        <v>537</v>
      </c>
      <c r="BV630" t="s">
        <v>870</v>
      </c>
      <c r="BW630" t="s">
        <v>480</v>
      </c>
      <c r="BX630" t="s">
        <v>480</v>
      </c>
      <c r="BY630" t="s">
        <v>480</v>
      </c>
      <c r="HT630" s="50">
        <v>42539</v>
      </c>
      <c r="IO630" t="s">
        <v>1303</v>
      </c>
      <c r="IP630" s="46" t="s">
        <v>1280</v>
      </c>
      <c r="IS630">
        <v>2016</v>
      </c>
      <c r="JJ630" t="s">
        <v>1260</v>
      </c>
      <c r="JL630" t="s">
        <v>495</v>
      </c>
      <c r="JP630" t="s">
        <v>508</v>
      </c>
      <c r="JQ630">
        <v>125</v>
      </c>
      <c r="JT630">
        <v>60</v>
      </c>
      <c r="JU630">
        <v>30</v>
      </c>
      <c r="KE630" t="s">
        <v>1261</v>
      </c>
      <c r="KF630" s="75" t="s">
        <v>1001</v>
      </c>
      <c r="KG630" t="s">
        <v>1262</v>
      </c>
      <c r="KH630">
        <v>2</v>
      </c>
      <c r="KI630" t="s">
        <v>1263</v>
      </c>
      <c r="KK630" s="8" t="s">
        <v>1264</v>
      </c>
      <c r="KL630" t="s">
        <v>1265</v>
      </c>
      <c r="KM630">
        <v>3</v>
      </c>
      <c r="KO630" s="8" t="s">
        <v>1266</v>
      </c>
      <c r="KP630" s="64" t="s">
        <v>480</v>
      </c>
      <c r="KQ630" s="64" t="s">
        <v>480</v>
      </c>
      <c r="KS630" t="s">
        <v>1267</v>
      </c>
      <c r="KT630" s="3" t="s">
        <v>480</v>
      </c>
      <c r="KU630" t="s">
        <v>480</v>
      </c>
      <c r="LT630" t="s">
        <v>1268</v>
      </c>
      <c r="LY630" t="s">
        <v>1269</v>
      </c>
      <c r="LZ630">
        <v>206.25</v>
      </c>
      <c r="MA630" s="4" t="s">
        <v>480</v>
      </c>
      <c r="MI630" s="50">
        <v>42997</v>
      </c>
      <c r="MJ630" s="50">
        <v>42997</v>
      </c>
      <c r="MY630" t="s">
        <v>1270</v>
      </c>
      <c r="MZ630" t="s">
        <v>866</v>
      </c>
      <c r="NB630" t="s">
        <v>548</v>
      </c>
      <c r="NI630" t="s">
        <v>1309</v>
      </c>
      <c r="NJ630" t="s">
        <v>1310</v>
      </c>
      <c r="NK630" t="s">
        <v>1311</v>
      </c>
      <c r="NL630" s="4" t="s">
        <v>1312</v>
      </c>
      <c r="NM630" s="6" t="s">
        <v>1313</v>
      </c>
      <c r="NV630" t="s">
        <v>518</v>
      </c>
      <c r="NW630">
        <v>2.42</v>
      </c>
      <c r="NX630" t="s">
        <v>866</v>
      </c>
      <c r="NY630" t="s">
        <v>866</v>
      </c>
      <c r="OB630" s="3">
        <v>3</v>
      </c>
      <c r="OU630" t="s">
        <v>1308</v>
      </c>
      <c r="OV630" t="s">
        <v>518</v>
      </c>
      <c r="OX630">
        <v>2016</v>
      </c>
      <c r="OY630">
        <v>2017</v>
      </c>
      <c r="PB630" t="s">
        <v>522</v>
      </c>
      <c r="PC630" s="50">
        <v>46129</v>
      </c>
    </row>
    <row r="631" spans="1:419" ht="15.75" thickBot="1">
      <c r="A631" t="s">
        <v>469</v>
      </c>
      <c r="B631" t="s">
        <v>1251</v>
      </c>
      <c r="C631" t="s">
        <v>1252</v>
      </c>
      <c r="D631" s="4" t="s">
        <v>950</v>
      </c>
      <c r="E631" s="81" t="s">
        <v>1253</v>
      </c>
      <c r="F631" t="s">
        <v>1179</v>
      </c>
      <c r="G631" t="s">
        <v>475</v>
      </c>
      <c r="H631" t="s">
        <v>476</v>
      </c>
      <c r="I631">
        <v>30.9</v>
      </c>
      <c r="J631">
        <v>75.75</v>
      </c>
      <c r="K631">
        <v>200</v>
      </c>
      <c r="AV631" t="s">
        <v>1254</v>
      </c>
      <c r="AW631" t="s">
        <v>866</v>
      </c>
      <c r="AX631" t="s">
        <v>866</v>
      </c>
      <c r="AY631">
        <v>2</v>
      </c>
      <c r="AZ631" t="s">
        <v>1255</v>
      </c>
      <c r="BA631">
        <v>2016</v>
      </c>
      <c r="BB631">
        <v>2018</v>
      </c>
      <c r="BD631" t="s">
        <v>1282</v>
      </c>
      <c r="BE631" t="s">
        <v>566</v>
      </c>
      <c r="BF631" t="s">
        <v>484</v>
      </c>
      <c r="BG631" t="s">
        <v>485</v>
      </c>
      <c r="BH631" t="s">
        <v>1257</v>
      </c>
      <c r="BI631" t="s">
        <v>508</v>
      </c>
      <c r="BJ631">
        <v>20</v>
      </c>
      <c r="BK631" t="s">
        <v>537</v>
      </c>
      <c r="BL631" t="s">
        <v>538</v>
      </c>
      <c r="BM631" t="s">
        <v>480</v>
      </c>
      <c r="BN631" t="s">
        <v>480</v>
      </c>
      <c r="BO631" t="s">
        <v>480</v>
      </c>
      <c r="BP631" t="s">
        <v>555</v>
      </c>
      <c r="BQ631" t="s">
        <v>1278</v>
      </c>
      <c r="BR631" t="s">
        <v>480</v>
      </c>
      <c r="BS631" t="s">
        <v>480</v>
      </c>
      <c r="BT631" t="s">
        <v>480</v>
      </c>
      <c r="BU631" t="s">
        <v>555</v>
      </c>
      <c r="BV631" t="s">
        <v>1279</v>
      </c>
      <c r="BW631" t="s">
        <v>480</v>
      </c>
      <c r="BX631" t="s">
        <v>480</v>
      </c>
      <c r="BY631" t="s">
        <v>480</v>
      </c>
      <c r="BZ631" t="s">
        <v>537</v>
      </c>
      <c r="CA631" t="s">
        <v>870</v>
      </c>
      <c r="CB631" t="s">
        <v>480</v>
      </c>
      <c r="CC631" t="s">
        <v>480</v>
      </c>
      <c r="CD631" t="s">
        <v>480</v>
      </c>
      <c r="HT631" s="50">
        <v>42539</v>
      </c>
      <c r="IO631" t="s">
        <v>1304</v>
      </c>
      <c r="IP631" s="46" t="s">
        <v>1280</v>
      </c>
      <c r="IS631">
        <v>2016</v>
      </c>
      <c r="JJ631" t="s">
        <v>1260</v>
      </c>
      <c r="JL631" t="s">
        <v>495</v>
      </c>
      <c r="JP631" t="s">
        <v>508</v>
      </c>
      <c r="JQ631">
        <v>125</v>
      </c>
      <c r="JT631">
        <v>60</v>
      </c>
      <c r="JU631">
        <v>30</v>
      </c>
      <c r="KE631" t="s">
        <v>1261</v>
      </c>
      <c r="KF631" s="75" t="s">
        <v>1001</v>
      </c>
      <c r="KG631" t="s">
        <v>1262</v>
      </c>
      <c r="KH631">
        <v>2</v>
      </c>
      <c r="KI631" t="s">
        <v>1263</v>
      </c>
      <c r="KK631" s="8" t="s">
        <v>1264</v>
      </c>
      <c r="KL631" t="s">
        <v>1265</v>
      </c>
      <c r="KM631">
        <v>3</v>
      </c>
      <c r="KO631" s="8" t="s">
        <v>1266</v>
      </c>
      <c r="KP631" s="64" t="s">
        <v>480</v>
      </c>
      <c r="KQ631" s="64" t="s">
        <v>480</v>
      </c>
      <c r="KS631" t="s">
        <v>1267</v>
      </c>
      <c r="KT631" s="3" t="s">
        <v>480</v>
      </c>
      <c r="KU631" t="s">
        <v>480</v>
      </c>
      <c r="LT631" t="s">
        <v>1268</v>
      </c>
      <c r="LY631" t="s">
        <v>1269</v>
      </c>
      <c r="LZ631">
        <v>206.25</v>
      </c>
      <c r="MA631" s="4" t="s">
        <v>480</v>
      </c>
      <c r="MI631" s="50">
        <v>42997</v>
      </c>
      <c r="MJ631" s="50">
        <v>42997</v>
      </c>
      <c r="MY631" t="s">
        <v>1270</v>
      </c>
      <c r="MZ631" t="s">
        <v>866</v>
      </c>
      <c r="NB631" t="s">
        <v>548</v>
      </c>
      <c r="NI631" t="s">
        <v>1309</v>
      </c>
      <c r="NJ631" t="s">
        <v>1310</v>
      </c>
      <c r="NK631" t="s">
        <v>1311</v>
      </c>
      <c r="NL631" s="4" t="s">
        <v>1312</v>
      </c>
      <c r="NM631" s="6" t="s">
        <v>1313</v>
      </c>
      <c r="NV631" t="s">
        <v>518</v>
      </c>
      <c r="NW631">
        <v>2.44</v>
      </c>
      <c r="NX631" t="s">
        <v>866</v>
      </c>
      <c r="NY631" t="s">
        <v>866</v>
      </c>
      <c r="OB631" s="3">
        <v>3</v>
      </c>
      <c r="OU631" t="s">
        <v>1308</v>
      </c>
      <c r="OV631" t="s">
        <v>518</v>
      </c>
      <c r="OX631">
        <v>2016</v>
      </c>
      <c r="OY631">
        <v>2017</v>
      </c>
      <c r="PB631" t="s">
        <v>522</v>
      </c>
      <c r="PC631" s="50">
        <v>46129</v>
      </c>
    </row>
    <row r="632" spans="1:419" ht="15.75" thickBot="1">
      <c r="A632" t="s">
        <v>469</v>
      </c>
      <c r="B632" t="s">
        <v>1251</v>
      </c>
      <c r="C632" t="s">
        <v>1252</v>
      </c>
      <c r="D632" s="4" t="s">
        <v>950</v>
      </c>
      <c r="E632" s="81" t="s">
        <v>1253</v>
      </c>
      <c r="F632" t="s">
        <v>1179</v>
      </c>
      <c r="G632" t="s">
        <v>475</v>
      </c>
      <c r="H632" t="s">
        <v>476</v>
      </c>
      <c r="I632">
        <v>30.9</v>
      </c>
      <c r="J632">
        <v>75.75</v>
      </c>
      <c r="K632">
        <v>200</v>
      </c>
      <c r="AV632" t="s">
        <v>1254</v>
      </c>
      <c r="AW632" t="s">
        <v>866</v>
      </c>
      <c r="AX632" t="s">
        <v>866</v>
      </c>
      <c r="AY632">
        <v>2</v>
      </c>
      <c r="AZ632" t="s">
        <v>1255</v>
      </c>
      <c r="BA632">
        <v>2016</v>
      </c>
      <c r="BB632">
        <v>2018</v>
      </c>
      <c r="BD632" t="s">
        <v>1285</v>
      </c>
      <c r="BE632" t="s">
        <v>572</v>
      </c>
      <c r="BF632" t="s">
        <v>484</v>
      </c>
      <c r="BG632" t="s">
        <v>485</v>
      </c>
      <c r="BH632" t="s">
        <v>1257</v>
      </c>
      <c r="BI632" t="s">
        <v>508</v>
      </c>
      <c r="BJ632">
        <v>20</v>
      </c>
      <c r="BK632" t="s">
        <v>537</v>
      </c>
      <c r="BL632" t="s">
        <v>538</v>
      </c>
      <c r="BM632" t="s">
        <v>480</v>
      </c>
      <c r="BN632" t="s">
        <v>480</v>
      </c>
      <c r="BO632" t="s">
        <v>480</v>
      </c>
      <c r="BP632" t="s">
        <v>555</v>
      </c>
      <c r="BQ632" t="s">
        <v>1278</v>
      </c>
      <c r="BR632" t="s">
        <v>480</v>
      </c>
      <c r="BS632" t="s">
        <v>480</v>
      </c>
      <c r="BT632" t="s">
        <v>480</v>
      </c>
      <c r="HT632" s="50">
        <v>42539</v>
      </c>
      <c r="IO632" t="s">
        <v>1286</v>
      </c>
      <c r="IP632" s="46" t="s">
        <v>1280</v>
      </c>
      <c r="IS632">
        <v>2016</v>
      </c>
      <c r="JJ632" t="s">
        <v>1260</v>
      </c>
      <c r="JL632" t="s">
        <v>495</v>
      </c>
      <c r="JP632" t="s">
        <v>508</v>
      </c>
      <c r="JQ632">
        <v>125</v>
      </c>
      <c r="JT632">
        <v>60</v>
      </c>
      <c r="JU632">
        <v>30</v>
      </c>
      <c r="KE632" t="s">
        <v>1261</v>
      </c>
      <c r="KF632" s="75" t="s">
        <v>1001</v>
      </c>
      <c r="KG632" t="s">
        <v>1262</v>
      </c>
      <c r="KH632">
        <v>2</v>
      </c>
      <c r="KI632" t="s">
        <v>1263</v>
      </c>
      <c r="KK632" s="8" t="s">
        <v>1264</v>
      </c>
      <c r="KL632" t="s">
        <v>1265</v>
      </c>
      <c r="KM632">
        <v>3</v>
      </c>
      <c r="KO632" s="8" t="s">
        <v>1266</v>
      </c>
      <c r="KP632" s="64" t="s">
        <v>480</v>
      </c>
      <c r="KQ632" s="64" t="s">
        <v>480</v>
      </c>
      <c r="KS632" t="s">
        <v>1267</v>
      </c>
      <c r="KT632" s="3" t="s">
        <v>480</v>
      </c>
      <c r="KU632" t="s">
        <v>480</v>
      </c>
      <c r="LT632" t="s">
        <v>1268</v>
      </c>
      <c r="LY632" t="s">
        <v>1269</v>
      </c>
      <c r="LZ632">
        <v>206.25</v>
      </c>
      <c r="MA632" s="4" t="s">
        <v>480</v>
      </c>
      <c r="MI632" s="50">
        <v>42997</v>
      </c>
      <c r="MJ632" s="50">
        <v>42997</v>
      </c>
      <c r="MY632" t="s">
        <v>1270</v>
      </c>
      <c r="MZ632" t="s">
        <v>866</v>
      </c>
      <c r="NB632" t="s">
        <v>548</v>
      </c>
      <c r="NI632" t="s">
        <v>1309</v>
      </c>
      <c r="NJ632" t="s">
        <v>1310</v>
      </c>
      <c r="NK632" t="s">
        <v>1311</v>
      </c>
      <c r="NL632" s="4" t="s">
        <v>1312</v>
      </c>
      <c r="NM632" s="6" t="s">
        <v>1313</v>
      </c>
      <c r="NV632" t="s">
        <v>518</v>
      </c>
      <c r="NW632">
        <v>2.4700000000000002</v>
      </c>
      <c r="NX632" t="s">
        <v>866</v>
      </c>
      <c r="NY632" t="s">
        <v>866</v>
      </c>
      <c r="OB632" s="3">
        <v>3</v>
      </c>
      <c r="OU632" t="s">
        <v>1308</v>
      </c>
      <c r="OV632" t="s">
        <v>518</v>
      </c>
      <c r="OX632">
        <v>2016</v>
      </c>
      <c r="OY632">
        <v>2017</v>
      </c>
      <c r="PB632" t="s">
        <v>522</v>
      </c>
      <c r="PC632" s="50">
        <v>46129</v>
      </c>
    </row>
    <row r="633" spans="1:419" ht="15.75" thickBot="1">
      <c r="A633" t="s">
        <v>469</v>
      </c>
      <c r="B633" t="s">
        <v>1251</v>
      </c>
      <c r="C633" t="s">
        <v>1252</v>
      </c>
      <c r="D633" s="4" t="s">
        <v>950</v>
      </c>
      <c r="E633" s="81" t="s">
        <v>1253</v>
      </c>
      <c r="F633" t="s">
        <v>1179</v>
      </c>
      <c r="G633" t="s">
        <v>475</v>
      </c>
      <c r="H633" t="s">
        <v>476</v>
      </c>
      <c r="I633">
        <v>30.9</v>
      </c>
      <c r="J633">
        <v>75.75</v>
      </c>
      <c r="K633">
        <v>200</v>
      </c>
      <c r="AV633" t="s">
        <v>1254</v>
      </c>
      <c r="AW633" t="s">
        <v>866</v>
      </c>
      <c r="AX633" t="s">
        <v>866</v>
      </c>
      <c r="AY633">
        <v>2</v>
      </c>
      <c r="AZ633" t="s">
        <v>1255</v>
      </c>
      <c r="BA633">
        <v>2016</v>
      </c>
      <c r="BB633">
        <v>2018</v>
      </c>
      <c r="BD633" t="s">
        <v>1288</v>
      </c>
      <c r="BE633" t="s">
        <v>553</v>
      </c>
      <c r="BF633" t="s">
        <v>484</v>
      </c>
      <c r="BG633" t="s">
        <v>485</v>
      </c>
      <c r="BH633" t="s">
        <v>1257</v>
      </c>
      <c r="BI633" t="s">
        <v>508</v>
      </c>
      <c r="BJ633">
        <v>20</v>
      </c>
      <c r="BK633" t="s">
        <v>537</v>
      </c>
      <c r="BL633" t="s">
        <v>538</v>
      </c>
      <c r="BM633" t="s">
        <v>480</v>
      </c>
      <c r="BN633" t="s">
        <v>480</v>
      </c>
      <c r="BO633" t="s">
        <v>480</v>
      </c>
      <c r="BP633" t="s">
        <v>555</v>
      </c>
      <c r="BQ633" t="s">
        <v>1289</v>
      </c>
      <c r="BR633" t="s">
        <v>480</v>
      </c>
      <c r="BS633" t="s">
        <v>480</v>
      </c>
      <c r="BT633" t="s">
        <v>480</v>
      </c>
      <c r="BU633" t="s">
        <v>555</v>
      </c>
      <c r="BV633" t="s">
        <v>1290</v>
      </c>
      <c r="BW633" t="s">
        <v>480</v>
      </c>
      <c r="BX633" t="s">
        <v>480</v>
      </c>
      <c r="BY633" t="s">
        <v>480</v>
      </c>
      <c r="HT633" s="50">
        <v>42539</v>
      </c>
      <c r="IO633" t="s">
        <v>1299</v>
      </c>
      <c r="IP633" s="46" t="s">
        <v>1280</v>
      </c>
      <c r="IS633">
        <v>2016</v>
      </c>
      <c r="JJ633" t="s">
        <v>1260</v>
      </c>
      <c r="JL633" t="s">
        <v>495</v>
      </c>
      <c r="JP633" t="s">
        <v>508</v>
      </c>
      <c r="JQ633">
        <v>125</v>
      </c>
      <c r="JT633">
        <v>60</v>
      </c>
      <c r="JU633">
        <v>30</v>
      </c>
      <c r="KE633" t="s">
        <v>1261</v>
      </c>
      <c r="KF633" s="75" t="s">
        <v>1001</v>
      </c>
      <c r="KG633" t="s">
        <v>1262</v>
      </c>
      <c r="KH633">
        <v>2</v>
      </c>
      <c r="KI633" t="s">
        <v>1263</v>
      </c>
      <c r="KK633" s="8" t="s">
        <v>1264</v>
      </c>
      <c r="KL633" t="s">
        <v>1265</v>
      </c>
      <c r="KM633">
        <v>3</v>
      </c>
      <c r="KO633" s="8" t="s">
        <v>1266</v>
      </c>
      <c r="KP633" s="64" t="s">
        <v>480</v>
      </c>
      <c r="KQ633" s="64" t="s">
        <v>480</v>
      </c>
      <c r="KS633" t="s">
        <v>1267</v>
      </c>
      <c r="KT633" s="3" t="s">
        <v>480</v>
      </c>
      <c r="KU633" t="s">
        <v>480</v>
      </c>
      <c r="LT633" t="s">
        <v>1268</v>
      </c>
      <c r="LY633" t="s">
        <v>1269</v>
      </c>
      <c r="LZ633">
        <v>206.25</v>
      </c>
      <c r="MA633" s="4" t="s">
        <v>480</v>
      </c>
      <c r="MI633" s="50">
        <v>42997</v>
      </c>
      <c r="MJ633" s="50">
        <v>42997</v>
      </c>
      <c r="MY633" t="s">
        <v>1270</v>
      </c>
      <c r="MZ633" t="s">
        <v>866</v>
      </c>
      <c r="NB633" t="s">
        <v>548</v>
      </c>
      <c r="NI633" t="s">
        <v>1309</v>
      </c>
      <c r="NJ633" t="s">
        <v>1310</v>
      </c>
      <c r="NK633" t="s">
        <v>1311</v>
      </c>
      <c r="NL633" s="4" t="s">
        <v>1312</v>
      </c>
      <c r="NM633" s="6" t="s">
        <v>1313</v>
      </c>
      <c r="NV633" t="s">
        <v>518</v>
      </c>
      <c r="NW633">
        <v>2.46</v>
      </c>
      <c r="NX633" t="s">
        <v>866</v>
      </c>
      <c r="NY633" t="s">
        <v>866</v>
      </c>
      <c r="OB633" s="3">
        <v>3</v>
      </c>
      <c r="OU633" t="s">
        <v>1308</v>
      </c>
      <c r="OV633" t="s">
        <v>518</v>
      </c>
      <c r="OX633">
        <v>2016</v>
      </c>
      <c r="OY633">
        <v>2017</v>
      </c>
      <c r="PB633" t="s">
        <v>522</v>
      </c>
      <c r="PC633" s="50">
        <v>46129</v>
      </c>
    </row>
    <row r="634" spans="1:419" ht="15.75" thickBot="1">
      <c r="A634" t="s">
        <v>469</v>
      </c>
      <c r="B634" t="s">
        <v>1251</v>
      </c>
      <c r="C634" t="s">
        <v>1252</v>
      </c>
      <c r="D634" s="4" t="s">
        <v>950</v>
      </c>
      <c r="E634" s="81" t="s">
        <v>1253</v>
      </c>
      <c r="F634" t="s">
        <v>1179</v>
      </c>
      <c r="G634" t="s">
        <v>475</v>
      </c>
      <c r="H634" t="s">
        <v>476</v>
      </c>
      <c r="I634">
        <v>30.9</v>
      </c>
      <c r="J634">
        <v>75.75</v>
      </c>
      <c r="K634">
        <v>200</v>
      </c>
      <c r="AV634" t="s">
        <v>1254</v>
      </c>
      <c r="AW634" t="s">
        <v>866</v>
      </c>
      <c r="AX634" t="s">
        <v>866</v>
      </c>
      <c r="AY634">
        <v>2</v>
      </c>
      <c r="AZ634" t="s">
        <v>1255</v>
      </c>
      <c r="BA634">
        <v>2016</v>
      </c>
      <c r="BB634">
        <v>2018</v>
      </c>
      <c r="BD634" s="3" t="s">
        <v>1293</v>
      </c>
      <c r="BE634" t="s">
        <v>607</v>
      </c>
      <c r="BF634" t="s">
        <v>484</v>
      </c>
      <c r="BG634" t="s">
        <v>485</v>
      </c>
      <c r="BH634" t="s">
        <v>1257</v>
      </c>
      <c r="BI634" t="s">
        <v>508</v>
      </c>
      <c r="BJ634">
        <v>20</v>
      </c>
      <c r="BK634" t="s">
        <v>555</v>
      </c>
      <c r="BL634" t="s">
        <v>1294</v>
      </c>
      <c r="BM634" t="s">
        <v>480</v>
      </c>
      <c r="BN634" t="s">
        <v>480</v>
      </c>
      <c r="BO634" t="s">
        <v>480</v>
      </c>
      <c r="BP634" t="s">
        <v>555</v>
      </c>
      <c r="BQ634" t="s">
        <v>1289</v>
      </c>
      <c r="BR634" t="s">
        <v>480</v>
      </c>
      <c r="BS634" t="s">
        <v>480</v>
      </c>
      <c r="BT634" t="s">
        <v>480</v>
      </c>
      <c r="BU634" t="s">
        <v>555</v>
      </c>
      <c r="BV634" t="s">
        <v>1290</v>
      </c>
      <c r="BW634" t="s">
        <v>480</v>
      </c>
      <c r="BX634" t="s">
        <v>480</v>
      </c>
      <c r="BY634" t="s">
        <v>480</v>
      </c>
      <c r="HT634" s="50">
        <v>42539</v>
      </c>
      <c r="IO634" t="s">
        <v>1293</v>
      </c>
      <c r="IP634" s="46" t="s">
        <v>1280</v>
      </c>
      <c r="IS634">
        <v>2016</v>
      </c>
      <c r="JJ634" t="s">
        <v>1260</v>
      </c>
      <c r="JL634" t="s">
        <v>495</v>
      </c>
      <c r="JP634" t="s">
        <v>508</v>
      </c>
      <c r="JQ634">
        <v>125</v>
      </c>
      <c r="JT634">
        <v>60</v>
      </c>
      <c r="JU634">
        <v>30</v>
      </c>
      <c r="KE634" t="s">
        <v>1261</v>
      </c>
      <c r="KF634" s="75" t="s">
        <v>1001</v>
      </c>
      <c r="KG634" t="s">
        <v>1262</v>
      </c>
      <c r="KH634">
        <v>2</v>
      </c>
      <c r="KI634" t="s">
        <v>1263</v>
      </c>
      <c r="KK634" s="8" t="s">
        <v>1264</v>
      </c>
      <c r="KL634" t="s">
        <v>1265</v>
      </c>
      <c r="KM634">
        <v>3</v>
      </c>
      <c r="KO634" s="8" t="s">
        <v>1266</v>
      </c>
      <c r="KP634" s="64" t="s">
        <v>480</v>
      </c>
      <c r="KQ634" s="64" t="s">
        <v>480</v>
      </c>
      <c r="KS634" t="s">
        <v>1267</v>
      </c>
      <c r="KT634" s="3" t="s">
        <v>480</v>
      </c>
      <c r="KU634" t="s">
        <v>480</v>
      </c>
      <c r="LT634" t="s">
        <v>1268</v>
      </c>
      <c r="LY634" t="s">
        <v>1269</v>
      </c>
      <c r="LZ634">
        <v>206.25</v>
      </c>
      <c r="MA634" s="4" t="s">
        <v>480</v>
      </c>
      <c r="MI634" s="50">
        <v>42997</v>
      </c>
      <c r="MJ634" s="50">
        <v>42997</v>
      </c>
      <c r="MY634" t="s">
        <v>1270</v>
      </c>
      <c r="MZ634" t="s">
        <v>866</v>
      </c>
      <c r="NB634" t="s">
        <v>548</v>
      </c>
      <c r="NI634" t="s">
        <v>1309</v>
      </c>
      <c r="NJ634" t="s">
        <v>1310</v>
      </c>
      <c r="NK634" t="s">
        <v>1311</v>
      </c>
      <c r="NL634" s="4" t="s">
        <v>1312</v>
      </c>
      <c r="NM634" s="6" t="s">
        <v>1313</v>
      </c>
      <c r="NV634" t="s">
        <v>518</v>
      </c>
      <c r="NW634">
        <v>2.39</v>
      </c>
      <c r="NX634" t="s">
        <v>866</v>
      </c>
      <c r="NY634" t="s">
        <v>866</v>
      </c>
      <c r="OB634" s="3">
        <v>3</v>
      </c>
      <c r="OU634" t="s">
        <v>1308</v>
      </c>
      <c r="OV634" t="s">
        <v>518</v>
      </c>
      <c r="OX634">
        <v>2016</v>
      </c>
      <c r="OY634">
        <v>2017</v>
      </c>
      <c r="PB634" t="s">
        <v>522</v>
      </c>
      <c r="PC634" s="50">
        <v>46129</v>
      </c>
    </row>
    <row r="635" spans="1:419" ht="15.75" thickBot="1">
      <c r="A635" t="s">
        <v>469</v>
      </c>
      <c r="B635" t="s">
        <v>1251</v>
      </c>
      <c r="C635" t="s">
        <v>1252</v>
      </c>
      <c r="D635" s="4" t="s">
        <v>950</v>
      </c>
      <c r="E635" s="81" t="s">
        <v>1253</v>
      </c>
      <c r="F635" t="s">
        <v>1179</v>
      </c>
      <c r="G635" t="s">
        <v>475</v>
      </c>
      <c r="H635" t="s">
        <v>476</v>
      </c>
      <c r="I635">
        <v>30.9</v>
      </c>
      <c r="J635">
        <v>75.75</v>
      </c>
      <c r="K635">
        <v>200</v>
      </c>
      <c r="AV635" t="s">
        <v>1254</v>
      </c>
      <c r="AW635" t="s">
        <v>866</v>
      </c>
      <c r="AX635" t="s">
        <v>866</v>
      </c>
      <c r="AY635">
        <v>2</v>
      </c>
      <c r="AZ635" t="s">
        <v>1255</v>
      </c>
      <c r="BA635">
        <v>2016</v>
      </c>
      <c r="BB635">
        <v>2018</v>
      </c>
      <c r="BD635" s="15" t="s">
        <v>1296</v>
      </c>
      <c r="BE635" t="s">
        <v>611</v>
      </c>
      <c r="BF635" t="s">
        <v>484</v>
      </c>
      <c r="BG635" t="s">
        <v>485</v>
      </c>
      <c r="BH635" t="s">
        <v>1257</v>
      </c>
      <c r="BI635" t="s">
        <v>508</v>
      </c>
      <c r="BJ635">
        <v>20</v>
      </c>
      <c r="BK635" t="s">
        <v>537</v>
      </c>
      <c r="BL635" t="s">
        <v>538</v>
      </c>
      <c r="BM635" t="s">
        <v>480</v>
      </c>
      <c r="BN635" t="s">
        <v>480</v>
      </c>
      <c r="BO635" t="s">
        <v>480</v>
      </c>
      <c r="BP635" t="s">
        <v>555</v>
      </c>
      <c r="BQ635" t="s">
        <v>1294</v>
      </c>
      <c r="BR635" t="s">
        <v>480</v>
      </c>
      <c r="BS635" t="s">
        <v>480</v>
      </c>
      <c r="BT635" t="s">
        <v>480</v>
      </c>
      <c r="BU635" t="s">
        <v>555</v>
      </c>
      <c r="BV635" t="s">
        <v>1289</v>
      </c>
      <c r="BW635" t="s">
        <v>480</v>
      </c>
      <c r="BX635" t="s">
        <v>480</v>
      </c>
      <c r="BY635" t="s">
        <v>480</v>
      </c>
      <c r="BZ635" t="s">
        <v>555</v>
      </c>
      <c r="CA635" t="s">
        <v>1290</v>
      </c>
      <c r="CB635" t="s">
        <v>480</v>
      </c>
      <c r="CC635" t="s">
        <v>480</v>
      </c>
      <c r="CD635" t="s">
        <v>480</v>
      </c>
      <c r="HT635" s="50">
        <v>42539</v>
      </c>
      <c r="IO635" t="s">
        <v>1297</v>
      </c>
      <c r="IP635" s="46" t="s">
        <v>1280</v>
      </c>
      <c r="IS635">
        <v>2016</v>
      </c>
      <c r="JJ635" t="s">
        <v>1260</v>
      </c>
      <c r="JL635" t="s">
        <v>495</v>
      </c>
      <c r="JP635" t="s">
        <v>508</v>
      </c>
      <c r="JQ635">
        <v>125</v>
      </c>
      <c r="JT635">
        <v>60</v>
      </c>
      <c r="JU635">
        <v>30</v>
      </c>
      <c r="KE635" t="s">
        <v>1261</v>
      </c>
      <c r="KF635" s="75" t="s">
        <v>1001</v>
      </c>
      <c r="KG635" t="s">
        <v>1262</v>
      </c>
      <c r="KH635">
        <v>2</v>
      </c>
      <c r="KI635" t="s">
        <v>1263</v>
      </c>
      <c r="KK635" s="8" t="s">
        <v>1264</v>
      </c>
      <c r="KL635" t="s">
        <v>1265</v>
      </c>
      <c r="KM635">
        <v>3</v>
      </c>
      <c r="KO635" s="8" t="s">
        <v>1266</v>
      </c>
      <c r="KP635" s="64" t="s">
        <v>480</v>
      </c>
      <c r="KQ635" s="64" t="s">
        <v>480</v>
      </c>
      <c r="KS635" t="s">
        <v>1267</v>
      </c>
      <c r="KT635" s="3" t="s">
        <v>480</v>
      </c>
      <c r="KU635" t="s">
        <v>480</v>
      </c>
      <c r="LT635" t="s">
        <v>1268</v>
      </c>
      <c r="LY635" t="s">
        <v>1269</v>
      </c>
      <c r="LZ635">
        <v>206.25</v>
      </c>
      <c r="MA635" s="4" t="s">
        <v>480</v>
      </c>
      <c r="MI635" s="50">
        <v>42997</v>
      </c>
      <c r="MJ635" s="50">
        <v>42997</v>
      </c>
      <c r="MY635" t="s">
        <v>1270</v>
      </c>
      <c r="MZ635" t="s">
        <v>866</v>
      </c>
      <c r="NB635" t="s">
        <v>548</v>
      </c>
      <c r="NI635" t="s">
        <v>1309</v>
      </c>
      <c r="NJ635" t="s">
        <v>1310</v>
      </c>
      <c r="NK635" t="s">
        <v>1311</v>
      </c>
      <c r="NL635" s="4" t="s">
        <v>1312</v>
      </c>
      <c r="NM635" s="6" t="s">
        <v>1313</v>
      </c>
      <c r="NV635" t="s">
        <v>518</v>
      </c>
      <c r="NW635">
        <v>2.48</v>
      </c>
      <c r="NX635" t="s">
        <v>866</v>
      </c>
      <c r="NY635" t="s">
        <v>866</v>
      </c>
      <c r="OB635" s="3">
        <v>3</v>
      </c>
      <c r="OU635" t="s">
        <v>1308</v>
      </c>
      <c r="OV635" t="s">
        <v>518</v>
      </c>
      <c r="OX635">
        <v>2016</v>
      </c>
      <c r="OY635">
        <v>2017</v>
      </c>
      <c r="PB635" t="s">
        <v>522</v>
      </c>
      <c r="PC635" s="50">
        <v>46129</v>
      </c>
    </row>
    <row r="636" spans="1:419" ht="15.75" thickBot="1">
      <c r="A636" t="s">
        <v>469</v>
      </c>
      <c r="B636" t="s">
        <v>1251</v>
      </c>
      <c r="C636" t="s">
        <v>1252</v>
      </c>
      <c r="D636" s="4" t="s">
        <v>950</v>
      </c>
      <c r="E636" s="81" t="s">
        <v>1253</v>
      </c>
      <c r="F636" t="s">
        <v>1179</v>
      </c>
      <c r="G636" t="s">
        <v>475</v>
      </c>
      <c r="H636" t="s">
        <v>476</v>
      </c>
      <c r="I636">
        <v>30.9</v>
      </c>
      <c r="J636">
        <v>75.75</v>
      </c>
      <c r="K636">
        <v>200</v>
      </c>
      <c r="AV636" t="s">
        <v>1254</v>
      </c>
      <c r="AW636" t="s">
        <v>866</v>
      </c>
      <c r="AX636" t="s">
        <v>866</v>
      </c>
      <c r="AY636">
        <v>2</v>
      </c>
      <c r="AZ636" t="s">
        <v>1255</v>
      </c>
      <c r="BA636">
        <v>2016</v>
      </c>
      <c r="BB636">
        <v>2018</v>
      </c>
      <c r="BD636" t="s">
        <v>1256</v>
      </c>
      <c r="BE636" t="s">
        <v>524</v>
      </c>
      <c r="BF636" t="s">
        <v>484</v>
      </c>
      <c r="BG636" t="s">
        <v>485</v>
      </c>
      <c r="BH636" t="s">
        <v>1257</v>
      </c>
      <c r="BI636" t="s">
        <v>508</v>
      </c>
      <c r="BJ636">
        <v>20</v>
      </c>
      <c r="BK636" t="s">
        <v>555</v>
      </c>
      <c r="BL636" t="s">
        <v>1258</v>
      </c>
      <c r="BM636" t="s">
        <v>480</v>
      </c>
      <c r="BN636" t="s">
        <v>480</v>
      </c>
      <c r="BO636" t="s">
        <v>480</v>
      </c>
      <c r="HT636" s="50">
        <v>42907</v>
      </c>
      <c r="IO636" t="s">
        <v>1256</v>
      </c>
      <c r="IP636" s="46" t="s">
        <v>1259</v>
      </c>
      <c r="IS636">
        <v>2016</v>
      </c>
      <c r="JJ636" t="s">
        <v>1260</v>
      </c>
      <c r="JL636" t="s">
        <v>495</v>
      </c>
      <c r="JP636" t="s">
        <v>508</v>
      </c>
      <c r="JQ636">
        <v>125</v>
      </c>
      <c r="JT636">
        <v>60</v>
      </c>
      <c r="JU636">
        <v>30</v>
      </c>
      <c r="KE636" t="s">
        <v>1261</v>
      </c>
      <c r="KF636" s="75" t="s">
        <v>1001</v>
      </c>
      <c r="KG636" t="s">
        <v>1262</v>
      </c>
      <c r="KH636">
        <v>2</v>
      </c>
      <c r="KI636" t="s">
        <v>1263</v>
      </c>
      <c r="KK636" s="8" t="s">
        <v>1264</v>
      </c>
      <c r="KL636" t="s">
        <v>1265</v>
      </c>
      <c r="KM636">
        <v>3</v>
      </c>
      <c r="KO636" s="8" t="s">
        <v>1266</v>
      </c>
      <c r="KP636" s="64" t="s">
        <v>480</v>
      </c>
      <c r="KQ636" s="64" t="s">
        <v>480</v>
      </c>
      <c r="KS636" t="s">
        <v>1267</v>
      </c>
      <c r="KT636" s="3" t="s">
        <v>480</v>
      </c>
      <c r="KU636" t="s">
        <v>480</v>
      </c>
      <c r="LT636" t="s">
        <v>1268</v>
      </c>
      <c r="LY636" t="s">
        <v>1269</v>
      </c>
      <c r="LZ636">
        <v>225</v>
      </c>
      <c r="MA636" s="4" t="s">
        <v>480</v>
      </c>
      <c r="MI636" s="50">
        <v>43362</v>
      </c>
      <c r="MJ636" s="50">
        <v>43362</v>
      </c>
      <c r="MY636" t="s">
        <v>1270</v>
      </c>
      <c r="MZ636" t="s">
        <v>866</v>
      </c>
      <c r="NB636" t="s">
        <v>548</v>
      </c>
      <c r="NI636" t="s">
        <v>1309</v>
      </c>
      <c r="NJ636" t="s">
        <v>1310</v>
      </c>
      <c r="NK636" t="s">
        <v>1311</v>
      </c>
      <c r="NL636" s="4" t="s">
        <v>1312</v>
      </c>
      <c r="NM636" s="6" t="s">
        <v>1313</v>
      </c>
      <c r="NU636" t="s">
        <v>1025</v>
      </c>
      <c r="NV636" t="s">
        <v>518</v>
      </c>
      <c r="NW636">
        <v>2.3199999999999998</v>
      </c>
      <c r="NX636" t="s">
        <v>866</v>
      </c>
      <c r="NY636" t="s">
        <v>866</v>
      </c>
      <c r="OB636" s="3">
        <v>3</v>
      </c>
      <c r="OU636" t="s">
        <v>1308</v>
      </c>
      <c r="OV636" t="s">
        <v>518</v>
      </c>
      <c r="OX636">
        <v>2017</v>
      </c>
      <c r="OY636">
        <v>2018</v>
      </c>
      <c r="PB636" t="s">
        <v>522</v>
      </c>
      <c r="PC636" s="50">
        <v>46129</v>
      </c>
    </row>
    <row r="637" spans="1:419" ht="15.75" thickBot="1">
      <c r="A637" t="s">
        <v>469</v>
      </c>
      <c r="B637" t="s">
        <v>1251</v>
      </c>
      <c r="C637" t="s">
        <v>1252</v>
      </c>
      <c r="D637" s="4" t="s">
        <v>950</v>
      </c>
      <c r="E637" s="81" t="s">
        <v>1253</v>
      </c>
      <c r="F637" t="s">
        <v>1179</v>
      </c>
      <c r="G637" t="s">
        <v>475</v>
      </c>
      <c r="H637" t="s">
        <v>476</v>
      </c>
      <c r="I637">
        <v>30.9</v>
      </c>
      <c r="J637">
        <v>75.75</v>
      </c>
      <c r="K637">
        <v>200</v>
      </c>
      <c r="AV637" t="s">
        <v>1254</v>
      </c>
      <c r="AW637" t="s">
        <v>866</v>
      </c>
      <c r="AX637" t="s">
        <v>866</v>
      </c>
      <c r="AY637">
        <v>2</v>
      </c>
      <c r="AZ637" t="s">
        <v>1255</v>
      </c>
      <c r="BA637">
        <v>2016</v>
      </c>
      <c r="BB637">
        <v>2018</v>
      </c>
      <c r="BD637" t="s">
        <v>1277</v>
      </c>
      <c r="BE637" t="s">
        <v>536</v>
      </c>
      <c r="BF637" t="s">
        <v>484</v>
      </c>
      <c r="BG637" t="s">
        <v>485</v>
      </c>
      <c r="BH637" t="s">
        <v>1257</v>
      </c>
      <c r="BI637" t="s">
        <v>508</v>
      </c>
      <c r="BJ637">
        <v>20</v>
      </c>
      <c r="BK637" t="s">
        <v>555</v>
      </c>
      <c r="BL637" t="s">
        <v>1278</v>
      </c>
      <c r="BM637" t="s">
        <v>480</v>
      </c>
      <c r="BN637" t="s">
        <v>480</v>
      </c>
      <c r="BO637" t="s">
        <v>480</v>
      </c>
      <c r="BP637" t="s">
        <v>555</v>
      </c>
      <c r="BQ637" t="s">
        <v>1279</v>
      </c>
      <c r="BR637" t="s">
        <v>480</v>
      </c>
      <c r="BS637" t="s">
        <v>480</v>
      </c>
      <c r="BT637" t="s">
        <v>480</v>
      </c>
      <c r="BU637" t="s">
        <v>537</v>
      </c>
      <c r="BV637" t="s">
        <v>870</v>
      </c>
      <c r="BW637" t="s">
        <v>480</v>
      </c>
      <c r="BX637" t="s">
        <v>480</v>
      </c>
      <c r="BY637" t="s">
        <v>480</v>
      </c>
      <c r="HT637" s="50">
        <v>42907</v>
      </c>
      <c r="IO637" t="s">
        <v>1303</v>
      </c>
      <c r="IP637" s="46" t="s">
        <v>1280</v>
      </c>
      <c r="IS637">
        <v>2016</v>
      </c>
      <c r="JJ637" t="s">
        <v>1260</v>
      </c>
      <c r="JL637" t="s">
        <v>495</v>
      </c>
      <c r="JP637" t="s">
        <v>508</v>
      </c>
      <c r="JQ637">
        <v>125</v>
      </c>
      <c r="JT637">
        <v>60</v>
      </c>
      <c r="JU637">
        <v>30</v>
      </c>
      <c r="KE637" t="s">
        <v>1261</v>
      </c>
      <c r="KF637" s="75" t="s">
        <v>1001</v>
      </c>
      <c r="KG637" t="s">
        <v>1262</v>
      </c>
      <c r="KH637">
        <v>2</v>
      </c>
      <c r="KI637" t="s">
        <v>1263</v>
      </c>
      <c r="KK637" s="8" t="s">
        <v>1264</v>
      </c>
      <c r="KL637" t="s">
        <v>1265</v>
      </c>
      <c r="KM637">
        <v>3</v>
      </c>
      <c r="KO637" s="8" t="s">
        <v>1266</v>
      </c>
      <c r="KP637" s="64" t="s">
        <v>480</v>
      </c>
      <c r="KQ637" s="64" t="s">
        <v>480</v>
      </c>
      <c r="KS637" t="s">
        <v>1267</v>
      </c>
      <c r="KT637" s="3" t="s">
        <v>480</v>
      </c>
      <c r="KU637" t="s">
        <v>480</v>
      </c>
      <c r="LT637" t="s">
        <v>1268</v>
      </c>
      <c r="LY637" t="s">
        <v>1269</v>
      </c>
      <c r="LZ637">
        <v>225</v>
      </c>
      <c r="MA637" s="4" t="s">
        <v>480</v>
      </c>
      <c r="MI637" s="50">
        <v>43362</v>
      </c>
      <c r="MJ637" s="50">
        <v>43362</v>
      </c>
      <c r="MY637" t="s">
        <v>1270</v>
      </c>
      <c r="MZ637" t="s">
        <v>866</v>
      </c>
      <c r="NB637" t="s">
        <v>548</v>
      </c>
      <c r="NI637" t="s">
        <v>1309</v>
      </c>
      <c r="NJ637" t="s">
        <v>1310</v>
      </c>
      <c r="NK637" t="s">
        <v>1311</v>
      </c>
      <c r="NL637" s="4" t="s">
        <v>1312</v>
      </c>
      <c r="NM637" s="6" t="s">
        <v>1313</v>
      </c>
      <c r="NV637" t="s">
        <v>518</v>
      </c>
      <c r="NW637">
        <v>2.35</v>
      </c>
      <c r="NX637" t="s">
        <v>866</v>
      </c>
      <c r="NY637" t="s">
        <v>866</v>
      </c>
      <c r="OB637" s="3">
        <v>3</v>
      </c>
      <c r="OU637" t="s">
        <v>1308</v>
      </c>
      <c r="OV637" t="s">
        <v>518</v>
      </c>
      <c r="OX637">
        <v>2017</v>
      </c>
      <c r="OY637">
        <v>2018</v>
      </c>
      <c r="PB637" t="s">
        <v>522</v>
      </c>
      <c r="PC637" s="50">
        <v>46129</v>
      </c>
    </row>
    <row r="638" spans="1:419" ht="15.75" thickBot="1">
      <c r="A638" t="s">
        <v>469</v>
      </c>
      <c r="B638" t="s">
        <v>1251</v>
      </c>
      <c r="C638" t="s">
        <v>1252</v>
      </c>
      <c r="D638" s="4" t="s">
        <v>950</v>
      </c>
      <c r="E638" s="81" t="s">
        <v>1253</v>
      </c>
      <c r="F638" t="s">
        <v>1179</v>
      </c>
      <c r="G638" t="s">
        <v>475</v>
      </c>
      <c r="H638" t="s">
        <v>476</v>
      </c>
      <c r="I638">
        <v>30.9</v>
      </c>
      <c r="J638">
        <v>75.75</v>
      </c>
      <c r="K638">
        <v>200</v>
      </c>
      <c r="AV638" t="s">
        <v>1254</v>
      </c>
      <c r="AW638" t="s">
        <v>866</v>
      </c>
      <c r="AX638" t="s">
        <v>866</v>
      </c>
      <c r="AY638">
        <v>2</v>
      </c>
      <c r="AZ638" t="s">
        <v>1255</v>
      </c>
      <c r="BA638">
        <v>2016</v>
      </c>
      <c r="BB638">
        <v>2018</v>
      </c>
      <c r="BD638" t="s">
        <v>1282</v>
      </c>
      <c r="BE638" t="s">
        <v>566</v>
      </c>
      <c r="BF638" t="s">
        <v>484</v>
      </c>
      <c r="BG638" t="s">
        <v>485</v>
      </c>
      <c r="BH638" t="s">
        <v>1257</v>
      </c>
      <c r="BI638" t="s">
        <v>508</v>
      </c>
      <c r="BJ638">
        <v>20</v>
      </c>
      <c r="BK638" t="s">
        <v>537</v>
      </c>
      <c r="BL638" t="s">
        <v>538</v>
      </c>
      <c r="BM638" t="s">
        <v>480</v>
      </c>
      <c r="BN638" t="s">
        <v>480</v>
      </c>
      <c r="BO638" t="s">
        <v>480</v>
      </c>
      <c r="BP638" t="s">
        <v>555</v>
      </c>
      <c r="BQ638" t="s">
        <v>1278</v>
      </c>
      <c r="BR638" t="s">
        <v>480</v>
      </c>
      <c r="BS638" t="s">
        <v>480</v>
      </c>
      <c r="BT638" t="s">
        <v>480</v>
      </c>
      <c r="BU638" t="s">
        <v>555</v>
      </c>
      <c r="BV638" t="s">
        <v>1279</v>
      </c>
      <c r="BW638" t="s">
        <v>480</v>
      </c>
      <c r="BX638" t="s">
        <v>480</v>
      </c>
      <c r="BY638" t="s">
        <v>480</v>
      </c>
      <c r="BZ638" t="s">
        <v>537</v>
      </c>
      <c r="CA638" t="s">
        <v>870</v>
      </c>
      <c r="CB638" t="s">
        <v>480</v>
      </c>
      <c r="CC638" t="s">
        <v>480</v>
      </c>
      <c r="CD638" t="s">
        <v>480</v>
      </c>
      <c r="HT638" s="50">
        <v>42907</v>
      </c>
      <c r="IO638" t="s">
        <v>1304</v>
      </c>
      <c r="IP638" s="46" t="s">
        <v>1280</v>
      </c>
      <c r="IS638">
        <v>2016</v>
      </c>
      <c r="JJ638" t="s">
        <v>1260</v>
      </c>
      <c r="JL638" t="s">
        <v>495</v>
      </c>
      <c r="JP638" t="s">
        <v>508</v>
      </c>
      <c r="JQ638">
        <v>125</v>
      </c>
      <c r="JT638">
        <v>60</v>
      </c>
      <c r="JU638">
        <v>30</v>
      </c>
      <c r="KE638" t="s">
        <v>1261</v>
      </c>
      <c r="KF638" s="75" t="s">
        <v>1001</v>
      </c>
      <c r="KG638" t="s">
        <v>1262</v>
      </c>
      <c r="KH638">
        <v>2</v>
      </c>
      <c r="KI638" t="s">
        <v>1263</v>
      </c>
      <c r="KK638" s="8" t="s">
        <v>1264</v>
      </c>
      <c r="KL638" t="s">
        <v>1265</v>
      </c>
      <c r="KM638">
        <v>3</v>
      </c>
      <c r="KO638" s="8" t="s">
        <v>1266</v>
      </c>
      <c r="KP638" s="64" t="s">
        <v>480</v>
      </c>
      <c r="KQ638" s="64" t="s">
        <v>480</v>
      </c>
      <c r="KS638" t="s">
        <v>1267</v>
      </c>
      <c r="KT638" s="3" t="s">
        <v>480</v>
      </c>
      <c r="KU638" t="s">
        <v>480</v>
      </c>
      <c r="LT638" t="s">
        <v>1268</v>
      </c>
      <c r="LY638" t="s">
        <v>1269</v>
      </c>
      <c r="LZ638">
        <v>225</v>
      </c>
      <c r="MA638" s="4" t="s">
        <v>480</v>
      </c>
      <c r="MI638" s="50">
        <v>43362</v>
      </c>
      <c r="MJ638" s="50">
        <v>43362</v>
      </c>
      <c r="MY638" t="s">
        <v>1270</v>
      </c>
      <c r="MZ638" t="s">
        <v>866</v>
      </c>
      <c r="NB638" t="s">
        <v>548</v>
      </c>
      <c r="NI638" t="s">
        <v>1309</v>
      </c>
      <c r="NJ638" t="s">
        <v>1310</v>
      </c>
      <c r="NK638" t="s">
        <v>1311</v>
      </c>
      <c r="NL638" s="4" t="s">
        <v>1312</v>
      </c>
      <c r="NM638" s="6" t="s">
        <v>1313</v>
      </c>
      <c r="NV638" t="s">
        <v>518</v>
      </c>
      <c r="NW638">
        <v>2.42</v>
      </c>
      <c r="NX638" t="s">
        <v>866</v>
      </c>
      <c r="NY638" t="s">
        <v>866</v>
      </c>
      <c r="OB638" s="3">
        <v>3</v>
      </c>
      <c r="OU638" t="s">
        <v>1308</v>
      </c>
      <c r="OV638" t="s">
        <v>518</v>
      </c>
      <c r="OX638">
        <v>2017</v>
      </c>
      <c r="OY638">
        <v>2018</v>
      </c>
      <c r="PB638" t="s">
        <v>522</v>
      </c>
      <c r="PC638" s="50">
        <v>46129</v>
      </c>
    </row>
    <row r="639" spans="1:419" ht="15.75" thickBot="1">
      <c r="A639" t="s">
        <v>469</v>
      </c>
      <c r="B639" t="s">
        <v>1251</v>
      </c>
      <c r="C639" t="s">
        <v>1252</v>
      </c>
      <c r="D639" s="4" t="s">
        <v>950</v>
      </c>
      <c r="E639" s="81" t="s">
        <v>1253</v>
      </c>
      <c r="F639" t="s">
        <v>1179</v>
      </c>
      <c r="G639" t="s">
        <v>475</v>
      </c>
      <c r="H639" t="s">
        <v>476</v>
      </c>
      <c r="I639">
        <v>30.9</v>
      </c>
      <c r="J639">
        <v>75.75</v>
      </c>
      <c r="K639">
        <v>200</v>
      </c>
      <c r="AV639" t="s">
        <v>1254</v>
      </c>
      <c r="AW639" t="s">
        <v>866</v>
      </c>
      <c r="AX639" t="s">
        <v>866</v>
      </c>
      <c r="AY639">
        <v>2</v>
      </c>
      <c r="AZ639" t="s">
        <v>1255</v>
      </c>
      <c r="BA639">
        <v>2016</v>
      </c>
      <c r="BB639">
        <v>2018</v>
      </c>
      <c r="BD639" t="s">
        <v>1285</v>
      </c>
      <c r="BE639" t="s">
        <v>572</v>
      </c>
      <c r="BF639" t="s">
        <v>484</v>
      </c>
      <c r="BG639" t="s">
        <v>485</v>
      </c>
      <c r="BH639" t="s">
        <v>1257</v>
      </c>
      <c r="BI639" t="s">
        <v>508</v>
      </c>
      <c r="BJ639">
        <v>20</v>
      </c>
      <c r="BK639" t="s">
        <v>537</v>
      </c>
      <c r="BL639" t="s">
        <v>538</v>
      </c>
      <c r="BM639" t="s">
        <v>480</v>
      </c>
      <c r="BN639" t="s">
        <v>480</v>
      </c>
      <c r="BO639" t="s">
        <v>480</v>
      </c>
      <c r="BP639" t="s">
        <v>555</v>
      </c>
      <c r="BQ639" t="s">
        <v>1278</v>
      </c>
      <c r="BR639" t="s">
        <v>480</v>
      </c>
      <c r="BS639" t="s">
        <v>480</v>
      </c>
      <c r="BT639" t="s">
        <v>480</v>
      </c>
      <c r="HT639" s="50">
        <v>42907</v>
      </c>
      <c r="IO639" t="s">
        <v>1286</v>
      </c>
      <c r="IP639" s="46" t="s">
        <v>1280</v>
      </c>
      <c r="IS639">
        <v>2016</v>
      </c>
      <c r="JJ639" t="s">
        <v>1260</v>
      </c>
      <c r="JL639" t="s">
        <v>495</v>
      </c>
      <c r="JP639" t="s">
        <v>508</v>
      </c>
      <c r="JQ639">
        <v>125</v>
      </c>
      <c r="JT639">
        <v>60</v>
      </c>
      <c r="JU639">
        <v>30</v>
      </c>
      <c r="KE639" t="s">
        <v>1261</v>
      </c>
      <c r="KF639" s="75" t="s">
        <v>1001</v>
      </c>
      <c r="KG639" t="s">
        <v>1262</v>
      </c>
      <c r="KH639">
        <v>2</v>
      </c>
      <c r="KI639" t="s">
        <v>1263</v>
      </c>
      <c r="KK639" s="8" t="s">
        <v>1264</v>
      </c>
      <c r="KL639" t="s">
        <v>1265</v>
      </c>
      <c r="KM639">
        <v>3</v>
      </c>
      <c r="KO639" s="8" t="s">
        <v>1266</v>
      </c>
      <c r="KP639" s="64" t="s">
        <v>480</v>
      </c>
      <c r="KQ639" s="64" t="s">
        <v>480</v>
      </c>
      <c r="KS639" t="s">
        <v>1267</v>
      </c>
      <c r="KT639" s="3" t="s">
        <v>480</v>
      </c>
      <c r="KU639" t="s">
        <v>480</v>
      </c>
      <c r="LT639" t="s">
        <v>1268</v>
      </c>
      <c r="LY639" t="s">
        <v>1269</v>
      </c>
      <c r="LZ639">
        <v>225</v>
      </c>
      <c r="MA639" s="4" t="s">
        <v>480</v>
      </c>
      <c r="MI639" s="50">
        <v>43362</v>
      </c>
      <c r="MJ639" s="50">
        <v>43362</v>
      </c>
      <c r="MY639" t="s">
        <v>1270</v>
      </c>
      <c r="MZ639" t="s">
        <v>866</v>
      </c>
      <c r="NB639" t="s">
        <v>548</v>
      </c>
      <c r="NI639" t="s">
        <v>1309</v>
      </c>
      <c r="NJ639" t="s">
        <v>1310</v>
      </c>
      <c r="NK639" t="s">
        <v>1311</v>
      </c>
      <c r="NL639" s="4" t="s">
        <v>1312</v>
      </c>
      <c r="NM639" s="6" t="s">
        <v>1313</v>
      </c>
      <c r="NV639" t="s">
        <v>518</v>
      </c>
      <c r="NW639">
        <v>2.4500000000000002</v>
      </c>
      <c r="NX639" t="s">
        <v>866</v>
      </c>
      <c r="NY639" t="s">
        <v>866</v>
      </c>
      <c r="OB639" s="3">
        <v>3</v>
      </c>
      <c r="OU639" t="s">
        <v>1308</v>
      </c>
      <c r="OV639" t="s">
        <v>518</v>
      </c>
      <c r="OX639">
        <v>2017</v>
      </c>
      <c r="OY639">
        <v>2018</v>
      </c>
      <c r="PB639" t="s">
        <v>522</v>
      </c>
      <c r="PC639" s="50">
        <v>46129</v>
      </c>
    </row>
    <row r="640" spans="1:419" ht="15.75" thickBot="1">
      <c r="A640" t="s">
        <v>469</v>
      </c>
      <c r="B640" t="s">
        <v>1251</v>
      </c>
      <c r="C640" t="s">
        <v>1252</v>
      </c>
      <c r="D640" s="4" t="s">
        <v>950</v>
      </c>
      <c r="E640" s="81" t="s">
        <v>1253</v>
      </c>
      <c r="F640" t="s">
        <v>1179</v>
      </c>
      <c r="G640" t="s">
        <v>475</v>
      </c>
      <c r="H640" t="s">
        <v>476</v>
      </c>
      <c r="I640">
        <v>30.9</v>
      </c>
      <c r="J640">
        <v>75.75</v>
      </c>
      <c r="K640">
        <v>200</v>
      </c>
      <c r="AV640" t="s">
        <v>1254</v>
      </c>
      <c r="AW640" t="s">
        <v>866</v>
      </c>
      <c r="AX640" t="s">
        <v>866</v>
      </c>
      <c r="AY640">
        <v>2</v>
      </c>
      <c r="AZ640" t="s">
        <v>1255</v>
      </c>
      <c r="BA640">
        <v>2016</v>
      </c>
      <c r="BB640">
        <v>2018</v>
      </c>
      <c r="BD640" t="s">
        <v>1288</v>
      </c>
      <c r="BE640" t="s">
        <v>553</v>
      </c>
      <c r="BF640" t="s">
        <v>484</v>
      </c>
      <c r="BG640" t="s">
        <v>485</v>
      </c>
      <c r="BH640" t="s">
        <v>1257</v>
      </c>
      <c r="BI640" t="s">
        <v>508</v>
      </c>
      <c r="BJ640">
        <v>20</v>
      </c>
      <c r="BK640" t="s">
        <v>537</v>
      </c>
      <c r="BL640" t="s">
        <v>538</v>
      </c>
      <c r="BM640" t="s">
        <v>480</v>
      </c>
      <c r="BN640" t="s">
        <v>480</v>
      </c>
      <c r="BO640" t="s">
        <v>480</v>
      </c>
      <c r="BP640" t="s">
        <v>555</v>
      </c>
      <c r="BQ640" t="s">
        <v>1289</v>
      </c>
      <c r="BR640" t="s">
        <v>480</v>
      </c>
      <c r="BS640" t="s">
        <v>480</v>
      </c>
      <c r="BT640" t="s">
        <v>480</v>
      </c>
      <c r="BU640" t="s">
        <v>555</v>
      </c>
      <c r="BV640" t="s">
        <v>1290</v>
      </c>
      <c r="BW640" t="s">
        <v>480</v>
      </c>
      <c r="BX640" t="s">
        <v>480</v>
      </c>
      <c r="BY640" t="s">
        <v>480</v>
      </c>
      <c r="HT640" s="50">
        <v>42907</v>
      </c>
      <c r="IO640" t="s">
        <v>1299</v>
      </c>
      <c r="IP640" s="46" t="s">
        <v>1280</v>
      </c>
      <c r="IS640">
        <v>2016</v>
      </c>
      <c r="JJ640" t="s">
        <v>1260</v>
      </c>
      <c r="JL640" t="s">
        <v>495</v>
      </c>
      <c r="JP640" t="s">
        <v>508</v>
      </c>
      <c r="JQ640">
        <v>125</v>
      </c>
      <c r="JT640">
        <v>60</v>
      </c>
      <c r="JU640">
        <v>30</v>
      </c>
      <c r="KE640" t="s">
        <v>1261</v>
      </c>
      <c r="KF640" s="75" t="s">
        <v>1001</v>
      </c>
      <c r="KG640" t="s">
        <v>1262</v>
      </c>
      <c r="KH640">
        <v>2</v>
      </c>
      <c r="KI640" t="s">
        <v>1263</v>
      </c>
      <c r="KK640" s="8" t="s">
        <v>1264</v>
      </c>
      <c r="KL640" t="s">
        <v>1265</v>
      </c>
      <c r="KM640">
        <v>3</v>
      </c>
      <c r="KO640" s="8" t="s">
        <v>1266</v>
      </c>
      <c r="KP640" s="64" t="s">
        <v>480</v>
      </c>
      <c r="KQ640" s="64" t="s">
        <v>480</v>
      </c>
      <c r="KS640" t="s">
        <v>1267</v>
      </c>
      <c r="KT640" s="3" t="s">
        <v>480</v>
      </c>
      <c r="KU640" t="s">
        <v>480</v>
      </c>
      <c r="LT640" t="s">
        <v>1268</v>
      </c>
      <c r="LY640" t="s">
        <v>1269</v>
      </c>
      <c r="LZ640">
        <v>225</v>
      </c>
      <c r="MA640" s="4" t="s">
        <v>480</v>
      </c>
      <c r="MI640" s="50">
        <v>43362</v>
      </c>
      <c r="MJ640" s="50">
        <v>43362</v>
      </c>
      <c r="MY640" t="s">
        <v>1270</v>
      </c>
      <c r="MZ640" t="s">
        <v>866</v>
      </c>
      <c r="NB640" t="s">
        <v>548</v>
      </c>
      <c r="NI640" t="s">
        <v>1309</v>
      </c>
      <c r="NJ640" t="s">
        <v>1310</v>
      </c>
      <c r="NK640" t="s">
        <v>1311</v>
      </c>
      <c r="NL640" s="4" t="s">
        <v>1312</v>
      </c>
      <c r="NM640" s="6" t="s">
        <v>1313</v>
      </c>
      <c r="NV640" t="s">
        <v>518</v>
      </c>
      <c r="NW640">
        <v>2.4700000000000002</v>
      </c>
      <c r="NX640" t="s">
        <v>866</v>
      </c>
      <c r="NY640" t="s">
        <v>866</v>
      </c>
      <c r="OB640" s="3">
        <v>3</v>
      </c>
      <c r="OU640" t="s">
        <v>1308</v>
      </c>
      <c r="OV640" t="s">
        <v>518</v>
      </c>
      <c r="OX640">
        <v>2017</v>
      </c>
      <c r="OY640">
        <v>2018</v>
      </c>
      <c r="PB640" t="s">
        <v>522</v>
      </c>
      <c r="PC640" s="50">
        <v>46129</v>
      </c>
    </row>
    <row r="641" spans="1:419" ht="15.75" thickBot="1">
      <c r="A641" t="s">
        <v>469</v>
      </c>
      <c r="B641" t="s">
        <v>1251</v>
      </c>
      <c r="C641" t="s">
        <v>1252</v>
      </c>
      <c r="D641" s="4" t="s">
        <v>950</v>
      </c>
      <c r="E641" s="81" t="s">
        <v>1253</v>
      </c>
      <c r="F641" t="s">
        <v>1179</v>
      </c>
      <c r="G641" t="s">
        <v>475</v>
      </c>
      <c r="H641" t="s">
        <v>476</v>
      </c>
      <c r="I641">
        <v>30.9</v>
      </c>
      <c r="J641">
        <v>75.75</v>
      </c>
      <c r="K641">
        <v>200</v>
      </c>
      <c r="AV641" t="s">
        <v>1254</v>
      </c>
      <c r="AW641" t="s">
        <v>866</v>
      </c>
      <c r="AX641" t="s">
        <v>866</v>
      </c>
      <c r="AY641">
        <v>2</v>
      </c>
      <c r="AZ641" t="s">
        <v>1255</v>
      </c>
      <c r="BA641">
        <v>2016</v>
      </c>
      <c r="BB641">
        <v>2018</v>
      </c>
      <c r="BD641" s="3" t="s">
        <v>1293</v>
      </c>
      <c r="BE641" t="s">
        <v>607</v>
      </c>
      <c r="BF641" t="s">
        <v>484</v>
      </c>
      <c r="BG641" t="s">
        <v>485</v>
      </c>
      <c r="BH641" t="s">
        <v>1257</v>
      </c>
      <c r="BI641" t="s">
        <v>508</v>
      </c>
      <c r="BJ641">
        <v>20</v>
      </c>
      <c r="BK641" t="s">
        <v>555</v>
      </c>
      <c r="BL641" t="s">
        <v>1294</v>
      </c>
      <c r="BM641" t="s">
        <v>480</v>
      </c>
      <c r="BN641" t="s">
        <v>480</v>
      </c>
      <c r="BO641" t="s">
        <v>480</v>
      </c>
      <c r="BP641" t="s">
        <v>555</v>
      </c>
      <c r="BQ641" t="s">
        <v>1289</v>
      </c>
      <c r="BR641" t="s">
        <v>480</v>
      </c>
      <c r="BS641" t="s">
        <v>480</v>
      </c>
      <c r="BT641" t="s">
        <v>480</v>
      </c>
      <c r="BU641" t="s">
        <v>555</v>
      </c>
      <c r="BV641" t="s">
        <v>1290</v>
      </c>
      <c r="BW641" t="s">
        <v>480</v>
      </c>
      <c r="BX641" t="s">
        <v>480</v>
      </c>
      <c r="BY641" t="s">
        <v>480</v>
      </c>
      <c r="HT641" s="50">
        <v>42907</v>
      </c>
      <c r="IO641" t="s">
        <v>1293</v>
      </c>
      <c r="IP641" s="46" t="s">
        <v>1280</v>
      </c>
      <c r="IS641">
        <v>2016</v>
      </c>
      <c r="JJ641" t="s">
        <v>1260</v>
      </c>
      <c r="JL641" t="s">
        <v>495</v>
      </c>
      <c r="JP641" t="s">
        <v>508</v>
      </c>
      <c r="JQ641">
        <v>125</v>
      </c>
      <c r="JT641">
        <v>60</v>
      </c>
      <c r="JU641">
        <v>30</v>
      </c>
      <c r="KE641" t="s">
        <v>1261</v>
      </c>
      <c r="KF641" s="75" t="s">
        <v>1001</v>
      </c>
      <c r="KG641" t="s">
        <v>1262</v>
      </c>
      <c r="KH641">
        <v>2</v>
      </c>
      <c r="KI641" t="s">
        <v>1263</v>
      </c>
      <c r="KK641" s="8" t="s">
        <v>1264</v>
      </c>
      <c r="KL641" t="s">
        <v>1265</v>
      </c>
      <c r="KM641">
        <v>3</v>
      </c>
      <c r="KO641" s="8" t="s">
        <v>1266</v>
      </c>
      <c r="KP641" s="64" t="s">
        <v>480</v>
      </c>
      <c r="KQ641" s="64" t="s">
        <v>480</v>
      </c>
      <c r="KS641" t="s">
        <v>1267</v>
      </c>
      <c r="KT641" s="3" t="s">
        <v>480</v>
      </c>
      <c r="KU641" t="s">
        <v>480</v>
      </c>
      <c r="LT641" t="s">
        <v>1268</v>
      </c>
      <c r="LY641" t="s">
        <v>1269</v>
      </c>
      <c r="LZ641">
        <v>225</v>
      </c>
      <c r="MA641" s="4" t="s">
        <v>480</v>
      </c>
      <c r="MI641" s="50">
        <v>43362</v>
      </c>
      <c r="MJ641" s="50">
        <v>43362</v>
      </c>
      <c r="MY641" t="s">
        <v>1270</v>
      </c>
      <c r="MZ641" t="s">
        <v>866</v>
      </c>
      <c r="NB641" t="s">
        <v>548</v>
      </c>
      <c r="NI641" t="s">
        <v>1309</v>
      </c>
      <c r="NJ641" t="s">
        <v>1310</v>
      </c>
      <c r="NK641" t="s">
        <v>1311</v>
      </c>
      <c r="NL641" s="4" t="s">
        <v>1312</v>
      </c>
      <c r="NM641" s="6" t="s">
        <v>1313</v>
      </c>
      <c r="NV641" t="s">
        <v>518</v>
      </c>
      <c r="NW641">
        <v>2.33</v>
      </c>
      <c r="NX641" t="s">
        <v>866</v>
      </c>
      <c r="NY641" t="s">
        <v>866</v>
      </c>
      <c r="OB641" s="3">
        <v>3</v>
      </c>
      <c r="OU641" t="s">
        <v>1308</v>
      </c>
      <c r="OV641" t="s">
        <v>518</v>
      </c>
      <c r="OX641">
        <v>2017</v>
      </c>
      <c r="OY641">
        <v>2018</v>
      </c>
      <c r="PB641" t="s">
        <v>522</v>
      </c>
      <c r="PC641" s="50">
        <v>46129</v>
      </c>
    </row>
    <row r="642" spans="1:419" ht="15.75" thickBot="1">
      <c r="A642" t="s">
        <v>469</v>
      </c>
      <c r="B642" t="s">
        <v>1251</v>
      </c>
      <c r="C642" t="s">
        <v>1252</v>
      </c>
      <c r="D642" s="4" t="s">
        <v>950</v>
      </c>
      <c r="E642" s="81" t="s">
        <v>1253</v>
      </c>
      <c r="F642" t="s">
        <v>1179</v>
      </c>
      <c r="G642" t="s">
        <v>475</v>
      </c>
      <c r="H642" t="s">
        <v>476</v>
      </c>
      <c r="I642">
        <v>30.9</v>
      </c>
      <c r="J642">
        <v>75.75</v>
      </c>
      <c r="K642">
        <v>200</v>
      </c>
      <c r="AV642" t="s">
        <v>1254</v>
      </c>
      <c r="AW642" t="s">
        <v>866</v>
      </c>
      <c r="AX642" t="s">
        <v>866</v>
      </c>
      <c r="AY642">
        <v>2</v>
      </c>
      <c r="AZ642" t="s">
        <v>1255</v>
      </c>
      <c r="BA642">
        <v>2016</v>
      </c>
      <c r="BB642">
        <v>2018</v>
      </c>
      <c r="BD642" s="15" t="s">
        <v>1296</v>
      </c>
      <c r="BE642" t="s">
        <v>611</v>
      </c>
      <c r="BF642" t="s">
        <v>484</v>
      </c>
      <c r="BG642" t="s">
        <v>485</v>
      </c>
      <c r="BH642" t="s">
        <v>1257</v>
      </c>
      <c r="BI642" t="s">
        <v>508</v>
      </c>
      <c r="BJ642">
        <v>20</v>
      </c>
      <c r="BK642" t="s">
        <v>537</v>
      </c>
      <c r="BL642" t="s">
        <v>538</v>
      </c>
      <c r="BM642" t="s">
        <v>480</v>
      </c>
      <c r="BN642" t="s">
        <v>480</v>
      </c>
      <c r="BO642" t="s">
        <v>480</v>
      </c>
      <c r="BP642" t="s">
        <v>555</v>
      </c>
      <c r="BQ642" t="s">
        <v>1294</v>
      </c>
      <c r="BR642" t="s">
        <v>480</v>
      </c>
      <c r="BS642" t="s">
        <v>480</v>
      </c>
      <c r="BT642" t="s">
        <v>480</v>
      </c>
      <c r="BU642" t="s">
        <v>555</v>
      </c>
      <c r="BV642" t="s">
        <v>1289</v>
      </c>
      <c r="BW642" t="s">
        <v>480</v>
      </c>
      <c r="BX642" t="s">
        <v>480</v>
      </c>
      <c r="BY642" t="s">
        <v>480</v>
      </c>
      <c r="BZ642" t="s">
        <v>555</v>
      </c>
      <c r="CA642" t="s">
        <v>1290</v>
      </c>
      <c r="CB642" t="s">
        <v>480</v>
      </c>
      <c r="CC642" t="s">
        <v>480</v>
      </c>
      <c r="CD642" t="s">
        <v>480</v>
      </c>
      <c r="HT642" s="50">
        <v>42907</v>
      </c>
      <c r="IO642" t="s">
        <v>1297</v>
      </c>
      <c r="IP642" s="46" t="s">
        <v>1280</v>
      </c>
      <c r="IS642">
        <v>2016</v>
      </c>
      <c r="JJ642" t="s">
        <v>1260</v>
      </c>
      <c r="JL642" t="s">
        <v>495</v>
      </c>
      <c r="JP642" t="s">
        <v>508</v>
      </c>
      <c r="JQ642">
        <v>125</v>
      </c>
      <c r="JT642">
        <v>60</v>
      </c>
      <c r="JU642">
        <v>30</v>
      </c>
      <c r="KE642" t="s">
        <v>1261</v>
      </c>
      <c r="KF642" s="75" t="s">
        <v>1001</v>
      </c>
      <c r="KG642" t="s">
        <v>1262</v>
      </c>
      <c r="KH642">
        <v>2</v>
      </c>
      <c r="KI642" t="s">
        <v>1263</v>
      </c>
      <c r="KK642" s="8" t="s">
        <v>1264</v>
      </c>
      <c r="KL642" t="s">
        <v>1265</v>
      </c>
      <c r="KM642">
        <v>3</v>
      </c>
      <c r="KO642" s="8" t="s">
        <v>1266</v>
      </c>
      <c r="KP642" s="64" t="s">
        <v>480</v>
      </c>
      <c r="KQ642" s="64" t="s">
        <v>480</v>
      </c>
      <c r="KS642" t="s">
        <v>1267</v>
      </c>
      <c r="KT642" s="3" t="s">
        <v>480</v>
      </c>
      <c r="KU642" t="s">
        <v>480</v>
      </c>
      <c r="LT642" t="s">
        <v>1268</v>
      </c>
      <c r="LY642" t="s">
        <v>1269</v>
      </c>
      <c r="LZ642">
        <v>225</v>
      </c>
      <c r="MA642" s="4" t="s">
        <v>480</v>
      </c>
      <c r="MI642" s="50">
        <v>43362</v>
      </c>
      <c r="MJ642" s="50">
        <v>43362</v>
      </c>
      <c r="MY642" t="s">
        <v>1270</v>
      </c>
      <c r="MZ642" t="s">
        <v>866</v>
      </c>
      <c r="NB642" t="s">
        <v>548</v>
      </c>
      <c r="NI642" t="s">
        <v>1309</v>
      </c>
      <c r="NJ642" t="s">
        <v>1310</v>
      </c>
      <c r="NK642" t="s">
        <v>1311</v>
      </c>
      <c r="NL642" s="4" t="s">
        <v>1312</v>
      </c>
      <c r="NM642" s="6" t="s">
        <v>1313</v>
      </c>
      <c r="NV642" t="s">
        <v>518</v>
      </c>
      <c r="NW642">
        <v>2.4900000000000002</v>
      </c>
      <c r="NX642" t="s">
        <v>866</v>
      </c>
      <c r="NY642" t="s">
        <v>866</v>
      </c>
      <c r="OB642" s="3">
        <v>3</v>
      </c>
      <c r="OU642" t="s">
        <v>1308</v>
      </c>
      <c r="OV642" t="s">
        <v>518</v>
      </c>
      <c r="OX642">
        <v>2017</v>
      </c>
      <c r="OY642">
        <v>2018</v>
      </c>
      <c r="PB642" t="s">
        <v>522</v>
      </c>
      <c r="PC642" s="50">
        <v>46129</v>
      </c>
    </row>
    <row r="643" spans="1:419" ht="15.75" thickBot="1">
      <c r="A643" t="s">
        <v>469</v>
      </c>
      <c r="B643" t="s">
        <v>1251</v>
      </c>
      <c r="C643" t="s">
        <v>1252</v>
      </c>
      <c r="D643" s="4" t="s">
        <v>950</v>
      </c>
      <c r="E643" s="81" t="s">
        <v>1253</v>
      </c>
      <c r="F643" t="s">
        <v>1179</v>
      </c>
      <c r="G643" t="s">
        <v>475</v>
      </c>
      <c r="H643" t="s">
        <v>476</v>
      </c>
      <c r="I643">
        <v>30.9</v>
      </c>
      <c r="J643">
        <v>75.75</v>
      </c>
      <c r="K643">
        <v>200</v>
      </c>
      <c r="AV643" t="s">
        <v>1254</v>
      </c>
      <c r="AW643" t="s">
        <v>866</v>
      </c>
      <c r="AX643" t="s">
        <v>866</v>
      </c>
      <c r="AY643">
        <v>2</v>
      </c>
      <c r="AZ643" t="s">
        <v>1255</v>
      </c>
      <c r="BA643">
        <v>2016</v>
      </c>
      <c r="BB643">
        <v>2018</v>
      </c>
      <c r="BD643" t="s">
        <v>1256</v>
      </c>
      <c r="BE643" t="s">
        <v>524</v>
      </c>
      <c r="BF643" t="s">
        <v>484</v>
      </c>
      <c r="BG643" t="s">
        <v>485</v>
      </c>
      <c r="BH643" t="s">
        <v>1257</v>
      </c>
      <c r="BI643" t="s">
        <v>508</v>
      </c>
      <c r="BJ643">
        <v>20</v>
      </c>
      <c r="BK643" t="s">
        <v>555</v>
      </c>
      <c r="BL643" t="s">
        <v>1258</v>
      </c>
      <c r="BM643" t="s">
        <v>480</v>
      </c>
      <c r="BN643" t="s">
        <v>480</v>
      </c>
      <c r="BO643" t="s">
        <v>480</v>
      </c>
      <c r="HT643" s="50">
        <v>42539</v>
      </c>
      <c r="IO643" t="s">
        <v>1256</v>
      </c>
      <c r="IP643" s="46" t="s">
        <v>1259</v>
      </c>
      <c r="IS643">
        <v>2016</v>
      </c>
      <c r="JJ643" t="s">
        <v>1260</v>
      </c>
      <c r="JL643" t="s">
        <v>495</v>
      </c>
      <c r="JP643" t="s">
        <v>508</v>
      </c>
      <c r="JQ643">
        <v>125</v>
      </c>
      <c r="JT643">
        <v>60</v>
      </c>
      <c r="JU643">
        <v>30</v>
      </c>
      <c r="KE643" t="s">
        <v>1261</v>
      </c>
      <c r="KF643" s="75" t="s">
        <v>1001</v>
      </c>
      <c r="KG643" t="s">
        <v>1262</v>
      </c>
      <c r="KH643">
        <v>2</v>
      </c>
      <c r="KI643" t="s">
        <v>1263</v>
      </c>
      <c r="KK643" s="8" t="s">
        <v>1264</v>
      </c>
      <c r="KL643" t="s">
        <v>1265</v>
      </c>
      <c r="KM643">
        <v>3</v>
      </c>
      <c r="KO643" s="8" t="s">
        <v>1266</v>
      </c>
      <c r="KP643" s="64" t="s">
        <v>480</v>
      </c>
      <c r="KQ643" s="64" t="s">
        <v>480</v>
      </c>
      <c r="KS643" t="s">
        <v>1267</v>
      </c>
      <c r="KT643" s="3" t="s">
        <v>480</v>
      </c>
      <c r="KU643" t="s">
        <v>480</v>
      </c>
      <c r="LT643" t="s">
        <v>1268</v>
      </c>
      <c r="LY643" t="s">
        <v>1269</v>
      </c>
      <c r="LZ643">
        <v>206.25</v>
      </c>
      <c r="MA643" s="4" t="s">
        <v>480</v>
      </c>
      <c r="MI643" s="50">
        <v>42997</v>
      </c>
      <c r="MJ643" s="50">
        <v>42997</v>
      </c>
      <c r="MY643" t="s">
        <v>1270</v>
      </c>
      <c r="MZ643" t="s">
        <v>866</v>
      </c>
      <c r="NB643" t="s">
        <v>548</v>
      </c>
      <c r="NI643" t="s">
        <v>1272</v>
      </c>
      <c r="NJ643" t="s">
        <v>1314</v>
      </c>
      <c r="NK643" t="s">
        <v>1315</v>
      </c>
      <c r="NL643" s="4" t="s">
        <v>1316</v>
      </c>
      <c r="NM643" s="6" t="s">
        <v>1317</v>
      </c>
      <c r="NU643" t="s">
        <v>1025</v>
      </c>
      <c r="NV643" t="s">
        <v>518</v>
      </c>
      <c r="NW643">
        <v>325.74</v>
      </c>
      <c r="NX643" t="s">
        <v>866</v>
      </c>
      <c r="NY643" t="s">
        <v>866</v>
      </c>
      <c r="OB643" s="3">
        <v>3</v>
      </c>
      <c r="OU643" t="s">
        <v>1276</v>
      </c>
      <c r="OV643" t="s">
        <v>518</v>
      </c>
      <c r="OX643">
        <v>2016</v>
      </c>
      <c r="OY643">
        <v>2017</v>
      </c>
      <c r="PB643" t="s">
        <v>522</v>
      </c>
      <c r="PC643" s="50">
        <v>46129</v>
      </c>
    </row>
    <row r="644" spans="1:419" ht="15.75" thickBot="1">
      <c r="A644" t="s">
        <v>469</v>
      </c>
      <c r="B644" t="s">
        <v>1251</v>
      </c>
      <c r="C644" t="s">
        <v>1252</v>
      </c>
      <c r="D644" s="4" t="s">
        <v>950</v>
      </c>
      <c r="E644" s="81" t="s">
        <v>1253</v>
      </c>
      <c r="F644" t="s">
        <v>1179</v>
      </c>
      <c r="G644" t="s">
        <v>475</v>
      </c>
      <c r="H644" t="s">
        <v>476</v>
      </c>
      <c r="I644">
        <v>30.9</v>
      </c>
      <c r="J644">
        <v>75.75</v>
      </c>
      <c r="K644">
        <v>200</v>
      </c>
      <c r="AV644" t="s">
        <v>1254</v>
      </c>
      <c r="AW644" t="s">
        <v>866</v>
      </c>
      <c r="AX644" t="s">
        <v>866</v>
      </c>
      <c r="AY644">
        <v>2</v>
      </c>
      <c r="AZ644" t="s">
        <v>1255</v>
      </c>
      <c r="BA644">
        <v>2016</v>
      </c>
      <c r="BB644">
        <v>2018</v>
      </c>
      <c r="BD644" t="s">
        <v>1277</v>
      </c>
      <c r="BE644" t="s">
        <v>536</v>
      </c>
      <c r="BF644" t="s">
        <v>484</v>
      </c>
      <c r="BG644" t="s">
        <v>485</v>
      </c>
      <c r="BH644" t="s">
        <v>1257</v>
      </c>
      <c r="BI644" t="s">
        <v>508</v>
      </c>
      <c r="BJ644">
        <v>20</v>
      </c>
      <c r="BK644" t="s">
        <v>555</v>
      </c>
      <c r="BL644" t="s">
        <v>1278</v>
      </c>
      <c r="BM644" t="s">
        <v>480</v>
      </c>
      <c r="BN644" t="s">
        <v>480</v>
      </c>
      <c r="BO644" t="s">
        <v>480</v>
      </c>
      <c r="BP644" t="s">
        <v>555</v>
      </c>
      <c r="BQ644" t="s">
        <v>1279</v>
      </c>
      <c r="BR644" t="s">
        <v>480</v>
      </c>
      <c r="BS644" t="s">
        <v>480</v>
      </c>
      <c r="BT644" t="s">
        <v>480</v>
      </c>
      <c r="BU644" t="s">
        <v>537</v>
      </c>
      <c r="BV644" t="s">
        <v>870</v>
      </c>
      <c r="BW644" t="s">
        <v>480</v>
      </c>
      <c r="BX644" t="s">
        <v>480</v>
      </c>
      <c r="BY644" t="s">
        <v>480</v>
      </c>
      <c r="HT644" s="50">
        <v>42539</v>
      </c>
      <c r="IO644" t="s">
        <v>1303</v>
      </c>
      <c r="IP644" s="46" t="s">
        <v>1280</v>
      </c>
      <c r="IS644">
        <v>2016</v>
      </c>
      <c r="JJ644" t="s">
        <v>1260</v>
      </c>
      <c r="JL644" t="s">
        <v>495</v>
      </c>
      <c r="JP644" t="s">
        <v>508</v>
      </c>
      <c r="JQ644">
        <v>125</v>
      </c>
      <c r="JT644">
        <v>60</v>
      </c>
      <c r="JU644">
        <v>30</v>
      </c>
      <c r="KE644" t="s">
        <v>1261</v>
      </c>
      <c r="KF644" s="75" t="s">
        <v>1001</v>
      </c>
      <c r="KG644" t="s">
        <v>1262</v>
      </c>
      <c r="KH644">
        <v>2</v>
      </c>
      <c r="KI644" t="s">
        <v>1263</v>
      </c>
      <c r="KK644" s="8" t="s">
        <v>1264</v>
      </c>
      <c r="KL644" t="s">
        <v>1265</v>
      </c>
      <c r="KM644">
        <v>3</v>
      </c>
      <c r="KO644" s="8" t="s">
        <v>1266</v>
      </c>
      <c r="KP644" s="64" t="s">
        <v>480</v>
      </c>
      <c r="KQ644" s="64" t="s">
        <v>480</v>
      </c>
      <c r="KS644" t="s">
        <v>1267</v>
      </c>
      <c r="KT644" s="3" t="s">
        <v>480</v>
      </c>
      <c r="KU644" t="s">
        <v>480</v>
      </c>
      <c r="LT644" t="s">
        <v>1268</v>
      </c>
      <c r="LY644" t="s">
        <v>1269</v>
      </c>
      <c r="LZ644">
        <v>206.25</v>
      </c>
      <c r="MA644" s="4" t="s">
        <v>480</v>
      </c>
      <c r="MI644" s="50">
        <v>42997</v>
      </c>
      <c r="MJ644" s="50">
        <v>42997</v>
      </c>
      <c r="MY644" t="s">
        <v>1270</v>
      </c>
      <c r="MZ644" t="s">
        <v>866</v>
      </c>
      <c r="NB644" t="s">
        <v>548</v>
      </c>
      <c r="NI644" t="s">
        <v>1272</v>
      </c>
      <c r="NJ644" t="s">
        <v>1314</v>
      </c>
      <c r="NK644" t="s">
        <v>1315</v>
      </c>
      <c r="NL644" s="4" t="s">
        <v>1316</v>
      </c>
      <c r="NM644" s="6" t="s">
        <v>1317</v>
      </c>
      <c r="NV644" t="s">
        <v>518</v>
      </c>
      <c r="NW644">
        <v>326.20999999999998</v>
      </c>
      <c r="NX644" t="s">
        <v>866</v>
      </c>
      <c r="NY644" t="s">
        <v>866</v>
      </c>
      <c r="OB644" s="3">
        <v>3</v>
      </c>
      <c r="OU644" t="s">
        <v>1276</v>
      </c>
      <c r="OV644" t="s">
        <v>518</v>
      </c>
      <c r="OX644">
        <v>2016</v>
      </c>
      <c r="OY644">
        <v>2017</v>
      </c>
      <c r="PB644" t="s">
        <v>522</v>
      </c>
      <c r="PC644" s="50">
        <v>46129</v>
      </c>
    </row>
    <row r="645" spans="1:419" ht="15.75" thickBot="1">
      <c r="A645" t="s">
        <v>469</v>
      </c>
      <c r="B645" t="s">
        <v>1251</v>
      </c>
      <c r="C645" t="s">
        <v>1252</v>
      </c>
      <c r="D645" s="4" t="s">
        <v>950</v>
      </c>
      <c r="E645" s="81" t="s">
        <v>1253</v>
      </c>
      <c r="F645" t="s">
        <v>1179</v>
      </c>
      <c r="G645" t="s">
        <v>475</v>
      </c>
      <c r="H645" t="s">
        <v>476</v>
      </c>
      <c r="I645">
        <v>30.9</v>
      </c>
      <c r="J645">
        <v>75.75</v>
      </c>
      <c r="K645">
        <v>200</v>
      </c>
      <c r="AV645" t="s">
        <v>1254</v>
      </c>
      <c r="AW645" t="s">
        <v>866</v>
      </c>
      <c r="AX645" t="s">
        <v>866</v>
      </c>
      <c r="AY645">
        <v>2</v>
      </c>
      <c r="AZ645" t="s">
        <v>1255</v>
      </c>
      <c r="BA645">
        <v>2016</v>
      </c>
      <c r="BB645">
        <v>2018</v>
      </c>
      <c r="BD645" t="s">
        <v>1282</v>
      </c>
      <c r="BE645" t="s">
        <v>566</v>
      </c>
      <c r="BF645" t="s">
        <v>484</v>
      </c>
      <c r="BG645" t="s">
        <v>485</v>
      </c>
      <c r="BH645" t="s">
        <v>1257</v>
      </c>
      <c r="BI645" t="s">
        <v>508</v>
      </c>
      <c r="BJ645">
        <v>20</v>
      </c>
      <c r="BK645" t="s">
        <v>537</v>
      </c>
      <c r="BL645" t="s">
        <v>538</v>
      </c>
      <c r="BM645" t="s">
        <v>480</v>
      </c>
      <c r="BN645" t="s">
        <v>480</v>
      </c>
      <c r="BO645" t="s">
        <v>480</v>
      </c>
      <c r="BP645" t="s">
        <v>555</v>
      </c>
      <c r="BQ645" t="s">
        <v>1278</v>
      </c>
      <c r="BR645" t="s">
        <v>480</v>
      </c>
      <c r="BS645" t="s">
        <v>480</v>
      </c>
      <c r="BT645" t="s">
        <v>480</v>
      </c>
      <c r="BU645" t="s">
        <v>555</v>
      </c>
      <c r="BV645" t="s">
        <v>1279</v>
      </c>
      <c r="BW645" t="s">
        <v>480</v>
      </c>
      <c r="BX645" t="s">
        <v>480</v>
      </c>
      <c r="BY645" t="s">
        <v>480</v>
      </c>
      <c r="BZ645" t="s">
        <v>537</v>
      </c>
      <c r="CA645" t="s">
        <v>870</v>
      </c>
      <c r="CB645" t="s">
        <v>480</v>
      </c>
      <c r="CC645" t="s">
        <v>480</v>
      </c>
      <c r="CD645" t="s">
        <v>480</v>
      </c>
      <c r="HT645" s="50">
        <v>42539</v>
      </c>
      <c r="IO645" t="s">
        <v>1304</v>
      </c>
      <c r="IP645" s="46" t="s">
        <v>1280</v>
      </c>
      <c r="IS645">
        <v>2016</v>
      </c>
      <c r="JJ645" t="s">
        <v>1260</v>
      </c>
      <c r="JL645" t="s">
        <v>495</v>
      </c>
      <c r="JP645" t="s">
        <v>508</v>
      </c>
      <c r="JQ645">
        <v>125</v>
      </c>
      <c r="JT645">
        <v>60</v>
      </c>
      <c r="JU645">
        <v>30</v>
      </c>
      <c r="KE645" t="s">
        <v>1261</v>
      </c>
      <c r="KF645" s="75" t="s">
        <v>1001</v>
      </c>
      <c r="KG645" t="s">
        <v>1262</v>
      </c>
      <c r="KH645">
        <v>2</v>
      </c>
      <c r="KI645" t="s">
        <v>1263</v>
      </c>
      <c r="KK645" s="8" t="s">
        <v>1264</v>
      </c>
      <c r="KL645" t="s">
        <v>1265</v>
      </c>
      <c r="KM645">
        <v>3</v>
      </c>
      <c r="KO645" s="8" t="s">
        <v>1266</v>
      </c>
      <c r="KP645" s="64" t="s">
        <v>480</v>
      </c>
      <c r="KQ645" s="64" t="s">
        <v>480</v>
      </c>
      <c r="KS645" t="s">
        <v>1267</v>
      </c>
      <c r="KT645" s="3" t="s">
        <v>480</v>
      </c>
      <c r="KU645" t="s">
        <v>480</v>
      </c>
      <c r="LT645" t="s">
        <v>1268</v>
      </c>
      <c r="LY645" t="s">
        <v>1269</v>
      </c>
      <c r="LZ645">
        <v>206.25</v>
      </c>
      <c r="MA645" s="4" t="s">
        <v>480</v>
      </c>
      <c r="MI645" s="50">
        <v>42997</v>
      </c>
      <c r="MJ645" s="50">
        <v>42997</v>
      </c>
      <c r="MY645" t="s">
        <v>1270</v>
      </c>
      <c r="MZ645" t="s">
        <v>866</v>
      </c>
      <c r="NB645" t="s">
        <v>548</v>
      </c>
      <c r="NI645" t="s">
        <v>1272</v>
      </c>
      <c r="NJ645" t="s">
        <v>1314</v>
      </c>
      <c r="NK645" t="s">
        <v>1315</v>
      </c>
      <c r="NL645" s="4" t="s">
        <v>1316</v>
      </c>
      <c r="NM645" s="6" t="s">
        <v>1317</v>
      </c>
      <c r="NV645" t="s">
        <v>518</v>
      </c>
      <c r="NW645">
        <v>243.27</v>
      </c>
      <c r="NX645" t="s">
        <v>866</v>
      </c>
      <c r="NY645" t="s">
        <v>866</v>
      </c>
      <c r="OB645" s="3">
        <v>3</v>
      </c>
      <c r="OU645" t="s">
        <v>1276</v>
      </c>
      <c r="OV645" t="s">
        <v>518</v>
      </c>
      <c r="OX645">
        <v>2016</v>
      </c>
      <c r="OY645">
        <v>2017</v>
      </c>
      <c r="PB645" t="s">
        <v>522</v>
      </c>
      <c r="PC645" s="50">
        <v>46129</v>
      </c>
    </row>
    <row r="646" spans="1:419" ht="15.75" thickBot="1">
      <c r="A646" t="s">
        <v>469</v>
      </c>
      <c r="B646" t="s">
        <v>1251</v>
      </c>
      <c r="C646" t="s">
        <v>1252</v>
      </c>
      <c r="D646" s="4" t="s">
        <v>950</v>
      </c>
      <c r="E646" s="81" t="s">
        <v>1253</v>
      </c>
      <c r="F646" t="s">
        <v>1179</v>
      </c>
      <c r="G646" t="s">
        <v>475</v>
      </c>
      <c r="H646" t="s">
        <v>476</v>
      </c>
      <c r="I646">
        <v>30.9</v>
      </c>
      <c r="J646">
        <v>75.75</v>
      </c>
      <c r="K646">
        <v>200</v>
      </c>
      <c r="AV646" t="s">
        <v>1254</v>
      </c>
      <c r="AW646" t="s">
        <v>866</v>
      </c>
      <c r="AX646" t="s">
        <v>866</v>
      </c>
      <c r="AY646">
        <v>2</v>
      </c>
      <c r="AZ646" t="s">
        <v>1255</v>
      </c>
      <c r="BA646">
        <v>2016</v>
      </c>
      <c r="BB646">
        <v>2018</v>
      </c>
      <c r="BD646" t="s">
        <v>1285</v>
      </c>
      <c r="BE646" t="s">
        <v>572</v>
      </c>
      <c r="BF646" t="s">
        <v>484</v>
      </c>
      <c r="BG646" t="s">
        <v>485</v>
      </c>
      <c r="BH646" t="s">
        <v>1257</v>
      </c>
      <c r="BI646" t="s">
        <v>508</v>
      </c>
      <c r="BJ646">
        <v>20</v>
      </c>
      <c r="BK646" t="s">
        <v>537</v>
      </c>
      <c r="BL646" t="s">
        <v>538</v>
      </c>
      <c r="BM646" t="s">
        <v>480</v>
      </c>
      <c r="BN646" t="s">
        <v>480</v>
      </c>
      <c r="BO646" t="s">
        <v>480</v>
      </c>
      <c r="BP646" t="s">
        <v>555</v>
      </c>
      <c r="BQ646" t="s">
        <v>1278</v>
      </c>
      <c r="BR646" t="s">
        <v>480</v>
      </c>
      <c r="BS646" t="s">
        <v>480</v>
      </c>
      <c r="BT646" t="s">
        <v>480</v>
      </c>
      <c r="HT646" s="50">
        <v>42539</v>
      </c>
      <c r="IO646" t="s">
        <v>1286</v>
      </c>
      <c r="IP646" s="46" t="s">
        <v>1280</v>
      </c>
      <c r="IS646">
        <v>2016</v>
      </c>
      <c r="JJ646" t="s">
        <v>1260</v>
      </c>
      <c r="JL646" t="s">
        <v>495</v>
      </c>
      <c r="JP646" t="s">
        <v>508</v>
      </c>
      <c r="JQ646">
        <v>125</v>
      </c>
      <c r="JT646">
        <v>60</v>
      </c>
      <c r="JU646">
        <v>30</v>
      </c>
      <c r="KE646" t="s">
        <v>1261</v>
      </c>
      <c r="KF646" s="75" t="s">
        <v>1001</v>
      </c>
      <c r="KG646" t="s">
        <v>1262</v>
      </c>
      <c r="KH646">
        <v>2</v>
      </c>
      <c r="KI646" t="s">
        <v>1263</v>
      </c>
      <c r="KK646" s="8" t="s">
        <v>1264</v>
      </c>
      <c r="KL646" t="s">
        <v>1265</v>
      </c>
      <c r="KM646">
        <v>3</v>
      </c>
      <c r="KO646" s="8" t="s">
        <v>1266</v>
      </c>
      <c r="KP646" s="64" t="s">
        <v>480</v>
      </c>
      <c r="KQ646" s="64" t="s">
        <v>480</v>
      </c>
      <c r="KS646" t="s">
        <v>1267</v>
      </c>
      <c r="KT646" s="3" t="s">
        <v>480</v>
      </c>
      <c r="KU646" t="s">
        <v>480</v>
      </c>
      <c r="LT646" t="s">
        <v>1268</v>
      </c>
      <c r="LY646" t="s">
        <v>1269</v>
      </c>
      <c r="LZ646">
        <v>206.25</v>
      </c>
      <c r="MA646" s="4" t="s">
        <v>480</v>
      </c>
      <c r="MI646" s="50">
        <v>42997</v>
      </c>
      <c r="MJ646" s="50">
        <v>42997</v>
      </c>
      <c r="MY646" t="s">
        <v>1270</v>
      </c>
      <c r="MZ646" t="s">
        <v>866</v>
      </c>
      <c r="NB646" t="s">
        <v>548</v>
      </c>
      <c r="NI646" t="s">
        <v>1272</v>
      </c>
      <c r="NJ646" t="s">
        <v>1314</v>
      </c>
      <c r="NK646" t="s">
        <v>1315</v>
      </c>
      <c r="NL646" s="4" t="s">
        <v>1316</v>
      </c>
      <c r="NM646" s="6" t="s">
        <v>1317</v>
      </c>
      <c r="NV646" t="s">
        <v>518</v>
      </c>
      <c r="NW646">
        <v>247.77</v>
      </c>
      <c r="NX646" t="s">
        <v>866</v>
      </c>
      <c r="NY646" t="s">
        <v>866</v>
      </c>
      <c r="OB646" s="3">
        <v>3</v>
      </c>
      <c r="OU646" t="s">
        <v>1276</v>
      </c>
      <c r="OV646" t="s">
        <v>518</v>
      </c>
      <c r="OX646">
        <v>2016</v>
      </c>
      <c r="OY646">
        <v>2017</v>
      </c>
      <c r="PB646" t="s">
        <v>522</v>
      </c>
      <c r="PC646" s="50">
        <v>46129</v>
      </c>
    </row>
    <row r="647" spans="1:419" ht="15.75" thickBot="1">
      <c r="A647" t="s">
        <v>469</v>
      </c>
      <c r="B647" t="s">
        <v>1251</v>
      </c>
      <c r="C647" t="s">
        <v>1252</v>
      </c>
      <c r="D647" s="4" t="s">
        <v>950</v>
      </c>
      <c r="E647" s="81" t="s">
        <v>1253</v>
      </c>
      <c r="F647" t="s">
        <v>1179</v>
      </c>
      <c r="G647" t="s">
        <v>475</v>
      </c>
      <c r="H647" t="s">
        <v>476</v>
      </c>
      <c r="I647">
        <v>30.9</v>
      </c>
      <c r="J647">
        <v>75.75</v>
      </c>
      <c r="K647">
        <v>200</v>
      </c>
      <c r="AV647" t="s">
        <v>1254</v>
      </c>
      <c r="AW647" t="s">
        <v>866</v>
      </c>
      <c r="AX647" t="s">
        <v>866</v>
      </c>
      <c r="AY647">
        <v>2</v>
      </c>
      <c r="AZ647" t="s">
        <v>1255</v>
      </c>
      <c r="BA647">
        <v>2016</v>
      </c>
      <c r="BB647">
        <v>2018</v>
      </c>
      <c r="BD647" t="s">
        <v>1288</v>
      </c>
      <c r="BE647" t="s">
        <v>553</v>
      </c>
      <c r="BF647" t="s">
        <v>484</v>
      </c>
      <c r="BG647" t="s">
        <v>485</v>
      </c>
      <c r="BH647" t="s">
        <v>1257</v>
      </c>
      <c r="BI647" t="s">
        <v>508</v>
      </c>
      <c r="BJ647">
        <v>20</v>
      </c>
      <c r="BK647" t="s">
        <v>537</v>
      </c>
      <c r="BL647" t="s">
        <v>538</v>
      </c>
      <c r="BM647" t="s">
        <v>480</v>
      </c>
      <c r="BN647" t="s">
        <v>480</v>
      </c>
      <c r="BO647" t="s">
        <v>480</v>
      </c>
      <c r="BP647" t="s">
        <v>555</v>
      </c>
      <c r="BQ647" t="s">
        <v>1289</v>
      </c>
      <c r="BR647" t="s">
        <v>480</v>
      </c>
      <c r="BS647" t="s">
        <v>480</v>
      </c>
      <c r="BT647" t="s">
        <v>480</v>
      </c>
      <c r="BU647" t="s">
        <v>555</v>
      </c>
      <c r="BV647" t="s">
        <v>1290</v>
      </c>
      <c r="BW647" t="s">
        <v>480</v>
      </c>
      <c r="BX647" t="s">
        <v>480</v>
      </c>
      <c r="BY647" t="s">
        <v>480</v>
      </c>
      <c r="HT647" s="50">
        <v>42539</v>
      </c>
      <c r="IO647" t="s">
        <v>1299</v>
      </c>
      <c r="IP647" s="46" t="s">
        <v>1280</v>
      </c>
      <c r="IS647">
        <v>2016</v>
      </c>
      <c r="JJ647" t="s">
        <v>1260</v>
      </c>
      <c r="JL647" t="s">
        <v>495</v>
      </c>
      <c r="JP647" t="s">
        <v>508</v>
      </c>
      <c r="JQ647">
        <v>125</v>
      </c>
      <c r="JT647">
        <v>60</v>
      </c>
      <c r="JU647">
        <v>30</v>
      </c>
      <c r="KE647" t="s">
        <v>1261</v>
      </c>
      <c r="KF647" s="75" t="s">
        <v>1001</v>
      </c>
      <c r="KG647" t="s">
        <v>1262</v>
      </c>
      <c r="KH647">
        <v>2</v>
      </c>
      <c r="KI647" t="s">
        <v>1263</v>
      </c>
      <c r="KK647" s="8" t="s">
        <v>1264</v>
      </c>
      <c r="KL647" t="s">
        <v>1265</v>
      </c>
      <c r="KM647">
        <v>3</v>
      </c>
      <c r="KO647" s="8" t="s">
        <v>1266</v>
      </c>
      <c r="KP647" s="64" t="s">
        <v>480</v>
      </c>
      <c r="KQ647" s="64" t="s">
        <v>480</v>
      </c>
      <c r="KS647" t="s">
        <v>1267</v>
      </c>
      <c r="KT647" s="3" t="s">
        <v>480</v>
      </c>
      <c r="KU647" t="s">
        <v>480</v>
      </c>
      <c r="LT647" t="s">
        <v>1268</v>
      </c>
      <c r="LY647" t="s">
        <v>1269</v>
      </c>
      <c r="LZ647">
        <v>206.25</v>
      </c>
      <c r="MA647" s="4" t="s">
        <v>480</v>
      </c>
      <c r="MI647" s="50">
        <v>42997</v>
      </c>
      <c r="MJ647" s="50">
        <v>42997</v>
      </c>
      <c r="MY647" t="s">
        <v>1270</v>
      </c>
      <c r="MZ647" t="s">
        <v>866</v>
      </c>
      <c r="NB647" t="s">
        <v>548</v>
      </c>
      <c r="NI647" t="s">
        <v>1272</v>
      </c>
      <c r="NJ647" t="s">
        <v>1314</v>
      </c>
      <c r="NK647" t="s">
        <v>1315</v>
      </c>
      <c r="NL647" s="4" t="s">
        <v>1316</v>
      </c>
      <c r="NM647" s="6" t="s">
        <v>1317</v>
      </c>
      <c r="NV647" t="s">
        <v>518</v>
      </c>
      <c r="NW647">
        <v>244.99</v>
      </c>
      <c r="NX647" t="s">
        <v>866</v>
      </c>
      <c r="NY647" t="s">
        <v>866</v>
      </c>
      <c r="OB647" s="3">
        <v>3</v>
      </c>
      <c r="OU647" t="s">
        <v>1276</v>
      </c>
      <c r="OV647" t="s">
        <v>518</v>
      </c>
      <c r="OX647">
        <v>2016</v>
      </c>
      <c r="OY647">
        <v>2017</v>
      </c>
      <c r="PB647" t="s">
        <v>522</v>
      </c>
      <c r="PC647" s="50">
        <v>46129</v>
      </c>
    </row>
    <row r="648" spans="1:419" ht="15.75" thickBot="1">
      <c r="A648" t="s">
        <v>469</v>
      </c>
      <c r="B648" t="s">
        <v>1251</v>
      </c>
      <c r="C648" t="s">
        <v>1252</v>
      </c>
      <c r="D648" s="4" t="s">
        <v>950</v>
      </c>
      <c r="E648" s="81" t="s">
        <v>1253</v>
      </c>
      <c r="F648" t="s">
        <v>1179</v>
      </c>
      <c r="G648" t="s">
        <v>475</v>
      </c>
      <c r="H648" t="s">
        <v>476</v>
      </c>
      <c r="I648">
        <v>30.9</v>
      </c>
      <c r="J648">
        <v>75.75</v>
      </c>
      <c r="K648">
        <v>200</v>
      </c>
      <c r="AV648" t="s">
        <v>1254</v>
      </c>
      <c r="AW648" t="s">
        <v>866</v>
      </c>
      <c r="AX648" t="s">
        <v>866</v>
      </c>
      <c r="AY648">
        <v>2</v>
      </c>
      <c r="AZ648" t="s">
        <v>1255</v>
      </c>
      <c r="BA648">
        <v>2016</v>
      </c>
      <c r="BB648">
        <v>2018</v>
      </c>
      <c r="BD648" s="3" t="s">
        <v>1293</v>
      </c>
      <c r="BE648" t="s">
        <v>607</v>
      </c>
      <c r="BF648" t="s">
        <v>484</v>
      </c>
      <c r="BG648" t="s">
        <v>485</v>
      </c>
      <c r="BH648" t="s">
        <v>1257</v>
      </c>
      <c r="BI648" t="s">
        <v>508</v>
      </c>
      <c r="BJ648">
        <v>20</v>
      </c>
      <c r="BK648" t="s">
        <v>555</v>
      </c>
      <c r="BL648" t="s">
        <v>1294</v>
      </c>
      <c r="BM648" t="s">
        <v>480</v>
      </c>
      <c r="BN648" t="s">
        <v>480</v>
      </c>
      <c r="BO648" t="s">
        <v>480</v>
      </c>
      <c r="BP648" t="s">
        <v>555</v>
      </c>
      <c r="BQ648" t="s">
        <v>1289</v>
      </c>
      <c r="BR648" t="s">
        <v>480</v>
      </c>
      <c r="BS648" t="s">
        <v>480</v>
      </c>
      <c r="BT648" t="s">
        <v>480</v>
      </c>
      <c r="BU648" t="s">
        <v>555</v>
      </c>
      <c r="BV648" t="s">
        <v>1290</v>
      </c>
      <c r="BW648" t="s">
        <v>480</v>
      </c>
      <c r="BX648" t="s">
        <v>480</v>
      </c>
      <c r="BY648" t="s">
        <v>480</v>
      </c>
      <c r="HT648" s="50">
        <v>42539</v>
      </c>
      <c r="IO648" t="s">
        <v>1293</v>
      </c>
      <c r="IP648" s="46" t="s">
        <v>1280</v>
      </c>
      <c r="IS648">
        <v>2016</v>
      </c>
      <c r="JJ648" t="s">
        <v>1260</v>
      </c>
      <c r="JL648" t="s">
        <v>495</v>
      </c>
      <c r="JP648" t="s">
        <v>508</v>
      </c>
      <c r="JQ648">
        <v>125</v>
      </c>
      <c r="JT648">
        <v>60</v>
      </c>
      <c r="JU648">
        <v>30</v>
      </c>
      <c r="KE648" t="s">
        <v>1261</v>
      </c>
      <c r="KF648" s="75" t="s">
        <v>1001</v>
      </c>
      <c r="KG648" t="s">
        <v>1262</v>
      </c>
      <c r="KH648">
        <v>2</v>
      </c>
      <c r="KI648" t="s">
        <v>1263</v>
      </c>
      <c r="KK648" s="8" t="s">
        <v>1264</v>
      </c>
      <c r="KL648" t="s">
        <v>1265</v>
      </c>
      <c r="KM648">
        <v>3</v>
      </c>
      <c r="KO648" s="8" t="s">
        <v>1266</v>
      </c>
      <c r="KP648" s="64" t="s">
        <v>480</v>
      </c>
      <c r="KQ648" s="64" t="s">
        <v>480</v>
      </c>
      <c r="KS648" t="s">
        <v>1267</v>
      </c>
      <c r="KT648" s="3" t="s">
        <v>480</v>
      </c>
      <c r="KU648" t="s">
        <v>480</v>
      </c>
      <c r="LT648" t="s">
        <v>1268</v>
      </c>
      <c r="LY648" t="s">
        <v>1269</v>
      </c>
      <c r="LZ648">
        <v>206.25</v>
      </c>
      <c r="MA648" s="4" t="s">
        <v>480</v>
      </c>
      <c r="MI648" s="50">
        <v>42997</v>
      </c>
      <c r="MJ648" s="50">
        <v>42997</v>
      </c>
      <c r="MY648" t="s">
        <v>1270</v>
      </c>
      <c r="MZ648" t="s">
        <v>866</v>
      </c>
      <c r="NB648" t="s">
        <v>548</v>
      </c>
      <c r="NI648" t="s">
        <v>1272</v>
      </c>
      <c r="NJ648" t="s">
        <v>1314</v>
      </c>
      <c r="NK648" t="s">
        <v>1315</v>
      </c>
      <c r="NL648" s="4" t="s">
        <v>1316</v>
      </c>
      <c r="NM648" s="6" t="s">
        <v>1317</v>
      </c>
      <c r="NV648" t="s">
        <v>518</v>
      </c>
      <c r="NW648">
        <v>323.24</v>
      </c>
      <c r="NX648" t="s">
        <v>866</v>
      </c>
      <c r="NY648" t="s">
        <v>866</v>
      </c>
      <c r="OB648" s="3">
        <v>3</v>
      </c>
      <c r="OU648" t="s">
        <v>1276</v>
      </c>
      <c r="OV648" t="s">
        <v>518</v>
      </c>
      <c r="OX648">
        <v>2016</v>
      </c>
      <c r="OY648">
        <v>2017</v>
      </c>
      <c r="PB648" t="s">
        <v>522</v>
      </c>
      <c r="PC648" s="50">
        <v>46129</v>
      </c>
    </row>
    <row r="649" spans="1:419" ht="15.75" thickBot="1">
      <c r="A649" t="s">
        <v>469</v>
      </c>
      <c r="B649" t="s">
        <v>1251</v>
      </c>
      <c r="C649" t="s">
        <v>1252</v>
      </c>
      <c r="D649" s="4" t="s">
        <v>950</v>
      </c>
      <c r="E649" s="81" t="s">
        <v>1253</v>
      </c>
      <c r="F649" t="s">
        <v>1179</v>
      </c>
      <c r="G649" t="s">
        <v>475</v>
      </c>
      <c r="H649" t="s">
        <v>476</v>
      </c>
      <c r="I649">
        <v>30.9</v>
      </c>
      <c r="J649">
        <v>75.75</v>
      </c>
      <c r="K649">
        <v>200</v>
      </c>
      <c r="AV649" t="s">
        <v>1254</v>
      </c>
      <c r="AW649" t="s">
        <v>866</v>
      </c>
      <c r="AX649" t="s">
        <v>866</v>
      </c>
      <c r="AY649">
        <v>2</v>
      </c>
      <c r="AZ649" t="s">
        <v>1255</v>
      </c>
      <c r="BA649">
        <v>2016</v>
      </c>
      <c r="BB649">
        <v>2018</v>
      </c>
      <c r="BD649" s="15" t="s">
        <v>1296</v>
      </c>
      <c r="BE649" t="s">
        <v>611</v>
      </c>
      <c r="BF649" t="s">
        <v>484</v>
      </c>
      <c r="BG649" t="s">
        <v>485</v>
      </c>
      <c r="BH649" t="s">
        <v>1257</v>
      </c>
      <c r="BI649" t="s">
        <v>508</v>
      </c>
      <c r="BJ649">
        <v>20</v>
      </c>
      <c r="BK649" t="s">
        <v>537</v>
      </c>
      <c r="BL649" t="s">
        <v>538</v>
      </c>
      <c r="BM649" t="s">
        <v>480</v>
      </c>
      <c r="BN649" t="s">
        <v>480</v>
      </c>
      <c r="BO649" t="s">
        <v>480</v>
      </c>
      <c r="BP649" t="s">
        <v>555</v>
      </c>
      <c r="BQ649" t="s">
        <v>1294</v>
      </c>
      <c r="BR649" t="s">
        <v>480</v>
      </c>
      <c r="BS649" t="s">
        <v>480</v>
      </c>
      <c r="BT649" t="s">
        <v>480</v>
      </c>
      <c r="BU649" t="s">
        <v>555</v>
      </c>
      <c r="BV649" t="s">
        <v>1289</v>
      </c>
      <c r="BW649" t="s">
        <v>480</v>
      </c>
      <c r="BX649" t="s">
        <v>480</v>
      </c>
      <c r="BY649" t="s">
        <v>480</v>
      </c>
      <c r="BZ649" t="s">
        <v>555</v>
      </c>
      <c r="CA649" t="s">
        <v>1290</v>
      </c>
      <c r="CB649" t="s">
        <v>480</v>
      </c>
      <c r="CC649" t="s">
        <v>480</v>
      </c>
      <c r="CD649" t="s">
        <v>480</v>
      </c>
      <c r="HT649" s="50">
        <v>42539</v>
      </c>
      <c r="IO649" t="s">
        <v>1297</v>
      </c>
      <c r="IP649" s="46" t="s">
        <v>1280</v>
      </c>
      <c r="IS649">
        <v>2016</v>
      </c>
      <c r="JJ649" t="s">
        <v>1260</v>
      </c>
      <c r="JL649" t="s">
        <v>495</v>
      </c>
      <c r="JP649" t="s">
        <v>508</v>
      </c>
      <c r="JQ649">
        <v>125</v>
      </c>
      <c r="JT649">
        <v>60</v>
      </c>
      <c r="JU649">
        <v>30</v>
      </c>
      <c r="KE649" t="s">
        <v>1261</v>
      </c>
      <c r="KF649" s="75" t="s">
        <v>1001</v>
      </c>
      <c r="KG649" t="s">
        <v>1262</v>
      </c>
      <c r="KH649">
        <v>2</v>
      </c>
      <c r="KI649" t="s">
        <v>1263</v>
      </c>
      <c r="KK649" s="8" t="s">
        <v>1264</v>
      </c>
      <c r="KL649" t="s">
        <v>1265</v>
      </c>
      <c r="KM649">
        <v>3</v>
      </c>
      <c r="KO649" s="8" t="s">
        <v>1266</v>
      </c>
      <c r="KP649" s="64" t="s">
        <v>480</v>
      </c>
      <c r="KQ649" s="64" t="s">
        <v>480</v>
      </c>
      <c r="KS649" t="s">
        <v>1267</v>
      </c>
      <c r="KT649" s="3" t="s">
        <v>480</v>
      </c>
      <c r="KU649" t="s">
        <v>480</v>
      </c>
      <c r="LT649" t="s">
        <v>1268</v>
      </c>
      <c r="LY649" t="s">
        <v>1269</v>
      </c>
      <c r="LZ649">
        <v>206.25</v>
      </c>
      <c r="MA649" s="4" t="s">
        <v>480</v>
      </c>
      <c r="MI649" s="50">
        <v>42997</v>
      </c>
      <c r="MJ649" s="50">
        <v>42997</v>
      </c>
      <c r="MY649" t="s">
        <v>1270</v>
      </c>
      <c r="MZ649" t="s">
        <v>866</v>
      </c>
      <c r="NB649" t="s">
        <v>548</v>
      </c>
      <c r="NI649" t="s">
        <v>1272</v>
      </c>
      <c r="NJ649" t="s">
        <v>1314</v>
      </c>
      <c r="NK649" t="s">
        <v>1315</v>
      </c>
      <c r="NL649" s="4" t="s">
        <v>1316</v>
      </c>
      <c r="NM649" s="6" t="s">
        <v>1317</v>
      </c>
      <c r="NV649" t="s">
        <v>518</v>
      </c>
      <c r="NW649">
        <v>246.99</v>
      </c>
      <c r="NX649" t="s">
        <v>866</v>
      </c>
      <c r="NY649" t="s">
        <v>866</v>
      </c>
      <c r="OB649" s="3">
        <v>3</v>
      </c>
      <c r="OU649" t="s">
        <v>1276</v>
      </c>
      <c r="OV649" t="s">
        <v>518</v>
      </c>
      <c r="OX649">
        <v>2016</v>
      </c>
      <c r="OY649">
        <v>2017</v>
      </c>
      <c r="PB649" t="s">
        <v>522</v>
      </c>
      <c r="PC649" s="50">
        <v>46129</v>
      </c>
    </row>
    <row r="650" spans="1:419" ht="15.75" thickBot="1">
      <c r="A650" t="s">
        <v>469</v>
      </c>
      <c r="B650" t="s">
        <v>1251</v>
      </c>
      <c r="C650" t="s">
        <v>1252</v>
      </c>
      <c r="D650" s="4" t="s">
        <v>950</v>
      </c>
      <c r="E650" s="81" t="s">
        <v>1253</v>
      </c>
      <c r="F650" t="s">
        <v>1179</v>
      </c>
      <c r="G650" t="s">
        <v>475</v>
      </c>
      <c r="H650" t="s">
        <v>476</v>
      </c>
      <c r="I650">
        <v>30.9</v>
      </c>
      <c r="J650">
        <v>75.75</v>
      </c>
      <c r="K650">
        <v>200</v>
      </c>
      <c r="AV650" t="s">
        <v>1254</v>
      </c>
      <c r="AW650" t="s">
        <v>866</v>
      </c>
      <c r="AX650" t="s">
        <v>866</v>
      </c>
      <c r="AY650">
        <v>2</v>
      </c>
      <c r="AZ650" t="s">
        <v>1255</v>
      </c>
      <c r="BA650">
        <v>2016</v>
      </c>
      <c r="BB650">
        <v>2018</v>
      </c>
      <c r="BD650" t="s">
        <v>1256</v>
      </c>
      <c r="BE650" t="s">
        <v>524</v>
      </c>
      <c r="BF650" t="s">
        <v>484</v>
      </c>
      <c r="BG650" t="s">
        <v>485</v>
      </c>
      <c r="BH650" t="s">
        <v>1257</v>
      </c>
      <c r="BI650" t="s">
        <v>508</v>
      </c>
      <c r="BJ650">
        <v>20</v>
      </c>
      <c r="BK650" t="s">
        <v>555</v>
      </c>
      <c r="BL650" t="s">
        <v>1258</v>
      </c>
      <c r="BM650" t="s">
        <v>480</v>
      </c>
      <c r="BN650" t="s">
        <v>480</v>
      </c>
      <c r="BO650" t="s">
        <v>480</v>
      </c>
      <c r="HT650" s="50">
        <v>42907</v>
      </c>
      <c r="IO650" t="s">
        <v>1256</v>
      </c>
      <c r="IP650" s="46" t="s">
        <v>1259</v>
      </c>
      <c r="IS650">
        <v>2016</v>
      </c>
      <c r="JJ650" t="s">
        <v>1260</v>
      </c>
      <c r="JL650" t="s">
        <v>495</v>
      </c>
      <c r="JP650" t="s">
        <v>508</v>
      </c>
      <c r="JQ650">
        <v>125</v>
      </c>
      <c r="JT650">
        <v>60</v>
      </c>
      <c r="JU650">
        <v>30</v>
      </c>
      <c r="KE650" t="s">
        <v>1261</v>
      </c>
      <c r="KF650" s="75" t="s">
        <v>1001</v>
      </c>
      <c r="KG650" t="s">
        <v>1262</v>
      </c>
      <c r="KH650">
        <v>2</v>
      </c>
      <c r="KI650" t="s">
        <v>1263</v>
      </c>
      <c r="KK650" s="8" t="s">
        <v>1264</v>
      </c>
      <c r="KL650" t="s">
        <v>1265</v>
      </c>
      <c r="KM650">
        <v>3</v>
      </c>
      <c r="KO650" s="8" t="s">
        <v>1266</v>
      </c>
      <c r="KP650" s="64" t="s">
        <v>480</v>
      </c>
      <c r="KQ650" s="64" t="s">
        <v>480</v>
      </c>
      <c r="KS650" t="s">
        <v>1267</v>
      </c>
      <c r="KT650" s="3" t="s">
        <v>480</v>
      </c>
      <c r="KU650" t="s">
        <v>480</v>
      </c>
      <c r="LT650" t="s">
        <v>1268</v>
      </c>
      <c r="LY650" t="s">
        <v>1269</v>
      </c>
      <c r="LZ650">
        <v>225</v>
      </c>
      <c r="MA650" s="4" t="s">
        <v>480</v>
      </c>
      <c r="MI650" s="50">
        <v>43362</v>
      </c>
      <c r="MJ650" s="50">
        <v>43362</v>
      </c>
      <c r="MY650" t="s">
        <v>1270</v>
      </c>
      <c r="MZ650" t="s">
        <v>866</v>
      </c>
      <c r="NB650" t="s">
        <v>548</v>
      </c>
      <c r="NI650" t="s">
        <v>1272</v>
      </c>
      <c r="NJ650" t="s">
        <v>1314</v>
      </c>
      <c r="NK650" t="s">
        <v>1315</v>
      </c>
      <c r="NL650" s="4" t="s">
        <v>1316</v>
      </c>
      <c r="NM650" s="6" t="s">
        <v>1317</v>
      </c>
      <c r="NU650" t="s">
        <v>1025</v>
      </c>
      <c r="NV650" t="s">
        <v>518</v>
      </c>
      <c r="NW650">
        <v>328.04</v>
      </c>
      <c r="NX650" t="s">
        <v>866</v>
      </c>
      <c r="NY650" t="s">
        <v>866</v>
      </c>
      <c r="OB650" s="3">
        <v>3</v>
      </c>
      <c r="OU650" t="s">
        <v>1276</v>
      </c>
      <c r="OV650" t="s">
        <v>518</v>
      </c>
      <c r="OX650">
        <v>2017</v>
      </c>
      <c r="OY650">
        <v>2018</v>
      </c>
      <c r="PB650" t="s">
        <v>522</v>
      </c>
      <c r="PC650" s="50">
        <v>46129</v>
      </c>
    </row>
    <row r="651" spans="1:419" ht="15.75" thickBot="1">
      <c r="A651" t="s">
        <v>469</v>
      </c>
      <c r="B651" t="s">
        <v>1251</v>
      </c>
      <c r="C651" t="s">
        <v>1252</v>
      </c>
      <c r="D651" s="4" t="s">
        <v>950</v>
      </c>
      <c r="E651" s="81" t="s">
        <v>1253</v>
      </c>
      <c r="F651" t="s">
        <v>1179</v>
      </c>
      <c r="G651" t="s">
        <v>475</v>
      </c>
      <c r="H651" t="s">
        <v>476</v>
      </c>
      <c r="I651">
        <v>30.9</v>
      </c>
      <c r="J651">
        <v>75.75</v>
      </c>
      <c r="K651">
        <v>200</v>
      </c>
      <c r="AV651" t="s">
        <v>1254</v>
      </c>
      <c r="AW651" t="s">
        <v>866</v>
      </c>
      <c r="AX651" t="s">
        <v>866</v>
      </c>
      <c r="AY651">
        <v>2</v>
      </c>
      <c r="AZ651" t="s">
        <v>1255</v>
      </c>
      <c r="BA651">
        <v>2016</v>
      </c>
      <c r="BB651">
        <v>2018</v>
      </c>
      <c r="BD651" t="s">
        <v>1277</v>
      </c>
      <c r="BE651" t="s">
        <v>536</v>
      </c>
      <c r="BF651" t="s">
        <v>484</v>
      </c>
      <c r="BG651" t="s">
        <v>485</v>
      </c>
      <c r="BH651" t="s">
        <v>1257</v>
      </c>
      <c r="BI651" t="s">
        <v>508</v>
      </c>
      <c r="BJ651">
        <v>20</v>
      </c>
      <c r="BK651" t="s">
        <v>555</v>
      </c>
      <c r="BL651" t="s">
        <v>1278</v>
      </c>
      <c r="BM651" t="s">
        <v>480</v>
      </c>
      <c r="BN651" t="s">
        <v>480</v>
      </c>
      <c r="BO651" t="s">
        <v>480</v>
      </c>
      <c r="BP651" t="s">
        <v>555</v>
      </c>
      <c r="BQ651" t="s">
        <v>1279</v>
      </c>
      <c r="BR651" t="s">
        <v>480</v>
      </c>
      <c r="BS651" t="s">
        <v>480</v>
      </c>
      <c r="BT651" t="s">
        <v>480</v>
      </c>
      <c r="BU651" t="s">
        <v>537</v>
      </c>
      <c r="BV651" t="s">
        <v>870</v>
      </c>
      <c r="BW651" t="s">
        <v>480</v>
      </c>
      <c r="BX651" t="s">
        <v>480</v>
      </c>
      <c r="BY651" t="s">
        <v>480</v>
      </c>
      <c r="HT651" s="50">
        <v>42907</v>
      </c>
      <c r="IO651" t="s">
        <v>1303</v>
      </c>
      <c r="IP651" s="46" t="s">
        <v>1280</v>
      </c>
      <c r="IS651">
        <v>2016</v>
      </c>
      <c r="JJ651" t="s">
        <v>1260</v>
      </c>
      <c r="JL651" t="s">
        <v>495</v>
      </c>
      <c r="JP651" t="s">
        <v>508</v>
      </c>
      <c r="JQ651">
        <v>125</v>
      </c>
      <c r="JT651">
        <v>60</v>
      </c>
      <c r="JU651">
        <v>30</v>
      </c>
      <c r="KE651" t="s">
        <v>1261</v>
      </c>
      <c r="KF651" s="75" t="s">
        <v>1001</v>
      </c>
      <c r="KG651" t="s">
        <v>1262</v>
      </c>
      <c r="KH651">
        <v>2</v>
      </c>
      <c r="KI651" t="s">
        <v>1263</v>
      </c>
      <c r="KK651" s="8" t="s">
        <v>1264</v>
      </c>
      <c r="KL651" t="s">
        <v>1265</v>
      </c>
      <c r="KM651">
        <v>3</v>
      </c>
      <c r="KO651" s="8" t="s">
        <v>1266</v>
      </c>
      <c r="KP651" s="64" t="s">
        <v>480</v>
      </c>
      <c r="KQ651" s="64" t="s">
        <v>480</v>
      </c>
      <c r="KS651" t="s">
        <v>1267</v>
      </c>
      <c r="KT651" s="3" t="s">
        <v>480</v>
      </c>
      <c r="KU651" t="s">
        <v>480</v>
      </c>
      <c r="LT651" t="s">
        <v>1268</v>
      </c>
      <c r="LY651" t="s">
        <v>1269</v>
      </c>
      <c r="LZ651">
        <v>225</v>
      </c>
      <c r="MA651" s="4" t="s">
        <v>480</v>
      </c>
      <c r="MI651" s="50">
        <v>43362</v>
      </c>
      <c r="MJ651" s="50">
        <v>43362</v>
      </c>
      <c r="MY651" t="s">
        <v>1270</v>
      </c>
      <c r="MZ651" t="s">
        <v>866</v>
      </c>
      <c r="NB651" t="s">
        <v>548</v>
      </c>
      <c r="NI651" t="s">
        <v>1272</v>
      </c>
      <c r="NJ651" t="s">
        <v>1314</v>
      </c>
      <c r="NK651" t="s">
        <v>1315</v>
      </c>
      <c r="NL651" s="4" t="s">
        <v>1316</v>
      </c>
      <c r="NM651" s="6" t="s">
        <v>1317</v>
      </c>
      <c r="NV651" t="s">
        <v>518</v>
      </c>
      <c r="NW651">
        <v>333.82</v>
      </c>
      <c r="NX651" t="s">
        <v>866</v>
      </c>
      <c r="NY651" t="s">
        <v>866</v>
      </c>
      <c r="OB651" s="3">
        <v>3</v>
      </c>
      <c r="OU651" t="s">
        <v>1276</v>
      </c>
      <c r="OV651" t="s">
        <v>518</v>
      </c>
      <c r="OX651">
        <v>2017</v>
      </c>
      <c r="OY651">
        <v>2018</v>
      </c>
      <c r="PB651" t="s">
        <v>522</v>
      </c>
      <c r="PC651" s="50">
        <v>46129</v>
      </c>
    </row>
    <row r="652" spans="1:419" ht="15.75" thickBot="1">
      <c r="A652" t="s">
        <v>469</v>
      </c>
      <c r="B652" t="s">
        <v>1251</v>
      </c>
      <c r="C652" t="s">
        <v>1252</v>
      </c>
      <c r="D652" s="4" t="s">
        <v>950</v>
      </c>
      <c r="E652" s="81" t="s">
        <v>1253</v>
      </c>
      <c r="F652" t="s">
        <v>1179</v>
      </c>
      <c r="G652" t="s">
        <v>475</v>
      </c>
      <c r="H652" t="s">
        <v>476</v>
      </c>
      <c r="I652">
        <v>30.9</v>
      </c>
      <c r="J652">
        <v>75.75</v>
      </c>
      <c r="K652">
        <v>200</v>
      </c>
      <c r="AV652" t="s">
        <v>1254</v>
      </c>
      <c r="AW652" t="s">
        <v>866</v>
      </c>
      <c r="AX652" t="s">
        <v>866</v>
      </c>
      <c r="AY652">
        <v>2</v>
      </c>
      <c r="AZ652" t="s">
        <v>1255</v>
      </c>
      <c r="BA652">
        <v>2016</v>
      </c>
      <c r="BB652">
        <v>2018</v>
      </c>
      <c r="BD652" t="s">
        <v>1282</v>
      </c>
      <c r="BE652" t="s">
        <v>566</v>
      </c>
      <c r="BF652" t="s">
        <v>484</v>
      </c>
      <c r="BG652" t="s">
        <v>485</v>
      </c>
      <c r="BH652" t="s">
        <v>1257</v>
      </c>
      <c r="BI652" t="s">
        <v>508</v>
      </c>
      <c r="BJ652">
        <v>20</v>
      </c>
      <c r="BK652" t="s">
        <v>537</v>
      </c>
      <c r="BL652" t="s">
        <v>538</v>
      </c>
      <c r="BM652" t="s">
        <v>480</v>
      </c>
      <c r="BN652" t="s">
        <v>480</v>
      </c>
      <c r="BO652" t="s">
        <v>480</v>
      </c>
      <c r="BP652" t="s">
        <v>555</v>
      </c>
      <c r="BQ652" t="s">
        <v>1278</v>
      </c>
      <c r="BR652" t="s">
        <v>480</v>
      </c>
      <c r="BS652" t="s">
        <v>480</v>
      </c>
      <c r="BT652" t="s">
        <v>480</v>
      </c>
      <c r="BU652" t="s">
        <v>555</v>
      </c>
      <c r="BV652" t="s">
        <v>1279</v>
      </c>
      <c r="BW652" t="s">
        <v>480</v>
      </c>
      <c r="BX652" t="s">
        <v>480</v>
      </c>
      <c r="BY652" t="s">
        <v>480</v>
      </c>
      <c r="BZ652" t="s">
        <v>537</v>
      </c>
      <c r="CA652" t="s">
        <v>870</v>
      </c>
      <c r="CB652" t="s">
        <v>480</v>
      </c>
      <c r="CC652" t="s">
        <v>480</v>
      </c>
      <c r="CD652" t="s">
        <v>480</v>
      </c>
      <c r="HT652" s="50">
        <v>42907</v>
      </c>
      <c r="IO652" t="s">
        <v>1304</v>
      </c>
      <c r="IP652" s="46" t="s">
        <v>1280</v>
      </c>
      <c r="IS652">
        <v>2016</v>
      </c>
      <c r="JJ652" t="s">
        <v>1260</v>
      </c>
      <c r="JL652" t="s">
        <v>495</v>
      </c>
      <c r="JP652" t="s">
        <v>508</v>
      </c>
      <c r="JQ652">
        <v>125</v>
      </c>
      <c r="JT652">
        <v>60</v>
      </c>
      <c r="JU652">
        <v>30</v>
      </c>
      <c r="KE652" t="s">
        <v>1261</v>
      </c>
      <c r="KF652" s="75" t="s">
        <v>1001</v>
      </c>
      <c r="KG652" t="s">
        <v>1262</v>
      </c>
      <c r="KH652">
        <v>2</v>
      </c>
      <c r="KI652" t="s">
        <v>1263</v>
      </c>
      <c r="KK652" s="8" t="s">
        <v>1264</v>
      </c>
      <c r="KL652" t="s">
        <v>1265</v>
      </c>
      <c r="KM652">
        <v>3</v>
      </c>
      <c r="KO652" s="8" t="s">
        <v>1266</v>
      </c>
      <c r="KP652" s="64" t="s">
        <v>480</v>
      </c>
      <c r="KQ652" s="64" t="s">
        <v>480</v>
      </c>
      <c r="KS652" t="s">
        <v>1267</v>
      </c>
      <c r="KT652" s="3" t="s">
        <v>480</v>
      </c>
      <c r="KU652" t="s">
        <v>480</v>
      </c>
      <c r="LT652" t="s">
        <v>1268</v>
      </c>
      <c r="LY652" t="s">
        <v>1269</v>
      </c>
      <c r="LZ652">
        <v>225</v>
      </c>
      <c r="MA652" s="4" t="s">
        <v>480</v>
      </c>
      <c r="MI652" s="50">
        <v>43362</v>
      </c>
      <c r="MJ652" s="50">
        <v>43362</v>
      </c>
      <c r="MY652" t="s">
        <v>1270</v>
      </c>
      <c r="MZ652" t="s">
        <v>866</v>
      </c>
      <c r="NB652" t="s">
        <v>548</v>
      </c>
      <c r="NI652" t="s">
        <v>1272</v>
      </c>
      <c r="NJ652" t="s">
        <v>1314</v>
      </c>
      <c r="NK652" t="s">
        <v>1315</v>
      </c>
      <c r="NL652" s="4" t="s">
        <v>1316</v>
      </c>
      <c r="NM652" s="6" t="s">
        <v>1317</v>
      </c>
      <c r="NV652" t="s">
        <v>518</v>
      </c>
      <c r="NW652">
        <v>256.81</v>
      </c>
      <c r="NX652" t="s">
        <v>866</v>
      </c>
      <c r="NY652" t="s">
        <v>866</v>
      </c>
      <c r="OB652" s="3">
        <v>3</v>
      </c>
      <c r="OU652" t="s">
        <v>1276</v>
      </c>
      <c r="OV652" t="s">
        <v>518</v>
      </c>
      <c r="OX652">
        <v>2017</v>
      </c>
      <c r="OY652">
        <v>2018</v>
      </c>
      <c r="PB652" t="s">
        <v>522</v>
      </c>
      <c r="PC652" s="50">
        <v>46129</v>
      </c>
    </row>
    <row r="653" spans="1:419" ht="15.75" thickBot="1">
      <c r="A653" t="s">
        <v>469</v>
      </c>
      <c r="B653" t="s">
        <v>1251</v>
      </c>
      <c r="C653" t="s">
        <v>1252</v>
      </c>
      <c r="D653" s="4" t="s">
        <v>950</v>
      </c>
      <c r="E653" s="81" t="s">
        <v>1253</v>
      </c>
      <c r="F653" t="s">
        <v>1179</v>
      </c>
      <c r="G653" t="s">
        <v>475</v>
      </c>
      <c r="H653" t="s">
        <v>476</v>
      </c>
      <c r="I653">
        <v>30.9</v>
      </c>
      <c r="J653">
        <v>75.75</v>
      </c>
      <c r="K653">
        <v>200</v>
      </c>
      <c r="AV653" t="s">
        <v>1254</v>
      </c>
      <c r="AW653" t="s">
        <v>866</v>
      </c>
      <c r="AX653" t="s">
        <v>866</v>
      </c>
      <c r="AY653">
        <v>2</v>
      </c>
      <c r="AZ653" t="s">
        <v>1255</v>
      </c>
      <c r="BA653">
        <v>2016</v>
      </c>
      <c r="BB653">
        <v>2018</v>
      </c>
      <c r="BD653" t="s">
        <v>1285</v>
      </c>
      <c r="BE653" t="s">
        <v>572</v>
      </c>
      <c r="BF653" t="s">
        <v>484</v>
      </c>
      <c r="BG653" t="s">
        <v>485</v>
      </c>
      <c r="BH653" t="s">
        <v>1257</v>
      </c>
      <c r="BI653" t="s">
        <v>508</v>
      </c>
      <c r="BJ653">
        <v>20</v>
      </c>
      <c r="BK653" t="s">
        <v>537</v>
      </c>
      <c r="BL653" t="s">
        <v>538</v>
      </c>
      <c r="BM653" t="s">
        <v>480</v>
      </c>
      <c r="BN653" t="s">
        <v>480</v>
      </c>
      <c r="BO653" t="s">
        <v>480</v>
      </c>
      <c r="BP653" t="s">
        <v>555</v>
      </c>
      <c r="BQ653" t="s">
        <v>1278</v>
      </c>
      <c r="BR653" t="s">
        <v>480</v>
      </c>
      <c r="BS653" t="s">
        <v>480</v>
      </c>
      <c r="BT653" t="s">
        <v>480</v>
      </c>
      <c r="HT653" s="50">
        <v>42907</v>
      </c>
      <c r="IO653" t="s">
        <v>1286</v>
      </c>
      <c r="IP653" s="46" t="s">
        <v>1280</v>
      </c>
      <c r="IS653">
        <v>2016</v>
      </c>
      <c r="JJ653" t="s">
        <v>1260</v>
      </c>
      <c r="JL653" t="s">
        <v>495</v>
      </c>
      <c r="JP653" t="s">
        <v>508</v>
      </c>
      <c r="JQ653">
        <v>125</v>
      </c>
      <c r="JT653">
        <v>60</v>
      </c>
      <c r="JU653">
        <v>30</v>
      </c>
      <c r="KE653" t="s">
        <v>1261</v>
      </c>
      <c r="KF653" s="75" t="s">
        <v>1001</v>
      </c>
      <c r="KG653" t="s">
        <v>1262</v>
      </c>
      <c r="KH653">
        <v>2</v>
      </c>
      <c r="KI653" t="s">
        <v>1263</v>
      </c>
      <c r="KK653" s="8" t="s">
        <v>1264</v>
      </c>
      <c r="KL653" t="s">
        <v>1265</v>
      </c>
      <c r="KM653">
        <v>3</v>
      </c>
      <c r="KO653" s="8" t="s">
        <v>1266</v>
      </c>
      <c r="KP653" s="64" t="s">
        <v>480</v>
      </c>
      <c r="KQ653" s="64" t="s">
        <v>480</v>
      </c>
      <c r="KS653" t="s">
        <v>1267</v>
      </c>
      <c r="KT653" s="3" t="s">
        <v>480</v>
      </c>
      <c r="KU653" t="s">
        <v>480</v>
      </c>
      <c r="LT653" t="s">
        <v>1268</v>
      </c>
      <c r="LY653" t="s">
        <v>1269</v>
      </c>
      <c r="LZ653">
        <v>225</v>
      </c>
      <c r="MA653" s="4" t="s">
        <v>480</v>
      </c>
      <c r="MI653" s="50">
        <v>43362</v>
      </c>
      <c r="MJ653" s="50">
        <v>43362</v>
      </c>
      <c r="MY653" t="s">
        <v>1270</v>
      </c>
      <c r="MZ653" t="s">
        <v>866</v>
      </c>
      <c r="NB653" t="s">
        <v>548</v>
      </c>
      <c r="NI653" t="s">
        <v>1272</v>
      </c>
      <c r="NJ653" t="s">
        <v>1314</v>
      </c>
      <c r="NK653" t="s">
        <v>1315</v>
      </c>
      <c r="NL653" s="4" t="s">
        <v>1316</v>
      </c>
      <c r="NM653" s="6" t="s">
        <v>1317</v>
      </c>
      <c r="NV653" t="s">
        <v>518</v>
      </c>
      <c r="NW653">
        <v>255.22</v>
      </c>
      <c r="NX653" t="s">
        <v>866</v>
      </c>
      <c r="NY653" t="s">
        <v>866</v>
      </c>
      <c r="OB653" s="3">
        <v>3</v>
      </c>
      <c r="OU653" t="s">
        <v>1276</v>
      </c>
      <c r="OV653" t="s">
        <v>518</v>
      </c>
      <c r="OX653">
        <v>2017</v>
      </c>
      <c r="OY653">
        <v>2018</v>
      </c>
      <c r="PB653" t="s">
        <v>522</v>
      </c>
      <c r="PC653" s="50">
        <v>46129</v>
      </c>
    </row>
    <row r="654" spans="1:419" ht="15.75" thickBot="1">
      <c r="A654" t="s">
        <v>469</v>
      </c>
      <c r="B654" t="s">
        <v>1251</v>
      </c>
      <c r="C654" t="s">
        <v>1252</v>
      </c>
      <c r="D654" s="4" t="s">
        <v>950</v>
      </c>
      <c r="E654" s="81" t="s">
        <v>1253</v>
      </c>
      <c r="F654" t="s">
        <v>1179</v>
      </c>
      <c r="G654" t="s">
        <v>475</v>
      </c>
      <c r="H654" t="s">
        <v>476</v>
      </c>
      <c r="I654">
        <v>30.9</v>
      </c>
      <c r="J654">
        <v>75.75</v>
      </c>
      <c r="K654">
        <v>200</v>
      </c>
      <c r="AV654" t="s">
        <v>1254</v>
      </c>
      <c r="AW654" t="s">
        <v>866</v>
      </c>
      <c r="AX654" t="s">
        <v>866</v>
      </c>
      <c r="AY654">
        <v>2</v>
      </c>
      <c r="AZ654" t="s">
        <v>1255</v>
      </c>
      <c r="BA654">
        <v>2016</v>
      </c>
      <c r="BB654">
        <v>2018</v>
      </c>
      <c r="BD654" t="s">
        <v>1288</v>
      </c>
      <c r="BE654" t="s">
        <v>553</v>
      </c>
      <c r="BF654" t="s">
        <v>484</v>
      </c>
      <c r="BG654" t="s">
        <v>485</v>
      </c>
      <c r="BH654" t="s">
        <v>1257</v>
      </c>
      <c r="BI654" t="s">
        <v>508</v>
      </c>
      <c r="BJ654">
        <v>20</v>
      </c>
      <c r="BK654" t="s">
        <v>537</v>
      </c>
      <c r="BL654" t="s">
        <v>538</v>
      </c>
      <c r="BM654" t="s">
        <v>480</v>
      </c>
      <c r="BN654" t="s">
        <v>480</v>
      </c>
      <c r="BO654" t="s">
        <v>480</v>
      </c>
      <c r="BP654" t="s">
        <v>555</v>
      </c>
      <c r="BQ654" t="s">
        <v>1289</v>
      </c>
      <c r="BR654" t="s">
        <v>480</v>
      </c>
      <c r="BS654" t="s">
        <v>480</v>
      </c>
      <c r="BT654" t="s">
        <v>480</v>
      </c>
      <c r="BU654" t="s">
        <v>555</v>
      </c>
      <c r="BV654" t="s">
        <v>1290</v>
      </c>
      <c r="BW654" t="s">
        <v>480</v>
      </c>
      <c r="BX654" t="s">
        <v>480</v>
      </c>
      <c r="BY654" t="s">
        <v>480</v>
      </c>
      <c r="HT654" s="50">
        <v>42907</v>
      </c>
      <c r="IO654" t="s">
        <v>1299</v>
      </c>
      <c r="IP654" s="46" t="s">
        <v>1280</v>
      </c>
      <c r="IS654">
        <v>2016</v>
      </c>
      <c r="JJ654" t="s">
        <v>1260</v>
      </c>
      <c r="JL654" t="s">
        <v>495</v>
      </c>
      <c r="JP654" t="s">
        <v>508</v>
      </c>
      <c r="JQ654">
        <v>125</v>
      </c>
      <c r="JT654">
        <v>60</v>
      </c>
      <c r="JU654">
        <v>30</v>
      </c>
      <c r="KE654" t="s">
        <v>1261</v>
      </c>
      <c r="KF654" s="75" t="s">
        <v>1001</v>
      </c>
      <c r="KG654" t="s">
        <v>1262</v>
      </c>
      <c r="KH654">
        <v>2</v>
      </c>
      <c r="KI654" t="s">
        <v>1263</v>
      </c>
      <c r="KK654" s="8" t="s">
        <v>1264</v>
      </c>
      <c r="KL654" t="s">
        <v>1265</v>
      </c>
      <c r="KM654">
        <v>3</v>
      </c>
      <c r="KO654" s="8" t="s">
        <v>1266</v>
      </c>
      <c r="KP654" s="64" t="s">
        <v>480</v>
      </c>
      <c r="KQ654" s="64" t="s">
        <v>480</v>
      </c>
      <c r="KS654" t="s">
        <v>1267</v>
      </c>
      <c r="KT654" s="3" t="s">
        <v>480</v>
      </c>
      <c r="KU654" t="s">
        <v>480</v>
      </c>
      <c r="LT654" t="s">
        <v>1268</v>
      </c>
      <c r="LY654" t="s">
        <v>1269</v>
      </c>
      <c r="LZ654">
        <v>225</v>
      </c>
      <c r="MA654" s="4" t="s">
        <v>480</v>
      </c>
      <c r="MI654" s="50">
        <v>43362</v>
      </c>
      <c r="MJ654" s="50">
        <v>43362</v>
      </c>
      <c r="MY654" t="s">
        <v>1270</v>
      </c>
      <c r="MZ654" t="s">
        <v>866</v>
      </c>
      <c r="NB654" t="s">
        <v>548</v>
      </c>
      <c r="NI654" t="s">
        <v>1272</v>
      </c>
      <c r="NJ654" t="s">
        <v>1314</v>
      </c>
      <c r="NK654" t="s">
        <v>1315</v>
      </c>
      <c r="NL654" s="4" t="s">
        <v>1316</v>
      </c>
      <c r="NM654" s="6" t="s">
        <v>1317</v>
      </c>
      <c r="NV654" t="s">
        <v>518</v>
      </c>
      <c r="NW654">
        <v>261.61</v>
      </c>
      <c r="NX654" t="s">
        <v>866</v>
      </c>
      <c r="NY654" t="s">
        <v>866</v>
      </c>
      <c r="OB654" s="3">
        <v>3</v>
      </c>
      <c r="OU654" t="s">
        <v>1276</v>
      </c>
      <c r="OV654" t="s">
        <v>518</v>
      </c>
      <c r="OX654">
        <v>2017</v>
      </c>
      <c r="OY654">
        <v>2018</v>
      </c>
      <c r="PB654" t="s">
        <v>522</v>
      </c>
      <c r="PC654" s="50">
        <v>46129</v>
      </c>
    </row>
    <row r="655" spans="1:419" ht="15.75" thickBot="1">
      <c r="A655" t="s">
        <v>469</v>
      </c>
      <c r="B655" t="s">
        <v>1251</v>
      </c>
      <c r="C655" t="s">
        <v>1252</v>
      </c>
      <c r="D655" s="4" t="s">
        <v>950</v>
      </c>
      <c r="E655" s="81" t="s">
        <v>1253</v>
      </c>
      <c r="F655" t="s">
        <v>1179</v>
      </c>
      <c r="G655" t="s">
        <v>475</v>
      </c>
      <c r="H655" t="s">
        <v>476</v>
      </c>
      <c r="I655">
        <v>30.9</v>
      </c>
      <c r="J655">
        <v>75.75</v>
      </c>
      <c r="K655">
        <v>200</v>
      </c>
      <c r="AV655" t="s">
        <v>1254</v>
      </c>
      <c r="AW655" t="s">
        <v>866</v>
      </c>
      <c r="AX655" t="s">
        <v>866</v>
      </c>
      <c r="AY655">
        <v>2</v>
      </c>
      <c r="AZ655" t="s">
        <v>1255</v>
      </c>
      <c r="BA655">
        <v>2016</v>
      </c>
      <c r="BB655">
        <v>2018</v>
      </c>
      <c r="BD655" s="3" t="s">
        <v>1293</v>
      </c>
      <c r="BE655" t="s">
        <v>607</v>
      </c>
      <c r="BF655" t="s">
        <v>484</v>
      </c>
      <c r="BG655" t="s">
        <v>485</v>
      </c>
      <c r="BH655" t="s">
        <v>1257</v>
      </c>
      <c r="BI655" t="s">
        <v>508</v>
      </c>
      <c r="BJ655">
        <v>20</v>
      </c>
      <c r="BK655" t="s">
        <v>555</v>
      </c>
      <c r="BL655" t="s">
        <v>1294</v>
      </c>
      <c r="BM655" t="s">
        <v>480</v>
      </c>
      <c r="BN655" t="s">
        <v>480</v>
      </c>
      <c r="BO655" t="s">
        <v>480</v>
      </c>
      <c r="BP655" t="s">
        <v>555</v>
      </c>
      <c r="BQ655" t="s">
        <v>1289</v>
      </c>
      <c r="BR655" t="s">
        <v>480</v>
      </c>
      <c r="BS655" t="s">
        <v>480</v>
      </c>
      <c r="BT655" t="s">
        <v>480</v>
      </c>
      <c r="BU655" t="s">
        <v>555</v>
      </c>
      <c r="BV655" t="s">
        <v>1290</v>
      </c>
      <c r="BW655" t="s">
        <v>480</v>
      </c>
      <c r="BX655" t="s">
        <v>480</v>
      </c>
      <c r="BY655" t="s">
        <v>480</v>
      </c>
      <c r="HT655" s="50">
        <v>42907</v>
      </c>
      <c r="IO655" t="s">
        <v>1293</v>
      </c>
      <c r="IP655" s="46" t="s">
        <v>1280</v>
      </c>
      <c r="IS655">
        <v>2016</v>
      </c>
      <c r="JJ655" t="s">
        <v>1260</v>
      </c>
      <c r="JL655" t="s">
        <v>495</v>
      </c>
      <c r="JP655" t="s">
        <v>508</v>
      </c>
      <c r="JQ655">
        <v>125</v>
      </c>
      <c r="JT655">
        <v>60</v>
      </c>
      <c r="JU655">
        <v>30</v>
      </c>
      <c r="KE655" t="s">
        <v>1261</v>
      </c>
      <c r="KF655" s="75" t="s">
        <v>1001</v>
      </c>
      <c r="KG655" t="s">
        <v>1262</v>
      </c>
      <c r="KH655">
        <v>2</v>
      </c>
      <c r="KI655" t="s">
        <v>1263</v>
      </c>
      <c r="KK655" s="8" t="s">
        <v>1264</v>
      </c>
      <c r="KL655" t="s">
        <v>1265</v>
      </c>
      <c r="KM655">
        <v>3</v>
      </c>
      <c r="KO655" s="8" t="s">
        <v>1266</v>
      </c>
      <c r="KP655" s="64" t="s">
        <v>480</v>
      </c>
      <c r="KQ655" s="64" t="s">
        <v>480</v>
      </c>
      <c r="KS655" t="s">
        <v>1267</v>
      </c>
      <c r="KT655" s="3" t="s">
        <v>480</v>
      </c>
      <c r="KU655" t="s">
        <v>480</v>
      </c>
      <c r="LT655" t="s">
        <v>1268</v>
      </c>
      <c r="LY655" t="s">
        <v>1269</v>
      </c>
      <c r="LZ655">
        <v>225</v>
      </c>
      <c r="MA655" s="4" t="s">
        <v>480</v>
      </c>
      <c r="MI655" s="50">
        <v>43362</v>
      </c>
      <c r="MJ655" s="50">
        <v>43362</v>
      </c>
      <c r="MY655" t="s">
        <v>1270</v>
      </c>
      <c r="MZ655" t="s">
        <v>866</v>
      </c>
      <c r="NB655" t="s">
        <v>548</v>
      </c>
      <c r="NI655" t="s">
        <v>1272</v>
      </c>
      <c r="NJ655" t="s">
        <v>1314</v>
      </c>
      <c r="NK655" t="s">
        <v>1315</v>
      </c>
      <c r="NL655" s="4" t="s">
        <v>1316</v>
      </c>
      <c r="NM655" s="6" t="s">
        <v>1317</v>
      </c>
      <c r="NV655" t="s">
        <v>518</v>
      </c>
      <c r="NW655">
        <v>332.78</v>
      </c>
      <c r="NX655" t="s">
        <v>866</v>
      </c>
      <c r="NY655" t="s">
        <v>866</v>
      </c>
      <c r="OB655" s="3">
        <v>3</v>
      </c>
      <c r="OU655" t="s">
        <v>1276</v>
      </c>
      <c r="OV655" t="s">
        <v>518</v>
      </c>
      <c r="OX655">
        <v>2017</v>
      </c>
      <c r="OY655">
        <v>2018</v>
      </c>
      <c r="PB655" t="s">
        <v>522</v>
      </c>
      <c r="PC655" s="50">
        <v>46129</v>
      </c>
    </row>
    <row r="656" spans="1:419" ht="15.75" thickBot="1">
      <c r="A656" t="s">
        <v>469</v>
      </c>
      <c r="B656" t="s">
        <v>1251</v>
      </c>
      <c r="C656" t="s">
        <v>1252</v>
      </c>
      <c r="D656" s="4" t="s">
        <v>950</v>
      </c>
      <c r="E656" s="81" t="s">
        <v>1253</v>
      </c>
      <c r="F656" t="s">
        <v>1179</v>
      </c>
      <c r="G656" t="s">
        <v>475</v>
      </c>
      <c r="H656" t="s">
        <v>476</v>
      </c>
      <c r="I656">
        <v>30.9</v>
      </c>
      <c r="J656">
        <v>75.75</v>
      </c>
      <c r="K656">
        <v>200</v>
      </c>
      <c r="AV656" t="s">
        <v>1254</v>
      </c>
      <c r="AW656" t="s">
        <v>866</v>
      </c>
      <c r="AX656" t="s">
        <v>866</v>
      </c>
      <c r="AY656">
        <v>2</v>
      </c>
      <c r="AZ656" t="s">
        <v>1255</v>
      </c>
      <c r="BA656">
        <v>2016</v>
      </c>
      <c r="BB656">
        <v>2018</v>
      </c>
      <c r="BD656" s="15" t="s">
        <v>1296</v>
      </c>
      <c r="BE656" t="s">
        <v>611</v>
      </c>
      <c r="BF656" t="s">
        <v>484</v>
      </c>
      <c r="BG656" t="s">
        <v>485</v>
      </c>
      <c r="BH656" t="s">
        <v>1257</v>
      </c>
      <c r="BI656" t="s">
        <v>508</v>
      </c>
      <c r="BJ656">
        <v>20</v>
      </c>
      <c r="BK656" t="s">
        <v>537</v>
      </c>
      <c r="BL656" t="s">
        <v>538</v>
      </c>
      <c r="BM656" t="s">
        <v>480</v>
      </c>
      <c r="BN656" t="s">
        <v>480</v>
      </c>
      <c r="BO656" t="s">
        <v>480</v>
      </c>
      <c r="BP656" t="s">
        <v>555</v>
      </c>
      <c r="BQ656" t="s">
        <v>1294</v>
      </c>
      <c r="BR656" t="s">
        <v>480</v>
      </c>
      <c r="BS656" t="s">
        <v>480</v>
      </c>
      <c r="BT656" t="s">
        <v>480</v>
      </c>
      <c r="BU656" t="s">
        <v>555</v>
      </c>
      <c r="BV656" t="s">
        <v>1289</v>
      </c>
      <c r="BW656" t="s">
        <v>480</v>
      </c>
      <c r="BX656" t="s">
        <v>480</v>
      </c>
      <c r="BY656" t="s">
        <v>480</v>
      </c>
      <c r="BZ656" t="s">
        <v>555</v>
      </c>
      <c r="CA656" t="s">
        <v>1290</v>
      </c>
      <c r="CB656" t="s">
        <v>480</v>
      </c>
      <c r="CC656" t="s">
        <v>480</v>
      </c>
      <c r="CD656" t="s">
        <v>480</v>
      </c>
      <c r="HT656" s="50">
        <v>42907</v>
      </c>
      <c r="IO656" t="s">
        <v>1297</v>
      </c>
      <c r="IP656" s="46" t="s">
        <v>1280</v>
      </c>
      <c r="IS656">
        <v>2016</v>
      </c>
      <c r="JJ656" t="s">
        <v>1260</v>
      </c>
      <c r="JL656" t="s">
        <v>495</v>
      </c>
      <c r="JP656" t="s">
        <v>508</v>
      </c>
      <c r="JQ656">
        <v>125</v>
      </c>
      <c r="JT656">
        <v>60</v>
      </c>
      <c r="JU656">
        <v>30</v>
      </c>
      <c r="KE656" t="s">
        <v>1261</v>
      </c>
      <c r="KF656" s="75" t="s">
        <v>1001</v>
      </c>
      <c r="KG656" t="s">
        <v>1262</v>
      </c>
      <c r="KH656">
        <v>2</v>
      </c>
      <c r="KI656" t="s">
        <v>1263</v>
      </c>
      <c r="KK656" s="8" t="s">
        <v>1264</v>
      </c>
      <c r="KL656" t="s">
        <v>1265</v>
      </c>
      <c r="KM656">
        <v>3</v>
      </c>
      <c r="KO656" s="8" t="s">
        <v>1266</v>
      </c>
      <c r="KP656" s="64" t="s">
        <v>480</v>
      </c>
      <c r="KQ656" s="64" t="s">
        <v>480</v>
      </c>
      <c r="KS656" t="s">
        <v>1267</v>
      </c>
      <c r="KT656" s="3" t="s">
        <v>480</v>
      </c>
      <c r="KU656" t="s">
        <v>480</v>
      </c>
      <c r="LT656" t="s">
        <v>1268</v>
      </c>
      <c r="LY656" t="s">
        <v>1269</v>
      </c>
      <c r="LZ656">
        <v>225</v>
      </c>
      <c r="MA656" s="4" t="s">
        <v>480</v>
      </c>
      <c r="MI656" s="50">
        <v>43362</v>
      </c>
      <c r="MJ656" s="50">
        <v>43362</v>
      </c>
      <c r="MY656" t="s">
        <v>1270</v>
      </c>
      <c r="MZ656" t="s">
        <v>866</v>
      </c>
      <c r="NB656" t="s">
        <v>548</v>
      </c>
      <c r="NI656" t="s">
        <v>1272</v>
      </c>
      <c r="NJ656" t="s">
        <v>1314</v>
      </c>
      <c r="NK656" t="s">
        <v>1315</v>
      </c>
      <c r="NL656" s="4" t="s">
        <v>1316</v>
      </c>
      <c r="NM656" s="6" t="s">
        <v>1317</v>
      </c>
      <c r="NV656" t="s">
        <v>518</v>
      </c>
      <c r="NW656">
        <v>263.26</v>
      </c>
      <c r="NX656" t="s">
        <v>866</v>
      </c>
      <c r="NY656" t="s">
        <v>866</v>
      </c>
      <c r="OB656" s="3">
        <v>3</v>
      </c>
      <c r="OU656" t="s">
        <v>1276</v>
      </c>
      <c r="OV656" t="s">
        <v>518</v>
      </c>
      <c r="OX656">
        <v>2017</v>
      </c>
      <c r="OY656">
        <v>2018</v>
      </c>
      <c r="PB656" t="s">
        <v>522</v>
      </c>
      <c r="PC656" s="50">
        <v>46129</v>
      </c>
    </row>
    <row r="657" spans="1:424">
      <c r="A657" s="78" t="s">
        <v>665</v>
      </c>
      <c r="B657" s="78" t="s">
        <v>1318</v>
      </c>
      <c r="C657" s="78" t="s">
        <v>1319</v>
      </c>
      <c r="D657" s="78" t="s">
        <v>950</v>
      </c>
      <c r="E657" s="78" t="s">
        <v>1320</v>
      </c>
      <c r="F657" s="78" t="s">
        <v>952</v>
      </c>
      <c r="G657" s="78" t="s">
        <v>475</v>
      </c>
      <c r="H657" s="78" t="s">
        <v>476</v>
      </c>
      <c r="I657" s="78">
        <v>-8.9</v>
      </c>
      <c r="J657" s="78">
        <v>-74.983000000000004</v>
      </c>
      <c r="K657" s="78">
        <v>500</v>
      </c>
      <c r="L657" s="78" t="s">
        <v>1319</v>
      </c>
      <c r="M657" s="78" t="s">
        <v>472</v>
      </c>
      <c r="N657" s="78" t="s">
        <v>1321</v>
      </c>
      <c r="O657" s="78" t="s">
        <v>1322</v>
      </c>
      <c r="P657" s="78" t="s">
        <v>475</v>
      </c>
      <c r="Q657" s="78" t="s">
        <v>476</v>
      </c>
      <c r="R657" s="78">
        <v>-8.5169999999999995</v>
      </c>
      <c r="S657" s="78">
        <v>-74.766999999999996</v>
      </c>
      <c r="T657" s="78">
        <v>500</v>
      </c>
      <c r="U657" s="78"/>
      <c r="V657" s="78"/>
      <c r="W657" s="78"/>
      <c r="X657" s="78"/>
      <c r="Y657" s="78"/>
      <c r="Z657" s="78"/>
      <c r="AA657" s="78"/>
      <c r="AB657" s="78"/>
      <c r="AC657" s="78"/>
      <c r="AD657" s="78"/>
      <c r="AE657" s="78"/>
      <c r="AF657" s="78"/>
      <c r="AG657" s="78"/>
      <c r="AH657" s="78"/>
      <c r="AI657" s="78"/>
      <c r="AJ657" s="78"/>
      <c r="AK657" s="78"/>
      <c r="AL657" s="78"/>
      <c r="AM657" s="78"/>
      <c r="AN657" s="78"/>
      <c r="AO657" s="78"/>
      <c r="AP657" s="78"/>
      <c r="AQ657" s="78"/>
      <c r="AR657" s="78"/>
      <c r="AS657" s="78"/>
      <c r="AT657" s="78"/>
      <c r="AU657" s="78"/>
      <c r="AV657" s="78" t="s">
        <v>1323</v>
      </c>
      <c r="AW657" s="78">
        <v>625</v>
      </c>
      <c r="AX657" s="78" t="s">
        <v>480</v>
      </c>
      <c r="AY657" s="223">
        <v>2</v>
      </c>
      <c r="AZ657" s="78" t="s">
        <v>1324</v>
      </c>
      <c r="BA657" s="78">
        <v>2009</v>
      </c>
      <c r="BB657" s="78">
        <v>2010</v>
      </c>
      <c r="BC657" s="78" t="s">
        <v>1325</v>
      </c>
      <c r="BD657" s="78" t="s">
        <v>1326</v>
      </c>
      <c r="BE657" s="78" t="s">
        <v>524</v>
      </c>
      <c r="BF657" s="78" t="s">
        <v>1084</v>
      </c>
      <c r="BG657" s="78"/>
      <c r="BH657" s="78"/>
      <c r="BI657" s="78"/>
      <c r="BJ657" s="78"/>
      <c r="BK657" s="78"/>
      <c r="BL657" s="78"/>
      <c r="BM657" s="78"/>
      <c r="BN657" s="78"/>
      <c r="BO657" s="78"/>
      <c r="BP657" s="78"/>
      <c r="BQ657" s="78"/>
      <c r="BR657" s="78"/>
      <c r="BS657" s="78"/>
      <c r="BT657" s="78"/>
      <c r="BU657" s="78"/>
      <c r="BV657" s="78"/>
      <c r="BW657" s="78"/>
      <c r="BX657" s="78"/>
      <c r="BY657" s="78"/>
      <c r="BZ657" s="78"/>
      <c r="CA657" s="78"/>
      <c r="CB657" s="78"/>
      <c r="CC657" s="78"/>
      <c r="CD657" s="78"/>
      <c r="CE657" s="78"/>
      <c r="CF657" s="78"/>
      <c r="CG657" s="78"/>
      <c r="CH657" s="78"/>
      <c r="CI657" s="78"/>
      <c r="CJ657" s="78"/>
      <c r="CK657" s="78"/>
      <c r="CL657" s="78"/>
      <c r="CM657" s="78"/>
      <c r="CN657" s="78"/>
      <c r="CO657" s="78"/>
      <c r="CP657" s="78"/>
      <c r="CQ657" s="78"/>
      <c r="CR657" s="78"/>
      <c r="CS657" s="78"/>
      <c r="CT657" s="78"/>
      <c r="CU657" s="78"/>
      <c r="CV657" s="78"/>
      <c r="CW657" s="78"/>
      <c r="CX657" s="78"/>
      <c r="CY657" s="78"/>
      <c r="CZ657" s="78"/>
      <c r="DA657" s="78"/>
      <c r="DB657" s="78"/>
      <c r="DC657" s="78"/>
      <c r="DD657" s="78"/>
      <c r="DE657" s="78"/>
      <c r="DF657" s="78"/>
      <c r="DG657" s="78"/>
      <c r="DH657" s="78"/>
      <c r="DI657" s="78"/>
      <c r="DJ657" s="78"/>
      <c r="DK657" s="78"/>
      <c r="DL657" s="78"/>
      <c r="DM657" s="78"/>
      <c r="DN657" s="78"/>
      <c r="DO657" s="78"/>
      <c r="DP657" s="78"/>
      <c r="DQ657" s="78"/>
      <c r="DR657" s="78"/>
      <c r="DS657" s="78"/>
      <c r="DT657" s="78"/>
      <c r="DU657" s="78"/>
      <c r="DV657" s="78"/>
      <c r="DW657" s="78"/>
      <c r="DX657" s="78"/>
      <c r="DY657" s="78"/>
      <c r="DZ657" s="78"/>
      <c r="EA657" s="78"/>
      <c r="EB657" s="78"/>
      <c r="EC657" s="78"/>
      <c r="ED657" s="78"/>
      <c r="EE657" s="78"/>
      <c r="EF657" s="78"/>
      <c r="EG657" s="78"/>
      <c r="EH657" s="78"/>
      <c r="EI657" s="125"/>
      <c r="EJ657" s="125"/>
      <c r="EK657" s="125"/>
      <c r="EL657" s="125"/>
      <c r="EM657" s="125"/>
      <c r="EN657" s="125"/>
      <c r="EO657" s="125"/>
      <c r="EP657" s="125"/>
      <c r="EQ657" s="125"/>
      <c r="ER657" s="125"/>
      <c r="ES657" s="125"/>
      <c r="ET657" s="125"/>
      <c r="EU657" s="125"/>
      <c r="EV657" s="125"/>
      <c r="EW657" s="125"/>
      <c r="EX657" s="125"/>
      <c r="EY657" s="125"/>
      <c r="EZ657" s="125"/>
      <c r="FA657" s="125"/>
      <c r="FB657" s="125"/>
      <c r="FC657" s="125"/>
      <c r="FD657" s="125"/>
      <c r="FE657" s="125"/>
      <c r="FF657" s="125"/>
      <c r="FG657" s="125"/>
      <c r="FH657" s="125"/>
      <c r="FI657" s="125"/>
      <c r="FJ657" s="125"/>
      <c r="FK657" s="125"/>
      <c r="FL657" s="125"/>
      <c r="FM657" s="125"/>
      <c r="FN657" s="125"/>
      <c r="FO657" s="125"/>
      <c r="FP657" s="125"/>
      <c r="FQ657" s="125"/>
      <c r="FR657" s="125"/>
      <c r="FS657" s="125"/>
      <c r="FT657" s="125"/>
      <c r="FU657" s="125"/>
      <c r="FV657" s="125"/>
      <c r="FW657" s="125"/>
      <c r="FX657" s="125"/>
      <c r="FY657" s="125"/>
      <c r="FZ657" s="125"/>
      <c r="GA657" s="125"/>
      <c r="GB657" s="125"/>
      <c r="GC657" s="125"/>
      <c r="GD657" s="125"/>
      <c r="GE657" s="125"/>
      <c r="GF657" s="125"/>
      <c r="GG657" s="125"/>
      <c r="GH657" s="125"/>
      <c r="GI657" s="125"/>
      <c r="GJ657" s="125"/>
      <c r="GK657" s="125"/>
      <c r="GL657" s="125"/>
      <c r="GM657" s="125"/>
      <c r="GN657" s="125"/>
      <c r="GO657" s="125"/>
      <c r="GP657" s="125"/>
      <c r="GQ657" s="125"/>
      <c r="GR657" s="125"/>
      <c r="GS657" s="125"/>
      <c r="GT657" s="125"/>
      <c r="GU657" s="125"/>
      <c r="GV657" s="125"/>
      <c r="GW657" s="125"/>
      <c r="GX657" s="125"/>
      <c r="GY657" s="125"/>
      <c r="GZ657" s="125"/>
      <c r="HA657" s="125"/>
      <c r="HB657" s="125"/>
      <c r="HC657" s="125"/>
      <c r="HD657" s="125"/>
      <c r="HE657" s="125"/>
      <c r="HF657" s="125"/>
      <c r="HG657" s="125"/>
      <c r="HH657" s="125"/>
      <c r="HI657" s="125"/>
      <c r="HJ657" s="125"/>
      <c r="HK657" s="125" t="s">
        <v>1327</v>
      </c>
      <c r="HL657" s="125" t="s">
        <v>488</v>
      </c>
      <c r="HM657" s="78"/>
      <c r="HN657" s="78"/>
      <c r="HO657" s="78"/>
      <c r="HP657" s="78"/>
      <c r="HQ657" s="78"/>
      <c r="HR657" s="78"/>
      <c r="HS657" s="78"/>
      <c r="HT657" s="78"/>
      <c r="HU657" s="78"/>
      <c r="HV657" s="78"/>
      <c r="HW657" s="78"/>
      <c r="HX657" s="78"/>
      <c r="HY657" s="126"/>
      <c r="HZ657" s="78"/>
      <c r="IA657" s="78"/>
      <c r="IB657" s="78"/>
      <c r="IC657" s="78"/>
      <c r="ID657" s="78"/>
      <c r="IE657" s="78"/>
      <c r="IF657" s="78"/>
      <c r="IG657" s="78"/>
      <c r="IH657" s="78"/>
      <c r="II657" s="78"/>
      <c r="IJ657" s="78"/>
      <c r="IK657" s="78"/>
      <c r="IL657" s="78"/>
      <c r="IM657" s="78"/>
      <c r="IN657" s="78"/>
      <c r="IO657" s="78"/>
      <c r="IP657" s="78"/>
      <c r="IQ657" s="78"/>
      <c r="IR657" s="78"/>
      <c r="IS657" s="78"/>
      <c r="IT657" s="78"/>
      <c r="IU657" s="78"/>
      <c r="IV657" s="78" t="s">
        <v>1328</v>
      </c>
      <c r="IX657" s="185" t="s">
        <v>1092</v>
      </c>
      <c r="IY657" s="78"/>
      <c r="IZ657" s="78">
        <v>20</v>
      </c>
      <c r="JA657" s="78">
        <v>95</v>
      </c>
      <c r="JB657" s="78" t="s">
        <v>480</v>
      </c>
      <c r="JC657" s="78" t="s">
        <v>480</v>
      </c>
      <c r="JD657" s="78"/>
      <c r="JE657" s="78"/>
      <c r="JF657" s="78"/>
      <c r="JG657" s="78"/>
      <c r="JH657" s="78"/>
      <c r="JI657" s="78"/>
      <c r="JJ657" s="78"/>
      <c r="JK657" s="78"/>
      <c r="JL657" s="78"/>
      <c r="JM657" s="78"/>
      <c r="JN657" s="78"/>
      <c r="JO657" s="78"/>
      <c r="JP657" s="131"/>
      <c r="JQ657" s="78"/>
      <c r="JR657" s="78"/>
      <c r="JS657" s="78"/>
      <c r="JT657" s="78"/>
      <c r="JU657" s="78"/>
      <c r="JV657" s="78"/>
      <c r="JW657" s="78"/>
      <c r="JX657" s="78"/>
      <c r="JY657" s="78"/>
      <c r="JZ657" s="131"/>
      <c r="KA657" s="78"/>
      <c r="KB657" s="78"/>
      <c r="KC657" s="78"/>
      <c r="KD657" s="78"/>
      <c r="KE657" s="78"/>
      <c r="KF657" s="78"/>
      <c r="KG657" s="78"/>
      <c r="KH657" s="78"/>
      <c r="KI657" s="78"/>
      <c r="KJ657" s="78"/>
      <c r="KK657" s="78"/>
      <c r="KL657" s="78"/>
      <c r="KM657" s="78"/>
      <c r="KN657" s="78"/>
      <c r="KO657" s="78"/>
      <c r="KP657" s="78"/>
      <c r="KQ657" s="78"/>
      <c r="KR657" s="131"/>
      <c r="KS657" s="131"/>
      <c r="KT657" s="131"/>
      <c r="KU657" s="131"/>
      <c r="KV657" s="78"/>
      <c r="KW657" s="78"/>
      <c r="KX657" s="78"/>
      <c r="KY657" s="78"/>
      <c r="KZ657" s="78"/>
      <c r="LA657" s="78"/>
      <c r="LB657" s="78"/>
      <c r="LC657" s="78"/>
      <c r="LD657" s="78"/>
      <c r="LE657" s="78"/>
      <c r="LF657" s="78"/>
      <c r="LG657" s="78"/>
      <c r="LH657" s="78"/>
      <c r="LI657" s="78"/>
      <c r="LJ657" s="78"/>
      <c r="LK657" s="78"/>
      <c r="LL657" s="78"/>
      <c r="LM657" s="78"/>
      <c r="LN657" s="78"/>
      <c r="LO657" s="78"/>
      <c r="LP657" s="78"/>
      <c r="LQ657" s="78"/>
      <c r="LR657" s="78"/>
      <c r="LS657" s="78"/>
      <c r="LT657" s="78"/>
      <c r="LU657" s="78"/>
      <c r="LV657" s="78"/>
      <c r="LW657" s="78"/>
      <c r="LX657" s="78"/>
      <c r="LY657" s="78"/>
      <c r="LZ657" s="78"/>
      <c r="MA657" s="78"/>
      <c r="MB657" s="78"/>
      <c r="MC657" s="78"/>
      <c r="MD657" s="78"/>
      <c r="ME657" s="78"/>
      <c r="MF657" s="78"/>
      <c r="MG657" s="78"/>
      <c r="MH657" s="78"/>
      <c r="MI657" s="78"/>
      <c r="MJ657" s="78"/>
      <c r="MK657" s="78"/>
      <c r="ML657" s="78"/>
      <c r="MM657" s="78"/>
      <c r="MN657" s="78"/>
      <c r="MO657" s="78"/>
      <c r="MP657" s="78"/>
      <c r="MQ657" s="78"/>
      <c r="MR657" s="78"/>
      <c r="MS657" s="78"/>
      <c r="MT657" s="78" t="s">
        <v>1328</v>
      </c>
      <c r="MU657" s="185" t="s">
        <v>1092</v>
      </c>
      <c r="MV657" s="78" t="s">
        <v>480</v>
      </c>
      <c r="MW657" s="185" t="s">
        <v>1093</v>
      </c>
      <c r="MX657" s="185" t="s">
        <v>1094</v>
      </c>
      <c r="MY657" s="78" t="s">
        <v>1329</v>
      </c>
      <c r="MZ657" s="78">
        <v>625</v>
      </c>
      <c r="NA657" s="78" t="s">
        <v>1330</v>
      </c>
      <c r="NB657" s="78" t="s">
        <v>1331</v>
      </c>
      <c r="NC657" s="78" t="s">
        <v>1332</v>
      </c>
      <c r="ND657" s="78" t="s">
        <v>1333</v>
      </c>
      <c r="NE657" s="78" t="s">
        <v>1334</v>
      </c>
      <c r="NF657" s="78" t="s">
        <v>1335</v>
      </c>
      <c r="NG657" s="78" t="s">
        <v>480</v>
      </c>
      <c r="NH657" s="78" t="s">
        <v>687</v>
      </c>
      <c r="NI657" s="78"/>
      <c r="NJ657" s="78" t="s">
        <v>1336</v>
      </c>
      <c r="NK657" s="78" t="s">
        <v>1337</v>
      </c>
      <c r="NL657" s="78" t="s">
        <v>689</v>
      </c>
      <c r="NM657" s="78" t="s">
        <v>1338</v>
      </c>
      <c r="NN657" s="78"/>
      <c r="NO657" s="78"/>
      <c r="NP657" s="78"/>
      <c r="NQ657" s="78"/>
      <c r="NR657" s="78"/>
      <c r="NS657" s="78"/>
      <c r="NT657" s="78"/>
      <c r="NU657" s="78" t="s">
        <v>1339</v>
      </c>
      <c r="NV657" s="78" t="s">
        <v>1340</v>
      </c>
      <c r="NW657" s="78">
        <v>1348</v>
      </c>
      <c r="NX657" s="78" t="s">
        <v>480</v>
      </c>
      <c r="NY657" s="78" t="s">
        <v>480</v>
      </c>
      <c r="NZ657" s="78"/>
      <c r="OA657" s="78"/>
      <c r="OB657" s="78">
        <v>8</v>
      </c>
      <c r="OC657" s="78"/>
      <c r="OD657" s="78"/>
      <c r="OE657" s="78"/>
      <c r="OF657" s="78"/>
      <c r="OG657" s="78"/>
      <c r="OH657" s="78"/>
      <c r="OI657" s="78"/>
      <c r="OJ657" s="78"/>
      <c r="OK657" s="78"/>
      <c r="OL657" s="78"/>
      <c r="OM657" s="78"/>
      <c r="ON657" s="78"/>
      <c r="OO657" s="78"/>
      <c r="OP657" s="78"/>
      <c r="OQ657" s="78"/>
      <c r="OR657" s="78"/>
      <c r="OS657" s="78"/>
      <c r="OT657" s="78"/>
      <c r="OU657" s="78" t="s">
        <v>1341</v>
      </c>
      <c r="OV657" s="78" t="s">
        <v>518</v>
      </c>
      <c r="OW657" s="78"/>
      <c r="OX657" s="78">
        <v>2009</v>
      </c>
      <c r="OY657" s="78">
        <v>2010</v>
      </c>
      <c r="OZ657" s="78"/>
      <c r="PA657" s="78"/>
      <c r="PB657" s="78" t="s">
        <v>1342</v>
      </c>
      <c r="PC657" s="126">
        <v>46133</v>
      </c>
      <c r="PD657" s="78"/>
      <c r="PE657" s="78" t="s">
        <v>522</v>
      </c>
      <c r="PF657" s="126">
        <v>46164</v>
      </c>
      <c r="PG657" s="78" t="s">
        <v>1343</v>
      </c>
      <c r="PH657" s="124" t="s">
        <v>1344</v>
      </c>
    </row>
    <row r="658" spans="1:424">
      <c r="A658" t="s">
        <v>665</v>
      </c>
      <c r="B658" t="s">
        <v>1318</v>
      </c>
      <c r="C658" t="s">
        <v>1319</v>
      </c>
      <c r="D658" t="s">
        <v>472</v>
      </c>
      <c r="E658" t="s">
        <v>1321</v>
      </c>
      <c r="F658" t="s">
        <v>1322</v>
      </c>
      <c r="G658" t="s">
        <v>475</v>
      </c>
      <c r="H658" t="s">
        <v>476</v>
      </c>
      <c r="I658">
        <v>-8.5169999999999995</v>
      </c>
      <c r="J658">
        <v>-74.766999999999996</v>
      </c>
      <c r="K658" s="78">
        <v>500</v>
      </c>
      <c r="L658" t="s">
        <v>1319</v>
      </c>
      <c r="M658" t="s">
        <v>472</v>
      </c>
      <c r="N658" t="s">
        <v>1345</v>
      </c>
      <c r="O658" t="s">
        <v>1322</v>
      </c>
      <c r="P658" t="s">
        <v>475</v>
      </c>
      <c r="Q658" t="s">
        <v>476</v>
      </c>
      <c r="R658">
        <v>-8.3670000000000009</v>
      </c>
      <c r="S658">
        <v>-74.7</v>
      </c>
      <c r="T658" s="78">
        <v>500</v>
      </c>
      <c r="AV658" t="s">
        <v>1323</v>
      </c>
      <c r="AW658">
        <v>625</v>
      </c>
      <c r="AX658" t="s">
        <v>480</v>
      </c>
      <c r="AY658" s="224">
        <v>2</v>
      </c>
      <c r="AZ658" t="s">
        <v>1324</v>
      </c>
      <c r="BA658">
        <v>2009</v>
      </c>
      <c r="BB658">
        <v>2010</v>
      </c>
      <c r="BC658" t="s">
        <v>1325</v>
      </c>
      <c r="BD658" t="s">
        <v>1346</v>
      </c>
      <c r="BE658" t="s">
        <v>536</v>
      </c>
      <c r="BF658" t="s">
        <v>484</v>
      </c>
      <c r="BG658" t="s">
        <v>1347</v>
      </c>
      <c r="BH658" t="s">
        <v>480</v>
      </c>
      <c r="BI658" t="s">
        <v>480</v>
      </c>
      <c r="BJ658" t="s">
        <v>480</v>
      </c>
      <c r="BK658" t="s">
        <v>537</v>
      </c>
      <c r="ED658" t="s">
        <v>1348</v>
      </c>
      <c r="EE658" t="s">
        <v>1349</v>
      </c>
      <c r="EF658">
        <v>0.24</v>
      </c>
      <c r="EI658" s="9"/>
      <c r="EJ658" s="9"/>
      <c r="EK658" s="9"/>
      <c r="EL658" s="9"/>
      <c r="EM658" s="9"/>
      <c r="EN658" s="9"/>
      <c r="EO658" s="9"/>
      <c r="EP658" s="9"/>
      <c r="EQ658" s="9"/>
      <c r="ER658" s="9"/>
      <c r="ES658" s="9"/>
      <c r="ET658" s="9"/>
      <c r="EU658" s="9"/>
      <c r="EV658" s="9"/>
      <c r="EW658" s="9"/>
      <c r="EX658" s="9"/>
      <c r="EY658" s="9"/>
      <c r="EZ658" s="9"/>
      <c r="FA658" s="9"/>
      <c r="FB658" s="9"/>
      <c r="FC658" s="9"/>
      <c r="FD658" s="9"/>
      <c r="FE658" s="9"/>
      <c r="FF658" s="9"/>
      <c r="FG658" s="9"/>
      <c r="FH658" s="9"/>
      <c r="FI658" s="9"/>
      <c r="FJ658" s="9"/>
      <c r="FK658" s="9"/>
      <c r="FL658" s="9"/>
      <c r="FM658" s="9"/>
      <c r="FN658" s="9"/>
      <c r="FO658" s="9"/>
      <c r="FP658" s="9"/>
      <c r="FQ658" s="9"/>
      <c r="FR658" s="9"/>
      <c r="FS658" s="9"/>
      <c r="FT658" s="9"/>
      <c r="FU658" s="9"/>
      <c r="FV658" s="9"/>
      <c r="FW658" s="9"/>
      <c r="FX658" s="9"/>
      <c r="FY658" s="9"/>
      <c r="FZ658" s="9"/>
      <c r="GA658" s="9"/>
      <c r="GB658" s="9"/>
      <c r="GC658" s="9"/>
      <c r="GD658" s="9"/>
      <c r="GE658" s="9"/>
      <c r="GF658" s="9"/>
      <c r="GG658" s="9"/>
      <c r="GH658" s="9"/>
      <c r="GI658" s="9"/>
      <c r="GJ658" s="9"/>
      <c r="GK658" s="9"/>
      <c r="GL658" s="9"/>
      <c r="GM658" s="9"/>
      <c r="GN658" s="9"/>
      <c r="GO658" s="9"/>
      <c r="GP658" s="9"/>
      <c r="GQ658" s="9"/>
      <c r="GR658" s="9"/>
      <c r="GS658" s="9"/>
      <c r="GT658" s="9"/>
      <c r="GU658" s="9"/>
      <c r="GV658" s="9"/>
      <c r="GW658" s="9"/>
      <c r="GX658" s="9"/>
      <c r="GY658" s="9"/>
      <c r="GZ658" s="9"/>
      <c r="HA658" s="9"/>
      <c r="HB658" s="9"/>
      <c r="HC658" s="9"/>
      <c r="HD658" s="9"/>
      <c r="HE658" s="9"/>
      <c r="HF658" s="9"/>
      <c r="HG658" s="9"/>
      <c r="HH658" s="9"/>
      <c r="HI658" s="9"/>
      <c r="HJ658" s="9"/>
      <c r="HK658" s="9" t="s">
        <v>1350</v>
      </c>
      <c r="HL658" s="9" t="s">
        <v>488</v>
      </c>
      <c r="HY658" s="50"/>
      <c r="IV658" t="s">
        <v>1351</v>
      </c>
      <c r="IX658" s="2" t="s">
        <v>1352</v>
      </c>
      <c r="IZ658">
        <v>6</v>
      </c>
      <c r="JA658">
        <v>77.5</v>
      </c>
      <c r="JB658">
        <v>75</v>
      </c>
      <c r="JC658">
        <v>80</v>
      </c>
      <c r="JD658">
        <v>7.5</v>
      </c>
      <c r="JE658">
        <v>6</v>
      </c>
      <c r="JF658">
        <v>9</v>
      </c>
      <c r="JP658" s="9"/>
      <c r="JZ658" s="9"/>
      <c r="KR658" s="9"/>
      <c r="KS658" s="9"/>
      <c r="KT658" s="9"/>
      <c r="KU658" s="9"/>
      <c r="MY658" t="s">
        <v>1329</v>
      </c>
      <c r="MZ658">
        <v>625</v>
      </c>
      <c r="NA658" t="s">
        <v>1330</v>
      </c>
      <c r="NB658" t="s">
        <v>1331</v>
      </c>
      <c r="NC658" t="s">
        <v>1332</v>
      </c>
      <c r="ND658" t="s">
        <v>1333</v>
      </c>
      <c r="NE658" t="s">
        <v>1334</v>
      </c>
      <c r="NF658" t="s">
        <v>1335</v>
      </c>
      <c r="NG658" s="78" t="s">
        <v>480</v>
      </c>
      <c r="NH658" s="78" t="s">
        <v>687</v>
      </c>
      <c r="NJ658" t="s">
        <v>1336</v>
      </c>
      <c r="NK658" t="s">
        <v>1337</v>
      </c>
      <c r="NL658" t="s">
        <v>689</v>
      </c>
      <c r="NM658" s="78" t="s">
        <v>1338</v>
      </c>
      <c r="NV658" t="s">
        <v>1340</v>
      </c>
      <c r="NW658">
        <v>992</v>
      </c>
      <c r="NX658" t="s">
        <v>480</v>
      </c>
      <c r="NY658" t="s">
        <v>480</v>
      </c>
      <c r="OB658">
        <v>31</v>
      </c>
      <c r="OU658" t="s">
        <v>1341</v>
      </c>
      <c r="OV658" s="78" t="s">
        <v>518</v>
      </c>
      <c r="OX658">
        <v>2009</v>
      </c>
      <c r="OY658">
        <v>2010</v>
      </c>
      <c r="PB658" t="s">
        <v>1342</v>
      </c>
      <c r="PC658" s="50">
        <v>46133</v>
      </c>
      <c r="PE658" s="78" t="s">
        <v>522</v>
      </c>
      <c r="PF658" s="126">
        <v>46164</v>
      </c>
      <c r="PG658" s="78" t="s">
        <v>1343</v>
      </c>
      <c r="PH658" s="124" t="s">
        <v>1344</v>
      </c>
    </row>
    <row r="659" spans="1:424">
      <c r="A659" s="78" t="s">
        <v>665</v>
      </c>
      <c r="B659" s="78" t="s">
        <v>1318</v>
      </c>
      <c r="C659" s="78" t="s">
        <v>1319</v>
      </c>
      <c r="D659" s="78" t="s">
        <v>472</v>
      </c>
      <c r="E659" s="78" t="s">
        <v>1353</v>
      </c>
      <c r="F659" s="78" t="s">
        <v>1322</v>
      </c>
      <c r="G659" s="78" t="s">
        <v>475</v>
      </c>
      <c r="H659" s="78" t="s">
        <v>476</v>
      </c>
      <c r="I659" s="78">
        <v>-8.8170000000000002</v>
      </c>
      <c r="J659" s="78">
        <v>-75.2</v>
      </c>
      <c r="K659" s="78">
        <v>500</v>
      </c>
      <c r="L659" s="78" t="s">
        <v>1319</v>
      </c>
      <c r="M659" s="78" t="s">
        <v>472</v>
      </c>
      <c r="N659" s="78" t="s">
        <v>1321</v>
      </c>
      <c r="O659" s="78" t="s">
        <v>1322</v>
      </c>
      <c r="P659" s="78" t="s">
        <v>475</v>
      </c>
      <c r="Q659" s="78" t="s">
        <v>476</v>
      </c>
      <c r="R659" s="78">
        <v>-8.5169999999999995</v>
      </c>
      <c r="S659" s="78">
        <v>-74.766999999999996</v>
      </c>
      <c r="T659" s="78">
        <v>500</v>
      </c>
      <c r="U659" s="78"/>
      <c r="V659" s="78"/>
      <c r="W659" s="78"/>
      <c r="X659" s="78"/>
      <c r="Y659" s="78"/>
      <c r="Z659" s="78"/>
      <c r="AA659" s="78"/>
      <c r="AB659" s="78"/>
      <c r="AC659" s="78"/>
      <c r="AD659" s="78"/>
      <c r="AE659" s="78"/>
      <c r="AF659" s="78"/>
      <c r="AG659" s="78"/>
      <c r="AH659" s="78"/>
      <c r="AI659" s="78"/>
      <c r="AJ659" s="78"/>
      <c r="AK659" s="78"/>
      <c r="AL659" s="78"/>
      <c r="AM659" s="78"/>
      <c r="AN659" s="78"/>
      <c r="AO659" s="78"/>
      <c r="AP659" s="78"/>
      <c r="AQ659" s="78"/>
      <c r="AR659" s="78"/>
      <c r="AS659" s="78"/>
      <c r="AT659" s="78"/>
      <c r="AU659" s="78"/>
      <c r="AV659" s="78" t="s">
        <v>1323</v>
      </c>
      <c r="AW659" s="78">
        <v>625</v>
      </c>
      <c r="AX659" s="78" t="s">
        <v>480</v>
      </c>
      <c r="AY659" s="223">
        <v>2</v>
      </c>
      <c r="AZ659" s="78" t="s">
        <v>1324</v>
      </c>
      <c r="BA659" s="78">
        <v>2009</v>
      </c>
      <c r="BB659" s="78">
        <v>2010</v>
      </c>
      <c r="BC659" s="78" t="s">
        <v>1325</v>
      </c>
      <c r="BD659" s="78" t="s">
        <v>1354</v>
      </c>
      <c r="BE659" s="78" t="s">
        <v>566</v>
      </c>
      <c r="BF659" s="78" t="s">
        <v>484</v>
      </c>
      <c r="BG659" s="78" t="s">
        <v>1355</v>
      </c>
      <c r="BH659" s="78" t="s">
        <v>480</v>
      </c>
      <c r="BI659" s="78" t="s">
        <v>480</v>
      </c>
      <c r="BJ659" s="78" t="s">
        <v>480</v>
      </c>
      <c r="BK659" s="78" t="s">
        <v>537</v>
      </c>
      <c r="BL659" s="78"/>
      <c r="BM659" s="78"/>
      <c r="BN659" s="78"/>
      <c r="BO659" s="78"/>
      <c r="BP659" s="78"/>
      <c r="BQ659" s="78"/>
      <c r="BR659" s="78"/>
      <c r="BS659" s="78"/>
      <c r="BT659" s="78"/>
      <c r="BU659" s="78"/>
      <c r="BV659" s="78"/>
      <c r="BW659" s="78"/>
      <c r="BX659" s="78"/>
      <c r="BY659" s="78"/>
      <c r="BZ659" s="78"/>
      <c r="CA659" s="78"/>
      <c r="CB659" s="78"/>
      <c r="CC659" s="78"/>
      <c r="CD659" s="78"/>
      <c r="CE659" s="78"/>
      <c r="CF659" s="78"/>
      <c r="CG659" s="78"/>
      <c r="CH659" s="78"/>
      <c r="CI659" s="78"/>
      <c r="CJ659" s="78"/>
      <c r="CK659" s="78"/>
      <c r="CL659" s="78"/>
      <c r="CM659" s="78"/>
      <c r="CN659" s="78"/>
      <c r="CO659" s="78"/>
      <c r="CP659" s="78"/>
      <c r="CQ659" s="78"/>
      <c r="CR659" s="78"/>
      <c r="CS659" s="78"/>
      <c r="CT659" s="78"/>
      <c r="CU659" s="78"/>
      <c r="CV659" s="78"/>
      <c r="CW659" s="78"/>
      <c r="CX659" s="78"/>
      <c r="CY659" s="78"/>
      <c r="CZ659" s="78"/>
      <c r="DA659" s="78"/>
      <c r="DB659" s="78"/>
      <c r="DC659" s="78"/>
      <c r="DD659" s="78"/>
      <c r="DE659" s="78"/>
      <c r="DF659" s="78"/>
      <c r="DG659" s="78"/>
      <c r="DH659" s="78"/>
      <c r="DI659" s="78"/>
      <c r="DJ659" s="78"/>
      <c r="DK659" s="78"/>
      <c r="DL659" s="78"/>
      <c r="DM659" s="78"/>
      <c r="DN659" s="78"/>
      <c r="DO659" s="78"/>
      <c r="DP659" s="78"/>
      <c r="DQ659" s="78"/>
      <c r="DR659" s="78"/>
      <c r="DS659" s="78"/>
      <c r="DT659" s="78"/>
      <c r="DU659" s="78"/>
      <c r="DV659" s="78"/>
      <c r="DW659" s="78"/>
      <c r="DX659" s="78"/>
      <c r="DY659" s="78"/>
      <c r="DZ659" s="78"/>
      <c r="EA659" s="78"/>
      <c r="EB659" s="78"/>
      <c r="EC659" s="78"/>
      <c r="ED659" s="78" t="s">
        <v>1356</v>
      </c>
      <c r="EE659" s="125" t="s">
        <v>480</v>
      </c>
      <c r="EF659" s="125" t="s">
        <v>480</v>
      </c>
      <c r="EG659" s="125" t="s">
        <v>537</v>
      </c>
      <c r="EH659" s="125" t="s">
        <v>1357</v>
      </c>
      <c r="EI659" s="125" t="s">
        <v>480</v>
      </c>
      <c r="EJ659" s="125" t="s">
        <v>480</v>
      </c>
      <c r="EK659" s="125" t="s">
        <v>537</v>
      </c>
      <c r="EL659" s="125" t="s">
        <v>1358</v>
      </c>
      <c r="EM659" s="125" t="s">
        <v>480</v>
      </c>
      <c r="EN659" s="125" t="s">
        <v>480</v>
      </c>
      <c r="EO659" s="125" t="s">
        <v>537</v>
      </c>
      <c r="EP659" s="125" t="s">
        <v>1359</v>
      </c>
      <c r="EQ659" s="125" t="s">
        <v>480</v>
      </c>
      <c r="ER659" s="125" t="s">
        <v>480</v>
      </c>
      <c r="ES659" s="9"/>
      <c r="ET659" s="9"/>
      <c r="EU659" s="9"/>
      <c r="EV659" s="9"/>
      <c r="EW659" s="125"/>
      <c r="EX659" s="125"/>
      <c r="EY659" s="125"/>
      <c r="EZ659" s="125"/>
      <c r="FA659" s="125"/>
      <c r="FB659" s="125"/>
      <c r="FC659" s="125"/>
      <c r="FD659" s="125"/>
      <c r="FE659" s="125"/>
      <c r="FF659" s="125"/>
      <c r="FG659" s="125"/>
      <c r="FH659" s="125"/>
      <c r="FI659" s="125"/>
      <c r="FJ659" s="125"/>
      <c r="FK659" s="125"/>
      <c r="FL659" s="125"/>
      <c r="FM659" s="125"/>
      <c r="FN659" s="125"/>
      <c r="FO659" s="125"/>
      <c r="FP659" s="125"/>
      <c r="FQ659" s="125"/>
      <c r="FR659" s="125"/>
      <c r="FS659" s="125"/>
      <c r="FT659" s="125"/>
      <c r="FU659" s="125"/>
      <c r="FV659" s="125"/>
      <c r="FW659" s="125"/>
      <c r="FX659" s="125"/>
      <c r="FY659" s="125"/>
      <c r="FZ659" s="125"/>
      <c r="GA659" s="125"/>
      <c r="GB659" s="125"/>
      <c r="GC659" s="125"/>
      <c r="GD659" s="125"/>
      <c r="GE659" s="125"/>
      <c r="GF659" s="125"/>
      <c r="GG659" s="125"/>
      <c r="GH659" s="125"/>
      <c r="GI659" s="125"/>
      <c r="GJ659" s="125"/>
      <c r="GK659" s="125"/>
      <c r="GL659" s="125"/>
      <c r="GM659" s="125"/>
      <c r="GN659" s="125"/>
      <c r="GO659" s="125"/>
      <c r="GP659" s="125"/>
      <c r="GQ659" s="125"/>
      <c r="GR659" s="125"/>
      <c r="GS659" s="125"/>
      <c r="GT659" s="125"/>
      <c r="GU659" s="125"/>
      <c r="GV659" s="125"/>
      <c r="GW659" s="125"/>
      <c r="GX659" s="125"/>
      <c r="GY659" s="125"/>
      <c r="GZ659" s="125"/>
      <c r="HA659" s="125"/>
      <c r="HB659" s="125"/>
      <c r="HC659" s="125"/>
      <c r="HD659" s="125"/>
      <c r="HE659" s="125"/>
      <c r="HF659" s="125"/>
      <c r="HG659" s="125"/>
      <c r="HH659" s="125"/>
      <c r="HI659" s="125"/>
      <c r="HJ659" s="125"/>
      <c r="HK659" s="125" t="s">
        <v>1350</v>
      </c>
      <c r="HL659" s="125" t="s">
        <v>488</v>
      </c>
      <c r="HM659" s="78"/>
      <c r="HN659" s="78"/>
      <c r="HO659" s="78"/>
      <c r="HP659" s="78"/>
      <c r="HQ659" s="78"/>
      <c r="HR659" s="78"/>
      <c r="HS659" s="78"/>
      <c r="HT659" s="78"/>
      <c r="HU659" s="78"/>
      <c r="HV659" s="78"/>
      <c r="HW659" s="78"/>
      <c r="HX659" s="78"/>
      <c r="HY659" s="126"/>
      <c r="HZ659" s="78"/>
      <c r="IA659" s="78"/>
      <c r="IB659" s="78"/>
      <c r="IC659" s="78"/>
      <c r="ID659" s="78"/>
      <c r="IE659" s="78"/>
      <c r="IF659" s="78"/>
      <c r="IG659" s="78"/>
      <c r="IH659" s="78"/>
      <c r="II659" s="78"/>
      <c r="IJ659" s="78"/>
      <c r="IK659" s="78"/>
      <c r="IL659" s="78"/>
      <c r="IM659" s="78"/>
      <c r="IN659" s="78"/>
      <c r="IO659" s="78"/>
      <c r="IP659" s="78"/>
      <c r="IQ659" s="78"/>
      <c r="IR659" s="78"/>
      <c r="IS659" s="78"/>
      <c r="IT659" s="78"/>
      <c r="IU659" s="78"/>
      <c r="IV659" s="78" t="s">
        <v>1360</v>
      </c>
      <c r="IW659" s="78" t="s">
        <v>1361</v>
      </c>
      <c r="IX659" s="2" t="s">
        <v>1362</v>
      </c>
      <c r="IY659" s="78"/>
      <c r="IZ659" s="78"/>
      <c r="JA659" s="78">
        <v>50</v>
      </c>
      <c r="JB659" s="78" t="s">
        <v>480</v>
      </c>
      <c r="JC659" s="78" t="s">
        <v>480</v>
      </c>
      <c r="JD659" s="78">
        <v>12</v>
      </c>
      <c r="JE659" s="78" t="s">
        <v>480</v>
      </c>
      <c r="JF659" s="78" t="s">
        <v>480</v>
      </c>
      <c r="JG659" s="78"/>
      <c r="JH659" s="78"/>
      <c r="JI659" s="78"/>
      <c r="JJ659" s="78"/>
      <c r="JK659" s="78"/>
      <c r="JL659" s="78"/>
      <c r="JM659" s="78"/>
      <c r="JN659" s="78"/>
      <c r="JO659" s="78"/>
      <c r="JP659" s="131"/>
      <c r="JQ659" s="78"/>
      <c r="JR659" s="78"/>
      <c r="JS659" s="78"/>
      <c r="JT659" s="78"/>
      <c r="JU659" s="78"/>
      <c r="JV659" s="78"/>
      <c r="JW659" s="78"/>
      <c r="JX659" s="78"/>
      <c r="JY659" s="78"/>
      <c r="JZ659" s="131"/>
      <c r="KA659" s="78"/>
      <c r="KB659" s="78"/>
      <c r="KC659" s="78"/>
      <c r="KD659" s="78"/>
      <c r="KE659" s="78"/>
      <c r="KF659" s="78"/>
      <c r="KG659" s="78"/>
      <c r="KH659" s="78"/>
      <c r="KI659" s="78"/>
      <c r="KJ659" s="78"/>
      <c r="KK659" s="78"/>
      <c r="KL659" s="78"/>
      <c r="KM659" s="78"/>
      <c r="KN659" s="78"/>
      <c r="KO659" s="78"/>
      <c r="KP659" s="78"/>
      <c r="KQ659" s="78"/>
      <c r="KR659" s="131"/>
      <c r="KS659" s="131"/>
      <c r="KT659" s="131"/>
      <c r="KU659" s="131"/>
      <c r="KV659" s="78"/>
      <c r="KW659" s="78"/>
      <c r="KX659" s="78"/>
      <c r="KY659" s="78"/>
      <c r="KZ659" s="78"/>
      <c r="LA659" s="78"/>
      <c r="LB659" s="78"/>
      <c r="LC659" s="78"/>
      <c r="LD659" s="78"/>
      <c r="LE659" s="78"/>
      <c r="LF659" s="78"/>
      <c r="LG659" s="78"/>
      <c r="LH659" s="78"/>
      <c r="LI659" s="78"/>
      <c r="LJ659" s="78"/>
      <c r="LK659" s="78"/>
      <c r="LL659" s="78"/>
      <c r="LM659" s="78"/>
      <c r="LN659" s="78"/>
      <c r="LO659" s="78"/>
      <c r="LP659" s="78"/>
      <c r="LQ659" s="78"/>
      <c r="LR659" s="78"/>
      <c r="LS659" s="78"/>
      <c r="LT659" s="78"/>
      <c r="LU659" s="78"/>
      <c r="LV659" s="78"/>
      <c r="LW659" s="78"/>
      <c r="LX659" s="78"/>
      <c r="LY659" s="78"/>
      <c r="LZ659" s="78"/>
      <c r="MA659" s="78"/>
      <c r="MB659" s="78"/>
      <c r="MC659" s="78"/>
      <c r="MD659" s="78"/>
      <c r="ME659" s="78"/>
      <c r="MF659" s="78"/>
      <c r="MG659" s="78"/>
      <c r="MH659" s="78"/>
      <c r="MI659" s="78"/>
      <c r="MJ659" s="78"/>
      <c r="MK659" s="78"/>
      <c r="ML659" s="78"/>
      <c r="MM659" s="78"/>
      <c r="MN659" s="78"/>
      <c r="MO659" s="78"/>
      <c r="MP659" s="78"/>
      <c r="MQ659" s="78"/>
      <c r="MR659" s="78"/>
      <c r="MS659" s="78"/>
      <c r="MT659" s="78"/>
      <c r="MU659" s="78"/>
      <c r="MV659" s="78"/>
      <c r="MW659" s="78"/>
      <c r="MX659" s="78"/>
      <c r="MY659" s="78" t="s">
        <v>1329</v>
      </c>
      <c r="MZ659" s="78">
        <v>625</v>
      </c>
      <c r="NA659" s="78" t="s">
        <v>1330</v>
      </c>
      <c r="NB659" s="78" t="s">
        <v>1331</v>
      </c>
      <c r="NC659" s="78" t="s">
        <v>1332</v>
      </c>
      <c r="ND659" s="78" t="s">
        <v>1333</v>
      </c>
      <c r="NE659" s="78" t="s">
        <v>1334</v>
      </c>
      <c r="NF659" s="78" t="s">
        <v>1335</v>
      </c>
      <c r="NG659" s="78" t="s">
        <v>480</v>
      </c>
      <c r="NH659" s="78" t="s">
        <v>687</v>
      </c>
      <c r="NI659" s="78"/>
      <c r="NJ659" s="78" t="s">
        <v>1336</v>
      </c>
      <c r="NK659" s="78" t="s">
        <v>1337</v>
      </c>
      <c r="NL659" s="78" t="s">
        <v>689</v>
      </c>
      <c r="NM659" s="78" t="s">
        <v>1338</v>
      </c>
      <c r="NN659" s="78"/>
      <c r="NO659" s="78"/>
      <c r="NP659" s="78"/>
      <c r="NQ659" s="78"/>
      <c r="NR659" s="78"/>
      <c r="NS659" s="78"/>
      <c r="NT659" s="78"/>
      <c r="NU659" s="78"/>
      <c r="NV659" s="78" t="s">
        <v>1340</v>
      </c>
      <c r="NW659" s="78">
        <v>297</v>
      </c>
      <c r="NX659" s="78" t="s">
        <v>480</v>
      </c>
      <c r="NY659" s="78" t="s">
        <v>480</v>
      </c>
      <c r="NZ659" s="78"/>
      <c r="OA659" s="78"/>
      <c r="OB659" s="78">
        <v>32</v>
      </c>
      <c r="OC659" s="78"/>
      <c r="OD659" s="78"/>
      <c r="OE659" s="78"/>
      <c r="OF659" s="78"/>
      <c r="OG659" s="78"/>
      <c r="OH659" s="78"/>
      <c r="OI659" s="78"/>
      <c r="OJ659" s="78"/>
      <c r="OK659" s="78"/>
      <c r="OL659" s="78"/>
      <c r="OM659" s="78"/>
      <c r="ON659" s="78"/>
      <c r="OO659" s="78"/>
      <c r="OP659" s="78"/>
      <c r="OQ659" s="78"/>
      <c r="OR659" s="78"/>
      <c r="OS659" s="78"/>
      <c r="OT659" s="78"/>
      <c r="OU659" s="78" t="s">
        <v>1341</v>
      </c>
      <c r="OV659" s="78" t="s">
        <v>518</v>
      </c>
      <c r="OW659" s="78"/>
      <c r="OX659" s="78">
        <v>2009</v>
      </c>
      <c r="OY659" s="78">
        <v>2010</v>
      </c>
      <c r="OZ659" s="78"/>
      <c r="PA659" s="78"/>
      <c r="PB659" s="78" t="s">
        <v>1342</v>
      </c>
      <c r="PC659" s="126">
        <v>46133</v>
      </c>
      <c r="PD659" s="78"/>
      <c r="PE659" s="78" t="s">
        <v>522</v>
      </c>
      <c r="PF659" s="126">
        <v>46164</v>
      </c>
      <c r="PG659" s="78" t="s">
        <v>1343</v>
      </c>
      <c r="PH659" s="124" t="s">
        <v>1344</v>
      </c>
    </row>
    <row r="660" spans="1:424" ht="15.75" thickBot="1">
      <c r="A660" t="s">
        <v>665</v>
      </c>
      <c r="B660" t="s">
        <v>1318</v>
      </c>
      <c r="C660" t="s">
        <v>1319</v>
      </c>
      <c r="D660" t="s">
        <v>472</v>
      </c>
      <c r="E660" t="s">
        <v>1353</v>
      </c>
      <c r="F660" t="s">
        <v>1322</v>
      </c>
      <c r="G660" t="s">
        <v>475</v>
      </c>
      <c r="H660" t="s">
        <v>476</v>
      </c>
      <c r="I660">
        <v>-8.8170000000000002</v>
      </c>
      <c r="J660">
        <v>-75.2</v>
      </c>
      <c r="K660" s="78">
        <v>500</v>
      </c>
      <c r="L660" t="s">
        <v>1319</v>
      </c>
      <c r="M660" t="s">
        <v>472</v>
      </c>
      <c r="N660" t="s">
        <v>1321</v>
      </c>
      <c r="O660" t="s">
        <v>1322</v>
      </c>
      <c r="P660" t="s">
        <v>475</v>
      </c>
      <c r="Q660" t="s">
        <v>476</v>
      </c>
      <c r="R660">
        <v>-8.5169999999999995</v>
      </c>
      <c r="S660">
        <v>-74.766999999999996</v>
      </c>
      <c r="T660" s="78">
        <v>500</v>
      </c>
      <c r="U660" t="s">
        <v>1319</v>
      </c>
      <c r="V660" t="s">
        <v>472</v>
      </c>
      <c r="W660" t="s">
        <v>1345</v>
      </c>
      <c r="X660" t="s">
        <v>1322</v>
      </c>
      <c r="Y660" t="s">
        <v>475</v>
      </c>
      <c r="Z660" t="s">
        <v>476</v>
      </c>
      <c r="AA660">
        <v>-8.3670000000000009</v>
      </c>
      <c r="AB660">
        <v>-74.7</v>
      </c>
      <c r="AC660">
        <v>500</v>
      </c>
      <c r="AV660" t="s">
        <v>1323</v>
      </c>
      <c r="AW660">
        <v>625</v>
      </c>
      <c r="AX660" t="s">
        <v>480</v>
      </c>
      <c r="AY660" s="224">
        <v>2</v>
      </c>
      <c r="AZ660" t="s">
        <v>1324</v>
      </c>
      <c r="BA660">
        <v>2009</v>
      </c>
      <c r="BB660">
        <v>2010</v>
      </c>
      <c r="BC660" t="s">
        <v>1325</v>
      </c>
      <c r="BD660" t="s">
        <v>1363</v>
      </c>
      <c r="BE660" t="s">
        <v>483</v>
      </c>
      <c r="BF660" t="s">
        <v>484</v>
      </c>
      <c r="BG660" t="s">
        <v>1364</v>
      </c>
      <c r="BH660" t="s">
        <v>480</v>
      </c>
      <c r="BI660" t="s">
        <v>480</v>
      </c>
      <c r="BJ660" t="s">
        <v>480</v>
      </c>
      <c r="EI660" s="9"/>
      <c r="EJ660" s="9"/>
      <c r="EK660" s="9"/>
      <c r="EL660" s="9"/>
      <c r="EM660" s="9"/>
      <c r="EN660" s="9"/>
      <c r="EO660" s="9"/>
      <c r="EP660" s="9"/>
      <c r="EQ660" s="9"/>
      <c r="ER660" s="9"/>
      <c r="ES660" s="9"/>
      <c r="ET660" s="9"/>
      <c r="EU660" s="9"/>
      <c r="EV660" s="9"/>
      <c r="EW660" s="9"/>
      <c r="EX660" s="9"/>
      <c r="EY660" s="9"/>
      <c r="EZ660" s="9"/>
      <c r="FA660" s="9"/>
      <c r="FB660" s="9"/>
      <c r="FC660" s="9"/>
      <c r="FD660" s="9"/>
      <c r="FE660" s="9"/>
      <c r="FF660" s="9"/>
      <c r="FG660" s="9"/>
      <c r="FH660" s="9"/>
      <c r="FI660" s="9"/>
      <c r="FJ660" s="9"/>
      <c r="FK660" s="9"/>
      <c r="FL660" s="9"/>
      <c r="FM660" s="9"/>
      <c r="FN660" s="9"/>
      <c r="FO660" s="9"/>
      <c r="FP660" s="9"/>
      <c r="FQ660" s="9"/>
      <c r="FR660" s="9"/>
      <c r="FS660" s="9"/>
      <c r="FT660" s="9"/>
      <c r="FU660" s="9"/>
      <c r="FV660" s="9"/>
      <c r="FW660" s="9"/>
      <c r="FX660" s="9"/>
      <c r="FY660" s="9"/>
      <c r="FZ660" s="9"/>
      <c r="GA660" s="9"/>
      <c r="GB660" s="9"/>
      <c r="GC660" s="9"/>
      <c r="GD660" s="9"/>
      <c r="GE660" s="9"/>
      <c r="GF660" s="9"/>
      <c r="GG660" s="9"/>
      <c r="GH660" s="9"/>
      <c r="GI660" s="9"/>
      <c r="GJ660" s="9"/>
      <c r="GK660" s="9"/>
      <c r="GL660" s="9"/>
      <c r="GM660" s="9"/>
      <c r="GN660" s="9"/>
      <c r="GO660" s="9"/>
      <c r="GP660" s="9"/>
      <c r="GQ660" s="9"/>
      <c r="GR660" s="9"/>
      <c r="GS660" s="9"/>
      <c r="GT660" s="9"/>
      <c r="GU660" s="9"/>
      <c r="GV660" s="9"/>
      <c r="GW660" s="9"/>
      <c r="GX660" s="9"/>
      <c r="GY660" s="9"/>
      <c r="GZ660" s="9"/>
      <c r="HA660" s="9"/>
      <c r="HB660" s="9"/>
      <c r="HC660" s="9"/>
      <c r="HD660" s="9"/>
      <c r="HE660" s="9"/>
      <c r="HF660" s="9"/>
      <c r="HG660" s="9"/>
      <c r="HH660" s="9"/>
      <c r="HI660" s="9"/>
      <c r="HJ660" s="9"/>
      <c r="HK660" s="9" t="s">
        <v>1365</v>
      </c>
      <c r="HL660" s="9" t="s">
        <v>526</v>
      </c>
      <c r="HM660" t="s">
        <v>500</v>
      </c>
      <c r="HY660" s="50"/>
      <c r="IV660" t="s">
        <v>1366</v>
      </c>
      <c r="IX660" t="s">
        <v>492</v>
      </c>
      <c r="JP660" s="9"/>
      <c r="JZ660" s="9"/>
      <c r="KR660" s="9"/>
      <c r="KS660" s="9"/>
      <c r="KT660" s="9"/>
      <c r="KU660" s="9"/>
      <c r="MY660" t="s">
        <v>1329</v>
      </c>
      <c r="MZ660">
        <v>625</v>
      </c>
      <c r="NA660" t="s">
        <v>1330</v>
      </c>
      <c r="NB660" t="s">
        <v>1331</v>
      </c>
      <c r="NC660" t="s">
        <v>1332</v>
      </c>
      <c r="ND660" t="s">
        <v>1333</v>
      </c>
      <c r="NE660" t="s">
        <v>1334</v>
      </c>
      <c r="NF660" t="s">
        <v>1335</v>
      </c>
      <c r="NG660" s="78" t="s">
        <v>480</v>
      </c>
      <c r="NH660" s="78" t="s">
        <v>687</v>
      </c>
      <c r="NJ660" t="s">
        <v>1336</v>
      </c>
      <c r="NK660" t="s">
        <v>1337</v>
      </c>
      <c r="NL660" t="s">
        <v>689</v>
      </c>
      <c r="NM660" s="78" t="s">
        <v>1338</v>
      </c>
      <c r="NU660" t="s">
        <v>657</v>
      </c>
      <c r="NV660" t="s">
        <v>1340</v>
      </c>
      <c r="NW660">
        <v>277</v>
      </c>
      <c r="NX660" t="s">
        <v>480</v>
      </c>
      <c r="NY660" t="s">
        <v>480</v>
      </c>
      <c r="OB660">
        <v>32</v>
      </c>
      <c r="OU660" t="s">
        <v>1341</v>
      </c>
      <c r="OV660" s="78" t="s">
        <v>518</v>
      </c>
      <c r="OX660">
        <v>2009</v>
      </c>
      <c r="OY660">
        <v>2010</v>
      </c>
      <c r="PB660" t="s">
        <v>1342</v>
      </c>
      <c r="PC660" s="50">
        <v>46133</v>
      </c>
      <c r="PE660" s="78" t="s">
        <v>522</v>
      </c>
      <c r="PF660" s="126">
        <v>46164</v>
      </c>
      <c r="PG660" s="78" t="s">
        <v>1343</v>
      </c>
      <c r="PH660" s="124" t="s">
        <v>1344</v>
      </c>
    </row>
    <row r="661" spans="1:424" ht="15.75" thickBot="1">
      <c r="A661" s="78" t="s">
        <v>665</v>
      </c>
      <c r="B661" s="78" t="s">
        <v>1318</v>
      </c>
      <c r="C661" s="78" t="s">
        <v>1319</v>
      </c>
      <c r="D661" s="78" t="s">
        <v>472</v>
      </c>
      <c r="E661" s="78" t="s">
        <v>1353</v>
      </c>
      <c r="F661" s="78" t="s">
        <v>1322</v>
      </c>
      <c r="G661" s="78" t="s">
        <v>475</v>
      </c>
      <c r="H661" s="78" t="s">
        <v>476</v>
      </c>
      <c r="I661" s="78">
        <v>-8.8170000000000002</v>
      </c>
      <c r="J661" s="78">
        <v>-75.2</v>
      </c>
      <c r="K661" s="78">
        <v>500</v>
      </c>
      <c r="L661" s="78" t="s">
        <v>1319</v>
      </c>
      <c r="M661" s="78" t="s">
        <v>472</v>
      </c>
      <c r="N661" s="78" t="s">
        <v>1321</v>
      </c>
      <c r="O661" s="78" t="s">
        <v>1322</v>
      </c>
      <c r="P661" s="78" t="s">
        <v>475</v>
      </c>
      <c r="Q661" s="78" t="s">
        <v>476</v>
      </c>
      <c r="R661" s="78">
        <v>-8.5169999999999995</v>
      </c>
      <c r="S661" s="78">
        <v>-74.766999999999996</v>
      </c>
      <c r="T661" s="78">
        <v>500</v>
      </c>
      <c r="U661" s="78" t="s">
        <v>1319</v>
      </c>
      <c r="V661" s="78" t="s">
        <v>472</v>
      </c>
      <c r="W661" s="78" t="s">
        <v>1345</v>
      </c>
      <c r="X661" s="78" t="s">
        <v>1322</v>
      </c>
      <c r="Y661" s="78" t="s">
        <v>475</v>
      </c>
      <c r="Z661" s="78" t="s">
        <v>476</v>
      </c>
      <c r="AA661" s="78">
        <v>-8.3670000000000009</v>
      </c>
      <c r="AB661" s="78">
        <v>-74.7</v>
      </c>
      <c r="AC661">
        <v>500</v>
      </c>
      <c r="AD661" s="78"/>
      <c r="AE661" s="78"/>
      <c r="AF661" s="78"/>
      <c r="AG661" s="78"/>
      <c r="AH661" s="78"/>
      <c r="AI661" s="78"/>
      <c r="AJ661" s="78"/>
      <c r="AK661" s="78"/>
      <c r="AL661" s="78"/>
      <c r="AM661" s="78"/>
      <c r="AN661" s="78"/>
      <c r="AO661" s="78"/>
      <c r="AP661" s="78"/>
      <c r="AQ661" s="78"/>
      <c r="AR661" s="78"/>
      <c r="AS661" s="78"/>
      <c r="AT661" s="78"/>
      <c r="AU661" s="78"/>
      <c r="AV661" s="78" t="s">
        <v>1323</v>
      </c>
      <c r="AW661" s="78">
        <v>625</v>
      </c>
      <c r="AX661" s="78" t="s">
        <v>480</v>
      </c>
      <c r="AY661" s="223">
        <v>2</v>
      </c>
      <c r="AZ661" s="78" t="s">
        <v>1324</v>
      </c>
      <c r="BA661" s="78">
        <v>2009</v>
      </c>
      <c r="BB661" s="78">
        <v>2010</v>
      </c>
      <c r="BC661" s="78" t="s">
        <v>1325</v>
      </c>
      <c r="BD661" s="78" t="s">
        <v>1367</v>
      </c>
      <c r="BE661" s="78" t="s">
        <v>593</v>
      </c>
      <c r="BF661" s="78" t="s">
        <v>1102</v>
      </c>
      <c r="BG661" s="78" t="s">
        <v>1368</v>
      </c>
      <c r="BH661" s="78" t="s">
        <v>480</v>
      </c>
      <c r="BI661" s="78" t="s">
        <v>480</v>
      </c>
      <c r="BJ661" s="78" t="s">
        <v>480</v>
      </c>
      <c r="BK661" s="78"/>
      <c r="BL661" s="78"/>
      <c r="BM661" s="78"/>
      <c r="BN661" s="78"/>
      <c r="BO661" s="78"/>
      <c r="BP661" s="78"/>
      <c r="BQ661" s="78"/>
      <c r="BR661" s="78"/>
      <c r="BS661" s="78"/>
      <c r="BT661" s="78"/>
      <c r="BU661" s="78"/>
      <c r="BV661" s="78"/>
      <c r="BW661" s="78"/>
      <c r="BX661" s="78"/>
      <c r="BY661" s="78"/>
      <c r="BZ661" s="78"/>
      <c r="CA661" s="78"/>
      <c r="CB661" s="78"/>
      <c r="CC661" s="78"/>
      <c r="CD661" s="78"/>
      <c r="CE661" s="78"/>
      <c r="CF661" s="78"/>
      <c r="CG661" s="78"/>
      <c r="CH661" s="78"/>
      <c r="CI661" s="78"/>
      <c r="CJ661" s="78"/>
      <c r="CK661" s="78"/>
      <c r="CL661" s="78"/>
      <c r="CM661" s="78"/>
      <c r="CN661" s="78"/>
      <c r="CO661" s="78"/>
      <c r="CP661" s="78"/>
      <c r="CQ661" s="78"/>
      <c r="CR661" s="78"/>
      <c r="CS661" s="78"/>
      <c r="CT661" s="78"/>
      <c r="CU661" s="78"/>
      <c r="CV661" s="78"/>
      <c r="CW661" s="78"/>
      <c r="CX661" s="78"/>
      <c r="CY661" s="78"/>
      <c r="CZ661" s="78"/>
      <c r="DA661" s="78"/>
      <c r="DB661" s="78"/>
      <c r="DC661" s="78"/>
      <c r="DD661" s="78"/>
      <c r="DE661" s="78"/>
      <c r="DF661" s="78"/>
      <c r="DG661" s="78"/>
      <c r="DH661" s="78"/>
      <c r="DI661" s="78"/>
      <c r="DJ661" s="78"/>
      <c r="DK661" s="78"/>
      <c r="DL661" s="78"/>
      <c r="DM661" s="78"/>
      <c r="DN661" s="78"/>
      <c r="DO661" s="78"/>
      <c r="DP661" s="78"/>
      <c r="DQ661" s="78"/>
      <c r="DR661" s="78"/>
      <c r="DS661" s="78"/>
      <c r="DT661" s="78"/>
      <c r="DU661" s="78"/>
      <c r="DV661" s="78"/>
      <c r="DW661" s="78"/>
      <c r="DX661" s="78"/>
      <c r="DY661" s="78"/>
      <c r="DZ661" s="78"/>
      <c r="EA661" s="78"/>
      <c r="EB661" s="78"/>
      <c r="EC661" s="78"/>
      <c r="ED661" s="78"/>
      <c r="EE661" s="78"/>
      <c r="EF661" s="78"/>
      <c r="EG661" s="78"/>
      <c r="EH661" s="78"/>
      <c r="EI661" s="125"/>
      <c r="EJ661" s="125"/>
      <c r="EK661" s="125"/>
      <c r="EL661" s="125"/>
      <c r="EM661" s="125"/>
      <c r="EN661" s="125"/>
      <c r="EO661" s="125"/>
      <c r="EP661" s="125"/>
      <c r="EQ661" s="125"/>
      <c r="ER661" s="125"/>
      <c r="ES661" s="125"/>
      <c r="ET661" s="125"/>
      <c r="EU661" s="125"/>
      <c r="EV661" s="125"/>
      <c r="EW661" s="125"/>
      <c r="EX661" s="125"/>
      <c r="EY661" s="125"/>
      <c r="EZ661" s="125"/>
      <c r="FA661" s="125"/>
      <c r="FB661" s="125"/>
      <c r="FC661" s="125"/>
      <c r="FD661" s="125"/>
      <c r="FE661" s="125"/>
      <c r="FF661" s="125"/>
      <c r="FG661" s="125"/>
      <c r="FH661" s="125"/>
      <c r="FI661" s="125"/>
      <c r="FJ661" s="125"/>
      <c r="FK661" s="125"/>
      <c r="FL661" s="125"/>
      <c r="FM661" s="125"/>
      <c r="FN661" s="125"/>
      <c r="FO661" s="125"/>
      <c r="FP661" s="125"/>
      <c r="FQ661" s="125"/>
      <c r="FR661" s="125"/>
      <c r="FS661" s="125"/>
      <c r="FT661" s="125"/>
      <c r="FU661" s="125"/>
      <c r="FV661" s="125"/>
      <c r="FW661" s="125"/>
      <c r="FX661" s="125"/>
      <c r="FY661" s="125"/>
      <c r="FZ661" s="125"/>
      <c r="GA661" s="125"/>
      <c r="GB661" s="125"/>
      <c r="GC661" s="125"/>
      <c r="GD661" s="125"/>
      <c r="GE661" s="125"/>
      <c r="GF661" s="125"/>
      <c r="GG661" s="125"/>
      <c r="GH661" s="125"/>
      <c r="GI661" s="125"/>
      <c r="GJ661" s="125"/>
      <c r="GK661" s="125"/>
      <c r="GL661" s="125"/>
      <c r="GM661" s="125"/>
      <c r="GN661" s="125"/>
      <c r="GO661" s="125"/>
      <c r="GP661" s="125"/>
      <c r="GQ661" s="125"/>
      <c r="GR661" s="125"/>
      <c r="GS661" s="125"/>
      <c r="GT661" s="125"/>
      <c r="GU661" s="125"/>
      <c r="GV661" s="125"/>
      <c r="GW661" s="125"/>
      <c r="GX661" s="125"/>
      <c r="GY661" s="125"/>
      <c r="GZ661" s="125"/>
      <c r="HA661" s="125"/>
      <c r="HB661" s="125"/>
      <c r="HC661" s="125"/>
      <c r="HD661" s="125"/>
      <c r="HE661" s="125"/>
      <c r="HF661" s="125"/>
      <c r="HG661" s="125"/>
      <c r="HH661" s="125"/>
      <c r="HI661" s="125"/>
      <c r="HJ661" s="125"/>
      <c r="HK661" s="125" t="s">
        <v>1369</v>
      </c>
      <c r="HL661" s="125" t="s">
        <v>488</v>
      </c>
      <c r="HM661" s="78"/>
      <c r="HN661" s="78"/>
      <c r="HO661" s="78"/>
      <c r="HP661" s="78"/>
      <c r="HQ661" s="78"/>
      <c r="HR661" s="78"/>
      <c r="HS661" s="78"/>
      <c r="HT661" s="78"/>
      <c r="HU661" s="78"/>
      <c r="HV661" s="78"/>
      <c r="HW661" s="78"/>
      <c r="HX661" s="78"/>
      <c r="HY661" s="126"/>
      <c r="HZ661" s="78"/>
      <c r="IA661" s="78"/>
      <c r="IB661" s="78"/>
      <c r="IC661" s="78"/>
      <c r="ID661" s="78"/>
      <c r="IE661" s="78"/>
      <c r="IF661" s="78"/>
      <c r="IG661" s="78"/>
      <c r="IH661" s="78"/>
      <c r="II661" s="78"/>
      <c r="IJ661" s="78"/>
      <c r="IK661" s="78"/>
      <c r="IL661" s="78"/>
      <c r="IM661" s="78"/>
      <c r="IN661" s="78"/>
      <c r="IO661" s="78"/>
      <c r="IP661" s="78"/>
      <c r="IQ661" s="78"/>
      <c r="IR661" s="78"/>
      <c r="IS661" s="78"/>
      <c r="IT661" s="78"/>
      <c r="IU661" s="78"/>
      <c r="IV661" s="78" t="s">
        <v>1367</v>
      </c>
      <c r="IW661" s="78"/>
      <c r="IX661" s="221" t="s">
        <v>1370</v>
      </c>
      <c r="IY661" s="78"/>
      <c r="IZ661" s="78"/>
      <c r="JA661" s="78"/>
      <c r="JB661" s="78"/>
      <c r="JC661" s="78"/>
      <c r="JD661" s="78"/>
      <c r="JE661" s="78"/>
      <c r="JF661" s="78"/>
      <c r="JG661" s="78"/>
      <c r="JH661" s="78"/>
      <c r="JI661" s="78"/>
      <c r="JJ661" s="78"/>
      <c r="JK661" s="78"/>
      <c r="JL661" s="78"/>
      <c r="JM661" s="78"/>
      <c r="JN661" s="78"/>
      <c r="JO661" s="78"/>
      <c r="JP661" s="131"/>
      <c r="JQ661" s="78"/>
      <c r="JR661" s="78"/>
      <c r="JS661" s="78"/>
      <c r="JT661" s="78"/>
      <c r="JU661" s="78"/>
      <c r="JV661" s="78"/>
      <c r="JW661" s="78"/>
      <c r="JX661" s="78"/>
      <c r="JY661" s="78"/>
      <c r="JZ661" s="131"/>
      <c r="KA661" s="78"/>
      <c r="KB661" s="78"/>
      <c r="KC661" s="78"/>
      <c r="KD661" s="78"/>
      <c r="KE661" s="78"/>
      <c r="KF661" s="78"/>
      <c r="KG661" s="78"/>
      <c r="KH661" s="78"/>
      <c r="KI661" s="78"/>
      <c r="KJ661" s="78"/>
      <c r="KK661" s="78"/>
      <c r="KL661" s="78"/>
      <c r="KM661" s="78"/>
      <c r="KN661" s="78"/>
      <c r="KO661" s="78"/>
      <c r="KP661" s="78"/>
      <c r="KQ661" s="78"/>
      <c r="KR661" s="131"/>
      <c r="KS661" s="131"/>
      <c r="KT661" s="131"/>
      <c r="KU661" s="131"/>
      <c r="KV661" s="78"/>
      <c r="KW661" s="78"/>
      <c r="KX661" s="78"/>
      <c r="KY661" s="78"/>
      <c r="KZ661" s="78"/>
      <c r="LA661" s="78"/>
      <c r="LB661" s="78"/>
      <c r="LC661" s="78"/>
      <c r="LD661" s="78"/>
      <c r="LE661" s="78"/>
      <c r="LF661" s="78"/>
      <c r="LG661" s="78"/>
      <c r="LH661" s="78"/>
      <c r="LI661" s="78"/>
      <c r="LJ661" s="78"/>
      <c r="LK661" s="78"/>
      <c r="LL661" s="78"/>
      <c r="LM661" s="78"/>
      <c r="LN661" s="78"/>
      <c r="LO661" s="78"/>
      <c r="LP661" s="78"/>
      <c r="LQ661" s="78"/>
      <c r="LR661" s="78"/>
      <c r="LS661" s="78"/>
      <c r="LT661" s="78"/>
      <c r="LU661" s="78"/>
      <c r="LV661" s="78"/>
      <c r="LW661" s="78"/>
      <c r="LX661" s="78"/>
      <c r="LY661" s="78"/>
      <c r="LZ661" s="78"/>
      <c r="MA661" s="78"/>
      <c r="MB661" s="78"/>
      <c r="MC661" s="78"/>
      <c r="MD661" s="78"/>
      <c r="ME661" s="78"/>
      <c r="MF661" s="78"/>
      <c r="MG661" s="78"/>
      <c r="MH661" s="78"/>
      <c r="MI661" s="78"/>
      <c r="MJ661" s="78"/>
      <c r="MK661" s="78"/>
      <c r="ML661" s="78"/>
      <c r="MM661" s="78"/>
      <c r="MN661" s="78"/>
      <c r="MO661" s="78"/>
      <c r="MP661" s="78"/>
      <c r="MQ661" s="78"/>
      <c r="MR661" s="78"/>
      <c r="MS661" s="78"/>
      <c r="MT661" s="78" t="s">
        <v>1367</v>
      </c>
      <c r="MU661" s="185" t="s">
        <v>1370</v>
      </c>
      <c r="MV661" s="78" t="s">
        <v>480</v>
      </c>
      <c r="MW661" s="78" t="s">
        <v>480</v>
      </c>
      <c r="MX661" s="185" t="s">
        <v>1094</v>
      </c>
      <c r="MY661" s="78" t="s">
        <v>1329</v>
      </c>
      <c r="MZ661" s="78">
        <v>625</v>
      </c>
      <c r="NA661" s="78" t="s">
        <v>1330</v>
      </c>
      <c r="NB661" s="78" t="s">
        <v>1331</v>
      </c>
      <c r="NC661" s="78" t="s">
        <v>1332</v>
      </c>
      <c r="ND661" s="78" t="s">
        <v>1333</v>
      </c>
      <c r="NE661" s="78" t="s">
        <v>1334</v>
      </c>
      <c r="NF661" s="78" t="s">
        <v>1335</v>
      </c>
      <c r="NG661" s="78" t="s">
        <v>480</v>
      </c>
      <c r="NH661" s="78" t="s">
        <v>687</v>
      </c>
      <c r="NI661" s="78"/>
      <c r="NJ661" s="78" t="s">
        <v>1336</v>
      </c>
      <c r="NK661" s="78" t="s">
        <v>1337</v>
      </c>
      <c r="NL661" s="78" t="s">
        <v>689</v>
      </c>
      <c r="NM661" s="78" t="s">
        <v>1338</v>
      </c>
      <c r="NN661" s="78"/>
      <c r="NO661" s="78"/>
      <c r="NP661" s="78"/>
      <c r="NQ661" s="78"/>
      <c r="NR661" s="78"/>
      <c r="NS661" s="78"/>
      <c r="NT661" s="78"/>
      <c r="NU661" s="78" t="s">
        <v>1339</v>
      </c>
      <c r="NV661" s="78" t="s">
        <v>1340</v>
      </c>
      <c r="NW661" s="78">
        <v>207</v>
      </c>
      <c r="NX661" s="78" t="s">
        <v>480</v>
      </c>
      <c r="NY661" s="78" t="s">
        <v>480</v>
      </c>
      <c r="NZ661" s="78"/>
      <c r="OA661" s="78"/>
      <c r="OB661" s="78">
        <v>32</v>
      </c>
      <c r="OC661" s="78"/>
      <c r="OD661" s="78"/>
      <c r="OE661" s="78"/>
      <c r="OF661" s="78"/>
      <c r="OG661" s="78"/>
      <c r="OH661" s="78"/>
      <c r="OI661" s="78"/>
      <c r="OJ661" s="78"/>
      <c r="OK661" s="78"/>
      <c r="OL661" s="78"/>
      <c r="OM661" s="78"/>
      <c r="ON661" s="78"/>
      <c r="OO661" s="78"/>
      <c r="OP661" s="78"/>
      <c r="OQ661" s="78"/>
      <c r="OR661" s="78"/>
      <c r="OS661" s="78"/>
      <c r="OT661" s="78"/>
      <c r="OU661" s="78" t="s">
        <v>1341</v>
      </c>
      <c r="OV661" s="78" t="s">
        <v>518</v>
      </c>
      <c r="OW661" s="78"/>
      <c r="OX661" s="78">
        <v>2009</v>
      </c>
      <c r="OY661" s="78">
        <v>2010</v>
      </c>
      <c r="OZ661" s="78"/>
      <c r="PA661" s="78"/>
      <c r="PB661" s="78" t="s">
        <v>1342</v>
      </c>
      <c r="PC661" s="126">
        <v>46133</v>
      </c>
      <c r="PD661" s="78"/>
      <c r="PE661" s="78" t="s">
        <v>522</v>
      </c>
      <c r="PF661" s="126">
        <v>46164</v>
      </c>
      <c r="PG661" s="78" t="s">
        <v>1343</v>
      </c>
      <c r="PH661" s="124" t="s">
        <v>1344</v>
      </c>
    </row>
    <row r="662" spans="1:424">
      <c r="A662" s="78" t="s">
        <v>665</v>
      </c>
      <c r="B662" s="78" t="s">
        <v>1318</v>
      </c>
      <c r="C662" s="78" t="s">
        <v>1319</v>
      </c>
      <c r="D662" s="78" t="s">
        <v>950</v>
      </c>
      <c r="E662" s="78" t="s">
        <v>1320</v>
      </c>
      <c r="F662" s="78" t="s">
        <v>952</v>
      </c>
      <c r="G662" s="78" t="s">
        <v>475</v>
      </c>
      <c r="H662" s="78" t="s">
        <v>476</v>
      </c>
      <c r="I662" s="78">
        <v>-8.9</v>
      </c>
      <c r="J662" s="78">
        <v>-74.983000000000004</v>
      </c>
      <c r="K662" s="78">
        <v>500</v>
      </c>
      <c r="L662" s="78" t="s">
        <v>1319</v>
      </c>
      <c r="M662" s="78" t="s">
        <v>472</v>
      </c>
      <c r="N662" s="78" t="s">
        <v>1321</v>
      </c>
      <c r="O662" s="78" t="s">
        <v>1322</v>
      </c>
      <c r="P662" s="78" t="s">
        <v>475</v>
      </c>
      <c r="Q662" s="78" t="s">
        <v>476</v>
      </c>
      <c r="R662" s="78">
        <v>-8.5169999999999995</v>
      </c>
      <c r="S662" s="78">
        <v>-74.766999999999996</v>
      </c>
      <c r="T662" s="78">
        <v>500</v>
      </c>
      <c r="U662" s="78"/>
      <c r="V662" s="78"/>
      <c r="W662" s="78"/>
      <c r="X662" s="78"/>
      <c r="Y662" s="78"/>
      <c r="Z662" s="78"/>
      <c r="AA662" s="78"/>
      <c r="AB662" s="78"/>
      <c r="AC662" s="78"/>
      <c r="AD662" s="78"/>
      <c r="AE662" s="78"/>
      <c r="AF662" s="78"/>
      <c r="AG662" s="78"/>
      <c r="AH662" s="78"/>
      <c r="AI662" s="78"/>
      <c r="AJ662" s="78"/>
      <c r="AK662" s="78"/>
      <c r="AL662" s="78"/>
      <c r="AM662" s="78"/>
      <c r="AN662" s="78"/>
      <c r="AO662" s="78"/>
      <c r="AP662" s="78"/>
      <c r="AQ662" s="78"/>
      <c r="AR662" s="78"/>
      <c r="AS662" s="78"/>
      <c r="AT662" s="78"/>
      <c r="AU662" s="78"/>
      <c r="AV662" s="78" t="s">
        <v>1323</v>
      </c>
      <c r="AW662" s="78">
        <v>625</v>
      </c>
      <c r="AX662" s="78" t="s">
        <v>480</v>
      </c>
      <c r="AY662" s="223">
        <v>2</v>
      </c>
      <c r="AZ662" s="78" t="s">
        <v>1324</v>
      </c>
      <c r="BA662" s="78">
        <v>2009</v>
      </c>
      <c r="BB662" s="78">
        <v>2010</v>
      </c>
      <c r="BC662" s="78" t="s">
        <v>1325</v>
      </c>
      <c r="BD662" s="78" t="s">
        <v>1326</v>
      </c>
      <c r="BE662" s="78" t="s">
        <v>524</v>
      </c>
      <c r="BF662" s="78" t="s">
        <v>1084</v>
      </c>
      <c r="BG662" s="78"/>
      <c r="BH662" s="78"/>
      <c r="BI662" s="78"/>
      <c r="BJ662" s="78"/>
      <c r="BK662" s="78"/>
      <c r="BL662" s="78"/>
      <c r="BM662" s="78"/>
      <c r="BN662" s="78"/>
      <c r="BO662" s="78"/>
      <c r="BP662" s="78"/>
      <c r="BQ662" s="78"/>
      <c r="BR662" s="78"/>
      <c r="BS662" s="78"/>
      <c r="BT662" s="78"/>
      <c r="BU662" s="78"/>
      <c r="BV662" s="78"/>
      <c r="BW662" s="78"/>
      <c r="BX662" s="78"/>
      <c r="BY662" s="78"/>
      <c r="BZ662" s="78"/>
      <c r="CA662" s="78"/>
      <c r="CB662" s="78"/>
      <c r="CC662" s="78"/>
      <c r="CD662" s="78"/>
      <c r="CE662" s="78"/>
      <c r="CF662" s="78"/>
      <c r="CG662" s="78"/>
      <c r="CH662" s="78"/>
      <c r="CI662" s="78"/>
      <c r="CJ662" s="78"/>
      <c r="CK662" s="78"/>
      <c r="CL662" s="78"/>
      <c r="CM662" s="78"/>
      <c r="CN662" s="78"/>
      <c r="CO662" s="78"/>
      <c r="CP662" s="78"/>
      <c r="CQ662" s="78"/>
      <c r="CR662" s="78"/>
      <c r="CS662" s="78"/>
      <c r="CT662" s="78"/>
      <c r="CU662" s="78"/>
      <c r="CV662" s="78"/>
      <c r="CW662" s="78"/>
      <c r="CX662" s="78"/>
      <c r="CY662" s="78"/>
      <c r="CZ662" s="78"/>
      <c r="DA662" s="78"/>
      <c r="DB662" s="78"/>
      <c r="DC662" s="78"/>
      <c r="DD662" s="78"/>
      <c r="DE662" s="78"/>
      <c r="DF662" s="78"/>
      <c r="DG662" s="78"/>
      <c r="DH662" s="78"/>
      <c r="DI662" s="78"/>
      <c r="DJ662" s="78"/>
      <c r="DK662" s="78"/>
      <c r="DL662" s="78"/>
      <c r="DM662" s="78"/>
      <c r="DN662" s="78"/>
      <c r="DO662" s="78"/>
      <c r="DP662" s="78"/>
      <c r="DQ662" s="78"/>
      <c r="DR662" s="78"/>
      <c r="DS662" s="78"/>
      <c r="DT662" s="78"/>
      <c r="DU662" s="78"/>
      <c r="DV662" s="78"/>
      <c r="DW662" s="78"/>
      <c r="DX662" s="78"/>
      <c r="DY662" s="78"/>
      <c r="DZ662" s="78"/>
      <c r="EA662" s="78"/>
      <c r="EB662" s="78"/>
      <c r="EC662" s="78"/>
      <c r="ED662" s="78"/>
      <c r="EE662" s="78"/>
      <c r="EF662" s="78"/>
      <c r="EG662" s="78"/>
      <c r="EH662" s="78"/>
      <c r="EI662" s="125"/>
      <c r="EJ662" s="125"/>
      <c r="EK662" s="125"/>
      <c r="EL662" s="125"/>
      <c r="EM662" s="125"/>
      <c r="EN662" s="125"/>
      <c r="EO662" s="125"/>
      <c r="EP662" s="125"/>
      <c r="EQ662" s="125"/>
      <c r="ER662" s="125"/>
      <c r="ES662" s="9"/>
      <c r="ET662" s="9"/>
      <c r="EU662" s="9"/>
      <c r="EV662" s="9"/>
      <c r="EW662" s="9"/>
      <c r="EX662" s="9"/>
      <c r="EY662" s="9"/>
      <c r="EZ662" s="9"/>
      <c r="FA662" s="9"/>
      <c r="FB662" s="9"/>
      <c r="FC662" s="9"/>
      <c r="FD662" s="9"/>
      <c r="FE662" s="9"/>
      <c r="FF662" s="9"/>
      <c r="FG662" s="9"/>
      <c r="FH662" s="9"/>
      <c r="FI662" s="9"/>
      <c r="FJ662" s="9"/>
      <c r="FK662" s="9"/>
      <c r="FL662" s="9"/>
      <c r="FM662" s="9"/>
      <c r="FN662" s="9"/>
      <c r="FO662" s="9"/>
      <c r="FP662" s="9"/>
      <c r="FQ662" s="9"/>
      <c r="FR662" s="9"/>
      <c r="FS662" s="9"/>
      <c r="FT662" s="9"/>
      <c r="FU662" s="9"/>
      <c r="FV662" s="9"/>
      <c r="FW662" s="9"/>
      <c r="FX662" s="9"/>
      <c r="FY662" s="9"/>
      <c r="FZ662" s="9"/>
      <c r="GA662" s="9"/>
      <c r="GB662" s="9"/>
      <c r="GC662" s="9"/>
      <c r="GD662" s="9"/>
      <c r="GE662" s="9"/>
      <c r="GF662" s="9"/>
      <c r="GG662" s="9"/>
      <c r="GH662" s="9"/>
      <c r="GI662" s="9"/>
      <c r="GJ662" s="9"/>
      <c r="GK662" s="9"/>
      <c r="GL662" s="9"/>
      <c r="GM662" s="9"/>
      <c r="GN662" s="9"/>
      <c r="GO662" s="9"/>
      <c r="GP662" s="9"/>
      <c r="GQ662" s="9"/>
      <c r="GR662" s="9"/>
      <c r="GS662" s="9"/>
      <c r="GT662" s="9"/>
      <c r="GU662" s="9"/>
      <c r="GV662" s="9"/>
      <c r="GW662" s="9"/>
      <c r="GX662" s="9"/>
      <c r="GY662" s="9"/>
      <c r="GZ662" s="9"/>
      <c r="HA662" s="9"/>
      <c r="HB662" s="9"/>
      <c r="HC662" s="9"/>
      <c r="HD662" s="9"/>
      <c r="HE662" s="9"/>
      <c r="HF662" s="9"/>
      <c r="HG662" s="9"/>
      <c r="HH662" s="9"/>
      <c r="HI662" s="9"/>
      <c r="HJ662" s="9"/>
      <c r="HK662" s="9" t="s">
        <v>1327</v>
      </c>
      <c r="HL662" s="9" t="s">
        <v>488</v>
      </c>
      <c r="HY662" s="50"/>
      <c r="IV662" s="78" t="s">
        <v>1328</v>
      </c>
      <c r="IX662" s="185" t="s">
        <v>1092</v>
      </c>
      <c r="IY662" s="78"/>
      <c r="IZ662" s="78">
        <v>20</v>
      </c>
      <c r="JA662" s="78">
        <v>95</v>
      </c>
      <c r="JB662" t="s">
        <v>480</v>
      </c>
      <c r="JC662" t="s">
        <v>480</v>
      </c>
      <c r="JD662" s="78"/>
      <c r="JE662" s="78"/>
      <c r="JF662" s="78"/>
      <c r="JP662" s="9"/>
      <c r="JZ662" s="9"/>
      <c r="KR662" s="9"/>
      <c r="KS662" s="9"/>
      <c r="KT662" s="9"/>
      <c r="KU662" s="9"/>
      <c r="MT662" s="78" t="s">
        <v>1328</v>
      </c>
      <c r="MU662" s="185" t="s">
        <v>1092</v>
      </c>
      <c r="MV662" s="78" t="s">
        <v>480</v>
      </c>
      <c r="MW662" s="185" t="s">
        <v>1093</v>
      </c>
      <c r="MX662" s="185" t="s">
        <v>1094</v>
      </c>
      <c r="MY662" t="s">
        <v>1329</v>
      </c>
      <c r="MZ662">
        <v>625</v>
      </c>
      <c r="NA662" t="s">
        <v>1330</v>
      </c>
      <c r="NB662" t="s">
        <v>1331</v>
      </c>
      <c r="NC662" t="s">
        <v>1332</v>
      </c>
      <c r="ND662" t="s">
        <v>1333</v>
      </c>
      <c r="NE662" t="s">
        <v>1334</v>
      </c>
      <c r="NF662" t="s">
        <v>1335</v>
      </c>
      <c r="NG662" s="78" t="s">
        <v>480</v>
      </c>
      <c r="NH662" s="78" t="s">
        <v>687</v>
      </c>
      <c r="NJ662" t="s">
        <v>1371</v>
      </c>
      <c r="NK662" t="s">
        <v>1372</v>
      </c>
      <c r="NL662" t="s">
        <v>1099</v>
      </c>
      <c r="NM662" t="s">
        <v>1373</v>
      </c>
      <c r="NU662" s="78" t="s">
        <v>1339</v>
      </c>
      <c r="NV662" t="s">
        <v>518</v>
      </c>
      <c r="NW662">
        <v>109</v>
      </c>
      <c r="NX662" t="s">
        <v>916</v>
      </c>
      <c r="NY662">
        <v>21</v>
      </c>
      <c r="OB662">
        <v>8</v>
      </c>
      <c r="OU662" t="s">
        <v>1341</v>
      </c>
      <c r="OV662" s="78" t="s">
        <v>518</v>
      </c>
      <c r="OX662">
        <v>2009</v>
      </c>
      <c r="OY662">
        <v>2010</v>
      </c>
      <c r="PB662" t="s">
        <v>1342</v>
      </c>
      <c r="PC662" s="50">
        <v>46133</v>
      </c>
      <c r="PE662" s="78" t="s">
        <v>522</v>
      </c>
      <c r="PF662" s="126">
        <v>46164</v>
      </c>
      <c r="PG662" s="78" t="s">
        <v>1343</v>
      </c>
      <c r="PH662" s="124" t="s">
        <v>1344</v>
      </c>
    </row>
    <row r="663" spans="1:424">
      <c r="A663" t="s">
        <v>665</v>
      </c>
      <c r="B663" t="s">
        <v>1318</v>
      </c>
      <c r="C663" t="s">
        <v>1319</v>
      </c>
      <c r="D663" t="s">
        <v>472</v>
      </c>
      <c r="E663" t="s">
        <v>1321</v>
      </c>
      <c r="F663" t="s">
        <v>1322</v>
      </c>
      <c r="G663" t="s">
        <v>475</v>
      </c>
      <c r="H663" t="s">
        <v>476</v>
      </c>
      <c r="I663">
        <v>-8.5169999999999995</v>
      </c>
      <c r="J663">
        <v>-74.766999999999996</v>
      </c>
      <c r="K663" s="78">
        <v>500</v>
      </c>
      <c r="L663" t="s">
        <v>1319</v>
      </c>
      <c r="M663" t="s">
        <v>472</v>
      </c>
      <c r="N663" t="s">
        <v>1345</v>
      </c>
      <c r="O663" t="s">
        <v>1322</v>
      </c>
      <c r="P663" t="s">
        <v>475</v>
      </c>
      <c r="Q663" t="s">
        <v>476</v>
      </c>
      <c r="R663">
        <v>-8.3670000000000009</v>
      </c>
      <c r="S663">
        <v>-74.7</v>
      </c>
      <c r="T663" s="78">
        <v>500</v>
      </c>
      <c r="AV663" t="s">
        <v>1323</v>
      </c>
      <c r="AW663">
        <v>625</v>
      </c>
      <c r="AX663" t="s">
        <v>480</v>
      </c>
      <c r="AY663" s="224">
        <v>2</v>
      </c>
      <c r="AZ663" t="s">
        <v>1324</v>
      </c>
      <c r="BA663">
        <v>2009</v>
      </c>
      <c r="BB663">
        <v>2010</v>
      </c>
      <c r="BC663" t="s">
        <v>1325</v>
      </c>
      <c r="BD663" t="s">
        <v>1346</v>
      </c>
      <c r="BE663" t="s">
        <v>536</v>
      </c>
      <c r="BF663" t="s">
        <v>484</v>
      </c>
      <c r="BG663" t="s">
        <v>1347</v>
      </c>
      <c r="BH663" t="s">
        <v>480</v>
      </c>
      <c r="BI663" t="s">
        <v>480</v>
      </c>
      <c r="BJ663" t="s">
        <v>480</v>
      </c>
      <c r="BK663" t="s">
        <v>537</v>
      </c>
      <c r="ED663" t="s">
        <v>1348</v>
      </c>
      <c r="EE663" t="s">
        <v>1349</v>
      </c>
      <c r="EF663">
        <v>0.24</v>
      </c>
      <c r="EI663" s="9"/>
      <c r="EJ663" s="9"/>
      <c r="EK663" s="9"/>
      <c r="EL663" s="9"/>
      <c r="EM663" s="9"/>
      <c r="EN663" s="9"/>
      <c r="EO663" s="9"/>
      <c r="EP663" s="9"/>
      <c r="EQ663" s="9"/>
      <c r="ER663" s="9"/>
      <c r="ES663" s="125"/>
      <c r="ET663" s="125"/>
      <c r="EU663" s="125"/>
      <c r="EV663" s="125"/>
      <c r="EW663" s="125"/>
      <c r="EX663" s="125"/>
      <c r="EY663" s="125"/>
      <c r="EZ663" s="125"/>
      <c r="FA663" s="125"/>
      <c r="FB663" s="125"/>
      <c r="FC663" s="125"/>
      <c r="FD663" s="125"/>
      <c r="FE663" s="125"/>
      <c r="FF663" s="125"/>
      <c r="FG663" s="125"/>
      <c r="FH663" s="125"/>
      <c r="FI663" s="125"/>
      <c r="FJ663" s="125"/>
      <c r="FK663" s="125"/>
      <c r="FL663" s="125"/>
      <c r="FM663" s="125"/>
      <c r="FN663" s="125"/>
      <c r="FO663" s="125"/>
      <c r="FP663" s="125"/>
      <c r="FQ663" s="125"/>
      <c r="FR663" s="125"/>
      <c r="FS663" s="125"/>
      <c r="FT663" s="125"/>
      <c r="FU663" s="125"/>
      <c r="FV663" s="125"/>
      <c r="FW663" s="125"/>
      <c r="FX663" s="125"/>
      <c r="FY663" s="125"/>
      <c r="FZ663" s="125"/>
      <c r="GA663" s="125"/>
      <c r="GB663" s="125"/>
      <c r="GC663" s="125"/>
      <c r="GD663" s="125"/>
      <c r="GE663" s="125"/>
      <c r="GF663" s="125"/>
      <c r="GG663" s="125"/>
      <c r="GH663" s="125"/>
      <c r="GI663" s="125"/>
      <c r="GJ663" s="125"/>
      <c r="GK663" s="125"/>
      <c r="GL663" s="125"/>
      <c r="GM663" s="125"/>
      <c r="GN663" s="125"/>
      <c r="GO663" s="125"/>
      <c r="GP663" s="125"/>
      <c r="GQ663" s="125"/>
      <c r="GR663" s="125"/>
      <c r="GS663" s="125"/>
      <c r="GT663" s="125"/>
      <c r="GU663" s="125"/>
      <c r="GV663" s="125"/>
      <c r="GW663" s="125"/>
      <c r="GX663" s="125"/>
      <c r="GY663" s="125"/>
      <c r="GZ663" s="125"/>
      <c r="HA663" s="125"/>
      <c r="HB663" s="125"/>
      <c r="HC663" s="125"/>
      <c r="HD663" s="125"/>
      <c r="HE663" s="125"/>
      <c r="HF663" s="125"/>
      <c r="HG663" s="125"/>
      <c r="HH663" s="125"/>
      <c r="HI663" s="125"/>
      <c r="HJ663" s="125"/>
      <c r="HK663" s="125" t="s">
        <v>1350</v>
      </c>
      <c r="HL663" s="125" t="s">
        <v>488</v>
      </c>
      <c r="HM663" s="78"/>
      <c r="HN663" s="78"/>
      <c r="HO663" s="78"/>
      <c r="HP663" s="78"/>
      <c r="HQ663" s="78"/>
      <c r="HR663" s="78"/>
      <c r="HS663" s="78"/>
      <c r="HT663" s="78"/>
      <c r="HU663" s="78"/>
      <c r="HV663" s="78"/>
      <c r="HW663" s="78"/>
      <c r="HX663" s="78"/>
      <c r="HY663" s="126"/>
      <c r="HZ663" s="78"/>
      <c r="IA663" s="78"/>
      <c r="IB663" s="78"/>
      <c r="IC663" s="78"/>
      <c r="ID663" s="78"/>
      <c r="IE663" s="78"/>
      <c r="IF663" s="78"/>
      <c r="IG663" s="78"/>
      <c r="IH663" s="78"/>
      <c r="II663" s="78"/>
      <c r="IJ663" s="78"/>
      <c r="IK663" s="78"/>
      <c r="IL663" s="78"/>
      <c r="IM663" s="78"/>
      <c r="IN663" s="78"/>
      <c r="IO663" s="78"/>
      <c r="IP663" s="78"/>
      <c r="IQ663" s="78"/>
      <c r="IR663" s="78"/>
      <c r="IS663" s="78"/>
      <c r="IT663" s="78"/>
      <c r="IU663" s="78"/>
      <c r="IV663" t="s">
        <v>1351</v>
      </c>
      <c r="IX663" s="2" t="s">
        <v>1352</v>
      </c>
      <c r="IZ663">
        <v>6</v>
      </c>
      <c r="JA663">
        <v>77.5</v>
      </c>
      <c r="JB663">
        <v>75</v>
      </c>
      <c r="JC663">
        <v>80</v>
      </c>
      <c r="JD663">
        <v>7.5</v>
      </c>
      <c r="JE663">
        <v>6</v>
      </c>
      <c r="JF663">
        <v>9</v>
      </c>
      <c r="JG663" s="78"/>
      <c r="JH663" s="78"/>
      <c r="JI663" s="78"/>
      <c r="JJ663" s="78"/>
      <c r="JK663" s="78"/>
      <c r="JL663" s="78"/>
      <c r="JM663" s="78"/>
      <c r="JN663" s="78"/>
      <c r="JO663" s="78"/>
      <c r="JP663" s="131"/>
      <c r="JQ663" s="78"/>
      <c r="JR663" s="78"/>
      <c r="JS663" s="78"/>
      <c r="JT663" s="78"/>
      <c r="JU663" s="78"/>
      <c r="JV663" s="78"/>
      <c r="JW663" s="78"/>
      <c r="JX663" s="78"/>
      <c r="JY663" s="78"/>
      <c r="JZ663" s="131"/>
      <c r="KA663" s="78"/>
      <c r="KB663" s="78"/>
      <c r="KC663" s="78"/>
      <c r="KD663" s="78"/>
      <c r="KE663" s="78"/>
      <c r="KF663" s="78"/>
      <c r="KG663" s="78"/>
      <c r="KH663" s="78"/>
      <c r="KI663" s="78"/>
      <c r="KJ663" s="78"/>
      <c r="KK663" s="78"/>
      <c r="KL663" s="78"/>
      <c r="KM663" s="78"/>
      <c r="KN663" s="78"/>
      <c r="KO663" s="78"/>
      <c r="KP663" s="78"/>
      <c r="KQ663" s="78"/>
      <c r="KR663" s="131"/>
      <c r="KS663" s="131"/>
      <c r="KT663" s="131"/>
      <c r="KU663" s="131"/>
      <c r="KV663" s="78"/>
      <c r="KW663" s="78"/>
      <c r="KX663" s="78"/>
      <c r="KY663" s="78"/>
      <c r="KZ663" s="78"/>
      <c r="LA663" s="78"/>
      <c r="LB663" s="78"/>
      <c r="LC663" s="78"/>
      <c r="LD663" s="78"/>
      <c r="LE663" s="78"/>
      <c r="LF663" s="78"/>
      <c r="LG663" s="78"/>
      <c r="LH663" s="78"/>
      <c r="LI663" s="78"/>
      <c r="LJ663" s="78"/>
      <c r="LK663" s="78"/>
      <c r="LL663" s="78"/>
      <c r="LM663" s="78"/>
      <c r="LN663" s="78"/>
      <c r="LO663" s="78"/>
      <c r="LP663" s="78"/>
      <c r="LQ663" s="78"/>
      <c r="LR663" s="78"/>
      <c r="LS663" s="78"/>
      <c r="LT663" s="78"/>
      <c r="LU663" s="78"/>
      <c r="LV663" s="78"/>
      <c r="LW663" s="78"/>
      <c r="LX663" s="78"/>
      <c r="LY663" s="78"/>
      <c r="LZ663" s="78"/>
      <c r="MA663" s="78"/>
      <c r="MB663" s="78"/>
      <c r="MC663" s="78"/>
      <c r="MD663" s="78"/>
      <c r="ME663" s="78"/>
      <c r="MF663" s="78"/>
      <c r="MG663" s="78"/>
      <c r="MH663" s="78"/>
      <c r="MI663" s="78"/>
      <c r="MJ663" s="78"/>
      <c r="MK663" s="78"/>
      <c r="ML663" s="78"/>
      <c r="MM663" s="78"/>
      <c r="MN663" s="78"/>
      <c r="MO663" s="78"/>
      <c r="MP663" s="78"/>
      <c r="MQ663" s="78"/>
      <c r="MR663" s="78"/>
      <c r="MS663" s="78"/>
      <c r="MY663" s="78" t="s">
        <v>1329</v>
      </c>
      <c r="MZ663" s="78">
        <v>625</v>
      </c>
      <c r="NA663" s="78" t="s">
        <v>1330</v>
      </c>
      <c r="NB663" s="78" t="s">
        <v>1331</v>
      </c>
      <c r="NC663" s="78" t="s">
        <v>1332</v>
      </c>
      <c r="ND663" s="78" t="s">
        <v>1333</v>
      </c>
      <c r="NE663" s="78" t="s">
        <v>1334</v>
      </c>
      <c r="NF663" s="78" t="s">
        <v>1335</v>
      </c>
      <c r="NG663" s="78" t="s">
        <v>480</v>
      </c>
      <c r="NH663" s="78" t="s">
        <v>687</v>
      </c>
      <c r="NI663" s="78"/>
      <c r="NJ663" s="78" t="s">
        <v>1371</v>
      </c>
      <c r="NK663" s="78" t="s">
        <v>1372</v>
      </c>
      <c r="NL663" s="78" t="s">
        <v>1099</v>
      </c>
      <c r="NM663" t="s">
        <v>1373</v>
      </c>
      <c r="NN663" s="78"/>
      <c r="NO663" s="78"/>
      <c r="NP663" s="78"/>
      <c r="NQ663" s="78"/>
      <c r="NR663" s="78"/>
      <c r="NS663" s="78"/>
      <c r="NT663" s="78"/>
      <c r="NV663" s="78" t="s">
        <v>518</v>
      </c>
      <c r="NW663" s="78">
        <v>18.8</v>
      </c>
      <c r="NX663" s="78" t="s">
        <v>916</v>
      </c>
      <c r="NY663" s="78">
        <v>3.16</v>
      </c>
      <c r="NZ663" s="78"/>
      <c r="OA663" s="78"/>
      <c r="OB663" s="78">
        <v>31</v>
      </c>
      <c r="OC663" s="78"/>
      <c r="OD663" s="78"/>
      <c r="OE663" s="78"/>
      <c r="OF663" s="78"/>
      <c r="OG663" s="78"/>
      <c r="OH663" s="78"/>
      <c r="OI663" s="78"/>
      <c r="OJ663" s="78"/>
      <c r="OK663" s="78"/>
      <c r="OL663" s="78"/>
      <c r="OM663" s="78"/>
      <c r="ON663" s="78"/>
      <c r="OO663" s="78"/>
      <c r="OP663" s="78"/>
      <c r="OQ663" s="78"/>
      <c r="OR663" s="78"/>
      <c r="OS663" s="78"/>
      <c r="OT663" s="78"/>
      <c r="OU663" s="78" t="s">
        <v>1341</v>
      </c>
      <c r="OV663" s="78" t="s">
        <v>518</v>
      </c>
      <c r="OW663" s="78"/>
      <c r="OX663" s="78">
        <v>2009</v>
      </c>
      <c r="OY663" s="78">
        <v>2010</v>
      </c>
      <c r="OZ663" s="78"/>
      <c r="PA663" s="78"/>
      <c r="PB663" s="78" t="s">
        <v>1342</v>
      </c>
      <c r="PC663" s="126">
        <v>46133</v>
      </c>
      <c r="PD663" s="78"/>
      <c r="PE663" s="78" t="s">
        <v>522</v>
      </c>
      <c r="PF663" s="126">
        <v>46164</v>
      </c>
      <c r="PG663" s="78" t="s">
        <v>1343</v>
      </c>
      <c r="PH663" s="124" t="s">
        <v>1344</v>
      </c>
    </row>
    <row r="664" spans="1:424">
      <c r="A664" s="78" t="s">
        <v>665</v>
      </c>
      <c r="B664" s="78" t="s">
        <v>1318</v>
      </c>
      <c r="C664" s="78" t="s">
        <v>1319</v>
      </c>
      <c r="D664" s="78" t="s">
        <v>472</v>
      </c>
      <c r="E664" s="78" t="s">
        <v>1353</v>
      </c>
      <c r="F664" s="78" t="s">
        <v>1322</v>
      </c>
      <c r="G664" s="78" t="s">
        <v>475</v>
      </c>
      <c r="H664" s="78" t="s">
        <v>476</v>
      </c>
      <c r="I664" s="78">
        <v>-8.8170000000000002</v>
      </c>
      <c r="J664" s="78">
        <v>-75.2</v>
      </c>
      <c r="K664" s="78">
        <v>500</v>
      </c>
      <c r="L664" s="78" t="s">
        <v>1319</v>
      </c>
      <c r="M664" s="78" t="s">
        <v>472</v>
      </c>
      <c r="N664" s="78" t="s">
        <v>1321</v>
      </c>
      <c r="O664" s="78" t="s">
        <v>1322</v>
      </c>
      <c r="P664" s="78" t="s">
        <v>475</v>
      </c>
      <c r="Q664" s="78" t="s">
        <v>476</v>
      </c>
      <c r="R664" s="78">
        <v>-8.5169999999999995</v>
      </c>
      <c r="S664" s="78">
        <v>-74.766999999999996</v>
      </c>
      <c r="T664" s="78">
        <v>500</v>
      </c>
      <c r="U664" s="78"/>
      <c r="V664" s="78"/>
      <c r="W664" s="78"/>
      <c r="X664" s="78"/>
      <c r="Y664" s="78"/>
      <c r="Z664" s="78"/>
      <c r="AA664" s="78"/>
      <c r="AB664" s="78"/>
      <c r="AC664" s="78"/>
      <c r="AD664" s="78"/>
      <c r="AE664" s="78"/>
      <c r="AF664" s="78"/>
      <c r="AG664" s="78"/>
      <c r="AH664" s="78"/>
      <c r="AI664" s="78"/>
      <c r="AJ664" s="78"/>
      <c r="AK664" s="78"/>
      <c r="AL664" s="78"/>
      <c r="AM664" s="78"/>
      <c r="AN664" s="78"/>
      <c r="AO664" s="78"/>
      <c r="AP664" s="78"/>
      <c r="AQ664" s="78"/>
      <c r="AR664" s="78"/>
      <c r="AS664" s="78"/>
      <c r="AT664" s="78"/>
      <c r="AU664" s="78"/>
      <c r="AV664" s="78" t="s">
        <v>1323</v>
      </c>
      <c r="AW664" s="78">
        <v>625</v>
      </c>
      <c r="AX664" s="78" t="s">
        <v>480</v>
      </c>
      <c r="AY664" s="223">
        <v>2</v>
      </c>
      <c r="AZ664" s="78" t="s">
        <v>1324</v>
      </c>
      <c r="BA664" s="78">
        <v>2009</v>
      </c>
      <c r="BB664" s="78">
        <v>2010</v>
      </c>
      <c r="BC664" s="78" t="s">
        <v>1325</v>
      </c>
      <c r="BD664" s="78" t="s">
        <v>1354</v>
      </c>
      <c r="BE664" s="78" t="s">
        <v>566</v>
      </c>
      <c r="BF664" s="78" t="s">
        <v>484</v>
      </c>
      <c r="BG664" s="78" t="s">
        <v>1355</v>
      </c>
      <c r="BH664" s="78" t="s">
        <v>480</v>
      </c>
      <c r="BI664" s="78" t="s">
        <v>480</v>
      </c>
      <c r="BJ664" s="78" t="s">
        <v>480</v>
      </c>
      <c r="BK664" s="78" t="s">
        <v>537</v>
      </c>
      <c r="BL664" s="78"/>
      <c r="BM664" s="78"/>
      <c r="BN664" s="78"/>
      <c r="BO664" s="78"/>
      <c r="BP664" s="78"/>
      <c r="BQ664" s="78"/>
      <c r="BR664" s="78"/>
      <c r="BS664" s="78"/>
      <c r="BT664" s="78"/>
      <c r="BU664" s="78"/>
      <c r="BV664" s="78"/>
      <c r="BW664" s="78"/>
      <c r="BX664" s="78"/>
      <c r="BY664" s="78"/>
      <c r="BZ664" s="78"/>
      <c r="CA664" s="78"/>
      <c r="CB664" s="78"/>
      <c r="CC664" s="78"/>
      <c r="CD664" s="78"/>
      <c r="CE664" s="78"/>
      <c r="CF664" s="78"/>
      <c r="CG664" s="78"/>
      <c r="CH664" s="78"/>
      <c r="CI664" s="78"/>
      <c r="CJ664" s="78"/>
      <c r="CK664" s="78"/>
      <c r="CL664" s="78"/>
      <c r="CM664" s="78"/>
      <c r="CN664" s="78"/>
      <c r="CO664" s="78"/>
      <c r="CP664" s="78"/>
      <c r="CQ664" s="78"/>
      <c r="CR664" s="78"/>
      <c r="CS664" s="78"/>
      <c r="CT664" s="78"/>
      <c r="CU664" s="78"/>
      <c r="CV664" s="78"/>
      <c r="CW664" s="78"/>
      <c r="CX664" s="78"/>
      <c r="CY664" s="78"/>
      <c r="CZ664" s="78"/>
      <c r="DA664" s="78"/>
      <c r="DB664" s="78"/>
      <c r="DC664" s="78"/>
      <c r="DD664" s="78"/>
      <c r="DE664" s="78"/>
      <c r="DF664" s="78"/>
      <c r="DG664" s="78"/>
      <c r="DH664" s="78"/>
      <c r="DI664" s="78"/>
      <c r="DJ664" s="78"/>
      <c r="DK664" s="78"/>
      <c r="DL664" s="78"/>
      <c r="DM664" s="78"/>
      <c r="DN664" s="78"/>
      <c r="DO664" s="78"/>
      <c r="DP664" s="78"/>
      <c r="DQ664" s="78"/>
      <c r="DR664" s="78"/>
      <c r="DS664" s="78"/>
      <c r="DT664" s="78"/>
      <c r="DU664" s="78"/>
      <c r="DV664" s="78"/>
      <c r="DW664" s="78"/>
      <c r="DX664" s="78"/>
      <c r="DY664" s="78"/>
      <c r="DZ664" s="78"/>
      <c r="EA664" s="78"/>
      <c r="EB664" s="78"/>
      <c r="EC664" s="78"/>
      <c r="ED664" s="78" t="s">
        <v>1356</v>
      </c>
      <c r="EE664" s="125" t="s">
        <v>480</v>
      </c>
      <c r="EF664" s="125" t="s">
        <v>480</v>
      </c>
      <c r="EG664" s="125" t="s">
        <v>537</v>
      </c>
      <c r="EH664" s="125" t="s">
        <v>1357</v>
      </c>
      <c r="EI664" s="125" t="s">
        <v>480</v>
      </c>
      <c r="EJ664" s="125" t="s">
        <v>480</v>
      </c>
      <c r="EK664" s="125" t="s">
        <v>537</v>
      </c>
      <c r="EL664" s="125" t="s">
        <v>1358</v>
      </c>
      <c r="EM664" s="125" t="s">
        <v>480</v>
      </c>
      <c r="EN664" s="125" t="s">
        <v>480</v>
      </c>
      <c r="EO664" s="125" t="s">
        <v>537</v>
      </c>
      <c r="EP664" s="125" t="s">
        <v>1359</v>
      </c>
      <c r="EQ664" s="125" t="s">
        <v>480</v>
      </c>
      <c r="ER664" s="125" t="s">
        <v>480</v>
      </c>
      <c r="ES664" s="9"/>
      <c r="ET664" s="9"/>
      <c r="EU664" s="9"/>
      <c r="EV664" s="9"/>
      <c r="EW664" s="9"/>
      <c r="EX664" s="9"/>
      <c r="EY664" s="9"/>
      <c r="EZ664" s="9"/>
      <c r="FA664" s="9"/>
      <c r="FB664" s="9"/>
      <c r="FC664" s="9"/>
      <c r="FD664" s="9"/>
      <c r="FE664" s="9"/>
      <c r="FF664" s="9"/>
      <c r="FG664" s="9"/>
      <c r="FH664" s="9"/>
      <c r="FI664" s="9"/>
      <c r="FJ664" s="9"/>
      <c r="FK664" s="9"/>
      <c r="FL664" s="9"/>
      <c r="FM664" s="9"/>
      <c r="FN664" s="9"/>
      <c r="FO664" s="9"/>
      <c r="FP664" s="9"/>
      <c r="FQ664" s="9"/>
      <c r="FR664" s="9"/>
      <c r="FS664" s="9"/>
      <c r="FT664" s="9"/>
      <c r="FU664" s="9"/>
      <c r="FV664" s="9"/>
      <c r="FW664" s="9"/>
      <c r="FX664" s="9"/>
      <c r="FY664" s="9"/>
      <c r="FZ664" s="9"/>
      <c r="GA664" s="9"/>
      <c r="GB664" s="9"/>
      <c r="GC664" s="9"/>
      <c r="GD664" s="9"/>
      <c r="GE664" s="9"/>
      <c r="GF664" s="9"/>
      <c r="GG664" s="9"/>
      <c r="GH664" s="9"/>
      <c r="GI664" s="9"/>
      <c r="GJ664" s="9"/>
      <c r="GK664" s="9"/>
      <c r="GL664" s="9"/>
      <c r="GM664" s="9"/>
      <c r="GN664" s="9"/>
      <c r="GO664" s="9"/>
      <c r="GP664" s="9"/>
      <c r="GQ664" s="9"/>
      <c r="GR664" s="9"/>
      <c r="GS664" s="9"/>
      <c r="GT664" s="9"/>
      <c r="GU664" s="9"/>
      <c r="GV664" s="9"/>
      <c r="GW664" s="9"/>
      <c r="GX664" s="9"/>
      <c r="GY664" s="9"/>
      <c r="GZ664" s="9"/>
      <c r="HA664" s="9"/>
      <c r="HB664" s="9"/>
      <c r="HC664" s="9"/>
      <c r="HD664" s="9"/>
      <c r="HE664" s="9"/>
      <c r="HF664" s="9"/>
      <c r="HG664" s="9"/>
      <c r="HH664" s="9"/>
      <c r="HI664" s="9"/>
      <c r="HJ664" s="9"/>
      <c r="HK664" s="9" t="s">
        <v>1350</v>
      </c>
      <c r="HL664" s="9" t="s">
        <v>488</v>
      </c>
      <c r="HY664" s="50"/>
      <c r="IV664" s="78" t="s">
        <v>1360</v>
      </c>
      <c r="IW664" s="78" t="s">
        <v>1361</v>
      </c>
      <c r="IX664" s="2" t="s">
        <v>1362</v>
      </c>
      <c r="IY664" s="78"/>
      <c r="IZ664" s="78"/>
      <c r="JA664" s="78">
        <v>50</v>
      </c>
      <c r="JB664" t="s">
        <v>480</v>
      </c>
      <c r="JC664" t="s">
        <v>480</v>
      </c>
      <c r="JD664" s="78">
        <v>12</v>
      </c>
      <c r="JE664" t="s">
        <v>480</v>
      </c>
      <c r="JF664" t="s">
        <v>480</v>
      </c>
      <c r="JP664" s="9"/>
      <c r="JZ664" s="9"/>
      <c r="KR664" s="9"/>
      <c r="KS664" s="9"/>
      <c r="KT664" s="9"/>
      <c r="KU664" s="9"/>
      <c r="MT664" s="78"/>
      <c r="MU664" s="78"/>
      <c r="MV664" s="78"/>
      <c r="MW664" s="78"/>
      <c r="MX664" s="78"/>
      <c r="MY664" t="s">
        <v>1329</v>
      </c>
      <c r="MZ664">
        <v>625</v>
      </c>
      <c r="NA664" t="s">
        <v>1330</v>
      </c>
      <c r="NB664" t="s">
        <v>1331</v>
      </c>
      <c r="NC664" t="s">
        <v>1332</v>
      </c>
      <c r="ND664" t="s">
        <v>1333</v>
      </c>
      <c r="NE664" t="s">
        <v>1334</v>
      </c>
      <c r="NF664" t="s">
        <v>1335</v>
      </c>
      <c r="NG664" s="78" t="s">
        <v>480</v>
      </c>
      <c r="NH664" s="78" t="s">
        <v>687</v>
      </c>
      <c r="NJ664" t="s">
        <v>1371</v>
      </c>
      <c r="NK664" t="s">
        <v>1372</v>
      </c>
      <c r="NL664" t="s">
        <v>1099</v>
      </c>
      <c r="NM664" t="s">
        <v>1373</v>
      </c>
      <c r="NU664" s="78"/>
      <c r="NV664" t="s">
        <v>518</v>
      </c>
      <c r="NW664">
        <v>6.72</v>
      </c>
      <c r="NX664" t="s">
        <v>916</v>
      </c>
      <c r="NY664">
        <v>1.22</v>
      </c>
      <c r="OB664">
        <v>32</v>
      </c>
      <c r="OU664" t="s">
        <v>1341</v>
      </c>
      <c r="OV664" s="78" t="s">
        <v>518</v>
      </c>
      <c r="OX664">
        <v>2009</v>
      </c>
      <c r="OY664">
        <v>2010</v>
      </c>
      <c r="PB664" t="s">
        <v>1342</v>
      </c>
      <c r="PC664" s="50">
        <v>46133</v>
      </c>
      <c r="PE664" s="78" t="s">
        <v>522</v>
      </c>
      <c r="PF664" s="126">
        <v>46164</v>
      </c>
      <c r="PG664" s="78" t="s">
        <v>1343</v>
      </c>
      <c r="PH664" s="124" t="s">
        <v>1344</v>
      </c>
    </row>
    <row r="665" spans="1:424" ht="15.75" thickBot="1">
      <c r="A665" t="s">
        <v>665</v>
      </c>
      <c r="B665" t="s">
        <v>1318</v>
      </c>
      <c r="C665" t="s">
        <v>1319</v>
      </c>
      <c r="D665" t="s">
        <v>472</v>
      </c>
      <c r="E665" t="s">
        <v>1353</v>
      </c>
      <c r="F665" t="s">
        <v>1322</v>
      </c>
      <c r="G665" t="s">
        <v>475</v>
      </c>
      <c r="H665" t="s">
        <v>476</v>
      </c>
      <c r="I665">
        <v>-8.8170000000000002</v>
      </c>
      <c r="J665">
        <v>-75.2</v>
      </c>
      <c r="K665" s="78">
        <v>500</v>
      </c>
      <c r="L665" t="s">
        <v>1319</v>
      </c>
      <c r="M665" t="s">
        <v>472</v>
      </c>
      <c r="N665" t="s">
        <v>1321</v>
      </c>
      <c r="O665" t="s">
        <v>1322</v>
      </c>
      <c r="P665" t="s">
        <v>475</v>
      </c>
      <c r="Q665" t="s">
        <v>476</v>
      </c>
      <c r="R665">
        <v>-8.5169999999999995</v>
      </c>
      <c r="S665">
        <v>-74.766999999999996</v>
      </c>
      <c r="T665" s="78">
        <v>500</v>
      </c>
      <c r="U665" t="s">
        <v>1319</v>
      </c>
      <c r="V665" t="s">
        <v>472</v>
      </c>
      <c r="W665" t="s">
        <v>1345</v>
      </c>
      <c r="X665" t="s">
        <v>1322</v>
      </c>
      <c r="Y665" t="s">
        <v>475</v>
      </c>
      <c r="Z665" t="s">
        <v>476</v>
      </c>
      <c r="AA665">
        <v>-8.3670000000000009</v>
      </c>
      <c r="AB665">
        <v>-74.7</v>
      </c>
      <c r="AC665">
        <v>500</v>
      </c>
      <c r="AV665" t="s">
        <v>1323</v>
      </c>
      <c r="AW665">
        <v>625</v>
      </c>
      <c r="AX665" t="s">
        <v>480</v>
      </c>
      <c r="AY665" s="224">
        <v>2</v>
      </c>
      <c r="AZ665" t="s">
        <v>1324</v>
      </c>
      <c r="BA665">
        <v>2009</v>
      </c>
      <c r="BB665">
        <v>2010</v>
      </c>
      <c r="BC665" t="s">
        <v>1325</v>
      </c>
      <c r="BD665" t="s">
        <v>1363</v>
      </c>
      <c r="BE665" t="s">
        <v>483</v>
      </c>
      <c r="BF665" t="s">
        <v>484</v>
      </c>
      <c r="BG665" t="s">
        <v>1364</v>
      </c>
      <c r="BH665" t="s">
        <v>480</v>
      </c>
      <c r="BI665" t="s">
        <v>480</v>
      </c>
      <c r="BJ665" t="s">
        <v>480</v>
      </c>
      <c r="EI665" s="9"/>
      <c r="EJ665" s="9"/>
      <c r="EK665" s="9"/>
      <c r="EL665" s="9"/>
      <c r="EM665" s="9"/>
      <c r="EN665" s="9"/>
      <c r="EO665" s="9"/>
      <c r="EP665" s="9"/>
      <c r="EQ665" s="9"/>
      <c r="ER665" s="9"/>
      <c r="ES665" s="125"/>
      <c r="ET665" s="125"/>
      <c r="EU665" s="125"/>
      <c r="EV665" s="125"/>
      <c r="EW665" s="125"/>
      <c r="EX665" s="125"/>
      <c r="EY665" s="125"/>
      <c r="EZ665" s="125"/>
      <c r="FA665" s="125"/>
      <c r="FB665" s="125"/>
      <c r="FC665" s="125"/>
      <c r="FD665" s="125"/>
      <c r="FE665" s="125"/>
      <c r="FF665" s="125"/>
      <c r="FG665" s="125"/>
      <c r="FH665" s="125"/>
      <c r="FI665" s="125"/>
      <c r="FJ665" s="125"/>
      <c r="FK665" s="125"/>
      <c r="FL665" s="125"/>
      <c r="FM665" s="125"/>
      <c r="FN665" s="125"/>
      <c r="FO665" s="125"/>
      <c r="FP665" s="125"/>
      <c r="FQ665" s="125"/>
      <c r="FR665" s="125"/>
      <c r="FS665" s="125"/>
      <c r="FT665" s="125"/>
      <c r="FU665" s="125"/>
      <c r="FV665" s="125"/>
      <c r="FW665" s="125"/>
      <c r="FX665" s="125"/>
      <c r="FY665" s="125"/>
      <c r="FZ665" s="125"/>
      <c r="GA665" s="125"/>
      <c r="GB665" s="125"/>
      <c r="GC665" s="125"/>
      <c r="GD665" s="125"/>
      <c r="GE665" s="125"/>
      <c r="GF665" s="125"/>
      <c r="GG665" s="125"/>
      <c r="GH665" s="125"/>
      <c r="GI665" s="125"/>
      <c r="GJ665" s="125"/>
      <c r="GK665" s="125"/>
      <c r="GL665" s="125"/>
      <c r="GM665" s="125"/>
      <c r="GN665" s="125"/>
      <c r="GO665" s="125"/>
      <c r="GP665" s="125"/>
      <c r="GQ665" s="125"/>
      <c r="GR665" s="125"/>
      <c r="GS665" s="125"/>
      <c r="GT665" s="125"/>
      <c r="GU665" s="125"/>
      <c r="GV665" s="125"/>
      <c r="GW665" s="125"/>
      <c r="GX665" s="125"/>
      <c r="GY665" s="125"/>
      <c r="GZ665" s="125"/>
      <c r="HA665" s="125"/>
      <c r="HB665" s="125"/>
      <c r="HC665" s="125"/>
      <c r="HD665" s="125"/>
      <c r="HE665" s="125"/>
      <c r="HF665" s="125"/>
      <c r="HG665" s="125"/>
      <c r="HH665" s="125"/>
      <c r="HI665" s="125"/>
      <c r="HJ665" s="125"/>
      <c r="HK665" s="125" t="s">
        <v>1365</v>
      </c>
      <c r="HL665" s="125" t="s">
        <v>526</v>
      </c>
      <c r="HM665" s="78" t="s">
        <v>500</v>
      </c>
      <c r="HN665" s="78"/>
      <c r="HO665" s="78"/>
      <c r="HP665" s="78"/>
      <c r="HQ665" s="78"/>
      <c r="HR665" s="78"/>
      <c r="HS665" s="78"/>
      <c r="HT665" s="78"/>
      <c r="HU665" s="78"/>
      <c r="HV665" s="78"/>
      <c r="HW665" s="78"/>
      <c r="HX665" s="78"/>
      <c r="HY665" s="126"/>
      <c r="HZ665" s="78"/>
      <c r="IA665" s="78"/>
      <c r="IB665" s="78"/>
      <c r="IC665" s="78"/>
      <c r="ID665" s="78"/>
      <c r="IE665" s="78"/>
      <c r="IF665" s="78"/>
      <c r="IG665" s="78"/>
      <c r="IH665" s="78"/>
      <c r="II665" s="78"/>
      <c r="IJ665" s="78"/>
      <c r="IK665" s="78"/>
      <c r="IL665" s="78"/>
      <c r="IM665" s="78"/>
      <c r="IN665" s="78"/>
      <c r="IO665" s="78"/>
      <c r="IP665" s="78"/>
      <c r="IQ665" s="78"/>
      <c r="IR665" s="78"/>
      <c r="IS665" s="78"/>
      <c r="IT665" s="78"/>
      <c r="IU665" s="78"/>
      <c r="IV665" t="s">
        <v>1366</v>
      </c>
      <c r="IX665" t="s">
        <v>492</v>
      </c>
      <c r="JG665" s="78"/>
      <c r="JH665" s="78"/>
      <c r="JI665" s="78"/>
      <c r="JJ665" s="78"/>
      <c r="JK665" s="78"/>
      <c r="JL665" s="78"/>
      <c r="JM665" s="78"/>
      <c r="JN665" s="78"/>
      <c r="JO665" s="78"/>
      <c r="JP665" s="131"/>
      <c r="JQ665" s="78"/>
      <c r="JR665" s="78"/>
      <c r="JS665" s="78"/>
      <c r="JT665" s="78"/>
      <c r="JU665" s="78"/>
      <c r="JV665" s="78"/>
      <c r="JW665" s="78"/>
      <c r="JX665" s="78"/>
      <c r="JY665" s="78"/>
      <c r="JZ665" s="131"/>
      <c r="KA665" s="78"/>
      <c r="KB665" s="78"/>
      <c r="KC665" s="78"/>
      <c r="KD665" s="78"/>
      <c r="KE665" s="78"/>
      <c r="KF665" s="78"/>
      <c r="KG665" s="78"/>
      <c r="KH665" s="78"/>
      <c r="KI665" s="78"/>
      <c r="KJ665" s="78"/>
      <c r="KK665" s="78"/>
      <c r="KL665" s="78"/>
      <c r="KM665" s="78"/>
      <c r="KN665" s="78"/>
      <c r="KO665" s="78"/>
      <c r="KP665" s="78"/>
      <c r="KQ665" s="78"/>
      <c r="KR665" s="131"/>
      <c r="KS665" s="131"/>
      <c r="KT665" s="131"/>
      <c r="KU665" s="131"/>
      <c r="KV665" s="78"/>
      <c r="KW665" s="78"/>
      <c r="KX665" s="78"/>
      <c r="KY665" s="78"/>
      <c r="KZ665" s="78"/>
      <c r="LA665" s="78"/>
      <c r="LB665" s="78"/>
      <c r="LC665" s="78"/>
      <c r="LD665" s="78"/>
      <c r="LE665" s="78"/>
      <c r="LF665" s="78"/>
      <c r="LG665" s="78"/>
      <c r="LH665" s="78"/>
      <c r="LI665" s="78"/>
      <c r="LJ665" s="78"/>
      <c r="LK665" s="78"/>
      <c r="LL665" s="78"/>
      <c r="LM665" s="78"/>
      <c r="LN665" s="78"/>
      <c r="LO665" s="78"/>
      <c r="LP665" s="78"/>
      <c r="LQ665" s="78"/>
      <c r="LR665" s="78"/>
      <c r="LS665" s="78"/>
      <c r="LT665" s="78"/>
      <c r="LU665" s="78"/>
      <c r="LV665" s="78"/>
      <c r="LW665" s="78"/>
      <c r="LX665" s="78"/>
      <c r="LY665" s="78"/>
      <c r="LZ665" s="78"/>
      <c r="MA665" s="78"/>
      <c r="MB665" s="78"/>
      <c r="MC665" s="78"/>
      <c r="MD665" s="78"/>
      <c r="ME665" s="78"/>
      <c r="MF665" s="78"/>
      <c r="MG665" s="78"/>
      <c r="MH665" s="78"/>
      <c r="MI665" s="78"/>
      <c r="MJ665" s="78"/>
      <c r="MK665" s="78"/>
      <c r="ML665" s="78"/>
      <c r="MM665" s="78"/>
      <c r="MN665" s="78"/>
      <c r="MO665" s="78"/>
      <c r="MP665" s="78"/>
      <c r="MQ665" s="78"/>
      <c r="MR665" s="78"/>
      <c r="MS665" s="78"/>
      <c r="MY665" s="78" t="s">
        <v>1329</v>
      </c>
      <c r="MZ665" s="78">
        <v>625</v>
      </c>
      <c r="NA665" s="78" t="s">
        <v>1330</v>
      </c>
      <c r="NB665" s="78" t="s">
        <v>1331</v>
      </c>
      <c r="NC665" s="78" t="s">
        <v>1332</v>
      </c>
      <c r="ND665" s="78" t="s">
        <v>1333</v>
      </c>
      <c r="NE665" s="78" t="s">
        <v>1334</v>
      </c>
      <c r="NF665" s="78" t="s">
        <v>1335</v>
      </c>
      <c r="NG665" s="78" t="s">
        <v>480</v>
      </c>
      <c r="NH665" s="78" t="s">
        <v>687</v>
      </c>
      <c r="NI665" s="78"/>
      <c r="NJ665" s="78" t="s">
        <v>1371</v>
      </c>
      <c r="NK665" s="78" t="s">
        <v>1372</v>
      </c>
      <c r="NL665" s="78" t="s">
        <v>1099</v>
      </c>
      <c r="NM665" t="s">
        <v>1373</v>
      </c>
      <c r="NN665" s="78"/>
      <c r="NO665" s="78"/>
      <c r="NP665" s="78"/>
      <c r="NQ665" s="78"/>
      <c r="NR665" s="78"/>
      <c r="NS665" s="78"/>
      <c r="NT665" s="78"/>
      <c r="NU665" t="s">
        <v>657</v>
      </c>
      <c r="NV665" s="78" t="s">
        <v>518</v>
      </c>
      <c r="NW665" s="78">
        <v>4.13</v>
      </c>
      <c r="NX665" s="78" t="s">
        <v>916</v>
      </c>
      <c r="NY665" s="78">
        <v>0.71</v>
      </c>
      <c r="NZ665" s="78"/>
      <c r="OA665" s="78"/>
      <c r="OB665" s="78">
        <v>32</v>
      </c>
      <c r="OC665" s="78"/>
      <c r="OD665" s="78"/>
      <c r="OE665" s="78"/>
      <c r="OF665" s="78"/>
      <c r="OG665" s="78"/>
      <c r="OH665" s="78"/>
      <c r="OI665" s="78"/>
      <c r="OJ665" s="78"/>
      <c r="OK665" s="78"/>
      <c r="OL665" s="78"/>
      <c r="OM665" s="78"/>
      <c r="ON665" s="78"/>
      <c r="OO665" s="78"/>
      <c r="OP665" s="78"/>
      <c r="OQ665" s="78"/>
      <c r="OR665" s="78"/>
      <c r="OS665" s="78"/>
      <c r="OT665" s="78"/>
      <c r="OU665" s="78" t="s">
        <v>1341</v>
      </c>
      <c r="OV665" s="78" t="s">
        <v>518</v>
      </c>
      <c r="OW665" s="78"/>
      <c r="OX665" s="78">
        <v>2009</v>
      </c>
      <c r="OY665" s="78">
        <v>2010</v>
      </c>
      <c r="OZ665" s="78"/>
      <c r="PA665" s="78"/>
      <c r="PB665" s="78" t="s">
        <v>1342</v>
      </c>
      <c r="PC665" s="126">
        <v>46133</v>
      </c>
      <c r="PD665" s="78"/>
      <c r="PE665" s="78" t="s">
        <v>522</v>
      </c>
      <c r="PF665" s="126">
        <v>46164</v>
      </c>
      <c r="PG665" s="78" t="s">
        <v>1343</v>
      </c>
      <c r="PH665" s="124" t="s">
        <v>1344</v>
      </c>
    </row>
    <row r="666" spans="1:424" ht="15.75" thickBot="1">
      <c r="A666" s="78" t="s">
        <v>665</v>
      </c>
      <c r="B666" s="78" t="s">
        <v>1318</v>
      </c>
      <c r="C666" s="78" t="s">
        <v>1319</v>
      </c>
      <c r="D666" s="78" t="s">
        <v>472</v>
      </c>
      <c r="E666" s="78" t="s">
        <v>1353</v>
      </c>
      <c r="F666" s="78" t="s">
        <v>1322</v>
      </c>
      <c r="G666" s="78" t="s">
        <v>475</v>
      </c>
      <c r="H666" s="78" t="s">
        <v>476</v>
      </c>
      <c r="I666" s="78">
        <v>-8.8170000000000002</v>
      </c>
      <c r="J666" s="78">
        <v>-75.2</v>
      </c>
      <c r="K666" s="78">
        <v>500</v>
      </c>
      <c r="L666" s="78" t="s">
        <v>1319</v>
      </c>
      <c r="M666" s="78" t="s">
        <v>472</v>
      </c>
      <c r="N666" s="78" t="s">
        <v>1321</v>
      </c>
      <c r="O666" s="78" t="s">
        <v>1322</v>
      </c>
      <c r="P666" s="78" t="s">
        <v>475</v>
      </c>
      <c r="Q666" s="78" t="s">
        <v>476</v>
      </c>
      <c r="R666" s="78">
        <v>-8.5169999999999995</v>
      </c>
      <c r="S666" s="78">
        <v>-74.766999999999996</v>
      </c>
      <c r="T666" s="78">
        <v>500</v>
      </c>
      <c r="U666" s="78" t="s">
        <v>1319</v>
      </c>
      <c r="V666" s="78" t="s">
        <v>472</v>
      </c>
      <c r="W666" s="78" t="s">
        <v>1345</v>
      </c>
      <c r="X666" s="78" t="s">
        <v>1322</v>
      </c>
      <c r="Y666" s="78" t="s">
        <v>475</v>
      </c>
      <c r="Z666" s="78" t="s">
        <v>476</v>
      </c>
      <c r="AA666" s="78">
        <v>-8.3670000000000009</v>
      </c>
      <c r="AB666" s="78">
        <v>-74.7</v>
      </c>
      <c r="AC666">
        <v>500</v>
      </c>
      <c r="AD666" s="78"/>
      <c r="AE666" s="78"/>
      <c r="AF666" s="78"/>
      <c r="AG666" s="78"/>
      <c r="AH666" s="78"/>
      <c r="AI666" s="78"/>
      <c r="AJ666" s="78"/>
      <c r="AK666" s="78"/>
      <c r="AL666" s="78"/>
      <c r="AM666" s="78"/>
      <c r="AN666" s="78"/>
      <c r="AO666" s="78"/>
      <c r="AP666" s="78"/>
      <c r="AQ666" s="78"/>
      <c r="AR666" s="78"/>
      <c r="AS666" s="78"/>
      <c r="AT666" s="78"/>
      <c r="AU666" s="78"/>
      <c r="AV666" s="78" t="s">
        <v>1323</v>
      </c>
      <c r="AW666" s="78">
        <v>625</v>
      </c>
      <c r="AX666" s="78" t="s">
        <v>480</v>
      </c>
      <c r="AY666" s="223">
        <v>2</v>
      </c>
      <c r="AZ666" s="78" t="s">
        <v>1324</v>
      </c>
      <c r="BA666" s="78">
        <v>2009</v>
      </c>
      <c r="BB666" s="78">
        <v>2010</v>
      </c>
      <c r="BC666" s="78" t="s">
        <v>1325</v>
      </c>
      <c r="BD666" s="78" t="s">
        <v>1367</v>
      </c>
      <c r="BE666" s="78" t="s">
        <v>593</v>
      </c>
      <c r="BF666" s="78" t="s">
        <v>1102</v>
      </c>
      <c r="BG666" s="78" t="s">
        <v>1368</v>
      </c>
      <c r="BH666" s="78" t="s">
        <v>480</v>
      </c>
      <c r="BI666" s="78" t="s">
        <v>480</v>
      </c>
      <c r="BJ666" s="78" t="s">
        <v>480</v>
      </c>
      <c r="BK666" s="78"/>
      <c r="BL666" s="78"/>
      <c r="BM666" s="78"/>
      <c r="BN666" s="78"/>
      <c r="BO666" s="78"/>
      <c r="BP666" s="78"/>
      <c r="BQ666" s="78"/>
      <c r="BR666" s="78"/>
      <c r="BS666" s="78"/>
      <c r="BT666" s="78"/>
      <c r="BU666" s="78"/>
      <c r="BV666" s="78"/>
      <c r="BW666" s="78"/>
      <c r="BX666" s="78"/>
      <c r="BY666" s="78"/>
      <c r="BZ666" s="78"/>
      <c r="CA666" s="78"/>
      <c r="CB666" s="78"/>
      <c r="CC666" s="78"/>
      <c r="CD666" s="78"/>
      <c r="CE666" s="78"/>
      <c r="CF666" s="78"/>
      <c r="CG666" s="78"/>
      <c r="CH666" s="78"/>
      <c r="CI666" s="78"/>
      <c r="CJ666" s="78"/>
      <c r="CK666" s="78"/>
      <c r="CL666" s="78"/>
      <c r="CM666" s="78"/>
      <c r="CN666" s="78"/>
      <c r="CO666" s="78"/>
      <c r="CP666" s="78"/>
      <c r="CQ666" s="78"/>
      <c r="CR666" s="78"/>
      <c r="CS666" s="78"/>
      <c r="CT666" s="78"/>
      <c r="CU666" s="78"/>
      <c r="CV666" s="78"/>
      <c r="CW666" s="78"/>
      <c r="CX666" s="78"/>
      <c r="CY666" s="78"/>
      <c r="CZ666" s="78"/>
      <c r="DA666" s="78"/>
      <c r="DB666" s="78"/>
      <c r="DC666" s="78"/>
      <c r="DD666" s="78"/>
      <c r="DE666" s="78"/>
      <c r="DF666" s="78"/>
      <c r="DG666" s="78"/>
      <c r="DH666" s="78"/>
      <c r="DI666" s="78"/>
      <c r="DJ666" s="78"/>
      <c r="DK666" s="78"/>
      <c r="DL666" s="78"/>
      <c r="DM666" s="78"/>
      <c r="DN666" s="78"/>
      <c r="DO666" s="78"/>
      <c r="DP666" s="78"/>
      <c r="DQ666" s="78"/>
      <c r="DR666" s="78"/>
      <c r="DS666" s="78"/>
      <c r="DT666" s="78"/>
      <c r="DU666" s="78"/>
      <c r="DV666" s="78"/>
      <c r="DW666" s="78"/>
      <c r="DX666" s="78"/>
      <c r="DY666" s="78"/>
      <c r="DZ666" s="78"/>
      <c r="EA666" s="78"/>
      <c r="EB666" s="78"/>
      <c r="EC666" s="78"/>
      <c r="ED666" s="78"/>
      <c r="EE666" s="78"/>
      <c r="EF666" s="78"/>
      <c r="EG666" s="78"/>
      <c r="EH666" s="78"/>
      <c r="EI666" s="125"/>
      <c r="EJ666" s="125"/>
      <c r="EK666" s="125"/>
      <c r="EL666" s="125"/>
      <c r="EM666" s="125"/>
      <c r="EN666" s="125"/>
      <c r="EO666" s="125"/>
      <c r="EP666" s="125"/>
      <c r="EQ666" s="125"/>
      <c r="ER666" s="125"/>
      <c r="ES666" s="9"/>
      <c r="ET666" s="9"/>
      <c r="EU666" s="9"/>
      <c r="EV666" s="9"/>
      <c r="EW666" s="9"/>
      <c r="EX666" s="9"/>
      <c r="EY666" s="9"/>
      <c r="EZ666" s="9"/>
      <c r="FA666" s="9"/>
      <c r="FB666" s="9"/>
      <c r="FC666" s="9"/>
      <c r="FD666" s="9"/>
      <c r="FE666" s="9"/>
      <c r="FF666" s="9"/>
      <c r="FG666" s="9"/>
      <c r="FH666" s="9"/>
      <c r="FI666" s="9"/>
      <c r="FJ666" s="9"/>
      <c r="FK666" s="9"/>
      <c r="FL666" s="9"/>
      <c r="FM666" s="9"/>
      <c r="FN666" s="9"/>
      <c r="FO666" s="9"/>
      <c r="FP666" s="9"/>
      <c r="FQ666" s="9"/>
      <c r="FR666" s="9"/>
      <c r="FS666" s="9"/>
      <c r="FT666" s="9"/>
      <c r="FU666" s="9"/>
      <c r="FV666" s="9"/>
      <c r="FW666" s="9"/>
      <c r="FX666" s="9"/>
      <c r="FY666" s="9"/>
      <c r="FZ666" s="9"/>
      <c r="GA666" s="9"/>
      <c r="GB666" s="9"/>
      <c r="GC666" s="9"/>
      <c r="GD666" s="9"/>
      <c r="GE666" s="9"/>
      <c r="GF666" s="9"/>
      <c r="GG666" s="9"/>
      <c r="GH666" s="9"/>
      <c r="GI666" s="9"/>
      <c r="GJ666" s="9"/>
      <c r="GK666" s="9"/>
      <c r="GL666" s="9"/>
      <c r="GM666" s="9"/>
      <c r="GN666" s="9"/>
      <c r="GO666" s="9"/>
      <c r="GP666" s="9"/>
      <c r="GQ666" s="9"/>
      <c r="GR666" s="9"/>
      <c r="GS666" s="9"/>
      <c r="GT666" s="9"/>
      <c r="GU666" s="9"/>
      <c r="GV666" s="9"/>
      <c r="GW666" s="9"/>
      <c r="GX666" s="9"/>
      <c r="GY666" s="9"/>
      <c r="GZ666" s="9"/>
      <c r="HA666" s="9"/>
      <c r="HB666" s="9"/>
      <c r="HC666" s="9"/>
      <c r="HD666" s="9"/>
      <c r="HE666" s="9"/>
      <c r="HF666" s="9"/>
      <c r="HG666" s="9"/>
      <c r="HH666" s="9"/>
      <c r="HI666" s="9"/>
      <c r="HJ666" s="9"/>
      <c r="HK666" s="9" t="s">
        <v>1369</v>
      </c>
      <c r="HL666" s="9" t="s">
        <v>488</v>
      </c>
      <c r="HY666" s="50"/>
      <c r="IV666" s="78" t="s">
        <v>1367</v>
      </c>
      <c r="IW666" s="78"/>
      <c r="IX666" s="221" t="s">
        <v>1370</v>
      </c>
      <c r="IY666" s="78"/>
      <c r="IZ666" s="78"/>
      <c r="JA666" s="78"/>
      <c r="JB666" s="78"/>
      <c r="JC666" s="78"/>
      <c r="JD666" s="78"/>
      <c r="JE666" s="78"/>
      <c r="JF666" s="78"/>
      <c r="JP666" s="9"/>
      <c r="JZ666" s="9"/>
      <c r="KR666" s="9"/>
      <c r="KS666" s="9"/>
      <c r="KT666" s="9"/>
      <c r="KU666" s="9"/>
      <c r="MT666" s="78" t="s">
        <v>1367</v>
      </c>
      <c r="MU666" s="185" t="s">
        <v>1370</v>
      </c>
      <c r="MV666" s="78" t="s">
        <v>480</v>
      </c>
      <c r="MW666" s="78" t="s">
        <v>480</v>
      </c>
      <c r="MX666" s="185" t="s">
        <v>1094</v>
      </c>
      <c r="MY666" t="s">
        <v>1329</v>
      </c>
      <c r="MZ666">
        <v>625</v>
      </c>
      <c r="NA666" t="s">
        <v>1330</v>
      </c>
      <c r="NB666" t="s">
        <v>1331</v>
      </c>
      <c r="NC666" t="s">
        <v>1332</v>
      </c>
      <c r="ND666" t="s">
        <v>1333</v>
      </c>
      <c r="NE666" t="s">
        <v>1334</v>
      </c>
      <c r="NF666" t="s">
        <v>1335</v>
      </c>
      <c r="NG666" s="78" t="s">
        <v>480</v>
      </c>
      <c r="NH666" s="78" t="s">
        <v>687</v>
      </c>
      <c r="NJ666" t="s">
        <v>1371</v>
      </c>
      <c r="NK666" t="s">
        <v>1372</v>
      </c>
      <c r="NL666" t="s">
        <v>1099</v>
      </c>
      <c r="NM666" t="s">
        <v>1373</v>
      </c>
      <c r="NU666" s="78" t="s">
        <v>1339</v>
      </c>
      <c r="NV666" t="s">
        <v>518</v>
      </c>
      <c r="NW666">
        <v>3.06</v>
      </c>
      <c r="NX666" t="s">
        <v>916</v>
      </c>
      <c r="NY666">
        <v>0.76</v>
      </c>
      <c r="OB666">
        <v>32</v>
      </c>
      <c r="OU666" t="s">
        <v>1341</v>
      </c>
      <c r="OV666" s="78" t="s">
        <v>518</v>
      </c>
      <c r="OX666">
        <v>2009</v>
      </c>
      <c r="OY666">
        <v>2010</v>
      </c>
      <c r="PB666" t="s">
        <v>1342</v>
      </c>
      <c r="PC666" s="50">
        <v>46133</v>
      </c>
      <c r="PE666" s="78" t="s">
        <v>522</v>
      </c>
      <c r="PF666" s="126">
        <v>46164</v>
      </c>
      <c r="PG666" s="78" t="s">
        <v>1343</v>
      </c>
      <c r="PH666" s="124" t="s">
        <v>1344</v>
      </c>
    </row>
    <row r="667" spans="1:424">
      <c r="A667" s="78" t="s">
        <v>665</v>
      </c>
      <c r="B667" s="78" t="s">
        <v>1318</v>
      </c>
      <c r="C667" s="78" t="s">
        <v>1319</v>
      </c>
      <c r="D667" s="78" t="s">
        <v>950</v>
      </c>
      <c r="E667" s="78" t="s">
        <v>1320</v>
      </c>
      <c r="F667" s="78" t="s">
        <v>952</v>
      </c>
      <c r="G667" s="78" t="s">
        <v>475</v>
      </c>
      <c r="H667" s="78" t="s">
        <v>476</v>
      </c>
      <c r="I667" s="78">
        <v>-8.9</v>
      </c>
      <c r="J667" s="78">
        <v>-74.983000000000004</v>
      </c>
      <c r="K667" s="78">
        <v>500</v>
      </c>
      <c r="L667" s="78" t="s">
        <v>1319</v>
      </c>
      <c r="M667" s="78" t="s">
        <v>472</v>
      </c>
      <c r="N667" s="78" t="s">
        <v>1321</v>
      </c>
      <c r="O667" s="78" t="s">
        <v>1322</v>
      </c>
      <c r="P667" s="78" t="s">
        <v>475</v>
      </c>
      <c r="Q667" s="78" t="s">
        <v>476</v>
      </c>
      <c r="R667" s="78">
        <v>-8.5169999999999995</v>
      </c>
      <c r="S667" s="78">
        <v>-74.766999999999996</v>
      </c>
      <c r="T667" s="78">
        <v>500</v>
      </c>
      <c r="U667" s="78"/>
      <c r="V667" s="78"/>
      <c r="W667" s="78"/>
      <c r="X667" s="78"/>
      <c r="Y667" s="78"/>
      <c r="Z667" s="78"/>
      <c r="AA667" s="78"/>
      <c r="AB667" s="78"/>
      <c r="AC667" s="78"/>
      <c r="AD667" s="78"/>
      <c r="AE667" s="78"/>
      <c r="AF667" s="78"/>
      <c r="AG667" s="78"/>
      <c r="AH667" s="78"/>
      <c r="AI667" s="78"/>
      <c r="AJ667" s="78"/>
      <c r="AK667" s="78"/>
      <c r="AL667" s="78"/>
      <c r="AM667" s="78"/>
      <c r="AN667" s="78"/>
      <c r="AO667" s="78"/>
      <c r="AP667" s="78"/>
      <c r="AQ667" s="78"/>
      <c r="AR667" s="78"/>
      <c r="AS667" s="78"/>
      <c r="AT667" s="78"/>
      <c r="AU667" s="78"/>
      <c r="AV667" s="78" t="s">
        <v>1323</v>
      </c>
      <c r="AW667" s="78">
        <v>625</v>
      </c>
      <c r="AX667" s="78" t="s">
        <v>480</v>
      </c>
      <c r="AY667" s="223">
        <v>2</v>
      </c>
      <c r="AZ667" s="78" t="s">
        <v>1324</v>
      </c>
      <c r="BA667" s="78">
        <v>2009</v>
      </c>
      <c r="BB667" s="78">
        <v>2010</v>
      </c>
      <c r="BC667" s="78" t="s">
        <v>1325</v>
      </c>
      <c r="BD667" s="78" t="s">
        <v>1326</v>
      </c>
      <c r="BE667" s="78" t="s">
        <v>524</v>
      </c>
      <c r="BF667" s="78" t="s">
        <v>1084</v>
      </c>
      <c r="BG667" s="78"/>
      <c r="BH667" s="78"/>
      <c r="BI667" s="78"/>
      <c r="BJ667" s="78"/>
      <c r="BK667" s="78"/>
      <c r="BL667" s="78"/>
      <c r="BM667" s="78"/>
      <c r="BN667" s="78"/>
      <c r="BO667" s="78"/>
      <c r="BP667" s="78"/>
      <c r="BQ667" s="78"/>
      <c r="BR667" s="78"/>
      <c r="BS667" s="78"/>
      <c r="BT667" s="78"/>
      <c r="BU667" s="78"/>
      <c r="BV667" s="78"/>
      <c r="BW667" s="78"/>
      <c r="BX667" s="78"/>
      <c r="BY667" s="78"/>
      <c r="BZ667" s="78"/>
      <c r="CA667" s="78"/>
      <c r="CB667" s="78"/>
      <c r="CC667" s="78"/>
      <c r="CD667" s="78"/>
      <c r="CE667" s="78"/>
      <c r="CF667" s="78"/>
      <c r="CG667" s="78"/>
      <c r="CH667" s="78"/>
      <c r="CI667" s="78"/>
      <c r="CJ667" s="78"/>
      <c r="CK667" s="78"/>
      <c r="CL667" s="78"/>
      <c r="CM667" s="78"/>
      <c r="CN667" s="78"/>
      <c r="CO667" s="78"/>
      <c r="CP667" s="78"/>
      <c r="CQ667" s="78"/>
      <c r="CR667" s="78"/>
      <c r="CS667" s="78"/>
      <c r="CT667" s="78"/>
      <c r="CU667" s="78"/>
      <c r="CV667" s="78"/>
      <c r="CW667" s="78"/>
      <c r="CX667" s="78"/>
      <c r="CY667" s="78"/>
      <c r="CZ667" s="78"/>
      <c r="DA667" s="78"/>
      <c r="DB667" s="78"/>
      <c r="DC667" s="78"/>
      <c r="DD667" s="78"/>
      <c r="DE667" s="78"/>
      <c r="DF667" s="78"/>
      <c r="DG667" s="78"/>
      <c r="DH667" s="78"/>
      <c r="DI667" s="78"/>
      <c r="DJ667" s="78"/>
      <c r="DK667" s="78"/>
      <c r="DL667" s="78"/>
      <c r="DM667" s="78"/>
      <c r="DN667" s="78"/>
      <c r="DO667" s="78"/>
      <c r="DP667" s="78"/>
      <c r="DQ667" s="78"/>
      <c r="DR667" s="78"/>
      <c r="DS667" s="78"/>
      <c r="DT667" s="78"/>
      <c r="DU667" s="78"/>
      <c r="DV667" s="78"/>
      <c r="DW667" s="78"/>
      <c r="DX667" s="78"/>
      <c r="DY667" s="78"/>
      <c r="DZ667" s="78"/>
      <c r="EA667" s="78"/>
      <c r="EB667" s="78"/>
      <c r="EC667" s="78"/>
      <c r="ED667" s="78"/>
      <c r="EE667" s="78"/>
      <c r="EF667" s="78"/>
      <c r="EG667" s="78"/>
      <c r="EH667" s="78"/>
      <c r="EI667" s="125"/>
      <c r="EJ667" s="125"/>
      <c r="EK667" s="125"/>
      <c r="EL667" s="125"/>
      <c r="EM667" s="125"/>
      <c r="EN667" s="125"/>
      <c r="EO667" s="125"/>
      <c r="EP667" s="125"/>
      <c r="EQ667" s="125"/>
      <c r="ER667" s="125"/>
      <c r="ES667" s="125"/>
      <c r="ET667" s="125"/>
      <c r="EU667" s="125"/>
      <c r="EV667" s="125"/>
      <c r="EW667" s="125"/>
      <c r="EX667" s="125"/>
      <c r="EY667" s="125"/>
      <c r="EZ667" s="125"/>
      <c r="FA667" s="125"/>
      <c r="FB667" s="125"/>
      <c r="FC667" s="125"/>
      <c r="FD667" s="125"/>
      <c r="FE667" s="125"/>
      <c r="FF667" s="125"/>
      <c r="FG667" s="125"/>
      <c r="FH667" s="125"/>
      <c r="FI667" s="125"/>
      <c r="FJ667" s="125"/>
      <c r="FK667" s="125"/>
      <c r="FL667" s="125"/>
      <c r="FM667" s="125"/>
      <c r="FN667" s="125"/>
      <c r="FO667" s="125"/>
      <c r="FP667" s="125"/>
      <c r="FQ667" s="125"/>
      <c r="FR667" s="125"/>
      <c r="FS667" s="125"/>
      <c r="FT667" s="125"/>
      <c r="FU667" s="125"/>
      <c r="FV667" s="125"/>
      <c r="FW667" s="125"/>
      <c r="FX667" s="125"/>
      <c r="FY667" s="125"/>
      <c r="FZ667" s="125"/>
      <c r="GA667" s="125"/>
      <c r="GB667" s="125"/>
      <c r="GC667" s="125"/>
      <c r="GD667" s="125"/>
      <c r="GE667" s="125"/>
      <c r="GF667" s="125"/>
      <c r="GG667" s="125"/>
      <c r="GH667" s="125"/>
      <c r="GI667" s="125"/>
      <c r="GJ667" s="125"/>
      <c r="GK667" s="125"/>
      <c r="GL667" s="125"/>
      <c r="GM667" s="125"/>
      <c r="GN667" s="125"/>
      <c r="GO667" s="125"/>
      <c r="GP667" s="125"/>
      <c r="GQ667" s="125"/>
      <c r="GR667" s="125"/>
      <c r="GS667" s="125"/>
      <c r="GT667" s="125"/>
      <c r="GU667" s="125"/>
      <c r="GV667" s="125"/>
      <c r="GW667" s="125"/>
      <c r="GX667" s="125"/>
      <c r="GY667" s="125"/>
      <c r="GZ667" s="125"/>
      <c r="HA667" s="125"/>
      <c r="HB667" s="125"/>
      <c r="HC667" s="125"/>
      <c r="HD667" s="125"/>
      <c r="HE667" s="125"/>
      <c r="HF667" s="125"/>
      <c r="HG667" s="125"/>
      <c r="HH667" s="125"/>
      <c r="HI667" s="125"/>
      <c r="HJ667" s="125"/>
      <c r="HK667" s="125" t="s">
        <v>1327</v>
      </c>
      <c r="HL667" s="125" t="s">
        <v>488</v>
      </c>
      <c r="HM667" s="78"/>
      <c r="HN667" s="78"/>
      <c r="HO667" s="78"/>
      <c r="HP667" s="78"/>
      <c r="HQ667" s="78"/>
      <c r="HR667" s="78"/>
      <c r="HS667" s="78"/>
      <c r="HT667" s="78"/>
      <c r="HU667" s="78"/>
      <c r="HV667" s="78"/>
      <c r="HW667" s="78"/>
      <c r="HX667" s="78"/>
      <c r="HY667" s="126"/>
      <c r="HZ667" s="78"/>
      <c r="IA667" s="78"/>
      <c r="IB667" s="78"/>
      <c r="IC667" s="78"/>
      <c r="ID667" s="78"/>
      <c r="IE667" s="78"/>
      <c r="IF667" s="78"/>
      <c r="IG667" s="78"/>
      <c r="IH667" s="78"/>
      <c r="II667" s="78"/>
      <c r="IJ667" s="78"/>
      <c r="IK667" s="78"/>
      <c r="IL667" s="78"/>
      <c r="IM667" s="78"/>
      <c r="IN667" s="78"/>
      <c r="IO667" s="78"/>
      <c r="IP667" s="78"/>
      <c r="IQ667" s="78"/>
      <c r="IR667" s="78"/>
      <c r="IS667" s="78"/>
      <c r="IT667" s="78"/>
      <c r="IU667" s="78"/>
      <c r="IV667" s="78" t="s">
        <v>1328</v>
      </c>
      <c r="IX667" s="185" t="s">
        <v>1092</v>
      </c>
      <c r="IY667" s="78"/>
      <c r="IZ667" s="78">
        <v>20</v>
      </c>
      <c r="JA667" s="78">
        <v>95</v>
      </c>
      <c r="JB667" t="s">
        <v>480</v>
      </c>
      <c r="JC667" t="s">
        <v>480</v>
      </c>
      <c r="JD667" s="78"/>
      <c r="JE667" s="78"/>
      <c r="JF667" s="78"/>
      <c r="JG667" s="78"/>
      <c r="JH667" s="78"/>
      <c r="JI667" s="78"/>
      <c r="JJ667" s="78"/>
      <c r="JK667" s="78"/>
      <c r="JL667" s="78"/>
      <c r="JM667" s="78"/>
      <c r="JN667" s="78"/>
      <c r="JO667" s="78"/>
      <c r="JP667" s="131"/>
      <c r="JQ667" s="78"/>
      <c r="JR667" s="78"/>
      <c r="JS667" s="78"/>
      <c r="JT667" s="78"/>
      <c r="JU667" s="78"/>
      <c r="JV667" s="78"/>
      <c r="JW667" s="78"/>
      <c r="JX667" s="78"/>
      <c r="JY667" s="78"/>
      <c r="JZ667" s="131"/>
      <c r="KA667" s="78"/>
      <c r="KB667" s="78"/>
      <c r="KC667" s="78"/>
      <c r="KD667" s="78"/>
      <c r="KE667" s="78"/>
      <c r="KF667" s="78"/>
      <c r="KG667" s="78"/>
      <c r="KH667" s="78"/>
      <c r="KI667" s="78"/>
      <c r="KJ667" s="78"/>
      <c r="KK667" s="78"/>
      <c r="KL667" s="78"/>
      <c r="KM667" s="78"/>
      <c r="KN667" s="78"/>
      <c r="KO667" s="78"/>
      <c r="KP667" s="78"/>
      <c r="KQ667" s="78"/>
      <c r="KR667" s="131"/>
      <c r="KS667" s="131"/>
      <c r="KT667" s="131"/>
      <c r="KU667" s="131"/>
      <c r="KV667" s="78"/>
      <c r="KW667" s="78"/>
      <c r="KX667" s="78"/>
      <c r="KY667" s="78"/>
      <c r="KZ667" s="78"/>
      <c r="LA667" s="78"/>
      <c r="LB667" s="78"/>
      <c r="LC667" s="78"/>
      <c r="LD667" s="78"/>
      <c r="LE667" s="78"/>
      <c r="LF667" s="78"/>
      <c r="LG667" s="78"/>
      <c r="LH667" s="78"/>
      <c r="LI667" s="78"/>
      <c r="LJ667" s="78"/>
      <c r="LK667" s="78"/>
      <c r="LL667" s="78"/>
      <c r="LM667" s="78"/>
      <c r="LN667" s="78"/>
      <c r="LO667" s="78"/>
      <c r="LP667" s="78"/>
      <c r="LQ667" s="78"/>
      <c r="LR667" s="78"/>
      <c r="LS667" s="78"/>
      <c r="LT667" s="78"/>
      <c r="LU667" s="78"/>
      <c r="LV667" s="78"/>
      <c r="LW667" s="78"/>
      <c r="LX667" s="78"/>
      <c r="LY667" s="78"/>
      <c r="LZ667" s="78"/>
      <c r="MA667" s="78"/>
      <c r="MB667" s="78"/>
      <c r="MC667" s="78"/>
      <c r="MD667" s="78"/>
      <c r="ME667" s="78"/>
      <c r="MF667" s="78"/>
      <c r="MG667" s="78"/>
      <c r="MH667" s="78"/>
      <c r="MI667" s="78"/>
      <c r="MJ667" s="78"/>
      <c r="MK667" s="78"/>
      <c r="ML667" s="78"/>
      <c r="MM667" s="78"/>
      <c r="MN667" s="78"/>
      <c r="MO667" s="78"/>
      <c r="MP667" s="78"/>
      <c r="MQ667" s="78"/>
      <c r="MR667" s="78"/>
      <c r="MS667" s="78"/>
      <c r="MT667" s="78" t="s">
        <v>1328</v>
      </c>
      <c r="MU667" s="185" t="s">
        <v>1092</v>
      </c>
      <c r="MV667" s="78" t="s">
        <v>480</v>
      </c>
      <c r="MW667" s="185" t="s">
        <v>1093</v>
      </c>
      <c r="MX667" s="185" t="s">
        <v>1094</v>
      </c>
      <c r="MY667" s="78" t="s">
        <v>1329</v>
      </c>
      <c r="MZ667" s="78">
        <v>625</v>
      </c>
      <c r="NA667" s="78" t="s">
        <v>1330</v>
      </c>
      <c r="NB667" s="78" t="s">
        <v>1331</v>
      </c>
      <c r="NC667" s="78" t="s">
        <v>1332</v>
      </c>
      <c r="ND667" s="78" t="s">
        <v>1333</v>
      </c>
      <c r="NE667" s="78" t="s">
        <v>1334</v>
      </c>
      <c r="NF667" s="78" t="s">
        <v>1335</v>
      </c>
      <c r="NG667" s="78" t="s">
        <v>480</v>
      </c>
      <c r="NH667" s="78" t="s">
        <v>687</v>
      </c>
      <c r="NI667" s="78"/>
      <c r="NJ667" s="78" t="s">
        <v>1374</v>
      </c>
      <c r="NK667" s="78" t="s">
        <v>1375</v>
      </c>
      <c r="NL667" s="78" t="s">
        <v>1376</v>
      </c>
      <c r="NM667" t="s">
        <v>1377</v>
      </c>
      <c r="NN667" s="78"/>
      <c r="NO667" s="78"/>
      <c r="NP667" s="78"/>
      <c r="NQ667" s="78"/>
      <c r="NR667" s="78"/>
      <c r="NS667" s="78"/>
      <c r="NT667" s="78"/>
      <c r="NU667" s="78" t="s">
        <v>1339</v>
      </c>
      <c r="NV667" s="78" t="s">
        <v>518</v>
      </c>
      <c r="NW667" s="78">
        <v>148</v>
      </c>
      <c r="NX667" s="78" t="s">
        <v>916</v>
      </c>
      <c r="NY667" s="78">
        <v>28.4</v>
      </c>
      <c r="NZ667" s="78"/>
      <c r="OA667" s="78"/>
      <c r="OB667" s="78">
        <v>8</v>
      </c>
      <c r="OC667" s="78"/>
      <c r="OD667" s="78"/>
      <c r="OE667" s="78"/>
      <c r="OF667" s="78"/>
      <c r="OG667" s="78"/>
      <c r="OH667" s="78"/>
      <c r="OI667" s="78"/>
      <c r="OJ667" s="78"/>
      <c r="OK667" s="78"/>
      <c r="OL667" s="78"/>
      <c r="OM667" s="78"/>
      <c r="ON667" s="78"/>
      <c r="OO667" s="78"/>
      <c r="OP667" s="78"/>
      <c r="OQ667" s="78"/>
      <c r="OR667" s="78"/>
      <c r="OS667" s="78"/>
      <c r="OT667" s="78"/>
      <c r="OU667" s="78" t="s">
        <v>1341</v>
      </c>
      <c r="OV667" s="78" t="s">
        <v>518</v>
      </c>
      <c r="OW667" s="78"/>
      <c r="OX667" s="78">
        <v>2009</v>
      </c>
      <c r="OY667" s="78">
        <v>2010</v>
      </c>
      <c r="OZ667" s="78"/>
      <c r="PA667" s="78"/>
      <c r="PB667" s="78" t="s">
        <v>1342</v>
      </c>
      <c r="PC667" s="126">
        <v>46133</v>
      </c>
      <c r="PD667" s="78"/>
      <c r="PE667" s="78" t="s">
        <v>522</v>
      </c>
      <c r="PF667" s="126">
        <v>46164</v>
      </c>
      <c r="PG667" s="78" t="s">
        <v>1343</v>
      </c>
      <c r="PH667" s="124" t="s">
        <v>1344</v>
      </c>
    </row>
    <row r="668" spans="1:424">
      <c r="A668" t="s">
        <v>665</v>
      </c>
      <c r="B668" t="s">
        <v>1318</v>
      </c>
      <c r="C668" t="s">
        <v>1319</v>
      </c>
      <c r="D668" t="s">
        <v>472</v>
      </c>
      <c r="E668" t="s">
        <v>1321</v>
      </c>
      <c r="F668" t="s">
        <v>1322</v>
      </c>
      <c r="G668" t="s">
        <v>475</v>
      </c>
      <c r="H668" t="s">
        <v>476</v>
      </c>
      <c r="I668">
        <v>-8.5169999999999995</v>
      </c>
      <c r="J668">
        <v>-74.766999999999996</v>
      </c>
      <c r="K668" s="78">
        <v>500</v>
      </c>
      <c r="L668" t="s">
        <v>1319</v>
      </c>
      <c r="M668" t="s">
        <v>472</v>
      </c>
      <c r="N668" t="s">
        <v>1345</v>
      </c>
      <c r="O668" t="s">
        <v>1322</v>
      </c>
      <c r="P668" t="s">
        <v>475</v>
      </c>
      <c r="Q668" t="s">
        <v>476</v>
      </c>
      <c r="R668">
        <v>-8.3670000000000009</v>
      </c>
      <c r="S668">
        <v>-74.7</v>
      </c>
      <c r="T668" s="78">
        <v>500</v>
      </c>
      <c r="AV668" t="s">
        <v>1323</v>
      </c>
      <c r="AW668">
        <v>625</v>
      </c>
      <c r="AX668" t="s">
        <v>480</v>
      </c>
      <c r="AY668" s="224">
        <v>2</v>
      </c>
      <c r="AZ668" t="s">
        <v>1324</v>
      </c>
      <c r="BA668">
        <v>2009</v>
      </c>
      <c r="BB668">
        <v>2010</v>
      </c>
      <c r="BC668" t="s">
        <v>1325</v>
      </c>
      <c r="BD668" t="s">
        <v>1346</v>
      </c>
      <c r="BE668" t="s">
        <v>536</v>
      </c>
      <c r="BF668" t="s">
        <v>484</v>
      </c>
      <c r="BG668" t="s">
        <v>1347</v>
      </c>
      <c r="BH668" t="s">
        <v>480</v>
      </c>
      <c r="BI668" t="s">
        <v>480</v>
      </c>
      <c r="BJ668" t="s">
        <v>480</v>
      </c>
      <c r="BK668" t="s">
        <v>537</v>
      </c>
      <c r="ED668" t="s">
        <v>1348</v>
      </c>
      <c r="EE668" t="s">
        <v>1349</v>
      </c>
      <c r="EF668">
        <v>0.24</v>
      </c>
      <c r="EI668" s="9"/>
      <c r="EJ668" s="9"/>
      <c r="EK668" s="9"/>
      <c r="EL668" s="9"/>
      <c r="EM668" s="9"/>
      <c r="EN668" s="9"/>
      <c r="EO668" s="9"/>
      <c r="EP668" s="9"/>
      <c r="EQ668" s="9"/>
      <c r="ER668" s="9"/>
      <c r="ES668" s="9"/>
      <c r="ET668" s="9"/>
      <c r="EU668" s="9"/>
      <c r="EV668" s="9"/>
      <c r="EW668" s="9"/>
      <c r="EX668" s="9"/>
      <c r="EY668" s="9"/>
      <c r="EZ668" s="9"/>
      <c r="FA668" s="9"/>
      <c r="FB668" s="9"/>
      <c r="FC668" s="9"/>
      <c r="FD668" s="9"/>
      <c r="FE668" s="9"/>
      <c r="FF668" s="9"/>
      <c r="FG668" s="9"/>
      <c r="FH668" s="9"/>
      <c r="FI668" s="9"/>
      <c r="FJ668" s="9"/>
      <c r="FK668" s="9"/>
      <c r="FL668" s="9"/>
      <c r="FM668" s="9"/>
      <c r="FN668" s="9"/>
      <c r="FO668" s="9"/>
      <c r="FP668" s="9"/>
      <c r="FQ668" s="9"/>
      <c r="FR668" s="9"/>
      <c r="FS668" s="9"/>
      <c r="FT668" s="9"/>
      <c r="FU668" s="9"/>
      <c r="FV668" s="9"/>
      <c r="FW668" s="9"/>
      <c r="FX668" s="9"/>
      <c r="FY668" s="9"/>
      <c r="FZ668" s="9"/>
      <c r="GA668" s="9"/>
      <c r="GB668" s="9"/>
      <c r="GC668" s="9"/>
      <c r="GD668" s="9"/>
      <c r="GE668" s="9"/>
      <c r="GF668" s="9"/>
      <c r="GG668" s="9"/>
      <c r="GH668" s="9"/>
      <c r="GI668" s="9"/>
      <c r="GJ668" s="9"/>
      <c r="GK668" s="9"/>
      <c r="GL668" s="9"/>
      <c r="GM668" s="9"/>
      <c r="GN668" s="9"/>
      <c r="GO668" s="9"/>
      <c r="GP668" s="9"/>
      <c r="GQ668" s="9"/>
      <c r="GR668" s="9"/>
      <c r="GS668" s="9"/>
      <c r="GT668" s="9"/>
      <c r="GU668" s="9"/>
      <c r="GV668" s="9"/>
      <c r="GW668" s="9"/>
      <c r="GX668" s="9"/>
      <c r="GY668" s="9"/>
      <c r="GZ668" s="9"/>
      <c r="HA668" s="9"/>
      <c r="HB668" s="9"/>
      <c r="HC668" s="9"/>
      <c r="HD668" s="9"/>
      <c r="HE668" s="9"/>
      <c r="HF668" s="9"/>
      <c r="HG668" s="9"/>
      <c r="HH668" s="9"/>
      <c r="HI668" s="9"/>
      <c r="HJ668" s="9"/>
      <c r="HK668" s="9" t="s">
        <v>1350</v>
      </c>
      <c r="HL668" s="9" t="s">
        <v>488</v>
      </c>
      <c r="HY668" s="50"/>
      <c r="IV668" t="s">
        <v>1351</v>
      </c>
      <c r="IX668" s="2" t="s">
        <v>1352</v>
      </c>
      <c r="IZ668">
        <v>6</v>
      </c>
      <c r="JA668">
        <v>77.5</v>
      </c>
      <c r="JB668">
        <v>75</v>
      </c>
      <c r="JC668">
        <v>80</v>
      </c>
      <c r="JD668">
        <v>7.5</v>
      </c>
      <c r="JE668">
        <v>6</v>
      </c>
      <c r="JF668">
        <v>9</v>
      </c>
      <c r="JP668" s="9"/>
      <c r="JZ668" s="9"/>
      <c r="KR668" s="9"/>
      <c r="KS668" s="9"/>
      <c r="KT668" s="9"/>
      <c r="KU668" s="9"/>
      <c r="MY668" t="s">
        <v>1329</v>
      </c>
      <c r="MZ668">
        <v>625</v>
      </c>
      <c r="NA668" t="s">
        <v>1330</v>
      </c>
      <c r="NB668" t="s">
        <v>1331</v>
      </c>
      <c r="NC668" t="s">
        <v>1332</v>
      </c>
      <c r="ND668" t="s">
        <v>1333</v>
      </c>
      <c r="NE668" t="s">
        <v>1334</v>
      </c>
      <c r="NF668" t="s">
        <v>1335</v>
      </c>
      <c r="NG668" s="78" t="s">
        <v>480</v>
      </c>
      <c r="NH668" s="78" t="s">
        <v>687</v>
      </c>
      <c r="NJ668" t="s">
        <v>1374</v>
      </c>
      <c r="NK668" t="s">
        <v>1375</v>
      </c>
      <c r="NL668" t="s">
        <v>1376</v>
      </c>
      <c r="NM668" t="s">
        <v>1377</v>
      </c>
      <c r="NV668" t="s">
        <v>518</v>
      </c>
      <c r="NW668">
        <v>24.4</v>
      </c>
      <c r="NX668" t="s">
        <v>916</v>
      </c>
      <c r="NY668">
        <v>4.0999999999999996</v>
      </c>
      <c r="OB668">
        <v>31</v>
      </c>
      <c r="OU668" t="s">
        <v>1341</v>
      </c>
      <c r="OV668" s="78" t="s">
        <v>518</v>
      </c>
      <c r="OX668">
        <v>2009</v>
      </c>
      <c r="OY668">
        <v>2010</v>
      </c>
      <c r="PB668" t="s">
        <v>1342</v>
      </c>
      <c r="PC668" s="50">
        <v>46133</v>
      </c>
      <c r="PE668" s="78" t="s">
        <v>522</v>
      </c>
      <c r="PF668" s="126">
        <v>46164</v>
      </c>
      <c r="PG668" s="78" t="s">
        <v>1343</v>
      </c>
      <c r="PH668" s="124" t="s">
        <v>1344</v>
      </c>
    </row>
    <row r="669" spans="1:424">
      <c r="A669" s="78" t="s">
        <v>665</v>
      </c>
      <c r="B669" s="78" t="s">
        <v>1318</v>
      </c>
      <c r="C669" s="78" t="s">
        <v>1319</v>
      </c>
      <c r="D669" s="78" t="s">
        <v>472</v>
      </c>
      <c r="E669" s="78" t="s">
        <v>1353</v>
      </c>
      <c r="F669" s="78" t="s">
        <v>1322</v>
      </c>
      <c r="G669" s="78" t="s">
        <v>475</v>
      </c>
      <c r="H669" s="78" t="s">
        <v>476</v>
      </c>
      <c r="I669" s="78">
        <v>-8.8170000000000002</v>
      </c>
      <c r="J669" s="78">
        <v>-75.2</v>
      </c>
      <c r="K669" s="78">
        <v>500</v>
      </c>
      <c r="L669" s="78" t="s">
        <v>1319</v>
      </c>
      <c r="M669" s="78" t="s">
        <v>472</v>
      </c>
      <c r="N669" s="78" t="s">
        <v>1321</v>
      </c>
      <c r="O669" s="78" t="s">
        <v>1322</v>
      </c>
      <c r="P669" s="78" t="s">
        <v>475</v>
      </c>
      <c r="Q669" s="78" t="s">
        <v>476</v>
      </c>
      <c r="R669" s="78">
        <v>-8.5169999999999995</v>
      </c>
      <c r="S669" s="78">
        <v>-74.766999999999996</v>
      </c>
      <c r="T669" s="78">
        <v>500</v>
      </c>
      <c r="U669" s="78"/>
      <c r="V669" s="78"/>
      <c r="W669" s="78"/>
      <c r="X669" s="78"/>
      <c r="Y669" s="78"/>
      <c r="Z669" s="78"/>
      <c r="AA669" s="78"/>
      <c r="AB669" s="78"/>
      <c r="AC669" s="78"/>
      <c r="AD669" s="78"/>
      <c r="AE669" s="78"/>
      <c r="AF669" s="78"/>
      <c r="AG669" s="78"/>
      <c r="AH669" s="78"/>
      <c r="AI669" s="78"/>
      <c r="AJ669" s="78"/>
      <c r="AK669" s="78"/>
      <c r="AL669" s="78"/>
      <c r="AM669" s="78"/>
      <c r="AN669" s="78"/>
      <c r="AO669" s="78"/>
      <c r="AP669" s="78"/>
      <c r="AQ669" s="78"/>
      <c r="AR669" s="78"/>
      <c r="AS669" s="78"/>
      <c r="AT669" s="78"/>
      <c r="AU669" s="78"/>
      <c r="AV669" s="78" t="s">
        <v>1323</v>
      </c>
      <c r="AW669" s="78">
        <v>625</v>
      </c>
      <c r="AX669" s="78" t="s">
        <v>480</v>
      </c>
      <c r="AY669" s="223">
        <v>2</v>
      </c>
      <c r="AZ669" s="78" t="s">
        <v>1324</v>
      </c>
      <c r="BA669" s="78">
        <v>2009</v>
      </c>
      <c r="BB669" s="78">
        <v>2010</v>
      </c>
      <c r="BC669" s="78" t="s">
        <v>1325</v>
      </c>
      <c r="BD669" s="78" t="s">
        <v>1354</v>
      </c>
      <c r="BE669" s="78" t="s">
        <v>566</v>
      </c>
      <c r="BF669" s="78" t="s">
        <v>484</v>
      </c>
      <c r="BG669" s="78" t="s">
        <v>1355</v>
      </c>
      <c r="BH669" s="78" t="s">
        <v>480</v>
      </c>
      <c r="BI669" s="78" t="s">
        <v>480</v>
      </c>
      <c r="BJ669" s="78" t="s">
        <v>480</v>
      </c>
      <c r="BK669" s="78" t="s">
        <v>537</v>
      </c>
      <c r="BL669" s="78"/>
      <c r="BM669" s="78"/>
      <c r="BN669" s="78"/>
      <c r="BO669" s="78"/>
      <c r="BP669" s="78"/>
      <c r="BQ669" s="78"/>
      <c r="BR669" s="78"/>
      <c r="BS669" s="78"/>
      <c r="BT669" s="78"/>
      <c r="BU669" s="78"/>
      <c r="BV669" s="78"/>
      <c r="BW669" s="78"/>
      <c r="BX669" s="78"/>
      <c r="BY669" s="78"/>
      <c r="BZ669" s="78"/>
      <c r="CA669" s="78"/>
      <c r="CB669" s="78"/>
      <c r="CC669" s="78"/>
      <c r="CD669" s="78"/>
      <c r="CE669" s="78"/>
      <c r="CF669" s="78"/>
      <c r="CG669" s="78"/>
      <c r="CH669" s="78"/>
      <c r="CI669" s="78"/>
      <c r="CJ669" s="78"/>
      <c r="CK669" s="78"/>
      <c r="CL669" s="78"/>
      <c r="CM669" s="78"/>
      <c r="CN669" s="78"/>
      <c r="CO669" s="78"/>
      <c r="CP669" s="78"/>
      <c r="CQ669" s="78"/>
      <c r="CR669" s="78"/>
      <c r="CS669" s="78"/>
      <c r="CT669" s="78"/>
      <c r="CU669" s="78"/>
      <c r="CV669" s="78"/>
      <c r="CW669" s="78"/>
      <c r="CX669" s="78"/>
      <c r="CY669" s="78"/>
      <c r="CZ669" s="78"/>
      <c r="DA669" s="78"/>
      <c r="DB669" s="78"/>
      <c r="DC669" s="78"/>
      <c r="DD669" s="78"/>
      <c r="DE669" s="78"/>
      <c r="DF669" s="78"/>
      <c r="DG669" s="78"/>
      <c r="DH669" s="78"/>
      <c r="DI669" s="78"/>
      <c r="DJ669" s="78"/>
      <c r="DK669" s="78"/>
      <c r="DL669" s="78"/>
      <c r="DM669" s="78"/>
      <c r="DN669" s="78"/>
      <c r="DO669" s="78"/>
      <c r="DP669" s="78"/>
      <c r="DQ669" s="78"/>
      <c r="DR669" s="78"/>
      <c r="DS669" s="78"/>
      <c r="DT669" s="78"/>
      <c r="DU669" s="78"/>
      <c r="DV669" s="78"/>
      <c r="DW669" s="78"/>
      <c r="DX669" s="78"/>
      <c r="DY669" s="78"/>
      <c r="DZ669" s="78"/>
      <c r="EA669" s="78"/>
      <c r="EB669" s="78"/>
      <c r="EC669" s="78"/>
      <c r="ED669" s="78" t="s">
        <v>1356</v>
      </c>
      <c r="EE669" s="125" t="s">
        <v>480</v>
      </c>
      <c r="EF669" s="125" t="s">
        <v>480</v>
      </c>
      <c r="EG669" s="125" t="s">
        <v>537</v>
      </c>
      <c r="EH669" s="125" t="s">
        <v>1357</v>
      </c>
      <c r="EI669" s="125" t="s">
        <v>480</v>
      </c>
      <c r="EJ669" s="125" t="s">
        <v>480</v>
      </c>
      <c r="EK669" s="125" t="s">
        <v>537</v>
      </c>
      <c r="EL669" s="125" t="s">
        <v>1358</v>
      </c>
      <c r="EM669" s="125" t="s">
        <v>480</v>
      </c>
      <c r="EN669" s="125" t="s">
        <v>480</v>
      </c>
      <c r="EO669" s="125" t="s">
        <v>537</v>
      </c>
      <c r="EP669" s="125" t="s">
        <v>1359</v>
      </c>
      <c r="EQ669" s="125" t="s">
        <v>480</v>
      </c>
      <c r="ER669" s="125" t="s">
        <v>480</v>
      </c>
      <c r="ES669" s="125"/>
      <c r="ET669" s="125"/>
      <c r="EU669" s="125"/>
      <c r="EV669" s="125"/>
      <c r="EW669" s="125"/>
      <c r="EX669" s="125"/>
      <c r="EY669" s="125"/>
      <c r="EZ669" s="125"/>
      <c r="FA669" s="125"/>
      <c r="FB669" s="125"/>
      <c r="FC669" s="125"/>
      <c r="FD669" s="125"/>
      <c r="FE669" s="125"/>
      <c r="FF669" s="125"/>
      <c r="FG669" s="125"/>
      <c r="FH669" s="125"/>
      <c r="FI669" s="125"/>
      <c r="FJ669" s="125"/>
      <c r="FK669" s="125"/>
      <c r="FL669" s="125"/>
      <c r="FM669" s="125"/>
      <c r="FN669" s="125"/>
      <c r="FO669" s="125"/>
      <c r="FP669" s="125"/>
      <c r="FQ669" s="125"/>
      <c r="FR669" s="125"/>
      <c r="FS669" s="125"/>
      <c r="FT669" s="125"/>
      <c r="FU669" s="125"/>
      <c r="FV669" s="125"/>
      <c r="FW669" s="125"/>
      <c r="FX669" s="125"/>
      <c r="FY669" s="125"/>
      <c r="FZ669" s="125"/>
      <c r="GA669" s="125"/>
      <c r="GB669" s="125"/>
      <c r="GC669" s="125"/>
      <c r="GD669" s="125"/>
      <c r="GE669" s="125"/>
      <c r="GF669" s="125"/>
      <c r="GG669" s="125"/>
      <c r="GH669" s="125"/>
      <c r="GI669" s="125"/>
      <c r="GJ669" s="125"/>
      <c r="GK669" s="125"/>
      <c r="GL669" s="125"/>
      <c r="GM669" s="125"/>
      <c r="GN669" s="125"/>
      <c r="GO669" s="125"/>
      <c r="GP669" s="125"/>
      <c r="GQ669" s="125"/>
      <c r="GR669" s="125"/>
      <c r="GS669" s="125"/>
      <c r="GT669" s="125"/>
      <c r="GU669" s="125"/>
      <c r="GV669" s="125"/>
      <c r="GW669" s="125"/>
      <c r="GX669" s="125"/>
      <c r="GY669" s="125"/>
      <c r="GZ669" s="125"/>
      <c r="HA669" s="125"/>
      <c r="HB669" s="125"/>
      <c r="HC669" s="125"/>
      <c r="HD669" s="125"/>
      <c r="HE669" s="125"/>
      <c r="HF669" s="125"/>
      <c r="HG669" s="125"/>
      <c r="HH669" s="125"/>
      <c r="HI669" s="125"/>
      <c r="HJ669" s="125"/>
      <c r="HK669" s="125" t="s">
        <v>1350</v>
      </c>
      <c r="HL669" s="125" t="s">
        <v>488</v>
      </c>
      <c r="HM669" s="78"/>
      <c r="HN669" s="78"/>
      <c r="HO669" s="78"/>
      <c r="HP669" s="78"/>
      <c r="HQ669" s="78"/>
      <c r="HR669" s="78"/>
      <c r="HS669" s="78"/>
      <c r="HT669" s="78"/>
      <c r="HU669" s="78"/>
      <c r="HV669" s="78"/>
      <c r="HW669" s="78"/>
      <c r="HX669" s="78"/>
      <c r="HY669" s="126"/>
      <c r="HZ669" s="78"/>
      <c r="IA669" s="78"/>
      <c r="IB669" s="78"/>
      <c r="IC669" s="78"/>
      <c r="ID669" s="78"/>
      <c r="IE669" s="78"/>
      <c r="IF669" s="78"/>
      <c r="IG669" s="78"/>
      <c r="IH669" s="78"/>
      <c r="II669" s="78"/>
      <c r="IJ669" s="78"/>
      <c r="IK669" s="78"/>
      <c r="IL669" s="78"/>
      <c r="IM669" s="78"/>
      <c r="IN669" s="78"/>
      <c r="IO669" s="78"/>
      <c r="IP669" s="78"/>
      <c r="IQ669" s="78"/>
      <c r="IR669" s="78"/>
      <c r="IS669" s="78"/>
      <c r="IT669" s="78"/>
      <c r="IU669" s="78"/>
      <c r="IV669" s="78" t="s">
        <v>1360</v>
      </c>
      <c r="IW669" s="78" t="s">
        <v>1361</v>
      </c>
      <c r="IX669" s="2" t="s">
        <v>1362</v>
      </c>
      <c r="IY669" s="78"/>
      <c r="IZ669" s="78"/>
      <c r="JA669" s="78">
        <v>50</v>
      </c>
      <c r="JB669" t="s">
        <v>480</v>
      </c>
      <c r="JC669" t="s">
        <v>480</v>
      </c>
      <c r="JD669" s="78">
        <v>12</v>
      </c>
      <c r="JE669" t="s">
        <v>480</v>
      </c>
      <c r="JF669" t="s">
        <v>480</v>
      </c>
      <c r="JG669" s="78"/>
      <c r="JH669" s="78"/>
      <c r="JI669" s="78"/>
      <c r="JJ669" s="78"/>
      <c r="JK669" s="78"/>
      <c r="JL669" s="78"/>
      <c r="JM669" s="78"/>
      <c r="JN669" s="78"/>
      <c r="JO669" s="78"/>
      <c r="JP669" s="131"/>
      <c r="JQ669" s="78"/>
      <c r="JR669" s="78"/>
      <c r="JS669" s="78"/>
      <c r="JT669" s="78"/>
      <c r="JU669" s="78"/>
      <c r="JV669" s="78"/>
      <c r="JW669" s="78"/>
      <c r="JX669" s="78"/>
      <c r="JY669" s="78"/>
      <c r="JZ669" s="131"/>
      <c r="KA669" s="78"/>
      <c r="KB669" s="78"/>
      <c r="KC669" s="78"/>
      <c r="KD669" s="78"/>
      <c r="KE669" s="78"/>
      <c r="KF669" s="78"/>
      <c r="KG669" s="78"/>
      <c r="KH669" s="78"/>
      <c r="KI669" s="78"/>
      <c r="KJ669" s="78"/>
      <c r="KK669" s="78"/>
      <c r="KL669" s="78"/>
      <c r="KM669" s="78"/>
      <c r="KN669" s="78"/>
      <c r="KO669" s="78"/>
      <c r="KP669" s="78"/>
      <c r="KQ669" s="78"/>
      <c r="KR669" s="131"/>
      <c r="KS669" s="131"/>
      <c r="KT669" s="131"/>
      <c r="KU669" s="131"/>
      <c r="KV669" s="78"/>
      <c r="KW669" s="78"/>
      <c r="KX669" s="78"/>
      <c r="KY669" s="78"/>
      <c r="KZ669" s="78"/>
      <c r="LA669" s="78"/>
      <c r="LB669" s="78"/>
      <c r="LC669" s="78"/>
      <c r="LD669" s="78"/>
      <c r="LE669" s="78"/>
      <c r="LF669" s="78"/>
      <c r="LG669" s="78"/>
      <c r="LH669" s="78"/>
      <c r="LI669" s="78"/>
      <c r="LJ669" s="78"/>
      <c r="LK669" s="78"/>
      <c r="LL669" s="78"/>
      <c r="LM669" s="78"/>
      <c r="LN669" s="78"/>
      <c r="LO669" s="78"/>
      <c r="LP669" s="78"/>
      <c r="LQ669" s="78"/>
      <c r="LR669" s="78"/>
      <c r="LS669" s="78"/>
      <c r="LT669" s="78"/>
      <c r="LU669" s="78"/>
      <c r="LV669" s="78"/>
      <c r="LW669" s="78"/>
      <c r="LX669" s="78"/>
      <c r="LY669" s="78"/>
      <c r="LZ669" s="78"/>
      <c r="MA669" s="78"/>
      <c r="MB669" s="78"/>
      <c r="MC669" s="78"/>
      <c r="MD669" s="78"/>
      <c r="ME669" s="78"/>
      <c r="MF669" s="78"/>
      <c r="MG669" s="78"/>
      <c r="MH669" s="78"/>
      <c r="MI669" s="78"/>
      <c r="MJ669" s="78"/>
      <c r="MK669" s="78"/>
      <c r="ML669" s="78"/>
      <c r="MM669" s="78"/>
      <c r="MN669" s="78"/>
      <c r="MO669" s="78"/>
      <c r="MP669" s="78"/>
      <c r="MQ669" s="78"/>
      <c r="MR669" s="78"/>
      <c r="MS669" s="78"/>
      <c r="MT669" s="78"/>
      <c r="MU669" s="78"/>
      <c r="MV669" s="78"/>
      <c r="MW669" s="78"/>
      <c r="MX669" s="78"/>
      <c r="MY669" s="78" t="s">
        <v>1329</v>
      </c>
      <c r="MZ669" s="78">
        <v>625</v>
      </c>
      <c r="NA669" s="78" t="s">
        <v>1330</v>
      </c>
      <c r="NB669" s="78" t="s">
        <v>1331</v>
      </c>
      <c r="NC669" s="78" t="s">
        <v>1332</v>
      </c>
      <c r="ND669" s="78" t="s">
        <v>1333</v>
      </c>
      <c r="NE669" s="78" t="s">
        <v>1334</v>
      </c>
      <c r="NF669" s="78" t="s">
        <v>1335</v>
      </c>
      <c r="NG669" s="78" t="s">
        <v>480</v>
      </c>
      <c r="NH669" s="78" t="s">
        <v>687</v>
      </c>
      <c r="NI669" s="78"/>
      <c r="NJ669" s="78" t="s">
        <v>1374</v>
      </c>
      <c r="NK669" s="78" t="s">
        <v>1375</v>
      </c>
      <c r="NL669" s="78" t="s">
        <v>1376</v>
      </c>
      <c r="NM669" t="s">
        <v>1377</v>
      </c>
      <c r="NN669" s="78"/>
      <c r="NO669" s="78"/>
      <c r="NP669" s="78"/>
      <c r="NQ669" s="78"/>
      <c r="NR669" s="78"/>
      <c r="NS669" s="78"/>
      <c r="NT669" s="78"/>
      <c r="NU669" s="78"/>
      <c r="NV669" s="78" t="s">
        <v>518</v>
      </c>
      <c r="NW669" s="78">
        <v>8.3800000000000008</v>
      </c>
      <c r="NX669" s="78" t="s">
        <v>916</v>
      </c>
      <c r="NY669" s="78">
        <v>1.62</v>
      </c>
      <c r="NZ669" s="78"/>
      <c r="OA669" s="78"/>
      <c r="OB669" s="78">
        <v>32</v>
      </c>
      <c r="OC669" s="78"/>
      <c r="OD669" s="78"/>
      <c r="OE669" s="78"/>
      <c r="OF669" s="78"/>
      <c r="OG669" s="78"/>
      <c r="OH669" s="78"/>
      <c r="OI669" s="78"/>
      <c r="OJ669" s="78"/>
      <c r="OK669" s="78"/>
      <c r="OL669" s="78"/>
      <c r="OM669" s="78"/>
      <c r="ON669" s="78"/>
      <c r="OO669" s="78"/>
      <c r="OP669" s="78"/>
      <c r="OQ669" s="78"/>
      <c r="OR669" s="78"/>
      <c r="OS669" s="78"/>
      <c r="OT669" s="78"/>
      <c r="OU669" s="78" t="s">
        <v>1341</v>
      </c>
      <c r="OV669" s="78" t="s">
        <v>518</v>
      </c>
      <c r="OW669" s="78"/>
      <c r="OX669" s="78">
        <v>2009</v>
      </c>
      <c r="OY669" s="78">
        <v>2010</v>
      </c>
      <c r="OZ669" s="78"/>
      <c r="PA669" s="78"/>
      <c r="PB669" s="78" t="s">
        <v>1342</v>
      </c>
      <c r="PC669" s="126">
        <v>46133</v>
      </c>
      <c r="PD669" s="78"/>
      <c r="PE669" s="78" t="s">
        <v>522</v>
      </c>
      <c r="PF669" s="126">
        <v>46164</v>
      </c>
      <c r="PG669" s="78" t="s">
        <v>1343</v>
      </c>
      <c r="PH669" s="124" t="s">
        <v>1344</v>
      </c>
    </row>
    <row r="670" spans="1:424" ht="15.75" thickBot="1">
      <c r="A670" t="s">
        <v>665</v>
      </c>
      <c r="B670" t="s">
        <v>1318</v>
      </c>
      <c r="C670" t="s">
        <v>1319</v>
      </c>
      <c r="D670" t="s">
        <v>472</v>
      </c>
      <c r="E670" t="s">
        <v>1353</v>
      </c>
      <c r="F670" t="s">
        <v>1322</v>
      </c>
      <c r="G670" t="s">
        <v>475</v>
      </c>
      <c r="H670" t="s">
        <v>476</v>
      </c>
      <c r="I670">
        <v>-8.8170000000000002</v>
      </c>
      <c r="J670">
        <v>-75.2</v>
      </c>
      <c r="K670" s="78">
        <v>500</v>
      </c>
      <c r="L670" t="s">
        <v>1319</v>
      </c>
      <c r="M670" t="s">
        <v>472</v>
      </c>
      <c r="N670" t="s">
        <v>1321</v>
      </c>
      <c r="O670" t="s">
        <v>1322</v>
      </c>
      <c r="P670" t="s">
        <v>475</v>
      </c>
      <c r="Q670" t="s">
        <v>476</v>
      </c>
      <c r="R670">
        <v>-8.5169999999999995</v>
      </c>
      <c r="S670">
        <v>-74.766999999999996</v>
      </c>
      <c r="T670" s="78">
        <v>500</v>
      </c>
      <c r="U670" t="s">
        <v>1319</v>
      </c>
      <c r="V670" t="s">
        <v>472</v>
      </c>
      <c r="W670" t="s">
        <v>1345</v>
      </c>
      <c r="X670" t="s">
        <v>1322</v>
      </c>
      <c r="Y670" t="s">
        <v>475</v>
      </c>
      <c r="Z670" t="s">
        <v>476</v>
      </c>
      <c r="AA670">
        <v>-8.3670000000000009</v>
      </c>
      <c r="AB670">
        <v>-74.7</v>
      </c>
      <c r="AC670">
        <v>500</v>
      </c>
      <c r="AV670" t="s">
        <v>1323</v>
      </c>
      <c r="AW670">
        <v>625</v>
      </c>
      <c r="AX670" t="s">
        <v>480</v>
      </c>
      <c r="AY670" s="224">
        <v>2</v>
      </c>
      <c r="AZ670" t="s">
        <v>1324</v>
      </c>
      <c r="BA670">
        <v>2009</v>
      </c>
      <c r="BB670">
        <v>2010</v>
      </c>
      <c r="BC670" t="s">
        <v>1325</v>
      </c>
      <c r="BD670" t="s">
        <v>1363</v>
      </c>
      <c r="BE670" t="s">
        <v>483</v>
      </c>
      <c r="BF670" t="s">
        <v>484</v>
      </c>
      <c r="BG670" t="s">
        <v>1364</v>
      </c>
      <c r="BH670" t="s">
        <v>480</v>
      </c>
      <c r="BI670" t="s">
        <v>480</v>
      </c>
      <c r="BJ670" t="s">
        <v>480</v>
      </c>
      <c r="EI670" s="9"/>
      <c r="EJ670" s="9"/>
      <c r="EK670" s="9"/>
      <c r="EL670" s="9"/>
      <c r="EM670" s="9"/>
      <c r="EN670" s="9"/>
      <c r="EO670" s="9"/>
      <c r="EP670" s="9"/>
      <c r="EQ670" s="9"/>
      <c r="ER670" s="9"/>
      <c r="ES670" s="9"/>
      <c r="ET670" s="9"/>
      <c r="EU670" s="9"/>
      <c r="EV670" s="9"/>
      <c r="EW670" s="9"/>
      <c r="EX670" s="9"/>
      <c r="EY670" s="9"/>
      <c r="EZ670" s="9"/>
      <c r="FA670" s="9"/>
      <c r="FB670" s="9"/>
      <c r="FC670" s="9"/>
      <c r="FD670" s="9"/>
      <c r="FE670" s="9"/>
      <c r="FF670" s="9"/>
      <c r="FG670" s="9"/>
      <c r="FH670" s="9"/>
      <c r="FI670" s="9"/>
      <c r="FJ670" s="9"/>
      <c r="FK670" s="9"/>
      <c r="FL670" s="9"/>
      <c r="FM670" s="9"/>
      <c r="FN670" s="9"/>
      <c r="FO670" s="9"/>
      <c r="FP670" s="9"/>
      <c r="FQ670" s="9"/>
      <c r="FR670" s="9"/>
      <c r="FS670" s="9"/>
      <c r="FT670" s="9"/>
      <c r="FU670" s="9"/>
      <c r="FV670" s="9"/>
      <c r="FW670" s="9"/>
      <c r="FX670" s="9"/>
      <c r="FY670" s="9"/>
      <c r="FZ670" s="9"/>
      <c r="GA670" s="9"/>
      <c r="GB670" s="9"/>
      <c r="GC670" s="9"/>
      <c r="GD670" s="9"/>
      <c r="GE670" s="9"/>
      <c r="GF670" s="9"/>
      <c r="GG670" s="9"/>
      <c r="GH670" s="9"/>
      <c r="GI670" s="9"/>
      <c r="GJ670" s="9"/>
      <c r="GK670" s="9"/>
      <c r="GL670" s="9"/>
      <c r="GM670" s="9"/>
      <c r="GN670" s="9"/>
      <c r="GO670" s="9"/>
      <c r="GP670" s="9"/>
      <c r="GQ670" s="9"/>
      <c r="GR670" s="9"/>
      <c r="GS670" s="9"/>
      <c r="GT670" s="9"/>
      <c r="GU670" s="9"/>
      <c r="GV670" s="9"/>
      <c r="GW670" s="9"/>
      <c r="GX670" s="9"/>
      <c r="GY670" s="9"/>
      <c r="GZ670" s="9"/>
      <c r="HA670" s="9"/>
      <c r="HB670" s="9"/>
      <c r="HC670" s="9"/>
      <c r="HD670" s="9"/>
      <c r="HE670" s="9"/>
      <c r="HF670" s="9"/>
      <c r="HG670" s="9"/>
      <c r="HH670" s="9"/>
      <c r="HI670" s="9"/>
      <c r="HJ670" s="9"/>
      <c r="HK670" s="9" t="s">
        <v>1365</v>
      </c>
      <c r="HL670" s="9" t="s">
        <v>526</v>
      </c>
      <c r="HM670" t="s">
        <v>500</v>
      </c>
      <c r="HY670" s="50"/>
      <c r="IV670" t="s">
        <v>1366</v>
      </c>
      <c r="IX670" t="s">
        <v>492</v>
      </c>
      <c r="JP670" s="9"/>
      <c r="JZ670" s="9"/>
      <c r="KR670" s="9"/>
      <c r="KS670" s="9"/>
      <c r="KT670" s="9"/>
      <c r="KU670" s="9"/>
      <c r="MY670" t="s">
        <v>1329</v>
      </c>
      <c r="MZ670">
        <v>625</v>
      </c>
      <c r="NA670" t="s">
        <v>1330</v>
      </c>
      <c r="NB670" t="s">
        <v>1331</v>
      </c>
      <c r="NC670" t="s">
        <v>1332</v>
      </c>
      <c r="ND670" t="s">
        <v>1333</v>
      </c>
      <c r="NE670" t="s">
        <v>1334</v>
      </c>
      <c r="NF670" t="s">
        <v>1335</v>
      </c>
      <c r="NG670" s="78" t="s">
        <v>480</v>
      </c>
      <c r="NH670" s="78" t="s">
        <v>687</v>
      </c>
      <c r="NJ670" t="s">
        <v>1374</v>
      </c>
      <c r="NK670" t="s">
        <v>1375</v>
      </c>
      <c r="NL670" t="s">
        <v>1376</v>
      </c>
      <c r="NM670" t="s">
        <v>1377</v>
      </c>
      <c r="NU670" t="s">
        <v>657</v>
      </c>
      <c r="NV670" t="s">
        <v>518</v>
      </c>
      <c r="NW670">
        <v>4.72</v>
      </c>
      <c r="NX670" t="s">
        <v>916</v>
      </c>
      <c r="NY670">
        <v>1.1100000000000001</v>
      </c>
      <c r="OB670">
        <v>32</v>
      </c>
      <c r="OU670" t="s">
        <v>1341</v>
      </c>
      <c r="OV670" s="78" t="s">
        <v>518</v>
      </c>
      <c r="OX670">
        <v>2009</v>
      </c>
      <c r="OY670">
        <v>2010</v>
      </c>
      <c r="PB670" t="s">
        <v>1342</v>
      </c>
      <c r="PC670" s="50">
        <v>46133</v>
      </c>
      <c r="PE670" s="78" t="s">
        <v>522</v>
      </c>
      <c r="PF670" s="126">
        <v>46164</v>
      </c>
      <c r="PG670" s="78" t="s">
        <v>1343</v>
      </c>
      <c r="PH670" s="124" t="s">
        <v>1344</v>
      </c>
    </row>
    <row r="671" spans="1:424" ht="15.75" thickBot="1">
      <c r="A671" s="78" t="s">
        <v>665</v>
      </c>
      <c r="B671" s="78" t="s">
        <v>1318</v>
      </c>
      <c r="C671" s="78" t="s">
        <v>1319</v>
      </c>
      <c r="D671" s="78" t="s">
        <v>472</v>
      </c>
      <c r="E671" s="78" t="s">
        <v>1353</v>
      </c>
      <c r="F671" s="78" t="s">
        <v>1322</v>
      </c>
      <c r="G671" s="78" t="s">
        <v>475</v>
      </c>
      <c r="H671" s="78" t="s">
        <v>476</v>
      </c>
      <c r="I671" s="78">
        <v>-8.8170000000000002</v>
      </c>
      <c r="J671" s="78">
        <v>-75.2</v>
      </c>
      <c r="K671" s="78">
        <v>500</v>
      </c>
      <c r="L671" s="78" t="s">
        <v>1319</v>
      </c>
      <c r="M671" s="78" t="s">
        <v>472</v>
      </c>
      <c r="N671" s="78" t="s">
        <v>1321</v>
      </c>
      <c r="O671" s="78" t="s">
        <v>1322</v>
      </c>
      <c r="P671" s="78" t="s">
        <v>475</v>
      </c>
      <c r="Q671" s="78" t="s">
        <v>476</v>
      </c>
      <c r="R671" s="78">
        <v>-8.5169999999999995</v>
      </c>
      <c r="S671" s="78">
        <v>-74.766999999999996</v>
      </c>
      <c r="T671" s="78">
        <v>500</v>
      </c>
      <c r="U671" s="78" t="s">
        <v>1319</v>
      </c>
      <c r="V671" s="78" t="s">
        <v>472</v>
      </c>
      <c r="W671" s="78" t="s">
        <v>1345</v>
      </c>
      <c r="X671" s="78" t="s">
        <v>1322</v>
      </c>
      <c r="Y671" s="78" t="s">
        <v>475</v>
      </c>
      <c r="Z671" s="78" t="s">
        <v>476</v>
      </c>
      <c r="AA671" s="78">
        <v>-8.3670000000000009</v>
      </c>
      <c r="AB671" s="78">
        <v>-74.7</v>
      </c>
      <c r="AC671">
        <v>500</v>
      </c>
      <c r="AD671" s="78"/>
      <c r="AE671" s="78"/>
      <c r="AF671" s="78"/>
      <c r="AG671" s="78"/>
      <c r="AH671" s="78"/>
      <c r="AI671" s="78"/>
      <c r="AJ671" s="78"/>
      <c r="AK671" s="78"/>
      <c r="AL671" s="78"/>
      <c r="AM671" s="78"/>
      <c r="AN671" s="78"/>
      <c r="AO671" s="78"/>
      <c r="AP671" s="78"/>
      <c r="AQ671" s="78"/>
      <c r="AR671" s="78"/>
      <c r="AS671" s="78"/>
      <c r="AT671" s="78"/>
      <c r="AU671" s="78"/>
      <c r="AV671" s="78" t="s">
        <v>1323</v>
      </c>
      <c r="AW671" s="78">
        <v>625</v>
      </c>
      <c r="AX671" s="78" t="s">
        <v>480</v>
      </c>
      <c r="AY671" s="223">
        <v>2</v>
      </c>
      <c r="AZ671" s="78" t="s">
        <v>1324</v>
      </c>
      <c r="BA671" s="78">
        <v>2009</v>
      </c>
      <c r="BB671" s="78">
        <v>2010</v>
      </c>
      <c r="BC671" s="78" t="s">
        <v>1325</v>
      </c>
      <c r="BD671" s="78" t="s">
        <v>1367</v>
      </c>
      <c r="BE671" s="78" t="s">
        <v>593</v>
      </c>
      <c r="BF671" s="78" t="s">
        <v>1102</v>
      </c>
      <c r="BG671" s="78" t="s">
        <v>1368</v>
      </c>
      <c r="BH671" s="78" t="s">
        <v>480</v>
      </c>
      <c r="BI671" s="78" t="s">
        <v>480</v>
      </c>
      <c r="BJ671" s="78" t="s">
        <v>480</v>
      </c>
      <c r="BK671" s="78"/>
      <c r="BL671" s="78"/>
      <c r="BM671" s="78"/>
      <c r="BN671" s="78"/>
      <c r="BO671" s="78"/>
      <c r="BP671" s="78"/>
      <c r="BQ671" s="78"/>
      <c r="BR671" s="78"/>
      <c r="BS671" s="78"/>
      <c r="BT671" s="78"/>
      <c r="BU671" s="78"/>
      <c r="BV671" s="78"/>
      <c r="BW671" s="78"/>
      <c r="BX671" s="78"/>
      <c r="BY671" s="78"/>
      <c r="BZ671" s="78"/>
      <c r="CA671" s="78"/>
      <c r="CB671" s="78"/>
      <c r="CC671" s="78"/>
      <c r="CD671" s="78"/>
      <c r="CE671" s="78"/>
      <c r="CF671" s="78"/>
      <c r="CG671" s="78"/>
      <c r="CH671" s="78"/>
      <c r="CI671" s="78"/>
      <c r="CJ671" s="78"/>
      <c r="CK671" s="78"/>
      <c r="CL671" s="78"/>
      <c r="CM671" s="78"/>
      <c r="CN671" s="78"/>
      <c r="CO671" s="78"/>
      <c r="CP671" s="78"/>
      <c r="CQ671" s="78"/>
      <c r="CR671" s="78"/>
      <c r="CS671" s="78"/>
      <c r="CT671" s="78"/>
      <c r="CU671" s="78"/>
      <c r="CV671" s="78"/>
      <c r="CW671" s="78"/>
      <c r="CX671" s="78"/>
      <c r="CY671" s="78"/>
      <c r="CZ671" s="78"/>
      <c r="DA671" s="78"/>
      <c r="DB671" s="78"/>
      <c r="DC671" s="78"/>
      <c r="DD671" s="78"/>
      <c r="DE671" s="78"/>
      <c r="DF671" s="78"/>
      <c r="DG671" s="78"/>
      <c r="DH671" s="78"/>
      <c r="DI671" s="78"/>
      <c r="DJ671" s="78"/>
      <c r="DK671" s="78"/>
      <c r="DL671" s="78"/>
      <c r="DM671" s="78"/>
      <c r="DN671" s="78"/>
      <c r="DO671" s="78"/>
      <c r="DP671" s="78"/>
      <c r="DQ671" s="78"/>
      <c r="DR671" s="78"/>
      <c r="DS671" s="78"/>
      <c r="DT671" s="78"/>
      <c r="DU671" s="78"/>
      <c r="DV671" s="78"/>
      <c r="DW671" s="78"/>
      <c r="DX671" s="78"/>
      <c r="DY671" s="78"/>
      <c r="DZ671" s="78"/>
      <c r="EA671" s="78"/>
      <c r="EB671" s="78"/>
      <c r="EC671" s="78"/>
      <c r="ED671" s="78"/>
      <c r="EE671" s="78"/>
      <c r="EF671" s="78"/>
      <c r="EG671" s="78"/>
      <c r="EH671" s="78"/>
      <c r="EI671" s="125"/>
      <c r="EJ671" s="125"/>
      <c r="EK671" s="125"/>
      <c r="EL671" s="125"/>
      <c r="EM671" s="125"/>
      <c r="EN671" s="125"/>
      <c r="EO671" s="125"/>
      <c r="EP671" s="125"/>
      <c r="EQ671" s="125"/>
      <c r="ER671" s="125"/>
      <c r="ES671" s="125"/>
      <c r="ET671" s="125"/>
      <c r="EU671" s="125"/>
      <c r="EV671" s="125"/>
      <c r="EW671" s="125"/>
      <c r="EX671" s="125"/>
      <c r="EY671" s="125"/>
      <c r="EZ671" s="125"/>
      <c r="FA671" s="125"/>
      <c r="FB671" s="125"/>
      <c r="FC671" s="125"/>
      <c r="FD671" s="125"/>
      <c r="FE671" s="125"/>
      <c r="FF671" s="125"/>
      <c r="FG671" s="125"/>
      <c r="FH671" s="125"/>
      <c r="FI671" s="125"/>
      <c r="FJ671" s="125"/>
      <c r="FK671" s="125"/>
      <c r="FL671" s="125"/>
      <c r="FM671" s="125"/>
      <c r="FN671" s="125"/>
      <c r="FO671" s="125"/>
      <c r="FP671" s="125"/>
      <c r="FQ671" s="125"/>
      <c r="FR671" s="125"/>
      <c r="FS671" s="125"/>
      <c r="FT671" s="125"/>
      <c r="FU671" s="125"/>
      <c r="FV671" s="125"/>
      <c r="FW671" s="125"/>
      <c r="FX671" s="125"/>
      <c r="FY671" s="125"/>
      <c r="FZ671" s="125"/>
      <c r="GA671" s="125"/>
      <c r="GB671" s="125"/>
      <c r="GC671" s="125"/>
      <c r="GD671" s="125"/>
      <c r="GE671" s="125"/>
      <c r="GF671" s="125"/>
      <c r="GG671" s="125"/>
      <c r="GH671" s="125"/>
      <c r="GI671" s="125"/>
      <c r="GJ671" s="125"/>
      <c r="GK671" s="125"/>
      <c r="GL671" s="125"/>
      <c r="GM671" s="125"/>
      <c r="GN671" s="125"/>
      <c r="GO671" s="125"/>
      <c r="GP671" s="125"/>
      <c r="GQ671" s="125"/>
      <c r="GR671" s="125"/>
      <c r="GS671" s="125"/>
      <c r="GT671" s="125"/>
      <c r="GU671" s="125"/>
      <c r="GV671" s="125"/>
      <c r="GW671" s="125"/>
      <c r="GX671" s="125"/>
      <c r="GY671" s="125"/>
      <c r="GZ671" s="125"/>
      <c r="HA671" s="125"/>
      <c r="HB671" s="125"/>
      <c r="HC671" s="125"/>
      <c r="HD671" s="125"/>
      <c r="HE671" s="125"/>
      <c r="HF671" s="125"/>
      <c r="HG671" s="125"/>
      <c r="HH671" s="125"/>
      <c r="HI671" s="125"/>
      <c r="HJ671" s="125"/>
      <c r="HK671" s="125" t="s">
        <v>1369</v>
      </c>
      <c r="HL671" s="125" t="s">
        <v>488</v>
      </c>
      <c r="HM671" s="78"/>
      <c r="HN671" s="78"/>
      <c r="HO671" s="78"/>
      <c r="HP671" s="78"/>
      <c r="HQ671" s="78"/>
      <c r="HR671" s="78"/>
      <c r="HS671" s="78"/>
      <c r="HT671" s="78"/>
      <c r="HU671" s="78"/>
      <c r="HV671" s="78"/>
      <c r="HW671" s="78"/>
      <c r="HX671" s="78"/>
      <c r="HY671" s="126"/>
      <c r="HZ671" s="78"/>
      <c r="IA671" s="78"/>
      <c r="IB671" s="78"/>
      <c r="IC671" s="78"/>
      <c r="ID671" s="78"/>
      <c r="IE671" s="78"/>
      <c r="IF671" s="78"/>
      <c r="IG671" s="78"/>
      <c r="IH671" s="78"/>
      <c r="II671" s="78"/>
      <c r="IJ671" s="78"/>
      <c r="IK671" s="78"/>
      <c r="IL671" s="78"/>
      <c r="IM671" s="78"/>
      <c r="IN671" s="78"/>
      <c r="IO671" s="78"/>
      <c r="IP671" s="78"/>
      <c r="IQ671" s="78"/>
      <c r="IR671" s="78"/>
      <c r="IS671" s="78"/>
      <c r="IT671" s="78"/>
      <c r="IU671" s="78"/>
      <c r="IV671" s="78" t="s">
        <v>1367</v>
      </c>
      <c r="IW671" s="78"/>
      <c r="IX671" s="221" t="s">
        <v>1370</v>
      </c>
      <c r="IY671" s="78"/>
      <c r="IZ671" s="78"/>
      <c r="JA671" s="78"/>
      <c r="JB671" s="78"/>
      <c r="JC671" s="78"/>
      <c r="JD671" s="78"/>
      <c r="JE671" s="78"/>
      <c r="JF671" s="78"/>
      <c r="JG671" s="78"/>
      <c r="JH671" s="78"/>
      <c r="JI671" s="78"/>
      <c r="JJ671" s="78"/>
      <c r="JK671" s="78"/>
      <c r="JL671" s="78"/>
      <c r="JM671" s="78"/>
      <c r="JN671" s="78"/>
      <c r="JO671" s="78"/>
      <c r="JP671" s="131"/>
      <c r="JQ671" s="78"/>
      <c r="JR671" s="78"/>
      <c r="JS671" s="78"/>
      <c r="JT671" s="78"/>
      <c r="JU671" s="78"/>
      <c r="JV671" s="78"/>
      <c r="JW671" s="78"/>
      <c r="JX671" s="78"/>
      <c r="JY671" s="78"/>
      <c r="JZ671" s="131"/>
      <c r="KA671" s="78"/>
      <c r="KB671" s="78"/>
      <c r="KC671" s="78"/>
      <c r="KD671" s="78"/>
      <c r="KE671" s="78"/>
      <c r="KF671" s="78"/>
      <c r="KG671" s="78"/>
      <c r="KH671" s="78"/>
      <c r="KI671" s="78"/>
      <c r="KJ671" s="78"/>
      <c r="KK671" s="78"/>
      <c r="KL671" s="78"/>
      <c r="KM671" s="78"/>
      <c r="KN671" s="78"/>
      <c r="KO671" s="78"/>
      <c r="KP671" s="78"/>
      <c r="KQ671" s="78"/>
      <c r="KR671" s="131"/>
      <c r="KS671" s="131"/>
      <c r="KT671" s="131"/>
      <c r="KU671" s="131"/>
      <c r="KV671" s="78"/>
      <c r="KW671" s="78"/>
      <c r="KX671" s="78"/>
      <c r="KY671" s="78"/>
      <c r="KZ671" s="78"/>
      <c r="LA671" s="78"/>
      <c r="LB671" s="78"/>
      <c r="LC671" s="78"/>
      <c r="LD671" s="78"/>
      <c r="LE671" s="78"/>
      <c r="LF671" s="78"/>
      <c r="LG671" s="78"/>
      <c r="LH671" s="78"/>
      <c r="LI671" s="78"/>
      <c r="LJ671" s="78"/>
      <c r="LK671" s="78"/>
      <c r="LL671" s="78"/>
      <c r="LM671" s="78"/>
      <c r="LN671" s="78"/>
      <c r="LO671" s="78"/>
      <c r="LP671" s="78"/>
      <c r="LQ671" s="78"/>
      <c r="LR671" s="78"/>
      <c r="LS671" s="78"/>
      <c r="LT671" s="78"/>
      <c r="LU671" s="78"/>
      <c r="LV671" s="78"/>
      <c r="LW671" s="78"/>
      <c r="LX671" s="78"/>
      <c r="LY671" s="78"/>
      <c r="LZ671" s="78"/>
      <c r="MA671" s="78"/>
      <c r="MB671" s="78"/>
      <c r="MC671" s="78"/>
      <c r="MD671" s="78"/>
      <c r="ME671" s="78"/>
      <c r="MF671" s="78"/>
      <c r="MG671" s="78"/>
      <c r="MH671" s="78"/>
      <c r="MI671" s="78"/>
      <c r="MJ671" s="78"/>
      <c r="MK671" s="78"/>
      <c r="ML671" s="78"/>
      <c r="MM671" s="78"/>
      <c r="MN671" s="78"/>
      <c r="MO671" s="78"/>
      <c r="MP671" s="78"/>
      <c r="MQ671" s="78"/>
      <c r="MR671" s="78"/>
      <c r="MS671" s="78"/>
      <c r="MT671" s="78" t="s">
        <v>1367</v>
      </c>
      <c r="MU671" s="185" t="s">
        <v>1370</v>
      </c>
      <c r="MV671" s="78" t="s">
        <v>480</v>
      </c>
      <c r="MW671" s="78" t="s">
        <v>480</v>
      </c>
      <c r="MX671" s="185" t="s">
        <v>1094</v>
      </c>
      <c r="MY671" s="78" t="s">
        <v>1329</v>
      </c>
      <c r="MZ671" s="78">
        <v>625</v>
      </c>
      <c r="NA671" s="78" t="s">
        <v>1330</v>
      </c>
      <c r="NB671" s="78" t="s">
        <v>1331</v>
      </c>
      <c r="NC671" s="78" t="s">
        <v>1332</v>
      </c>
      <c r="ND671" s="78" t="s">
        <v>1333</v>
      </c>
      <c r="NE671" s="78" t="s">
        <v>1334</v>
      </c>
      <c r="NF671" s="78" t="s">
        <v>1335</v>
      </c>
      <c r="NG671" s="78" t="s">
        <v>480</v>
      </c>
      <c r="NH671" s="78" t="s">
        <v>687</v>
      </c>
      <c r="NI671" s="78"/>
      <c r="NJ671" s="78" t="s">
        <v>1374</v>
      </c>
      <c r="NK671" s="78" t="s">
        <v>1375</v>
      </c>
      <c r="NL671" s="78" t="s">
        <v>1376</v>
      </c>
      <c r="NM671" t="s">
        <v>1377</v>
      </c>
      <c r="NN671" s="78"/>
      <c r="NO671" s="78"/>
      <c r="NP671" s="78"/>
      <c r="NQ671" s="78"/>
      <c r="NR671" s="78"/>
      <c r="NS671" s="78"/>
      <c r="NT671" s="78"/>
      <c r="NU671" s="78" t="s">
        <v>1339</v>
      </c>
      <c r="NV671" s="78" t="s">
        <v>518</v>
      </c>
      <c r="NW671" s="78">
        <v>3.34</v>
      </c>
      <c r="NX671" s="78" t="s">
        <v>916</v>
      </c>
      <c r="NY671" s="78">
        <v>0.9</v>
      </c>
      <c r="NZ671" s="78"/>
      <c r="OA671" s="78"/>
      <c r="OB671" s="78">
        <v>32</v>
      </c>
      <c r="OC671" s="78"/>
      <c r="OD671" s="78"/>
      <c r="OE671" s="78"/>
      <c r="OF671" s="78"/>
      <c r="OG671" s="78"/>
      <c r="OH671" s="78"/>
      <c r="OI671" s="78"/>
      <c r="OJ671" s="78"/>
      <c r="OK671" s="78"/>
      <c r="OL671" s="78"/>
      <c r="OM671" s="78"/>
      <c r="ON671" s="78"/>
      <c r="OO671" s="78"/>
      <c r="OP671" s="78"/>
      <c r="OQ671" s="78"/>
      <c r="OR671" s="78"/>
      <c r="OS671" s="78"/>
      <c r="OT671" s="78"/>
      <c r="OU671" s="78" t="s">
        <v>1341</v>
      </c>
      <c r="OV671" s="78" t="s">
        <v>518</v>
      </c>
      <c r="OW671" s="78"/>
      <c r="OX671" s="78">
        <v>2009</v>
      </c>
      <c r="OY671" s="78">
        <v>2010</v>
      </c>
      <c r="OZ671" s="78"/>
      <c r="PA671" s="78"/>
      <c r="PB671" s="78" t="s">
        <v>1342</v>
      </c>
      <c r="PC671" s="126">
        <v>46133</v>
      </c>
      <c r="PD671" s="78"/>
      <c r="PE671" s="78" t="s">
        <v>522</v>
      </c>
      <c r="PF671" s="126">
        <v>46164</v>
      </c>
      <c r="PG671" s="78" t="s">
        <v>1343</v>
      </c>
      <c r="PH671" s="124" t="s">
        <v>1344</v>
      </c>
    </row>
    <row r="672" spans="1:424">
      <c r="A672" s="78" t="s">
        <v>665</v>
      </c>
      <c r="B672" s="78" t="s">
        <v>1318</v>
      </c>
      <c r="C672" s="78" t="s">
        <v>1319</v>
      </c>
      <c r="D672" s="78" t="s">
        <v>950</v>
      </c>
      <c r="E672" s="78" t="s">
        <v>1320</v>
      </c>
      <c r="F672" s="78" t="s">
        <v>952</v>
      </c>
      <c r="G672" s="78" t="s">
        <v>475</v>
      </c>
      <c r="H672" s="78" t="s">
        <v>476</v>
      </c>
      <c r="I672" s="78">
        <v>-8.9</v>
      </c>
      <c r="J672" s="78">
        <v>-74.983000000000004</v>
      </c>
      <c r="K672" s="78">
        <v>500</v>
      </c>
      <c r="L672" s="78" t="s">
        <v>1319</v>
      </c>
      <c r="M672" s="78" t="s">
        <v>472</v>
      </c>
      <c r="N672" s="78" t="s">
        <v>1321</v>
      </c>
      <c r="O672" s="78" t="s">
        <v>1322</v>
      </c>
      <c r="P672" s="78" t="s">
        <v>475</v>
      </c>
      <c r="Q672" s="78" t="s">
        <v>476</v>
      </c>
      <c r="R672" s="78">
        <v>-8.5169999999999995</v>
      </c>
      <c r="S672" s="78">
        <v>-74.766999999999996</v>
      </c>
      <c r="T672" s="78">
        <v>500</v>
      </c>
      <c r="U672" s="78"/>
      <c r="V672" s="78"/>
      <c r="W672" s="78"/>
      <c r="X672" s="78"/>
      <c r="Y672" s="78"/>
      <c r="Z672" s="78"/>
      <c r="AA672" s="78"/>
      <c r="AB672" s="78"/>
      <c r="AC672" s="78"/>
      <c r="AD672" s="78"/>
      <c r="AE672" s="78"/>
      <c r="AF672" s="78"/>
      <c r="AG672" s="78"/>
      <c r="AH672" s="78"/>
      <c r="AI672" s="78"/>
      <c r="AJ672" s="78"/>
      <c r="AK672" s="78"/>
      <c r="AL672" s="78"/>
      <c r="AM672" s="78"/>
      <c r="AN672" s="78"/>
      <c r="AO672" s="78"/>
      <c r="AP672" s="78"/>
      <c r="AQ672" s="78"/>
      <c r="AR672" s="78"/>
      <c r="AS672" s="78"/>
      <c r="AT672" s="78"/>
      <c r="AU672" s="78"/>
      <c r="AV672" s="78" t="s">
        <v>1323</v>
      </c>
      <c r="AW672" s="78">
        <v>625</v>
      </c>
      <c r="AX672" s="78" t="s">
        <v>480</v>
      </c>
      <c r="AY672" s="223">
        <v>2</v>
      </c>
      <c r="AZ672" s="78" t="s">
        <v>1324</v>
      </c>
      <c r="BA672" s="78">
        <v>2009</v>
      </c>
      <c r="BB672" s="78">
        <v>2010</v>
      </c>
      <c r="BC672" s="78" t="s">
        <v>1325</v>
      </c>
      <c r="BD672" s="78" t="s">
        <v>1326</v>
      </c>
      <c r="BE672" s="78" t="s">
        <v>524</v>
      </c>
      <c r="BF672" s="78" t="s">
        <v>1084</v>
      </c>
      <c r="BG672" s="78"/>
      <c r="BH672" s="78"/>
      <c r="BI672" s="78"/>
      <c r="BJ672" s="78"/>
      <c r="BK672" s="78"/>
      <c r="BL672" s="78"/>
      <c r="BM672" s="78"/>
      <c r="BN672" s="78"/>
      <c r="BO672" s="78"/>
      <c r="BP672" s="78"/>
      <c r="BQ672" s="78"/>
      <c r="BR672" s="78"/>
      <c r="BS672" s="78"/>
      <c r="BT672" s="78"/>
      <c r="BU672" s="78"/>
      <c r="BV672" s="78"/>
      <c r="BW672" s="78"/>
      <c r="BX672" s="78"/>
      <c r="BY672" s="78"/>
      <c r="BZ672" s="78"/>
      <c r="CA672" s="78"/>
      <c r="CB672" s="78"/>
      <c r="CC672" s="78"/>
      <c r="CD672" s="78"/>
      <c r="CE672" s="78"/>
      <c r="CF672" s="78"/>
      <c r="CG672" s="78"/>
      <c r="CH672" s="78"/>
      <c r="CI672" s="78"/>
      <c r="CJ672" s="78"/>
      <c r="CK672" s="78"/>
      <c r="CL672" s="78"/>
      <c r="CM672" s="78"/>
      <c r="CN672" s="78"/>
      <c r="CO672" s="78"/>
      <c r="CP672" s="78"/>
      <c r="CQ672" s="78"/>
      <c r="CR672" s="78"/>
      <c r="CS672" s="78"/>
      <c r="CT672" s="78"/>
      <c r="CU672" s="78"/>
      <c r="CV672" s="78"/>
      <c r="CW672" s="78"/>
      <c r="CX672" s="78"/>
      <c r="CY672" s="78"/>
      <c r="CZ672" s="78"/>
      <c r="DA672" s="78"/>
      <c r="DB672" s="78"/>
      <c r="DC672" s="78"/>
      <c r="DD672" s="78"/>
      <c r="DE672" s="78"/>
      <c r="DF672" s="78"/>
      <c r="DG672" s="78"/>
      <c r="DH672" s="78"/>
      <c r="DI672" s="78"/>
      <c r="DJ672" s="78"/>
      <c r="DK672" s="78"/>
      <c r="DL672" s="78"/>
      <c r="DM672" s="78"/>
      <c r="DN672" s="78"/>
      <c r="DO672" s="78"/>
      <c r="DP672" s="78"/>
      <c r="DQ672" s="78"/>
      <c r="DR672" s="78"/>
      <c r="DS672" s="78"/>
      <c r="DT672" s="78"/>
      <c r="DU672" s="78"/>
      <c r="DV672" s="78"/>
      <c r="DW672" s="78"/>
      <c r="DX672" s="78"/>
      <c r="DY672" s="78"/>
      <c r="DZ672" s="78"/>
      <c r="EA672" s="78"/>
      <c r="EB672" s="78"/>
      <c r="EC672" s="78"/>
      <c r="ED672" s="78"/>
      <c r="EE672" s="78"/>
      <c r="EF672" s="78"/>
      <c r="EG672" s="78"/>
      <c r="EH672" s="78"/>
      <c r="EI672" s="125"/>
      <c r="EJ672" s="125"/>
      <c r="EK672" s="125"/>
      <c r="EL672" s="125"/>
      <c r="EM672" s="125"/>
      <c r="EN672" s="125"/>
      <c r="EO672" s="125"/>
      <c r="EP672" s="125"/>
      <c r="EQ672" s="125"/>
      <c r="ER672" s="125"/>
      <c r="ES672" s="125"/>
      <c r="ET672" s="125"/>
      <c r="EU672" s="125"/>
      <c r="EV672" s="125"/>
      <c r="EW672" s="125"/>
      <c r="EX672" s="125"/>
      <c r="EY672" s="125"/>
      <c r="EZ672" s="125"/>
      <c r="FA672" s="125"/>
      <c r="FB672" s="125"/>
      <c r="FC672" s="125"/>
      <c r="FD672" s="125"/>
      <c r="FE672" s="125"/>
      <c r="FF672" s="125"/>
      <c r="FG672" s="125"/>
      <c r="FH672" s="125"/>
      <c r="FI672" s="125"/>
      <c r="FJ672" s="125"/>
      <c r="FK672" s="125"/>
      <c r="FL672" s="125"/>
      <c r="FM672" s="125"/>
      <c r="FN672" s="125"/>
      <c r="FO672" s="125"/>
      <c r="FP672" s="125"/>
      <c r="FQ672" s="125"/>
      <c r="FR672" s="125"/>
      <c r="FS672" s="125"/>
      <c r="FT672" s="125"/>
      <c r="FU672" s="125"/>
      <c r="FV672" s="125"/>
      <c r="FW672" s="125"/>
      <c r="FX672" s="125"/>
      <c r="FY672" s="125"/>
      <c r="FZ672" s="125"/>
      <c r="GA672" s="125"/>
      <c r="GB672" s="125"/>
      <c r="GC672" s="125"/>
      <c r="GD672" s="125"/>
      <c r="GE672" s="125"/>
      <c r="GF672" s="125"/>
      <c r="GG672" s="125"/>
      <c r="GH672" s="125"/>
      <c r="GI672" s="125"/>
      <c r="GJ672" s="125"/>
      <c r="GK672" s="125"/>
      <c r="GL672" s="125"/>
      <c r="GM672" s="125"/>
      <c r="GN672" s="125"/>
      <c r="GO672" s="125"/>
      <c r="GP672" s="125"/>
      <c r="GQ672" s="125"/>
      <c r="GR672" s="125"/>
      <c r="GS672" s="125"/>
      <c r="GT672" s="125"/>
      <c r="GU672" s="125"/>
      <c r="GV672" s="125"/>
      <c r="GW672" s="125"/>
      <c r="GX672" s="125"/>
      <c r="GY672" s="125"/>
      <c r="GZ672" s="125"/>
      <c r="HA672" s="125"/>
      <c r="HB672" s="125"/>
      <c r="HC672" s="125"/>
      <c r="HD672" s="125"/>
      <c r="HE672" s="125"/>
      <c r="HF672" s="125"/>
      <c r="HG672" s="125"/>
      <c r="HH672" s="125"/>
      <c r="HI672" s="125"/>
      <c r="HJ672" s="125"/>
      <c r="HK672" s="125" t="s">
        <v>1327</v>
      </c>
      <c r="HL672" s="125" t="s">
        <v>488</v>
      </c>
      <c r="HM672" s="78"/>
      <c r="HN672" s="78"/>
      <c r="HO672" s="78"/>
      <c r="HP672" s="78"/>
      <c r="HQ672" s="78"/>
      <c r="HR672" s="78"/>
      <c r="HS672" s="78"/>
      <c r="HT672" s="78"/>
      <c r="HU672" s="78"/>
      <c r="HV672" s="78"/>
      <c r="HW672" s="78"/>
      <c r="HX672" s="78"/>
      <c r="HY672" s="126"/>
      <c r="HZ672" s="78"/>
      <c r="IA672" s="78"/>
      <c r="IB672" s="78"/>
      <c r="IC672" s="78"/>
      <c r="ID672" s="78"/>
      <c r="IE672" s="78"/>
      <c r="IF672" s="78"/>
      <c r="IG672" s="78"/>
      <c r="IH672" s="78"/>
      <c r="II672" s="78"/>
      <c r="IJ672" s="78"/>
      <c r="IK672" s="78"/>
      <c r="IL672" s="78"/>
      <c r="IM672" s="78"/>
      <c r="IN672" s="78"/>
      <c r="IO672" s="78"/>
      <c r="IP672" s="78"/>
      <c r="IQ672" s="78"/>
      <c r="IR672" s="78"/>
      <c r="IS672" s="78"/>
      <c r="IT672" s="78"/>
      <c r="IU672" s="78"/>
      <c r="IV672" s="78" t="s">
        <v>1328</v>
      </c>
      <c r="IX672" s="185" t="s">
        <v>1092</v>
      </c>
      <c r="IY672" s="78"/>
      <c r="IZ672" s="78">
        <v>20</v>
      </c>
      <c r="JA672" s="78">
        <v>95</v>
      </c>
      <c r="JB672" t="s">
        <v>480</v>
      </c>
      <c r="JC672" t="s">
        <v>480</v>
      </c>
      <c r="JD672" s="78"/>
      <c r="JE672" s="78"/>
      <c r="JF672" s="78"/>
      <c r="JG672" s="78"/>
      <c r="JH672" s="78"/>
      <c r="JI672" s="78"/>
      <c r="JJ672" s="78"/>
      <c r="JK672" s="78"/>
      <c r="JL672" s="78"/>
      <c r="JM672" s="78"/>
      <c r="JN672" s="78"/>
      <c r="JO672" s="78"/>
      <c r="JP672" s="131"/>
      <c r="JQ672" s="78"/>
      <c r="JR672" s="78"/>
      <c r="JS672" s="78"/>
      <c r="JT672" s="78"/>
      <c r="JU672" s="78"/>
      <c r="JV672" s="78"/>
      <c r="JW672" s="78"/>
      <c r="JX672" s="78"/>
      <c r="JY672" s="78"/>
      <c r="JZ672" s="131"/>
      <c r="KA672" s="78"/>
      <c r="KB672" s="78"/>
      <c r="KC672" s="78"/>
      <c r="KD672" s="78"/>
      <c r="KE672" s="78"/>
      <c r="KF672" s="78"/>
      <c r="KG672" s="78"/>
      <c r="KH672" s="78"/>
      <c r="KI672" s="78"/>
      <c r="KJ672" s="78"/>
      <c r="KK672" s="78"/>
      <c r="KL672" s="78"/>
      <c r="KM672" s="78"/>
      <c r="KN672" s="78"/>
      <c r="KO672" s="78"/>
      <c r="KP672" s="78"/>
      <c r="KQ672" s="78"/>
      <c r="KR672" s="131"/>
      <c r="KS672" s="131"/>
      <c r="KT672" s="131"/>
      <c r="KU672" s="131"/>
      <c r="KV672" s="78"/>
      <c r="KW672" s="78"/>
      <c r="KX672" s="78"/>
      <c r="KY672" s="78"/>
      <c r="KZ672" s="78"/>
      <c r="LA672" s="78"/>
      <c r="LB672" s="78"/>
      <c r="LC672" s="78"/>
      <c r="LD672" s="78"/>
      <c r="LE672" s="78"/>
      <c r="LF672" s="78"/>
      <c r="LG672" s="78"/>
      <c r="LH672" s="78"/>
      <c r="LI672" s="78"/>
      <c r="LJ672" s="78"/>
      <c r="LK672" s="78"/>
      <c r="LL672" s="78"/>
      <c r="LM672" s="78"/>
      <c r="LN672" s="78"/>
      <c r="LO672" s="78"/>
      <c r="LP672" s="78"/>
      <c r="LQ672" s="78"/>
      <c r="LR672" s="78"/>
      <c r="LS672" s="78"/>
      <c r="LT672" s="78"/>
      <c r="LU672" s="78"/>
      <c r="LV672" s="78"/>
      <c r="LW672" s="78"/>
      <c r="LX672" s="78"/>
      <c r="LY672" s="78"/>
      <c r="LZ672" s="78"/>
      <c r="MA672" s="78"/>
      <c r="MB672" s="78"/>
      <c r="MC672" s="78"/>
      <c r="MD672" s="78"/>
      <c r="ME672" s="78"/>
      <c r="MF672" s="78"/>
      <c r="MG672" s="78"/>
      <c r="MH672" s="78"/>
      <c r="MI672" s="78"/>
      <c r="MJ672" s="78"/>
      <c r="MK672" s="78"/>
      <c r="ML672" s="78"/>
      <c r="MM672" s="78"/>
      <c r="MN672" s="78"/>
      <c r="MO672" s="78"/>
      <c r="MP672" s="78"/>
      <c r="MQ672" s="78"/>
      <c r="MR672" s="78"/>
      <c r="MS672" s="78"/>
      <c r="MT672" s="78" t="s">
        <v>1328</v>
      </c>
      <c r="MU672" s="185" t="s">
        <v>1092</v>
      </c>
      <c r="MV672" s="78" t="s">
        <v>480</v>
      </c>
      <c r="MW672" s="185" t="s">
        <v>1093</v>
      </c>
      <c r="MX672" s="185" t="s">
        <v>1094</v>
      </c>
      <c r="MY672" s="78" t="s">
        <v>1329</v>
      </c>
      <c r="MZ672" s="78">
        <v>625</v>
      </c>
      <c r="NA672" s="78" t="s">
        <v>1330</v>
      </c>
      <c r="NB672" s="78" t="s">
        <v>1331</v>
      </c>
      <c r="NC672" s="78" t="s">
        <v>1332</v>
      </c>
      <c r="ND672" s="78" t="s">
        <v>1333</v>
      </c>
      <c r="NE672" s="78" t="s">
        <v>1334</v>
      </c>
      <c r="NF672" s="78" t="s">
        <v>1335</v>
      </c>
      <c r="NG672" s="78" t="s">
        <v>480</v>
      </c>
      <c r="NH672" s="78" t="s">
        <v>687</v>
      </c>
      <c r="NI672" s="78"/>
      <c r="NJ672" s="78" t="s">
        <v>1378</v>
      </c>
      <c r="NK672" s="78" t="s">
        <v>1379</v>
      </c>
      <c r="NL672" s="78" t="s">
        <v>1380</v>
      </c>
      <c r="NM672" s="78" t="s">
        <v>1381</v>
      </c>
      <c r="NN672" s="78"/>
      <c r="NO672" s="78"/>
      <c r="NP672" s="78"/>
      <c r="NQ672" s="78"/>
      <c r="NR672" s="78"/>
      <c r="NS672" s="78"/>
      <c r="NT672" s="78"/>
      <c r="NU672" s="78" t="s">
        <v>1339</v>
      </c>
      <c r="NV672" s="78" t="s">
        <v>518</v>
      </c>
      <c r="NW672" s="78">
        <v>0.64800000000000002</v>
      </c>
      <c r="NX672" s="78" t="s">
        <v>916</v>
      </c>
      <c r="NY672" s="78">
        <v>0.155</v>
      </c>
      <c r="NZ672" s="78"/>
      <c r="OA672" s="78"/>
      <c r="OB672" s="78">
        <v>8</v>
      </c>
      <c r="OC672" s="78"/>
      <c r="OD672" s="78"/>
      <c r="OE672" s="78"/>
      <c r="OF672" s="78"/>
      <c r="OG672" s="78"/>
      <c r="OH672" s="78"/>
      <c r="OI672" s="78"/>
      <c r="OJ672" s="78"/>
      <c r="OK672" s="78"/>
      <c r="OL672" s="78"/>
      <c r="OM672" s="78"/>
      <c r="ON672" s="78"/>
      <c r="OO672" s="78"/>
      <c r="OP672" s="78"/>
      <c r="OQ672" s="78"/>
      <c r="OR672" s="78"/>
      <c r="OS672" s="78"/>
      <c r="OT672" s="78"/>
      <c r="OU672" s="78" t="s">
        <v>1341</v>
      </c>
      <c r="OV672" s="78" t="s">
        <v>518</v>
      </c>
      <c r="OW672" s="78"/>
      <c r="OX672" s="78">
        <v>2009</v>
      </c>
      <c r="OY672" s="78">
        <v>2010</v>
      </c>
      <c r="OZ672" s="78"/>
      <c r="PA672" s="78"/>
      <c r="PB672" s="78" t="s">
        <v>1342</v>
      </c>
      <c r="PC672" s="126">
        <v>46133</v>
      </c>
      <c r="PD672" s="78"/>
      <c r="PE672" s="78" t="s">
        <v>522</v>
      </c>
      <c r="PF672" s="126">
        <v>46164</v>
      </c>
      <c r="PG672" s="78" t="s">
        <v>1343</v>
      </c>
      <c r="PH672" s="124" t="s">
        <v>1344</v>
      </c>
    </row>
    <row r="673" spans="1:424">
      <c r="A673" t="s">
        <v>665</v>
      </c>
      <c r="B673" t="s">
        <v>1318</v>
      </c>
      <c r="C673" t="s">
        <v>1319</v>
      </c>
      <c r="D673" t="s">
        <v>472</v>
      </c>
      <c r="E673" t="s">
        <v>1321</v>
      </c>
      <c r="F673" t="s">
        <v>1322</v>
      </c>
      <c r="G673" t="s">
        <v>475</v>
      </c>
      <c r="H673" t="s">
        <v>476</v>
      </c>
      <c r="I673">
        <v>-8.5169999999999995</v>
      </c>
      <c r="J673">
        <v>-74.766999999999996</v>
      </c>
      <c r="K673" s="78">
        <v>500</v>
      </c>
      <c r="L673" t="s">
        <v>1319</v>
      </c>
      <c r="M673" t="s">
        <v>472</v>
      </c>
      <c r="N673" t="s">
        <v>1345</v>
      </c>
      <c r="O673" t="s">
        <v>1322</v>
      </c>
      <c r="P673" t="s">
        <v>475</v>
      </c>
      <c r="Q673" t="s">
        <v>476</v>
      </c>
      <c r="R673">
        <v>-8.3670000000000009</v>
      </c>
      <c r="S673">
        <v>-74.7</v>
      </c>
      <c r="T673" s="78">
        <v>500</v>
      </c>
      <c r="AV673" t="s">
        <v>1323</v>
      </c>
      <c r="AW673">
        <v>625</v>
      </c>
      <c r="AX673" t="s">
        <v>480</v>
      </c>
      <c r="AY673" s="224">
        <v>2</v>
      </c>
      <c r="AZ673" t="s">
        <v>1324</v>
      </c>
      <c r="BA673">
        <v>2009</v>
      </c>
      <c r="BB673">
        <v>2010</v>
      </c>
      <c r="BC673" t="s">
        <v>1325</v>
      </c>
      <c r="BD673" t="s">
        <v>1346</v>
      </c>
      <c r="BE673" t="s">
        <v>536</v>
      </c>
      <c r="BF673" t="s">
        <v>484</v>
      </c>
      <c r="BG673" t="s">
        <v>1347</v>
      </c>
      <c r="BH673" t="s">
        <v>480</v>
      </c>
      <c r="BI673" t="s">
        <v>480</v>
      </c>
      <c r="BJ673" t="s">
        <v>480</v>
      </c>
      <c r="BK673" t="s">
        <v>537</v>
      </c>
      <c r="ED673" t="s">
        <v>1348</v>
      </c>
      <c r="EE673" t="s">
        <v>1349</v>
      </c>
      <c r="EF673">
        <v>0.24</v>
      </c>
      <c r="EI673" s="9"/>
      <c r="EJ673" s="9"/>
      <c r="EK673" s="9"/>
      <c r="EL673" s="9"/>
      <c r="EM673" s="9"/>
      <c r="EN673" s="9"/>
      <c r="EO673" s="9"/>
      <c r="EP673" s="9"/>
      <c r="EQ673" s="9"/>
      <c r="ER673" s="9"/>
      <c r="ES673" s="9"/>
      <c r="ET673" s="9"/>
      <c r="EU673" s="9"/>
      <c r="EV673" s="9"/>
      <c r="EW673" s="9"/>
      <c r="EX673" s="9"/>
      <c r="EY673" s="9"/>
      <c r="EZ673" s="9"/>
      <c r="FA673" s="9"/>
      <c r="FB673" s="9"/>
      <c r="FC673" s="9"/>
      <c r="FD673" s="9"/>
      <c r="FE673" s="9"/>
      <c r="FF673" s="9"/>
      <c r="FG673" s="9"/>
      <c r="FH673" s="9"/>
      <c r="FI673" s="9"/>
      <c r="FJ673" s="9"/>
      <c r="FK673" s="9"/>
      <c r="FL673" s="9"/>
      <c r="FM673" s="9"/>
      <c r="FN673" s="9"/>
      <c r="FO673" s="9"/>
      <c r="FP673" s="9"/>
      <c r="FQ673" s="9"/>
      <c r="FR673" s="9"/>
      <c r="FS673" s="9"/>
      <c r="FT673" s="9"/>
      <c r="FU673" s="9"/>
      <c r="FV673" s="9"/>
      <c r="FW673" s="9"/>
      <c r="FX673" s="9"/>
      <c r="FY673" s="9"/>
      <c r="FZ673" s="9"/>
      <c r="GA673" s="9"/>
      <c r="GB673" s="9"/>
      <c r="GC673" s="9"/>
      <c r="GD673" s="9"/>
      <c r="GE673" s="9"/>
      <c r="GF673" s="9"/>
      <c r="GG673" s="9"/>
      <c r="GH673" s="9"/>
      <c r="GI673" s="9"/>
      <c r="GJ673" s="9"/>
      <c r="GK673" s="9"/>
      <c r="GL673" s="9"/>
      <c r="GM673" s="9"/>
      <c r="GN673" s="9"/>
      <c r="GO673" s="9"/>
      <c r="GP673" s="9"/>
      <c r="GQ673" s="9"/>
      <c r="GR673" s="9"/>
      <c r="GS673" s="9"/>
      <c r="GT673" s="9"/>
      <c r="GU673" s="9"/>
      <c r="GV673" s="9"/>
      <c r="GW673" s="9"/>
      <c r="GX673" s="9"/>
      <c r="GY673" s="9"/>
      <c r="GZ673" s="9"/>
      <c r="HA673" s="9"/>
      <c r="HB673" s="9"/>
      <c r="HC673" s="9"/>
      <c r="HD673" s="9"/>
      <c r="HE673" s="9"/>
      <c r="HF673" s="9"/>
      <c r="HG673" s="9"/>
      <c r="HH673" s="9"/>
      <c r="HI673" s="9"/>
      <c r="HJ673" s="9"/>
      <c r="HK673" s="9" t="s">
        <v>1350</v>
      </c>
      <c r="HL673" s="9" t="s">
        <v>488</v>
      </c>
      <c r="HY673" s="50"/>
      <c r="IV673" t="s">
        <v>1351</v>
      </c>
      <c r="IX673" s="2" t="s">
        <v>1352</v>
      </c>
      <c r="IZ673">
        <v>6</v>
      </c>
      <c r="JA673">
        <v>77.5</v>
      </c>
      <c r="JB673">
        <v>75</v>
      </c>
      <c r="JC673">
        <v>80</v>
      </c>
      <c r="JD673">
        <v>7.5</v>
      </c>
      <c r="JE673">
        <v>6</v>
      </c>
      <c r="JF673">
        <v>9</v>
      </c>
      <c r="JP673" s="9"/>
      <c r="JZ673" s="9"/>
      <c r="KR673" s="9"/>
      <c r="KS673" s="9"/>
      <c r="KT673" s="9"/>
      <c r="KU673" s="9"/>
      <c r="MY673" t="s">
        <v>1329</v>
      </c>
      <c r="MZ673">
        <v>625</v>
      </c>
      <c r="NA673" t="s">
        <v>1330</v>
      </c>
      <c r="NB673" t="s">
        <v>1331</v>
      </c>
      <c r="NC673" t="s">
        <v>1332</v>
      </c>
      <c r="ND673" t="s">
        <v>1333</v>
      </c>
      <c r="NE673" t="s">
        <v>1334</v>
      </c>
      <c r="NF673" t="s">
        <v>1335</v>
      </c>
      <c r="NG673" s="78" t="s">
        <v>480</v>
      </c>
      <c r="NH673" s="78" t="s">
        <v>687</v>
      </c>
      <c r="NJ673" t="s">
        <v>1378</v>
      </c>
      <c r="NK673" t="s">
        <v>1379</v>
      </c>
      <c r="NL673" t="s">
        <v>1380</v>
      </c>
      <c r="NM673" t="s">
        <v>1381</v>
      </c>
      <c r="NV673" t="s">
        <v>518</v>
      </c>
      <c r="NW673">
        <v>0.18099999999999999</v>
      </c>
      <c r="NX673" t="s">
        <v>916</v>
      </c>
      <c r="NY673">
        <v>3.3000000000000002E-2</v>
      </c>
      <c r="OB673">
        <v>31</v>
      </c>
      <c r="OU673" t="s">
        <v>1341</v>
      </c>
      <c r="OV673" s="78" t="s">
        <v>518</v>
      </c>
      <c r="OX673">
        <v>2009</v>
      </c>
      <c r="OY673">
        <v>2010</v>
      </c>
      <c r="PB673" t="s">
        <v>1342</v>
      </c>
      <c r="PC673" s="50">
        <v>46133</v>
      </c>
      <c r="PE673" s="78" t="s">
        <v>522</v>
      </c>
      <c r="PF673" s="126">
        <v>46164</v>
      </c>
      <c r="PG673" s="78" t="s">
        <v>1343</v>
      </c>
      <c r="PH673" s="124" t="s">
        <v>1344</v>
      </c>
    </row>
    <row r="674" spans="1:424">
      <c r="A674" s="78" t="s">
        <v>665</v>
      </c>
      <c r="B674" s="78" t="s">
        <v>1318</v>
      </c>
      <c r="C674" s="78" t="s">
        <v>1319</v>
      </c>
      <c r="D674" s="78" t="s">
        <v>472</v>
      </c>
      <c r="E674" s="78" t="s">
        <v>1353</v>
      </c>
      <c r="F674" s="78" t="s">
        <v>1322</v>
      </c>
      <c r="G674" s="78" t="s">
        <v>475</v>
      </c>
      <c r="H674" s="78" t="s">
        <v>476</v>
      </c>
      <c r="I674" s="78">
        <v>-8.8170000000000002</v>
      </c>
      <c r="J674" s="78">
        <v>-75.2</v>
      </c>
      <c r="K674" s="78">
        <v>500</v>
      </c>
      <c r="L674" s="78" t="s">
        <v>1319</v>
      </c>
      <c r="M674" s="78" t="s">
        <v>472</v>
      </c>
      <c r="N674" s="78" t="s">
        <v>1321</v>
      </c>
      <c r="O674" s="78" t="s">
        <v>1322</v>
      </c>
      <c r="P674" s="78" t="s">
        <v>475</v>
      </c>
      <c r="Q674" s="78" t="s">
        <v>476</v>
      </c>
      <c r="R674" s="78">
        <v>-8.5169999999999995</v>
      </c>
      <c r="S674" s="78">
        <v>-74.766999999999996</v>
      </c>
      <c r="T674" s="78">
        <v>500</v>
      </c>
      <c r="U674" s="78"/>
      <c r="V674" s="78"/>
      <c r="W674" s="78"/>
      <c r="X674" s="78"/>
      <c r="Y674" s="78"/>
      <c r="Z674" s="78"/>
      <c r="AA674" s="78"/>
      <c r="AB674" s="78"/>
      <c r="AC674" s="78"/>
      <c r="AD674" s="78"/>
      <c r="AE674" s="78"/>
      <c r="AF674" s="78"/>
      <c r="AG674" s="78"/>
      <c r="AH674" s="78"/>
      <c r="AI674" s="78"/>
      <c r="AJ674" s="78"/>
      <c r="AK674" s="78"/>
      <c r="AL674" s="78"/>
      <c r="AM674" s="78"/>
      <c r="AN674" s="78"/>
      <c r="AO674" s="78"/>
      <c r="AP674" s="78"/>
      <c r="AQ674" s="78"/>
      <c r="AR674" s="78"/>
      <c r="AS674" s="78"/>
      <c r="AT674" s="78"/>
      <c r="AU674" s="78"/>
      <c r="AV674" s="78" t="s">
        <v>1323</v>
      </c>
      <c r="AW674" s="78">
        <v>625</v>
      </c>
      <c r="AX674" s="78" t="s">
        <v>480</v>
      </c>
      <c r="AY674" s="223">
        <v>2</v>
      </c>
      <c r="AZ674" s="78" t="s">
        <v>1324</v>
      </c>
      <c r="BA674" s="78">
        <v>2009</v>
      </c>
      <c r="BB674" s="78">
        <v>2010</v>
      </c>
      <c r="BC674" s="78" t="s">
        <v>1325</v>
      </c>
      <c r="BD674" s="78" t="s">
        <v>1354</v>
      </c>
      <c r="BE674" s="78" t="s">
        <v>566</v>
      </c>
      <c r="BF674" s="78" t="s">
        <v>484</v>
      </c>
      <c r="BG674" s="78" t="s">
        <v>1355</v>
      </c>
      <c r="BH674" s="78" t="s">
        <v>480</v>
      </c>
      <c r="BI674" s="78" t="s">
        <v>480</v>
      </c>
      <c r="BJ674" s="78" t="s">
        <v>480</v>
      </c>
      <c r="BK674" s="78" t="s">
        <v>537</v>
      </c>
      <c r="BL674" s="78"/>
      <c r="BM674" s="78"/>
      <c r="BN674" s="78"/>
      <c r="BO674" s="78"/>
      <c r="BP674" s="78"/>
      <c r="BQ674" s="78"/>
      <c r="BR674" s="78"/>
      <c r="BS674" s="78"/>
      <c r="BT674" s="78"/>
      <c r="BU674" s="78"/>
      <c r="BV674" s="78"/>
      <c r="BW674" s="78"/>
      <c r="BX674" s="78"/>
      <c r="BY674" s="78"/>
      <c r="BZ674" s="78"/>
      <c r="CA674" s="78"/>
      <c r="CB674" s="78"/>
      <c r="CC674" s="78"/>
      <c r="CD674" s="78"/>
      <c r="CE674" s="78"/>
      <c r="CF674" s="78"/>
      <c r="CG674" s="78"/>
      <c r="CH674" s="78"/>
      <c r="CI674" s="78"/>
      <c r="CJ674" s="78"/>
      <c r="CK674" s="78"/>
      <c r="CL674" s="78"/>
      <c r="CM674" s="78"/>
      <c r="CN674" s="78"/>
      <c r="CO674" s="78"/>
      <c r="CP674" s="78"/>
      <c r="CQ674" s="78"/>
      <c r="CR674" s="78"/>
      <c r="CS674" s="78"/>
      <c r="CT674" s="78"/>
      <c r="CU674" s="78"/>
      <c r="CV674" s="78"/>
      <c r="CW674" s="78"/>
      <c r="CX674" s="78"/>
      <c r="CY674" s="78"/>
      <c r="CZ674" s="78"/>
      <c r="DA674" s="78"/>
      <c r="DB674" s="78"/>
      <c r="DC674" s="78"/>
      <c r="DD674" s="78"/>
      <c r="DE674" s="78"/>
      <c r="DF674" s="78"/>
      <c r="DG674" s="78"/>
      <c r="DH674" s="78"/>
      <c r="DI674" s="78"/>
      <c r="DJ674" s="78"/>
      <c r="DK674" s="78"/>
      <c r="DL674" s="78"/>
      <c r="DM674" s="78"/>
      <c r="DN674" s="78"/>
      <c r="DO674" s="78"/>
      <c r="DP674" s="78"/>
      <c r="DQ674" s="78"/>
      <c r="DR674" s="78"/>
      <c r="DS674" s="78"/>
      <c r="DT674" s="78"/>
      <c r="DU674" s="78"/>
      <c r="DV674" s="78"/>
      <c r="DW674" s="78"/>
      <c r="DX674" s="78"/>
      <c r="DY674" s="78"/>
      <c r="DZ674" s="78"/>
      <c r="EA674" s="78"/>
      <c r="EB674" s="78"/>
      <c r="EC674" s="78"/>
      <c r="ED674" s="78" t="s">
        <v>1356</v>
      </c>
      <c r="EE674" s="125" t="s">
        <v>480</v>
      </c>
      <c r="EF674" s="125" t="s">
        <v>480</v>
      </c>
      <c r="EG674" s="125" t="s">
        <v>537</v>
      </c>
      <c r="EH674" s="125" t="s">
        <v>1357</v>
      </c>
      <c r="EI674" s="125" t="s">
        <v>480</v>
      </c>
      <c r="EJ674" s="125" t="s">
        <v>480</v>
      </c>
      <c r="EK674" s="125" t="s">
        <v>537</v>
      </c>
      <c r="EL674" s="125" t="s">
        <v>1358</v>
      </c>
      <c r="EM674" s="125" t="s">
        <v>480</v>
      </c>
      <c r="EN674" s="125" t="s">
        <v>480</v>
      </c>
      <c r="EO674" s="125" t="s">
        <v>537</v>
      </c>
      <c r="EP674" s="125" t="s">
        <v>1359</v>
      </c>
      <c r="EQ674" s="125" t="s">
        <v>480</v>
      </c>
      <c r="ER674" s="125" t="s">
        <v>480</v>
      </c>
      <c r="ES674" s="125"/>
      <c r="ET674" s="125"/>
      <c r="EU674" s="125"/>
      <c r="EV674" s="125"/>
      <c r="EW674" s="125"/>
      <c r="EX674" s="125"/>
      <c r="EY674" s="125"/>
      <c r="EZ674" s="125"/>
      <c r="FA674" s="125"/>
      <c r="FB674" s="125"/>
      <c r="FC674" s="125"/>
      <c r="FD674" s="125"/>
      <c r="FE674" s="125"/>
      <c r="FF674" s="125"/>
      <c r="FG674" s="125"/>
      <c r="FH674" s="125"/>
      <c r="FI674" s="125"/>
      <c r="FJ674" s="125"/>
      <c r="FK674" s="125"/>
      <c r="FL674" s="125"/>
      <c r="FM674" s="125"/>
      <c r="FN674" s="125"/>
      <c r="FO674" s="125"/>
      <c r="FP674" s="125"/>
      <c r="FQ674" s="125"/>
      <c r="FR674" s="125"/>
      <c r="FS674" s="125"/>
      <c r="FT674" s="125"/>
      <c r="FU674" s="125"/>
      <c r="FV674" s="125"/>
      <c r="FW674" s="125"/>
      <c r="FX674" s="125"/>
      <c r="FY674" s="125"/>
      <c r="FZ674" s="125"/>
      <c r="GA674" s="125"/>
      <c r="GB674" s="125"/>
      <c r="GC674" s="125"/>
      <c r="GD674" s="125"/>
      <c r="GE674" s="125"/>
      <c r="GF674" s="125"/>
      <c r="GG674" s="125"/>
      <c r="GH674" s="125"/>
      <c r="GI674" s="125"/>
      <c r="GJ674" s="125"/>
      <c r="GK674" s="125"/>
      <c r="GL674" s="125"/>
      <c r="GM674" s="125"/>
      <c r="GN674" s="125"/>
      <c r="GO674" s="125"/>
      <c r="GP674" s="125"/>
      <c r="GQ674" s="125"/>
      <c r="GR674" s="125"/>
      <c r="GS674" s="125"/>
      <c r="GT674" s="125"/>
      <c r="GU674" s="125"/>
      <c r="GV674" s="125"/>
      <c r="GW674" s="125"/>
      <c r="GX674" s="125"/>
      <c r="GY674" s="125"/>
      <c r="GZ674" s="125"/>
      <c r="HA674" s="125"/>
      <c r="HB674" s="125"/>
      <c r="HC674" s="125"/>
      <c r="HD674" s="125"/>
      <c r="HE674" s="125"/>
      <c r="HF674" s="125"/>
      <c r="HG674" s="125"/>
      <c r="HH674" s="125"/>
      <c r="HI674" s="125"/>
      <c r="HJ674" s="125"/>
      <c r="HK674" s="125" t="s">
        <v>1350</v>
      </c>
      <c r="HL674" s="125" t="s">
        <v>488</v>
      </c>
      <c r="HM674" s="78"/>
      <c r="HN674" s="78"/>
      <c r="HO674" s="78"/>
      <c r="HP674" s="78"/>
      <c r="HQ674" s="78"/>
      <c r="HR674" s="78"/>
      <c r="HS674" s="78"/>
      <c r="HT674" s="78"/>
      <c r="HU674" s="78"/>
      <c r="HV674" s="78"/>
      <c r="HW674" s="78"/>
      <c r="HX674" s="78"/>
      <c r="HY674" s="126"/>
      <c r="HZ674" s="78"/>
      <c r="IA674" s="78"/>
      <c r="IB674" s="78"/>
      <c r="IC674" s="78"/>
      <c r="ID674" s="78"/>
      <c r="IE674" s="78"/>
      <c r="IF674" s="78"/>
      <c r="IG674" s="78"/>
      <c r="IH674" s="78"/>
      <c r="II674" s="78"/>
      <c r="IJ674" s="78"/>
      <c r="IK674" s="78"/>
      <c r="IL674" s="78"/>
      <c r="IM674" s="78"/>
      <c r="IN674" s="78"/>
      <c r="IO674" s="78"/>
      <c r="IP674" s="78"/>
      <c r="IQ674" s="78"/>
      <c r="IR674" s="78"/>
      <c r="IS674" s="78"/>
      <c r="IT674" s="78"/>
      <c r="IU674" s="78"/>
      <c r="IV674" s="78" t="s">
        <v>1360</v>
      </c>
      <c r="IW674" s="78" t="s">
        <v>1361</v>
      </c>
      <c r="IX674" s="2" t="s">
        <v>1362</v>
      </c>
      <c r="IY674" s="78"/>
      <c r="IZ674" s="78"/>
      <c r="JA674" s="78">
        <v>50</v>
      </c>
      <c r="JB674" t="s">
        <v>480</v>
      </c>
      <c r="JC674" t="s">
        <v>480</v>
      </c>
      <c r="JD674" s="78">
        <v>12</v>
      </c>
      <c r="JE674" t="s">
        <v>480</v>
      </c>
      <c r="JF674" t="s">
        <v>480</v>
      </c>
      <c r="JG674" s="78"/>
      <c r="JH674" s="78"/>
      <c r="JI674" s="78"/>
      <c r="JJ674" s="78"/>
      <c r="JK674" s="78"/>
      <c r="JL674" s="78"/>
      <c r="JM674" s="78"/>
      <c r="JN674" s="78"/>
      <c r="JO674" s="78"/>
      <c r="JP674" s="131"/>
      <c r="JQ674" s="78"/>
      <c r="JR674" s="78"/>
      <c r="JS674" s="78"/>
      <c r="JT674" s="78"/>
      <c r="JU674" s="78"/>
      <c r="JV674" s="78"/>
      <c r="JW674" s="78"/>
      <c r="JX674" s="78"/>
      <c r="JY674" s="78"/>
      <c r="JZ674" s="131"/>
      <c r="KA674" s="78"/>
      <c r="KB674" s="78"/>
      <c r="KC674" s="78"/>
      <c r="KD674" s="78"/>
      <c r="KE674" s="78"/>
      <c r="KF674" s="78"/>
      <c r="KG674" s="78"/>
      <c r="KH674" s="78"/>
      <c r="KI674" s="78"/>
      <c r="KJ674" s="78"/>
      <c r="KK674" s="78"/>
      <c r="KL674" s="78"/>
      <c r="KM674" s="78"/>
      <c r="KN674" s="78"/>
      <c r="KO674" s="78"/>
      <c r="KP674" s="78"/>
      <c r="KQ674" s="78"/>
      <c r="KR674" s="131"/>
      <c r="KS674" s="131"/>
      <c r="KT674" s="131"/>
      <c r="KU674" s="131"/>
      <c r="KV674" s="78"/>
      <c r="KW674" s="78"/>
      <c r="KX674" s="78"/>
      <c r="KY674" s="78"/>
      <c r="KZ674" s="78"/>
      <c r="LA674" s="78"/>
      <c r="LB674" s="78"/>
      <c r="LC674" s="78"/>
      <c r="LD674" s="78"/>
      <c r="LE674" s="78"/>
      <c r="LF674" s="78"/>
      <c r="LG674" s="78"/>
      <c r="LH674" s="78"/>
      <c r="LI674" s="78"/>
      <c r="LJ674" s="78"/>
      <c r="LK674" s="78"/>
      <c r="LL674" s="78"/>
      <c r="LM674" s="78"/>
      <c r="LN674" s="78"/>
      <c r="LO674" s="78"/>
      <c r="LP674" s="78"/>
      <c r="LQ674" s="78"/>
      <c r="LR674" s="78"/>
      <c r="LS674" s="78"/>
      <c r="LT674" s="78"/>
      <c r="LU674" s="78"/>
      <c r="LV674" s="78"/>
      <c r="LW674" s="78"/>
      <c r="LX674" s="78"/>
      <c r="LY674" s="78"/>
      <c r="LZ674" s="78"/>
      <c r="MA674" s="78"/>
      <c r="MB674" s="78"/>
      <c r="MC674" s="78"/>
      <c r="MD674" s="78"/>
      <c r="ME674" s="78"/>
      <c r="MF674" s="78"/>
      <c r="MG674" s="78"/>
      <c r="MH674" s="78"/>
      <c r="MI674" s="78"/>
      <c r="MJ674" s="78"/>
      <c r="MK674" s="78"/>
      <c r="ML674" s="78"/>
      <c r="MM674" s="78"/>
      <c r="MN674" s="78"/>
      <c r="MO674" s="78"/>
      <c r="MP674" s="78"/>
      <c r="MQ674" s="78"/>
      <c r="MR674" s="78"/>
      <c r="MS674" s="78"/>
      <c r="MT674" s="78"/>
      <c r="MU674" s="78"/>
      <c r="MV674" s="78"/>
      <c r="MW674" s="78"/>
      <c r="MX674" s="78"/>
      <c r="MY674" s="78" t="s">
        <v>1329</v>
      </c>
      <c r="MZ674" s="78">
        <v>625</v>
      </c>
      <c r="NA674" s="78" t="s">
        <v>1330</v>
      </c>
      <c r="NB674" s="78" t="s">
        <v>1331</v>
      </c>
      <c r="NC674" s="78" t="s">
        <v>1332</v>
      </c>
      <c r="ND674" s="78" t="s">
        <v>1333</v>
      </c>
      <c r="NE674" s="78" t="s">
        <v>1334</v>
      </c>
      <c r="NF674" s="78" t="s">
        <v>1335</v>
      </c>
      <c r="NG674" s="78" t="s">
        <v>480</v>
      </c>
      <c r="NH674" s="78" t="s">
        <v>687</v>
      </c>
      <c r="NI674" s="78"/>
      <c r="NJ674" s="78" t="s">
        <v>1378</v>
      </c>
      <c r="NK674" s="78" t="s">
        <v>1379</v>
      </c>
      <c r="NL674" s="78" t="s">
        <v>1380</v>
      </c>
      <c r="NM674" s="78" t="s">
        <v>1381</v>
      </c>
      <c r="NN674" s="78"/>
      <c r="NO674" s="78"/>
      <c r="NP674" s="78"/>
      <c r="NQ674" s="78"/>
      <c r="NR674" s="78"/>
      <c r="NS674" s="78"/>
      <c r="NT674" s="78"/>
      <c r="NU674" s="78"/>
      <c r="NV674" s="78" t="s">
        <v>518</v>
      </c>
      <c r="NW674" s="78">
        <v>0.16600000000000001</v>
      </c>
      <c r="NX674" s="78" t="s">
        <v>916</v>
      </c>
      <c r="NY674" s="78">
        <v>0.04</v>
      </c>
      <c r="NZ674" s="78"/>
      <c r="OA674" s="78"/>
      <c r="OB674" s="78">
        <v>32</v>
      </c>
      <c r="OC674" s="78"/>
      <c r="OD674" s="78"/>
      <c r="OE674" s="78"/>
      <c r="OF674" s="78"/>
      <c r="OG674" s="78"/>
      <c r="OH674" s="78"/>
      <c r="OI674" s="78"/>
      <c r="OJ674" s="78"/>
      <c r="OK674" s="78"/>
      <c r="OL674" s="78"/>
      <c r="OM674" s="78"/>
      <c r="ON674" s="78"/>
      <c r="OO674" s="78"/>
      <c r="OP674" s="78"/>
      <c r="OQ674" s="78"/>
      <c r="OR674" s="78"/>
      <c r="OS674" s="78"/>
      <c r="OT674" s="78"/>
      <c r="OU674" s="78" t="s">
        <v>1341</v>
      </c>
      <c r="OV674" s="78" t="s">
        <v>518</v>
      </c>
      <c r="OW674" s="78"/>
      <c r="OX674" s="78">
        <v>2009</v>
      </c>
      <c r="OY674" s="78">
        <v>2010</v>
      </c>
      <c r="OZ674" s="78"/>
      <c r="PA674" s="78"/>
      <c r="PB674" s="78" t="s">
        <v>1342</v>
      </c>
      <c r="PC674" s="126">
        <v>46133</v>
      </c>
      <c r="PD674" s="78"/>
      <c r="PE674" s="78" t="s">
        <v>522</v>
      </c>
      <c r="PF674" s="126">
        <v>46164</v>
      </c>
      <c r="PG674" s="78" t="s">
        <v>1343</v>
      </c>
      <c r="PH674" s="124" t="s">
        <v>1344</v>
      </c>
    </row>
    <row r="675" spans="1:424" ht="15.75" thickBot="1">
      <c r="A675" t="s">
        <v>665</v>
      </c>
      <c r="B675" t="s">
        <v>1318</v>
      </c>
      <c r="C675" t="s">
        <v>1319</v>
      </c>
      <c r="D675" t="s">
        <v>472</v>
      </c>
      <c r="E675" t="s">
        <v>1353</v>
      </c>
      <c r="F675" t="s">
        <v>1322</v>
      </c>
      <c r="G675" t="s">
        <v>475</v>
      </c>
      <c r="H675" t="s">
        <v>476</v>
      </c>
      <c r="I675">
        <v>-8.8170000000000002</v>
      </c>
      <c r="J675">
        <v>-75.2</v>
      </c>
      <c r="K675" s="78">
        <v>500</v>
      </c>
      <c r="L675" t="s">
        <v>1319</v>
      </c>
      <c r="M675" t="s">
        <v>472</v>
      </c>
      <c r="N675" t="s">
        <v>1321</v>
      </c>
      <c r="O675" t="s">
        <v>1322</v>
      </c>
      <c r="P675" t="s">
        <v>475</v>
      </c>
      <c r="Q675" t="s">
        <v>476</v>
      </c>
      <c r="R675">
        <v>-8.5169999999999995</v>
      </c>
      <c r="S675">
        <v>-74.766999999999996</v>
      </c>
      <c r="T675" s="78">
        <v>500</v>
      </c>
      <c r="U675" t="s">
        <v>1319</v>
      </c>
      <c r="V675" t="s">
        <v>472</v>
      </c>
      <c r="W675" t="s">
        <v>1345</v>
      </c>
      <c r="X675" t="s">
        <v>1322</v>
      </c>
      <c r="Y675" t="s">
        <v>475</v>
      </c>
      <c r="Z675" t="s">
        <v>476</v>
      </c>
      <c r="AA675">
        <v>-8.3670000000000009</v>
      </c>
      <c r="AB675">
        <v>-74.7</v>
      </c>
      <c r="AC675">
        <v>500</v>
      </c>
      <c r="AV675" t="s">
        <v>1323</v>
      </c>
      <c r="AW675">
        <v>625</v>
      </c>
      <c r="AX675" t="s">
        <v>480</v>
      </c>
      <c r="AY675" s="224">
        <v>2</v>
      </c>
      <c r="AZ675" t="s">
        <v>1324</v>
      </c>
      <c r="BA675">
        <v>2009</v>
      </c>
      <c r="BB675">
        <v>2010</v>
      </c>
      <c r="BC675" t="s">
        <v>1325</v>
      </c>
      <c r="BD675" t="s">
        <v>1363</v>
      </c>
      <c r="BE675" t="s">
        <v>483</v>
      </c>
      <c r="BF675" t="s">
        <v>484</v>
      </c>
      <c r="BG675" t="s">
        <v>1364</v>
      </c>
      <c r="BH675" t="s">
        <v>480</v>
      </c>
      <c r="BI675" t="s">
        <v>480</v>
      </c>
      <c r="BJ675" t="s">
        <v>480</v>
      </c>
      <c r="EI675" s="9"/>
      <c r="EJ675" s="9"/>
      <c r="EK675" s="9"/>
      <c r="EL675" s="9"/>
      <c r="EM675" s="9"/>
      <c r="EN675" s="9"/>
      <c r="EO675" s="9"/>
      <c r="EP675" s="9"/>
      <c r="EQ675" s="9"/>
      <c r="ER675" s="9"/>
      <c r="ES675" s="9"/>
      <c r="ET675" s="9"/>
      <c r="EU675" s="9"/>
      <c r="EV675" s="9"/>
      <c r="EW675" s="9"/>
      <c r="EX675" s="9"/>
      <c r="EY675" s="9"/>
      <c r="EZ675" s="9"/>
      <c r="FA675" s="9"/>
      <c r="FB675" s="9"/>
      <c r="FC675" s="9"/>
      <c r="FD675" s="9"/>
      <c r="FE675" s="9"/>
      <c r="FF675" s="9"/>
      <c r="FG675" s="9"/>
      <c r="FH675" s="9"/>
      <c r="FI675" s="9"/>
      <c r="FJ675" s="9"/>
      <c r="FK675" s="9"/>
      <c r="FL675" s="9"/>
      <c r="FM675" s="9"/>
      <c r="FN675" s="9"/>
      <c r="FO675" s="9"/>
      <c r="FP675" s="9"/>
      <c r="FQ675" s="9"/>
      <c r="FR675" s="9"/>
      <c r="FS675" s="9"/>
      <c r="FT675" s="9"/>
      <c r="FU675" s="9"/>
      <c r="FV675" s="9"/>
      <c r="FW675" s="9"/>
      <c r="FX675" s="9"/>
      <c r="FY675" s="9"/>
      <c r="FZ675" s="9"/>
      <c r="GA675" s="9"/>
      <c r="GB675" s="9"/>
      <c r="GC675" s="9"/>
      <c r="GD675" s="9"/>
      <c r="GE675" s="9"/>
      <c r="GF675" s="9"/>
      <c r="GG675" s="9"/>
      <c r="GH675" s="9"/>
      <c r="GI675" s="9"/>
      <c r="GJ675" s="9"/>
      <c r="GK675" s="9"/>
      <c r="GL675" s="9"/>
      <c r="GM675" s="9"/>
      <c r="GN675" s="9"/>
      <c r="GO675" s="9"/>
      <c r="GP675" s="9"/>
      <c r="GQ675" s="9"/>
      <c r="GR675" s="9"/>
      <c r="GS675" s="9"/>
      <c r="GT675" s="9"/>
      <c r="GU675" s="9"/>
      <c r="GV675" s="9"/>
      <c r="GW675" s="9"/>
      <c r="GX675" s="9"/>
      <c r="GY675" s="9"/>
      <c r="GZ675" s="9"/>
      <c r="HA675" s="9"/>
      <c r="HB675" s="9"/>
      <c r="HC675" s="9"/>
      <c r="HD675" s="9"/>
      <c r="HE675" s="9"/>
      <c r="HF675" s="9"/>
      <c r="HG675" s="9"/>
      <c r="HH675" s="9"/>
      <c r="HI675" s="9"/>
      <c r="HJ675" s="9"/>
      <c r="HK675" s="9" t="s">
        <v>1365</v>
      </c>
      <c r="HL675" s="9" t="s">
        <v>526</v>
      </c>
      <c r="HM675" t="s">
        <v>500</v>
      </c>
      <c r="HY675" s="50"/>
      <c r="IV675" t="s">
        <v>1366</v>
      </c>
      <c r="IX675" t="s">
        <v>492</v>
      </c>
      <c r="JP675" s="9"/>
      <c r="JZ675" s="9"/>
      <c r="KR675" s="9"/>
      <c r="KS675" s="9"/>
      <c r="KT675" s="9"/>
      <c r="KU675" s="9"/>
      <c r="MY675" t="s">
        <v>1329</v>
      </c>
      <c r="MZ675">
        <v>625</v>
      </c>
      <c r="NA675" t="s">
        <v>1330</v>
      </c>
      <c r="NB675" t="s">
        <v>1331</v>
      </c>
      <c r="NC675" t="s">
        <v>1332</v>
      </c>
      <c r="ND675" t="s">
        <v>1333</v>
      </c>
      <c r="NE675" t="s">
        <v>1334</v>
      </c>
      <c r="NF675" t="s">
        <v>1335</v>
      </c>
      <c r="NG675" s="78" t="s">
        <v>480</v>
      </c>
      <c r="NH675" s="78" t="s">
        <v>687</v>
      </c>
      <c r="NJ675" t="s">
        <v>1378</v>
      </c>
      <c r="NK675" t="s">
        <v>1379</v>
      </c>
      <c r="NL675" t="s">
        <v>1380</v>
      </c>
      <c r="NM675" t="s">
        <v>1381</v>
      </c>
      <c r="NU675" t="s">
        <v>657</v>
      </c>
      <c r="NV675" t="s">
        <v>518</v>
      </c>
      <c r="NW675">
        <v>0.14099999999999999</v>
      </c>
      <c r="NX675" t="s">
        <v>916</v>
      </c>
      <c r="NY675">
        <v>2.7E-2</v>
      </c>
      <c r="OB675">
        <v>32</v>
      </c>
      <c r="OU675" t="s">
        <v>1341</v>
      </c>
      <c r="OV675" s="78" t="s">
        <v>518</v>
      </c>
      <c r="OX675">
        <v>2009</v>
      </c>
      <c r="OY675">
        <v>2010</v>
      </c>
      <c r="PB675" t="s">
        <v>1342</v>
      </c>
      <c r="PC675" s="50">
        <v>46133</v>
      </c>
      <c r="PE675" s="78" t="s">
        <v>522</v>
      </c>
      <c r="PF675" s="126">
        <v>46164</v>
      </c>
      <c r="PG675" s="78" t="s">
        <v>1343</v>
      </c>
      <c r="PH675" s="124" t="s">
        <v>1344</v>
      </c>
    </row>
    <row r="676" spans="1:424" ht="15.75" thickBot="1">
      <c r="A676" s="78" t="s">
        <v>665</v>
      </c>
      <c r="B676" s="78" t="s">
        <v>1318</v>
      </c>
      <c r="C676" s="78" t="s">
        <v>1319</v>
      </c>
      <c r="D676" s="78" t="s">
        <v>472</v>
      </c>
      <c r="E676" s="78" t="s">
        <v>1353</v>
      </c>
      <c r="F676" s="78" t="s">
        <v>1322</v>
      </c>
      <c r="G676" s="78" t="s">
        <v>475</v>
      </c>
      <c r="H676" s="78" t="s">
        <v>476</v>
      </c>
      <c r="I676" s="78">
        <v>-8.8170000000000002</v>
      </c>
      <c r="J676" s="78">
        <v>-75.2</v>
      </c>
      <c r="K676" s="78">
        <v>500</v>
      </c>
      <c r="L676" s="78" t="s">
        <v>1319</v>
      </c>
      <c r="M676" s="78" t="s">
        <v>472</v>
      </c>
      <c r="N676" s="78" t="s">
        <v>1321</v>
      </c>
      <c r="O676" s="78" t="s">
        <v>1322</v>
      </c>
      <c r="P676" s="78" t="s">
        <v>475</v>
      </c>
      <c r="Q676" s="78" t="s">
        <v>476</v>
      </c>
      <c r="R676" s="78">
        <v>-8.5169999999999995</v>
      </c>
      <c r="S676" s="78">
        <v>-74.766999999999996</v>
      </c>
      <c r="T676" s="78">
        <v>500</v>
      </c>
      <c r="U676" s="78" t="s">
        <v>1319</v>
      </c>
      <c r="V676" s="78" t="s">
        <v>472</v>
      </c>
      <c r="W676" s="78" t="s">
        <v>1345</v>
      </c>
      <c r="X676" s="78" t="s">
        <v>1322</v>
      </c>
      <c r="Y676" s="78" t="s">
        <v>475</v>
      </c>
      <c r="Z676" s="78" t="s">
        <v>476</v>
      </c>
      <c r="AA676" s="78">
        <v>-8.3670000000000009</v>
      </c>
      <c r="AB676" s="78">
        <v>-74.7</v>
      </c>
      <c r="AC676">
        <v>500</v>
      </c>
      <c r="AD676" s="78"/>
      <c r="AE676" s="78"/>
      <c r="AF676" s="78"/>
      <c r="AG676" s="78"/>
      <c r="AH676" s="78"/>
      <c r="AI676" s="78"/>
      <c r="AJ676" s="78"/>
      <c r="AK676" s="78"/>
      <c r="AL676" s="78"/>
      <c r="AM676" s="78"/>
      <c r="AN676" s="78"/>
      <c r="AO676" s="78"/>
      <c r="AP676" s="78"/>
      <c r="AQ676" s="78"/>
      <c r="AR676" s="78"/>
      <c r="AS676" s="78"/>
      <c r="AT676" s="78"/>
      <c r="AU676" s="78"/>
      <c r="AV676" s="78" t="s">
        <v>1323</v>
      </c>
      <c r="AW676" s="78">
        <v>625</v>
      </c>
      <c r="AX676" s="78" t="s">
        <v>480</v>
      </c>
      <c r="AY676" s="223">
        <v>2</v>
      </c>
      <c r="AZ676" s="78" t="s">
        <v>1324</v>
      </c>
      <c r="BA676" s="78">
        <v>2009</v>
      </c>
      <c r="BB676" s="78">
        <v>2010</v>
      </c>
      <c r="BC676" s="78" t="s">
        <v>1325</v>
      </c>
      <c r="BD676" s="78" t="s">
        <v>1367</v>
      </c>
      <c r="BE676" s="78" t="s">
        <v>593</v>
      </c>
      <c r="BF676" s="78" t="s">
        <v>1102</v>
      </c>
      <c r="BG676" s="78" t="s">
        <v>1368</v>
      </c>
      <c r="BH676" s="78" t="s">
        <v>480</v>
      </c>
      <c r="BI676" s="78" t="s">
        <v>480</v>
      </c>
      <c r="BJ676" s="78" t="s">
        <v>480</v>
      </c>
      <c r="BK676" s="78"/>
      <c r="BL676" s="78"/>
      <c r="BM676" s="78"/>
      <c r="BN676" s="78"/>
      <c r="BO676" s="78"/>
      <c r="BP676" s="78"/>
      <c r="BQ676" s="78"/>
      <c r="BR676" s="78"/>
      <c r="BS676" s="78"/>
      <c r="BT676" s="78"/>
      <c r="BU676" s="78"/>
      <c r="BV676" s="78"/>
      <c r="BW676" s="78"/>
      <c r="BX676" s="78"/>
      <c r="BY676" s="78"/>
      <c r="BZ676" s="78"/>
      <c r="CA676" s="78"/>
      <c r="CB676" s="78"/>
      <c r="CC676" s="78"/>
      <c r="CD676" s="78"/>
      <c r="CE676" s="78"/>
      <c r="CF676" s="78"/>
      <c r="CG676" s="78"/>
      <c r="CH676" s="78"/>
      <c r="CI676" s="78"/>
      <c r="CJ676" s="78"/>
      <c r="CK676" s="78"/>
      <c r="CL676" s="78"/>
      <c r="CM676" s="78"/>
      <c r="CN676" s="78"/>
      <c r="CO676" s="78"/>
      <c r="CP676" s="78"/>
      <c r="CQ676" s="78"/>
      <c r="CR676" s="78"/>
      <c r="CS676" s="78"/>
      <c r="CT676" s="78"/>
      <c r="CU676" s="78"/>
      <c r="CV676" s="78"/>
      <c r="CW676" s="78"/>
      <c r="CX676" s="78"/>
      <c r="CY676" s="78"/>
      <c r="CZ676" s="78"/>
      <c r="DA676" s="78"/>
      <c r="DB676" s="78"/>
      <c r="DC676" s="78"/>
      <c r="DD676" s="78"/>
      <c r="DE676" s="78"/>
      <c r="DF676" s="78"/>
      <c r="DG676" s="78"/>
      <c r="DH676" s="78"/>
      <c r="DI676" s="78"/>
      <c r="DJ676" s="78"/>
      <c r="DK676" s="78"/>
      <c r="DL676" s="78"/>
      <c r="DM676" s="78"/>
      <c r="DN676" s="78"/>
      <c r="DO676" s="78"/>
      <c r="DP676" s="78"/>
      <c r="DQ676" s="78"/>
      <c r="DR676" s="78"/>
      <c r="DS676" s="78"/>
      <c r="DT676" s="78"/>
      <c r="DU676" s="78"/>
      <c r="DV676" s="78"/>
      <c r="DW676" s="78"/>
      <c r="DX676" s="78"/>
      <c r="DY676" s="78"/>
      <c r="DZ676" s="78"/>
      <c r="EA676" s="78"/>
      <c r="EB676" s="78"/>
      <c r="EC676" s="78"/>
      <c r="ED676" s="78"/>
      <c r="EE676" s="78"/>
      <c r="EF676" s="78"/>
      <c r="EG676" s="78"/>
      <c r="EH676" s="78"/>
      <c r="EI676" s="125"/>
      <c r="EJ676" s="125"/>
      <c r="EK676" s="125"/>
      <c r="EL676" s="125"/>
      <c r="EM676" s="125"/>
      <c r="EN676" s="125"/>
      <c r="EO676" s="125"/>
      <c r="EP676" s="125"/>
      <c r="EQ676" s="125"/>
      <c r="ER676" s="125"/>
      <c r="ES676" s="125"/>
      <c r="ET676" s="125"/>
      <c r="EU676" s="125"/>
      <c r="EV676" s="125"/>
      <c r="EW676" s="125"/>
      <c r="EX676" s="125"/>
      <c r="EY676" s="125"/>
      <c r="EZ676" s="125"/>
      <c r="FA676" s="125"/>
      <c r="FB676" s="125"/>
      <c r="FC676" s="125"/>
      <c r="FD676" s="125"/>
      <c r="FE676" s="125"/>
      <c r="FF676" s="125"/>
      <c r="FG676" s="125"/>
      <c r="FH676" s="125"/>
      <c r="FI676" s="125"/>
      <c r="FJ676" s="125"/>
      <c r="FK676" s="125"/>
      <c r="FL676" s="125"/>
      <c r="FM676" s="125"/>
      <c r="FN676" s="125"/>
      <c r="FO676" s="125"/>
      <c r="FP676" s="125"/>
      <c r="FQ676" s="125"/>
      <c r="FR676" s="125"/>
      <c r="FS676" s="125"/>
      <c r="FT676" s="125"/>
      <c r="FU676" s="125"/>
      <c r="FV676" s="125"/>
      <c r="FW676" s="125"/>
      <c r="FX676" s="125"/>
      <c r="FY676" s="125"/>
      <c r="FZ676" s="125"/>
      <c r="GA676" s="125"/>
      <c r="GB676" s="125"/>
      <c r="GC676" s="125"/>
      <c r="GD676" s="125"/>
      <c r="GE676" s="125"/>
      <c r="GF676" s="125"/>
      <c r="GG676" s="125"/>
      <c r="GH676" s="125"/>
      <c r="GI676" s="125"/>
      <c r="GJ676" s="125"/>
      <c r="GK676" s="125"/>
      <c r="GL676" s="125"/>
      <c r="GM676" s="125"/>
      <c r="GN676" s="125"/>
      <c r="GO676" s="125"/>
      <c r="GP676" s="125"/>
      <c r="GQ676" s="125"/>
      <c r="GR676" s="125"/>
      <c r="GS676" s="125"/>
      <c r="GT676" s="125"/>
      <c r="GU676" s="125"/>
      <c r="GV676" s="125"/>
      <c r="GW676" s="125"/>
      <c r="GX676" s="125"/>
      <c r="GY676" s="125"/>
      <c r="GZ676" s="125"/>
      <c r="HA676" s="125"/>
      <c r="HB676" s="125"/>
      <c r="HC676" s="125"/>
      <c r="HD676" s="125"/>
      <c r="HE676" s="125"/>
      <c r="HF676" s="125"/>
      <c r="HG676" s="125"/>
      <c r="HH676" s="125"/>
      <c r="HI676" s="125"/>
      <c r="HJ676" s="125"/>
      <c r="HK676" s="125" t="s">
        <v>1369</v>
      </c>
      <c r="HL676" s="125" t="s">
        <v>488</v>
      </c>
      <c r="HM676" s="78"/>
      <c r="HN676" s="78"/>
      <c r="HO676" s="78"/>
      <c r="HP676" s="78"/>
      <c r="HQ676" s="78"/>
      <c r="HR676" s="78"/>
      <c r="HS676" s="78"/>
      <c r="HT676" s="78"/>
      <c r="HU676" s="78"/>
      <c r="HV676" s="78"/>
      <c r="HW676" s="78"/>
      <c r="HX676" s="78"/>
      <c r="HY676" s="126"/>
      <c r="HZ676" s="78"/>
      <c r="IA676" s="78"/>
      <c r="IB676" s="78"/>
      <c r="IC676" s="78"/>
      <c r="ID676" s="78"/>
      <c r="IE676" s="78"/>
      <c r="IF676" s="78"/>
      <c r="IG676" s="78"/>
      <c r="IH676" s="78"/>
      <c r="II676" s="78"/>
      <c r="IJ676" s="78"/>
      <c r="IK676" s="78"/>
      <c r="IL676" s="78"/>
      <c r="IM676" s="78"/>
      <c r="IN676" s="78"/>
      <c r="IO676" s="78"/>
      <c r="IP676" s="78"/>
      <c r="IQ676" s="78"/>
      <c r="IR676" s="78"/>
      <c r="IS676" s="78"/>
      <c r="IT676" s="78"/>
      <c r="IU676" s="78"/>
      <c r="IV676" s="78" t="s">
        <v>1367</v>
      </c>
      <c r="IW676" s="78"/>
      <c r="IX676" s="221" t="s">
        <v>1370</v>
      </c>
      <c r="IY676" s="78"/>
      <c r="IZ676" s="78"/>
      <c r="JA676" s="78"/>
      <c r="JB676" s="78"/>
      <c r="JC676" s="78"/>
      <c r="JD676" s="78"/>
      <c r="JE676" s="78"/>
      <c r="JF676" s="78"/>
      <c r="JG676" s="78"/>
      <c r="JH676" s="78"/>
      <c r="JI676" s="78"/>
      <c r="JJ676" s="78"/>
      <c r="JK676" s="78"/>
      <c r="JL676" s="78"/>
      <c r="JM676" s="78"/>
      <c r="JN676" s="78"/>
      <c r="JO676" s="78"/>
      <c r="JP676" s="131"/>
      <c r="JQ676" s="78"/>
      <c r="JR676" s="78"/>
      <c r="JS676" s="78"/>
      <c r="JT676" s="78"/>
      <c r="JU676" s="78"/>
      <c r="JV676" s="78"/>
      <c r="JW676" s="78"/>
      <c r="JX676" s="78"/>
      <c r="JY676" s="78"/>
      <c r="JZ676" s="131"/>
      <c r="KA676" s="78"/>
      <c r="KB676" s="78"/>
      <c r="KC676" s="78"/>
      <c r="KD676" s="78"/>
      <c r="KE676" s="78"/>
      <c r="KF676" s="78"/>
      <c r="KG676" s="78"/>
      <c r="KH676" s="78"/>
      <c r="KI676" s="78"/>
      <c r="KJ676" s="78"/>
      <c r="KK676" s="78"/>
      <c r="KL676" s="78"/>
      <c r="KM676" s="78"/>
      <c r="KN676" s="78"/>
      <c r="KO676" s="78"/>
      <c r="KP676" s="78"/>
      <c r="KQ676" s="78"/>
      <c r="KR676" s="131"/>
      <c r="KS676" s="131"/>
      <c r="KT676" s="131"/>
      <c r="KU676" s="131"/>
      <c r="KV676" s="78"/>
      <c r="KW676" s="78"/>
      <c r="KX676" s="78"/>
      <c r="KY676" s="78"/>
      <c r="KZ676" s="78"/>
      <c r="LA676" s="78"/>
      <c r="LB676" s="78"/>
      <c r="LC676" s="78"/>
      <c r="LD676" s="78"/>
      <c r="LE676" s="78"/>
      <c r="LF676" s="78"/>
      <c r="LG676" s="78"/>
      <c r="LH676" s="78"/>
      <c r="LI676" s="78"/>
      <c r="LJ676" s="78"/>
      <c r="LK676" s="78"/>
      <c r="LL676" s="78"/>
      <c r="LM676" s="78"/>
      <c r="LN676" s="78"/>
      <c r="LO676" s="78"/>
      <c r="LP676" s="78"/>
      <c r="LQ676" s="78"/>
      <c r="LR676" s="78"/>
      <c r="LS676" s="78"/>
      <c r="LT676" s="78"/>
      <c r="LU676" s="78"/>
      <c r="LV676" s="78"/>
      <c r="LW676" s="78"/>
      <c r="LX676" s="78"/>
      <c r="LY676" s="78"/>
      <c r="LZ676" s="78"/>
      <c r="MA676" s="78"/>
      <c r="MB676" s="78"/>
      <c r="MC676" s="78"/>
      <c r="MD676" s="78"/>
      <c r="ME676" s="78"/>
      <c r="MF676" s="78"/>
      <c r="MG676" s="78"/>
      <c r="MH676" s="78"/>
      <c r="MI676" s="78"/>
      <c r="MJ676" s="78"/>
      <c r="MK676" s="78"/>
      <c r="ML676" s="78"/>
      <c r="MM676" s="78"/>
      <c r="MN676" s="78"/>
      <c r="MO676" s="78"/>
      <c r="MP676" s="78"/>
      <c r="MQ676" s="78"/>
      <c r="MR676" s="78"/>
      <c r="MS676" s="78"/>
      <c r="MT676" s="78" t="s">
        <v>1367</v>
      </c>
      <c r="MU676" s="185" t="s">
        <v>1370</v>
      </c>
      <c r="MV676" s="78" t="s">
        <v>480</v>
      </c>
      <c r="MW676" s="78" t="s">
        <v>480</v>
      </c>
      <c r="MX676" s="185" t="s">
        <v>1094</v>
      </c>
      <c r="MY676" s="78" t="s">
        <v>1329</v>
      </c>
      <c r="MZ676" s="78">
        <v>625</v>
      </c>
      <c r="NA676" s="78" t="s">
        <v>1330</v>
      </c>
      <c r="NB676" s="78" t="s">
        <v>1331</v>
      </c>
      <c r="NC676" s="78" t="s">
        <v>1332</v>
      </c>
      <c r="ND676" s="78" t="s">
        <v>1333</v>
      </c>
      <c r="NE676" s="78" t="s">
        <v>1334</v>
      </c>
      <c r="NF676" s="78" t="s">
        <v>1335</v>
      </c>
      <c r="NG676" s="78" t="s">
        <v>480</v>
      </c>
      <c r="NH676" s="78" t="s">
        <v>687</v>
      </c>
      <c r="NI676" s="78"/>
      <c r="NJ676" s="78" t="s">
        <v>1378</v>
      </c>
      <c r="NK676" s="78" t="s">
        <v>1379</v>
      </c>
      <c r="NL676" s="78" t="s">
        <v>1380</v>
      </c>
      <c r="NM676" s="78" t="s">
        <v>1381</v>
      </c>
      <c r="NN676" s="78"/>
      <c r="NO676" s="78"/>
      <c r="NP676" s="78"/>
      <c r="NQ676" s="78"/>
      <c r="NR676" s="78"/>
      <c r="NS676" s="78"/>
      <c r="NT676" s="78"/>
      <c r="NU676" s="78" t="s">
        <v>1339</v>
      </c>
      <c r="NV676" s="78" t="s">
        <v>518</v>
      </c>
      <c r="NW676" s="78">
        <v>0.13900000000000001</v>
      </c>
      <c r="NX676" s="78" t="s">
        <v>916</v>
      </c>
      <c r="NY676" s="78">
        <v>2.9000000000000001E-2</v>
      </c>
      <c r="NZ676" s="78"/>
      <c r="OA676" s="78"/>
      <c r="OB676" s="78">
        <v>32</v>
      </c>
      <c r="OC676" s="78"/>
      <c r="OD676" s="78"/>
      <c r="OE676" s="78"/>
      <c r="OF676" s="78"/>
      <c r="OG676" s="78"/>
      <c r="OH676" s="78"/>
      <c r="OI676" s="78"/>
      <c r="OJ676" s="78"/>
      <c r="OK676" s="78"/>
      <c r="OL676" s="78"/>
      <c r="OM676" s="78"/>
      <c r="ON676" s="78"/>
      <c r="OO676" s="78"/>
      <c r="OP676" s="78"/>
      <c r="OQ676" s="78"/>
      <c r="OR676" s="78"/>
      <c r="OS676" s="78"/>
      <c r="OT676" s="78"/>
      <c r="OU676" s="78" t="s">
        <v>1341</v>
      </c>
      <c r="OV676" s="78" t="s">
        <v>518</v>
      </c>
      <c r="OW676" s="78"/>
      <c r="OX676" s="78">
        <v>2009</v>
      </c>
      <c r="OY676" s="78">
        <v>2010</v>
      </c>
      <c r="OZ676" s="78"/>
      <c r="PA676" s="78"/>
      <c r="PB676" s="78" t="s">
        <v>1342</v>
      </c>
      <c r="PC676" s="126">
        <v>46133</v>
      </c>
      <c r="PD676" s="78"/>
      <c r="PE676" s="78" t="s">
        <v>522</v>
      </c>
      <c r="PF676" s="126">
        <v>46164</v>
      </c>
      <c r="PG676" s="78" t="s">
        <v>1343</v>
      </c>
      <c r="PH676" s="124" t="s">
        <v>1344</v>
      </c>
    </row>
    <row r="677" spans="1:424">
      <c r="A677" s="78" t="s">
        <v>665</v>
      </c>
      <c r="B677" s="78" t="s">
        <v>1318</v>
      </c>
      <c r="C677" s="78" t="s">
        <v>1319</v>
      </c>
      <c r="D677" s="78" t="s">
        <v>950</v>
      </c>
      <c r="E677" s="78" t="s">
        <v>1320</v>
      </c>
      <c r="F677" s="78" t="s">
        <v>952</v>
      </c>
      <c r="G677" s="78" t="s">
        <v>475</v>
      </c>
      <c r="H677" s="78" t="s">
        <v>476</v>
      </c>
      <c r="I677" s="78">
        <v>-8.9</v>
      </c>
      <c r="J677" s="78">
        <v>-74.983000000000004</v>
      </c>
      <c r="K677" s="78">
        <v>500</v>
      </c>
      <c r="L677" s="78" t="s">
        <v>1319</v>
      </c>
      <c r="M677" s="78" t="s">
        <v>472</v>
      </c>
      <c r="N677" s="78" t="s">
        <v>1321</v>
      </c>
      <c r="O677" s="78" t="s">
        <v>1322</v>
      </c>
      <c r="P677" s="78" t="s">
        <v>475</v>
      </c>
      <c r="Q677" s="78" t="s">
        <v>476</v>
      </c>
      <c r="R677" s="78">
        <v>-8.5169999999999995</v>
      </c>
      <c r="S677" s="78">
        <v>-74.766999999999996</v>
      </c>
      <c r="T677" s="78">
        <v>500</v>
      </c>
      <c r="U677" s="78"/>
      <c r="V677" s="78"/>
      <c r="W677" s="78"/>
      <c r="X677" s="78"/>
      <c r="Y677" s="78"/>
      <c r="Z677" s="78"/>
      <c r="AA677" s="78"/>
      <c r="AB677" s="78"/>
      <c r="AC677" s="78"/>
      <c r="AD677" s="78"/>
      <c r="AE677" s="78"/>
      <c r="AF677" s="78"/>
      <c r="AG677" s="78"/>
      <c r="AH677" s="78"/>
      <c r="AI677" s="78"/>
      <c r="AJ677" s="78"/>
      <c r="AK677" s="78"/>
      <c r="AL677" s="78"/>
      <c r="AM677" s="78"/>
      <c r="AN677" s="78"/>
      <c r="AO677" s="78"/>
      <c r="AP677" s="78"/>
      <c r="AQ677" s="78"/>
      <c r="AR677" s="78"/>
      <c r="AS677" s="78"/>
      <c r="AT677" s="78"/>
      <c r="AU677" s="78"/>
      <c r="AV677" s="78" t="s">
        <v>1323</v>
      </c>
      <c r="AW677" s="78">
        <v>625</v>
      </c>
      <c r="AX677" s="78" t="s">
        <v>480</v>
      </c>
      <c r="AY677" s="223">
        <v>2</v>
      </c>
      <c r="AZ677" s="78" t="s">
        <v>1324</v>
      </c>
      <c r="BA677" s="78">
        <v>2009</v>
      </c>
      <c r="BB677" s="78">
        <v>2010</v>
      </c>
      <c r="BC677" s="78" t="s">
        <v>1325</v>
      </c>
      <c r="BD677" s="78" t="s">
        <v>1326</v>
      </c>
      <c r="BE677" s="78" t="s">
        <v>524</v>
      </c>
      <c r="BF677" s="78" t="s">
        <v>1084</v>
      </c>
      <c r="BG677" s="78"/>
      <c r="BH677" s="78"/>
      <c r="BI677" s="78"/>
      <c r="BJ677" s="78"/>
      <c r="BK677" s="78"/>
      <c r="BL677" s="78"/>
      <c r="BM677" s="78"/>
      <c r="BN677" s="78"/>
      <c r="BO677" s="78"/>
      <c r="BP677" s="78"/>
      <c r="BQ677" s="78"/>
      <c r="BR677" s="78"/>
      <c r="BS677" s="78"/>
      <c r="BT677" s="78"/>
      <c r="BU677" s="78"/>
      <c r="BV677" s="78"/>
      <c r="BW677" s="78"/>
      <c r="BX677" s="78"/>
      <c r="BY677" s="78"/>
      <c r="BZ677" s="78"/>
      <c r="CA677" s="78"/>
      <c r="CB677" s="78"/>
      <c r="CC677" s="78"/>
      <c r="CD677" s="78"/>
      <c r="CE677" s="78"/>
      <c r="CF677" s="78"/>
      <c r="CG677" s="78"/>
      <c r="CH677" s="78"/>
      <c r="CI677" s="78"/>
      <c r="CJ677" s="78"/>
      <c r="CK677" s="78"/>
      <c r="CL677" s="78"/>
      <c r="CM677" s="78"/>
      <c r="CN677" s="78"/>
      <c r="CO677" s="78"/>
      <c r="CP677" s="78"/>
      <c r="CQ677" s="78"/>
      <c r="CR677" s="78"/>
      <c r="CS677" s="78"/>
      <c r="CT677" s="78"/>
      <c r="CU677" s="78"/>
      <c r="CV677" s="78"/>
      <c r="CW677" s="78"/>
      <c r="CX677" s="78"/>
      <c r="CY677" s="78"/>
      <c r="CZ677" s="78"/>
      <c r="DA677" s="78"/>
      <c r="DB677" s="78"/>
      <c r="DC677" s="78"/>
      <c r="DD677" s="78"/>
      <c r="DE677" s="78"/>
      <c r="DF677" s="78"/>
      <c r="DG677" s="78"/>
      <c r="DH677" s="78"/>
      <c r="DI677" s="78"/>
      <c r="DJ677" s="78"/>
      <c r="DK677" s="78"/>
      <c r="DL677" s="78"/>
      <c r="DM677" s="78"/>
      <c r="DN677" s="78"/>
      <c r="DO677" s="78"/>
      <c r="DP677" s="78"/>
      <c r="DQ677" s="78"/>
      <c r="DR677" s="78"/>
      <c r="DS677" s="78"/>
      <c r="DT677" s="78"/>
      <c r="DU677" s="78"/>
      <c r="DV677" s="78"/>
      <c r="DW677" s="78"/>
      <c r="DX677" s="78"/>
      <c r="DY677" s="78"/>
      <c r="DZ677" s="78"/>
      <c r="EA677" s="78"/>
      <c r="EB677" s="78"/>
      <c r="EC677" s="78"/>
      <c r="ED677" s="78"/>
      <c r="EE677" s="78"/>
      <c r="EF677" s="78"/>
      <c r="EG677" s="78"/>
      <c r="EH677" s="78"/>
      <c r="EI677" s="125"/>
      <c r="EJ677" s="125"/>
      <c r="EK677" s="125"/>
      <c r="EL677" s="125"/>
      <c r="EM677" s="125"/>
      <c r="EN677" s="125"/>
      <c r="EO677" s="125"/>
      <c r="EP677" s="125"/>
      <c r="EQ677" s="125"/>
      <c r="ER677" s="125"/>
      <c r="ES677" s="9"/>
      <c r="ET677" s="9"/>
      <c r="EU677" s="9"/>
      <c r="EV677" s="9"/>
      <c r="EW677" s="9"/>
      <c r="EX677" s="9"/>
      <c r="EY677" s="9"/>
      <c r="EZ677" s="9"/>
      <c r="FA677" s="9"/>
      <c r="FB677" s="9"/>
      <c r="FC677" s="9"/>
      <c r="FD677" s="9"/>
      <c r="FE677" s="9"/>
      <c r="FF677" s="9"/>
      <c r="FG677" s="9"/>
      <c r="FH677" s="9"/>
      <c r="FI677" s="9"/>
      <c r="FJ677" s="9"/>
      <c r="FK677" s="9"/>
      <c r="FL677" s="9"/>
      <c r="FM677" s="9"/>
      <c r="FN677" s="9"/>
      <c r="FO677" s="9"/>
      <c r="FP677" s="9"/>
      <c r="FQ677" s="9"/>
      <c r="FR677" s="9"/>
      <c r="FS677" s="9"/>
      <c r="FT677" s="9"/>
      <c r="FU677" s="9"/>
      <c r="FV677" s="9"/>
      <c r="FW677" s="9"/>
      <c r="FX677" s="9"/>
      <c r="FY677" s="9"/>
      <c r="FZ677" s="9"/>
      <c r="GA677" s="9"/>
      <c r="GB677" s="9"/>
      <c r="GC677" s="9"/>
      <c r="GD677" s="9"/>
      <c r="GE677" s="9"/>
      <c r="GF677" s="9"/>
      <c r="GG677" s="9"/>
      <c r="GH677" s="9"/>
      <c r="GI677" s="9"/>
      <c r="GJ677" s="9"/>
      <c r="GK677" s="9"/>
      <c r="GL677" s="9"/>
      <c r="GM677" s="9"/>
      <c r="GN677" s="9"/>
      <c r="GO677" s="9"/>
      <c r="GP677" s="9"/>
      <c r="GQ677" s="9"/>
      <c r="GR677" s="9"/>
      <c r="GS677" s="9"/>
      <c r="GT677" s="9"/>
      <c r="GU677" s="9"/>
      <c r="GV677" s="9"/>
      <c r="GW677" s="9"/>
      <c r="GX677" s="9"/>
      <c r="GY677" s="9"/>
      <c r="GZ677" s="9"/>
      <c r="HA677" s="9"/>
      <c r="HB677" s="9"/>
      <c r="HC677" s="9"/>
      <c r="HD677" s="9"/>
      <c r="HE677" s="9"/>
      <c r="HF677" s="9"/>
      <c r="HG677" s="9"/>
      <c r="HH677" s="9"/>
      <c r="HI677" s="9"/>
      <c r="HJ677" s="9"/>
      <c r="HK677" s="9" t="s">
        <v>1327</v>
      </c>
      <c r="HL677" s="9" t="s">
        <v>488</v>
      </c>
      <c r="HY677" s="50"/>
      <c r="IV677" s="78" t="s">
        <v>1328</v>
      </c>
      <c r="IX677" s="185" t="s">
        <v>1092</v>
      </c>
      <c r="IY677" s="78"/>
      <c r="IZ677" s="78">
        <v>20</v>
      </c>
      <c r="JA677" s="78">
        <v>95</v>
      </c>
      <c r="JB677" t="s">
        <v>480</v>
      </c>
      <c r="JC677" t="s">
        <v>480</v>
      </c>
      <c r="JD677" s="78"/>
      <c r="JE677" s="78"/>
      <c r="JF677" s="78"/>
      <c r="JP677" s="9"/>
      <c r="JZ677" s="9"/>
      <c r="KR677" s="9"/>
      <c r="KS677" s="9"/>
      <c r="KT677" s="9"/>
      <c r="KU677" s="9"/>
      <c r="MT677" s="78" t="s">
        <v>1328</v>
      </c>
      <c r="MU677" s="185" t="s">
        <v>1092</v>
      </c>
      <c r="MV677" s="78" t="s">
        <v>480</v>
      </c>
      <c r="MW677" s="185" t="s">
        <v>1093</v>
      </c>
      <c r="MX677" s="185" t="s">
        <v>1094</v>
      </c>
      <c r="MY677" t="s">
        <v>1329</v>
      </c>
      <c r="MZ677">
        <v>625</v>
      </c>
      <c r="NA677" t="s">
        <v>1330</v>
      </c>
      <c r="NB677" t="s">
        <v>1331</v>
      </c>
      <c r="NC677" t="s">
        <v>1332</v>
      </c>
      <c r="ND677" t="s">
        <v>1333</v>
      </c>
      <c r="NE677" t="s">
        <v>1334</v>
      </c>
      <c r="NF677" t="s">
        <v>1335</v>
      </c>
      <c r="NG677" s="78" t="s">
        <v>480</v>
      </c>
      <c r="NH677" s="78" t="s">
        <v>687</v>
      </c>
      <c r="NJ677" t="s">
        <v>1382</v>
      </c>
      <c r="NK677" t="s">
        <v>1383</v>
      </c>
      <c r="NL677" t="s">
        <v>1384</v>
      </c>
      <c r="NM677" t="s">
        <v>1385</v>
      </c>
      <c r="NU677" s="78" t="s">
        <v>1339</v>
      </c>
      <c r="NV677" t="s">
        <v>518</v>
      </c>
      <c r="NW677">
        <v>0.90900000000000003</v>
      </c>
      <c r="NX677" t="s">
        <v>916</v>
      </c>
      <c r="NY677">
        <v>3.1E-2</v>
      </c>
      <c r="OB677">
        <v>8</v>
      </c>
      <c r="OU677" t="s">
        <v>1341</v>
      </c>
      <c r="OV677" s="78" t="s">
        <v>518</v>
      </c>
      <c r="OX677">
        <v>2009</v>
      </c>
      <c r="OY677">
        <v>2010</v>
      </c>
      <c r="PB677" t="s">
        <v>1342</v>
      </c>
      <c r="PC677" s="50">
        <v>46133</v>
      </c>
      <c r="PE677" s="78" t="s">
        <v>522</v>
      </c>
      <c r="PF677" s="126">
        <v>46164</v>
      </c>
      <c r="PG677" s="78" t="s">
        <v>1343</v>
      </c>
      <c r="PH677" s="124" t="s">
        <v>1344</v>
      </c>
    </row>
    <row r="678" spans="1:424">
      <c r="A678" t="s">
        <v>665</v>
      </c>
      <c r="B678" t="s">
        <v>1318</v>
      </c>
      <c r="C678" t="s">
        <v>1319</v>
      </c>
      <c r="D678" t="s">
        <v>472</v>
      </c>
      <c r="E678" t="s">
        <v>1321</v>
      </c>
      <c r="F678" t="s">
        <v>1322</v>
      </c>
      <c r="G678" t="s">
        <v>475</v>
      </c>
      <c r="H678" t="s">
        <v>476</v>
      </c>
      <c r="I678">
        <v>-8.5169999999999995</v>
      </c>
      <c r="J678">
        <v>-74.766999999999996</v>
      </c>
      <c r="K678" s="78">
        <v>500</v>
      </c>
      <c r="L678" t="s">
        <v>1319</v>
      </c>
      <c r="M678" t="s">
        <v>472</v>
      </c>
      <c r="N678" t="s">
        <v>1345</v>
      </c>
      <c r="O678" t="s">
        <v>1322</v>
      </c>
      <c r="P678" t="s">
        <v>475</v>
      </c>
      <c r="Q678" t="s">
        <v>476</v>
      </c>
      <c r="R678">
        <v>-8.3670000000000009</v>
      </c>
      <c r="S678">
        <v>-74.7</v>
      </c>
      <c r="T678" s="78">
        <v>500</v>
      </c>
      <c r="AV678" t="s">
        <v>1323</v>
      </c>
      <c r="AW678">
        <v>625</v>
      </c>
      <c r="AX678" t="s">
        <v>480</v>
      </c>
      <c r="AY678" s="224">
        <v>2</v>
      </c>
      <c r="AZ678" t="s">
        <v>1324</v>
      </c>
      <c r="BA678">
        <v>2009</v>
      </c>
      <c r="BB678">
        <v>2010</v>
      </c>
      <c r="BC678" t="s">
        <v>1325</v>
      </c>
      <c r="BD678" t="s">
        <v>1346</v>
      </c>
      <c r="BE678" t="s">
        <v>536</v>
      </c>
      <c r="BF678" t="s">
        <v>484</v>
      </c>
      <c r="BG678" t="s">
        <v>1347</v>
      </c>
      <c r="BH678" t="s">
        <v>480</v>
      </c>
      <c r="BI678" t="s">
        <v>480</v>
      </c>
      <c r="BJ678" t="s">
        <v>480</v>
      </c>
      <c r="BK678" t="s">
        <v>537</v>
      </c>
      <c r="ED678" t="s">
        <v>1348</v>
      </c>
      <c r="EE678" t="s">
        <v>1349</v>
      </c>
      <c r="EF678">
        <v>0.24</v>
      </c>
      <c r="EI678" s="9"/>
      <c r="EJ678" s="9"/>
      <c r="EK678" s="9"/>
      <c r="EL678" s="9"/>
      <c r="EM678" s="9"/>
      <c r="EN678" s="9"/>
      <c r="EO678" s="9"/>
      <c r="EP678" s="9"/>
      <c r="EQ678" s="9"/>
      <c r="ER678" s="9"/>
      <c r="ES678" s="125"/>
      <c r="ET678" s="125"/>
      <c r="EU678" s="125"/>
      <c r="EV678" s="125"/>
      <c r="EW678" s="125"/>
      <c r="EX678" s="125"/>
      <c r="EY678" s="125"/>
      <c r="EZ678" s="125"/>
      <c r="FA678" s="125"/>
      <c r="FB678" s="125"/>
      <c r="FC678" s="125"/>
      <c r="FD678" s="125"/>
      <c r="FE678" s="125"/>
      <c r="FF678" s="125"/>
      <c r="FG678" s="125"/>
      <c r="FH678" s="125"/>
      <c r="FI678" s="125"/>
      <c r="FJ678" s="125"/>
      <c r="FK678" s="125"/>
      <c r="FL678" s="125"/>
      <c r="FM678" s="125"/>
      <c r="FN678" s="125"/>
      <c r="FO678" s="125"/>
      <c r="FP678" s="125"/>
      <c r="FQ678" s="125"/>
      <c r="FR678" s="125"/>
      <c r="FS678" s="125"/>
      <c r="FT678" s="125"/>
      <c r="FU678" s="125"/>
      <c r="FV678" s="125"/>
      <c r="FW678" s="125"/>
      <c r="FX678" s="125"/>
      <c r="FY678" s="125"/>
      <c r="FZ678" s="125"/>
      <c r="GA678" s="125"/>
      <c r="GB678" s="125"/>
      <c r="GC678" s="125"/>
      <c r="GD678" s="125"/>
      <c r="GE678" s="125"/>
      <c r="GF678" s="125"/>
      <c r="GG678" s="125"/>
      <c r="GH678" s="125"/>
      <c r="GI678" s="125"/>
      <c r="GJ678" s="125"/>
      <c r="GK678" s="125"/>
      <c r="GL678" s="125"/>
      <c r="GM678" s="125"/>
      <c r="GN678" s="125"/>
      <c r="GO678" s="125"/>
      <c r="GP678" s="125"/>
      <c r="GQ678" s="125"/>
      <c r="GR678" s="125"/>
      <c r="GS678" s="125"/>
      <c r="GT678" s="125"/>
      <c r="GU678" s="125"/>
      <c r="GV678" s="125"/>
      <c r="GW678" s="125"/>
      <c r="GX678" s="125"/>
      <c r="GY678" s="125"/>
      <c r="GZ678" s="125"/>
      <c r="HA678" s="125"/>
      <c r="HB678" s="125"/>
      <c r="HC678" s="125"/>
      <c r="HD678" s="125"/>
      <c r="HE678" s="125"/>
      <c r="HF678" s="125"/>
      <c r="HG678" s="125"/>
      <c r="HH678" s="125"/>
      <c r="HI678" s="125"/>
      <c r="HJ678" s="125"/>
      <c r="HK678" s="125" t="s">
        <v>1350</v>
      </c>
      <c r="HL678" s="125" t="s">
        <v>488</v>
      </c>
      <c r="HM678" s="78"/>
      <c r="HN678" s="78"/>
      <c r="HO678" s="78"/>
      <c r="HP678" s="78"/>
      <c r="HQ678" s="78"/>
      <c r="HR678" s="78"/>
      <c r="HS678" s="78"/>
      <c r="HT678" s="78"/>
      <c r="HU678" s="78"/>
      <c r="HV678" s="78"/>
      <c r="HW678" s="78"/>
      <c r="HX678" s="78"/>
      <c r="HY678" s="126"/>
      <c r="HZ678" s="78"/>
      <c r="IA678" s="78"/>
      <c r="IB678" s="78"/>
      <c r="IC678" s="78"/>
      <c r="ID678" s="78"/>
      <c r="IE678" s="78"/>
      <c r="IF678" s="78"/>
      <c r="IG678" s="78"/>
      <c r="IH678" s="78"/>
      <c r="II678" s="78"/>
      <c r="IJ678" s="78"/>
      <c r="IK678" s="78"/>
      <c r="IL678" s="78"/>
      <c r="IM678" s="78"/>
      <c r="IN678" s="78"/>
      <c r="IO678" s="78"/>
      <c r="IP678" s="78"/>
      <c r="IQ678" s="78"/>
      <c r="IR678" s="78"/>
      <c r="IS678" s="78"/>
      <c r="IT678" s="78"/>
      <c r="IU678" s="78"/>
      <c r="IV678" t="s">
        <v>1351</v>
      </c>
      <c r="IX678" s="2" t="s">
        <v>1352</v>
      </c>
      <c r="IZ678">
        <v>6</v>
      </c>
      <c r="JA678">
        <v>77.5</v>
      </c>
      <c r="JB678">
        <v>75</v>
      </c>
      <c r="JC678">
        <v>80</v>
      </c>
      <c r="JD678">
        <v>7.5</v>
      </c>
      <c r="JE678">
        <v>6</v>
      </c>
      <c r="JF678">
        <v>9</v>
      </c>
      <c r="JG678" s="78"/>
      <c r="JH678" s="78"/>
      <c r="JI678" s="78"/>
      <c r="JJ678" s="78"/>
      <c r="JK678" s="78"/>
      <c r="JL678" s="78"/>
      <c r="JM678" s="78"/>
      <c r="JN678" s="78"/>
      <c r="JO678" s="78"/>
      <c r="JP678" s="131"/>
      <c r="JQ678" s="78"/>
      <c r="JR678" s="78"/>
      <c r="JS678" s="78"/>
      <c r="JT678" s="78"/>
      <c r="JU678" s="78"/>
      <c r="JV678" s="78"/>
      <c r="JW678" s="78"/>
      <c r="JX678" s="78"/>
      <c r="JY678" s="78"/>
      <c r="JZ678" s="131"/>
      <c r="KA678" s="78"/>
      <c r="KB678" s="78"/>
      <c r="KC678" s="78"/>
      <c r="KD678" s="78"/>
      <c r="KE678" s="78"/>
      <c r="KF678" s="78"/>
      <c r="KG678" s="78"/>
      <c r="KH678" s="78"/>
      <c r="KI678" s="78"/>
      <c r="KJ678" s="78"/>
      <c r="KK678" s="78"/>
      <c r="KL678" s="78"/>
      <c r="KM678" s="78"/>
      <c r="KN678" s="78"/>
      <c r="KO678" s="78"/>
      <c r="KP678" s="78"/>
      <c r="KQ678" s="78"/>
      <c r="KR678" s="131"/>
      <c r="KS678" s="131"/>
      <c r="KT678" s="131"/>
      <c r="KU678" s="131"/>
      <c r="KV678" s="78"/>
      <c r="KW678" s="78"/>
      <c r="KX678" s="78"/>
      <c r="KY678" s="78"/>
      <c r="KZ678" s="78"/>
      <c r="LA678" s="78"/>
      <c r="LB678" s="78"/>
      <c r="LC678" s="78"/>
      <c r="LD678" s="78"/>
      <c r="LE678" s="78"/>
      <c r="LF678" s="78"/>
      <c r="LG678" s="78"/>
      <c r="LH678" s="78"/>
      <c r="LI678" s="78"/>
      <c r="LJ678" s="78"/>
      <c r="LK678" s="78"/>
      <c r="LL678" s="78"/>
      <c r="LM678" s="78"/>
      <c r="LN678" s="78"/>
      <c r="LO678" s="78"/>
      <c r="LP678" s="78"/>
      <c r="LQ678" s="78"/>
      <c r="LR678" s="78"/>
      <c r="LS678" s="78"/>
      <c r="LT678" s="78"/>
      <c r="LU678" s="78"/>
      <c r="LV678" s="78"/>
      <c r="LW678" s="78"/>
      <c r="LX678" s="78"/>
      <c r="LY678" s="78"/>
      <c r="LZ678" s="78"/>
      <c r="MA678" s="78"/>
      <c r="MB678" s="78"/>
      <c r="MC678" s="78"/>
      <c r="MD678" s="78"/>
      <c r="ME678" s="78"/>
      <c r="MF678" s="78"/>
      <c r="MG678" s="78"/>
      <c r="MH678" s="78"/>
      <c r="MI678" s="78"/>
      <c r="MJ678" s="78"/>
      <c r="MK678" s="78"/>
      <c r="ML678" s="78"/>
      <c r="MM678" s="78"/>
      <c r="MN678" s="78"/>
      <c r="MO678" s="78"/>
      <c r="MP678" s="78"/>
      <c r="MQ678" s="78"/>
      <c r="MR678" s="78"/>
      <c r="MS678" s="78"/>
      <c r="MY678" s="78" t="s">
        <v>1329</v>
      </c>
      <c r="MZ678" s="78">
        <v>625</v>
      </c>
      <c r="NA678" s="78" t="s">
        <v>1330</v>
      </c>
      <c r="NB678" s="78" t="s">
        <v>1331</v>
      </c>
      <c r="NC678" s="78" t="s">
        <v>1332</v>
      </c>
      <c r="ND678" s="78" t="s">
        <v>1333</v>
      </c>
      <c r="NE678" s="78" t="s">
        <v>1334</v>
      </c>
      <c r="NF678" s="78" t="s">
        <v>1335</v>
      </c>
      <c r="NG678" s="78" t="s">
        <v>480</v>
      </c>
      <c r="NH678" s="78" t="s">
        <v>687</v>
      </c>
      <c r="NI678" s="78"/>
      <c r="NJ678" s="78" t="s">
        <v>1382</v>
      </c>
      <c r="NK678" s="78" t="s">
        <v>1383</v>
      </c>
      <c r="NL678" s="78" t="s">
        <v>1384</v>
      </c>
      <c r="NM678" s="78" t="s">
        <v>1385</v>
      </c>
      <c r="NN678" s="78"/>
      <c r="NO678" s="78"/>
      <c r="NP678" s="78"/>
      <c r="NQ678" s="78"/>
      <c r="NR678" s="78"/>
      <c r="NS678" s="78"/>
      <c r="NT678" s="78"/>
      <c r="NV678" s="78" t="s">
        <v>518</v>
      </c>
      <c r="NW678" s="78">
        <v>0.88300000000000001</v>
      </c>
      <c r="NX678" s="78" t="s">
        <v>916</v>
      </c>
      <c r="NY678" s="78">
        <v>1.7999999999999999E-2</v>
      </c>
      <c r="NZ678" s="78"/>
      <c r="OA678" s="78"/>
      <c r="OB678" s="78">
        <v>31</v>
      </c>
      <c r="OC678" s="78"/>
      <c r="OD678" s="78"/>
      <c r="OE678" s="78"/>
      <c r="OF678" s="78"/>
      <c r="OG678" s="78"/>
      <c r="OH678" s="78"/>
      <c r="OI678" s="78"/>
      <c r="OJ678" s="78"/>
      <c r="OK678" s="78"/>
      <c r="OL678" s="78"/>
      <c r="OM678" s="78"/>
      <c r="ON678" s="78"/>
      <c r="OO678" s="78"/>
      <c r="OP678" s="78"/>
      <c r="OQ678" s="78"/>
      <c r="OR678" s="78"/>
      <c r="OS678" s="78"/>
      <c r="OT678" s="78"/>
      <c r="OU678" s="78" t="s">
        <v>1341</v>
      </c>
      <c r="OV678" s="78" t="s">
        <v>518</v>
      </c>
      <c r="OW678" s="78"/>
      <c r="OX678" s="78">
        <v>2009</v>
      </c>
      <c r="OY678" s="78">
        <v>2010</v>
      </c>
      <c r="OZ678" s="78"/>
      <c r="PA678" s="78"/>
      <c r="PB678" s="78" t="s">
        <v>1342</v>
      </c>
      <c r="PC678" s="126">
        <v>46133</v>
      </c>
      <c r="PD678" s="78"/>
      <c r="PE678" s="78" t="s">
        <v>522</v>
      </c>
      <c r="PF678" s="126">
        <v>46164</v>
      </c>
      <c r="PG678" s="78" t="s">
        <v>1343</v>
      </c>
      <c r="PH678" s="124" t="s">
        <v>1344</v>
      </c>
    </row>
    <row r="679" spans="1:424">
      <c r="A679" s="78" t="s">
        <v>665</v>
      </c>
      <c r="B679" s="78" t="s">
        <v>1318</v>
      </c>
      <c r="C679" s="78" t="s">
        <v>1319</v>
      </c>
      <c r="D679" s="78" t="s">
        <v>472</v>
      </c>
      <c r="E679" s="78" t="s">
        <v>1353</v>
      </c>
      <c r="F679" s="78" t="s">
        <v>1322</v>
      </c>
      <c r="G679" s="78" t="s">
        <v>475</v>
      </c>
      <c r="H679" s="78" t="s">
        <v>476</v>
      </c>
      <c r="I679" s="78">
        <v>-8.8170000000000002</v>
      </c>
      <c r="J679" s="78">
        <v>-75.2</v>
      </c>
      <c r="K679" s="78">
        <v>500</v>
      </c>
      <c r="L679" s="78" t="s">
        <v>1319</v>
      </c>
      <c r="M679" s="78" t="s">
        <v>472</v>
      </c>
      <c r="N679" s="78" t="s">
        <v>1321</v>
      </c>
      <c r="O679" s="78" t="s">
        <v>1322</v>
      </c>
      <c r="P679" s="78" t="s">
        <v>475</v>
      </c>
      <c r="Q679" s="78" t="s">
        <v>476</v>
      </c>
      <c r="R679" s="78">
        <v>-8.5169999999999995</v>
      </c>
      <c r="S679" s="78">
        <v>-74.766999999999996</v>
      </c>
      <c r="T679" s="78">
        <v>500</v>
      </c>
      <c r="U679" s="78"/>
      <c r="V679" s="78"/>
      <c r="W679" s="78"/>
      <c r="X679" s="78"/>
      <c r="Y679" s="78"/>
      <c r="Z679" s="78"/>
      <c r="AA679" s="78"/>
      <c r="AB679" s="78"/>
      <c r="AC679" s="78"/>
      <c r="AD679" s="78"/>
      <c r="AE679" s="78"/>
      <c r="AF679" s="78"/>
      <c r="AG679" s="78"/>
      <c r="AH679" s="78"/>
      <c r="AI679" s="78"/>
      <c r="AJ679" s="78"/>
      <c r="AK679" s="78"/>
      <c r="AL679" s="78"/>
      <c r="AM679" s="78"/>
      <c r="AN679" s="78"/>
      <c r="AO679" s="78"/>
      <c r="AP679" s="78"/>
      <c r="AQ679" s="78"/>
      <c r="AR679" s="78"/>
      <c r="AS679" s="78"/>
      <c r="AT679" s="78"/>
      <c r="AU679" s="78"/>
      <c r="AV679" s="78" t="s">
        <v>1323</v>
      </c>
      <c r="AW679" s="78">
        <v>625</v>
      </c>
      <c r="AX679" s="78" t="s">
        <v>480</v>
      </c>
      <c r="AY679" s="223">
        <v>2</v>
      </c>
      <c r="AZ679" s="78" t="s">
        <v>1324</v>
      </c>
      <c r="BA679" s="78">
        <v>2009</v>
      </c>
      <c r="BB679" s="78">
        <v>2010</v>
      </c>
      <c r="BC679" s="78" t="s">
        <v>1325</v>
      </c>
      <c r="BD679" s="78" t="s">
        <v>1354</v>
      </c>
      <c r="BE679" s="78" t="s">
        <v>566</v>
      </c>
      <c r="BF679" s="78" t="s">
        <v>484</v>
      </c>
      <c r="BG679" s="78" t="s">
        <v>1355</v>
      </c>
      <c r="BH679" s="78" t="s">
        <v>480</v>
      </c>
      <c r="BI679" s="78" t="s">
        <v>480</v>
      </c>
      <c r="BJ679" s="78" t="s">
        <v>480</v>
      </c>
      <c r="BK679" s="78" t="s">
        <v>537</v>
      </c>
      <c r="BL679" s="78"/>
      <c r="BM679" s="78"/>
      <c r="BN679" s="78"/>
      <c r="BO679" s="78"/>
      <c r="BP679" s="78"/>
      <c r="BQ679" s="78"/>
      <c r="BR679" s="78"/>
      <c r="BS679" s="78"/>
      <c r="BT679" s="78"/>
      <c r="BU679" s="78"/>
      <c r="BV679" s="78"/>
      <c r="BW679" s="78"/>
      <c r="BX679" s="78"/>
      <c r="BY679" s="78"/>
      <c r="BZ679" s="78"/>
      <c r="CA679" s="78"/>
      <c r="CB679" s="78"/>
      <c r="CC679" s="78"/>
      <c r="CD679" s="78"/>
      <c r="CE679" s="78"/>
      <c r="CF679" s="78"/>
      <c r="CG679" s="78"/>
      <c r="CH679" s="78"/>
      <c r="CI679" s="78"/>
      <c r="CJ679" s="78"/>
      <c r="CK679" s="78"/>
      <c r="CL679" s="78"/>
      <c r="CM679" s="78"/>
      <c r="CN679" s="78"/>
      <c r="CO679" s="78"/>
      <c r="CP679" s="78"/>
      <c r="CQ679" s="78"/>
      <c r="CR679" s="78"/>
      <c r="CS679" s="78"/>
      <c r="CT679" s="78"/>
      <c r="CU679" s="78"/>
      <c r="CV679" s="78"/>
      <c r="CW679" s="78"/>
      <c r="CX679" s="78"/>
      <c r="CY679" s="78"/>
      <c r="CZ679" s="78"/>
      <c r="DA679" s="78"/>
      <c r="DB679" s="78"/>
      <c r="DC679" s="78"/>
      <c r="DD679" s="78"/>
      <c r="DE679" s="78"/>
      <c r="DF679" s="78"/>
      <c r="DG679" s="78"/>
      <c r="DH679" s="78"/>
      <c r="DI679" s="78"/>
      <c r="DJ679" s="78"/>
      <c r="DK679" s="78"/>
      <c r="DL679" s="78"/>
      <c r="DM679" s="78"/>
      <c r="DN679" s="78"/>
      <c r="DO679" s="78"/>
      <c r="DP679" s="78"/>
      <c r="DQ679" s="78"/>
      <c r="DR679" s="78"/>
      <c r="DS679" s="78"/>
      <c r="DT679" s="78"/>
      <c r="DU679" s="78"/>
      <c r="DV679" s="78"/>
      <c r="DW679" s="78"/>
      <c r="DX679" s="78"/>
      <c r="DY679" s="78"/>
      <c r="DZ679" s="78"/>
      <c r="EA679" s="78"/>
      <c r="EB679" s="78"/>
      <c r="EC679" s="78"/>
      <c r="ED679" s="78" t="s">
        <v>1356</v>
      </c>
      <c r="EE679" s="125" t="s">
        <v>480</v>
      </c>
      <c r="EF679" s="125" t="s">
        <v>480</v>
      </c>
      <c r="EG679" s="125" t="s">
        <v>537</v>
      </c>
      <c r="EH679" s="125" t="s">
        <v>1357</v>
      </c>
      <c r="EI679" s="125" t="s">
        <v>480</v>
      </c>
      <c r="EJ679" s="125" t="s">
        <v>480</v>
      </c>
      <c r="EK679" s="125" t="s">
        <v>537</v>
      </c>
      <c r="EL679" s="125" t="s">
        <v>1358</v>
      </c>
      <c r="EM679" s="125" t="s">
        <v>480</v>
      </c>
      <c r="EN679" s="125" t="s">
        <v>480</v>
      </c>
      <c r="EO679" s="125" t="s">
        <v>537</v>
      </c>
      <c r="EP679" s="125" t="s">
        <v>1359</v>
      </c>
      <c r="EQ679" s="125" t="s">
        <v>480</v>
      </c>
      <c r="ER679" s="125" t="s">
        <v>480</v>
      </c>
      <c r="ES679" s="9"/>
      <c r="ET679" s="9"/>
      <c r="EU679" s="9"/>
      <c r="EV679" s="9"/>
      <c r="EW679" s="9"/>
      <c r="EX679" s="9"/>
      <c r="EY679" s="9"/>
      <c r="EZ679" s="9"/>
      <c r="FA679" s="9"/>
      <c r="FB679" s="9"/>
      <c r="FC679" s="9"/>
      <c r="FD679" s="9"/>
      <c r="FE679" s="9"/>
      <c r="FF679" s="9"/>
      <c r="FG679" s="9"/>
      <c r="FH679" s="9"/>
      <c r="FI679" s="9"/>
      <c r="FJ679" s="9"/>
      <c r="FK679" s="9"/>
      <c r="FL679" s="9"/>
      <c r="FM679" s="9"/>
      <c r="FN679" s="9"/>
      <c r="FO679" s="9"/>
      <c r="FP679" s="9"/>
      <c r="FQ679" s="9"/>
      <c r="FR679" s="9"/>
      <c r="FS679" s="9"/>
      <c r="FT679" s="9"/>
      <c r="FU679" s="9"/>
      <c r="FV679" s="9"/>
      <c r="FW679" s="9"/>
      <c r="FX679" s="9"/>
      <c r="FY679" s="9"/>
      <c r="FZ679" s="9"/>
      <c r="GA679" s="9"/>
      <c r="GB679" s="9"/>
      <c r="GC679" s="9"/>
      <c r="GD679" s="9"/>
      <c r="GE679" s="9"/>
      <c r="GF679" s="9"/>
      <c r="GG679" s="9"/>
      <c r="GH679" s="9"/>
      <c r="GI679" s="9"/>
      <c r="GJ679" s="9"/>
      <c r="GK679" s="9"/>
      <c r="GL679" s="9"/>
      <c r="GM679" s="9"/>
      <c r="GN679" s="9"/>
      <c r="GO679" s="9"/>
      <c r="GP679" s="9"/>
      <c r="GQ679" s="9"/>
      <c r="GR679" s="9"/>
      <c r="GS679" s="9"/>
      <c r="GT679" s="9"/>
      <c r="GU679" s="9"/>
      <c r="GV679" s="9"/>
      <c r="GW679" s="9"/>
      <c r="GX679" s="9"/>
      <c r="GY679" s="9"/>
      <c r="GZ679" s="9"/>
      <c r="HA679" s="9"/>
      <c r="HB679" s="9"/>
      <c r="HC679" s="9"/>
      <c r="HD679" s="9"/>
      <c r="HE679" s="9"/>
      <c r="HF679" s="9"/>
      <c r="HG679" s="9"/>
      <c r="HH679" s="9"/>
      <c r="HI679" s="9"/>
      <c r="HJ679" s="9"/>
      <c r="HK679" s="9" t="s">
        <v>1350</v>
      </c>
      <c r="HL679" s="9" t="s">
        <v>488</v>
      </c>
      <c r="HY679" s="50"/>
      <c r="IV679" s="78" t="s">
        <v>1360</v>
      </c>
      <c r="IW679" s="78" t="s">
        <v>1361</v>
      </c>
      <c r="IX679" s="2" t="s">
        <v>1362</v>
      </c>
      <c r="IY679" s="78"/>
      <c r="IZ679" s="78"/>
      <c r="JA679" s="78">
        <v>50</v>
      </c>
      <c r="JB679" t="s">
        <v>480</v>
      </c>
      <c r="JC679" t="s">
        <v>480</v>
      </c>
      <c r="JD679" s="78">
        <v>12</v>
      </c>
      <c r="JE679" t="s">
        <v>480</v>
      </c>
      <c r="JF679" t="s">
        <v>480</v>
      </c>
      <c r="JP679" s="9"/>
      <c r="JZ679" s="9"/>
      <c r="KR679" s="9"/>
      <c r="KS679" s="9"/>
      <c r="KT679" s="9"/>
      <c r="KU679" s="9"/>
      <c r="MT679" s="78"/>
      <c r="MU679" s="78"/>
      <c r="MV679" s="78"/>
      <c r="MW679" s="78"/>
      <c r="MX679" s="78"/>
      <c r="MY679" t="s">
        <v>1329</v>
      </c>
      <c r="MZ679">
        <v>625</v>
      </c>
      <c r="NA679" t="s">
        <v>1330</v>
      </c>
      <c r="NB679" t="s">
        <v>1331</v>
      </c>
      <c r="NC679" t="s">
        <v>1332</v>
      </c>
      <c r="ND679" t="s">
        <v>1333</v>
      </c>
      <c r="NE679" t="s">
        <v>1334</v>
      </c>
      <c r="NF679" t="s">
        <v>1335</v>
      </c>
      <c r="NG679" s="78" t="s">
        <v>480</v>
      </c>
      <c r="NH679" s="78" t="s">
        <v>687</v>
      </c>
      <c r="NJ679" t="s">
        <v>1382</v>
      </c>
      <c r="NK679" t="s">
        <v>1383</v>
      </c>
      <c r="NL679" t="s">
        <v>1384</v>
      </c>
      <c r="NM679" t="s">
        <v>1385</v>
      </c>
      <c r="NU679" s="78"/>
      <c r="NV679" t="s">
        <v>518</v>
      </c>
      <c r="NW679">
        <v>0.80800000000000005</v>
      </c>
      <c r="NX679" t="s">
        <v>916</v>
      </c>
      <c r="NY679">
        <v>6.6000000000000003E-2</v>
      </c>
      <c r="OB679">
        <v>32</v>
      </c>
      <c r="OU679" t="s">
        <v>1341</v>
      </c>
      <c r="OV679" s="78" t="s">
        <v>518</v>
      </c>
      <c r="OX679">
        <v>2009</v>
      </c>
      <c r="OY679">
        <v>2010</v>
      </c>
      <c r="PB679" t="s">
        <v>1342</v>
      </c>
      <c r="PC679" s="50">
        <v>46133</v>
      </c>
      <c r="PE679" s="78" t="s">
        <v>522</v>
      </c>
      <c r="PF679" s="126">
        <v>46164</v>
      </c>
      <c r="PG679" s="78" t="s">
        <v>1343</v>
      </c>
      <c r="PH679" s="124" t="s">
        <v>1344</v>
      </c>
    </row>
    <row r="680" spans="1:424" ht="15.75" thickBot="1">
      <c r="A680" t="s">
        <v>665</v>
      </c>
      <c r="B680" t="s">
        <v>1318</v>
      </c>
      <c r="C680" t="s">
        <v>1319</v>
      </c>
      <c r="D680" t="s">
        <v>472</v>
      </c>
      <c r="E680" t="s">
        <v>1353</v>
      </c>
      <c r="F680" t="s">
        <v>1322</v>
      </c>
      <c r="G680" t="s">
        <v>475</v>
      </c>
      <c r="H680" t="s">
        <v>476</v>
      </c>
      <c r="I680">
        <v>-8.8170000000000002</v>
      </c>
      <c r="J680">
        <v>-75.2</v>
      </c>
      <c r="K680" s="78">
        <v>500</v>
      </c>
      <c r="L680" t="s">
        <v>1319</v>
      </c>
      <c r="M680" t="s">
        <v>472</v>
      </c>
      <c r="N680" t="s">
        <v>1321</v>
      </c>
      <c r="O680" t="s">
        <v>1322</v>
      </c>
      <c r="P680" t="s">
        <v>475</v>
      </c>
      <c r="Q680" t="s">
        <v>476</v>
      </c>
      <c r="R680">
        <v>-8.5169999999999995</v>
      </c>
      <c r="S680">
        <v>-74.766999999999996</v>
      </c>
      <c r="T680" s="78">
        <v>500</v>
      </c>
      <c r="U680" t="s">
        <v>1319</v>
      </c>
      <c r="V680" t="s">
        <v>472</v>
      </c>
      <c r="W680" t="s">
        <v>1345</v>
      </c>
      <c r="X680" t="s">
        <v>1322</v>
      </c>
      <c r="Y680" t="s">
        <v>475</v>
      </c>
      <c r="Z680" t="s">
        <v>476</v>
      </c>
      <c r="AA680">
        <v>-8.3670000000000009</v>
      </c>
      <c r="AB680">
        <v>-74.7</v>
      </c>
      <c r="AC680">
        <v>500</v>
      </c>
      <c r="AV680" t="s">
        <v>1323</v>
      </c>
      <c r="AW680">
        <v>625</v>
      </c>
      <c r="AX680" t="s">
        <v>480</v>
      </c>
      <c r="AY680" s="224">
        <v>2</v>
      </c>
      <c r="AZ680" t="s">
        <v>1324</v>
      </c>
      <c r="BA680">
        <v>2009</v>
      </c>
      <c r="BB680">
        <v>2010</v>
      </c>
      <c r="BC680" t="s">
        <v>1325</v>
      </c>
      <c r="BD680" t="s">
        <v>1363</v>
      </c>
      <c r="BE680" t="s">
        <v>483</v>
      </c>
      <c r="BF680" t="s">
        <v>484</v>
      </c>
      <c r="BG680" t="s">
        <v>1364</v>
      </c>
      <c r="BH680" t="s">
        <v>480</v>
      </c>
      <c r="BI680" t="s">
        <v>480</v>
      </c>
      <c r="BJ680" t="s">
        <v>480</v>
      </c>
      <c r="EI680" s="9"/>
      <c r="EJ680" s="9"/>
      <c r="EK680" s="9"/>
      <c r="EL680" s="9"/>
      <c r="EM680" s="9"/>
      <c r="EN680" s="9"/>
      <c r="EO680" s="9"/>
      <c r="EP680" s="9"/>
      <c r="EQ680" s="9"/>
      <c r="ER680" s="9"/>
      <c r="ES680" s="125"/>
      <c r="ET680" s="125"/>
      <c r="EU680" s="125"/>
      <c r="EV680" s="125"/>
      <c r="EW680" s="125"/>
      <c r="EX680" s="125"/>
      <c r="EY680" s="125"/>
      <c r="EZ680" s="125"/>
      <c r="FA680" s="125"/>
      <c r="FB680" s="125"/>
      <c r="FC680" s="125"/>
      <c r="FD680" s="125"/>
      <c r="FE680" s="125"/>
      <c r="FF680" s="125"/>
      <c r="FG680" s="125"/>
      <c r="FH680" s="125"/>
      <c r="FI680" s="125"/>
      <c r="FJ680" s="125"/>
      <c r="FK680" s="125"/>
      <c r="FL680" s="125"/>
      <c r="FM680" s="125"/>
      <c r="FN680" s="125"/>
      <c r="FO680" s="125"/>
      <c r="FP680" s="125"/>
      <c r="FQ680" s="125"/>
      <c r="FR680" s="125"/>
      <c r="FS680" s="125"/>
      <c r="FT680" s="125"/>
      <c r="FU680" s="125"/>
      <c r="FV680" s="125"/>
      <c r="FW680" s="125"/>
      <c r="FX680" s="125"/>
      <c r="FY680" s="125"/>
      <c r="FZ680" s="125"/>
      <c r="GA680" s="125"/>
      <c r="GB680" s="125"/>
      <c r="GC680" s="125"/>
      <c r="GD680" s="125"/>
      <c r="GE680" s="125"/>
      <c r="GF680" s="125"/>
      <c r="GG680" s="125"/>
      <c r="GH680" s="125"/>
      <c r="GI680" s="125"/>
      <c r="GJ680" s="125"/>
      <c r="GK680" s="125"/>
      <c r="GL680" s="125"/>
      <c r="GM680" s="125"/>
      <c r="GN680" s="125"/>
      <c r="GO680" s="125"/>
      <c r="GP680" s="125"/>
      <c r="GQ680" s="125"/>
      <c r="GR680" s="125"/>
      <c r="GS680" s="125"/>
      <c r="GT680" s="125"/>
      <c r="GU680" s="125"/>
      <c r="GV680" s="125"/>
      <c r="GW680" s="125"/>
      <c r="GX680" s="125"/>
      <c r="GY680" s="125"/>
      <c r="GZ680" s="125"/>
      <c r="HA680" s="125"/>
      <c r="HB680" s="125"/>
      <c r="HC680" s="125"/>
      <c r="HD680" s="125"/>
      <c r="HE680" s="125"/>
      <c r="HF680" s="125"/>
      <c r="HG680" s="125"/>
      <c r="HH680" s="125"/>
      <c r="HI680" s="125"/>
      <c r="HJ680" s="125"/>
      <c r="HK680" s="125" t="s">
        <v>1365</v>
      </c>
      <c r="HL680" s="125" t="s">
        <v>526</v>
      </c>
      <c r="HM680" s="78" t="s">
        <v>500</v>
      </c>
      <c r="HN680" s="78"/>
      <c r="HO680" s="78"/>
      <c r="HP680" s="78"/>
      <c r="HQ680" s="78"/>
      <c r="HR680" s="78"/>
      <c r="HS680" s="78"/>
      <c r="HT680" s="78"/>
      <c r="HU680" s="78"/>
      <c r="HV680" s="78"/>
      <c r="HW680" s="78"/>
      <c r="HX680" s="78"/>
      <c r="HY680" s="126"/>
      <c r="HZ680" s="78"/>
      <c r="IA680" s="78"/>
      <c r="IB680" s="78"/>
      <c r="IC680" s="78"/>
      <c r="ID680" s="78"/>
      <c r="IE680" s="78"/>
      <c r="IF680" s="78"/>
      <c r="IG680" s="78"/>
      <c r="IH680" s="78"/>
      <c r="II680" s="78"/>
      <c r="IJ680" s="78"/>
      <c r="IK680" s="78"/>
      <c r="IL680" s="78"/>
      <c r="IM680" s="78"/>
      <c r="IN680" s="78"/>
      <c r="IO680" s="78"/>
      <c r="IP680" s="78"/>
      <c r="IQ680" s="78"/>
      <c r="IR680" s="78"/>
      <c r="IS680" s="78"/>
      <c r="IT680" s="78"/>
      <c r="IU680" s="78"/>
      <c r="IV680" t="s">
        <v>1366</v>
      </c>
      <c r="IX680" t="s">
        <v>492</v>
      </c>
      <c r="JG680" s="78"/>
      <c r="JH680" s="78"/>
      <c r="JI680" s="78"/>
      <c r="JJ680" s="78"/>
      <c r="JK680" s="78"/>
      <c r="JL680" s="78"/>
      <c r="JM680" s="78"/>
      <c r="JN680" s="78"/>
      <c r="JO680" s="78"/>
      <c r="JP680" s="131"/>
      <c r="JQ680" s="78"/>
      <c r="JR680" s="78"/>
      <c r="JS680" s="78"/>
      <c r="JT680" s="78"/>
      <c r="JU680" s="78"/>
      <c r="JV680" s="78"/>
      <c r="JW680" s="78"/>
      <c r="JX680" s="78"/>
      <c r="JY680" s="78"/>
      <c r="JZ680" s="131"/>
      <c r="KA680" s="78"/>
      <c r="KB680" s="78"/>
      <c r="KC680" s="78"/>
      <c r="KD680" s="78"/>
      <c r="KE680" s="78"/>
      <c r="KF680" s="78"/>
      <c r="KG680" s="78"/>
      <c r="KH680" s="78"/>
      <c r="KI680" s="78"/>
      <c r="KJ680" s="78"/>
      <c r="KK680" s="78"/>
      <c r="KL680" s="78"/>
      <c r="KM680" s="78"/>
      <c r="KN680" s="78"/>
      <c r="KO680" s="78"/>
      <c r="KP680" s="78"/>
      <c r="KQ680" s="78"/>
      <c r="KR680" s="131"/>
      <c r="KS680" s="131"/>
      <c r="KT680" s="131"/>
      <c r="KU680" s="131"/>
      <c r="KV680" s="78"/>
      <c r="KW680" s="78"/>
      <c r="KX680" s="78"/>
      <c r="KY680" s="78"/>
      <c r="KZ680" s="78"/>
      <c r="LA680" s="78"/>
      <c r="LB680" s="78"/>
      <c r="LC680" s="78"/>
      <c r="LD680" s="78"/>
      <c r="LE680" s="78"/>
      <c r="LF680" s="78"/>
      <c r="LG680" s="78"/>
      <c r="LH680" s="78"/>
      <c r="LI680" s="78"/>
      <c r="LJ680" s="78"/>
      <c r="LK680" s="78"/>
      <c r="LL680" s="78"/>
      <c r="LM680" s="78"/>
      <c r="LN680" s="78"/>
      <c r="LO680" s="78"/>
      <c r="LP680" s="78"/>
      <c r="LQ680" s="78"/>
      <c r="LR680" s="78"/>
      <c r="LS680" s="78"/>
      <c r="LT680" s="78"/>
      <c r="LU680" s="78"/>
      <c r="LV680" s="78"/>
      <c r="LW680" s="78"/>
      <c r="LX680" s="78"/>
      <c r="LY680" s="78"/>
      <c r="LZ680" s="78"/>
      <c r="MA680" s="78"/>
      <c r="MB680" s="78"/>
      <c r="MC680" s="78"/>
      <c r="MD680" s="78"/>
      <c r="ME680" s="78"/>
      <c r="MF680" s="78"/>
      <c r="MG680" s="78"/>
      <c r="MH680" s="78"/>
      <c r="MI680" s="78"/>
      <c r="MJ680" s="78"/>
      <c r="MK680" s="78"/>
      <c r="ML680" s="78"/>
      <c r="MM680" s="78"/>
      <c r="MN680" s="78"/>
      <c r="MO680" s="78"/>
      <c r="MP680" s="78"/>
      <c r="MQ680" s="78"/>
      <c r="MR680" s="78"/>
      <c r="MS680" s="78"/>
      <c r="MY680" s="78" t="s">
        <v>1329</v>
      </c>
      <c r="MZ680" s="78">
        <v>625</v>
      </c>
      <c r="NA680" s="78" t="s">
        <v>1330</v>
      </c>
      <c r="NB680" s="78" t="s">
        <v>1331</v>
      </c>
      <c r="NC680" s="78" t="s">
        <v>1332</v>
      </c>
      <c r="ND680" s="78" t="s">
        <v>1333</v>
      </c>
      <c r="NE680" s="78" t="s">
        <v>1334</v>
      </c>
      <c r="NF680" s="78" t="s">
        <v>1335</v>
      </c>
      <c r="NG680" s="78" t="s">
        <v>480</v>
      </c>
      <c r="NH680" s="78" t="s">
        <v>687</v>
      </c>
      <c r="NI680" s="78"/>
      <c r="NJ680" s="78" t="s">
        <v>1382</v>
      </c>
      <c r="NK680" s="78" t="s">
        <v>1383</v>
      </c>
      <c r="NL680" s="78" t="s">
        <v>1384</v>
      </c>
      <c r="NM680" s="78" t="s">
        <v>1385</v>
      </c>
      <c r="NN680" s="78"/>
      <c r="NO680" s="78"/>
      <c r="NP680" s="78"/>
      <c r="NQ680" s="78"/>
      <c r="NR680" s="78"/>
      <c r="NS680" s="78"/>
      <c r="NT680" s="78"/>
      <c r="NU680" t="s">
        <v>657</v>
      </c>
      <c r="NV680" s="78" t="s">
        <v>518</v>
      </c>
      <c r="NW680" s="78">
        <v>0.60599999999999998</v>
      </c>
      <c r="NX680" s="78" t="s">
        <v>916</v>
      </c>
      <c r="NY680" s="78">
        <v>8.1000000000000003E-2</v>
      </c>
      <c r="NZ680" s="78"/>
      <c r="OA680" s="78"/>
      <c r="OB680" s="78">
        <v>32</v>
      </c>
      <c r="OC680" s="78"/>
      <c r="OD680" s="78"/>
      <c r="OE680" s="78"/>
      <c r="OF680" s="78"/>
      <c r="OG680" s="78"/>
      <c r="OH680" s="78"/>
      <c r="OI680" s="78"/>
      <c r="OJ680" s="78"/>
      <c r="OK680" s="78"/>
      <c r="OL680" s="78"/>
      <c r="OM680" s="78"/>
      <c r="ON680" s="78"/>
      <c r="OO680" s="78"/>
      <c r="OP680" s="78"/>
      <c r="OQ680" s="78"/>
      <c r="OR680" s="78"/>
      <c r="OS680" s="78"/>
      <c r="OT680" s="78"/>
      <c r="OU680" s="78" t="s">
        <v>1341</v>
      </c>
      <c r="OV680" s="78" t="s">
        <v>518</v>
      </c>
      <c r="OW680" s="78"/>
      <c r="OX680" s="78">
        <v>2009</v>
      </c>
      <c r="OY680" s="78">
        <v>2010</v>
      </c>
      <c r="OZ680" s="78"/>
      <c r="PA680" s="78"/>
      <c r="PB680" s="78" t="s">
        <v>1342</v>
      </c>
      <c r="PC680" s="126">
        <v>46133</v>
      </c>
      <c r="PD680" s="78"/>
      <c r="PE680" s="78" t="s">
        <v>522</v>
      </c>
      <c r="PF680" s="126">
        <v>46164</v>
      </c>
      <c r="PG680" s="78" t="s">
        <v>1343</v>
      </c>
      <c r="PH680" s="124" t="s">
        <v>1344</v>
      </c>
    </row>
    <row r="681" spans="1:424" ht="15.75" thickBot="1">
      <c r="A681" s="78" t="s">
        <v>665</v>
      </c>
      <c r="B681" s="78" t="s">
        <v>1318</v>
      </c>
      <c r="C681" s="78" t="s">
        <v>1319</v>
      </c>
      <c r="D681" s="78" t="s">
        <v>472</v>
      </c>
      <c r="E681" s="78" t="s">
        <v>1353</v>
      </c>
      <c r="F681" s="78" t="s">
        <v>1322</v>
      </c>
      <c r="G681" s="78" t="s">
        <v>475</v>
      </c>
      <c r="H681" s="78" t="s">
        <v>476</v>
      </c>
      <c r="I681" s="78">
        <v>-8.8170000000000002</v>
      </c>
      <c r="J681" s="78">
        <v>-75.2</v>
      </c>
      <c r="K681" s="78">
        <v>500</v>
      </c>
      <c r="L681" s="78" t="s">
        <v>1319</v>
      </c>
      <c r="M681" s="78" t="s">
        <v>472</v>
      </c>
      <c r="N681" s="78" t="s">
        <v>1321</v>
      </c>
      <c r="O681" s="78" t="s">
        <v>1322</v>
      </c>
      <c r="P681" s="78" t="s">
        <v>475</v>
      </c>
      <c r="Q681" s="78" t="s">
        <v>476</v>
      </c>
      <c r="R681" s="78">
        <v>-8.5169999999999995</v>
      </c>
      <c r="S681" s="78">
        <v>-74.766999999999996</v>
      </c>
      <c r="T681" s="78">
        <v>500</v>
      </c>
      <c r="U681" s="78" t="s">
        <v>1319</v>
      </c>
      <c r="V681" s="78" t="s">
        <v>472</v>
      </c>
      <c r="W681" s="78" t="s">
        <v>1345</v>
      </c>
      <c r="X681" s="78" t="s">
        <v>1322</v>
      </c>
      <c r="Y681" s="78" t="s">
        <v>475</v>
      </c>
      <c r="Z681" s="78" t="s">
        <v>476</v>
      </c>
      <c r="AA681" s="78">
        <v>-8.3670000000000009</v>
      </c>
      <c r="AB681" s="78">
        <v>-74.7</v>
      </c>
      <c r="AC681">
        <v>500</v>
      </c>
      <c r="AD681" s="78"/>
      <c r="AE681" s="78"/>
      <c r="AF681" s="78"/>
      <c r="AG681" s="78"/>
      <c r="AH681" s="78"/>
      <c r="AI681" s="78"/>
      <c r="AJ681" s="78"/>
      <c r="AK681" s="78"/>
      <c r="AL681" s="78"/>
      <c r="AM681" s="78"/>
      <c r="AN681" s="78"/>
      <c r="AO681" s="78"/>
      <c r="AP681" s="78"/>
      <c r="AQ681" s="78"/>
      <c r="AR681" s="78"/>
      <c r="AS681" s="78"/>
      <c r="AT681" s="78"/>
      <c r="AU681" s="78"/>
      <c r="AV681" s="78" t="s">
        <v>1323</v>
      </c>
      <c r="AW681" s="78">
        <v>625</v>
      </c>
      <c r="AX681" s="78" t="s">
        <v>480</v>
      </c>
      <c r="AY681" s="223">
        <v>2</v>
      </c>
      <c r="AZ681" s="78" t="s">
        <v>1324</v>
      </c>
      <c r="BA681" s="78">
        <v>2009</v>
      </c>
      <c r="BB681" s="78">
        <v>2010</v>
      </c>
      <c r="BC681" s="78" t="s">
        <v>1325</v>
      </c>
      <c r="BD681" s="78" t="s">
        <v>1367</v>
      </c>
      <c r="BE681" s="78" t="s">
        <v>593</v>
      </c>
      <c r="BF681" s="78" t="s">
        <v>1102</v>
      </c>
      <c r="BG681" s="78" t="s">
        <v>1368</v>
      </c>
      <c r="BH681" s="78" t="s">
        <v>480</v>
      </c>
      <c r="BI681" s="78" t="s">
        <v>480</v>
      </c>
      <c r="BJ681" s="78" t="s">
        <v>480</v>
      </c>
      <c r="BK681" s="78"/>
      <c r="BL681" s="78"/>
      <c r="BM681" s="78"/>
      <c r="BN681" s="78"/>
      <c r="BO681" s="78"/>
      <c r="BP681" s="78"/>
      <c r="BQ681" s="78"/>
      <c r="BR681" s="78"/>
      <c r="BS681" s="78"/>
      <c r="BT681" s="78"/>
      <c r="BU681" s="78"/>
      <c r="BV681" s="78"/>
      <c r="BW681" s="78"/>
      <c r="BX681" s="78"/>
      <c r="BY681" s="78"/>
      <c r="BZ681" s="78"/>
      <c r="CA681" s="78"/>
      <c r="CB681" s="78"/>
      <c r="CC681" s="78"/>
      <c r="CD681" s="78"/>
      <c r="CE681" s="78"/>
      <c r="CF681" s="78"/>
      <c r="CG681" s="78"/>
      <c r="CH681" s="78"/>
      <c r="CI681" s="78"/>
      <c r="CJ681" s="78"/>
      <c r="CK681" s="78"/>
      <c r="CL681" s="78"/>
      <c r="CM681" s="78"/>
      <c r="CN681" s="78"/>
      <c r="CO681" s="78"/>
      <c r="CP681" s="78"/>
      <c r="CQ681" s="78"/>
      <c r="CR681" s="78"/>
      <c r="CS681" s="78"/>
      <c r="CT681" s="78"/>
      <c r="CU681" s="78"/>
      <c r="CV681" s="78"/>
      <c r="CW681" s="78"/>
      <c r="CX681" s="78"/>
      <c r="CY681" s="78"/>
      <c r="CZ681" s="78"/>
      <c r="DA681" s="78"/>
      <c r="DB681" s="78"/>
      <c r="DC681" s="78"/>
      <c r="DD681" s="78"/>
      <c r="DE681" s="78"/>
      <c r="DF681" s="78"/>
      <c r="DG681" s="78"/>
      <c r="DH681" s="78"/>
      <c r="DI681" s="78"/>
      <c r="DJ681" s="78"/>
      <c r="DK681" s="78"/>
      <c r="DL681" s="78"/>
      <c r="DM681" s="78"/>
      <c r="DN681" s="78"/>
      <c r="DO681" s="78"/>
      <c r="DP681" s="78"/>
      <c r="DQ681" s="78"/>
      <c r="DR681" s="78"/>
      <c r="DS681" s="78"/>
      <c r="DT681" s="78"/>
      <c r="DU681" s="78"/>
      <c r="DV681" s="78"/>
      <c r="DW681" s="78"/>
      <c r="DX681" s="78"/>
      <c r="DY681" s="78"/>
      <c r="DZ681" s="78"/>
      <c r="EA681" s="78"/>
      <c r="EB681" s="78"/>
      <c r="EC681" s="78"/>
      <c r="ED681" s="78"/>
      <c r="EE681" s="78"/>
      <c r="EF681" s="78"/>
      <c r="EG681" s="78"/>
      <c r="EH681" s="78"/>
      <c r="EI681" s="125"/>
      <c r="EJ681" s="125"/>
      <c r="EK681" s="125"/>
      <c r="EL681" s="125"/>
      <c r="EM681" s="125"/>
      <c r="EN681" s="125"/>
      <c r="EO681" s="125"/>
      <c r="EP681" s="125"/>
      <c r="EQ681" s="125"/>
      <c r="ER681" s="125"/>
      <c r="ES681" s="9"/>
      <c r="ET681" s="9"/>
      <c r="EU681" s="9"/>
      <c r="EV681" s="9"/>
      <c r="EW681" s="9"/>
      <c r="EX681" s="9"/>
      <c r="EY681" s="9"/>
      <c r="EZ681" s="9"/>
      <c r="FA681" s="9"/>
      <c r="FB681" s="9"/>
      <c r="FC681" s="9"/>
      <c r="FD681" s="9"/>
      <c r="FE681" s="9"/>
      <c r="FF681" s="9"/>
      <c r="FG681" s="9"/>
      <c r="FH681" s="9"/>
      <c r="FI681" s="9"/>
      <c r="FJ681" s="9"/>
      <c r="FK681" s="9"/>
      <c r="FL681" s="9"/>
      <c r="FM681" s="9"/>
      <c r="FN681" s="9"/>
      <c r="FO681" s="9"/>
      <c r="FP681" s="9"/>
      <c r="FQ681" s="9"/>
      <c r="FR681" s="9"/>
      <c r="FS681" s="9"/>
      <c r="FT681" s="9"/>
      <c r="FU681" s="9"/>
      <c r="FV681" s="9"/>
      <c r="FW681" s="9"/>
      <c r="FX681" s="9"/>
      <c r="FY681" s="9"/>
      <c r="FZ681" s="9"/>
      <c r="GA681" s="9"/>
      <c r="GB681" s="9"/>
      <c r="GC681" s="9"/>
      <c r="GD681" s="9"/>
      <c r="GE681" s="9"/>
      <c r="GF681" s="9"/>
      <c r="GG681" s="9"/>
      <c r="GH681" s="9"/>
      <c r="GI681" s="9"/>
      <c r="GJ681" s="9"/>
      <c r="GK681" s="9"/>
      <c r="GL681" s="9"/>
      <c r="GM681" s="9"/>
      <c r="GN681" s="9"/>
      <c r="GO681" s="9"/>
      <c r="GP681" s="9"/>
      <c r="GQ681" s="9"/>
      <c r="GR681" s="9"/>
      <c r="GS681" s="9"/>
      <c r="GT681" s="9"/>
      <c r="GU681" s="9"/>
      <c r="GV681" s="9"/>
      <c r="GW681" s="9"/>
      <c r="GX681" s="9"/>
      <c r="GY681" s="9"/>
      <c r="GZ681" s="9"/>
      <c r="HA681" s="9"/>
      <c r="HB681" s="9"/>
      <c r="HC681" s="9"/>
      <c r="HD681" s="9"/>
      <c r="HE681" s="9"/>
      <c r="HF681" s="9"/>
      <c r="HG681" s="9"/>
      <c r="HH681" s="9"/>
      <c r="HI681" s="9"/>
      <c r="HJ681" s="9"/>
      <c r="HK681" s="9" t="s">
        <v>1369</v>
      </c>
      <c r="HL681" s="9" t="s">
        <v>488</v>
      </c>
      <c r="HY681" s="50"/>
      <c r="IV681" s="78" t="s">
        <v>1367</v>
      </c>
      <c r="IW681" s="78"/>
      <c r="IX681" s="221" t="s">
        <v>1370</v>
      </c>
      <c r="IY681" s="78"/>
      <c r="IZ681" s="78"/>
      <c r="JA681" s="78"/>
      <c r="JB681" s="78"/>
      <c r="JC681" s="78"/>
      <c r="JD681" s="78"/>
      <c r="JE681" s="78"/>
      <c r="JF681" s="78"/>
      <c r="JP681" s="9"/>
      <c r="JZ681" s="9"/>
      <c r="KR681" s="9"/>
      <c r="KS681" s="9"/>
      <c r="KT681" s="9"/>
      <c r="KU681" s="9"/>
      <c r="MT681" s="78" t="s">
        <v>1367</v>
      </c>
      <c r="MU681" s="185" t="s">
        <v>1370</v>
      </c>
      <c r="MV681" s="78" t="s">
        <v>480</v>
      </c>
      <c r="MW681" s="78" t="s">
        <v>480</v>
      </c>
      <c r="MX681" s="185" t="s">
        <v>1094</v>
      </c>
      <c r="MY681" t="s">
        <v>1329</v>
      </c>
      <c r="MZ681">
        <v>625</v>
      </c>
      <c r="NA681" t="s">
        <v>1330</v>
      </c>
      <c r="NB681" t="s">
        <v>1331</v>
      </c>
      <c r="NC681" t="s">
        <v>1332</v>
      </c>
      <c r="ND681" t="s">
        <v>1333</v>
      </c>
      <c r="NE681" t="s">
        <v>1334</v>
      </c>
      <c r="NF681" t="s">
        <v>1335</v>
      </c>
      <c r="NG681" s="78" t="s">
        <v>480</v>
      </c>
      <c r="NH681" s="78" t="s">
        <v>687</v>
      </c>
      <c r="NJ681" t="s">
        <v>1382</v>
      </c>
      <c r="NK681" t="s">
        <v>1383</v>
      </c>
      <c r="NL681" t="s">
        <v>1384</v>
      </c>
      <c r="NM681" t="s">
        <v>1385</v>
      </c>
      <c r="NU681" s="78" t="s">
        <v>1339</v>
      </c>
      <c r="NV681" t="s">
        <v>518</v>
      </c>
      <c r="NW681">
        <v>0.55400000000000005</v>
      </c>
      <c r="NX681" t="s">
        <v>916</v>
      </c>
      <c r="NY681">
        <v>8.2000000000000003E-2</v>
      </c>
      <c r="OB681">
        <v>32</v>
      </c>
      <c r="OU681" t="s">
        <v>1341</v>
      </c>
      <c r="OV681" s="78" t="s">
        <v>518</v>
      </c>
      <c r="OX681">
        <v>2009</v>
      </c>
      <c r="OY681">
        <v>2010</v>
      </c>
      <c r="PB681" t="s">
        <v>1342</v>
      </c>
      <c r="PC681" s="50">
        <v>46133</v>
      </c>
      <c r="PE681" s="78" t="s">
        <v>522</v>
      </c>
      <c r="PF681" s="126">
        <v>46164</v>
      </c>
      <c r="PG681" s="78" t="s">
        <v>1343</v>
      </c>
      <c r="PH681" s="124" t="s">
        <v>1344</v>
      </c>
    </row>
    <row r="682" spans="1:424" s="127" customFormat="1" ht="15.75" thickBot="1">
      <c r="A682" s="78" t="s">
        <v>469</v>
      </c>
      <c r="B682" s="127" t="s">
        <v>1386</v>
      </c>
      <c r="C682" s="127" t="s">
        <v>1387</v>
      </c>
      <c r="D682" s="127" t="s">
        <v>472</v>
      </c>
      <c r="E682" s="127" t="s">
        <v>1388</v>
      </c>
      <c r="F682" s="127" t="s">
        <v>474</v>
      </c>
      <c r="G682" s="127" t="s">
        <v>475</v>
      </c>
      <c r="H682" s="127" t="s">
        <v>476</v>
      </c>
      <c r="I682" s="127">
        <v>-13.06</v>
      </c>
      <c r="J682" s="127">
        <v>34.299999999999997</v>
      </c>
      <c r="K682" s="127">
        <v>250</v>
      </c>
      <c r="AV682" s="127" t="s">
        <v>1389</v>
      </c>
      <c r="AW682" s="127">
        <v>1300</v>
      </c>
      <c r="AX682" s="127">
        <v>3900</v>
      </c>
      <c r="AY682" s="127">
        <v>3</v>
      </c>
      <c r="AZ682" s="127" t="s">
        <v>1390</v>
      </c>
      <c r="BA682" s="127">
        <v>2011</v>
      </c>
      <c r="BB682" s="127">
        <v>2014</v>
      </c>
      <c r="BD682" s="127" t="s">
        <v>1391</v>
      </c>
      <c r="BE682" s="127" t="s">
        <v>524</v>
      </c>
      <c r="BF682" s="127" t="s">
        <v>484</v>
      </c>
      <c r="BG682" s="127" t="s">
        <v>485</v>
      </c>
      <c r="BH682" s="127" t="s">
        <v>1392</v>
      </c>
      <c r="BI682" s="127" t="s">
        <v>486</v>
      </c>
      <c r="BJ682" s="127">
        <v>53333</v>
      </c>
      <c r="EI682" s="130"/>
      <c r="EJ682" s="130"/>
      <c r="EK682" s="130"/>
      <c r="EL682" s="130"/>
      <c r="EM682" s="130"/>
      <c r="EN682" s="130"/>
      <c r="EO682" s="130"/>
      <c r="EP682" s="130"/>
      <c r="EQ682" s="130"/>
      <c r="ER682" s="130"/>
      <c r="ES682" s="130"/>
      <c r="ET682" s="130"/>
      <c r="EU682" s="130"/>
      <c r="EV682" s="130"/>
      <c r="EW682" s="130"/>
      <c r="EX682" s="130"/>
      <c r="EY682" s="130"/>
      <c r="EZ682" s="130"/>
      <c r="FA682" s="130"/>
      <c r="FB682" s="130"/>
      <c r="FC682" s="130"/>
      <c r="FD682" s="130"/>
      <c r="FE682" s="130"/>
      <c r="FF682" s="130"/>
      <c r="FG682" s="130"/>
      <c r="FH682" s="130"/>
      <c r="FI682" s="130"/>
      <c r="FJ682" s="130"/>
      <c r="FK682" s="130"/>
      <c r="FL682" s="130"/>
      <c r="FM682" s="130"/>
      <c r="FN682" s="130"/>
      <c r="FO682" s="130"/>
      <c r="FP682" s="130"/>
      <c r="FQ682" s="130"/>
      <c r="FR682" s="130"/>
      <c r="FS682" s="130"/>
      <c r="FT682" s="130"/>
      <c r="FU682" s="130"/>
      <c r="FV682" s="130"/>
      <c r="FW682" s="130"/>
      <c r="FX682" s="130"/>
      <c r="FY682" s="130"/>
      <c r="FZ682" s="130"/>
      <c r="GA682" s="130"/>
      <c r="GB682" s="130"/>
      <c r="GC682" s="130"/>
      <c r="GD682" s="130"/>
      <c r="GE682" s="130"/>
      <c r="GF682" s="130"/>
      <c r="GG682" s="130"/>
      <c r="GH682" s="130"/>
      <c r="GI682" s="130"/>
      <c r="GJ682" s="130"/>
      <c r="GK682" s="130"/>
      <c r="GL682" s="130"/>
      <c r="GM682" s="130"/>
      <c r="GN682" s="130"/>
      <c r="GO682" s="130"/>
      <c r="GP682" s="130"/>
      <c r="GQ682" s="130"/>
      <c r="GR682" s="130"/>
      <c r="GS682" s="130"/>
      <c r="GT682" s="130"/>
      <c r="GU682" s="130"/>
      <c r="GV682" s="130"/>
      <c r="GW682" s="130"/>
      <c r="GX682" s="130"/>
      <c r="GY682" s="130"/>
      <c r="GZ682" s="130"/>
      <c r="HA682" s="130"/>
      <c r="HB682" s="130"/>
      <c r="HC682" s="130"/>
      <c r="HD682" s="130"/>
      <c r="HE682" s="130"/>
      <c r="HF682" s="130"/>
      <c r="HG682" s="130"/>
      <c r="HH682" s="130"/>
      <c r="HI682" s="130"/>
      <c r="HJ682" s="130"/>
      <c r="HK682" s="130" t="s">
        <v>1393</v>
      </c>
      <c r="HL682" s="130" t="s">
        <v>488</v>
      </c>
      <c r="HT682" s="128"/>
      <c r="HU682" s="128"/>
      <c r="HY682" s="128"/>
      <c r="IO682" s="127" t="s">
        <v>1391</v>
      </c>
      <c r="IP682" s="127" t="s">
        <v>492</v>
      </c>
      <c r="IS682" s="127">
        <v>2011</v>
      </c>
      <c r="JJ682" s="127" t="s">
        <v>1394</v>
      </c>
      <c r="JL682" s="127" t="s">
        <v>495</v>
      </c>
      <c r="JP682" s="127" t="s">
        <v>508</v>
      </c>
      <c r="JQ682" s="127">
        <v>309</v>
      </c>
      <c r="JR682" s="127">
        <v>93</v>
      </c>
      <c r="KE682" s="127" t="s">
        <v>1395</v>
      </c>
      <c r="KF682" s="127" t="s">
        <v>500</v>
      </c>
      <c r="KG682" s="127" t="s">
        <v>480</v>
      </c>
      <c r="KH682" s="127" t="s">
        <v>480</v>
      </c>
      <c r="KJ682" s="127" t="s">
        <v>501</v>
      </c>
      <c r="KK682" s="127" t="s">
        <v>1396</v>
      </c>
      <c r="KL682" s="127" t="s">
        <v>503</v>
      </c>
      <c r="KM682" s="127">
        <v>7.5</v>
      </c>
      <c r="KN682" s="127" t="s">
        <v>501</v>
      </c>
      <c r="KO682" s="127" t="s">
        <v>1397</v>
      </c>
      <c r="KP682" s="127" t="s">
        <v>503</v>
      </c>
      <c r="KQ682" s="127">
        <v>2</v>
      </c>
      <c r="MY682" s="127" t="s">
        <v>1398</v>
      </c>
      <c r="MZ682" s="127">
        <v>1300</v>
      </c>
      <c r="NA682" s="127" t="s">
        <v>1399</v>
      </c>
      <c r="NB682" s="127" t="s">
        <v>548</v>
      </c>
      <c r="NJ682" s="127" t="s">
        <v>1400</v>
      </c>
      <c r="NK682" s="127" t="s">
        <v>1401</v>
      </c>
      <c r="NL682" s="127" t="s">
        <v>946</v>
      </c>
      <c r="NM682" s="127" t="s">
        <v>516</v>
      </c>
      <c r="NU682" s="127" t="s">
        <v>657</v>
      </c>
      <c r="NV682" s="127" t="s">
        <v>518</v>
      </c>
      <c r="NW682" s="127">
        <v>2615.7600000000002</v>
      </c>
      <c r="NX682" s="127" t="s">
        <v>866</v>
      </c>
      <c r="NY682" s="127" t="s">
        <v>866</v>
      </c>
      <c r="OB682" s="127">
        <v>4</v>
      </c>
      <c r="OU682" s="127" t="s">
        <v>1402</v>
      </c>
      <c r="OV682" s="127" t="s">
        <v>1044</v>
      </c>
      <c r="OX682" s="127">
        <v>2011</v>
      </c>
      <c r="OY682" s="127">
        <v>2014</v>
      </c>
      <c r="PB682" s="127" t="s">
        <v>522</v>
      </c>
      <c r="PC682" s="128">
        <v>46134</v>
      </c>
    </row>
    <row r="683" spans="1:424" s="127" customFormat="1" ht="15.75" thickBot="1">
      <c r="A683" t="s">
        <v>469</v>
      </c>
      <c r="B683" s="127" t="s">
        <v>1386</v>
      </c>
      <c r="C683" s="127" t="s">
        <v>1387</v>
      </c>
      <c r="D683" s="127" t="s">
        <v>472</v>
      </c>
      <c r="E683" s="127" t="s">
        <v>1388</v>
      </c>
      <c r="F683" s="127" t="s">
        <v>474</v>
      </c>
      <c r="G683" s="127" t="s">
        <v>475</v>
      </c>
      <c r="H683" s="127" t="s">
        <v>476</v>
      </c>
      <c r="I683" s="127">
        <v>-13.06</v>
      </c>
      <c r="J683" s="127">
        <v>34.299999999999997</v>
      </c>
      <c r="K683" s="127">
        <v>250</v>
      </c>
      <c r="AV683" s="127" t="s">
        <v>1389</v>
      </c>
      <c r="AW683" s="127">
        <v>1300</v>
      </c>
      <c r="AX683" s="127">
        <v>3900</v>
      </c>
      <c r="AY683" s="127">
        <v>3</v>
      </c>
      <c r="AZ683" s="127" t="s">
        <v>1390</v>
      </c>
      <c r="BA683" s="127">
        <v>2011</v>
      </c>
      <c r="BB683" s="127">
        <v>2014</v>
      </c>
      <c r="BD683" s="127" t="s">
        <v>1403</v>
      </c>
      <c r="BE683" s="127" t="s">
        <v>536</v>
      </c>
      <c r="BF683" s="127" t="s">
        <v>484</v>
      </c>
      <c r="BG683" s="127" t="s">
        <v>1364</v>
      </c>
      <c r="BH683" s="127" t="s">
        <v>1404</v>
      </c>
      <c r="BI683" s="127" t="s">
        <v>486</v>
      </c>
      <c r="BJ683" s="127">
        <v>12300</v>
      </c>
      <c r="BK683" s="127" t="s">
        <v>537</v>
      </c>
      <c r="BL683" s="127" t="s">
        <v>1405</v>
      </c>
      <c r="BM683" s="127" t="s">
        <v>1406</v>
      </c>
      <c r="BN683" s="127" t="s">
        <v>486</v>
      </c>
      <c r="BO683" s="127">
        <v>24700</v>
      </c>
      <c r="BP683" s="127" t="s">
        <v>555</v>
      </c>
      <c r="BQ683" s="127" t="s">
        <v>538</v>
      </c>
      <c r="BR683" s="127" t="s">
        <v>1407</v>
      </c>
      <c r="BS683" s="127" t="s">
        <v>486</v>
      </c>
      <c r="BT683" s="127">
        <v>355556</v>
      </c>
      <c r="BU683" s="127" t="s">
        <v>537</v>
      </c>
      <c r="BV683" s="127" t="s">
        <v>1405</v>
      </c>
      <c r="BW683" s="127" t="s">
        <v>1406</v>
      </c>
      <c r="BX683" s="127" t="s">
        <v>486</v>
      </c>
      <c r="BY683" s="127">
        <v>24700</v>
      </c>
      <c r="BZ683" s="127" t="s">
        <v>555</v>
      </c>
      <c r="CA683" s="127" t="s">
        <v>485</v>
      </c>
      <c r="CB683" s="127" t="s">
        <v>1392</v>
      </c>
      <c r="CC683" s="127" t="s">
        <v>486</v>
      </c>
      <c r="CD683" s="127">
        <v>53333</v>
      </c>
      <c r="EI683" s="130"/>
      <c r="EJ683" s="130"/>
      <c r="EK683" s="130"/>
      <c r="EL683" s="130"/>
      <c r="EM683" s="130"/>
      <c r="EN683" s="130"/>
      <c r="EO683" s="130"/>
      <c r="EP683" s="130"/>
      <c r="EQ683" s="130"/>
      <c r="ER683" s="130"/>
      <c r="ES683" s="130"/>
      <c r="ET683" s="130"/>
      <c r="EU683" s="130"/>
      <c r="EV683" s="130"/>
      <c r="EW683" s="130"/>
      <c r="EX683" s="130"/>
      <c r="EY683" s="130"/>
      <c r="EZ683" s="130"/>
      <c r="FA683" s="130"/>
      <c r="FB683" s="130"/>
      <c r="FC683" s="130"/>
      <c r="FD683" s="130"/>
      <c r="FE683" s="130"/>
      <c r="FF683" s="130"/>
      <c r="FG683" s="130"/>
      <c r="FH683" s="130"/>
      <c r="FI683" s="130"/>
      <c r="FJ683" s="130"/>
      <c r="FK683" s="130"/>
      <c r="FL683" s="130"/>
      <c r="FM683" s="130"/>
      <c r="FN683" s="130"/>
      <c r="FO683" s="130"/>
      <c r="FP683" s="130"/>
      <c r="FQ683" s="130"/>
      <c r="FR683" s="130"/>
      <c r="FS683" s="130"/>
      <c r="FT683" s="130"/>
      <c r="FU683" s="130"/>
      <c r="FV683" s="130"/>
      <c r="FW683" s="130"/>
      <c r="FX683" s="130"/>
      <c r="FY683" s="130"/>
      <c r="FZ683" s="130"/>
      <c r="GA683" s="130"/>
      <c r="GB683" s="130"/>
      <c r="GC683" s="130"/>
      <c r="GD683" s="130"/>
      <c r="GE683" s="130"/>
      <c r="GF683" s="130"/>
      <c r="GG683" s="130"/>
      <c r="GH683" s="130"/>
      <c r="GI683" s="130"/>
      <c r="GJ683" s="130"/>
      <c r="GK683" s="130"/>
      <c r="GL683" s="130"/>
      <c r="GM683" s="130"/>
      <c r="GN683" s="130"/>
      <c r="GO683" s="130"/>
      <c r="GP683" s="130"/>
      <c r="GQ683" s="130"/>
      <c r="GR683" s="130"/>
      <c r="GS683" s="130"/>
      <c r="GT683" s="130"/>
      <c r="GU683" s="130"/>
      <c r="GV683" s="130"/>
      <c r="GW683" s="130"/>
      <c r="GX683" s="130"/>
      <c r="GY683" s="130"/>
      <c r="GZ683" s="130"/>
      <c r="HA683" s="130"/>
      <c r="HB683" s="130"/>
      <c r="HC683" s="130"/>
      <c r="HD683" s="130"/>
      <c r="HE683" s="130"/>
      <c r="HF683" s="130"/>
      <c r="HG683" s="130"/>
      <c r="HH683" s="130"/>
      <c r="HI683" s="130"/>
      <c r="HJ683" s="130"/>
      <c r="HK683" s="130" t="s">
        <v>1393</v>
      </c>
      <c r="HL683" s="130" t="s">
        <v>488</v>
      </c>
      <c r="HT683" s="128"/>
      <c r="HU683" s="128"/>
      <c r="HY683" s="128"/>
      <c r="IO683" s="127" t="s">
        <v>1403</v>
      </c>
      <c r="IP683" s="75" t="s">
        <v>558</v>
      </c>
      <c r="IQ683" s="127" t="s">
        <v>1408</v>
      </c>
      <c r="IS683" s="127">
        <v>2011</v>
      </c>
      <c r="IU683" s="127" t="s">
        <v>480</v>
      </c>
      <c r="JJ683" s="127" t="s">
        <v>1394</v>
      </c>
      <c r="JL683" s="127" t="s">
        <v>495</v>
      </c>
      <c r="JP683" s="127" t="s">
        <v>508</v>
      </c>
      <c r="JQ683" s="127">
        <v>103</v>
      </c>
      <c r="JR683" s="127">
        <v>31</v>
      </c>
      <c r="KE683" s="127" t="s">
        <v>1395</v>
      </c>
      <c r="KF683" s="127" t="s">
        <v>500</v>
      </c>
      <c r="KG683" s="127" t="s">
        <v>480</v>
      </c>
      <c r="KH683" s="127" t="s">
        <v>480</v>
      </c>
      <c r="KJ683" s="127" t="s">
        <v>501</v>
      </c>
      <c r="KK683" s="127" t="s">
        <v>1396</v>
      </c>
      <c r="KL683" s="127" t="s">
        <v>503</v>
      </c>
      <c r="KM683" s="127">
        <v>7.5</v>
      </c>
      <c r="KN683" s="127" t="s">
        <v>501</v>
      </c>
      <c r="KO683" s="127" t="s">
        <v>1397</v>
      </c>
      <c r="KP683" s="127" t="s">
        <v>503</v>
      </c>
      <c r="KQ683" s="127">
        <v>1</v>
      </c>
      <c r="KR683" s="127" t="s">
        <v>545</v>
      </c>
      <c r="KS683" s="127" t="s">
        <v>1409</v>
      </c>
      <c r="KT683" s="127" t="s">
        <v>1410</v>
      </c>
      <c r="KU683" s="127">
        <v>100</v>
      </c>
      <c r="MY683" s="127" t="s">
        <v>1398</v>
      </c>
      <c r="MZ683" s="127">
        <v>1300</v>
      </c>
      <c r="NA683" s="127" t="s">
        <v>1411</v>
      </c>
      <c r="NB683" s="127" t="s">
        <v>548</v>
      </c>
      <c r="NC683" s="127" t="s">
        <v>1412</v>
      </c>
      <c r="ND683" s="127" t="s">
        <v>1413</v>
      </c>
      <c r="NE683" s="127" t="s">
        <v>1414</v>
      </c>
      <c r="NJ683" s="127" t="s">
        <v>1400</v>
      </c>
      <c r="NK683" s="127" t="s">
        <v>1401</v>
      </c>
      <c r="NL683" s="127" t="s">
        <v>946</v>
      </c>
      <c r="NM683" s="127" t="s">
        <v>516</v>
      </c>
      <c r="NV683" s="127" t="s">
        <v>518</v>
      </c>
      <c r="NW683" s="127">
        <v>1742.42</v>
      </c>
      <c r="NX683" s="127" t="s">
        <v>866</v>
      </c>
      <c r="NY683" s="127" t="s">
        <v>866</v>
      </c>
      <c r="OB683" s="127">
        <v>4</v>
      </c>
      <c r="OU683" s="127" t="s">
        <v>1402</v>
      </c>
      <c r="OV683" s="127" t="s">
        <v>1044</v>
      </c>
      <c r="OX683" s="127">
        <v>2011</v>
      </c>
      <c r="OY683" s="127">
        <v>2014</v>
      </c>
      <c r="PB683" s="127" t="s">
        <v>522</v>
      </c>
      <c r="PC683" s="128">
        <v>46134</v>
      </c>
    </row>
    <row r="684" spans="1:424" s="127" customFormat="1" ht="15.75" thickBot="1">
      <c r="A684" t="s">
        <v>469</v>
      </c>
      <c r="B684" s="127" t="s">
        <v>1386</v>
      </c>
      <c r="C684" s="127" t="s">
        <v>1387</v>
      </c>
      <c r="D684" s="127" t="s">
        <v>472</v>
      </c>
      <c r="E684" s="127" t="s">
        <v>1388</v>
      </c>
      <c r="F684" s="127" t="s">
        <v>474</v>
      </c>
      <c r="G684" s="127" t="s">
        <v>475</v>
      </c>
      <c r="H684" s="127" t="s">
        <v>476</v>
      </c>
      <c r="I684" s="127">
        <v>-13.06</v>
      </c>
      <c r="J684" s="127">
        <v>34.299999999999997</v>
      </c>
      <c r="K684" s="127">
        <v>250</v>
      </c>
      <c r="AV684" s="127" t="s">
        <v>1389</v>
      </c>
      <c r="AW684" s="127">
        <v>1300</v>
      </c>
      <c r="AX684" s="127">
        <v>3900</v>
      </c>
      <c r="AY684" s="127">
        <v>3</v>
      </c>
      <c r="AZ684" s="127" t="s">
        <v>1390</v>
      </c>
      <c r="BA684" s="127">
        <v>2011</v>
      </c>
      <c r="BB684" s="127">
        <v>2014</v>
      </c>
      <c r="BD684" s="127" t="s">
        <v>1415</v>
      </c>
      <c r="BE684" s="127" t="s">
        <v>566</v>
      </c>
      <c r="BF684" s="127" t="s">
        <v>484</v>
      </c>
      <c r="BG684" s="127" t="s">
        <v>1364</v>
      </c>
      <c r="BH684" s="127" t="s">
        <v>1404</v>
      </c>
      <c r="BI684" s="127" t="s">
        <v>486</v>
      </c>
      <c r="BJ684" s="127">
        <v>12300</v>
      </c>
      <c r="BK684" s="127" t="s">
        <v>555</v>
      </c>
      <c r="BL684" s="127" t="s">
        <v>554</v>
      </c>
      <c r="BM684" s="127" t="s">
        <v>1416</v>
      </c>
      <c r="BN684" s="127" t="s">
        <v>486</v>
      </c>
      <c r="BO684" s="127">
        <v>266667</v>
      </c>
      <c r="BP684" s="127" t="s">
        <v>555</v>
      </c>
      <c r="BQ684" s="127" t="s">
        <v>485</v>
      </c>
      <c r="BR684" s="127" t="s">
        <v>1392</v>
      </c>
      <c r="BS684" s="127" t="s">
        <v>486</v>
      </c>
      <c r="BT684" s="127">
        <v>53333</v>
      </c>
      <c r="EI684" s="130"/>
      <c r="EJ684" s="130"/>
      <c r="EK684" s="130"/>
      <c r="EL684" s="130"/>
      <c r="EM684" s="130"/>
      <c r="EN684" s="130"/>
      <c r="EO684" s="130"/>
      <c r="EP684" s="130"/>
      <c r="EQ684" s="130"/>
      <c r="ER684" s="130"/>
      <c r="ES684" s="130"/>
      <c r="ET684" s="130"/>
      <c r="EU684" s="130"/>
      <c r="EV684" s="130"/>
      <c r="EW684" s="130"/>
      <c r="EX684" s="130"/>
      <c r="EY684" s="130"/>
      <c r="EZ684" s="130"/>
      <c r="FA684" s="130"/>
      <c r="FB684" s="130"/>
      <c r="FC684" s="130"/>
      <c r="FD684" s="130"/>
      <c r="FE684" s="130"/>
      <c r="FF684" s="130"/>
      <c r="FG684" s="130"/>
      <c r="FH684" s="130"/>
      <c r="FI684" s="130"/>
      <c r="FJ684" s="130"/>
      <c r="FK684" s="130"/>
      <c r="FL684" s="130"/>
      <c r="FM684" s="130"/>
      <c r="FN684" s="130"/>
      <c r="FO684" s="130"/>
      <c r="FP684" s="130"/>
      <c r="FQ684" s="130"/>
      <c r="FR684" s="130"/>
      <c r="FS684" s="130"/>
      <c r="FT684" s="130"/>
      <c r="FU684" s="130"/>
      <c r="FV684" s="130"/>
      <c r="FW684" s="130"/>
      <c r="FX684" s="130"/>
      <c r="FY684" s="130"/>
      <c r="FZ684" s="130"/>
      <c r="GA684" s="130"/>
      <c r="GB684" s="130"/>
      <c r="GC684" s="130"/>
      <c r="GD684" s="130"/>
      <c r="GE684" s="130"/>
      <c r="GF684" s="130"/>
      <c r="GG684" s="130"/>
      <c r="GH684" s="130"/>
      <c r="GI684" s="130"/>
      <c r="GJ684" s="130"/>
      <c r="GK684" s="130"/>
      <c r="GL684" s="130"/>
      <c r="GM684" s="130"/>
      <c r="GN684" s="130"/>
      <c r="GO684" s="130"/>
      <c r="GP684" s="130"/>
      <c r="GQ684" s="130"/>
      <c r="GR684" s="130"/>
      <c r="GS684" s="130"/>
      <c r="GT684" s="130"/>
      <c r="GU684" s="130"/>
      <c r="GV684" s="130"/>
      <c r="GW684" s="130"/>
      <c r="GX684" s="130"/>
      <c r="GY684" s="130"/>
      <c r="GZ684" s="130"/>
      <c r="HA684" s="130"/>
      <c r="HB684" s="130"/>
      <c r="HC684" s="130"/>
      <c r="HD684" s="130"/>
      <c r="HE684" s="130"/>
      <c r="HF684" s="130"/>
      <c r="HG684" s="130"/>
      <c r="HH684" s="130"/>
      <c r="HI684" s="130"/>
      <c r="HJ684" s="130"/>
      <c r="HK684" s="130" t="s">
        <v>1417</v>
      </c>
      <c r="HL684" s="130" t="s">
        <v>526</v>
      </c>
      <c r="HM684" s="127" t="s">
        <v>480</v>
      </c>
      <c r="HN684" s="127" t="s">
        <v>480</v>
      </c>
      <c r="HO684" s="127" t="s">
        <v>480</v>
      </c>
      <c r="HP684" s="127" t="s">
        <v>480</v>
      </c>
      <c r="HY684" s="128"/>
      <c r="IO684" s="127" t="s">
        <v>1415</v>
      </c>
      <c r="IP684" s="75" t="s">
        <v>558</v>
      </c>
      <c r="IS684" s="127">
        <v>2011</v>
      </c>
      <c r="IU684" s="127" t="s">
        <v>480</v>
      </c>
      <c r="JJ684" s="127" t="s">
        <v>1394</v>
      </c>
      <c r="JL684" s="127" t="s">
        <v>495</v>
      </c>
      <c r="JP684" s="127" t="s">
        <v>508</v>
      </c>
      <c r="JQ684" s="127">
        <v>124</v>
      </c>
      <c r="JR684" s="127">
        <v>50</v>
      </c>
      <c r="KE684" s="127" t="s">
        <v>1395</v>
      </c>
      <c r="KF684" s="127" t="s">
        <v>500</v>
      </c>
      <c r="KG684" s="127" t="s">
        <v>480</v>
      </c>
      <c r="KH684" s="127" t="s">
        <v>480</v>
      </c>
      <c r="KJ684" s="127" t="s">
        <v>530</v>
      </c>
      <c r="MY684" s="127" t="s">
        <v>1398</v>
      </c>
      <c r="MZ684" s="127">
        <v>1300</v>
      </c>
      <c r="NA684" s="127" t="s">
        <v>1418</v>
      </c>
      <c r="NB684" s="127" t="s">
        <v>548</v>
      </c>
      <c r="NC684" s="127" t="s">
        <v>1412</v>
      </c>
      <c r="ND684" s="127" t="s">
        <v>554</v>
      </c>
      <c r="NJ684" s="127" t="s">
        <v>1400</v>
      </c>
      <c r="NK684" s="127" t="s">
        <v>1401</v>
      </c>
      <c r="NL684" s="127" t="s">
        <v>946</v>
      </c>
      <c r="NM684" s="127" t="s">
        <v>516</v>
      </c>
      <c r="NV684" s="127" t="s">
        <v>518</v>
      </c>
      <c r="NW684" s="127">
        <v>1614.17</v>
      </c>
      <c r="NX684" s="127" t="s">
        <v>866</v>
      </c>
      <c r="NY684" s="127" t="s">
        <v>866</v>
      </c>
      <c r="OB684" s="127">
        <v>4</v>
      </c>
      <c r="OU684" s="127" t="s">
        <v>1402</v>
      </c>
      <c r="OV684" s="127" t="s">
        <v>1044</v>
      </c>
      <c r="OX684" s="127">
        <v>2011</v>
      </c>
      <c r="OY684" s="127">
        <v>2014</v>
      </c>
      <c r="PB684" s="127" t="s">
        <v>522</v>
      </c>
      <c r="PC684" s="128">
        <v>46134</v>
      </c>
    </row>
    <row r="685" spans="1:424" s="127" customFormat="1" ht="15.75" thickBot="1">
      <c r="A685" s="78" t="s">
        <v>469</v>
      </c>
      <c r="B685" s="127" t="s">
        <v>1386</v>
      </c>
      <c r="C685" s="127" t="s">
        <v>1387</v>
      </c>
      <c r="D685" s="127" t="s">
        <v>472</v>
      </c>
      <c r="E685" s="127" t="s">
        <v>1419</v>
      </c>
      <c r="F685" s="127" t="s">
        <v>474</v>
      </c>
      <c r="G685" s="127" t="s">
        <v>475</v>
      </c>
      <c r="H685" s="127" t="s">
        <v>476</v>
      </c>
      <c r="I685" s="127">
        <v>-13.47</v>
      </c>
      <c r="J685" s="127">
        <v>33.71</v>
      </c>
      <c r="K685" s="127">
        <v>200</v>
      </c>
      <c r="AV685" s="127" t="s">
        <v>1389</v>
      </c>
      <c r="AW685" s="127">
        <v>2500</v>
      </c>
      <c r="AX685" s="127">
        <v>7500</v>
      </c>
      <c r="AY685" s="127">
        <v>3</v>
      </c>
      <c r="AZ685" s="127" t="s">
        <v>1390</v>
      </c>
      <c r="BA685" s="127">
        <v>2011</v>
      </c>
      <c r="BB685" s="127">
        <v>2014</v>
      </c>
      <c r="BD685" s="127" t="s">
        <v>1391</v>
      </c>
      <c r="BE685" s="127" t="s">
        <v>483</v>
      </c>
      <c r="BF685" s="127" t="s">
        <v>484</v>
      </c>
      <c r="BG685" s="127" t="s">
        <v>485</v>
      </c>
      <c r="BH685" s="127" t="s">
        <v>1392</v>
      </c>
      <c r="BI685" s="127" t="s">
        <v>486</v>
      </c>
      <c r="BJ685" s="127">
        <v>53333</v>
      </c>
      <c r="EI685" s="130"/>
      <c r="EJ685" s="130"/>
      <c r="EK685" s="130"/>
      <c r="EL685" s="130"/>
      <c r="EM685" s="130"/>
      <c r="EN685" s="130"/>
      <c r="EO685" s="130"/>
      <c r="EP685" s="130"/>
      <c r="EQ685" s="130"/>
      <c r="ER685" s="130"/>
      <c r="ES685" s="130"/>
      <c r="ET685" s="130"/>
      <c r="EU685" s="130"/>
      <c r="EV685" s="130"/>
      <c r="EW685" s="130"/>
      <c r="EX685" s="130"/>
      <c r="EY685" s="130"/>
      <c r="EZ685" s="130"/>
      <c r="FA685" s="130"/>
      <c r="FB685" s="130"/>
      <c r="FC685" s="130"/>
      <c r="FD685" s="130"/>
      <c r="FE685" s="130"/>
      <c r="FF685" s="130"/>
      <c r="FG685" s="130"/>
      <c r="FH685" s="130"/>
      <c r="FI685" s="130"/>
      <c r="FJ685" s="130"/>
      <c r="FK685" s="130"/>
      <c r="FL685" s="130"/>
      <c r="FM685" s="130"/>
      <c r="FN685" s="130"/>
      <c r="FO685" s="130"/>
      <c r="FP685" s="130"/>
      <c r="FQ685" s="130"/>
      <c r="FR685" s="130"/>
      <c r="FS685" s="130"/>
      <c r="FT685" s="130"/>
      <c r="FU685" s="130"/>
      <c r="FV685" s="130"/>
      <c r="FW685" s="130"/>
      <c r="FX685" s="130"/>
      <c r="FY685" s="130"/>
      <c r="FZ685" s="130"/>
      <c r="GA685" s="130"/>
      <c r="GB685" s="130"/>
      <c r="GC685" s="130"/>
      <c r="GD685" s="130"/>
      <c r="GE685" s="130"/>
      <c r="GF685" s="130"/>
      <c r="GG685" s="130"/>
      <c r="GH685" s="130"/>
      <c r="GI685" s="130"/>
      <c r="GJ685" s="130"/>
      <c r="GK685" s="130"/>
      <c r="GL685" s="130"/>
      <c r="GM685" s="130"/>
      <c r="GN685" s="130"/>
      <c r="GO685" s="130"/>
      <c r="GP685" s="130"/>
      <c r="GQ685" s="130"/>
      <c r="GR685" s="130"/>
      <c r="GS685" s="130"/>
      <c r="GT685" s="130"/>
      <c r="GU685" s="130"/>
      <c r="GV685" s="130"/>
      <c r="GW685" s="130"/>
      <c r="GX685" s="130"/>
      <c r="GY685" s="130"/>
      <c r="GZ685" s="130"/>
      <c r="HA685" s="130"/>
      <c r="HB685" s="130"/>
      <c r="HC685" s="130"/>
      <c r="HD685" s="130"/>
      <c r="HE685" s="130"/>
      <c r="HF685" s="130"/>
      <c r="HG685" s="130"/>
      <c r="HH685" s="130"/>
      <c r="HI685" s="130"/>
      <c r="HJ685" s="130"/>
      <c r="HK685" s="130" t="s">
        <v>1393</v>
      </c>
      <c r="HL685" s="130" t="s">
        <v>488</v>
      </c>
      <c r="HY685" s="128"/>
      <c r="IO685" s="127" t="s">
        <v>1391</v>
      </c>
      <c r="IP685" s="127" t="s">
        <v>492</v>
      </c>
      <c r="IS685" s="127">
        <v>2011</v>
      </c>
      <c r="JJ685" s="127" t="s">
        <v>1394</v>
      </c>
      <c r="JL685" s="127" t="s">
        <v>495</v>
      </c>
      <c r="JP685" s="127" t="s">
        <v>508</v>
      </c>
      <c r="JQ685" s="127">
        <v>309</v>
      </c>
      <c r="JR685" s="127">
        <v>93</v>
      </c>
      <c r="KE685" s="127" t="s">
        <v>1395</v>
      </c>
      <c r="KF685" s="127" t="s">
        <v>500</v>
      </c>
      <c r="KG685" s="127" t="s">
        <v>480</v>
      </c>
      <c r="KH685" s="127" t="s">
        <v>480</v>
      </c>
      <c r="KJ685" s="127" t="s">
        <v>501</v>
      </c>
      <c r="KK685" s="127" t="s">
        <v>1396</v>
      </c>
      <c r="KL685" s="127" t="s">
        <v>503</v>
      </c>
      <c r="KM685" s="127">
        <v>7.5</v>
      </c>
      <c r="KN685" s="127" t="s">
        <v>501</v>
      </c>
      <c r="KO685" s="127" t="s">
        <v>1397</v>
      </c>
      <c r="KP685" s="127" t="s">
        <v>503</v>
      </c>
      <c r="KQ685" s="127">
        <v>2</v>
      </c>
      <c r="MY685" s="127" t="s">
        <v>1398</v>
      </c>
      <c r="MZ685" s="127">
        <v>2500</v>
      </c>
      <c r="NA685" s="127" t="s">
        <v>1399</v>
      </c>
      <c r="NB685" s="127" t="s">
        <v>548</v>
      </c>
      <c r="NJ685" s="127" t="s">
        <v>1400</v>
      </c>
      <c r="NK685" s="127" t="s">
        <v>1401</v>
      </c>
      <c r="NL685" s="127" t="s">
        <v>946</v>
      </c>
      <c r="NM685" s="127" t="s">
        <v>516</v>
      </c>
      <c r="NU685" s="127" t="s">
        <v>1420</v>
      </c>
      <c r="NV685" s="127" t="s">
        <v>518</v>
      </c>
      <c r="NW685" s="127">
        <v>2573</v>
      </c>
      <c r="NX685" s="127" t="s">
        <v>866</v>
      </c>
      <c r="NY685" s="127" t="s">
        <v>866</v>
      </c>
      <c r="OB685" s="127">
        <v>4</v>
      </c>
      <c r="OU685" s="127" t="s">
        <v>1421</v>
      </c>
      <c r="OV685" s="127" t="s">
        <v>1044</v>
      </c>
      <c r="OX685" s="127">
        <v>2011</v>
      </c>
      <c r="OY685" s="127">
        <v>2014</v>
      </c>
      <c r="PB685" s="127" t="s">
        <v>522</v>
      </c>
      <c r="PC685" s="128">
        <v>46134</v>
      </c>
    </row>
    <row r="686" spans="1:424" s="127" customFormat="1" ht="15.75" thickBot="1">
      <c r="A686" t="s">
        <v>469</v>
      </c>
      <c r="B686" s="127" t="s">
        <v>1386</v>
      </c>
      <c r="C686" s="127" t="s">
        <v>1387</v>
      </c>
      <c r="D686" s="127" t="s">
        <v>472</v>
      </c>
      <c r="E686" s="127" t="s">
        <v>1419</v>
      </c>
      <c r="F686" s="127" t="s">
        <v>474</v>
      </c>
      <c r="G686" s="127" t="s">
        <v>475</v>
      </c>
      <c r="H686" s="127" t="s">
        <v>476</v>
      </c>
      <c r="I686" s="127">
        <v>-13.47</v>
      </c>
      <c r="J686" s="127">
        <v>33.71</v>
      </c>
      <c r="K686" s="127">
        <v>200</v>
      </c>
      <c r="AV686" s="127" t="s">
        <v>1389</v>
      </c>
      <c r="AW686" s="127">
        <v>2500</v>
      </c>
      <c r="AX686" s="127">
        <v>7500</v>
      </c>
      <c r="AY686" s="127">
        <v>3</v>
      </c>
      <c r="AZ686" s="127" t="s">
        <v>1390</v>
      </c>
      <c r="BA686" s="127">
        <v>2011</v>
      </c>
      <c r="BB686" s="127">
        <v>2014</v>
      </c>
      <c r="BD686" s="127" t="s">
        <v>1422</v>
      </c>
      <c r="BE686" s="127" t="s">
        <v>572</v>
      </c>
      <c r="BF686" s="127" t="s">
        <v>484</v>
      </c>
      <c r="BG686" s="127" t="s">
        <v>1423</v>
      </c>
      <c r="BH686" s="127" t="s">
        <v>1424</v>
      </c>
      <c r="BI686" s="127" t="s">
        <v>486</v>
      </c>
      <c r="BJ686" s="127">
        <v>3700</v>
      </c>
      <c r="BK686" s="127" t="s">
        <v>537</v>
      </c>
      <c r="BL686" s="127" t="s">
        <v>1405</v>
      </c>
      <c r="BM686" s="127" t="s">
        <v>1406</v>
      </c>
      <c r="BN686" s="127" t="s">
        <v>486</v>
      </c>
      <c r="BO686" s="127">
        <v>18500</v>
      </c>
      <c r="BP686" s="127" t="s">
        <v>555</v>
      </c>
      <c r="BQ686" s="127" t="s">
        <v>1425</v>
      </c>
      <c r="BR686" s="127" t="s">
        <v>1426</v>
      </c>
      <c r="BS686" s="127" t="s">
        <v>486</v>
      </c>
      <c r="BT686" s="127">
        <v>222200</v>
      </c>
      <c r="BU686" s="127" t="s">
        <v>555</v>
      </c>
      <c r="BV686" s="127" t="s">
        <v>485</v>
      </c>
      <c r="BW686" s="127" t="s">
        <v>1392</v>
      </c>
      <c r="BX686" s="127" t="s">
        <v>486</v>
      </c>
      <c r="BY686" s="127">
        <v>53333</v>
      </c>
      <c r="EI686" s="130"/>
      <c r="EJ686" s="130"/>
      <c r="EK686" s="130"/>
      <c r="EL686" s="130"/>
      <c r="EM686" s="130"/>
      <c r="EN686" s="130"/>
      <c r="EO686" s="130"/>
      <c r="EP686" s="130"/>
      <c r="EQ686" s="130"/>
      <c r="ER686" s="130"/>
      <c r="ES686" s="130"/>
      <c r="ET686" s="130"/>
      <c r="EU686" s="130"/>
      <c r="EV686" s="130"/>
      <c r="EW686" s="130"/>
      <c r="EX686" s="130"/>
      <c r="EY686" s="130"/>
      <c r="EZ686" s="130"/>
      <c r="FA686" s="130"/>
      <c r="FB686" s="130"/>
      <c r="FC686" s="130"/>
      <c r="FD686" s="130"/>
      <c r="FE686" s="130"/>
      <c r="FF686" s="130"/>
      <c r="FG686" s="130"/>
      <c r="FH686" s="130"/>
      <c r="FI686" s="130"/>
      <c r="FJ686" s="130"/>
      <c r="FK686" s="130"/>
      <c r="FL686" s="130"/>
      <c r="FM686" s="130"/>
      <c r="FN686" s="130"/>
      <c r="FO686" s="130"/>
      <c r="FP686" s="130"/>
      <c r="FQ686" s="130"/>
      <c r="FR686" s="130"/>
      <c r="FS686" s="130"/>
      <c r="FT686" s="130"/>
      <c r="FU686" s="130"/>
      <c r="FV686" s="130"/>
      <c r="FW686" s="130"/>
      <c r="FX686" s="130"/>
      <c r="FY686" s="130"/>
      <c r="FZ686" s="130"/>
      <c r="GA686" s="130"/>
      <c r="GB686" s="130"/>
      <c r="GC686" s="130"/>
      <c r="GD686" s="130"/>
      <c r="GE686" s="130"/>
      <c r="GF686" s="130"/>
      <c r="GG686" s="130"/>
      <c r="GH686" s="130"/>
      <c r="GI686" s="130"/>
      <c r="GJ686" s="130"/>
      <c r="GK686" s="130"/>
      <c r="GL686" s="130"/>
      <c r="GM686" s="130"/>
      <c r="GN686" s="130"/>
      <c r="GO686" s="130"/>
      <c r="GP686" s="130"/>
      <c r="GQ686" s="130"/>
      <c r="GR686" s="130"/>
      <c r="GS686" s="130"/>
      <c r="GT686" s="130"/>
      <c r="GU686" s="130"/>
      <c r="GV686" s="130"/>
      <c r="GW686" s="130"/>
      <c r="GX686" s="130"/>
      <c r="GY686" s="130"/>
      <c r="GZ686" s="130"/>
      <c r="HA686" s="130"/>
      <c r="HB686" s="130"/>
      <c r="HC686" s="130"/>
      <c r="HD686" s="130"/>
      <c r="HE686" s="130"/>
      <c r="HF686" s="130"/>
      <c r="HG686" s="130"/>
      <c r="HH686" s="130"/>
      <c r="HI686" s="130"/>
      <c r="HJ686" s="130"/>
      <c r="HK686" s="130" t="s">
        <v>1393</v>
      </c>
      <c r="HL686" s="130" t="s">
        <v>488</v>
      </c>
      <c r="HY686" s="128"/>
      <c r="IO686" s="127" t="s">
        <v>1422</v>
      </c>
      <c r="IP686" s="75" t="s">
        <v>558</v>
      </c>
      <c r="IQ686" s="127" t="s">
        <v>1408</v>
      </c>
      <c r="IS686" s="127">
        <v>2011</v>
      </c>
      <c r="IU686" s="127" t="s">
        <v>480</v>
      </c>
      <c r="JJ686" s="127" t="s">
        <v>1394</v>
      </c>
      <c r="JL686" s="127" t="s">
        <v>495</v>
      </c>
      <c r="JP686" s="127" t="s">
        <v>508</v>
      </c>
      <c r="JQ686" s="127">
        <v>131</v>
      </c>
      <c r="JR686" s="127">
        <v>59</v>
      </c>
      <c r="KE686" s="127" t="s">
        <v>1395</v>
      </c>
      <c r="KF686" s="127" t="s">
        <v>500</v>
      </c>
      <c r="KG686" s="127" t="s">
        <v>480</v>
      </c>
      <c r="KH686" s="127" t="s">
        <v>480</v>
      </c>
      <c r="KJ686" s="127" t="s">
        <v>501</v>
      </c>
      <c r="KK686" s="127" t="s">
        <v>1396</v>
      </c>
      <c r="KL686" s="127" t="s">
        <v>503</v>
      </c>
      <c r="KM686" s="127">
        <v>7.5</v>
      </c>
      <c r="KN686" s="127" t="s">
        <v>501</v>
      </c>
      <c r="KO686" s="127" t="s">
        <v>1397</v>
      </c>
      <c r="KP686" s="127" t="s">
        <v>503</v>
      </c>
      <c r="KQ686" s="127">
        <v>1</v>
      </c>
      <c r="MY686" s="127" t="s">
        <v>1398</v>
      </c>
      <c r="MZ686" s="127">
        <v>2500</v>
      </c>
      <c r="NA686" s="127" t="s">
        <v>1427</v>
      </c>
      <c r="NB686" s="127" t="s">
        <v>548</v>
      </c>
      <c r="NC686" s="127" t="s">
        <v>1428</v>
      </c>
      <c r="ND686" s="127" t="s">
        <v>1413</v>
      </c>
      <c r="NE686" s="127" t="s">
        <v>1429</v>
      </c>
      <c r="NJ686" s="127" t="s">
        <v>1400</v>
      </c>
      <c r="NK686" s="127" t="s">
        <v>1401</v>
      </c>
      <c r="NL686" s="127" t="s">
        <v>946</v>
      </c>
      <c r="NM686" s="127" t="s">
        <v>516</v>
      </c>
      <c r="NV686" s="127" t="s">
        <v>518</v>
      </c>
      <c r="NW686" s="127">
        <v>2160.09</v>
      </c>
      <c r="NX686" s="127" t="s">
        <v>866</v>
      </c>
      <c r="NY686" s="127" t="s">
        <v>866</v>
      </c>
      <c r="OB686" s="127">
        <v>4</v>
      </c>
      <c r="OU686" s="127" t="s">
        <v>1421</v>
      </c>
      <c r="OV686" s="127" t="s">
        <v>1044</v>
      </c>
      <c r="OX686" s="127">
        <v>2011</v>
      </c>
      <c r="OY686" s="127">
        <v>2014</v>
      </c>
      <c r="PB686" s="127" t="s">
        <v>522</v>
      </c>
      <c r="PC686" s="128">
        <v>46134</v>
      </c>
    </row>
    <row r="687" spans="1:424" s="127" customFormat="1" ht="15.75" thickBot="1">
      <c r="A687" t="s">
        <v>469</v>
      </c>
      <c r="B687" s="127" t="s">
        <v>1386</v>
      </c>
      <c r="C687" s="127" t="s">
        <v>1387</v>
      </c>
      <c r="D687" s="127" t="s">
        <v>472</v>
      </c>
      <c r="E687" s="127" t="s">
        <v>1419</v>
      </c>
      <c r="F687" s="127" t="s">
        <v>474</v>
      </c>
      <c r="G687" s="127" t="s">
        <v>475</v>
      </c>
      <c r="H687" s="127" t="s">
        <v>476</v>
      </c>
      <c r="I687" s="127">
        <v>-13.47</v>
      </c>
      <c r="J687" s="127">
        <v>33.71</v>
      </c>
      <c r="K687" s="127">
        <v>200</v>
      </c>
      <c r="AV687" s="127" t="s">
        <v>1389</v>
      </c>
      <c r="AW687" s="127">
        <v>2500</v>
      </c>
      <c r="AX687" s="127">
        <v>7500</v>
      </c>
      <c r="AY687" s="127">
        <v>3</v>
      </c>
      <c r="AZ687" s="127" t="s">
        <v>1390</v>
      </c>
      <c r="BA687" s="127">
        <v>2011</v>
      </c>
      <c r="BB687" s="127">
        <v>2014</v>
      </c>
      <c r="BD687" s="127" t="s">
        <v>1430</v>
      </c>
      <c r="BE687" s="127" t="s">
        <v>553</v>
      </c>
      <c r="BF687" s="127" t="s">
        <v>484</v>
      </c>
      <c r="BG687" s="127" t="s">
        <v>1423</v>
      </c>
      <c r="BH687" s="127" t="s">
        <v>1424</v>
      </c>
      <c r="BI687" s="127" t="s">
        <v>486</v>
      </c>
      <c r="BJ687" s="127">
        <v>3700</v>
      </c>
      <c r="BK687" s="127" t="s">
        <v>555</v>
      </c>
      <c r="BL687" s="127" t="s">
        <v>1425</v>
      </c>
      <c r="BM687" s="127" t="s">
        <v>1426</v>
      </c>
      <c r="BN687" s="127" t="s">
        <v>486</v>
      </c>
      <c r="BO687" s="127">
        <v>177800</v>
      </c>
      <c r="BP687" s="127" t="s">
        <v>555</v>
      </c>
      <c r="BQ687" s="127" t="s">
        <v>485</v>
      </c>
      <c r="BR687" s="127" t="s">
        <v>1392</v>
      </c>
      <c r="BS687" s="127" t="s">
        <v>486</v>
      </c>
      <c r="BT687" s="127">
        <v>53333</v>
      </c>
      <c r="EI687" s="130"/>
      <c r="EJ687" s="130"/>
      <c r="EK687" s="130"/>
      <c r="EL687" s="130"/>
      <c r="EM687" s="130"/>
      <c r="EN687" s="130"/>
      <c r="EO687" s="130"/>
      <c r="EP687" s="130"/>
      <c r="EQ687" s="130"/>
      <c r="ER687" s="130"/>
      <c r="ES687" s="130"/>
      <c r="ET687" s="130"/>
      <c r="EU687" s="130"/>
      <c r="EV687" s="130"/>
      <c r="EW687" s="130"/>
      <c r="EX687" s="130"/>
      <c r="EY687" s="130"/>
      <c r="EZ687" s="130"/>
      <c r="FA687" s="130"/>
      <c r="FB687" s="130"/>
      <c r="FC687" s="130"/>
      <c r="FD687" s="130"/>
      <c r="FE687" s="130"/>
      <c r="FF687" s="130"/>
      <c r="FG687" s="130"/>
      <c r="FH687" s="130"/>
      <c r="FI687" s="130"/>
      <c r="FJ687" s="130"/>
      <c r="FK687" s="130"/>
      <c r="FL687" s="130"/>
      <c r="FM687" s="130"/>
      <c r="FN687" s="130"/>
      <c r="FO687" s="130"/>
      <c r="FP687" s="130"/>
      <c r="FQ687" s="130"/>
      <c r="FR687" s="130"/>
      <c r="FS687" s="130"/>
      <c r="FT687" s="130"/>
      <c r="FU687" s="130"/>
      <c r="FV687" s="130"/>
      <c r="FW687" s="130"/>
      <c r="FX687" s="130"/>
      <c r="FY687" s="130"/>
      <c r="FZ687" s="130"/>
      <c r="GA687" s="130"/>
      <c r="GB687" s="130"/>
      <c r="GC687" s="130"/>
      <c r="GD687" s="130"/>
      <c r="GE687" s="130"/>
      <c r="GF687" s="130"/>
      <c r="GG687" s="130"/>
      <c r="GH687" s="130"/>
      <c r="GI687" s="130"/>
      <c r="GJ687" s="130"/>
      <c r="GK687" s="130"/>
      <c r="GL687" s="130"/>
      <c r="GM687" s="130"/>
      <c r="GN687" s="130"/>
      <c r="GO687" s="130"/>
      <c r="GP687" s="130"/>
      <c r="GQ687" s="130"/>
      <c r="GR687" s="130"/>
      <c r="GS687" s="130"/>
      <c r="GT687" s="130"/>
      <c r="GU687" s="130"/>
      <c r="GV687" s="130"/>
      <c r="GW687" s="130"/>
      <c r="GX687" s="130"/>
      <c r="GY687" s="130"/>
      <c r="GZ687" s="130"/>
      <c r="HA687" s="130"/>
      <c r="HB687" s="130"/>
      <c r="HC687" s="130"/>
      <c r="HD687" s="130"/>
      <c r="HE687" s="130"/>
      <c r="HF687" s="130"/>
      <c r="HG687" s="130"/>
      <c r="HH687" s="130"/>
      <c r="HI687" s="130"/>
      <c r="HJ687" s="130"/>
      <c r="HK687" s="130" t="s">
        <v>1417</v>
      </c>
      <c r="HL687" s="130" t="s">
        <v>526</v>
      </c>
      <c r="HM687" s="127" t="s">
        <v>480</v>
      </c>
      <c r="HN687" s="127" t="s">
        <v>480</v>
      </c>
      <c r="HO687" s="127" t="s">
        <v>480</v>
      </c>
      <c r="HP687" s="127" t="s">
        <v>480</v>
      </c>
      <c r="HY687" s="128"/>
      <c r="IO687" s="127" t="s">
        <v>1430</v>
      </c>
      <c r="IP687" s="75" t="s">
        <v>558</v>
      </c>
      <c r="IS687" s="127">
        <v>2011</v>
      </c>
      <c r="IU687" s="127" t="s">
        <v>480</v>
      </c>
      <c r="JJ687" s="127" t="s">
        <v>1394</v>
      </c>
      <c r="JL687" s="127" t="s">
        <v>495</v>
      </c>
      <c r="JP687" s="127" t="s">
        <v>508</v>
      </c>
      <c r="JQ687" s="127">
        <v>131</v>
      </c>
      <c r="JR687" s="127">
        <v>59</v>
      </c>
      <c r="KE687" s="127" t="s">
        <v>1395</v>
      </c>
      <c r="KF687" s="127" t="s">
        <v>500</v>
      </c>
      <c r="KG687" s="127" t="s">
        <v>480</v>
      </c>
      <c r="KH687" s="127" t="s">
        <v>480</v>
      </c>
      <c r="KJ687" s="127" t="s">
        <v>530</v>
      </c>
      <c r="MY687" s="127" t="s">
        <v>1398</v>
      </c>
      <c r="MZ687" s="127">
        <v>2500</v>
      </c>
      <c r="NA687" s="127" t="s">
        <v>1431</v>
      </c>
      <c r="NB687" s="127" t="s">
        <v>548</v>
      </c>
      <c r="NC687" s="127" t="s">
        <v>1428</v>
      </c>
      <c r="ND687" s="127" t="s">
        <v>1429</v>
      </c>
      <c r="NJ687" s="127" t="s">
        <v>1400</v>
      </c>
      <c r="NK687" s="127" t="s">
        <v>1401</v>
      </c>
      <c r="NL687" s="127" t="s">
        <v>946</v>
      </c>
      <c r="NM687" s="127" t="s">
        <v>516</v>
      </c>
      <c r="NV687" s="127" t="s">
        <v>518</v>
      </c>
      <c r="NW687" s="127">
        <v>2359.15</v>
      </c>
      <c r="NX687" s="127" t="s">
        <v>866</v>
      </c>
      <c r="NY687" s="127" t="s">
        <v>866</v>
      </c>
      <c r="OB687" s="127">
        <v>4</v>
      </c>
      <c r="OU687" s="127" t="s">
        <v>1421</v>
      </c>
      <c r="OV687" s="127" t="s">
        <v>1044</v>
      </c>
      <c r="OX687" s="127">
        <v>2011</v>
      </c>
      <c r="OY687" s="127">
        <v>2014</v>
      </c>
      <c r="PB687" s="127" t="s">
        <v>522</v>
      </c>
      <c r="PC687" s="128">
        <v>46134</v>
      </c>
    </row>
    <row r="688" spans="1:424" s="127" customFormat="1" ht="15.75" thickBot="1">
      <c r="A688" s="78" t="s">
        <v>469</v>
      </c>
      <c r="B688" s="127" t="s">
        <v>1386</v>
      </c>
      <c r="C688" s="127" t="s">
        <v>1387</v>
      </c>
      <c r="D688" s="127" t="s">
        <v>472</v>
      </c>
      <c r="E688" s="127" t="s">
        <v>1388</v>
      </c>
      <c r="F688" s="127" t="s">
        <v>474</v>
      </c>
      <c r="G688" s="127" t="s">
        <v>475</v>
      </c>
      <c r="H688" s="127" t="s">
        <v>476</v>
      </c>
      <c r="I688" s="127">
        <v>-13.06</v>
      </c>
      <c r="J688" s="127">
        <v>34.299999999999997</v>
      </c>
      <c r="K688" s="127">
        <v>250</v>
      </c>
      <c r="AV688" s="127" t="s">
        <v>1389</v>
      </c>
      <c r="AW688" s="127">
        <v>1300</v>
      </c>
      <c r="AX688" s="127">
        <v>3900</v>
      </c>
      <c r="AY688" s="127">
        <v>3</v>
      </c>
      <c r="AZ688" s="127" t="s">
        <v>1390</v>
      </c>
      <c r="BA688" s="127">
        <v>2011</v>
      </c>
      <c r="BB688" s="127">
        <v>2014</v>
      </c>
      <c r="BD688" s="127" t="s">
        <v>1391</v>
      </c>
      <c r="BE688" s="127" t="s">
        <v>524</v>
      </c>
      <c r="BF688" s="127" t="s">
        <v>484</v>
      </c>
      <c r="BG688" s="127" t="s">
        <v>485</v>
      </c>
      <c r="BH688" s="127" t="s">
        <v>1392</v>
      </c>
      <c r="BI688" s="127" t="s">
        <v>486</v>
      </c>
      <c r="BJ688" s="127">
        <v>53333</v>
      </c>
      <c r="EI688" s="130"/>
      <c r="EJ688" s="130"/>
      <c r="EK688" s="130"/>
      <c r="EL688" s="130"/>
      <c r="EM688" s="130"/>
      <c r="EN688" s="130"/>
      <c r="EO688" s="130"/>
      <c r="EP688" s="130"/>
      <c r="EQ688" s="130"/>
      <c r="ER688" s="130"/>
      <c r="ES688" s="130"/>
      <c r="ET688" s="130"/>
      <c r="EU688" s="130"/>
      <c r="EV688" s="130"/>
      <c r="EW688" s="130"/>
      <c r="EX688" s="130"/>
      <c r="EY688" s="130"/>
      <c r="EZ688" s="130"/>
      <c r="FA688" s="130"/>
      <c r="FB688" s="130"/>
      <c r="FC688" s="130"/>
      <c r="FD688" s="130"/>
      <c r="FE688" s="130"/>
      <c r="FF688" s="130"/>
      <c r="FG688" s="130"/>
      <c r="FH688" s="130"/>
      <c r="FI688" s="130"/>
      <c r="FJ688" s="130"/>
      <c r="FK688" s="130"/>
      <c r="FL688" s="130"/>
      <c r="FM688" s="130"/>
      <c r="FN688" s="130"/>
      <c r="FO688" s="130"/>
      <c r="FP688" s="130"/>
      <c r="FQ688" s="130"/>
      <c r="FR688" s="130"/>
      <c r="FS688" s="130"/>
      <c r="FT688" s="130"/>
      <c r="FU688" s="130"/>
      <c r="FV688" s="130"/>
      <c r="FW688" s="130"/>
      <c r="FX688" s="130"/>
      <c r="FY688" s="130"/>
      <c r="FZ688" s="130"/>
      <c r="GA688" s="130"/>
      <c r="GB688" s="130"/>
      <c r="GC688" s="130"/>
      <c r="GD688" s="130"/>
      <c r="GE688" s="130"/>
      <c r="GF688" s="130"/>
      <c r="GG688" s="130"/>
      <c r="GH688" s="130"/>
      <c r="GI688" s="130"/>
      <c r="GJ688" s="130"/>
      <c r="GK688" s="130"/>
      <c r="GL688" s="130"/>
      <c r="GM688" s="130"/>
      <c r="GN688" s="130"/>
      <c r="GO688" s="130"/>
      <c r="GP688" s="130"/>
      <c r="GQ688" s="130"/>
      <c r="GR688" s="130"/>
      <c r="GS688" s="130"/>
      <c r="GT688" s="130"/>
      <c r="GU688" s="130"/>
      <c r="GV688" s="130"/>
      <c r="GW688" s="130"/>
      <c r="GX688" s="130"/>
      <c r="GY688" s="130"/>
      <c r="GZ688" s="130"/>
      <c r="HA688" s="130"/>
      <c r="HB688" s="130"/>
      <c r="HC688" s="130"/>
      <c r="HD688" s="130"/>
      <c r="HE688" s="130"/>
      <c r="HF688" s="130"/>
      <c r="HG688" s="130"/>
      <c r="HH688" s="130"/>
      <c r="HI688" s="130"/>
      <c r="HJ688" s="130"/>
      <c r="HK688" s="130" t="s">
        <v>1393</v>
      </c>
      <c r="HL688" s="130" t="s">
        <v>488</v>
      </c>
      <c r="HT688" s="128"/>
      <c r="HU688" s="128"/>
      <c r="HY688" s="128"/>
      <c r="IO688" s="127" t="s">
        <v>1391</v>
      </c>
      <c r="IP688" s="127" t="s">
        <v>492</v>
      </c>
      <c r="IS688" s="127">
        <v>2011</v>
      </c>
      <c r="JJ688" s="127" t="s">
        <v>1394</v>
      </c>
      <c r="JL688" s="127" t="s">
        <v>495</v>
      </c>
      <c r="JP688" s="127" t="s">
        <v>508</v>
      </c>
      <c r="JQ688" s="127">
        <v>309</v>
      </c>
      <c r="JR688" s="127">
        <v>93</v>
      </c>
      <c r="KE688" s="127" t="s">
        <v>1395</v>
      </c>
      <c r="KF688" s="127" t="s">
        <v>500</v>
      </c>
      <c r="KG688" s="127" t="s">
        <v>480</v>
      </c>
      <c r="KH688" s="127" t="s">
        <v>480</v>
      </c>
      <c r="KJ688" s="127" t="s">
        <v>501</v>
      </c>
      <c r="KK688" s="127" t="s">
        <v>1396</v>
      </c>
      <c r="KL688" s="127" t="s">
        <v>503</v>
      </c>
      <c r="KM688" s="127">
        <v>7.5</v>
      </c>
      <c r="KN688" s="127" t="s">
        <v>501</v>
      </c>
      <c r="KO688" s="127" t="s">
        <v>1397</v>
      </c>
      <c r="KP688" s="127" t="s">
        <v>503</v>
      </c>
      <c r="KQ688" s="127">
        <v>2</v>
      </c>
      <c r="MY688" s="127" t="s">
        <v>1398</v>
      </c>
      <c r="MZ688" s="127">
        <v>1300</v>
      </c>
      <c r="NI688" s="127" t="s">
        <v>1432</v>
      </c>
      <c r="NJ688" s="127" t="s">
        <v>1433</v>
      </c>
      <c r="NK688" s="127" t="s">
        <v>1434</v>
      </c>
      <c r="NL688" s="127" t="s">
        <v>625</v>
      </c>
      <c r="NM688" s="127" t="s">
        <v>516</v>
      </c>
      <c r="NU688" s="127" t="s">
        <v>657</v>
      </c>
      <c r="NV688" s="127" t="s">
        <v>518</v>
      </c>
      <c r="NW688" s="127">
        <v>449.66</v>
      </c>
      <c r="NX688" s="127" t="s">
        <v>866</v>
      </c>
      <c r="NY688" s="127" t="s">
        <v>866</v>
      </c>
      <c r="OB688" s="127">
        <v>4</v>
      </c>
      <c r="OU688" s="127" t="s">
        <v>1402</v>
      </c>
      <c r="OV688" s="127" t="s">
        <v>1044</v>
      </c>
      <c r="OX688" s="127">
        <v>2011</v>
      </c>
      <c r="OY688" s="127">
        <v>2014</v>
      </c>
      <c r="PB688" s="127" t="s">
        <v>522</v>
      </c>
      <c r="PC688" s="128">
        <v>46134</v>
      </c>
    </row>
    <row r="689" spans="1:419" s="127" customFormat="1" ht="15.75" thickBot="1">
      <c r="A689" t="s">
        <v>469</v>
      </c>
      <c r="B689" s="127" t="s">
        <v>1386</v>
      </c>
      <c r="C689" s="127" t="s">
        <v>1387</v>
      </c>
      <c r="D689" s="127" t="s">
        <v>472</v>
      </c>
      <c r="E689" s="127" t="s">
        <v>1388</v>
      </c>
      <c r="F689" s="127" t="s">
        <v>474</v>
      </c>
      <c r="G689" s="127" t="s">
        <v>475</v>
      </c>
      <c r="H689" s="127" t="s">
        <v>476</v>
      </c>
      <c r="I689" s="127">
        <v>-13.06</v>
      </c>
      <c r="J689" s="127">
        <v>34.299999999999997</v>
      </c>
      <c r="K689" s="127">
        <v>250</v>
      </c>
      <c r="AV689" s="127" t="s">
        <v>1389</v>
      </c>
      <c r="AW689" s="127">
        <v>1300</v>
      </c>
      <c r="AX689" s="127">
        <v>3900</v>
      </c>
      <c r="AY689" s="127">
        <v>3</v>
      </c>
      <c r="AZ689" s="127" t="s">
        <v>1390</v>
      </c>
      <c r="BA689" s="127">
        <v>2011</v>
      </c>
      <c r="BB689" s="127">
        <v>2014</v>
      </c>
      <c r="BD689" s="127" t="s">
        <v>1403</v>
      </c>
      <c r="BE689" s="127" t="s">
        <v>536</v>
      </c>
      <c r="BF689" s="127" t="s">
        <v>484</v>
      </c>
      <c r="BG689" s="127" t="s">
        <v>1364</v>
      </c>
      <c r="BH689" s="127" t="s">
        <v>1404</v>
      </c>
      <c r="BI689" s="127" t="s">
        <v>486</v>
      </c>
      <c r="BJ689" s="127">
        <v>12300</v>
      </c>
      <c r="BK689" s="127" t="s">
        <v>537</v>
      </c>
      <c r="BL689" s="127" t="s">
        <v>1405</v>
      </c>
      <c r="BM689" s="127" t="s">
        <v>1406</v>
      </c>
      <c r="BN689" s="127" t="s">
        <v>486</v>
      </c>
      <c r="BO689" s="127">
        <v>24700</v>
      </c>
      <c r="BP689" s="127" t="s">
        <v>555</v>
      </c>
      <c r="BQ689" s="127" t="s">
        <v>538</v>
      </c>
      <c r="BR689" s="127" t="s">
        <v>1407</v>
      </c>
      <c r="BS689" s="127" t="s">
        <v>486</v>
      </c>
      <c r="BT689" s="127">
        <v>355556</v>
      </c>
      <c r="BU689" s="127" t="s">
        <v>537</v>
      </c>
      <c r="BV689" s="127" t="s">
        <v>1405</v>
      </c>
      <c r="BW689" s="127" t="s">
        <v>1406</v>
      </c>
      <c r="BX689" s="127" t="s">
        <v>486</v>
      </c>
      <c r="BY689" s="127">
        <v>24700</v>
      </c>
      <c r="BZ689" s="127" t="s">
        <v>555</v>
      </c>
      <c r="CA689" s="127" t="s">
        <v>485</v>
      </c>
      <c r="CB689" s="127" t="s">
        <v>1392</v>
      </c>
      <c r="CC689" s="127" t="s">
        <v>486</v>
      </c>
      <c r="CD689" s="127">
        <v>53333</v>
      </c>
      <c r="EI689" s="130"/>
      <c r="EJ689" s="130"/>
      <c r="EK689" s="130"/>
      <c r="EL689" s="130"/>
      <c r="EM689" s="130"/>
      <c r="EN689" s="130"/>
      <c r="EO689" s="130"/>
      <c r="EP689" s="130"/>
      <c r="EQ689" s="130"/>
      <c r="ER689" s="130"/>
      <c r="ES689" s="130"/>
      <c r="ET689" s="130"/>
      <c r="EU689" s="130"/>
      <c r="EV689" s="130"/>
      <c r="EW689" s="130"/>
      <c r="EX689" s="130"/>
      <c r="EY689" s="130"/>
      <c r="EZ689" s="130"/>
      <c r="FA689" s="130"/>
      <c r="FB689" s="130"/>
      <c r="FC689" s="130"/>
      <c r="FD689" s="130"/>
      <c r="FE689" s="130"/>
      <c r="FF689" s="130"/>
      <c r="FG689" s="130"/>
      <c r="FH689" s="130"/>
      <c r="FI689" s="130"/>
      <c r="FJ689" s="130"/>
      <c r="FK689" s="130"/>
      <c r="FL689" s="130"/>
      <c r="FM689" s="130"/>
      <c r="FN689" s="130"/>
      <c r="FO689" s="130"/>
      <c r="FP689" s="130"/>
      <c r="FQ689" s="130"/>
      <c r="FR689" s="130"/>
      <c r="FS689" s="130"/>
      <c r="FT689" s="130"/>
      <c r="FU689" s="130"/>
      <c r="FV689" s="130"/>
      <c r="FW689" s="130"/>
      <c r="FX689" s="130"/>
      <c r="FY689" s="130"/>
      <c r="FZ689" s="130"/>
      <c r="GA689" s="130"/>
      <c r="GB689" s="130"/>
      <c r="GC689" s="130"/>
      <c r="GD689" s="130"/>
      <c r="GE689" s="130"/>
      <c r="GF689" s="130"/>
      <c r="GG689" s="130"/>
      <c r="GH689" s="130"/>
      <c r="GI689" s="130"/>
      <c r="GJ689" s="130"/>
      <c r="GK689" s="130"/>
      <c r="GL689" s="130"/>
      <c r="GM689" s="130"/>
      <c r="GN689" s="130"/>
      <c r="GO689" s="130"/>
      <c r="GP689" s="130"/>
      <c r="GQ689" s="130"/>
      <c r="GR689" s="130"/>
      <c r="GS689" s="130"/>
      <c r="GT689" s="130"/>
      <c r="GU689" s="130"/>
      <c r="GV689" s="130"/>
      <c r="GW689" s="130"/>
      <c r="GX689" s="130"/>
      <c r="GY689" s="130"/>
      <c r="GZ689" s="130"/>
      <c r="HA689" s="130"/>
      <c r="HB689" s="130"/>
      <c r="HC689" s="130"/>
      <c r="HD689" s="130"/>
      <c r="HE689" s="130"/>
      <c r="HF689" s="130"/>
      <c r="HG689" s="130"/>
      <c r="HH689" s="130"/>
      <c r="HI689" s="130"/>
      <c r="HJ689" s="130"/>
      <c r="HK689" s="130" t="s">
        <v>1393</v>
      </c>
      <c r="HL689" s="130" t="s">
        <v>488</v>
      </c>
      <c r="HT689" s="128"/>
      <c r="HU689" s="128"/>
      <c r="HY689" s="128"/>
      <c r="IO689" s="127" t="s">
        <v>1403</v>
      </c>
      <c r="IP689" s="75" t="s">
        <v>558</v>
      </c>
      <c r="IQ689" s="127" t="s">
        <v>1408</v>
      </c>
      <c r="IS689" s="127">
        <v>2011</v>
      </c>
      <c r="IU689" s="127" t="s">
        <v>480</v>
      </c>
      <c r="JJ689" s="127" t="s">
        <v>1394</v>
      </c>
      <c r="JL689" s="127" t="s">
        <v>495</v>
      </c>
      <c r="JP689" s="127" t="s">
        <v>508</v>
      </c>
      <c r="JQ689" s="127">
        <v>103</v>
      </c>
      <c r="JR689" s="127">
        <v>31</v>
      </c>
      <c r="KE689" s="127" t="s">
        <v>1395</v>
      </c>
      <c r="KF689" s="127" t="s">
        <v>500</v>
      </c>
      <c r="KG689" s="127" t="s">
        <v>480</v>
      </c>
      <c r="KH689" s="127" t="s">
        <v>480</v>
      </c>
      <c r="KJ689" s="127" t="s">
        <v>501</v>
      </c>
      <c r="KK689" s="127" t="s">
        <v>1396</v>
      </c>
      <c r="KL689" s="127" t="s">
        <v>503</v>
      </c>
      <c r="KM689" s="127">
        <v>7.5</v>
      </c>
      <c r="KN689" s="127" t="s">
        <v>501</v>
      </c>
      <c r="KO689" s="127" t="s">
        <v>1397</v>
      </c>
      <c r="KP689" s="127" t="s">
        <v>503</v>
      </c>
      <c r="KQ689" s="127">
        <v>1</v>
      </c>
      <c r="KR689" s="127" t="s">
        <v>545</v>
      </c>
      <c r="KS689" s="127" t="s">
        <v>1409</v>
      </c>
      <c r="KT689" s="127" t="s">
        <v>1410</v>
      </c>
      <c r="KU689" s="127">
        <v>100</v>
      </c>
      <c r="MY689" s="127" t="s">
        <v>1398</v>
      </c>
      <c r="MZ689" s="127">
        <v>1300</v>
      </c>
      <c r="NI689" s="127" t="s">
        <v>1435</v>
      </c>
      <c r="NJ689" s="127" t="s">
        <v>1433</v>
      </c>
      <c r="NK689" s="127" t="s">
        <v>1434</v>
      </c>
      <c r="NL689" s="127" t="s">
        <v>625</v>
      </c>
      <c r="NM689" s="127" t="s">
        <v>516</v>
      </c>
      <c r="NV689" s="127" t="s">
        <v>518</v>
      </c>
      <c r="NW689" s="127">
        <v>397.09</v>
      </c>
      <c r="NX689" s="127" t="s">
        <v>866</v>
      </c>
      <c r="NY689" s="127" t="s">
        <v>866</v>
      </c>
      <c r="OB689" s="127">
        <v>4</v>
      </c>
      <c r="OU689" s="127" t="s">
        <v>1402</v>
      </c>
      <c r="OV689" s="127" t="s">
        <v>1044</v>
      </c>
      <c r="OX689" s="127">
        <v>2011</v>
      </c>
      <c r="OY689" s="127">
        <v>2014</v>
      </c>
      <c r="PB689" s="127" t="s">
        <v>522</v>
      </c>
      <c r="PC689" s="128">
        <v>46134</v>
      </c>
    </row>
    <row r="690" spans="1:419" s="127" customFormat="1" ht="15.75" thickBot="1">
      <c r="A690" t="s">
        <v>469</v>
      </c>
      <c r="B690" s="127" t="s">
        <v>1386</v>
      </c>
      <c r="C690" s="127" t="s">
        <v>1387</v>
      </c>
      <c r="D690" s="127" t="s">
        <v>472</v>
      </c>
      <c r="E690" s="127" t="s">
        <v>1388</v>
      </c>
      <c r="F690" s="127" t="s">
        <v>474</v>
      </c>
      <c r="G690" s="127" t="s">
        <v>475</v>
      </c>
      <c r="H690" s="127" t="s">
        <v>476</v>
      </c>
      <c r="I690" s="127">
        <v>-13.06</v>
      </c>
      <c r="J690" s="127">
        <v>34.299999999999997</v>
      </c>
      <c r="K690" s="127">
        <v>250</v>
      </c>
      <c r="AV690" s="127" t="s">
        <v>1389</v>
      </c>
      <c r="AW690" s="127">
        <v>1300</v>
      </c>
      <c r="AX690" s="127">
        <v>3900</v>
      </c>
      <c r="AY690" s="127">
        <v>3</v>
      </c>
      <c r="AZ690" s="127" t="s">
        <v>1390</v>
      </c>
      <c r="BA690" s="127">
        <v>2011</v>
      </c>
      <c r="BB690" s="127">
        <v>2014</v>
      </c>
      <c r="BD690" s="127" t="s">
        <v>1415</v>
      </c>
      <c r="BE690" s="127" t="s">
        <v>566</v>
      </c>
      <c r="BF690" s="127" t="s">
        <v>484</v>
      </c>
      <c r="BG690" s="127" t="s">
        <v>1364</v>
      </c>
      <c r="BH690" s="127" t="s">
        <v>1404</v>
      </c>
      <c r="BI690" s="127" t="s">
        <v>486</v>
      </c>
      <c r="BJ690" s="127">
        <v>12300</v>
      </c>
      <c r="BK690" s="127" t="s">
        <v>555</v>
      </c>
      <c r="BL690" s="127" t="s">
        <v>554</v>
      </c>
      <c r="BM690" s="127" t="s">
        <v>1416</v>
      </c>
      <c r="BN690" s="127" t="s">
        <v>486</v>
      </c>
      <c r="BO690" s="127">
        <v>266667</v>
      </c>
      <c r="BP690" s="127" t="s">
        <v>555</v>
      </c>
      <c r="BQ690" s="127" t="s">
        <v>485</v>
      </c>
      <c r="BR690" s="127" t="s">
        <v>1392</v>
      </c>
      <c r="BS690" s="127" t="s">
        <v>486</v>
      </c>
      <c r="BT690" s="127">
        <v>53333</v>
      </c>
      <c r="EI690" s="130"/>
      <c r="EJ690" s="130"/>
      <c r="EK690" s="130"/>
      <c r="EL690" s="130"/>
      <c r="EM690" s="130"/>
      <c r="EN690" s="130"/>
      <c r="EO690" s="130"/>
      <c r="EP690" s="130"/>
      <c r="EQ690" s="130"/>
      <c r="ER690" s="130"/>
      <c r="ES690" s="130"/>
      <c r="ET690" s="130"/>
      <c r="EU690" s="130"/>
      <c r="EV690" s="130"/>
      <c r="EW690" s="130"/>
      <c r="EX690" s="130"/>
      <c r="EY690" s="130"/>
      <c r="EZ690" s="130"/>
      <c r="FA690" s="130"/>
      <c r="FB690" s="130"/>
      <c r="FC690" s="130"/>
      <c r="FD690" s="130"/>
      <c r="FE690" s="130"/>
      <c r="FF690" s="130"/>
      <c r="FG690" s="130"/>
      <c r="FH690" s="130"/>
      <c r="FI690" s="130"/>
      <c r="FJ690" s="130"/>
      <c r="FK690" s="130"/>
      <c r="FL690" s="130"/>
      <c r="FM690" s="130"/>
      <c r="FN690" s="130"/>
      <c r="FO690" s="130"/>
      <c r="FP690" s="130"/>
      <c r="FQ690" s="130"/>
      <c r="FR690" s="130"/>
      <c r="FS690" s="130"/>
      <c r="FT690" s="130"/>
      <c r="FU690" s="130"/>
      <c r="FV690" s="130"/>
      <c r="FW690" s="130"/>
      <c r="FX690" s="130"/>
      <c r="FY690" s="130"/>
      <c r="FZ690" s="130"/>
      <c r="GA690" s="130"/>
      <c r="GB690" s="130"/>
      <c r="GC690" s="130"/>
      <c r="GD690" s="130"/>
      <c r="GE690" s="130"/>
      <c r="GF690" s="130"/>
      <c r="GG690" s="130"/>
      <c r="GH690" s="130"/>
      <c r="GI690" s="130"/>
      <c r="GJ690" s="130"/>
      <c r="GK690" s="130"/>
      <c r="GL690" s="130"/>
      <c r="GM690" s="130"/>
      <c r="GN690" s="130"/>
      <c r="GO690" s="130"/>
      <c r="GP690" s="130"/>
      <c r="GQ690" s="130"/>
      <c r="GR690" s="130"/>
      <c r="GS690" s="130"/>
      <c r="GT690" s="130"/>
      <c r="GU690" s="130"/>
      <c r="GV690" s="130"/>
      <c r="GW690" s="130"/>
      <c r="GX690" s="130"/>
      <c r="GY690" s="130"/>
      <c r="GZ690" s="130"/>
      <c r="HA690" s="130"/>
      <c r="HB690" s="130"/>
      <c r="HC690" s="130"/>
      <c r="HD690" s="130"/>
      <c r="HE690" s="130"/>
      <c r="HF690" s="130"/>
      <c r="HG690" s="130"/>
      <c r="HH690" s="130"/>
      <c r="HI690" s="130"/>
      <c r="HJ690" s="130"/>
      <c r="HK690" s="130" t="s">
        <v>1417</v>
      </c>
      <c r="HL690" s="130" t="s">
        <v>526</v>
      </c>
      <c r="HM690" s="127" t="s">
        <v>480</v>
      </c>
      <c r="HN690" s="127" t="s">
        <v>480</v>
      </c>
      <c r="HO690" s="127" t="s">
        <v>480</v>
      </c>
      <c r="HP690" s="127" t="s">
        <v>480</v>
      </c>
      <c r="HY690" s="128"/>
      <c r="IO690" s="127" t="s">
        <v>1415</v>
      </c>
      <c r="IP690" s="75" t="s">
        <v>558</v>
      </c>
      <c r="IS690" s="127">
        <v>2011</v>
      </c>
      <c r="IU690" s="127" t="s">
        <v>480</v>
      </c>
      <c r="JJ690" s="127" t="s">
        <v>1394</v>
      </c>
      <c r="JL690" s="127" t="s">
        <v>495</v>
      </c>
      <c r="JP690" s="127" t="s">
        <v>508</v>
      </c>
      <c r="JQ690" s="127">
        <v>124</v>
      </c>
      <c r="JR690" s="127">
        <v>50</v>
      </c>
      <c r="KE690" s="127" t="s">
        <v>1395</v>
      </c>
      <c r="KF690" s="127" t="s">
        <v>500</v>
      </c>
      <c r="KG690" s="127" t="s">
        <v>480</v>
      </c>
      <c r="KH690" s="127" t="s">
        <v>480</v>
      </c>
      <c r="KJ690" s="127" t="s">
        <v>530</v>
      </c>
      <c r="MY690" s="127" t="s">
        <v>1398</v>
      </c>
      <c r="MZ690" s="127">
        <v>1300</v>
      </c>
      <c r="NI690" s="127" t="s">
        <v>1432</v>
      </c>
      <c r="NJ690" s="127" t="s">
        <v>1433</v>
      </c>
      <c r="NK690" s="127" t="s">
        <v>1434</v>
      </c>
      <c r="NL690" s="127" t="s">
        <v>625</v>
      </c>
      <c r="NM690" s="127" t="s">
        <v>516</v>
      </c>
      <c r="NV690" s="127" t="s">
        <v>518</v>
      </c>
      <c r="NW690" s="127">
        <v>377.9</v>
      </c>
      <c r="NX690" s="127" t="s">
        <v>866</v>
      </c>
      <c r="NY690" s="127" t="s">
        <v>866</v>
      </c>
      <c r="OB690" s="127">
        <v>4</v>
      </c>
      <c r="OU690" s="127" t="s">
        <v>1402</v>
      </c>
      <c r="OV690" s="127" t="s">
        <v>1044</v>
      </c>
      <c r="OX690" s="127">
        <v>2011</v>
      </c>
      <c r="OY690" s="127">
        <v>2014</v>
      </c>
      <c r="PB690" s="127" t="s">
        <v>522</v>
      </c>
      <c r="PC690" s="128">
        <v>46134</v>
      </c>
    </row>
    <row r="691" spans="1:419" s="127" customFormat="1" ht="15.75" thickBot="1">
      <c r="A691" s="78" t="s">
        <v>469</v>
      </c>
      <c r="B691" s="127" t="s">
        <v>1386</v>
      </c>
      <c r="C691" s="127" t="s">
        <v>1387</v>
      </c>
      <c r="D691" s="127" t="s">
        <v>472</v>
      </c>
      <c r="E691" s="127" t="s">
        <v>1419</v>
      </c>
      <c r="F691" s="127" t="s">
        <v>474</v>
      </c>
      <c r="G691" s="127" t="s">
        <v>475</v>
      </c>
      <c r="H691" s="127" t="s">
        <v>476</v>
      </c>
      <c r="I691" s="127">
        <v>-13.47</v>
      </c>
      <c r="J691" s="127">
        <v>33.71</v>
      </c>
      <c r="K691" s="127">
        <v>200</v>
      </c>
      <c r="AV691" s="127" t="s">
        <v>1389</v>
      </c>
      <c r="AW691" s="127">
        <v>2500</v>
      </c>
      <c r="AX691" s="127">
        <v>7500</v>
      </c>
      <c r="AY691" s="127">
        <v>3</v>
      </c>
      <c r="AZ691" s="127" t="s">
        <v>1390</v>
      </c>
      <c r="BA691" s="127">
        <v>2011</v>
      </c>
      <c r="BB691" s="127">
        <v>2014</v>
      </c>
      <c r="BD691" s="127" t="s">
        <v>1391</v>
      </c>
      <c r="BE691" s="127" t="s">
        <v>483</v>
      </c>
      <c r="BF691" s="127" t="s">
        <v>484</v>
      </c>
      <c r="BG691" s="127" t="s">
        <v>485</v>
      </c>
      <c r="BH691" s="127" t="s">
        <v>1392</v>
      </c>
      <c r="BI691" s="127" t="s">
        <v>486</v>
      </c>
      <c r="BJ691" s="127">
        <v>53333</v>
      </c>
      <c r="EI691" s="130"/>
      <c r="EJ691" s="130"/>
      <c r="EK691" s="130"/>
      <c r="EL691" s="130"/>
      <c r="EM691" s="130"/>
      <c r="EN691" s="130"/>
      <c r="EO691" s="130"/>
      <c r="EP691" s="130"/>
      <c r="EQ691" s="130"/>
      <c r="ER691" s="130"/>
      <c r="ES691" s="130"/>
      <c r="ET691" s="130"/>
      <c r="EU691" s="130"/>
      <c r="EV691" s="130"/>
      <c r="EW691" s="130"/>
      <c r="EX691" s="130"/>
      <c r="EY691" s="130"/>
      <c r="EZ691" s="130"/>
      <c r="FA691" s="130"/>
      <c r="FB691" s="130"/>
      <c r="FC691" s="130"/>
      <c r="FD691" s="130"/>
      <c r="FE691" s="130"/>
      <c r="FF691" s="130"/>
      <c r="FG691" s="130"/>
      <c r="FH691" s="130"/>
      <c r="FI691" s="130"/>
      <c r="FJ691" s="130"/>
      <c r="FK691" s="130"/>
      <c r="FL691" s="130"/>
      <c r="FM691" s="130"/>
      <c r="FN691" s="130"/>
      <c r="FO691" s="130"/>
      <c r="FP691" s="130"/>
      <c r="FQ691" s="130"/>
      <c r="FR691" s="130"/>
      <c r="FS691" s="130"/>
      <c r="FT691" s="130"/>
      <c r="FU691" s="130"/>
      <c r="FV691" s="130"/>
      <c r="FW691" s="130"/>
      <c r="FX691" s="130"/>
      <c r="FY691" s="130"/>
      <c r="FZ691" s="130"/>
      <c r="GA691" s="130"/>
      <c r="GB691" s="130"/>
      <c r="GC691" s="130"/>
      <c r="GD691" s="130"/>
      <c r="GE691" s="130"/>
      <c r="GF691" s="130"/>
      <c r="GG691" s="130"/>
      <c r="GH691" s="130"/>
      <c r="GI691" s="130"/>
      <c r="GJ691" s="130"/>
      <c r="GK691" s="130"/>
      <c r="GL691" s="130"/>
      <c r="GM691" s="130"/>
      <c r="GN691" s="130"/>
      <c r="GO691" s="130"/>
      <c r="GP691" s="130"/>
      <c r="GQ691" s="130"/>
      <c r="GR691" s="130"/>
      <c r="GS691" s="130"/>
      <c r="GT691" s="130"/>
      <c r="GU691" s="130"/>
      <c r="GV691" s="130"/>
      <c r="GW691" s="130"/>
      <c r="GX691" s="130"/>
      <c r="GY691" s="130"/>
      <c r="GZ691" s="130"/>
      <c r="HA691" s="130"/>
      <c r="HB691" s="130"/>
      <c r="HC691" s="130"/>
      <c r="HD691" s="130"/>
      <c r="HE691" s="130"/>
      <c r="HF691" s="130"/>
      <c r="HG691" s="130"/>
      <c r="HH691" s="130"/>
      <c r="HI691" s="130"/>
      <c r="HJ691" s="130"/>
      <c r="HK691" s="130" t="s">
        <v>1393</v>
      </c>
      <c r="HL691" s="130" t="s">
        <v>488</v>
      </c>
      <c r="HY691" s="128"/>
      <c r="IO691" s="127" t="s">
        <v>1391</v>
      </c>
      <c r="IP691" s="127" t="s">
        <v>492</v>
      </c>
      <c r="IS691" s="127">
        <v>2011</v>
      </c>
      <c r="JJ691" s="127" t="s">
        <v>1394</v>
      </c>
      <c r="JL691" s="127" t="s">
        <v>495</v>
      </c>
      <c r="JP691" s="127" t="s">
        <v>508</v>
      </c>
      <c r="JQ691" s="127">
        <v>309</v>
      </c>
      <c r="JR691" s="127">
        <v>93</v>
      </c>
      <c r="KE691" s="127" t="s">
        <v>1395</v>
      </c>
      <c r="KF691" s="127" t="s">
        <v>500</v>
      </c>
      <c r="KG691" s="127" t="s">
        <v>480</v>
      </c>
      <c r="KH691" s="127" t="s">
        <v>480</v>
      </c>
      <c r="KJ691" s="127" t="s">
        <v>501</v>
      </c>
      <c r="KK691" s="127" t="s">
        <v>1396</v>
      </c>
      <c r="KL691" s="127" t="s">
        <v>503</v>
      </c>
      <c r="KM691" s="127">
        <v>7.5</v>
      </c>
      <c r="KN691" s="127" t="s">
        <v>501</v>
      </c>
      <c r="KO691" s="127" t="s">
        <v>1397</v>
      </c>
      <c r="KP691" s="127" t="s">
        <v>503</v>
      </c>
      <c r="KQ691" s="127">
        <v>2</v>
      </c>
      <c r="MY691" s="127" t="s">
        <v>1398</v>
      </c>
      <c r="MZ691" s="127">
        <v>2500</v>
      </c>
      <c r="NI691" s="127" t="s">
        <v>1432</v>
      </c>
      <c r="NJ691" s="127" t="s">
        <v>1433</v>
      </c>
      <c r="NK691" s="127" t="s">
        <v>1434</v>
      </c>
      <c r="NL691" s="127" t="s">
        <v>625</v>
      </c>
      <c r="NM691" s="127" t="s">
        <v>516</v>
      </c>
      <c r="NU691" s="127" t="s">
        <v>1420</v>
      </c>
      <c r="NV691" s="127" t="s">
        <v>518</v>
      </c>
      <c r="NW691" s="127">
        <v>282.61</v>
      </c>
      <c r="NX691" s="127" t="s">
        <v>866</v>
      </c>
      <c r="NY691" s="127" t="s">
        <v>866</v>
      </c>
      <c r="OB691" s="127">
        <v>4</v>
      </c>
      <c r="OU691" s="127" t="s">
        <v>1421</v>
      </c>
      <c r="OV691" s="127" t="s">
        <v>1044</v>
      </c>
      <c r="OX691" s="127">
        <v>2011</v>
      </c>
      <c r="OY691" s="127">
        <v>2014</v>
      </c>
      <c r="PB691" s="127" t="s">
        <v>522</v>
      </c>
      <c r="PC691" s="128">
        <v>46134</v>
      </c>
    </row>
    <row r="692" spans="1:419" s="127" customFormat="1" ht="15.75" thickBot="1">
      <c r="A692" t="s">
        <v>469</v>
      </c>
      <c r="B692" s="127" t="s">
        <v>1386</v>
      </c>
      <c r="C692" s="127" t="s">
        <v>1387</v>
      </c>
      <c r="D692" s="127" t="s">
        <v>472</v>
      </c>
      <c r="E692" s="127" t="s">
        <v>1419</v>
      </c>
      <c r="F692" s="127" t="s">
        <v>474</v>
      </c>
      <c r="G692" s="127" t="s">
        <v>475</v>
      </c>
      <c r="H692" s="127" t="s">
        <v>476</v>
      </c>
      <c r="I692" s="127">
        <v>-13.47</v>
      </c>
      <c r="J692" s="127">
        <v>33.71</v>
      </c>
      <c r="K692" s="127">
        <v>200</v>
      </c>
      <c r="AV692" s="127" t="s">
        <v>1389</v>
      </c>
      <c r="AW692" s="127">
        <v>2500</v>
      </c>
      <c r="AX692" s="127">
        <v>7500</v>
      </c>
      <c r="AY692" s="127">
        <v>3</v>
      </c>
      <c r="AZ692" s="127" t="s">
        <v>1390</v>
      </c>
      <c r="BA692" s="127">
        <v>2011</v>
      </c>
      <c r="BB692" s="127">
        <v>2014</v>
      </c>
      <c r="BD692" s="127" t="s">
        <v>1422</v>
      </c>
      <c r="BE692" s="127" t="s">
        <v>572</v>
      </c>
      <c r="BF692" s="127" t="s">
        <v>484</v>
      </c>
      <c r="BG692" s="127" t="s">
        <v>1423</v>
      </c>
      <c r="BH692" s="127" t="s">
        <v>1424</v>
      </c>
      <c r="BI692" s="127" t="s">
        <v>486</v>
      </c>
      <c r="BJ692" s="127">
        <v>3700</v>
      </c>
      <c r="BK692" s="127" t="s">
        <v>537</v>
      </c>
      <c r="BL692" s="127" t="s">
        <v>1405</v>
      </c>
      <c r="BM692" s="127" t="s">
        <v>1406</v>
      </c>
      <c r="BN692" s="127" t="s">
        <v>486</v>
      </c>
      <c r="BO692" s="127">
        <v>18500</v>
      </c>
      <c r="BP692" s="127" t="s">
        <v>555</v>
      </c>
      <c r="BQ692" s="127" t="s">
        <v>1425</v>
      </c>
      <c r="BR692" s="127" t="s">
        <v>1426</v>
      </c>
      <c r="BS692" s="127" t="s">
        <v>486</v>
      </c>
      <c r="BT692" s="127">
        <v>222200</v>
      </c>
      <c r="BU692" s="127" t="s">
        <v>555</v>
      </c>
      <c r="BV692" s="127" t="s">
        <v>485</v>
      </c>
      <c r="BW692" s="127" t="s">
        <v>1392</v>
      </c>
      <c r="BX692" s="127" t="s">
        <v>486</v>
      </c>
      <c r="BY692" s="127">
        <v>53333</v>
      </c>
      <c r="EI692" s="130"/>
      <c r="EJ692" s="130"/>
      <c r="EK692" s="130"/>
      <c r="EL692" s="130"/>
      <c r="EM692" s="130"/>
      <c r="EN692" s="130"/>
      <c r="EO692" s="130"/>
      <c r="EP692" s="130"/>
      <c r="EQ692" s="130"/>
      <c r="ER692" s="130"/>
      <c r="ES692" s="130"/>
      <c r="ET692" s="130"/>
      <c r="EU692" s="130"/>
      <c r="EV692" s="130"/>
      <c r="EW692" s="130"/>
      <c r="EX692" s="130"/>
      <c r="EY692" s="130"/>
      <c r="EZ692" s="130"/>
      <c r="FA692" s="130"/>
      <c r="FB692" s="130"/>
      <c r="FC692" s="130"/>
      <c r="FD692" s="130"/>
      <c r="FE692" s="130"/>
      <c r="FF692" s="130"/>
      <c r="FG692" s="130"/>
      <c r="FH692" s="130"/>
      <c r="FI692" s="130"/>
      <c r="FJ692" s="130"/>
      <c r="FK692" s="130"/>
      <c r="FL692" s="130"/>
      <c r="FM692" s="130"/>
      <c r="FN692" s="130"/>
      <c r="FO692" s="130"/>
      <c r="FP692" s="130"/>
      <c r="FQ692" s="130"/>
      <c r="FR692" s="130"/>
      <c r="FS692" s="130"/>
      <c r="FT692" s="130"/>
      <c r="FU692" s="130"/>
      <c r="FV692" s="130"/>
      <c r="FW692" s="130"/>
      <c r="FX692" s="130"/>
      <c r="FY692" s="130"/>
      <c r="FZ692" s="130"/>
      <c r="GA692" s="130"/>
      <c r="GB692" s="130"/>
      <c r="GC692" s="130"/>
      <c r="GD692" s="130"/>
      <c r="GE692" s="130"/>
      <c r="GF692" s="130"/>
      <c r="GG692" s="130"/>
      <c r="GH692" s="130"/>
      <c r="GI692" s="130"/>
      <c r="GJ692" s="130"/>
      <c r="GK692" s="130"/>
      <c r="GL692" s="130"/>
      <c r="GM692" s="130"/>
      <c r="GN692" s="130"/>
      <c r="GO692" s="130"/>
      <c r="GP692" s="130"/>
      <c r="GQ692" s="130"/>
      <c r="GR692" s="130"/>
      <c r="GS692" s="130"/>
      <c r="GT692" s="130"/>
      <c r="GU692" s="130"/>
      <c r="GV692" s="130"/>
      <c r="GW692" s="130"/>
      <c r="GX692" s="130"/>
      <c r="GY692" s="130"/>
      <c r="GZ692" s="130"/>
      <c r="HA692" s="130"/>
      <c r="HB692" s="130"/>
      <c r="HC692" s="130"/>
      <c r="HD692" s="130"/>
      <c r="HE692" s="130"/>
      <c r="HF692" s="130"/>
      <c r="HG692" s="130"/>
      <c r="HH692" s="130"/>
      <c r="HI692" s="130"/>
      <c r="HJ692" s="130"/>
      <c r="HK692" s="130" t="s">
        <v>1393</v>
      </c>
      <c r="HL692" s="130" t="s">
        <v>488</v>
      </c>
      <c r="HY692" s="128"/>
      <c r="IO692" s="127" t="s">
        <v>1422</v>
      </c>
      <c r="IP692" s="75" t="s">
        <v>558</v>
      </c>
      <c r="IQ692" s="127" t="s">
        <v>1408</v>
      </c>
      <c r="IS692" s="127">
        <v>2011</v>
      </c>
      <c r="IU692" s="127" t="s">
        <v>480</v>
      </c>
      <c r="JJ692" s="127" t="s">
        <v>1394</v>
      </c>
      <c r="JL692" s="127" t="s">
        <v>495</v>
      </c>
      <c r="JP692" s="127" t="s">
        <v>508</v>
      </c>
      <c r="JQ692" s="127">
        <v>131</v>
      </c>
      <c r="JR692" s="127">
        <v>59</v>
      </c>
      <c r="KE692" s="127" t="s">
        <v>1395</v>
      </c>
      <c r="KF692" s="127" t="s">
        <v>500</v>
      </c>
      <c r="KG692" s="127" t="s">
        <v>480</v>
      </c>
      <c r="KH692" s="127" t="s">
        <v>480</v>
      </c>
      <c r="KJ692" s="127" t="s">
        <v>501</v>
      </c>
      <c r="KK692" s="127" t="s">
        <v>1396</v>
      </c>
      <c r="KL692" s="127" t="s">
        <v>503</v>
      </c>
      <c r="KM692" s="127">
        <v>7.5</v>
      </c>
      <c r="KN692" s="127" t="s">
        <v>501</v>
      </c>
      <c r="KO692" s="127" t="s">
        <v>1397</v>
      </c>
      <c r="KP692" s="127" t="s">
        <v>503</v>
      </c>
      <c r="KQ692" s="127">
        <v>1</v>
      </c>
      <c r="MY692" s="127" t="s">
        <v>1398</v>
      </c>
      <c r="MZ692" s="127">
        <v>2500</v>
      </c>
      <c r="NI692" s="127" t="s">
        <v>1432</v>
      </c>
      <c r="NJ692" s="127" t="s">
        <v>1433</v>
      </c>
      <c r="NK692" s="127" t="s">
        <v>1434</v>
      </c>
      <c r="NL692" s="127" t="s">
        <v>625</v>
      </c>
      <c r="NM692" s="127" t="s">
        <v>516</v>
      </c>
      <c r="NV692" s="127" t="s">
        <v>518</v>
      </c>
      <c r="NW692" s="127">
        <v>238.69</v>
      </c>
      <c r="NX692" s="127" t="s">
        <v>866</v>
      </c>
      <c r="NY692" s="127" t="s">
        <v>866</v>
      </c>
      <c r="OB692" s="127">
        <v>4</v>
      </c>
      <c r="OU692" s="127" t="s">
        <v>1421</v>
      </c>
      <c r="OV692" s="127" t="s">
        <v>1044</v>
      </c>
      <c r="OX692" s="127">
        <v>2011</v>
      </c>
      <c r="OY692" s="127">
        <v>2014</v>
      </c>
      <c r="PB692" s="127" t="s">
        <v>522</v>
      </c>
      <c r="PC692" s="128">
        <v>46134</v>
      </c>
    </row>
    <row r="693" spans="1:419" s="127" customFormat="1" ht="15.75" thickBot="1">
      <c r="A693" t="s">
        <v>469</v>
      </c>
      <c r="B693" s="127" t="s">
        <v>1386</v>
      </c>
      <c r="C693" s="127" t="s">
        <v>1387</v>
      </c>
      <c r="D693" s="127" t="s">
        <v>472</v>
      </c>
      <c r="E693" s="127" t="s">
        <v>1419</v>
      </c>
      <c r="F693" s="127" t="s">
        <v>474</v>
      </c>
      <c r="G693" s="127" t="s">
        <v>475</v>
      </c>
      <c r="H693" s="127" t="s">
        <v>476</v>
      </c>
      <c r="I693" s="127">
        <v>-13.47</v>
      </c>
      <c r="J693" s="127">
        <v>33.71</v>
      </c>
      <c r="K693" s="127">
        <v>200</v>
      </c>
      <c r="AV693" s="127" t="s">
        <v>1389</v>
      </c>
      <c r="AW693" s="127">
        <v>2500</v>
      </c>
      <c r="AX693" s="127">
        <v>7500</v>
      </c>
      <c r="AY693" s="127">
        <v>3</v>
      </c>
      <c r="AZ693" s="127" t="s">
        <v>1390</v>
      </c>
      <c r="BA693" s="127">
        <v>2011</v>
      </c>
      <c r="BB693" s="127">
        <v>2014</v>
      </c>
      <c r="BD693" s="127" t="s">
        <v>1430</v>
      </c>
      <c r="BE693" s="127" t="s">
        <v>553</v>
      </c>
      <c r="BF693" s="127" t="s">
        <v>484</v>
      </c>
      <c r="BG693" s="127" t="s">
        <v>1423</v>
      </c>
      <c r="BH693" s="127" t="s">
        <v>1424</v>
      </c>
      <c r="BI693" s="127" t="s">
        <v>486</v>
      </c>
      <c r="BJ693" s="127">
        <v>3700</v>
      </c>
      <c r="BK693" s="127" t="s">
        <v>555</v>
      </c>
      <c r="BL693" s="127" t="s">
        <v>1425</v>
      </c>
      <c r="BM693" s="127" t="s">
        <v>1426</v>
      </c>
      <c r="BN693" s="127" t="s">
        <v>486</v>
      </c>
      <c r="BO693" s="127">
        <v>177800</v>
      </c>
      <c r="BP693" s="127" t="s">
        <v>555</v>
      </c>
      <c r="BQ693" s="127" t="s">
        <v>485</v>
      </c>
      <c r="BR693" s="127" t="s">
        <v>1392</v>
      </c>
      <c r="BS693" s="127" t="s">
        <v>486</v>
      </c>
      <c r="BT693" s="127">
        <v>53333</v>
      </c>
      <c r="EI693" s="130"/>
      <c r="EJ693" s="130"/>
      <c r="EK693" s="130"/>
      <c r="EL693" s="130"/>
      <c r="EM693" s="130"/>
      <c r="EN693" s="130"/>
      <c r="EO693" s="130"/>
      <c r="EP693" s="130"/>
      <c r="EQ693" s="130"/>
      <c r="ER693" s="130"/>
      <c r="ES693" s="130"/>
      <c r="ET693" s="130"/>
      <c r="EU693" s="130"/>
      <c r="EV693" s="130"/>
      <c r="EW693" s="130"/>
      <c r="EX693" s="130"/>
      <c r="EY693" s="130"/>
      <c r="EZ693" s="130"/>
      <c r="FA693" s="130"/>
      <c r="FB693" s="130"/>
      <c r="FC693" s="130"/>
      <c r="FD693" s="130"/>
      <c r="FE693" s="130"/>
      <c r="FF693" s="130"/>
      <c r="FG693" s="130"/>
      <c r="FH693" s="130"/>
      <c r="FI693" s="130"/>
      <c r="FJ693" s="130"/>
      <c r="FK693" s="130"/>
      <c r="FL693" s="130"/>
      <c r="FM693" s="130"/>
      <c r="FN693" s="130"/>
      <c r="FO693" s="130"/>
      <c r="FP693" s="130"/>
      <c r="FQ693" s="130"/>
      <c r="FR693" s="130"/>
      <c r="FS693" s="130"/>
      <c r="FT693" s="130"/>
      <c r="FU693" s="130"/>
      <c r="FV693" s="130"/>
      <c r="FW693" s="130"/>
      <c r="FX693" s="130"/>
      <c r="FY693" s="130"/>
      <c r="FZ693" s="130"/>
      <c r="GA693" s="130"/>
      <c r="GB693" s="130"/>
      <c r="GC693" s="130"/>
      <c r="GD693" s="130"/>
      <c r="GE693" s="130"/>
      <c r="GF693" s="130"/>
      <c r="GG693" s="130"/>
      <c r="GH693" s="130"/>
      <c r="GI693" s="130"/>
      <c r="GJ693" s="130"/>
      <c r="GK693" s="130"/>
      <c r="GL693" s="130"/>
      <c r="GM693" s="130"/>
      <c r="GN693" s="130"/>
      <c r="GO693" s="130"/>
      <c r="GP693" s="130"/>
      <c r="GQ693" s="130"/>
      <c r="GR693" s="130"/>
      <c r="GS693" s="130"/>
      <c r="GT693" s="130"/>
      <c r="GU693" s="130"/>
      <c r="GV693" s="130"/>
      <c r="GW693" s="130"/>
      <c r="GX693" s="130"/>
      <c r="GY693" s="130"/>
      <c r="GZ693" s="130"/>
      <c r="HA693" s="130"/>
      <c r="HB693" s="130"/>
      <c r="HC693" s="130"/>
      <c r="HD693" s="130"/>
      <c r="HE693" s="130"/>
      <c r="HF693" s="130"/>
      <c r="HG693" s="130"/>
      <c r="HH693" s="130"/>
      <c r="HI693" s="130"/>
      <c r="HJ693" s="130"/>
      <c r="HK693" s="130" t="s">
        <v>1417</v>
      </c>
      <c r="HL693" s="130" t="s">
        <v>526</v>
      </c>
      <c r="HM693" s="127" t="s">
        <v>480</v>
      </c>
      <c r="HN693" s="127" t="s">
        <v>480</v>
      </c>
      <c r="HO693" s="127" t="s">
        <v>480</v>
      </c>
      <c r="HP693" s="127" t="s">
        <v>480</v>
      </c>
      <c r="HY693" s="128"/>
      <c r="IO693" s="127" t="s">
        <v>1430</v>
      </c>
      <c r="IP693" s="75" t="s">
        <v>558</v>
      </c>
      <c r="IS693" s="127">
        <v>2011</v>
      </c>
      <c r="IU693" s="127" t="s">
        <v>480</v>
      </c>
      <c r="JJ693" s="127" t="s">
        <v>1394</v>
      </c>
      <c r="JL693" s="127" t="s">
        <v>495</v>
      </c>
      <c r="JP693" s="127" t="s">
        <v>508</v>
      </c>
      <c r="JQ693" s="127">
        <v>131</v>
      </c>
      <c r="JR693" s="127">
        <v>59</v>
      </c>
      <c r="KE693" s="127" t="s">
        <v>1395</v>
      </c>
      <c r="KF693" s="127" t="s">
        <v>500</v>
      </c>
      <c r="KG693" s="127" t="s">
        <v>480</v>
      </c>
      <c r="KH693" s="127" t="s">
        <v>480</v>
      </c>
      <c r="KJ693" s="127" t="s">
        <v>530</v>
      </c>
      <c r="MY693" s="127" t="s">
        <v>1398</v>
      </c>
      <c r="MZ693" s="127">
        <v>2500</v>
      </c>
      <c r="NI693" s="127" t="s">
        <v>1432</v>
      </c>
      <c r="NJ693" s="127" t="s">
        <v>1433</v>
      </c>
      <c r="NK693" s="127" t="s">
        <v>1434</v>
      </c>
      <c r="NL693" s="127" t="s">
        <v>625</v>
      </c>
      <c r="NM693" s="127" t="s">
        <v>516</v>
      </c>
      <c r="NV693" s="127" t="s">
        <v>518</v>
      </c>
      <c r="NW693" s="127">
        <v>263.73</v>
      </c>
      <c r="NX693" s="127" t="s">
        <v>866</v>
      </c>
      <c r="NY693" s="127" t="s">
        <v>866</v>
      </c>
      <c r="OB693" s="127">
        <v>4</v>
      </c>
      <c r="OU693" s="127" t="s">
        <v>1421</v>
      </c>
      <c r="OV693" s="127" t="s">
        <v>1044</v>
      </c>
      <c r="OX693" s="127">
        <v>2011</v>
      </c>
      <c r="OY693" s="127">
        <v>2014</v>
      </c>
      <c r="PB693" s="127" t="s">
        <v>522</v>
      </c>
      <c r="PC693" s="128">
        <v>46134</v>
      </c>
    </row>
    <row r="694" spans="1:419" s="127" customFormat="1" ht="15.75" thickBot="1">
      <c r="A694" s="78" t="s">
        <v>469</v>
      </c>
      <c r="B694" s="127" t="s">
        <v>1386</v>
      </c>
      <c r="C694" s="127" t="s">
        <v>1387</v>
      </c>
      <c r="D694" s="127" t="s">
        <v>472</v>
      </c>
      <c r="E694" s="127" t="s">
        <v>1388</v>
      </c>
      <c r="F694" s="127" t="s">
        <v>474</v>
      </c>
      <c r="G694" s="127" t="s">
        <v>475</v>
      </c>
      <c r="H694" s="127" t="s">
        <v>476</v>
      </c>
      <c r="I694" s="127">
        <v>-13.06</v>
      </c>
      <c r="J694" s="127">
        <v>34.299999999999997</v>
      </c>
      <c r="K694" s="127">
        <v>250</v>
      </c>
      <c r="AV694" s="127" t="s">
        <v>1389</v>
      </c>
      <c r="AW694" s="127">
        <v>1300</v>
      </c>
      <c r="AX694" s="127">
        <v>3900</v>
      </c>
      <c r="AY694" s="127">
        <v>3</v>
      </c>
      <c r="AZ694" s="127" t="s">
        <v>1390</v>
      </c>
      <c r="BA694" s="127">
        <v>2011</v>
      </c>
      <c r="BB694" s="127">
        <v>2014</v>
      </c>
      <c r="BD694" s="127" t="s">
        <v>1391</v>
      </c>
      <c r="BE694" s="127" t="s">
        <v>524</v>
      </c>
      <c r="BF694" s="127" t="s">
        <v>484</v>
      </c>
      <c r="BG694" s="127" t="s">
        <v>485</v>
      </c>
      <c r="BH694" s="127" t="s">
        <v>1392</v>
      </c>
      <c r="BI694" s="127" t="s">
        <v>486</v>
      </c>
      <c r="BJ694" s="127">
        <v>53333</v>
      </c>
      <c r="EI694" s="130"/>
      <c r="EJ694" s="130"/>
      <c r="EK694" s="130"/>
      <c r="EL694" s="130"/>
      <c r="EM694" s="130"/>
      <c r="EN694" s="130"/>
      <c r="EO694" s="130"/>
      <c r="EP694" s="130"/>
      <c r="EQ694" s="130"/>
      <c r="ER694" s="130"/>
      <c r="ES694" s="130"/>
      <c r="ET694" s="130"/>
      <c r="EU694" s="130"/>
      <c r="EV694" s="130"/>
      <c r="EW694" s="130"/>
      <c r="EX694" s="130"/>
      <c r="EY694" s="130"/>
      <c r="EZ694" s="130"/>
      <c r="FA694" s="130"/>
      <c r="FB694" s="130"/>
      <c r="FC694" s="130"/>
      <c r="FD694" s="130"/>
      <c r="FE694" s="130"/>
      <c r="FF694" s="130"/>
      <c r="FG694" s="130"/>
      <c r="FH694" s="130"/>
      <c r="FI694" s="130"/>
      <c r="FJ694" s="130"/>
      <c r="FK694" s="130"/>
      <c r="FL694" s="130"/>
      <c r="FM694" s="130"/>
      <c r="FN694" s="130"/>
      <c r="FO694" s="130"/>
      <c r="FP694" s="130"/>
      <c r="FQ694" s="130"/>
      <c r="FR694" s="130"/>
      <c r="FS694" s="130"/>
      <c r="FT694" s="130"/>
      <c r="FU694" s="130"/>
      <c r="FV694" s="130"/>
      <c r="FW694" s="130"/>
      <c r="FX694" s="130"/>
      <c r="FY694" s="130"/>
      <c r="FZ694" s="130"/>
      <c r="GA694" s="130"/>
      <c r="GB694" s="130"/>
      <c r="GC694" s="130"/>
      <c r="GD694" s="130"/>
      <c r="GE694" s="130"/>
      <c r="GF694" s="130"/>
      <c r="GG694" s="130"/>
      <c r="GH694" s="130"/>
      <c r="GI694" s="130"/>
      <c r="GJ694" s="130"/>
      <c r="GK694" s="130"/>
      <c r="GL694" s="130"/>
      <c r="GM694" s="130"/>
      <c r="GN694" s="130"/>
      <c r="GO694" s="130"/>
      <c r="GP694" s="130"/>
      <c r="GQ694" s="130"/>
      <c r="GR694" s="130"/>
      <c r="GS694" s="130"/>
      <c r="GT694" s="130"/>
      <c r="GU694" s="130"/>
      <c r="GV694" s="130"/>
      <c r="GW694" s="130"/>
      <c r="GX694" s="130"/>
      <c r="GY694" s="130"/>
      <c r="GZ694" s="130"/>
      <c r="HA694" s="130"/>
      <c r="HB694" s="130"/>
      <c r="HC694" s="130"/>
      <c r="HD694" s="130"/>
      <c r="HE694" s="130"/>
      <c r="HF694" s="130"/>
      <c r="HG694" s="130"/>
      <c r="HH694" s="130"/>
      <c r="HI694" s="130"/>
      <c r="HJ694" s="130"/>
      <c r="HK694" s="130" t="s">
        <v>1393</v>
      </c>
      <c r="HL694" s="130" t="s">
        <v>488</v>
      </c>
      <c r="HT694" s="128"/>
      <c r="HU694" s="128"/>
      <c r="HY694" s="128"/>
      <c r="IO694" s="127" t="s">
        <v>1391</v>
      </c>
      <c r="IP694" s="127" t="s">
        <v>492</v>
      </c>
      <c r="IS694" s="127">
        <v>2011</v>
      </c>
      <c r="JJ694" s="127" t="s">
        <v>1394</v>
      </c>
      <c r="JL694" s="127" t="s">
        <v>495</v>
      </c>
      <c r="JP694" s="127" t="s">
        <v>508</v>
      </c>
      <c r="JQ694" s="127">
        <v>309</v>
      </c>
      <c r="JR694" s="127">
        <v>93</v>
      </c>
      <c r="KE694" s="127" t="s">
        <v>1395</v>
      </c>
      <c r="KF694" s="127" t="s">
        <v>500</v>
      </c>
      <c r="KG694" s="127" t="s">
        <v>480</v>
      </c>
      <c r="KH694" s="127" t="s">
        <v>480</v>
      </c>
      <c r="KJ694" s="127" t="s">
        <v>501</v>
      </c>
      <c r="KK694" s="127" t="s">
        <v>1396</v>
      </c>
      <c r="KL694" s="127" t="s">
        <v>503</v>
      </c>
      <c r="KM694" s="127">
        <v>7.5</v>
      </c>
      <c r="KN694" s="127" t="s">
        <v>501</v>
      </c>
      <c r="KO694" s="127" t="s">
        <v>1397</v>
      </c>
      <c r="KP694" s="127" t="s">
        <v>503</v>
      </c>
      <c r="KQ694" s="127">
        <v>2</v>
      </c>
      <c r="MY694" s="127" t="s">
        <v>1398</v>
      </c>
      <c r="MZ694" s="127">
        <v>1300</v>
      </c>
      <c r="NI694" s="127" t="s">
        <v>1436</v>
      </c>
      <c r="NJ694" s="127" t="s">
        <v>1437</v>
      </c>
      <c r="NK694" s="127" t="s">
        <v>1438</v>
      </c>
      <c r="NL694" s="127" t="s">
        <v>1439</v>
      </c>
      <c r="NM694" s="127" t="s">
        <v>516</v>
      </c>
      <c r="NU694" s="127" t="s">
        <v>657</v>
      </c>
      <c r="NV694" s="127" t="s">
        <v>518</v>
      </c>
      <c r="NW694" s="127">
        <v>1379.77</v>
      </c>
      <c r="NX694" s="127" t="s">
        <v>866</v>
      </c>
      <c r="NY694" s="127" t="s">
        <v>866</v>
      </c>
      <c r="OB694" s="127">
        <v>4</v>
      </c>
      <c r="OU694" s="127" t="s">
        <v>1402</v>
      </c>
      <c r="OV694" s="127" t="s">
        <v>1044</v>
      </c>
      <c r="OX694" s="127">
        <v>2011</v>
      </c>
      <c r="OY694" s="127">
        <v>2014</v>
      </c>
      <c r="PB694" s="127" t="s">
        <v>522</v>
      </c>
      <c r="PC694" s="128">
        <v>46134</v>
      </c>
    </row>
    <row r="695" spans="1:419" s="127" customFormat="1" ht="15.75" thickBot="1">
      <c r="A695" t="s">
        <v>469</v>
      </c>
      <c r="B695" s="127" t="s">
        <v>1386</v>
      </c>
      <c r="C695" s="127" t="s">
        <v>1387</v>
      </c>
      <c r="D695" s="127" t="s">
        <v>472</v>
      </c>
      <c r="E695" s="127" t="s">
        <v>1388</v>
      </c>
      <c r="F695" s="127" t="s">
        <v>474</v>
      </c>
      <c r="G695" s="127" t="s">
        <v>475</v>
      </c>
      <c r="H695" s="127" t="s">
        <v>476</v>
      </c>
      <c r="I695" s="127">
        <v>-13.06</v>
      </c>
      <c r="J695" s="127">
        <v>34.299999999999997</v>
      </c>
      <c r="K695" s="127">
        <v>250</v>
      </c>
      <c r="AV695" s="127" t="s">
        <v>1389</v>
      </c>
      <c r="AW695" s="127">
        <v>1300</v>
      </c>
      <c r="AX695" s="127">
        <v>3900</v>
      </c>
      <c r="AY695" s="127">
        <v>3</v>
      </c>
      <c r="AZ695" s="127" t="s">
        <v>1390</v>
      </c>
      <c r="BA695" s="127">
        <v>2011</v>
      </c>
      <c r="BB695" s="127">
        <v>2014</v>
      </c>
      <c r="BD695" s="127" t="s">
        <v>1403</v>
      </c>
      <c r="BE695" s="127" t="s">
        <v>536</v>
      </c>
      <c r="BF695" s="127" t="s">
        <v>484</v>
      </c>
      <c r="BG695" s="127" t="s">
        <v>1364</v>
      </c>
      <c r="BH695" s="127" t="s">
        <v>1404</v>
      </c>
      <c r="BI695" s="127" t="s">
        <v>486</v>
      </c>
      <c r="BJ695" s="127">
        <v>12300</v>
      </c>
      <c r="BK695" s="127" t="s">
        <v>537</v>
      </c>
      <c r="BL695" s="127" t="s">
        <v>1405</v>
      </c>
      <c r="BM695" s="127" t="s">
        <v>1406</v>
      </c>
      <c r="BN695" s="127" t="s">
        <v>486</v>
      </c>
      <c r="BO695" s="127">
        <v>24700</v>
      </c>
      <c r="BP695" s="127" t="s">
        <v>555</v>
      </c>
      <c r="BQ695" s="127" t="s">
        <v>538</v>
      </c>
      <c r="BR695" s="127" t="s">
        <v>1407</v>
      </c>
      <c r="BS695" s="127" t="s">
        <v>486</v>
      </c>
      <c r="BT695" s="127">
        <v>355556</v>
      </c>
      <c r="BU695" s="127" t="s">
        <v>537</v>
      </c>
      <c r="BV695" s="127" t="s">
        <v>1405</v>
      </c>
      <c r="BW695" s="127" t="s">
        <v>1406</v>
      </c>
      <c r="BX695" s="127" t="s">
        <v>486</v>
      </c>
      <c r="BY695" s="127">
        <v>24700</v>
      </c>
      <c r="BZ695" s="127" t="s">
        <v>555</v>
      </c>
      <c r="CA695" s="127" t="s">
        <v>485</v>
      </c>
      <c r="CB695" s="127" t="s">
        <v>1392</v>
      </c>
      <c r="CC695" s="127" t="s">
        <v>486</v>
      </c>
      <c r="CD695" s="127">
        <v>53333</v>
      </c>
      <c r="EI695" s="130"/>
      <c r="EJ695" s="130"/>
      <c r="EK695" s="130"/>
      <c r="EL695" s="130"/>
      <c r="EM695" s="130"/>
      <c r="EN695" s="130"/>
      <c r="EO695" s="130"/>
      <c r="EP695" s="130"/>
      <c r="EQ695" s="130"/>
      <c r="ER695" s="130"/>
      <c r="ES695" s="130"/>
      <c r="ET695" s="130"/>
      <c r="EU695" s="130"/>
      <c r="EV695" s="130"/>
      <c r="EW695" s="130"/>
      <c r="EX695" s="130"/>
      <c r="EY695" s="130"/>
      <c r="EZ695" s="130"/>
      <c r="FA695" s="130"/>
      <c r="FB695" s="130"/>
      <c r="FC695" s="130"/>
      <c r="FD695" s="130"/>
      <c r="FE695" s="130"/>
      <c r="FF695" s="130"/>
      <c r="FG695" s="130"/>
      <c r="FH695" s="130"/>
      <c r="FI695" s="130"/>
      <c r="FJ695" s="130"/>
      <c r="FK695" s="130"/>
      <c r="FL695" s="130"/>
      <c r="FM695" s="130"/>
      <c r="FN695" s="130"/>
      <c r="FO695" s="130"/>
      <c r="FP695" s="130"/>
      <c r="FQ695" s="130"/>
      <c r="FR695" s="130"/>
      <c r="FS695" s="130"/>
      <c r="FT695" s="130"/>
      <c r="FU695" s="130"/>
      <c r="FV695" s="130"/>
      <c r="FW695" s="130"/>
      <c r="FX695" s="130"/>
      <c r="FY695" s="130"/>
      <c r="FZ695" s="130"/>
      <c r="GA695" s="130"/>
      <c r="GB695" s="130"/>
      <c r="GC695" s="130"/>
      <c r="GD695" s="130"/>
      <c r="GE695" s="130"/>
      <c r="GF695" s="130"/>
      <c r="GG695" s="130"/>
      <c r="GH695" s="130"/>
      <c r="GI695" s="130"/>
      <c r="GJ695" s="130"/>
      <c r="GK695" s="130"/>
      <c r="GL695" s="130"/>
      <c r="GM695" s="130"/>
      <c r="GN695" s="130"/>
      <c r="GO695" s="130"/>
      <c r="GP695" s="130"/>
      <c r="GQ695" s="130"/>
      <c r="GR695" s="130"/>
      <c r="GS695" s="130"/>
      <c r="GT695" s="130"/>
      <c r="GU695" s="130"/>
      <c r="GV695" s="130"/>
      <c r="GW695" s="130"/>
      <c r="GX695" s="130"/>
      <c r="GY695" s="130"/>
      <c r="GZ695" s="130"/>
      <c r="HA695" s="130"/>
      <c r="HB695" s="130"/>
      <c r="HC695" s="130"/>
      <c r="HD695" s="130"/>
      <c r="HE695" s="130"/>
      <c r="HF695" s="130"/>
      <c r="HG695" s="130"/>
      <c r="HH695" s="130"/>
      <c r="HI695" s="130"/>
      <c r="HJ695" s="130"/>
      <c r="HK695" s="130" t="s">
        <v>1393</v>
      </c>
      <c r="HL695" s="130" t="s">
        <v>488</v>
      </c>
      <c r="HT695" s="128"/>
      <c r="HU695" s="128"/>
      <c r="HY695" s="128"/>
      <c r="IO695" s="127" t="s">
        <v>1403</v>
      </c>
      <c r="IP695" s="75" t="s">
        <v>558</v>
      </c>
      <c r="IQ695" s="127" t="s">
        <v>1408</v>
      </c>
      <c r="IS695" s="127">
        <v>2011</v>
      </c>
      <c r="IU695" s="127" t="s">
        <v>480</v>
      </c>
      <c r="JJ695" s="127" t="s">
        <v>1394</v>
      </c>
      <c r="JL695" s="127" t="s">
        <v>495</v>
      </c>
      <c r="JP695" s="127" t="s">
        <v>508</v>
      </c>
      <c r="JQ695" s="127">
        <v>103</v>
      </c>
      <c r="JR695" s="127">
        <v>31</v>
      </c>
      <c r="KE695" s="127" t="s">
        <v>1395</v>
      </c>
      <c r="KF695" s="127" t="s">
        <v>500</v>
      </c>
      <c r="KG695" s="127" t="s">
        <v>480</v>
      </c>
      <c r="KH695" s="127" t="s">
        <v>480</v>
      </c>
      <c r="KJ695" s="127" t="s">
        <v>501</v>
      </c>
      <c r="KK695" s="127" t="s">
        <v>1396</v>
      </c>
      <c r="KL695" s="127" t="s">
        <v>503</v>
      </c>
      <c r="KM695" s="127">
        <v>7.5</v>
      </c>
      <c r="KN695" s="127" t="s">
        <v>501</v>
      </c>
      <c r="KO695" s="127" t="s">
        <v>1397</v>
      </c>
      <c r="KP695" s="127" t="s">
        <v>503</v>
      </c>
      <c r="KQ695" s="127">
        <v>1</v>
      </c>
      <c r="KR695" s="127" t="s">
        <v>545</v>
      </c>
      <c r="KS695" s="127" t="s">
        <v>1409</v>
      </c>
      <c r="KT695" s="127" t="s">
        <v>1410</v>
      </c>
      <c r="KU695" s="127">
        <v>100</v>
      </c>
      <c r="MY695" s="127" t="s">
        <v>1398</v>
      </c>
      <c r="MZ695" s="127">
        <v>1300</v>
      </c>
      <c r="NI695" s="127" t="s">
        <v>1440</v>
      </c>
      <c r="NJ695" s="127" t="s">
        <v>1437</v>
      </c>
      <c r="NK695" s="127" t="s">
        <v>1438</v>
      </c>
      <c r="NL695" s="127" t="s">
        <v>1439</v>
      </c>
      <c r="NM695" s="127" t="s">
        <v>516</v>
      </c>
      <c r="NV695" s="127" t="s">
        <v>518</v>
      </c>
      <c r="NW695" s="127">
        <v>1054.49</v>
      </c>
      <c r="NX695" s="127" t="s">
        <v>866</v>
      </c>
      <c r="NY695" s="127" t="s">
        <v>866</v>
      </c>
      <c r="OB695" s="127">
        <v>4</v>
      </c>
      <c r="OU695" s="127" t="s">
        <v>1402</v>
      </c>
      <c r="OV695" s="127" t="s">
        <v>1044</v>
      </c>
      <c r="OX695" s="127">
        <v>2011</v>
      </c>
      <c r="OY695" s="127">
        <v>2014</v>
      </c>
      <c r="PB695" s="127" t="s">
        <v>522</v>
      </c>
      <c r="PC695" s="128">
        <v>46134</v>
      </c>
    </row>
    <row r="696" spans="1:419" s="127" customFormat="1" ht="15.75" thickBot="1">
      <c r="A696" t="s">
        <v>469</v>
      </c>
      <c r="B696" s="127" t="s">
        <v>1386</v>
      </c>
      <c r="C696" s="127" t="s">
        <v>1387</v>
      </c>
      <c r="D696" s="127" t="s">
        <v>472</v>
      </c>
      <c r="E696" s="127" t="s">
        <v>1388</v>
      </c>
      <c r="F696" s="127" t="s">
        <v>474</v>
      </c>
      <c r="G696" s="127" t="s">
        <v>475</v>
      </c>
      <c r="H696" s="127" t="s">
        <v>476</v>
      </c>
      <c r="I696" s="127">
        <v>-13.06</v>
      </c>
      <c r="J696" s="127">
        <v>34.299999999999997</v>
      </c>
      <c r="K696" s="127">
        <v>250</v>
      </c>
      <c r="AV696" s="127" t="s">
        <v>1389</v>
      </c>
      <c r="AW696" s="127">
        <v>1300</v>
      </c>
      <c r="AX696" s="127">
        <v>3900</v>
      </c>
      <c r="AY696" s="127">
        <v>3</v>
      </c>
      <c r="AZ696" s="127" t="s">
        <v>1390</v>
      </c>
      <c r="BA696" s="127">
        <v>2011</v>
      </c>
      <c r="BB696" s="127">
        <v>2014</v>
      </c>
      <c r="BD696" s="127" t="s">
        <v>1415</v>
      </c>
      <c r="BE696" s="127" t="s">
        <v>566</v>
      </c>
      <c r="BF696" s="127" t="s">
        <v>484</v>
      </c>
      <c r="BG696" s="127" t="s">
        <v>1364</v>
      </c>
      <c r="BH696" s="127" t="s">
        <v>1404</v>
      </c>
      <c r="BI696" s="127" t="s">
        <v>486</v>
      </c>
      <c r="BJ696" s="127">
        <v>12300</v>
      </c>
      <c r="BK696" s="127" t="s">
        <v>555</v>
      </c>
      <c r="BL696" s="127" t="s">
        <v>554</v>
      </c>
      <c r="BM696" s="127" t="s">
        <v>1416</v>
      </c>
      <c r="BN696" s="127" t="s">
        <v>486</v>
      </c>
      <c r="BO696" s="127">
        <v>266667</v>
      </c>
      <c r="BP696" s="127" t="s">
        <v>555</v>
      </c>
      <c r="BQ696" s="127" t="s">
        <v>485</v>
      </c>
      <c r="BR696" s="127" t="s">
        <v>1392</v>
      </c>
      <c r="BS696" s="127" t="s">
        <v>486</v>
      </c>
      <c r="BT696" s="127">
        <v>53333</v>
      </c>
      <c r="EI696" s="130"/>
      <c r="EJ696" s="130"/>
      <c r="EK696" s="130"/>
      <c r="EL696" s="130"/>
      <c r="EM696" s="130"/>
      <c r="EN696" s="130"/>
      <c r="EO696" s="130"/>
      <c r="EP696" s="130"/>
      <c r="EQ696" s="130"/>
      <c r="ER696" s="130"/>
      <c r="ES696" s="130"/>
      <c r="ET696" s="130"/>
      <c r="EU696" s="130"/>
      <c r="EV696" s="130"/>
      <c r="EW696" s="130"/>
      <c r="EX696" s="130"/>
      <c r="EY696" s="130"/>
      <c r="EZ696" s="130"/>
      <c r="FA696" s="130"/>
      <c r="FB696" s="130"/>
      <c r="FC696" s="130"/>
      <c r="FD696" s="130"/>
      <c r="FE696" s="130"/>
      <c r="FF696" s="130"/>
      <c r="FG696" s="130"/>
      <c r="FH696" s="130"/>
      <c r="FI696" s="130"/>
      <c r="FJ696" s="130"/>
      <c r="FK696" s="130"/>
      <c r="FL696" s="130"/>
      <c r="FM696" s="130"/>
      <c r="FN696" s="130"/>
      <c r="FO696" s="130"/>
      <c r="FP696" s="130"/>
      <c r="FQ696" s="130"/>
      <c r="FR696" s="130"/>
      <c r="FS696" s="130"/>
      <c r="FT696" s="130"/>
      <c r="FU696" s="130"/>
      <c r="FV696" s="130"/>
      <c r="FW696" s="130"/>
      <c r="FX696" s="130"/>
      <c r="FY696" s="130"/>
      <c r="FZ696" s="130"/>
      <c r="GA696" s="130"/>
      <c r="GB696" s="130"/>
      <c r="GC696" s="130"/>
      <c r="GD696" s="130"/>
      <c r="GE696" s="130"/>
      <c r="GF696" s="130"/>
      <c r="GG696" s="130"/>
      <c r="GH696" s="130"/>
      <c r="GI696" s="130"/>
      <c r="GJ696" s="130"/>
      <c r="GK696" s="130"/>
      <c r="GL696" s="130"/>
      <c r="GM696" s="130"/>
      <c r="GN696" s="130"/>
      <c r="GO696" s="130"/>
      <c r="GP696" s="130"/>
      <c r="GQ696" s="130"/>
      <c r="GR696" s="130"/>
      <c r="GS696" s="130"/>
      <c r="GT696" s="130"/>
      <c r="GU696" s="130"/>
      <c r="GV696" s="130"/>
      <c r="GW696" s="130"/>
      <c r="GX696" s="130"/>
      <c r="GY696" s="130"/>
      <c r="GZ696" s="130"/>
      <c r="HA696" s="130"/>
      <c r="HB696" s="130"/>
      <c r="HC696" s="130"/>
      <c r="HD696" s="130"/>
      <c r="HE696" s="130"/>
      <c r="HF696" s="130"/>
      <c r="HG696" s="130"/>
      <c r="HH696" s="130"/>
      <c r="HI696" s="130"/>
      <c r="HJ696" s="130"/>
      <c r="HK696" s="130" t="s">
        <v>1417</v>
      </c>
      <c r="HL696" s="130" t="s">
        <v>526</v>
      </c>
      <c r="HM696" s="127" t="s">
        <v>480</v>
      </c>
      <c r="HN696" s="127" t="s">
        <v>480</v>
      </c>
      <c r="HO696" s="127" t="s">
        <v>480</v>
      </c>
      <c r="HP696" s="127" t="s">
        <v>480</v>
      </c>
      <c r="HY696" s="128"/>
      <c r="IO696" s="127" t="s">
        <v>1415</v>
      </c>
      <c r="IP696" s="75" t="s">
        <v>558</v>
      </c>
      <c r="IS696" s="127">
        <v>2011</v>
      </c>
      <c r="IU696" s="127" t="s">
        <v>480</v>
      </c>
      <c r="JJ696" s="127" t="s">
        <v>1394</v>
      </c>
      <c r="JL696" s="127" t="s">
        <v>495</v>
      </c>
      <c r="JP696" s="127" t="s">
        <v>508</v>
      </c>
      <c r="JQ696" s="127">
        <v>124</v>
      </c>
      <c r="JR696" s="127">
        <v>50</v>
      </c>
      <c r="KE696" s="127" t="s">
        <v>1395</v>
      </c>
      <c r="KF696" s="127" t="s">
        <v>500</v>
      </c>
      <c r="KG696" s="127" t="s">
        <v>480</v>
      </c>
      <c r="KH696" s="127" t="s">
        <v>480</v>
      </c>
      <c r="KJ696" s="127" t="s">
        <v>530</v>
      </c>
      <c r="MY696" s="127" t="s">
        <v>1398</v>
      </c>
      <c r="MZ696" s="127">
        <v>1300</v>
      </c>
      <c r="NI696" s="127" t="s">
        <v>1441</v>
      </c>
      <c r="NJ696" s="127" t="s">
        <v>1437</v>
      </c>
      <c r="NK696" s="127" t="s">
        <v>1438</v>
      </c>
      <c r="NL696" s="127" t="s">
        <v>1439</v>
      </c>
      <c r="NM696" s="127" t="s">
        <v>516</v>
      </c>
      <c r="NV696" s="127" t="s">
        <v>518</v>
      </c>
      <c r="NW696" s="127">
        <v>890.16</v>
      </c>
      <c r="NX696" s="127" t="s">
        <v>866</v>
      </c>
      <c r="NY696" s="127" t="s">
        <v>866</v>
      </c>
      <c r="OB696" s="127">
        <v>4</v>
      </c>
      <c r="OU696" s="127" t="s">
        <v>1402</v>
      </c>
      <c r="OV696" s="127" t="s">
        <v>1044</v>
      </c>
      <c r="OX696" s="127">
        <v>2011</v>
      </c>
      <c r="OY696" s="127">
        <v>2014</v>
      </c>
      <c r="PB696" s="127" t="s">
        <v>522</v>
      </c>
      <c r="PC696" s="128">
        <v>46134</v>
      </c>
    </row>
    <row r="697" spans="1:419" s="127" customFormat="1" ht="15.75" thickBot="1">
      <c r="A697" s="78" t="s">
        <v>469</v>
      </c>
      <c r="B697" s="127" t="s">
        <v>1386</v>
      </c>
      <c r="C697" s="127" t="s">
        <v>1387</v>
      </c>
      <c r="D697" s="127" t="s">
        <v>472</v>
      </c>
      <c r="E697" s="127" t="s">
        <v>1419</v>
      </c>
      <c r="F697" s="127" t="s">
        <v>474</v>
      </c>
      <c r="G697" s="127" t="s">
        <v>475</v>
      </c>
      <c r="H697" s="127" t="s">
        <v>476</v>
      </c>
      <c r="I697" s="127">
        <v>-13.47</v>
      </c>
      <c r="J697" s="127">
        <v>33.71</v>
      </c>
      <c r="K697" s="127">
        <v>200</v>
      </c>
      <c r="AV697" s="127" t="s">
        <v>1389</v>
      </c>
      <c r="AW697" s="127">
        <v>2500</v>
      </c>
      <c r="AX697" s="127">
        <v>7500</v>
      </c>
      <c r="AY697" s="127">
        <v>3</v>
      </c>
      <c r="AZ697" s="127" t="s">
        <v>1390</v>
      </c>
      <c r="BA697" s="127">
        <v>2011</v>
      </c>
      <c r="BB697" s="127">
        <v>2014</v>
      </c>
      <c r="BD697" s="127" t="s">
        <v>1391</v>
      </c>
      <c r="BE697" s="127" t="s">
        <v>483</v>
      </c>
      <c r="BF697" s="127" t="s">
        <v>484</v>
      </c>
      <c r="BG697" s="127" t="s">
        <v>485</v>
      </c>
      <c r="BH697" s="127" t="s">
        <v>1392</v>
      </c>
      <c r="BI697" s="127" t="s">
        <v>486</v>
      </c>
      <c r="BJ697" s="127">
        <v>53333</v>
      </c>
      <c r="EI697" s="130"/>
      <c r="EJ697" s="130"/>
      <c r="EK697" s="130"/>
      <c r="EL697" s="130"/>
      <c r="EM697" s="130"/>
      <c r="EN697" s="130"/>
      <c r="EO697" s="130"/>
      <c r="EP697" s="130"/>
      <c r="EQ697" s="130"/>
      <c r="ER697" s="130"/>
      <c r="ES697" s="130"/>
      <c r="ET697" s="130"/>
      <c r="EU697" s="130"/>
      <c r="EV697" s="130"/>
      <c r="EW697" s="130"/>
      <c r="EX697" s="130"/>
      <c r="EY697" s="130"/>
      <c r="EZ697" s="130"/>
      <c r="FA697" s="130"/>
      <c r="FB697" s="130"/>
      <c r="FC697" s="130"/>
      <c r="FD697" s="130"/>
      <c r="FE697" s="130"/>
      <c r="FF697" s="130"/>
      <c r="FG697" s="130"/>
      <c r="FH697" s="130"/>
      <c r="FI697" s="130"/>
      <c r="FJ697" s="130"/>
      <c r="FK697" s="130"/>
      <c r="FL697" s="130"/>
      <c r="FM697" s="130"/>
      <c r="FN697" s="130"/>
      <c r="FO697" s="130"/>
      <c r="FP697" s="130"/>
      <c r="FQ697" s="130"/>
      <c r="FR697" s="130"/>
      <c r="FS697" s="130"/>
      <c r="FT697" s="130"/>
      <c r="FU697" s="130"/>
      <c r="FV697" s="130"/>
      <c r="FW697" s="130"/>
      <c r="FX697" s="130"/>
      <c r="FY697" s="130"/>
      <c r="FZ697" s="130"/>
      <c r="GA697" s="130"/>
      <c r="GB697" s="130"/>
      <c r="GC697" s="130"/>
      <c r="GD697" s="130"/>
      <c r="GE697" s="130"/>
      <c r="GF697" s="130"/>
      <c r="GG697" s="130"/>
      <c r="GH697" s="130"/>
      <c r="GI697" s="130"/>
      <c r="GJ697" s="130"/>
      <c r="GK697" s="130"/>
      <c r="GL697" s="130"/>
      <c r="GM697" s="130"/>
      <c r="GN697" s="130"/>
      <c r="GO697" s="130"/>
      <c r="GP697" s="130"/>
      <c r="GQ697" s="130"/>
      <c r="GR697" s="130"/>
      <c r="GS697" s="130"/>
      <c r="GT697" s="130"/>
      <c r="GU697" s="130"/>
      <c r="GV697" s="130"/>
      <c r="GW697" s="130"/>
      <c r="GX697" s="130"/>
      <c r="GY697" s="130"/>
      <c r="GZ697" s="130"/>
      <c r="HA697" s="130"/>
      <c r="HB697" s="130"/>
      <c r="HC697" s="130"/>
      <c r="HD697" s="130"/>
      <c r="HE697" s="130"/>
      <c r="HF697" s="130"/>
      <c r="HG697" s="130"/>
      <c r="HH697" s="130"/>
      <c r="HI697" s="130"/>
      <c r="HJ697" s="130"/>
      <c r="HK697" s="130" t="s">
        <v>1393</v>
      </c>
      <c r="HL697" s="130" t="s">
        <v>488</v>
      </c>
      <c r="HY697" s="128"/>
      <c r="IO697" s="127" t="s">
        <v>1391</v>
      </c>
      <c r="IP697" s="127" t="s">
        <v>492</v>
      </c>
      <c r="IS697" s="127">
        <v>2011</v>
      </c>
      <c r="JJ697" s="127" t="s">
        <v>1394</v>
      </c>
      <c r="JL697" s="127" t="s">
        <v>495</v>
      </c>
      <c r="JP697" s="127" t="s">
        <v>508</v>
      </c>
      <c r="JQ697" s="127">
        <v>309</v>
      </c>
      <c r="JR697" s="127">
        <v>93</v>
      </c>
      <c r="KE697" s="127" t="s">
        <v>1395</v>
      </c>
      <c r="KF697" s="127" t="s">
        <v>500</v>
      </c>
      <c r="KG697" s="127" t="s">
        <v>480</v>
      </c>
      <c r="KH697" s="127" t="s">
        <v>480</v>
      </c>
      <c r="KJ697" s="127" t="s">
        <v>501</v>
      </c>
      <c r="KK697" s="127" t="s">
        <v>1396</v>
      </c>
      <c r="KL697" s="127" t="s">
        <v>503</v>
      </c>
      <c r="KM697" s="127">
        <v>7.5</v>
      </c>
      <c r="KN697" s="127" t="s">
        <v>501</v>
      </c>
      <c r="KO697" s="127" t="s">
        <v>1397</v>
      </c>
      <c r="KP697" s="127" t="s">
        <v>503</v>
      </c>
      <c r="KQ697" s="127">
        <v>2</v>
      </c>
      <c r="MY697" s="127" t="s">
        <v>1398</v>
      </c>
      <c r="MZ697" s="127">
        <v>2500</v>
      </c>
      <c r="NI697" s="127" t="s">
        <v>1436</v>
      </c>
      <c r="NJ697" s="127" t="s">
        <v>1437</v>
      </c>
      <c r="NK697" s="127" t="s">
        <v>1438</v>
      </c>
      <c r="NL697" s="127" t="s">
        <v>1439</v>
      </c>
      <c r="NM697" s="127" t="s">
        <v>516</v>
      </c>
      <c r="NU697" s="127" t="s">
        <v>1420</v>
      </c>
      <c r="NV697" s="127" t="s">
        <v>518</v>
      </c>
      <c r="NW697" s="127">
        <v>1212.73</v>
      </c>
      <c r="NX697" s="127" t="s">
        <v>866</v>
      </c>
      <c r="NY697" s="127" t="s">
        <v>866</v>
      </c>
      <c r="OB697" s="127">
        <v>4</v>
      </c>
      <c r="OU697" s="127" t="s">
        <v>1421</v>
      </c>
      <c r="OV697" s="127" t="s">
        <v>1044</v>
      </c>
      <c r="OX697" s="127">
        <v>2011</v>
      </c>
      <c r="OY697" s="127">
        <v>2014</v>
      </c>
      <c r="PB697" s="127" t="s">
        <v>522</v>
      </c>
      <c r="PC697" s="128">
        <v>46134</v>
      </c>
    </row>
    <row r="698" spans="1:419" s="127" customFormat="1" ht="15.75" thickBot="1">
      <c r="A698" t="s">
        <v>469</v>
      </c>
      <c r="B698" s="127" t="s">
        <v>1386</v>
      </c>
      <c r="C698" s="127" t="s">
        <v>1387</v>
      </c>
      <c r="D698" s="127" t="s">
        <v>472</v>
      </c>
      <c r="E698" s="127" t="s">
        <v>1419</v>
      </c>
      <c r="F698" s="127" t="s">
        <v>474</v>
      </c>
      <c r="G698" s="127" t="s">
        <v>475</v>
      </c>
      <c r="H698" s="127" t="s">
        <v>476</v>
      </c>
      <c r="I698" s="127">
        <v>-13.47</v>
      </c>
      <c r="J698" s="127">
        <v>33.71</v>
      </c>
      <c r="K698" s="127">
        <v>200</v>
      </c>
      <c r="AV698" s="127" t="s">
        <v>1389</v>
      </c>
      <c r="AW698" s="127">
        <v>2500</v>
      </c>
      <c r="AX698" s="127">
        <v>7500</v>
      </c>
      <c r="AY698" s="127">
        <v>3</v>
      </c>
      <c r="AZ698" s="127" t="s">
        <v>1390</v>
      </c>
      <c r="BA698" s="127">
        <v>2011</v>
      </c>
      <c r="BB698" s="127">
        <v>2014</v>
      </c>
      <c r="BD698" s="127" t="s">
        <v>1422</v>
      </c>
      <c r="BE698" s="127" t="s">
        <v>572</v>
      </c>
      <c r="BF698" s="127" t="s">
        <v>484</v>
      </c>
      <c r="BG698" s="127" t="s">
        <v>1423</v>
      </c>
      <c r="BH698" s="127" t="s">
        <v>1424</v>
      </c>
      <c r="BI698" s="127" t="s">
        <v>486</v>
      </c>
      <c r="BJ698" s="127">
        <v>3700</v>
      </c>
      <c r="BK698" s="127" t="s">
        <v>537</v>
      </c>
      <c r="BL698" s="127" t="s">
        <v>1405</v>
      </c>
      <c r="BM698" s="127" t="s">
        <v>1406</v>
      </c>
      <c r="BN698" s="127" t="s">
        <v>486</v>
      </c>
      <c r="BO698" s="127">
        <v>18500</v>
      </c>
      <c r="BP698" s="127" t="s">
        <v>555</v>
      </c>
      <c r="BQ698" s="127" t="s">
        <v>1425</v>
      </c>
      <c r="BR698" s="127" t="s">
        <v>1426</v>
      </c>
      <c r="BS698" s="127" t="s">
        <v>486</v>
      </c>
      <c r="BT698" s="127">
        <v>222200</v>
      </c>
      <c r="BU698" s="127" t="s">
        <v>555</v>
      </c>
      <c r="BV698" s="127" t="s">
        <v>485</v>
      </c>
      <c r="BW698" s="127" t="s">
        <v>1392</v>
      </c>
      <c r="BX698" s="127" t="s">
        <v>486</v>
      </c>
      <c r="BY698" s="127">
        <v>53333</v>
      </c>
      <c r="EI698" s="130"/>
      <c r="EJ698" s="130"/>
      <c r="EK698" s="130"/>
      <c r="EL698" s="130"/>
      <c r="EM698" s="130"/>
      <c r="EN698" s="130"/>
      <c r="EO698" s="130"/>
      <c r="EP698" s="130"/>
      <c r="EQ698" s="130"/>
      <c r="ER698" s="130"/>
      <c r="ES698" s="130"/>
      <c r="ET698" s="130"/>
      <c r="EU698" s="130"/>
      <c r="EV698" s="130"/>
      <c r="EW698" s="130"/>
      <c r="EX698" s="130"/>
      <c r="EY698" s="130"/>
      <c r="EZ698" s="130"/>
      <c r="FA698" s="130"/>
      <c r="FB698" s="130"/>
      <c r="FC698" s="130"/>
      <c r="FD698" s="130"/>
      <c r="FE698" s="130"/>
      <c r="FF698" s="130"/>
      <c r="FG698" s="130"/>
      <c r="FH698" s="130"/>
      <c r="FI698" s="130"/>
      <c r="FJ698" s="130"/>
      <c r="FK698" s="130"/>
      <c r="FL698" s="130"/>
      <c r="FM698" s="130"/>
      <c r="FN698" s="130"/>
      <c r="FO698" s="130"/>
      <c r="FP698" s="130"/>
      <c r="FQ698" s="130"/>
      <c r="FR698" s="130"/>
      <c r="FS698" s="130"/>
      <c r="FT698" s="130"/>
      <c r="FU698" s="130"/>
      <c r="FV698" s="130"/>
      <c r="FW698" s="130"/>
      <c r="FX698" s="130"/>
      <c r="FY698" s="130"/>
      <c r="FZ698" s="130"/>
      <c r="GA698" s="130"/>
      <c r="GB698" s="130"/>
      <c r="GC698" s="130"/>
      <c r="GD698" s="130"/>
      <c r="GE698" s="130"/>
      <c r="GF698" s="130"/>
      <c r="GG698" s="130"/>
      <c r="GH698" s="130"/>
      <c r="GI698" s="130"/>
      <c r="GJ698" s="130"/>
      <c r="GK698" s="130"/>
      <c r="GL698" s="130"/>
      <c r="GM698" s="130"/>
      <c r="GN698" s="130"/>
      <c r="GO698" s="130"/>
      <c r="GP698" s="130"/>
      <c r="GQ698" s="130"/>
      <c r="GR698" s="130"/>
      <c r="GS698" s="130"/>
      <c r="GT698" s="130"/>
      <c r="GU698" s="130"/>
      <c r="GV698" s="130"/>
      <c r="GW698" s="130"/>
      <c r="GX698" s="130"/>
      <c r="GY698" s="130"/>
      <c r="GZ698" s="130"/>
      <c r="HA698" s="130"/>
      <c r="HB698" s="130"/>
      <c r="HC698" s="130"/>
      <c r="HD698" s="130"/>
      <c r="HE698" s="130"/>
      <c r="HF698" s="130"/>
      <c r="HG698" s="130"/>
      <c r="HH698" s="130"/>
      <c r="HI698" s="130"/>
      <c r="HJ698" s="130"/>
      <c r="HK698" s="130" t="s">
        <v>1393</v>
      </c>
      <c r="HL698" s="130" t="s">
        <v>488</v>
      </c>
      <c r="HY698" s="128"/>
      <c r="IO698" s="127" t="s">
        <v>1422</v>
      </c>
      <c r="IP698" s="75" t="s">
        <v>558</v>
      </c>
      <c r="IQ698" s="127" t="s">
        <v>1408</v>
      </c>
      <c r="IS698" s="127">
        <v>2011</v>
      </c>
      <c r="IU698" s="127" t="s">
        <v>480</v>
      </c>
      <c r="JJ698" s="127" t="s">
        <v>1394</v>
      </c>
      <c r="JL698" s="127" t="s">
        <v>495</v>
      </c>
      <c r="JP698" s="127" t="s">
        <v>508</v>
      </c>
      <c r="JQ698" s="127">
        <v>131</v>
      </c>
      <c r="JR698" s="127">
        <v>59</v>
      </c>
      <c r="KE698" s="127" t="s">
        <v>1395</v>
      </c>
      <c r="KF698" s="127" t="s">
        <v>500</v>
      </c>
      <c r="KG698" s="127" t="s">
        <v>480</v>
      </c>
      <c r="KH698" s="127" t="s">
        <v>480</v>
      </c>
      <c r="KJ698" s="127" t="s">
        <v>501</v>
      </c>
      <c r="KK698" s="127" t="s">
        <v>1396</v>
      </c>
      <c r="KL698" s="127" t="s">
        <v>503</v>
      </c>
      <c r="KM698" s="127">
        <v>7.5</v>
      </c>
      <c r="KN698" s="127" t="s">
        <v>501</v>
      </c>
      <c r="KO698" s="127" t="s">
        <v>1397</v>
      </c>
      <c r="KP698" s="127" t="s">
        <v>503</v>
      </c>
      <c r="KQ698" s="127">
        <v>1</v>
      </c>
      <c r="MY698" s="127" t="s">
        <v>1398</v>
      </c>
      <c r="MZ698" s="127">
        <v>2500</v>
      </c>
      <c r="NI698" s="127" t="s">
        <v>1436</v>
      </c>
      <c r="NJ698" s="127" t="s">
        <v>1437</v>
      </c>
      <c r="NK698" s="127" t="s">
        <v>1438</v>
      </c>
      <c r="NL698" s="127" t="s">
        <v>1439</v>
      </c>
      <c r="NM698" s="127" t="s">
        <v>516</v>
      </c>
      <c r="NV698" s="127" t="s">
        <v>518</v>
      </c>
      <c r="NW698" s="127">
        <v>1191.1099999999999</v>
      </c>
      <c r="NX698" s="127" t="s">
        <v>866</v>
      </c>
      <c r="NY698" s="127" t="s">
        <v>866</v>
      </c>
      <c r="OB698" s="127">
        <v>4</v>
      </c>
      <c r="OU698" s="127" t="s">
        <v>1421</v>
      </c>
      <c r="OV698" s="127" t="s">
        <v>1044</v>
      </c>
      <c r="OX698" s="127">
        <v>2011</v>
      </c>
      <c r="OY698" s="127">
        <v>2014</v>
      </c>
      <c r="PB698" s="127" t="s">
        <v>522</v>
      </c>
      <c r="PC698" s="128">
        <v>46134</v>
      </c>
    </row>
    <row r="699" spans="1:419" s="127" customFormat="1" ht="15.75" thickBot="1">
      <c r="A699" t="s">
        <v>469</v>
      </c>
      <c r="B699" s="127" t="s">
        <v>1386</v>
      </c>
      <c r="C699" s="127" t="s">
        <v>1387</v>
      </c>
      <c r="D699" s="127" t="s">
        <v>472</v>
      </c>
      <c r="E699" s="127" t="s">
        <v>1419</v>
      </c>
      <c r="F699" s="127" t="s">
        <v>474</v>
      </c>
      <c r="G699" s="127" t="s">
        <v>475</v>
      </c>
      <c r="H699" s="127" t="s">
        <v>476</v>
      </c>
      <c r="I699" s="127">
        <v>-13.47</v>
      </c>
      <c r="J699" s="127">
        <v>33.71</v>
      </c>
      <c r="K699" s="127">
        <v>200</v>
      </c>
      <c r="AV699" s="127" t="s">
        <v>1389</v>
      </c>
      <c r="AW699" s="127">
        <v>2500</v>
      </c>
      <c r="AX699" s="127">
        <v>7500</v>
      </c>
      <c r="AY699" s="127">
        <v>3</v>
      </c>
      <c r="AZ699" s="127" t="s">
        <v>1390</v>
      </c>
      <c r="BA699" s="127">
        <v>2011</v>
      </c>
      <c r="BB699" s="127">
        <v>2014</v>
      </c>
      <c r="BD699" s="127" t="s">
        <v>1430</v>
      </c>
      <c r="BE699" s="127" t="s">
        <v>553</v>
      </c>
      <c r="BF699" s="127" t="s">
        <v>484</v>
      </c>
      <c r="BG699" s="127" t="s">
        <v>1423</v>
      </c>
      <c r="BH699" s="127" t="s">
        <v>1424</v>
      </c>
      <c r="BI699" s="127" t="s">
        <v>486</v>
      </c>
      <c r="BJ699" s="127">
        <v>3700</v>
      </c>
      <c r="BK699" s="127" t="s">
        <v>555</v>
      </c>
      <c r="BL699" s="127" t="s">
        <v>1425</v>
      </c>
      <c r="BM699" s="127" t="s">
        <v>1426</v>
      </c>
      <c r="BN699" s="127" t="s">
        <v>486</v>
      </c>
      <c r="BO699" s="127">
        <v>177800</v>
      </c>
      <c r="BP699" s="127" t="s">
        <v>555</v>
      </c>
      <c r="BQ699" s="127" t="s">
        <v>485</v>
      </c>
      <c r="BR699" s="127" t="s">
        <v>1392</v>
      </c>
      <c r="BS699" s="127" t="s">
        <v>486</v>
      </c>
      <c r="BT699" s="127">
        <v>53333</v>
      </c>
      <c r="EI699" s="130"/>
      <c r="EJ699" s="130"/>
      <c r="EK699" s="130"/>
      <c r="EL699" s="130"/>
      <c r="EM699" s="130"/>
      <c r="EN699" s="130"/>
      <c r="EO699" s="130"/>
      <c r="EP699" s="130"/>
      <c r="EQ699" s="130"/>
      <c r="ER699" s="130"/>
      <c r="ES699" s="130"/>
      <c r="ET699" s="130"/>
      <c r="EU699" s="130"/>
      <c r="EV699" s="130"/>
      <c r="EW699" s="130"/>
      <c r="EX699" s="130"/>
      <c r="EY699" s="130"/>
      <c r="EZ699" s="130"/>
      <c r="FA699" s="130"/>
      <c r="FB699" s="130"/>
      <c r="FC699" s="130"/>
      <c r="FD699" s="130"/>
      <c r="FE699" s="130"/>
      <c r="FF699" s="130"/>
      <c r="FG699" s="130"/>
      <c r="FH699" s="130"/>
      <c r="FI699" s="130"/>
      <c r="FJ699" s="130"/>
      <c r="FK699" s="130"/>
      <c r="FL699" s="130"/>
      <c r="FM699" s="130"/>
      <c r="FN699" s="130"/>
      <c r="FO699" s="130"/>
      <c r="FP699" s="130"/>
      <c r="FQ699" s="130"/>
      <c r="FR699" s="130"/>
      <c r="FS699" s="130"/>
      <c r="FT699" s="130"/>
      <c r="FU699" s="130"/>
      <c r="FV699" s="130"/>
      <c r="FW699" s="130"/>
      <c r="FX699" s="130"/>
      <c r="FY699" s="130"/>
      <c r="FZ699" s="130"/>
      <c r="GA699" s="130"/>
      <c r="GB699" s="130"/>
      <c r="GC699" s="130"/>
      <c r="GD699" s="130"/>
      <c r="GE699" s="130"/>
      <c r="GF699" s="130"/>
      <c r="GG699" s="130"/>
      <c r="GH699" s="130"/>
      <c r="GI699" s="130"/>
      <c r="GJ699" s="130"/>
      <c r="GK699" s="130"/>
      <c r="GL699" s="130"/>
      <c r="GM699" s="130"/>
      <c r="GN699" s="130"/>
      <c r="GO699" s="130"/>
      <c r="GP699" s="130"/>
      <c r="GQ699" s="130"/>
      <c r="GR699" s="130"/>
      <c r="GS699" s="130"/>
      <c r="GT699" s="130"/>
      <c r="GU699" s="130"/>
      <c r="GV699" s="130"/>
      <c r="GW699" s="130"/>
      <c r="GX699" s="130"/>
      <c r="GY699" s="130"/>
      <c r="GZ699" s="130"/>
      <c r="HA699" s="130"/>
      <c r="HB699" s="130"/>
      <c r="HC699" s="130"/>
      <c r="HD699" s="130"/>
      <c r="HE699" s="130"/>
      <c r="HF699" s="130"/>
      <c r="HG699" s="130"/>
      <c r="HH699" s="130"/>
      <c r="HI699" s="130"/>
      <c r="HJ699" s="130"/>
      <c r="HK699" s="130" t="s">
        <v>1417</v>
      </c>
      <c r="HL699" s="130" t="s">
        <v>526</v>
      </c>
      <c r="HM699" s="127" t="s">
        <v>480</v>
      </c>
      <c r="HN699" s="127" t="s">
        <v>480</v>
      </c>
      <c r="HO699" s="127" t="s">
        <v>480</v>
      </c>
      <c r="HP699" s="127" t="s">
        <v>480</v>
      </c>
      <c r="HY699" s="128"/>
      <c r="IO699" s="127" t="s">
        <v>1430</v>
      </c>
      <c r="IP699" s="75" t="s">
        <v>558</v>
      </c>
      <c r="IS699" s="127">
        <v>2011</v>
      </c>
      <c r="IU699" s="127" t="s">
        <v>480</v>
      </c>
      <c r="JJ699" s="127" t="s">
        <v>1394</v>
      </c>
      <c r="JL699" s="127" t="s">
        <v>495</v>
      </c>
      <c r="JP699" s="127" t="s">
        <v>508</v>
      </c>
      <c r="JQ699" s="127">
        <v>131</v>
      </c>
      <c r="JR699" s="127">
        <v>59</v>
      </c>
      <c r="KE699" s="127" t="s">
        <v>1395</v>
      </c>
      <c r="KF699" s="127" t="s">
        <v>500</v>
      </c>
      <c r="KG699" s="127" t="s">
        <v>480</v>
      </c>
      <c r="KH699" s="127" t="s">
        <v>480</v>
      </c>
      <c r="KJ699" s="127" t="s">
        <v>530</v>
      </c>
      <c r="MY699" s="127" t="s">
        <v>1398</v>
      </c>
      <c r="MZ699" s="127">
        <v>2500</v>
      </c>
      <c r="NI699" s="127" t="s">
        <v>1441</v>
      </c>
      <c r="NJ699" s="127" t="s">
        <v>1437</v>
      </c>
      <c r="NK699" s="127" t="s">
        <v>1438</v>
      </c>
      <c r="NL699" s="127" t="s">
        <v>1439</v>
      </c>
      <c r="NM699" s="127" t="s">
        <v>516</v>
      </c>
      <c r="NV699" s="127" t="s">
        <v>518</v>
      </c>
      <c r="NW699" s="127">
        <v>1046.0999999999999</v>
      </c>
      <c r="NX699" s="127" t="s">
        <v>866</v>
      </c>
      <c r="NY699" s="127" t="s">
        <v>866</v>
      </c>
      <c r="OB699" s="127">
        <v>4</v>
      </c>
      <c r="OU699" s="127" t="s">
        <v>1421</v>
      </c>
      <c r="OV699" s="127" t="s">
        <v>1044</v>
      </c>
      <c r="OX699" s="127">
        <v>2011</v>
      </c>
      <c r="OY699" s="127">
        <v>2014</v>
      </c>
      <c r="PB699" s="127" t="s">
        <v>522</v>
      </c>
      <c r="PC699" s="128">
        <v>46134</v>
      </c>
    </row>
    <row r="700" spans="1:419" s="127" customFormat="1" ht="15.75" thickBot="1">
      <c r="A700" s="78" t="s">
        <v>469</v>
      </c>
      <c r="B700" s="127" t="s">
        <v>1386</v>
      </c>
      <c r="C700" s="127" t="s">
        <v>1387</v>
      </c>
      <c r="D700" s="127" t="s">
        <v>472</v>
      </c>
      <c r="E700" s="127" t="s">
        <v>1388</v>
      </c>
      <c r="F700" s="127" t="s">
        <v>474</v>
      </c>
      <c r="G700" s="127" t="s">
        <v>475</v>
      </c>
      <c r="H700" s="127" t="s">
        <v>476</v>
      </c>
      <c r="I700" s="127">
        <v>-13.06</v>
      </c>
      <c r="J700" s="127">
        <v>34.299999999999997</v>
      </c>
      <c r="K700" s="127">
        <v>250</v>
      </c>
      <c r="AV700" s="127" t="s">
        <v>1389</v>
      </c>
      <c r="AW700" s="127">
        <v>1300</v>
      </c>
      <c r="AX700" s="127">
        <v>3900</v>
      </c>
      <c r="AY700" s="127">
        <v>3</v>
      </c>
      <c r="AZ700" s="127" t="s">
        <v>1390</v>
      </c>
      <c r="BA700" s="127">
        <v>2011</v>
      </c>
      <c r="BB700" s="127">
        <v>2014</v>
      </c>
      <c r="BD700" s="127" t="s">
        <v>1391</v>
      </c>
      <c r="BE700" s="127" t="s">
        <v>524</v>
      </c>
      <c r="BF700" s="127" t="s">
        <v>484</v>
      </c>
      <c r="BG700" s="127" t="s">
        <v>485</v>
      </c>
      <c r="BH700" s="127" t="s">
        <v>1392</v>
      </c>
      <c r="BI700" s="127" t="s">
        <v>486</v>
      </c>
      <c r="BJ700" s="127">
        <v>53333</v>
      </c>
      <c r="EI700" s="130"/>
      <c r="EJ700" s="130"/>
      <c r="EK700" s="130"/>
      <c r="EL700" s="130"/>
      <c r="EM700" s="130"/>
      <c r="EN700" s="130"/>
      <c r="EO700" s="130"/>
      <c r="EP700" s="130"/>
      <c r="EQ700" s="130"/>
      <c r="ER700" s="130"/>
      <c r="ES700" s="130"/>
      <c r="ET700" s="130"/>
      <c r="EU700" s="130"/>
      <c r="EV700" s="130"/>
      <c r="EW700" s="130"/>
      <c r="EX700" s="130"/>
      <c r="EY700" s="130"/>
      <c r="EZ700" s="130"/>
      <c r="FA700" s="130"/>
      <c r="FB700" s="130"/>
      <c r="FC700" s="130"/>
      <c r="FD700" s="130"/>
      <c r="FE700" s="130"/>
      <c r="FF700" s="130"/>
      <c r="FG700" s="130"/>
      <c r="FH700" s="130"/>
      <c r="FI700" s="130"/>
      <c r="FJ700" s="130"/>
      <c r="FK700" s="130"/>
      <c r="FL700" s="130"/>
      <c r="FM700" s="130"/>
      <c r="FN700" s="130"/>
      <c r="FO700" s="130"/>
      <c r="FP700" s="130"/>
      <c r="FQ700" s="130"/>
      <c r="FR700" s="130"/>
      <c r="FS700" s="130"/>
      <c r="FT700" s="130"/>
      <c r="FU700" s="130"/>
      <c r="FV700" s="130"/>
      <c r="FW700" s="130"/>
      <c r="FX700" s="130"/>
      <c r="FY700" s="130"/>
      <c r="FZ700" s="130"/>
      <c r="GA700" s="130"/>
      <c r="GB700" s="130"/>
      <c r="GC700" s="130"/>
      <c r="GD700" s="130"/>
      <c r="GE700" s="130"/>
      <c r="GF700" s="130"/>
      <c r="GG700" s="130"/>
      <c r="GH700" s="130"/>
      <c r="GI700" s="130"/>
      <c r="GJ700" s="130"/>
      <c r="GK700" s="130"/>
      <c r="GL700" s="130"/>
      <c r="GM700" s="130"/>
      <c r="GN700" s="130"/>
      <c r="GO700" s="130"/>
      <c r="GP700" s="130"/>
      <c r="GQ700" s="130"/>
      <c r="GR700" s="130"/>
      <c r="GS700" s="130"/>
      <c r="GT700" s="130"/>
      <c r="GU700" s="130"/>
      <c r="GV700" s="130"/>
      <c r="GW700" s="130"/>
      <c r="GX700" s="130"/>
      <c r="GY700" s="130"/>
      <c r="GZ700" s="130"/>
      <c r="HA700" s="130"/>
      <c r="HB700" s="130"/>
      <c r="HC700" s="130"/>
      <c r="HD700" s="130"/>
      <c r="HE700" s="130"/>
      <c r="HF700" s="130"/>
      <c r="HG700" s="130"/>
      <c r="HH700" s="130"/>
      <c r="HI700" s="130"/>
      <c r="HJ700" s="130"/>
      <c r="HK700" s="130" t="s">
        <v>1393</v>
      </c>
      <c r="HL700" s="130" t="s">
        <v>488</v>
      </c>
      <c r="HY700" s="128"/>
      <c r="IO700" s="127" t="s">
        <v>1391</v>
      </c>
      <c r="IP700" s="127" t="s">
        <v>492</v>
      </c>
      <c r="IS700" s="127">
        <v>2011</v>
      </c>
      <c r="JJ700" s="127" t="s">
        <v>1394</v>
      </c>
      <c r="JL700" s="127" t="s">
        <v>495</v>
      </c>
      <c r="JP700" s="127" t="s">
        <v>508</v>
      </c>
      <c r="JQ700" s="127">
        <v>309</v>
      </c>
      <c r="JR700" s="127">
        <v>93</v>
      </c>
      <c r="KE700" s="127" t="s">
        <v>1395</v>
      </c>
      <c r="KF700" s="127" t="s">
        <v>500</v>
      </c>
      <c r="KG700" s="127" t="s">
        <v>480</v>
      </c>
      <c r="KH700" s="127" t="s">
        <v>480</v>
      </c>
      <c r="KJ700" s="127" t="s">
        <v>501</v>
      </c>
      <c r="KK700" s="127" t="s">
        <v>1396</v>
      </c>
      <c r="KL700" s="127" t="s">
        <v>503</v>
      </c>
      <c r="KM700" s="127">
        <v>7.5</v>
      </c>
      <c r="KN700" s="127" t="s">
        <v>501</v>
      </c>
      <c r="KO700" s="127" t="s">
        <v>1397</v>
      </c>
      <c r="KP700" s="127" t="s">
        <v>503</v>
      </c>
      <c r="KQ700" s="127">
        <v>2</v>
      </c>
      <c r="MY700" s="127" t="s">
        <v>1398</v>
      </c>
      <c r="MZ700" s="127">
        <v>1300</v>
      </c>
      <c r="NA700" s="127" t="s">
        <v>1399</v>
      </c>
      <c r="NB700" s="127" t="s">
        <v>548</v>
      </c>
      <c r="NI700" s="127" t="s">
        <v>1436</v>
      </c>
      <c r="NJ700" s="127" t="s">
        <v>1442</v>
      </c>
      <c r="NK700" s="127" t="s">
        <v>1443</v>
      </c>
      <c r="NL700" s="127" t="s">
        <v>1444</v>
      </c>
      <c r="NM700" s="127" t="s">
        <v>516</v>
      </c>
      <c r="NU700" s="127" t="s">
        <v>657</v>
      </c>
      <c r="NV700" s="127" t="s">
        <v>518</v>
      </c>
      <c r="NW700" s="127">
        <v>1235.99</v>
      </c>
      <c r="NX700" s="127" t="s">
        <v>866</v>
      </c>
      <c r="NY700" s="127" t="s">
        <v>866</v>
      </c>
      <c r="OB700" s="127">
        <v>4</v>
      </c>
      <c r="OU700" s="127" t="s">
        <v>1402</v>
      </c>
      <c r="OV700" s="127" t="s">
        <v>1044</v>
      </c>
      <c r="OX700" s="127">
        <v>2011</v>
      </c>
      <c r="OY700" s="127">
        <v>2014</v>
      </c>
      <c r="PB700" s="127" t="s">
        <v>522</v>
      </c>
      <c r="PC700" s="128">
        <v>46134</v>
      </c>
    </row>
    <row r="701" spans="1:419" s="127" customFormat="1" ht="15.75" thickBot="1">
      <c r="A701" t="s">
        <v>469</v>
      </c>
      <c r="B701" s="127" t="s">
        <v>1386</v>
      </c>
      <c r="C701" s="127" t="s">
        <v>1387</v>
      </c>
      <c r="D701" s="127" t="s">
        <v>472</v>
      </c>
      <c r="E701" s="127" t="s">
        <v>1388</v>
      </c>
      <c r="F701" s="127" t="s">
        <v>474</v>
      </c>
      <c r="G701" s="127" t="s">
        <v>475</v>
      </c>
      <c r="H701" s="127" t="s">
        <v>476</v>
      </c>
      <c r="I701" s="127">
        <v>-13.06</v>
      </c>
      <c r="J701" s="127">
        <v>34.299999999999997</v>
      </c>
      <c r="K701" s="127">
        <v>250</v>
      </c>
      <c r="AV701" s="127" t="s">
        <v>1389</v>
      </c>
      <c r="AW701" s="127">
        <v>1300</v>
      </c>
      <c r="AX701" s="127">
        <v>3900</v>
      </c>
      <c r="AY701" s="127">
        <v>3</v>
      </c>
      <c r="AZ701" s="127" t="s">
        <v>1390</v>
      </c>
      <c r="BA701" s="127">
        <v>2011</v>
      </c>
      <c r="BB701" s="127">
        <v>2014</v>
      </c>
      <c r="BD701" s="127" t="s">
        <v>1403</v>
      </c>
      <c r="BE701" s="127" t="s">
        <v>536</v>
      </c>
      <c r="BF701" s="127" t="s">
        <v>484</v>
      </c>
      <c r="BG701" s="127" t="s">
        <v>1364</v>
      </c>
      <c r="BH701" s="127" t="s">
        <v>1404</v>
      </c>
      <c r="BI701" s="127" t="s">
        <v>486</v>
      </c>
      <c r="BJ701" s="127">
        <v>12300</v>
      </c>
      <c r="BK701" s="127" t="s">
        <v>537</v>
      </c>
      <c r="BL701" s="127" t="s">
        <v>1405</v>
      </c>
      <c r="BM701" s="127" t="s">
        <v>1406</v>
      </c>
      <c r="BN701" s="127" t="s">
        <v>486</v>
      </c>
      <c r="BO701" s="127">
        <v>24700</v>
      </c>
      <c r="BP701" s="127" t="s">
        <v>555</v>
      </c>
      <c r="BQ701" s="127" t="s">
        <v>538</v>
      </c>
      <c r="BR701" s="127" t="s">
        <v>1407</v>
      </c>
      <c r="BS701" s="127" t="s">
        <v>486</v>
      </c>
      <c r="BT701" s="127">
        <v>355556</v>
      </c>
      <c r="BU701" s="127" t="s">
        <v>537</v>
      </c>
      <c r="BV701" s="127" t="s">
        <v>1405</v>
      </c>
      <c r="BW701" s="127" t="s">
        <v>1406</v>
      </c>
      <c r="BX701" s="127" t="s">
        <v>486</v>
      </c>
      <c r="BY701" s="127">
        <v>24700</v>
      </c>
      <c r="BZ701" s="127" t="s">
        <v>555</v>
      </c>
      <c r="CA701" s="127" t="s">
        <v>485</v>
      </c>
      <c r="CB701" s="127" t="s">
        <v>1392</v>
      </c>
      <c r="CC701" s="127" t="s">
        <v>486</v>
      </c>
      <c r="CD701" s="127">
        <v>53333</v>
      </c>
      <c r="EI701" s="130"/>
      <c r="EJ701" s="130"/>
      <c r="EK701" s="130"/>
      <c r="EL701" s="130"/>
      <c r="EM701" s="130"/>
      <c r="EN701" s="130"/>
      <c r="EO701" s="130"/>
      <c r="EP701" s="130"/>
      <c r="EQ701" s="130"/>
      <c r="ER701" s="130"/>
      <c r="ES701" s="130"/>
      <c r="ET701" s="130"/>
      <c r="EU701" s="130"/>
      <c r="EV701" s="130"/>
      <c r="EW701" s="130"/>
      <c r="EX701" s="130"/>
      <c r="EY701" s="130"/>
      <c r="EZ701" s="130"/>
      <c r="FA701" s="130"/>
      <c r="FB701" s="130"/>
      <c r="FC701" s="130"/>
      <c r="FD701" s="130"/>
      <c r="FE701" s="130"/>
      <c r="FF701" s="130"/>
      <c r="FG701" s="130"/>
      <c r="FH701" s="130"/>
      <c r="FI701" s="130"/>
      <c r="FJ701" s="130"/>
      <c r="FK701" s="130"/>
      <c r="FL701" s="130"/>
      <c r="FM701" s="130"/>
      <c r="FN701" s="130"/>
      <c r="FO701" s="130"/>
      <c r="FP701" s="130"/>
      <c r="FQ701" s="130"/>
      <c r="FR701" s="130"/>
      <c r="FS701" s="130"/>
      <c r="FT701" s="130"/>
      <c r="FU701" s="130"/>
      <c r="FV701" s="130"/>
      <c r="FW701" s="130"/>
      <c r="FX701" s="130"/>
      <c r="FY701" s="130"/>
      <c r="FZ701" s="130"/>
      <c r="GA701" s="130"/>
      <c r="GB701" s="130"/>
      <c r="GC701" s="130"/>
      <c r="GD701" s="130"/>
      <c r="GE701" s="130"/>
      <c r="GF701" s="130"/>
      <c r="GG701" s="130"/>
      <c r="GH701" s="130"/>
      <c r="GI701" s="130"/>
      <c r="GJ701" s="130"/>
      <c r="GK701" s="130"/>
      <c r="GL701" s="130"/>
      <c r="GM701" s="130"/>
      <c r="GN701" s="130"/>
      <c r="GO701" s="130"/>
      <c r="GP701" s="130"/>
      <c r="GQ701" s="130"/>
      <c r="GR701" s="130"/>
      <c r="GS701" s="130"/>
      <c r="GT701" s="130"/>
      <c r="GU701" s="130"/>
      <c r="GV701" s="130"/>
      <c r="GW701" s="130"/>
      <c r="GX701" s="130"/>
      <c r="GY701" s="130"/>
      <c r="GZ701" s="130"/>
      <c r="HA701" s="130"/>
      <c r="HB701" s="130"/>
      <c r="HC701" s="130"/>
      <c r="HD701" s="130"/>
      <c r="HE701" s="130"/>
      <c r="HF701" s="130"/>
      <c r="HG701" s="130"/>
      <c r="HH701" s="130"/>
      <c r="HI701" s="130"/>
      <c r="HJ701" s="130"/>
      <c r="HK701" s="130" t="s">
        <v>1393</v>
      </c>
      <c r="HL701" s="130" t="s">
        <v>488</v>
      </c>
      <c r="HY701" s="128"/>
      <c r="IO701" s="127" t="s">
        <v>1403</v>
      </c>
      <c r="IP701" s="75" t="s">
        <v>558</v>
      </c>
      <c r="IQ701" s="127" t="s">
        <v>1408</v>
      </c>
      <c r="IS701" s="127">
        <v>2011</v>
      </c>
      <c r="IU701" s="127" t="s">
        <v>480</v>
      </c>
      <c r="JJ701" s="127" t="s">
        <v>1394</v>
      </c>
      <c r="JL701" s="127" t="s">
        <v>495</v>
      </c>
      <c r="JP701" s="127" t="s">
        <v>508</v>
      </c>
      <c r="JQ701" s="127">
        <v>103</v>
      </c>
      <c r="JR701" s="127">
        <v>31</v>
      </c>
      <c r="KE701" s="127" t="s">
        <v>1395</v>
      </c>
      <c r="KF701" s="127" t="s">
        <v>500</v>
      </c>
      <c r="KG701" s="127" t="s">
        <v>480</v>
      </c>
      <c r="KH701" s="127" t="s">
        <v>480</v>
      </c>
      <c r="KJ701" s="127" t="s">
        <v>501</v>
      </c>
      <c r="KK701" s="127" t="s">
        <v>1396</v>
      </c>
      <c r="KL701" s="127" t="s">
        <v>503</v>
      </c>
      <c r="KM701" s="127">
        <v>7.5</v>
      </c>
      <c r="KN701" s="127" t="s">
        <v>501</v>
      </c>
      <c r="KO701" s="127" t="s">
        <v>1397</v>
      </c>
      <c r="KP701" s="127" t="s">
        <v>503</v>
      </c>
      <c r="KQ701" s="127">
        <v>1</v>
      </c>
      <c r="KR701" s="127" t="s">
        <v>545</v>
      </c>
      <c r="KS701" s="127" t="s">
        <v>1409</v>
      </c>
      <c r="KT701" s="127" t="s">
        <v>1410</v>
      </c>
      <c r="KU701" s="127">
        <v>100</v>
      </c>
      <c r="MY701" s="127" t="s">
        <v>1398</v>
      </c>
      <c r="MZ701" s="127">
        <v>1300</v>
      </c>
      <c r="NA701" s="127" t="s">
        <v>1411</v>
      </c>
      <c r="NB701" s="127" t="s">
        <v>548</v>
      </c>
      <c r="NC701" s="127" t="s">
        <v>1412</v>
      </c>
      <c r="ND701" s="127" t="s">
        <v>1413</v>
      </c>
      <c r="NE701" s="127" t="s">
        <v>1414</v>
      </c>
      <c r="NI701" s="127" t="s">
        <v>1440</v>
      </c>
      <c r="NJ701" s="127" t="s">
        <v>1442</v>
      </c>
      <c r="NK701" s="127" t="s">
        <v>1443</v>
      </c>
      <c r="NL701" s="127" t="s">
        <v>1444</v>
      </c>
      <c r="NM701" s="127" t="s">
        <v>516</v>
      </c>
      <c r="NV701" s="127" t="s">
        <v>518</v>
      </c>
      <c r="NW701" s="127">
        <v>687.93</v>
      </c>
      <c r="NX701" s="127" t="s">
        <v>866</v>
      </c>
      <c r="NY701" s="127" t="s">
        <v>866</v>
      </c>
      <c r="OB701" s="127">
        <v>4</v>
      </c>
      <c r="OU701" s="127" t="s">
        <v>1402</v>
      </c>
      <c r="OV701" s="127" t="s">
        <v>1044</v>
      </c>
      <c r="OX701" s="127">
        <v>2011</v>
      </c>
      <c r="OY701" s="127">
        <v>2014</v>
      </c>
      <c r="PB701" s="127" t="s">
        <v>522</v>
      </c>
      <c r="PC701" s="128">
        <v>46134</v>
      </c>
    </row>
    <row r="702" spans="1:419" s="127" customFormat="1" ht="15.75" thickBot="1">
      <c r="A702" t="s">
        <v>469</v>
      </c>
      <c r="B702" s="127" t="s">
        <v>1386</v>
      </c>
      <c r="C702" s="127" t="s">
        <v>1387</v>
      </c>
      <c r="D702" s="127" t="s">
        <v>472</v>
      </c>
      <c r="E702" s="127" t="s">
        <v>1388</v>
      </c>
      <c r="F702" s="127" t="s">
        <v>474</v>
      </c>
      <c r="G702" s="127" t="s">
        <v>475</v>
      </c>
      <c r="H702" s="127" t="s">
        <v>476</v>
      </c>
      <c r="I702" s="127">
        <v>-13.06</v>
      </c>
      <c r="J702" s="127">
        <v>34.299999999999997</v>
      </c>
      <c r="K702" s="127">
        <v>250</v>
      </c>
      <c r="AV702" s="127" t="s">
        <v>1389</v>
      </c>
      <c r="AW702" s="127">
        <v>1300</v>
      </c>
      <c r="AX702" s="127">
        <v>3900</v>
      </c>
      <c r="AY702" s="127">
        <v>3</v>
      </c>
      <c r="AZ702" s="127" t="s">
        <v>1390</v>
      </c>
      <c r="BA702" s="127">
        <v>2011</v>
      </c>
      <c r="BB702" s="127">
        <v>2014</v>
      </c>
      <c r="BD702" s="127" t="s">
        <v>1415</v>
      </c>
      <c r="BE702" s="127" t="s">
        <v>566</v>
      </c>
      <c r="BF702" s="127" t="s">
        <v>484</v>
      </c>
      <c r="BG702" s="127" t="s">
        <v>1364</v>
      </c>
      <c r="BH702" s="127" t="s">
        <v>1404</v>
      </c>
      <c r="BI702" s="127" t="s">
        <v>486</v>
      </c>
      <c r="BJ702" s="127">
        <v>12300</v>
      </c>
      <c r="BK702" s="127" t="s">
        <v>555</v>
      </c>
      <c r="BL702" s="127" t="s">
        <v>554</v>
      </c>
      <c r="BM702" s="127" t="s">
        <v>1416</v>
      </c>
      <c r="BN702" s="127" t="s">
        <v>486</v>
      </c>
      <c r="BO702" s="127">
        <v>266667</v>
      </c>
      <c r="BP702" s="127" t="s">
        <v>555</v>
      </c>
      <c r="BQ702" s="127" t="s">
        <v>485</v>
      </c>
      <c r="BR702" s="127" t="s">
        <v>1392</v>
      </c>
      <c r="BS702" s="127" t="s">
        <v>486</v>
      </c>
      <c r="BT702" s="127">
        <v>53333</v>
      </c>
      <c r="EI702" s="130"/>
      <c r="EJ702" s="130"/>
      <c r="EK702" s="130"/>
      <c r="EL702" s="130"/>
      <c r="EM702" s="130"/>
      <c r="EN702" s="130"/>
      <c r="EO702" s="130"/>
      <c r="EP702" s="130"/>
      <c r="EQ702" s="130"/>
      <c r="ER702" s="130"/>
      <c r="ES702" s="130"/>
      <c r="ET702" s="130"/>
      <c r="EU702" s="130"/>
      <c r="EV702" s="130"/>
      <c r="EW702" s="130"/>
      <c r="EX702" s="130"/>
      <c r="EY702" s="130"/>
      <c r="EZ702" s="130"/>
      <c r="FA702" s="130"/>
      <c r="FB702" s="130"/>
      <c r="FC702" s="130"/>
      <c r="FD702" s="130"/>
      <c r="FE702" s="130"/>
      <c r="FF702" s="130"/>
      <c r="FG702" s="130"/>
      <c r="FH702" s="130"/>
      <c r="FI702" s="130"/>
      <c r="FJ702" s="130"/>
      <c r="FK702" s="130"/>
      <c r="FL702" s="130"/>
      <c r="FM702" s="130"/>
      <c r="FN702" s="130"/>
      <c r="FO702" s="130"/>
      <c r="FP702" s="130"/>
      <c r="FQ702" s="130"/>
      <c r="FR702" s="130"/>
      <c r="FS702" s="130"/>
      <c r="FT702" s="130"/>
      <c r="FU702" s="130"/>
      <c r="FV702" s="130"/>
      <c r="FW702" s="130"/>
      <c r="FX702" s="130"/>
      <c r="FY702" s="130"/>
      <c r="FZ702" s="130"/>
      <c r="GA702" s="130"/>
      <c r="GB702" s="130"/>
      <c r="GC702" s="130"/>
      <c r="GD702" s="130"/>
      <c r="GE702" s="130"/>
      <c r="GF702" s="130"/>
      <c r="GG702" s="130"/>
      <c r="GH702" s="130"/>
      <c r="GI702" s="130"/>
      <c r="GJ702" s="130"/>
      <c r="GK702" s="130"/>
      <c r="GL702" s="130"/>
      <c r="GM702" s="130"/>
      <c r="GN702" s="130"/>
      <c r="GO702" s="130"/>
      <c r="GP702" s="130"/>
      <c r="GQ702" s="130"/>
      <c r="GR702" s="130"/>
      <c r="GS702" s="130"/>
      <c r="GT702" s="130"/>
      <c r="GU702" s="130"/>
      <c r="GV702" s="130"/>
      <c r="GW702" s="130"/>
      <c r="GX702" s="130"/>
      <c r="GY702" s="130"/>
      <c r="GZ702" s="130"/>
      <c r="HA702" s="130"/>
      <c r="HB702" s="130"/>
      <c r="HC702" s="130"/>
      <c r="HD702" s="130"/>
      <c r="HE702" s="130"/>
      <c r="HF702" s="130"/>
      <c r="HG702" s="130"/>
      <c r="HH702" s="130"/>
      <c r="HI702" s="130"/>
      <c r="HJ702" s="130"/>
      <c r="HK702" s="130" t="s">
        <v>1417</v>
      </c>
      <c r="HL702" s="130" t="s">
        <v>526</v>
      </c>
      <c r="HM702" s="127" t="s">
        <v>480</v>
      </c>
      <c r="HN702" s="127" t="s">
        <v>480</v>
      </c>
      <c r="HO702" s="127" t="s">
        <v>480</v>
      </c>
      <c r="HP702" s="127" t="s">
        <v>480</v>
      </c>
      <c r="HY702" s="128"/>
      <c r="IO702" s="127" t="s">
        <v>1415</v>
      </c>
      <c r="IP702" s="75" t="s">
        <v>558</v>
      </c>
      <c r="IS702" s="127">
        <v>2011</v>
      </c>
      <c r="IU702" s="127" t="s">
        <v>480</v>
      </c>
      <c r="JJ702" s="127" t="s">
        <v>1394</v>
      </c>
      <c r="JL702" s="127" t="s">
        <v>495</v>
      </c>
      <c r="JP702" s="127" t="s">
        <v>508</v>
      </c>
      <c r="JQ702" s="127">
        <v>124</v>
      </c>
      <c r="JR702" s="127">
        <v>50</v>
      </c>
      <c r="KE702" s="127" t="s">
        <v>1395</v>
      </c>
      <c r="KF702" s="127" t="s">
        <v>500</v>
      </c>
      <c r="KG702" s="127" t="s">
        <v>480</v>
      </c>
      <c r="KH702" s="127" t="s">
        <v>480</v>
      </c>
      <c r="KJ702" s="127" t="s">
        <v>530</v>
      </c>
      <c r="MY702" s="127" t="s">
        <v>1398</v>
      </c>
      <c r="MZ702" s="127">
        <v>1300</v>
      </c>
      <c r="NA702" s="127" t="s">
        <v>1418</v>
      </c>
      <c r="NB702" s="127" t="s">
        <v>548</v>
      </c>
      <c r="NC702" s="127" t="s">
        <v>1412</v>
      </c>
      <c r="ND702" s="127" t="s">
        <v>554</v>
      </c>
      <c r="NI702" s="127" t="s">
        <v>1441</v>
      </c>
      <c r="NJ702" s="127" t="s">
        <v>1442</v>
      </c>
      <c r="NK702" s="127" t="s">
        <v>1443</v>
      </c>
      <c r="NL702" s="127" t="s">
        <v>1444</v>
      </c>
      <c r="NM702" s="127" t="s">
        <v>516</v>
      </c>
      <c r="NV702" s="127" t="s">
        <v>518</v>
      </c>
      <c r="NW702" s="127">
        <v>724.01</v>
      </c>
      <c r="NX702" s="127" t="s">
        <v>866</v>
      </c>
      <c r="NY702" s="127" t="s">
        <v>866</v>
      </c>
      <c r="OB702" s="127">
        <v>4</v>
      </c>
      <c r="OU702" s="127" t="s">
        <v>1402</v>
      </c>
      <c r="OV702" s="127" t="s">
        <v>1044</v>
      </c>
      <c r="OX702" s="127">
        <v>2011</v>
      </c>
      <c r="OY702" s="127">
        <v>2014</v>
      </c>
      <c r="PB702" s="127" t="s">
        <v>522</v>
      </c>
      <c r="PC702" s="128">
        <v>46134</v>
      </c>
    </row>
    <row r="703" spans="1:419" s="127" customFormat="1" ht="15.75" thickBot="1">
      <c r="A703" s="78" t="s">
        <v>469</v>
      </c>
      <c r="B703" s="127" t="s">
        <v>1386</v>
      </c>
      <c r="C703" s="127" t="s">
        <v>1387</v>
      </c>
      <c r="D703" s="127" t="s">
        <v>472</v>
      </c>
      <c r="E703" s="127" t="s">
        <v>1419</v>
      </c>
      <c r="F703" s="127" t="s">
        <v>474</v>
      </c>
      <c r="G703" s="127" t="s">
        <v>475</v>
      </c>
      <c r="H703" s="127" t="s">
        <v>476</v>
      </c>
      <c r="I703" s="127">
        <v>-13.47</v>
      </c>
      <c r="J703" s="127">
        <v>33.71</v>
      </c>
      <c r="K703" s="127">
        <v>200</v>
      </c>
      <c r="AV703" s="127" t="s">
        <v>1389</v>
      </c>
      <c r="AW703" s="127">
        <v>2500</v>
      </c>
      <c r="AX703" s="127">
        <v>7500</v>
      </c>
      <c r="AY703" s="127">
        <v>3</v>
      </c>
      <c r="AZ703" s="127" t="s">
        <v>1390</v>
      </c>
      <c r="BA703" s="127">
        <v>2011</v>
      </c>
      <c r="BB703" s="127">
        <v>2014</v>
      </c>
      <c r="BD703" s="127" t="s">
        <v>1391</v>
      </c>
      <c r="BE703" s="127" t="s">
        <v>483</v>
      </c>
      <c r="BF703" s="127" t="s">
        <v>484</v>
      </c>
      <c r="BG703" s="127" t="s">
        <v>485</v>
      </c>
      <c r="BH703" s="127" t="s">
        <v>1392</v>
      </c>
      <c r="BI703" s="127" t="s">
        <v>486</v>
      </c>
      <c r="BJ703" s="127">
        <v>53333</v>
      </c>
      <c r="EI703" s="130"/>
      <c r="EJ703" s="130"/>
      <c r="EK703" s="130"/>
      <c r="EL703" s="130"/>
      <c r="EM703" s="130"/>
      <c r="EN703" s="130"/>
      <c r="EO703" s="130"/>
      <c r="EP703" s="130"/>
      <c r="EQ703" s="130"/>
      <c r="ER703" s="130"/>
      <c r="ES703" s="130"/>
      <c r="ET703" s="130"/>
      <c r="EU703" s="130"/>
      <c r="EV703" s="130"/>
      <c r="EW703" s="130"/>
      <c r="EX703" s="130"/>
      <c r="EY703" s="130"/>
      <c r="EZ703" s="130"/>
      <c r="FA703" s="130"/>
      <c r="FB703" s="130"/>
      <c r="FC703" s="130"/>
      <c r="FD703" s="130"/>
      <c r="FE703" s="130"/>
      <c r="FF703" s="130"/>
      <c r="FG703" s="130"/>
      <c r="FH703" s="130"/>
      <c r="FI703" s="130"/>
      <c r="FJ703" s="130"/>
      <c r="FK703" s="130"/>
      <c r="FL703" s="130"/>
      <c r="FM703" s="130"/>
      <c r="FN703" s="130"/>
      <c r="FO703" s="130"/>
      <c r="FP703" s="130"/>
      <c r="FQ703" s="130"/>
      <c r="FR703" s="130"/>
      <c r="FS703" s="130"/>
      <c r="FT703" s="130"/>
      <c r="FU703" s="130"/>
      <c r="FV703" s="130"/>
      <c r="FW703" s="130"/>
      <c r="FX703" s="130"/>
      <c r="FY703" s="130"/>
      <c r="FZ703" s="130"/>
      <c r="GA703" s="130"/>
      <c r="GB703" s="130"/>
      <c r="GC703" s="130"/>
      <c r="GD703" s="130"/>
      <c r="GE703" s="130"/>
      <c r="GF703" s="130"/>
      <c r="GG703" s="130"/>
      <c r="GH703" s="130"/>
      <c r="GI703" s="130"/>
      <c r="GJ703" s="130"/>
      <c r="GK703" s="130"/>
      <c r="GL703" s="130"/>
      <c r="GM703" s="130"/>
      <c r="GN703" s="130"/>
      <c r="GO703" s="130"/>
      <c r="GP703" s="130"/>
      <c r="GQ703" s="130"/>
      <c r="GR703" s="130"/>
      <c r="GS703" s="130"/>
      <c r="GT703" s="130"/>
      <c r="GU703" s="130"/>
      <c r="GV703" s="130"/>
      <c r="GW703" s="130"/>
      <c r="GX703" s="130"/>
      <c r="GY703" s="130"/>
      <c r="GZ703" s="130"/>
      <c r="HA703" s="130"/>
      <c r="HB703" s="130"/>
      <c r="HC703" s="130"/>
      <c r="HD703" s="130"/>
      <c r="HE703" s="130"/>
      <c r="HF703" s="130"/>
      <c r="HG703" s="130"/>
      <c r="HH703" s="130"/>
      <c r="HI703" s="130"/>
      <c r="HJ703" s="130"/>
      <c r="HK703" s="130" t="s">
        <v>1393</v>
      </c>
      <c r="HL703" s="130" t="s">
        <v>488</v>
      </c>
      <c r="HY703" s="128"/>
      <c r="IO703" s="127" t="s">
        <v>1391</v>
      </c>
      <c r="IP703" s="127" t="s">
        <v>492</v>
      </c>
      <c r="IS703" s="127">
        <v>2011</v>
      </c>
      <c r="JJ703" s="127" t="s">
        <v>1394</v>
      </c>
      <c r="JL703" s="127" t="s">
        <v>495</v>
      </c>
      <c r="JP703" s="127" t="s">
        <v>508</v>
      </c>
      <c r="JQ703" s="127">
        <v>309</v>
      </c>
      <c r="JR703" s="127">
        <v>93</v>
      </c>
      <c r="KE703" s="127" t="s">
        <v>1395</v>
      </c>
      <c r="KF703" s="127" t="s">
        <v>500</v>
      </c>
      <c r="KG703" s="127" t="s">
        <v>480</v>
      </c>
      <c r="KH703" s="127" t="s">
        <v>480</v>
      </c>
      <c r="KJ703" s="127" t="s">
        <v>501</v>
      </c>
      <c r="KK703" s="127" t="s">
        <v>1396</v>
      </c>
      <c r="KL703" s="127" t="s">
        <v>503</v>
      </c>
      <c r="KM703" s="127">
        <v>7.5</v>
      </c>
      <c r="KN703" s="127" t="s">
        <v>501</v>
      </c>
      <c r="KO703" s="127" t="s">
        <v>1397</v>
      </c>
      <c r="KP703" s="127" t="s">
        <v>503</v>
      </c>
      <c r="KQ703" s="127">
        <v>2</v>
      </c>
      <c r="MY703" s="127" t="s">
        <v>1398</v>
      </c>
      <c r="MZ703" s="127">
        <v>2500</v>
      </c>
      <c r="NA703" s="127" t="s">
        <v>1399</v>
      </c>
      <c r="NB703" s="127" t="s">
        <v>548</v>
      </c>
      <c r="NI703" s="127" t="s">
        <v>1436</v>
      </c>
      <c r="NJ703" s="127" t="s">
        <v>1442</v>
      </c>
      <c r="NK703" s="127" t="s">
        <v>1443</v>
      </c>
      <c r="NL703" s="127" t="s">
        <v>1444</v>
      </c>
      <c r="NM703" s="127" t="s">
        <v>516</v>
      </c>
      <c r="NU703" s="127" t="s">
        <v>1420</v>
      </c>
      <c r="NV703" s="127" t="s">
        <v>518</v>
      </c>
      <c r="NW703" s="127">
        <v>1360.27</v>
      </c>
      <c r="NX703" s="127" t="s">
        <v>866</v>
      </c>
      <c r="NY703" s="127" t="s">
        <v>866</v>
      </c>
      <c r="OB703" s="127">
        <v>4</v>
      </c>
      <c r="OU703" s="127" t="s">
        <v>1421</v>
      </c>
      <c r="OV703" s="127" t="s">
        <v>1044</v>
      </c>
      <c r="OX703" s="127">
        <v>2011</v>
      </c>
      <c r="OY703" s="127">
        <v>2014</v>
      </c>
      <c r="PB703" s="127" t="s">
        <v>522</v>
      </c>
      <c r="PC703" s="128">
        <v>46134</v>
      </c>
    </row>
    <row r="704" spans="1:419" s="127" customFormat="1" ht="15.75" thickBot="1">
      <c r="A704" t="s">
        <v>469</v>
      </c>
      <c r="B704" s="127" t="s">
        <v>1386</v>
      </c>
      <c r="C704" s="127" t="s">
        <v>1387</v>
      </c>
      <c r="D704" s="127" t="s">
        <v>472</v>
      </c>
      <c r="E704" s="127" t="s">
        <v>1419</v>
      </c>
      <c r="F704" s="127" t="s">
        <v>474</v>
      </c>
      <c r="G704" s="127" t="s">
        <v>475</v>
      </c>
      <c r="H704" s="127" t="s">
        <v>476</v>
      </c>
      <c r="I704" s="127">
        <v>-13.47</v>
      </c>
      <c r="J704" s="127">
        <v>33.71</v>
      </c>
      <c r="K704" s="127">
        <v>200</v>
      </c>
      <c r="AV704" s="127" t="s">
        <v>1389</v>
      </c>
      <c r="AW704" s="127">
        <v>2500</v>
      </c>
      <c r="AX704" s="127">
        <v>7500</v>
      </c>
      <c r="AY704" s="127">
        <v>3</v>
      </c>
      <c r="AZ704" s="127" t="s">
        <v>1390</v>
      </c>
      <c r="BA704" s="127">
        <v>2011</v>
      </c>
      <c r="BB704" s="127">
        <v>2014</v>
      </c>
      <c r="BD704" s="127" t="s">
        <v>1422</v>
      </c>
      <c r="BE704" s="127" t="s">
        <v>572</v>
      </c>
      <c r="BF704" s="127" t="s">
        <v>484</v>
      </c>
      <c r="BG704" s="127" t="s">
        <v>1423</v>
      </c>
      <c r="BH704" s="127" t="s">
        <v>1424</v>
      </c>
      <c r="BI704" s="127" t="s">
        <v>486</v>
      </c>
      <c r="BJ704" s="127">
        <v>3700</v>
      </c>
      <c r="BK704" s="127" t="s">
        <v>537</v>
      </c>
      <c r="BL704" s="127" t="s">
        <v>1405</v>
      </c>
      <c r="BM704" s="127" t="s">
        <v>1406</v>
      </c>
      <c r="BN704" s="127" t="s">
        <v>486</v>
      </c>
      <c r="BO704" s="127">
        <v>18500</v>
      </c>
      <c r="BP704" s="127" t="s">
        <v>555</v>
      </c>
      <c r="BQ704" s="127" t="s">
        <v>1425</v>
      </c>
      <c r="BR704" s="127" t="s">
        <v>1426</v>
      </c>
      <c r="BS704" s="127" t="s">
        <v>486</v>
      </c>
      <c r="BT704" s="127">
        <v>222200</v>
      </c>
      <c r="BU704" s="127" t="s">
        <v>555</v>
      </c>
      <c r="BV704" s="127" t="s">
        <v>485</v>
      </c>
      <c r="BW704" s="127" t="s">
        <v>1392</v>
      </c>
      <c r="BX704" s="127" t="s">
        <v>486</v>
      </c>
      <c r="BY704" s="127">
        <v>53333</v>
      </c>
      <c r="EI704" s="130"/>
      <c r="EJ704" s="130"/>
      <c r="EK704" s="130"/>
      <c r="EL704" s="130"/>
      <c r="EM704" s="130"/>
      <c r="EN704" s="130"/>
      <c r="EO704" s="130"/>
      <c r="EP704" s="130"/>
      <c r="EQ704" s="130"/>
      <c r="ER704" s="130"/>
      <c r="ES704" s="130"/>
      <c r="ET704" s="130"/>
      <c r="EU704" s="130"/>
      <c r="EV704" s="130"/>
      <c r="EW704" s="130"/>
      <c r="EX704" s="130"/>
      <c r="EY704" s="130"/>
      <c r="EZ704" s="130"/>
      <c r="FA704" s="130"/>
      <c r="FB704" s="130"/>
      <c r="FC704" s="130"/>
      <c r="FD704" s="130"/>
      <c r="FE704" s="130"/>
      <c r="FF704" s="130"/>
      <c r="FG704" s="130"/>
      <c r="FH704" s="130"/>
      <c r="FI704" s="130"/>
      <c r="FJ704" s="130"/>
      <c r="FK704" s="130"/>
      <c r="FL704" s="130"/>
      <c r="FM704" s="130"/>
      <c r="FN704" s="130"/>
      <c r="FO704" s="130"/>
      <c r="FP704" s="130"/>
      <c r="FQ704" s="130"/>
      <c r="FR704" s="130"/>
      <c r="FS704" s="130"/>
      <c r="FT704" s="130"/>
      <c r="FU704" s="130"/>
      <c r="FV704" s="130"/>
      <c r="FW704" s="130"/>
      <c r="FX704" s="130"/>
      <c r="FY704" s="130"/>
      <c r="FZ704" s="130"/>
      <c r="GA704" s="130"/>
      <c r="GB704" s="130"/>
      <c r="GC704" s="130"/>
      <c r="GD704" s="130"/>
      <c r="GE704" s="130"/>
      <c r="GF704" s="130"/>
      <c r="GG704" s="130"/>
      <c r="GH704" s="130"/>
      <c r="GI704" s="130"/>
      <c r="GJ704" s="130"/>
      <c r="GK704" s="130"/>
      <c r="GL704" s="130"/>
      <c r="GM704" s="130"/>
      <c r="GN704" s="130"/>
      <c r="GO704" s="130"/>
      <c r="GP704" s="130"/>
      <c r="GQ704" s="130"/>
      <c r="GR704" s="130"/>
      <c r="GS704" s="130"/>
      <c r="GT704" s="130"/>
      <c r="GU704" s="130"/>
      <c r="GV704" s="130"/>
      <c r="GW704" s="130"/>
      <c r="GX704" s="130"/>
      <c r="GY704" s="130"/>
      <c r="GZ704" s="130"/>
      <c r="HA704" s="130"/>
      <c r="HB704" s="130"/>
      <c r="HC704" s="130"/>
      <c r="HD704" s="130"/>
      <c r="HE704" s="130"/>
      <c r="HF704" s="130"/>
      <c r="HG704" s="130"/>
      <c r="HH704" s="130"/>
      <c r="HI704" s="130"/>
      <c r="HJ704" s="130"/>
      <c r="HK704" s="130" t="s">
        <v>1393</v>
      </c>
      <c r="HL704" s="130" t="s">
        <v>488</v>
      </c>
      <c r="HY704" s="128"/>
      <c r="IO704" s="127" t="s">
        <v>1422</v>
      </c>
      <c r="IP704" s="75" t="s">
        <v>558</v>
      </c>
      <c r="IQ704" s="127" t="s">
        <v>1408</v>
      </c>
      <c r="IS704" s="127">
        <v>2011</v>
      </c>
      <c r="IU704" s="127" t="s">
        <v>480</v>
      </c>
      <c r="JJ704" s="127" t="s">
        <v>1394</v>
      </c>
      <c r="JL704" s="127" t="s">
        <v>495</v>
      </c>
      <c r="JP704" s="127" t="s">
        <v>508</v>
      </c>
      <c r="JQ704" s="127">
        <v>131</v>
      </c>
      <c r="JR704" s="127">
        <v>59</v>
      </c>
      <c r="KE704" s="127" t="s">
        <v>1395</v>
      </c>
      <c r="KF704" s="127" t="s">
        <v>500</v>
      </c>
      <c r="KG704" s="127" t="s">
        <v>480</v>
      </c>
      <c r="KH704" s="127" t="s">
        <v>480</v>
      </c>
      <c r="KJ704" s="127" t="s">
        <v>501</v>
      </c>
      <c r="KK704" s="127" t="s">
        <v>1396</v>
      </c>
      <c r="KL704" s="127" t="s">
        <v>503</v>
      </c>
      <c r="KM704" s="127">
        <v>7.5</v>
      </c>
      <c r="KN704" s="127" t="s">
        <v>501</v>
      </c>
      <c r="KO704" s="127" t="s">
        <v>1397</v>
      </c>
      <c r="KP704" s="127" t="s">
        <v>503</v>
      </c>
      <c r="KQ704" s="127">
        <v>1</v>
      </c>
      <c r="MY704" s="127" t="s">
        <v>1398</v>
      </c>
      <c r="MZ704" s="127">
        <v>2500</v>
      </c>
      <c r="NA704" s="127" t="s">
        <v>1427</v>
      </c>
      <c r="NB704" s="127" t="s">
        <v>548</v>
      </c>
      <c r="NC704" s="127" t="s">
        <v>1428</v>
      </c>
      <c r="ND704" s="127" t="s">
        <v>1413</v>
      </c>
      <c r="NE704" s="127" t="s">
        <v>1429</v>
      </c>
      <c r="NI704" s="127" t="s">
        <v>1436</v>
      </c>
      <c r="NJ704" s="127" t="s">
        <v>1442</v>
      </c>
      <c r="NK704" s="127" t="s">
        <v>1443</v>
      </c>
      <c r="NL704" s="127" t="s">
        <v>1444</v>
      </c>
      <c r="NM704" s="127" t="s">
        <v>516</v>
      </c>
      <c r="NV704" s="127" t="s">
        <v>518</v>
      </c>
      <c r="NW704" s="127">
        <v>968.97</v>
      </c>
      <c r="NX704" s="127" t="s">
        <v>866</v>
      </c>
      <c r="NY704" s="127" t="s">
        <v>866</v>
      </c>
      <c r="OB704" s="127">
        <v>4</v>
      </c>
      <c r="OU704" s="127" t="s">
        <v>1421</v>
      </c>
      <c r="OV704" s="127" t="s">
        <v>1044</v>
      </c>
      <c r="OX704" s="127">
        <v>2011</v>
      </c>
      <c r="OY704" s="127">
        <v>2014</v>
      </c>
      <c r="PB704" s="127" t="s">
        <v>522</v>
      </c>
      <c r="PC704" s="128">
        <v>46134</v>
      </c>
    </row>
    <row r="705" spans="1:419" s="127" customFormat="1" ht="15.75" thickBot="1">
      <c r="A705" t="s">
        <v>469</v>
      </c>
      <c r="B705" s="127" t="s">
        <v>1386</v>
      </c>
      <c r="C705" s="127" t="s">
        <v>1387</v>
      </c>
      <c r="D705" s="127" t="s">
        <v>472</v>
      </c>
      <c r="E705" s="127" t="s">
        <v>1419</v>
      </c>
      <c r="F705" s="127" t="s">
        <v>474</v>
      </c>
      <c r="G705" s="127" t="s">
        <v>475</v>
      </c>
      <c r="H705" s="127" t="s">
        <v>476</v>
      </c>
      <c r="I705" s="127">
        <v>-13.47</v>
      </c>
      <c r="J705" s="127">
        <v>33.71</v>
      </c>
      <c r="K705" s="127">
        <v>200</v>
      </c>
      <c r="AV705" s="127" t="s">
        <v>1389</v>
      </c>
      <c r="AW705" s="127">
        <v>2500</v>
      </c>
      <c r="AX705" s="127">
        <v>7500</v>
      </c>
      <c r="AY705" s="127">
        <v>3</v>
      </c>
      <c r="AZ705" s="127" t="s">
        <v>1390</v>
      </c>
      <c r="BA705" s="127">
        <v>2011</v>
      </c>
      <c r="BB705" s="127">
        <v>2014</v>
      </c>
      <c r="BD705" s="127" t="s">
        <v>1430</v>
      </c>
      <c r="BE705" s="127" t="s">
        <v>553</v>
      </c>
      <c r="BF705" s="127" t="s">
        <v>484</v>
      </c>
      <c r="BG705" s="127" t="s">
        <v>1423</v>
      </c>
      <c r="BH705" s="127" t="s">
        <v>1424</v>
      </c>
      <c r="BI705" s="127" t="s">
        <v>486</v>
      </c>
      <c r="BJ705" s="127">
        <v>3700</v>
      </c>
      <c r="BK705" s="127" t="s">
        <v>555</v>
      </c>
      <c r="BL705" s="127" t="s">
        <v>1425</v>
      </c>
      <c r="BM705" s="127" t="s">
        <v>1426</v>
      </c>
      <c r="BN705" s="127" t="s">
        <v>486</v>
      </c>
      <c r="BO705" s="127">
        <v>177800</v>
      </c>
      <c r="BP705" s="127" t="s">
        <v>555</v>
      </c>
      <c r="BQ705" s="127" t="s">
        <v>485</v>
      </c>
      <c r="BR705" s="127" t="s">
        <v>1392</v>
      </c>
      <c r="BS705" s="127" t="s">
        <v>486</v>
      </c>
      <c r="BT705" s="127">
        <v>53333</v>
      </c>
      <c r="EI705" s="130"/>
      <c r="EJ705" s="130"/>
      <c r="EK705" s="130"/>
      <c r="EL705" s="130"/>
      <c r="EM705" s="130"/>
      <c r="EN705" s="130"/>
      <c r="EO705" s="130"/>
      <c r="EP705" s="130"/>
      <c r="EQ705" s="130"/>
      <c r="ER705" s="130"/>
      <c r="ES705" s="130"/>
      <c r="ET705" s="130"/>
      <c r="EU705" s="130"/>
      <c r="EV705" s="130"/>
      <c r="EW705" s="130"/>
      <c r="EX705" s="130"/>
      <c r="EY705" s="130"/>
      <c r="EZ705" s="130"/>
      <c r="FA705" s="130"/>
      <c r="FB705" s="130"/>
      <c r="FC705" s="130"/>
      <c r="FD705" s="130"/>
      <c r="FE705" s="130"/>
      <c r="FF705" s="130"/>
      <c r="FG705" s="130"/>
      <c r="FH705" s="130"/>
      <c r="FI705" s="130"/>
      <c r="FJ705" s="130"/>
      <c r="FK705" s="130"/>
      <c r="FL705" s="130"/>
      <c r="FM705" s="130"/>
      <c r="FN705" s="130"/>
      <c r="FO705" s="130"/>
      <c r="FP705" s="130"/>
      <c r="FQ705" s="130"/>
      <c r="FR705" s="130"/>
      <c r="FS705" s="130"/>
      <c r="FT705" s="130"/>
      <c r="FU705" s="130"/>
      <c r="FV705" s="130"/>
      <c r="FW705" s="130"/>
      <c r="FX705" s="130"/>
      <c r="FY705" s="130"/>
      <c r="FZ705" s="130"/>
      <c r="GA705" s="130"/>
      <c r="GB705" s="130"/>
      <c r="GC705" s="130"/>
      <c r="GD705" s="130"/>
      <c r="GE705" s="130"/>
      <c r="GF705" s="130"/>
      <c r="GG705" s="130"/>
      <c r="GH705" s="130"/>
      <c r="GI705" s="130"/>
      <c r="GJ705" s="130"/>
      <c r="GK705" s="130"/>
      <c r="GL705" s="130"/>
      <c r="GM705" s="130"/>
      <c r="GN705" s="130"/>
      <c r="GO705" s="130"/>
      <c r="GP705" s="130"/>
      <c r="GQ705" s="130"/>
      <c r="GR705" s="130"/>
      <c r="GS705" s="130"/>
      <c r="GT705" s="130"/>
      <c r="GU705" s="130"/>
      <c r="GV705" s="130"/>
      <c r="GW705" s="130"/>
      <c r="GX705" s="130"/>
      <c r="GY705" s="130"/>
      <c r="GZ705" s="130"/>
      <c r="HA705" s="130"/>
      <c r="HB705" s="130"/>
      <c r="HC705" s="130"/>
      <c r="HD705" s="130"/>
      <c r="HE705" s="130"/>
      <c r="HF705" s="130"/>
      <c r="HG705" s="130"/>
      <c r="HH705" s="130"/>
      <c r="HI705" s="130"/>
      <c r="HJ705" s="130"/>
      <c r="HK705" s="130" t="s">
        <v>1417</v>
      </c>
      <c r="HL705" s="130" t="s">
        <v>526</v>
      </c>
      <c r="HM705" s="127" t="s">
        <v>480</v>
      </c>
      <c r="HN705" s="127" t="s">
        <v>480</v>
      </c>
      <c r="HO705" s="127" t="s">
        <v>480</v>
      </c>
      <c r="HP705" s="127" t="s">
        <v>480</v>
      </c>
      <c r="HY705" s="128"/>
      <c r="IO705" s="127" t="s">
        <v>1430</v>
      </c>
      <c r="IP705" s="75" t="s">
        <v>558</v>
      </c>
      <c r="IS705" s="127">
        <v>2011</v>
      </c>
      <c r="IU705" s="127" t="s">
        <v>480</v>
      </c>
      <c r="JJ705" s="127" t="s">
        <v>1394</v>
      </c>
      <c r="JL705" s="127" t="s">
        <v>495</v>
      </c>
      <c r="JP705" s="127" t="s">
        <v>508</v>
      </c>
      <c r="JQ705" s="127">
        <v>131</v>
      </c>
      <c r="JR705" s="127">
        <v>59</v>
      </c>
      <c r="KE705" s="127" t="s">
        <v>1395</v>
      </c>
      <c r="KF705" s="127" t="s">
        <v>500</v>
      </c>
      <c r="KG705" s="127" t="s">
        <v>480</v>
      </c>
      <c r="KH705" s="127" t="s">
        <v>480</v>
      </c>
      <c r="KJ705" s="127" t="s">
        <v>530</v>
      </c>
      <c r="MY705" s="127" t="s">
        <v>1398</v>
      </c>
      <c r="MZ705" s="127">
        <v>2500</v>
      </c>
      <c r="NA705" s="127" t="s">
        <v>1431</v>
      </c>
      <c r="NB705" s="127" t="s">
        <v>548</v>
      </c>
      <c r="NC705" s="127" t="s">
        <v>1428</v>
      </c>
      <c r="ND705" s="127" t="s">
        <v>1429</v>
      </c>
      <c r="NI705" s="127" t="s">
        <v>1441</v>
      </c>
      <c r="NJ705" s="127" t="s">
        <v>1442</v>
      </c>
      <c r="NK705" s="127" t="s">
        <v>1443</v>
      </c>
      <c r="NL705" s="127" t="s">
        <v>1444</v>
      </c>
      <c r="NM705" s="127" t="s">
        <v>516</v>
      </c>
      <c r="NV705" s="127" t="s">
        <v>518</v>
      </c>
      <c r="NW705" s="127">
        <v>1313.06</v>
      </c>
      <c r="NX705" s="127" t="s">
        <v>866</v>
      </c>
      <c r="NY705" s="127" t="s">
        <v>866</v>
      </c>
      <c r="OB705" s="127">
        <v>4</v>
      </c>
      <c r="OU705" s="127" t="s">
        <v>1421</v>
      </c>
      <c r="OV705" s="127" t="s">
        <v>1044</v>
      </c>
      <c r="OX705" s="127">
        <v>2011</v>
      </c>
      <c r="OY705" s="127">
        <v>2014</v>
      </c>
      <c r="PB705" s="127" t="s">
        <v>522</v>
      </c>
      <c r="PC705" s="128">
        <v>46134</v>
      </c>
    </row>
    <row r="706" spans="1:419" s="127" customFormat="1" ht="15.75" thickBot="1">
      <c r="A706" s="78" t="s">
        <v>469</v>
      </c>
      <c r="B706" s="127" t="s">
        <v>1386</v>
      </c>
      <c r="C706" s="127" t="s">
        <v>1387</v>
      </c>
      <c r="D706" s="127" t="s">
        <v>472</v>
      </c>
      <c r="E706" s="127" t="s">
        <v>1388</v>
      </c>
      <c r="F706" s="127" t="s">
        <v>474</v>
      </c>
      <c r="G706" s="127" t="s">
        <v>475</v>
      </c>
      <c r="H706" s="127" t="s">
        <v>476</v>
      </c>
      <c r="I706" s="127">
        <v>-13.06</v>
      </c>
      <c r="J706" s="127">
        <v>34.299999999999997</v>
      </c>
      <c r="K706" s="127">
        <v>250</v>
      </c>
      <c r="AV706" s="127" t="s">
        <v>1389</v>
      </c>
      <c r="AW706" s="127">
        <v>1300</v>
      </c>
      <c r="AX706" s="127">
        <v>3900</v>
      </c>
      <c r="AY706" s="127">
        <v>3</v>
      </c>
      <c r="AZ706" s="127" t="s">
        <v>1390</v>
      </c>
      <c r="BA706" s="127">
        <v>2011</v>
      </c>
      <c r="BB706" s="127">
        <v>2014</v>
      </c>
      <c r="BD706" s="127" t="s">
        <v>1391</v>
      </c>
      <c r="BE706" s="127" t="s">
        <v>524</v>
      </c>
      <c r="BF706" s="127" t="s">
        <v>484</v>
      </c>
      <c r="BG706" s="127" t="s">
        <v>485</v>
      </c>
      <c r="BH706" s="127" t="s">
        <v>1392</v>
      </c>
      <c r="BI706" s="127" t="s">
        <v>486</v>
      </c>
      <c r="BJ706" s="127">
        <v>53333</v>
      </c>
      <c r="EI706" s="130"/>
      <c r="EJ706" s="130"/>
      <c r="EK706" s="130"/>
      <c r="EL706" s="130"/>
      <c r="EM706" s="130"/>
      <c r="EN706" s="130"/>
      <c r="EO706" s="130"/>
      <c r="EP706" s="130"/>
      <c r="EQ706" s="130"/>
      <c r="ER706" s="130"/>
      <c r="ES706" s="130"/>
      <c r="ET706" s="130"/>
      <c r="EU706" s="130"/>
      <c r="EV706" s="130"/>
      <c r="EW706" s="130"/>
      <c r="EX706" s="130"/>
      <c r="EY706" s="130"/>
      <c r="EZ706" s="130"/>
      <c r="FA706" s="130"/>
      <c r="FB706" s="130"/>
      <c r="FC706" s="130"/>
      <c r="FD706" s="130"/>
      <c r="FE706" s="130"/>
      <c r="FF706" s="130"/>
      <c r="FG706" s="130"/>
      <c r="FH706" s="130"/>
      <c r="FI706" s="130"/>
      <c r="FJ706" s="130"/>
      <c r="FK706" s="130"/>
      <c r="FL706" s="130"/>
      <c r="FM706" s="130"/>
      <c r="FN706" s="130"/>
      <c r="FO706" s="130"/>
      <c r="FP706" s="130"/>
      <c r="FQ706" s="130"/>
      <c r="FR706" s="130"/>
      <c r="FS706" s="130"/>
      <c r="FT706" s="130"/>
      <c r="FU706" s="130"/>
      <c r="FV706" s="130"/>
      <c r="FW706" s="130"/>
      <c r="FX706" s="130"/>
      <c r="FY706" s="130"/>
      <c r="FZ706" s="130"/>
      <c r="GA706" s="130"/>
      <c r="GB706" s="130"/>
      <c r="GC706" s="130"/>
      <c r="GD706" s="130"/>
      <c r="GE706" s="130"/>
      <c r="GF706" s="130"/>
      <c r="GG706" s="130"/>
      <c r="GH706" s="130"/>
      <c r="GI706" s="130"/>
      <c r="GJ706" s="130"/>
      <c r="GK706" s="130"/>
      <c r="GL706" s="130"/>
      <c r="GM706" s="130"/>
      <c r="GN706" s="130"/>
      <c r="GO706" s="130"/>
      <c r="GP706" s="130"/>
      <c r="GQ706" s="130"/>
      <c r="GR706" s="130"/>
      <c r="GS706" s="130"/>
      <c r="GT706" s="130"/>
      <c r="GU706" s="130"/>
      <c r="GV706" s="130"/>
      <c r="GW706" s="130"/>
      <c r="GX706" s="130"/>
      <c r="GY706" s="130"/>
      <c r="GZ706" s="130"/>
      <c r="HA706" s="130"/>
      <c r="HB706" s="130"/>
      <c r="HC706" s="130"/>
      <c r="HD706" s="130"/>
      <c r="HE706" s="130"/>
      <c r="HF706" s="130"/>
      <c r="HG706" s="130"/>
      <c r="HH706" s="130"/>
      <c r="HI706" s="130"/>
      <c r="HJ706" s="130"/>
      <c r="HK706" s="130" t="s">
        <v>1393</v>
      </c>
      <c r="HL706" s="130" t="s">
        <v>488</v>
      </c>
      <c r="HT706" s="128"/>
      <c r="HU706" s="128"/>
      <c r="HY706" s="128"/>
      <c r="IO706" s="127" t="s">
        <v>1391</v>
      </c>
      <c r="IP706" s="127" t="s">
        <v>492</v>
      </c>
      <c r="IS706" s="127">
        <v>2011</v>
      </c>
      <c r="JJ706" s="127" t="s">
        <v>1394</v>
      </c>
      <c r="JL706" s="127" t="s">
        <v>495</v>
      </c>
      <c r="JP706" s="127" t="s">
        <v>508</v>
      </c>
      <c r="JQ706" s="127">
        <v>309</v>
      </c>
      <c r="JR706" s="127">
        <v>93</v>
      </c>
      <c r="KE706" s="127" t="s">
        <v>1395</v>
      </c>
      <c r="KF706" s="127" t="s">
        <v>500</v>
      </c>
      <c r="KG706" s="127" t="s">
        <v>480</v>
      </c>
      <c r="KH706" s="127" t="s">
        <v>480</v>
      </c>
      <c r="KJ706" s="127" t="s">
        <v>501</v>
      </c>
      <c r="KK706" s="127" t="s">
        <v>1396</v>
      </c>
      <c r="KL706" s="127" t="s">
        <v>503</v>
      </c>
      <c r="KM706" s="127">
        <v>7.5</v>
      </c>
      <c r="KN706" s="127" t="s">
        <v>501</v>
      </c>
      <c r="KO706" s="127" t="s">
        <v>1397</v>
      </c>
      <c r="KP706" s="127" t="s">
        <v>503</v>
      </c>
      <c r="KQ706" s="127">
        <v>2</v>
      </c>
      <c r="MY706" s="127" t="s">
        <v>1398</v>
      </c>
      <c r="MZ706" s="127">
        <v>1300</v>
      </c>
      <c r="NI706" s="127" t="s">
        <v>1432</v>
      </c>
      <c r="NJ706" s="127" t="s">
        <v>1445</v>
      </c>
      <c r="NK706" s="127" t="s">
        <v>1434</v>
      </c>
      <c r="NL706" s="127" t="s">
        <v>1446</v>
      </c>
      <c r="NM706" s="127" t="s">
        <v>1447</v>
      </c>
      <c r="NU706" s="127" t="s">
        <v>657</v>
      </c>
      <c r="NV706" s="127" t="s">
        <v>518</v>
      </c>
      <c r="NW706" s="127">
        <v>3.84</v>
      </c>
      <c r="NX706" s="127" t="s">
        <v>866</v>
      </c>
      <c r="NY706" s="127" t="s">
        <v>866</v>
      </c>
      <c r="OB706" s="127">
        <v>4</v>
      </c>
      <c r="OU706" s="127" t="s">
        <v>1402</v>
      </c>
      <c r="OV706" s="127" t="s">
        <v>1044</v>
      </c>
      <c r="OX706" s="127">
        <v>2011</v>
      </c>
      <c r="OY706" s="127">
        <v>2014</v>
      </c>
      <c r="PB706" s="127" t="s">
        <v>522</v>
      </c>
      <c r="PC706" s="128">
        <v>46134</v>
      </c>
    </row>
    <row r="707" spans="1:419" s="127" customFormat="1" ht="15.75" thickBot="1">
      <c r="A707" t="s">
        <v>469</v>
      </c>
      <c r="B707" s="127" t="s">
        <v>1386</v>
      </c>
      <c r="C707" s="127" t="s">
        <v>1387</v>
      </c>
      <c r="D707" s="127" t="s">
        <v>472</v>
      </c>
      <c r="E707" s="127" t="s">
        <v>1388</v>
      </c>
      <c r="F707" s="127" t="s">
        <v>474</v>
      </c>
      <c r="G707" s="127" t="s">
        <v>475</v>
      </c>
      <c r="H707" s="127" t="s">
        <v>476</v>
      </c>
      <c r="I707" s="127">
        <v>-13.06</v>
      </c>
      <c r="J707" s="127">
        <v>34.299999999999997</v>
      </c>
      <c r="K707" s="127">
        <v>250</v>
      </c>
      <c r="AV707" s="127" t="s">
        <v>1389</v>
      </c>
      <c r="AW707" s="127">
        <v>1300</v>
      </c>
      <c r="AX707" s="127">
        <v>3900</v>
      </c>
      <c r="AY707" s="127">
        <v>3</v>
      </c>
      <c r="AZ707" s="127" t="s">
        <v>1390</v>
      </c>
      <c r="BA707" s="127">
        <v>2011</v>
      </c>
      <c r="BB707" s="127">
        <v>2014</v>
      </c>
      <c r="BD707" s="127" t="s">
        <v>1403</v>
      </c>
      <c r="BE707" s="127" t="s">
        <v>536</v>
      </c>
      <c r="BF707" s="127" t="s">
        <v>484</v>
      </c>
      <c r="BG707" s="127" t="s">
        <v>1364</v>
      </c>
      <c r="BH707" s="127" t="s">
        <v>1404</v>
      </c>
      <c r="BI707" s="127" t="s">
        <v>486</v>
      </c>
      <c r="BJ707" s="127">
        <v>12300</v>
      </c>
      <c r="BK707" s="127" t="s">
        <v>537</v>
      </c>
      <c r="BL707" s="127" t="s">
        <v>1405</v>
      </c>
      <c r="BM707" s="127" t="s">
        <v>1406</v>
      </c>
      <c r="BN707" s="127" t="s">
        <v>486</v>
      </c>
      <c r="BO707" s="127">
        <v>24700</v>
      </c>
      <c r="BP707" s="127" t="s">
        <v>555</v>
      </c>
      <c r="BQ707" s="127" t="s">
        <v>538</v>
      </c>
      <c r="BR707" s="127" t="s">
        <v>1407</v>
      </c>
      <c r="BS707" s="127" t="s">
        <v>486</v>
      </c>
      <c r="BT707" s="127">
        <v>355556</v>
      </c>
      <c r="BU707" s="127" t="s">
        <v>537</v>
      </c>
      <c r="BV707" s="127" t="s">
        <v>1405</v>
      </c>
      <c r="BW707" s="127" t="s">
        <v>1406</v>
      </c>
      <c r="BX707" s="127" t="s">
        <v>486</v>
      </c>
      <c r="BY707" s="127">
        <v>24700</v>
      </c>
      <c r="BZ707" s="127" t="s">
        <v>555</v>
      </c>
      <c r="CA707" s="127" t="s">
        <v>485</v>
      </c>
      <c r="CB707" s="127" t="s">
        <v>1392</v>
      </c>
      <c r="CC707" s="127" t="s">
        <v>486</v>
      </c>
      <c r="CD707" s="127">
        <v>53333</v>
      </c>
      <c r="EI707" s="130"/>
      <c r="EJ707" s="130"/>
      <c r="EK707" s="130"/>
      <c r="EL707" s="130"/>
      <c r="EM707" s="130"/>
      <c r="EN707" s="130"/>
      <c r="EO707" s="130"/>
      <c r="EP707" s="130"/>
      <c r="EQ707" s="130"/>
      <c r="ER707" s="130"/>
      <c r="ES707" s="130"/>
      <c r="ET707" s="130"/>
      <c r="EU707" s="130"/>
      <c r="EV707" s="130"/>
      <c r="EW707" s="130"/>
      <c r="EX707" s="130"/>
      <c r="EY707" s="130"/>
      <c r="EZ707" s="130"/>
      <c r="FA707" s="130"/>
      <c r="FB707" s="130"/>
      <c r="FC707" s="130"/>
      <c r="FD707" s="130"/>
      <c r="FE707" s="130"/>
      <c r="FF707" s="130"/>
      <c r="FG707" s="130"/>
      <c r="FH707" s="130"/>
      <c r="FI707" s="130"/>
      <c r="FJ707" s="130"/>
      <c r="FK707" s="130"/>
      <c r="FL707" s="130"/>
      <c r="FM707" s="130"/>
      <c r="FN707" s="130"/>
      <c r="FO707" s="130"/>
      <c r="FP707" s="130"/>
      <c r="FQ707" s="130"/>
      <c r="FR707" s="130"/>
      <c r="FS707" s="130"/>
      <c r="FT707" s="130"/>
      <c r="FU707" s="130"/>
      <c r="FV707" s="130"/>
      <c r="FW707" s="130"/>
      <c r="FX707" s="130"/>
      <c r="FY707" s="130"/>
      <c r="FZ707" s="130"/>
      <c r="GA707" s="130"/>
      <c r="GB707" s="130"/>
      <c r="GC707" s="130"/>
      <c r="GD707" s="130"/>
      <c r="GE707" s="130"/>
      <c r="GF707" s="130"/>
      <c r="GG707" s="130"/>
      <c r="GH707" s="130"/>
      <c r="GI707" s="130"/>
      <c r="GJ707" s="130"/>
      <c r="GK707" s="130"/>
      <c r="GL707" s="130"/>
      <c r="GM707" s="130"/>
      <c r="GN707" s="130"/>
      <c r="GO707" s="130"/>
      <c r="GP707" s="130"/>
      <c r="GQ707" s="130"/>
      <c r="GR707" s="130"/>
      <c r="GS707" s="130"/>
      <c r="GT707" s="130"/>
      <c r="GU707" s="130"/>
      <c r="GV707" s="130"/>
      <c r="GW707" s="130"/>
      <c r="GX707" s="130"/>
      <c r="GY707" s="130"/>
      <c r="GZ707" s="130"/>
      <c r="HA707" s="130"/>
      <c r="HB707" s="130"/>
      <c r="HC707" s="130"/>
      <c r="HD707" s="130"/>
      <c r="HE707" s="130"/>
      <c r="HF707" s="130"/>
      <c r="HG707" s="130"/>
      <c r="HH707" s="130"/>
      <c r="HI707" s="130"/>
      <c r="HJ707" s="130"/>
      <c r="HK707" s="130" t="s">
        <v>1393</v>
      </c>
      <c r="HL707" s="130" t="s">
        <v>488</v>
      </c>
      <c r="HT707" s="128"/>
      <c r="HU707" s="128"/>
      <c r="HY707" s="128"/>
      <c r="IO707" s="127" t="s">
        <v>1403</v>
      </c>
      <c r="IP707" s="75" t="s">
        <v>558</v>
      </c>
      <c r="IQ707" s="127" t="s">
        <v>1408</v>
      </c>
      <c r="IS707" s="127">
        <v>2011</v>
      </c>
      <c r="IU707" s="127" t="s">
        <v>480</v>
      </c>
      <c r="JJ707" s="127" t="s">
        <v>1394</v>
      </c>
      <c r="JL707" s="127" t="s">
        <v>495</v>
      </c>
      <c r="JP707" s="127" t="s">
        <v>508</v>
      </c>
      <c r="JQ707" s="127">
        <v>103</v>
      </c>
      <c r="JR707" s="127">
        <v>31</v>
      </c>
      <c r="KE707" s="127" t="s">
        <v>1395</v>
      </c>
      <c r="KF707" s="127" t="s">
        <v>500</v>
      </c>
      <c r="KG707" s="127" t="s">
        <v>480</v>
      </c>
      <c r="KH707" s="127" t="s">
        <v>480</v>
      </c>
      <c r="KJ707" s="127" t="s">
        <v>501</v>
      </c>
      <c r="KK707" s="127" t="s">
        <v>1396</v>
      </c>
      <c r="KL707" s="127" t="s">
        <v>503</v>
      </c>
      <c r="KM707" s="127">
        <v>7.5</v>
      </c>
      <c r="KN707" s="127" t="s">
        <v>501</v>
      </c>
      <c r="KO707" s="127" t="s">
        <v>1397</v>
      </c>
      <c r="KP707" s="127" t="s">
        <v>503</v>
      </c>
      <c r="KQ707" s="127">
        <v>1</v>
      </c>
      <c r="KR707" s="127" t="s">
        <v>545</v>
      </c>
      <c r="KS707" s="127" t="s">
        <v>1409</v>
      </c>
      <c r="KT707" s="127" t="s">
        <v>1410</v>
      </c>
      <c r="KU707" s="127">
        <v>100</v>
      </c>
      <c r="MY707" s="127" t="s">
        <v>1398</v>
      </c>
      <c r="MZ707" s="127">
        <v>1300</v>
      </c>
      <c r="NI707" s="127" t="s">
        <v>1435</v>
      </c>
      <c r="NJ707" s="127" t="s">
        <v>1445</v>
      </c>
      <c r="NK707" s="127" t="s">
        <v>1434</v>
      </c>
      <c r="NL707" s="127" t="s">
        <v>1446</v>
      </c>
      <c r="NM707" s="127" t="s">
        <v>1447</v>
      </c>
      <c r="NV707" s="127" t="s">
        <v>518</v>
      </c>
      <c r="NW707" s="127">
        <v>2.8</v>
      </c>
      <c r="NX707" s="127" t="s">
        <v>866</v>
      </c>
      <c r="NY707" s="127" t="s">
        <v>866</v>
      </c>
      <c r="OB707" s="127">
        <v>4</v>
      </c>
      <c r="OU707" s="127" t="s">
        <v>1402</v>
      </c>
      <c r="OV707" s="127" t="s">
        <v>1044</v>
      </c>
      <c r="OX707" s="127">
        <v>2011</v>
      </c>
      <c r="OY707" s="127">
        <v>2014</v>
      </c>
      <c r="PB707" s="127" t="s">
        <v>522</v>
      </c>
      <c r="PC707" s="128">
        <v>46134</v>
      </c>
    </row>
    <row r="708" spans="1:419" s="127" customFormat="1" ht="15.75" thickBot="1">
      <c r="A708" t="s">
        <v>469</v>
      </c>
      <c r="B708" s="127" t="s">
        <v>1386</v>
      </c>
      <c r="C708" s="127" t="s">
        <v>1387</v>
      </c>
      <c r="D708" s="127" t="s">
        <v>472</v>
      </c>
      <c r="E708" s="127" t="s">
        <v>1388</v>
      </c>
      <c r="F708" s="127" t="s">
        <v>474</v>
      </c>
      <c r="G708" s="127" t="s">
        <v>475</v>
      </c>
      <c r="H708" s="127" t="s">
        <v>476</v>
      </c>
      <c r="I708" s="127">
        <v>-13.06</v>
      </c>
      <c r="J708" s="127">
        <v>34.299999999999997</v>
      </c>
      <c r="K708" s="127">
        <v>250</v>
      </c>
      <c r="AV708" s="127" t="s">
        <v>1389</v>
      </c>
      <c r="AW708" s="127">
        <v>1300</v>
      </c>
      <c r="AX708" s="127">
        <v>3900</v>
      </c>
      <c r="AY708" s="127">
        <v>3</v>
      </c>
      <c r="AZ708" s="127" t="s">
        <v>1390</v>
      </c>
      <c r="BA708" s="127">
        <v>2011</v>
      </c>
      <c r="BB708" s="127">
        <v>2014</v>
      </c>
      <c r="BD708" s="127" t="s">
        <v>1415</v>
      </c>
      <c r="BE708" s="127" t="s">
        <v>566</v>
      </c>
      <c r="BF708" s="127" t="s">
        <v>484</v>
      </c>
      <c r="BG708" s="127" t="s">
        <v>1364</v>
      </c>
      <c r="BH708" s="127" t="s">
        <v>1404</v>
      </c>
      <c r="BI708" s="127" t="s">
        <v>486</v>
      </c>
      <c r="BJ708" s="127">
        <v>12300</v>
      </c>
      <c r="BK708" s="127" t="s">
        <v>555</v>
      </c>
      <c r="BL708" s="127" t="s">
        <v>554</v>
      </c>
      <c r="BM708" s="127" t="s">
        <v>1416</v>
      </c>
      <c r="BN708" s="127" t="s">
        <v>486</v>
      </c>
      <c r="BO708" s="127">
        <v>266667</v>
      </c>
      <c r="BP708" s="127" t="s">
        <v>555</v>
      </c>
      <c r="BQ708" s="127" t="s">
        <v>485</v>
      </c>
      <c r="BR708" s="127" t="s">
        <v>1392</v>
      </c>
      <c r="BS708" s="127" t="s">
        <v>486</v>
      </c>
      <c r="BT708" s="127">
        <v>53333</v>
      </c>
      <c r="EI708" s="130"/>
      <c r="EJ708" s="130"/>
      <c r="EK708" s="130"/>
      <c r="EL708" s="130"/>
      <c r="EM708" s="130"/>
      <c r="EN708" s="130"/>
      <c r="EO708" s="130"/>
      <c r="EP708" s="130"/>
      <c r="EQ708" s="130"/>
      <c r="ER708" s="130"/>
      <c r="ES708" s="130"/>
      <c r="ET708" s="130"/>
      <c r="EU708" s="130"/>
      <c r="EV708" s="130"/>
      <c r="EW708" s="130"/>
      <c r="EX708" s="130"/>
      <c r="EY708" s="130"/>
      <c r="EZ708" s="130"/>
      <c r="FA708" s="130"/>
      <c r="FB708" s="130"/>
      <c r="FC708" s="130"/>
      <c r="FD708" s="130"/>
      <c r="FE708" s="130"/>
      <c r="FF708" s="130"/>
      <c r="FG708" s="130"/>
      <c r="FH708" s="130"/>
      <c r="FI708" s="130"/>
      <c r="FJ708" s="130"/>
      <c r="FK708" s="130"/>
      <c r="FL708" s="130"/>
      <c r="FM708" s="130"/>
      <c r="FN708" s="130"/>
      <c r="FO708" s="130"/>
      <c r="FP708" s="130"/>
      <c r="FQ708" s="130"/>
      <c r="FR708" s="130"/>
      <c r="FS708" s="130"/>
      <c r="FT708" s="130"/>
      <c r="FU708" s="130"/>
      <c r="FV708" s="130"/>
      <c r="FW708" s="130"/>
      <c r="FX708" s="130"/>
      <c r="FY708" s="130"/>
      <c r="FZ708" s="130"/>
      <c r="GA708" s="130"/>
      <c r="GB708" s="130"/>
      <c r="GC708" s="130"/>
      <c r="GD708" s="130"/>
      <c r="GE708" s="130"/>
      <c r="GF708" s="130"/>
      <c r="GG708" s="130"/>
      <c r="GH708" s="130"/>
      <c r="GI708" s="130"/>
      <c r="GJ708" s="130"/>
      <c r="GK708" s="130"/>
      <c r="GL708" s="130"/>
      <c r="GM708" s="130"/>
      <c r="GN708" s="130"/>
      <c r="GO708" s="130"/>
      <c r="GP708" s="130"/>
      <c r="GQ708" s="130"/>
      <c r="GR708" s="130"/>
      <c r="GS708" s="130"/>
      <c r="GT708" s="130"/>
      <c r="GU708" s="130"/>
      <c r="GV708" s="130"/>
      <c r="GW708" s="130"/>
      <c r="GX708" s="130"/>
      <c r="GY708" s="130"/>
      <c r="GZ708" s="130"/>
      <c r="HA708" s="130"/>
      <c r="HB708" s="130"/>
      <c r="HC708" s="130"/>
      <c r="HD708" s="130"/>
      <c r="HE708" s="130"/>
      <c r="HF708" s="130"/>
      <c r="HG708" s="130"/>
      <c r="HH708" s="130"/>
      <c r="HI708" s="130"/>
      <c r="HJ708" s="130"/>
      <c r="HK708" s="130" t="s">
        <v>1417</v>
      </c>
      <c r="HL708" s="130" t="s">
        <v>526</v>
      </c>
      <c r="HM708" s="127" t="s">
        <v>480</v>
      </c>
      <c r="HN708" s="127" t="s">
        <v>480</v>
      </c>
      <c r="HO708" s="127" t="s">
        <v>480</v>
      </c>
      <c r="HP708" s="127" t="s">
        <v>480</v>
      </c>
      <c r="HY708" s="128"/>
      <c r="IO708" s="127" t="s">
        <v>1415</v>
      </c>
      <c r="IP708" s="75" t="s">
        <v>558</v>
      </c>
      <c r="IS708" s="127">
        <v>2011</v>
      </c>
      <c r="IU708" s="127" t="s">
        <v>480</v>
      </c>
      <c r="JJ708" s="127" t="s">
        <v>1394</v>
      </c>
      <c r="JL708" s="127" t="s">
        <v>495</v>
      </c>
      <c r="JP708" s="127" t="s">
        <v>508</v>
      </c>
      <c r="JQ708" s="127">
        <v>124</v>
      </c>
      <c r="JR708" s="127">
        <v>50</v>
      </c>
      <c r="KE708" s="127" t="s">
        <v>1395</v>
      </c>
      <c r="KF708" s="127" t="s">
        <v>500</v>
      </c>
      <c r="KG708" s="127" t="s">
        <v>480</v>
      </c>
      <c r="KH708" s="127" t="s">
        <v>480</v>
      </c>
      <c r="KJ708" s="127" t="s">
        <v>530</v>
      </c>
      <c r="MY708" s="127" t="s">
        <v>1398</v>
      </c>
      <c r="MZ708" s="127">
        <v>1300</v>
      </c>
      <c r="NI708" s="127" t="s">
        <v>1432</v>
      </c>
      <c r="NJ708" s="127" t="s">
        <v>1445</v>
      </c>
      <c r="NK708" s="127" t="s">
        <v>1434</v>
      </c>
      <c r="NL708" s="127" t="s">
        <v>1446</v>
      </c>
      <c r="NM708" s="127" t="s">
        <v>1447</v>
      </c>
      <c r="NV708" s="127" t="s">
        <v>518</v>
      </c>
      <c r="NW708" s="127">
        <v>2.99</v>
      </c>
      <c r="NX708" s="127" t="s">
        <v>866</v>
      </c>
      <c r="NY708" s="127" t="s">
        <v>866</v>
      </c>
      <c r="OB708" s="127">
        <v>4</v>
      </c>
      <c r="OU708" s="127" t="s">
        <v>1402</v>
      </c>
      <c r="OV708" s="127" t="s">
        <v>1044</v>
      </c>
      <c r="OX708" s="127">
        <v>2011</v>
      </c>
      <c r="OY708" s="127">
        <v>2014</v>
      </c>
      <c r="PB708" s="127" t="s">
        <v>522</v>
      </c>
      <c r="PC708" s="128">
        <v>46134</v>
      </c>
    </row>
    <row r="709" spans="1:419" s="127" customFormat="1" ht="15.75" thickBot="1">
      <c r="A709" s="78" t="s">
        <v>469</v>
      </c>
      <c r="B709" s="127" t="s">
        <v>1386</v>
      </c>
      <c r="C709" s="127" t="s">
        <v>1387</v>
      </c>
      <c r="D709" s="127" t="s">
        <v>472</v>
      </c>
      <c r="E709" s="127" t="s">
        <v>1419</v>
      </c>
      <c r="F709" s="127" t="s">
        <v>474</v>
      </c>
      <c r="G709" s="127" t="s">
        <v>475</v>
      </c>
      <c r="H709" s="127" t="s">
        <v>476</v>
      </c>
      <c r="I709" s="127">
        <v>-13.47</v>
      </c>
      <c r="J709" s="127">
        <v>33.71</v>
      </c>
      <c r="K709" s="127">
        <v>200</v>
      </c>
      <c r="AV709" s="127" t="s">
        <v>1389</v>
      </c>
      <c r="AW709" s="127">
        <v>2500</v>
      </c>
      <c r="AX709" s="127">
        <v>7500</v>
      </c>
      <c r="AY709" s="127">
        <v>3</v>
      </c>
      <c r="AZ709" s="127" t="s">
        <v>1390</v>
      </c>
      <c r="BA709" s="127">
        <v>2011</v>
      </c>
      <c r="BB709" s="127">
        <v>2014</v>
      </c>
      <c r="BD709" s="127" t="s">
        <v>1391</v>
      </c>
      <c r="BE709" s="127" t="s">
        <v>483</v>
      </c>
      <c r="BF709" s="127" t="s">
        <v>484</v>
      </c>
      <c r="BG709" s="127" t="s">
        <v>485</v>
      </c>
      <c r="BH709" s="127" t="s">
        <v>1392</v>
      </c>
      <c r="BI709" s="127" t="s">
        <v>486</v>
      </c>
      <c r="BJ709" s="127">
        <v>53333</v>
      </c>
      <c r="EI709" s="130"/>
      <c r="EJ709" s="130"/>
      <c r="EK709" s="130"/>
      <c r="EL709" s="130"/>
      <c r="EM709" s="130"/>
      <c r="EN709" s="130"/>
      <c r="EO709" s="130"/>
      <c r="EP709" s="130"/>
      <c r="EQ709" s="130"/>
      <c r="ER709" s="130"/>
      <c r="ES709" s="130"/>
      <c r="ET709" s="130"/>
      <c r="EU709" s="130"/>
      <c r="EV709" s="130"/>
      <c r="EW709" s="130"/>
      <c r="EX709" s="130"/>
      <c r="EY709" s="130"/>
      <c r="EZ709" s="130"/>
      <c r="FA709" s="130"/>
      <c r="FB709" s="130"/>
      <c r="FC709" s="130"/>
      <c r="FD709" s="130"/>
      <c r="FE709" s="130"/>
      <c r="FF709" s="130"/>
      <c r="FG709" s="130"/>
      <c r="FH709" s="130"/>
      <c r="FI709" s="130"/>
      <c r="FJ709" s="130"/>
      <c r="FK709" s="130"/>
      <c r="FL709" s="130"/>
      <c r="FM709" s="130"/>
      <c r="FN709" s="130"/>
      <c r="FO709" s="130"/>
      <c r="FP709" s="130"/>
      <c r="FQ709" s="130"/>
      <c r="FR709" s="130"/>
      <c r="FS709" s="130"/>
      <c r="FT709" s="130"/>
      <c r="FU709" s="130"/>
      <c r="FV709" s="130"/>
      <c r="FW709" s="130"/>
      <c r="FX709" s="130"/>
      <c r="FY709" s="130"/>
      <c r="FZ709" s="130"/>
      <c r="GA709" s="130"/>
      <c r="GB709" s="130"/>
      <c r="GC709" s="130"/>
      <c r="GD709" s="130"/>
      <c r="GE709" s="130"/>
      <c r="GF709" s="130"/>
      <c r="GG709" s="130"/>
      <c r="GH709" s="130"/>
      <c r="GI709" s="130"/>
      <c r="GJ709" s="130"/>
      <c r="GK709" s="130"/>
      <c r="GL709" s="130"/>
      <c r="GM709" s="130"/>
      <c r="GN709" s="130"/>
      <c r="GO709" s="130"/>
      <c r="GP709" s="130"/>
      <c r="GQ709" s="130"/>
      <c r="GR709" s="130"/>
      <c r="GS709" s="130"/>
      <c r="GT709" s="130"/>
      <c r="GU709" s="130"/>
      <c r="GV709" s="130"/>
      <c r="GW709" s="130"/>
      <c r="GX709" s="130"/>
      <c r="GY709" s="130"/>
      <c r="GZ709" s="130"/>
      <c r="HA709" s="130"/>
      <c r="HB709" s="130"/>
      <c r="HC709" s="130"/>
      <c r="HD709" s="130"/>
      <c r="HE709" s="130"/>
      <c r="HF709" s="130"/>
      <c r="HG709" s="130"/>
      <c r="HH709" s="130"/>
      <c r="HI709" s="130"/>
      <c r="HJ709" s="130"/>
      <c r="HK709" s="130" t="s">
        <v>1393</v>
      </c>
      <c r="HL709" s="130" t="s">
        <v>488</v>
      </c>
      <c r="HY709" s="128"/>
      <c r="IO709" s="127" t="s">
        <v>1391</v>
      </c>
      <c r="IP709" s="127" t="s">
        <v>492</v>
      </c>
      <c r="IS709" s="127">
        <v>2011</v>
      </c>
      <c r="JJ709" s="127" t="s">
        <v>1394</v>
      </c>
      <c r="JL709" s="127" t="s">
        <v>495</v>
      </c>
      <c r="JP709" s="127" t="s">
        <v>508</v>
      </c>
      <c r="JQ709" s="127">
        <v>309</v>
      </c>
      <c r="JR709" s="127">
        <v>93</v>
      </c>
      <c r="KE709" s="127" t="s">
        <v>1395</v>
      </c>
      <c r="KF709" s="127" t="s">
        <v>500</v>
      </c>
      <c r="KG709" s="127" t="s">
        <v>480</v>
      </c>
      <c r="KH709" s="127" t="s">
        <v>480</v>
      </c>
      <c r="KJ709" s="127" t="s">
        <v>501</v>
      </c>
      <c r="KK709" s="127" t="s">
        <v>1396</v>
      </c>
      <c r="KL709" s="127" t="s">
        <v>503</v>
      </c>
      <c r="KM709" s="127">
        <v>7.5</v>
      </c>
      <c r="KN709" s="127" t="s">
        <v>501</v>
      </c>
      <c r="KO709" s="127" t="s">
        <v>1397</v>
      </c>
      <c r="KP709" s="127" t="s">
        <v>503</v>
      </c>
      <c r="KQ709" s="127">
        <v>2</v>
      </c>
      <c r="MY709" s="127" t="s">
        <v>1398</v>
      </c>
      <c r="MZ709" s="127">
        <v>2500</v>
      </c>
      <c r="NI709" s="127" t="s">
        <v>1432</v>
      </c>
      <c r="NJ709" s="127" t="s">
        <v>1445</v>
      </c>
      <c r="NK709" s="127" t="s">
        <v>1434</v>
      </c>
      <c r="NL709" s="127" t="s">
        <v>1446</v>
      </c>
      <c r="NM709" s="127" t="s">
        <v>1447</v>
      </c>
      <c r="NU709" s="127" t="s">
        <v>1420</v>
      </c>
      <c r="NV709" s="127" t="s">
        <v>518</v>
      </c>
      <c r="NW709" s="127">
        <v>5.95</v>
      </c>
      <c r="NX709" s="127" t="s">
        <v>866</v>
      </c>
      <c r="NY709" s="127" t="s">
        <v>866</v>
      </c>
      <c r="OB709" s="127">
        <v>4</v>
      </c>
      <c r="OU709" s="127" t="s">
        <v>1421</v>
      </c>
      <c r="OV709" s="127" t="s">
        <v>1044</v>
      </c>
      <c r="OX709" s="127">
        <v>2011</v>
      </c>
      <c r="OY709" s="127">
        <v>2014</v>
      </c>
      <c r="PB709" s="127" t="s">
        <v>522</v>
      </c>
      <c r="PC709" s="128">
        <v>46134</v>
      </c>
    </row>
    <row r="710" spans="1:419" s="127" customFormat="1" ht="15.75" thickBot="1">
      <c r="A710" t="s">
        <v>469</v>
      </c>
      <c r="B710" s="127" t="s">
        <v>1386</v>
      </c>
      <c r="C710" s="127" t="s">
        <v>1387</v>
      </c>
      <c r="D710" s="127" t="s">
        <v>472</v>
      </c>
      <c r="E710" s="127" t="s">
        <v>1419</v>
      </c>
      <c r="F710" s="127" t="s">
        <v>474</v>
      </c>
      <c r="G710" s="127" t="s">
        <v>475</v>
      </c>
      <c r="H710" s="127" t="s">
        <v>476</v>
      </c>
      <c r="I710" s="127">
        <v>-13.47</v>
      </c>
      <c r="J710" s="127">
        <v>33.71</v>
      </c>
      <c r="K710" s="127">
        <v>200</v>
      </c>
      <c r="AV710" s="127" t="s">
        <v>1389</v>
      </c>
      <c r="AW710" s="127">
        <v>2500</v>
      </c>
      <c r="AX710" s="127">
        <v>7500</v>
      </c>
      <c r="AY710" s="127">
        <v>3</v>
      </c>
      <c r="AZ710" s="127" t="s">
        <v>1390</v>
      </c>
      <c r="BA710" s="127">
        <v>2011</v>
      </c>
      <c r="BB710" s="127">
        <v>2014</v>
      </c>
      <c r="BD710" s="127" t="s">
        <v>1422</v>
      </c>
      <c r="BE710" s="127" t="s">
        <v>572</v>
      </c>
      <c r="BF710" s="127" t="s">
        <v>484</v>
      </c>
      <c r="BG710" s="127" t="s">
        <v>1423</v>
      </c>
      <c r="BH710" s="127" t="s">
        <v>1424</v>
      </c>
      <c r="BI710" s="127" t="s">
        <v>486</v>
      </c>
      <c r="BJ710" s="127">
        <v>3700</v>
      </c>
      <c r="BK710" s="127" t="s">
        <v>537</v>
      </c>
      <c r="BL710" s="127" t="s">
        <v>1405</v>
      </c>
      <c r="BM710" s="127" t="s">
        <v>1406</v>
      </c>
      <c r="BN710" s="127" t="s">
        <v>486</v>
      </c>
      <c r="BO710" s="127">
        <v>18500</v>
      </c>
      <c r="BP710" s="127" t="s">
        <v>555</v>
      </c>
      <c r="BQ710" s="127" t="s">
        <v>1425</v>
      </c>
      <c r="BR710" s="127" t="s">
        <v>1426</v>
      </c>
      <c r="BS710" s="127" t="s">
        <v>486</v>
      </c>
      <c r="BT710" s="127">
        <v>222200</v>
      </c>
      <c r="BU710" s="127" t="s">
        <v>555</v>
      </c>
      <c r="BV710" s="127" t="s">
        <v>485</v>
      </c>
      <c r="BW710" s="127" t="s">
        <v>1392</v>
      </c>
      <c r="BX710" s="127" t="s">
        <v>486</v>
      </c>
      <c r="BY710" s="127">
        <v>53333</v>
      </c>
      <c r="EI710" s="130"/>
      <c r="EJ710" s="130"/>
      <c r="EK710" s="130"/>
      <c r="EL710" s="130"/>
      <c r="EM710" s="130"/>
      <c r="EN710" s="130"/>
      <c r="EO710" s="130"/>
      <c r="EP710" s="130"/>
      <c r="EQ710" s="130"/>
      <c r="ER710" s="130"/>
      <c r="ES710" s="130"/>
      <c r="ET710" s="130"/>
      <c r="EU710" s="130"/>
      <c r="EV710" s="130"/>
      <c r="EW710" s="130"/>
      <c r="EX710" s="130"/>
      <c r="EY710" s="130"/>
      <c r="EZ710" s="130"/>
      <c r="FA710" s="130"/>
      <c r="FB710" s="130"/>
      <c r="FC710" s="130"/>
      <c r="FD710" s="130"/>
      <c r="FE710" s="130"/>
      <c r="FF710" s="130"/>
      <c r="FG710" s="130"/>
      <c r="FH710" s="130"/>
      <c r="FI710" s="130"/>
      <c r="FJ710" s="130"/>
      <c r="FK710" s="130"/>
      <c r="FL710" s="130"/>
      <c r="FM710" s="130"/>
      <c r="FN710" s="130"/>
      <c r="FO710" s="130"/>
      <c r="FP710" s="130"/>
      <c r="FQ710" s="130"/>
      <c r="FR710" s="130"/>
      <c r="FS710" s="130"/>
      <c r="FT710" s="130"/>
      <c r="FU710" s="130"/>
      <c r="FV710" s="130"/>
      <c r="FW710" s="130"/>
      <c r="FX710" s="130"/>
      <c r="FY710" s="130"/>
      <c r="FZ710" s="130"/>
      <c r="GA710" s="130"/>
      <c r="GB710" s="130"/>
      <c r="GC710" s="130"/>
      <c r="GD710" s="130"/>
      <c r="GE710" s="130"/>
      <c r="GF710" s="130"/>
      <c r="GG710" s="130"/>
      <c r="GH710" s="130"/>
      <c r="GI710" s="130"/>
      <c r="GJ710" s="130"/>
      <c r="GK710" s="130"/>
      <c r="GL710" s="130"/>
      <c r="GM710" s="130"/>
      <c r="GN710" s="130"/>
      <c r="GO710" s="130"/>
      <c r="GP710" s="130"/>
      <c r="GQ710" s="130"/>
      <c r="GR710" s="130"/>
      <c r="GS710" s="130"/>
      <c r="GT710" s="130"/>
      <c r="GU710" s="130"/>
      <c r="GV710" s="130"/>
      <c r="GW710" s="130"/>
      <c r="GX710" s="130"/>
      <c r="GY710" s="130"/>
      <c r="GZ710" s="130"/>
      <c r="HA710" s="130"/>
      <c r="HB710" s="130"/>
      <c r="HC710" s="130"/>
      <c r="HD710" s="130"/>
      <c r="HE710" s="130"/>
      <c r="HF710" s="130"/>
      <c r="HG710" s="130"/>
      <c r="HH710" s="130"/>
      <c r="HI710" s="130"/>
      <c r="HJ710" s="130"/>
      <c r="HK710" s="130" t="s">
        <v>1393</v>
      </c>
      <c r="HL710" s="130" t="s">
        <v>488</v>
      </c>
      <c r="HY710" s="128"/>
      <c r="IO710" s="127" t="s">
        <v>1422</v>
      </c>
      <c r="IP710" s="75" t="s">
        <v>558</v>
      </c>
      <c r="IQ710" s="127" t="s">
        <v>1408</v>
      </c>
      <c r="IS710" s="127">
        <v>2011</v>
      </c>
      <c r="IU710" s="127" t="s">
        <v>480</v>
      </c>
      <c r="JJ710" s="127" t="s">
        <v>1394</v>
      </c>
      <c r="JL710" s="127" t="s">
        <v>495</v>
      </c>
      <c r="JP710" s="127" t="s">
        <v>508</v>
      </c>
      <c r="JQ710" s="127">
        <v>131</v>
      </c>
      <c r="JR710" s="127">
        <v>59</v>
      </c>
      <c r="KE710" s="127" t="s">
        <v>1395</v>
      </c>
      <c r="KF710" s="127" t="s">
        <v>500</v>
      </c>
      <c r="KG710" s="127" t="s">
        <v>480</v>
      </c>
      <c r="KH710" s="127" t="s">
        <v>480</v>
      </c>
      <c r="KJ710" s="127" t="s">
        <v>501</v>
      </c>
      <c r="KK710" s="127" t="s">
        <v>1396</v>
      </c>
      <c r="KL710" s="127" t="s">
        <v>503</v>
      </c>
      <c r="KM710" s="127">
        <v>7.5</v>
      </c>
      <c r="KN710" s="127" t="s">
        <v>501</v>
      </c>
      <c r="KO710" s="127" t="s">
        <v>1397</v>
      </c>
      <c r="KP710" s="127" t="s">
        <v>503</v>
      </c>
      <c r="KQ710" s="127">
        <v>1</v>
      </c>
      <c r="MY710" s="127" t="s">
        <v>1398</v>
      </c>
      <c r="MZ710" s="127">
        <v>2500</v>
      </c>
      <c r="NI710" s="127" t="s">
        <v>1432</v>
      </c>
      <c r="NJ710" s="127" t="s">
        <v>1445</v>
      </c>
      <c r="NK710" s="127" t="s">
        <v>1434</v>
      </c>
      <c r="NL710" s="127" t="s">
        <v>1446</v>
      </c>
      <c r="NM710" s="127" t="s">
        <v>1447</v>
      </c>
      <c r="NV710" s="127" t="s">
        <v>518</v>
      </c>
      <c r="NW710" s="127">
        <v>5.21</v>
      </c>
      <c r="NX710" s="127" t="s">
        <v>866</v>
      </c>
      <c r="NY710" s="127" t="s">
        <v>866</v>
      </c>
      <c r="OB710" s="127">
        <v>4</v>
      </c>
      <c r="OU710" s="127" t="s">
        <v>1421</v>
      </c>
      <c r="OV710" s="127" t="s">
        <v>1044</v>
      </c>
      <c r="OX710" s="127">
        <v>2011</v>
      </c>
      <c r="OY710" s="127">
        <v>2014</v>
      </c>
      <c r="PB710" s="127" t="s">
        <v>522</v>
      </c>
      <c r="PC710" s="128">
        <v>46134</v>
      </c>
    </row>
    <row r="711" spans="1:419" s="127" customFormat="1" ht="15.75" thickBot="1">
      <c r="A711" t="s">
        <v>469</v>
      </c>
      <c r="B711" s="127" t="s">
        <v>1386</v>
      </c>
      <c r="C711" s="127" t="s">
        <v>1387</v>
      </c>
      <c r="D711" s="127" t="s">
        <v>472</v>
      </c>
      <c r="E711" s="127" t="s">
        <v>1419</v>
      </c>
      <c r="F711" s="127" t="s">
        <v>474</v>
      </c>
      <c r="G711" s="127" t="s">
        <v>475</v>
      </c>
      <c r="H711" s="127" t="s">
        <v>476</v>
      </c>
      <c r="I711" s="127">
        <v>-13.47</v>
      </c>
      <c r="J711" s="127">
        <v>33.71</v>
      </c>
      <c r="K711" s="127">
        <v>200</v>
      </c>
      <c r="AV711" s="127" t="s">
        <v>1389</v>
      </c>
      <c r="AW711" s="127">
        <v>2500</v>
      </c>
      <c r="AX711" s="127">
        <v>7500</v>
      </c>
      <c r="AY711" s="127">
        <v>3</v>
      </c>
      <c r="AZ711" s="127" t="s">
        <v>1390</v>
      </c>
      <c r="BA711" s="127">
        <v>2011</v>
      </c>
      <c r="BB711" s="127">
        <v>2014</v>
      </c>
      <c r="BD711" s="127" t="s">
        <v>1430</v>
      </c>
      <c r="BE711" s="127" t="s">
        <v>553</v>
      </c>
      <c r="BF711" s="127" t="s">
        <v>484</v>
      </c>
      <c r="BG711" s="127" t="s">
        <v>1423</v>
      </c>
      <c r="BH711" s="127" t="s">
        <v>1424</v>
      </c>
      <c r="BI711" s="127" t="s">
        <v>486</v>
      </c>
      <c r="BJ711" s="127">
        <v>3700</v>
      </c>
      <c r="BK711" s="127" t="s">
        <v>555</v>
      </c>
      <c r="BL711" s="127" t="s">
        <v>1425</v>
      </c>
      <c r="BM711" s="127" t="s">
        <v>1426</v>
      </c>
      <c r="BN711" s="127" t="s">
        <v>486</v>
      </c>
      <c r="BO711" s="127">
        <v>177800</v>
      </c>
      <c r="BP711" s="127" t="s">
        <v>555</v>
      </c>
      <c r="BQ711" s="127" t="s">
        <v>485</v>
      </c>
      <c r="BR711" s="127" t="s">
        <v>1392</v>
      </c>
      <c r="BS711" s="127" t="s">
        <v>486</v>
      </c>
      <c r="BT711" s="127">
        <v>53333</v>
      </c>
      <c r="EI711" s="130"/>
      <c r="EJ711" s="130"/>
      <c r="EK711" s="130"/>
      <c r="EL711" s="130"/>
      <c r="EM711" s="130"/>
      <c r="EN711" s="130"/>
      <c r="EO711" s="130"/>
      <c r="EP711" s="130"/>
      <c r="EQ711" s="130"/>
      <c r="ER711" s="130"/>
      <c r="ES711" s="130"/>
      <c r="ET711" s="130"/>
      <c r="EU711" s="130"/>
      <c r="EV711" s="130"/>
      <c r="EW711" s="130"/>
      <c r="EX711" s="130"/>
      <c r="EY711" s="130"/>
      <c r="EZ711" s="130"/>
      <c r="FA711" s="130"/>
      <c r="FB711" s="130"/>
      <c r="FC711" s="130"/>
      <c r="FD711" s="130"/>
      <c r="FE711" s="130"/>
      <c r="FF711" s="130"/>
      <c r="FG711" s="130"/>
      <c r="FH711" s="130"/>
      <c r="FI711" s="130"/>
      <c r="FJ711" s="130"/>
      <c r="FK711" s="130"/>
      <c r="FL711" s="130"/>
      <c r="FM711" s="130"/>
      <c r="FN711" s="130"/>
      <c r="FO711" s="130"/>
      <c r="FP711" s="130"/>
      <c r="FQ711" s="130"/>
      <c r="FR711" s="130"/>
      <c r="FS711" s="130"/>
      <c r="FT711" s="130"/>
      <c r="FU711" s="130"/>
      <c r="FV711" s="130"/>
      <c r="FW711" s="130"/>
      <c r="FX711" s="130"/>
      <c r="FY711" s="130"/>
      <c r="FZ711" s="130"/>
      <c r="GA711" s="130"/>
      <c r="GB711" s="130"/>
      <c r="GC711" s="130"/>
      <c r="GD711" s="130"/>
      <c r="GE711" s="130"/>
      <c r="GF711" s="130"/>
      <c r="GG711" s="130"/>
      <c r="GH711" s="130"/>
      <c r="GI711" s="130"/>
      <c r="GJ711" s="130"/>
      <c r="GK711" s="130"/>
      <c r="GL711" s="130"/>
      <c r="GM711" s="130"/>
      <c r="GN711" s="130"/>
      <c r="GO711" s="130"/>
      <c r="GP711" s="130"/>
      <c r="GQ711" s="130"/>
      <c r="GR711" s="130"/>
      <c r="GS711" s="130"/>
      <c r="GT711" s="130"/>
      <c r="GU711" s="130"/>
      <c r="GV711" s="130"/>
      <c r="GW711" s="130"/>
      <c r="GX711" s="130"/>
      <c r="GY711" s="130"/>
      <c r="GZ711" s="130"/>
      <c r="HA711" s="130"/>
      <c r="HB711" s="130"/>
      <c r="HC711" s="130"/>
      <c r="HD711" s="130"/>
      <c r="HE711" s="130"/>
      <c r="HF711" s="130"/>
      <c r="HG711" s="130"/>
      <c r="HH711" s="130"/>
      <c r="HI711" s="130"/>
      <c r="HJ711" s="130"/>
      <c r="HK711" s="130" t="s">
        <v>1417</v>
      </c>
      <c r="HL711" s="130" t="s">
        <v>526</v>
      </c>
      <c r="HM711" s="127" t="s">
        <v>480</v>
      </c>
      <c r="HN711" s="127" t="s">
        <v>480</v>
      </c>
      <c r="HO711" s="127" t="s">
        <v>480</v>
      </c>
      <c r="HP711" s="127" t="s">
        <v>480</v>
      </c>
      <c r="HY711" s="128"/>
      <c r="IO711" s="127" t="s">
        <v>1430</v>
      </c>
      <c r="IP711" s="75" t="s">
        <v>558</v>
      </c>
      <c r="IS711" s="127">
        <v>2011</v>
      </c>
      <c r="IU711" s="127" t="s">
        <v>480</v>
      </c>
      <c r="JJ711" s="127" t="s">
        <v>1394</v>
      </c>
      <c r="JL711" s="127" t="s">
        <v>495</v>
      </c>
      <c r="JP711" s="127" t="s">
        <v>508</v>
      </c>
      <c r="JQ711" s="127">
        <v>131</v>
      </c>
      <c r="JR711" s="127">
        <v>59</v>
      </c>
      <c r="KE711" s="127" t="s">
        <v>1395</v>
      </c>
      <c r="KF711" s="127" t="s">
        <v>500</v>
      </c>
      <c r="KG711" s="127" t="s">
        <v>480</v>
      </c>
      <c r="KH711" s="127" t="s">
        <v>480</v>
      </c>
      <c r="KJ711" s="127" t="s">
        <v>530</v>
      </c>
      <c r="MY711" s="127" t="s">
        <v>1398</v>
      </c>
      <c r="MZ711" s="127">
        <v>2500</v>
      </c>
      <c r="NI711" s="127" t="s">
        <v>1432</v>
      </c>
      <c r="NJ711" s="127" t="s">
        <v>1445</v>
      </c>
      <c r="NK711" s="127" t="s">
        <v>1434</v>
      </c>
      <c r="NL711" s="127" t="s">
        <v>1446</v>
      </c>
      <c r="NM711" s="127" t="s">
        <v>1447</v>
      </c>
      <c r="NV711" s="127" t="s">
        <v>518</v>
      </c>
      <c r="NW711" s="127">
        <v>6.15</v>
      </c>
      <c r="NX711" s="127" t="s">
        <v>866</v>
      </c>
      <c r="NY711" s="127" t="s">
        <v>866</v>
      </c>
      <c r="OB711" s="127">
        <v>4</v>
      </c>
      <c r="OU711" s="127" t="s">
        <v>1421</v>
      </c>
      <c r="OV711" s="127" t="s">
        <v>1044</v>
      </c>
      <c r="OX711" s="127">
        <v>2011</v>
      </c>
      <c r="OY711" s="127">
        <v>2014</v>
      </c>
      <c r="PB711" s="127" t="s">
        <v>522</v>
      </c>
      <c r="PC711" s="128">
        <v>46134</v>
      </c>
    </row>
    <row r="712" spans="1:419" s="127" customFormat="1" ht="15.75" thickBot="1">
      <c r="A712" s="78" t="s">
        <v>469</v>
      </c>
      <c r="B712" s="127" t="s">
        <v>1386</v>
      </c>
      <c r="C712" s="127" t="s">
        <v>1387</v>
      </c>
      <c r="D712" s="127" t="s">
        <v>472</v>
      </c>
      <c r="E712" s="127" t="s">
        <v>1388</v>
      </c>
      <c r="F712" s="127" t="s">
        <v>474</v>
      </c>
      <c r="G712" s="127" t="s">
        <v>475</v>
      </c>
      <c r="H712" s="127" t="s">
        <v>476</v>
      </c>
      <c r="I712" s="127">
        <v>-13.06</v>
      </c>
      <c r="J712" s="127">
        <v>34.299999999999997</v>
      </c>
      <c r="K712" s="127">
        <v>250</v>
      </c>
      <c r="AV712" s="127" t="s">
        <v>1389</v>
      </c>
      <c r="AW712" s="127">
        <v>1300</v>
      </c>
      <c r="AX712" s="127">
        <v>3900</v>
      </c>
      <c r="AY712" s="127">
        <v>3</v>
      </c>
      <c r="AZ712" s="127" t="s">
        <v>1390</v>
      </c>
      <c r="BA712" s="127">
        <v>2011</v>
      </c>
      <c r="BB712" s="127">
        <v>2014</v>
      </c>
      <c r="BD712" s="127" t="s">
        <v>1391</v>
      </c>
      <c r="BE712" s="127" t="s">
        <v>524</v>
      </c>
      <c r="BF712" s="127" t="s">
        <v>484</v>
      </c>
      <c r="BG712" s="127" t="s">
        <v>485</v>
      </c>
      <c r="BH712" s="127" t="s">
        <v>1392</v>
      </c>
      <c r="BI712" s="127" t="s">
        <v>486</v>
      </c>
      <c r="BJ712" s="127">
        <v>53333</v>
      </c>
      <c r="EI712" s="130"/>
      <c r="EJ712" s="130"/>
      <c r="EK712" s="130"/>
      <c r="EL712" s="130"/>
      <c r="EM712" s="130"/>
      <c r="EN712" s="130"/>
      <c r="EO712" s="130"/>
      <c r="EP712" s="130"/>
      <c r="EQ712" s="130"/>
      <c r="ER712" s="130"/>
      <c r="ES712" s="130"/>
      <c r="ET712" s="130"/>
      <c r="EU712" s="130"/>
      <c r="EV712" s="130"/>
      <c r="EW712" s="130"/>
      <c r="EX712" s="130"/>
      <c r="EY712" s="130"/>
      <c r="EZ712" s="130"/>
      <c r="FA712" s="130"/>
      <c r="FB712" s="130"/>
      <c r="FC712" s="130"/>
      <c r="FD712" s="130"/>
      <c r="FE712" s="130"/>
      <c r="FF712" s="130"/>
      <c r="FG712" s="130"/>
      <c r="FH712" s="130"/>
      <c r="FI712" s="130"/>
      <c r="FJ712" s="130"/>
      <c r="FK712" s="130"/>
      <c r="FL712" s="130"/>
      <c r="FM712" s="130"/>
      <c r="FN712" s="130"/>
      <c r="FO712" s="130"/>
      <c r="FP712" s="130"/>
      <c r="FQ712" s="130"/>
      <c r="FR712" s="130"/>
      <c r="FS712" s="130"/>
      <c r="FT712" s="130"/>
      <c r="FU712" s="130"/>
      <c r="FV712" s="130"/>
      <c r="FW712" s="130"/>
      <c r="FX712" s="130"/>
      <c r="FY712" s="130"/>
      <c r="FZ712" s="130"/>
      <c r="GA712" s="130"/>
      <c r="GB712" s="130"/>
      <c r="GC712" s="130"/>
      <c r="GD712" s="130"/>
      <c r="GE712" s="130"/>
      <c r="GF712" s="130"/>
      <c r="GG712" s="130"/>
      <c r="GH712" s="130"/>
      <c r="GI712" s="130"/>
      <c r="GJ712" s="130"/>
      <c r="GK712" s="130"/>
      <c r="GL712" s="130"/>
      <c r="GM712" s="130"/>
      <c r="GN712" s="130"/>
      <c r="GO712" s="130"/>
      <c r="GP712" s="130"/>
      <c r="GQ712" s="130"/>
      <c r="GR712" s="130"/>
      <c r="GS712" s="130"/>
      <c r="GT712" s="130"/>
      <c r="GU712" s="130"/>
      <c r="GV712" s="130"/>
      <c r="GW712" s="130"/>
      <c r="GX712" s="130"/>
      <c r="GY712" s="130"/>
      <c r="GZ712" s="130"/>
      <c r="HA712" s="130"/>
      <c r="HB712" s="130"/>
      <c r="HC712" s="130"/>
      <c r="HD712" s="130"/>
      <c r="HE712" s="130"/>
      <c r="HF712" s="130"/>
      <c r="HG712" s="130"/>
      <c r="HH712" s="130"/>
      <c r="HI712" s="130"/>
      <c r="HJ712" s="130"/>
      <c r="HK712" s="130" t="s">
        <v>1393</v>
      </c>
      <c r="HL712" s="130" t="s">
        <v>488</v>
      </c>
      <c r="HT712" s="128"/>
      <c r="HU712" s="128"/>
      <c r="HY712" s="128"/>
      <c r="IO712" s="127" t="s">
        <v>1391</v>
      </c>
      <c r="IP712" s="127" t="s">
        <v>492</v>
      </c>
      <c r="IS712" s="127">
        <v>2011</v>
      </c>
      <c r="JJ712" s="127" t="s">
        <v>1394</v>
      </c>
      <c r="JL712" s="127" t="s">
        <v>495</v>
      </c>
      <c r="JP712" s="127" t="s">
        <v>508</v>
      </c>
      <c r="JQ712" s="127">
        <v>309</v>
      </c>
      <c r="JR712" s="127">
        <v>93</v>
      </c>
      <c r="KE712" s="127" t="s">
        <v>1395</v>
      </c>
      <c r="KF712" s="127" t="s">
        <v>500</v>
      </c>
      <c r="KG712" s="127" t="s">
        <v>480</v>
      </c>
      <c r="KH712" s="127" t="s">
        <v>480</v>
      </c>
      <c r="KJ712" s="127" t="s">
        <v>501</v>
      </c>
      <c r="KK712" s="127" t="s">
        <v>1396</v>
      </c>
      <c r="KL712" s="127" t="s">
        <v>503</v>
      </c>
      <c r="KM712" s="127">
        <v>7.5</v>
      </c>
      <c r="KN712" s="127" t="s">
        <v>501</v>
      </c>
      <c r="KO712" s="127" t="s">
        <v>1397</v>
      </c>
      <c r="KP712" s="127" t="s">
        <v>503</v>
      </c>
      <c r="KQ712" s="127">
        <v>2</v>
      </c>
      <c r="MY712" s="127" t="s">
        <v>1398</v>
      </c>
      <c r="MZ712" s="127">
        <v>1300</v>
      </c>
      <c r="NA712" s="127" t="s">
        <v>1399</v>
      </c>
      <c r="NB712" s="127" t="s">
        <v>548</v>
      </c>
      <c r="NI712" s="127" t="s">
        <v>1436</v>
      </c>
      <c r="NJ712" s="127" t="s">
        <v>1448</v>
      </c>
      <c r="NK712" s="127" t="s">
        <v>1449</v>
      </c>
      <c r="NL712" s="127" t="s">
        <v>515</v>
      </c>
      <c r="NM712" s="129" t="s">
        <v>1450</v>
      </c>
      <c r="NU712" s="127" t="s">
        <v>657</v>
      </c>
      <c r="NV712" s="127" t="s">
        <v>518</v>
      </c>
      <c r="NW712" s="127">
        <v>49</v>
      </c>
      <c r="NX712" s="127" t="s">
        <v>866</v>
      </c>
      <c r="NY712" s="127" t="s">
        <v>866</v>
      </c>
      <c r="OB712" s="127">
        <v>4</v>
      </c>
      <c r="OU712" s="127" t="s">
        <v>1402</v>
      </c>
      <c r="OV712" s="127" t="s">
        <v>1044</v>
      </c>
      <c r="OX712" s="127">
        <v>2011</v>
      </c>
      <c r="OY712" s="127">
        <v>2014</v>
      </c>
      <c r="PB712" s="127" t="s">
        <v>522</v>
      </c>
      <c r="PC712" s="128">
        <v>46134</v>
      </c>
    </row>
    <row r="713" spans="1:419" s="127" customFormat="1" ht="15.75" thickBot="1">
      <c r="A713" t="s">
        <v>469</v>
      </c>
      <c r="B713" s="127" t="s">
        <v>1386</v>
      </c>
      <c r="C713" s="127" t="s">
        <v>1387</v>
      </c>
      <c r="D713" s="127" t="s">
        <v>472</v>
      </c>
      <c r="E713" s="127" t="s">
        <v>1388</v>
      </c>
      <c r="F713" s="127" t="s">
        <v>474</v>
      </c>
      <c r="G713" s="127" t="s">
        <v>475</v>
      </c>
      <c r="H713" s="127" t="s">
        <v>476</v>
      </c>
      <c r="I713" s="127">
        <v>-13.06</v>
      </c>
      <c r="J713" s="127">
        <v>34.299999999999997</v>
      </c>
      <c r="K713" s="127">
        <v>250</v>
      </c>
      <c r="AV713" s="127" t="s">
        <v>1389</v>
      </c>
      <c r="AW713" s="127">
        <v>1300</v>
      </c>
      <c r="AX713" s="127">
        <v>3900</v>
      </c>
      <c r="AY713" s="127">
        <v>3</v>
      </c>
      <c r="AZ713" s="127" t="s">
        <v>1390</v>
      </c>
      <c r="BA713" s="127">
        <v>2011</v>
      </c>
      <c r="BB713" s="127">
        <v>2014</v>
      </c>
      <c r="BD713" s="127" t="s">
        <v>1403</v>
      </c>
      <c r="BE713" s="127" t="s">
        <v>536</v>
      </c>
      <c r="BF713" s="127" t="s">
        <v>484</v>
      </c>
      <c r="BG713" s="127" t="s">
        <v>1364</v>
      </c>
      <c r="BH713" s="127" t="s">
        <v>1404</v>
      </c>
      <c r="BI713" s="127" t="s">
        <v>486</v>
      </c>
      <c r="BJ713" s="127">
        <v>12300</v>
      </c>
      <c r="BK713" s="127" t="s">
        <v>537</v>
      </c>
      <c r="BL713" s="127" t="s">
        <v>1405</v>
      </c>
      <c r="BM713" s="127" t="s">
        <v>1406</v>
      </c>
      <c r="BN713" s="127" t="s">
        <v>486</v>
      </c>
      <c r="BO713" s="127">
        <v>24700</v>
      </c>
      <c r="BP713" s="127" t="s">
        <v>555</v>
      </c>
      <c r="BQ713" s="127" t="s">
        <v>538</v>
      </c>
      <c r="BR713" s="127" t="s">
        <v>1407</v>
      </c>
      <c r="BS713" s="127" t="s">
        <v>486</v>
      </c>
      <c r="BT713" s="127">
        <v>355556</v>
      </c>
      <c r="BU713" s="127" t="s">
        <v>537</v>
      </c>
      <c r="BV713" s="127" t="s">
        <v>1405</v>
      </c>
      <c r="BW713" s="127" t="s">
        <v>1406</v>
      </c>
      <c r="BX713" s="127" t="s">
        <v>486</v>
      </c>
      <c r="BY713" s="127">
        <v>24700</v>
      </c>
      <c r="BZ713" s="127" t="s">
        <v>555</v>
      </c>
      <c r="CA713" s="127" t="s">
        <v>485</v>
      </c>
      <c r="CB713" s="127" t="s">
        <v>1392</v>
      </c>
      <c r="CC713" s="127" t="s">
        <v>486</v>
      </c>
      <c r="CD713" s="127">
        <v>53333</v>
      </c>
      <c r="EI713" s="130"/>
      <c r="EJ713" s="130"/>
      <c r="EK713" s="130"/>
      <c r="EL713" s="130"/>
      <c r="EM713" s="130"/>
      <c r="EN713" s="130"/>
      <c r="EO713" s="130"/>
      <c r="EP713" s="130"/>
      <c r="EQ713" s="130"/>
      <c r="ER713" s="130"/>
      <c r="ES713" s="130"/>
      <c r="ET713" s="130"/>
      <c r="EU713" s="130"/>
      <c r="EV713" s="130"/>
      <c r="EW713" s="130"/>
      <c r="EX713" s="130"/>
      <c r="EY713" s="130"/>
      <c r="EZ713" s="130"/>
      <c r="FA713" s="130"/>
      <c r="FB713" s="130"/>
      <c r="FC713" s="130"/>
      <c r="FD713" s="130"/>
      <c r="FE713" s="130"/>
      <c r="FF713" s="130"/>
      <c r="FG713" s="130"/>
      <c r="FH713" s="130"/>
      <c r="FI713" s="130"/>
      <c r="FJ713" s="130"/>
      <c r="FK713" s="130"/>
      <c r="FL713" s="130"/>
      <c r="FM713" s="130"/>
      <c r="FN713" s="130"/>
      <c r="FO713" s="130"/>
      <c r="FP713" s="130"/>
      <c r="FQ713" s="130"/>
      <c r="FR713" s="130"/>
      <c r="FS713" s="130"/>
      <c r="FT713" s="130"/>
      <c r="FU713" s="130"/>
      <c r="FV713" s="130"/>
      <c r="FW713" s="130"/>
      <c r="FX713" s="130"/>
      <c r="FY713" s="130"/>
      <c r="FZ713" s="130"/>
      <c r="GA713" s="130"/>
      <c r="GB713" s="130"/>
      <c r="GC713" s="130"/>
      <c r="GD713" s="130"/>
      <c r="GE713" s="130"/>
      <c r="GF713" s="130"/>
      <c r="GG713" s="130"/>
      <c r="GH713" s="130"/>
      <c r="GI713" s="130"/>
      <c r="GJ713" s="130"/>
      <c r="GK713" s="130"/>
      <c r="GL713" s="130"/>
      <c r="GM713" s="130"/>
      <c r="GN713" s="130"/>
      <c r="GO713" s="130"/>
      <c r="GP713" s="130"/>
      <c r="GQ713" s="130"/>
      <c r="GR713" s="130"/>
      <c r="GS713" s="130"/>
      <c r="GT713" s="130"/>
      <c r="GU713" s="130"/>
      <c r="GV713" s="130"/>
      <c r="GW713" s="130"/>
      <c r="GX713" s="130"/>
      <c r="GY713" s="130"/>
      <c r="GZ713" s="130"/>
      <c r="HA713" s="130"/>
      <c r="HB713" s="130"/>
      <c r="HC713" s="130"/>
      <c r="HD713" s="130"/>
      <c r="HE713" s="130"/>
      <c r="HF713" s="130"/>
      <c r="HG713" s="130"/>
      <c r="HH713" s="130"/>
      <c r="HI713" s="130"/>
      <c r="HJ713" s="130"/>
      <c r="HK713" s="130" t="s">
        <v>1393</v>
      </c>
      <c r="HL713" s="130" t="s">
        <v>488</v>
      </c>
      <c r="HT713" s="128"/>
      <c r="HU713" s="128"/>
      <c r="HY713" s="128"/>
      <c r="IO713" s="127" t="s">
        <v>1403</v>
      </c>
      <c r="IP713" s="75" t="s">
        <v>558</v>
      </c>
      <c r="IQ713" s="127" t="s">
        <v>1408</v>
      </c>
      <c r="IS713" s="127">
        <v>2011</v>
      </c>
      <c r="IU713" s="127" t="s">
        <v>480</v>
      </c>
      <c r="JJ713" s="127" t="s">
        <v>1394</v>
      </c>
      <c r="JL713" s="127" t="s">
        <v>495</v>
      </c>
      <c r="JP713" s="127" t="s">
        <v>508</v>
      </c>
      <c r="JQ713" s="127">
        <v>103</v>
      </c>
      <c r="JR713" s="127">
        <v>31</v>
      </c>
      <c r="KE713" s="127" t="s">
        <v>1395</v>
      </c>
      <c r="KF713" s="127" t="s">
        <v>500</v>
      </c>
      <c r="KG713" s="127" t="s">
        <v>480</v>
      </c>
      <c r="KH713" s="127" t="s">
        <v>480</v>
      </c>
      <c r="KJ713" s="127" t="s">
        <v>501</v>
      </c>
      <c r="KK713" s="127" t="s">
        <v>1396</v>
      </c>
      <c r="KL713" s="127" t="s">
        <v>503</v>
      </c>
      <c r="KM713" s="127">
        <v>7.5</v>
      </c>
      <c r="KN713" s="127" t="s">
        <v>501</v>
      </c>
      <c r="KO713" s="127" t="s">
        <v>1397</v>
      </c>
      <c r="KP713" s="127" t="s">
        <v>503</v>
      </c>
      <c r="KQ713" s="127">
        <v>1</v>
      </c>
      <c r="KR713" s="127" t="s">
        <v>545</v>
      </c>
      <c r="KS713" s="127" t="s">
        <v>1409</v>
      </c>
      <c r="KT713" s="127" t="s">
        <v>1410</v>
      </c>
      <c r="KU713" s="127">
        <v>100</v>
      </c>
      <c r="MY713" s="127" t="s">
        <v>1398</v>
      </c>
      <c r="MZ713" s="127">
        <v>1300</v>
      </c>
      <c r="NA713" s="127" t="s">
        <v>1411</v>
      </c>
      <c r="NB713" s="127" t="s">
        <v>548</v>
      </c>
      <c r="NC713" s="127" t="s">
        <v>1412</v>
      </c>
      <c r="ND713" s="127" t="s">
        <v>1413</v>
      </c>
      <c r="NE713" s="127" t="s">
        <v>1414</v>
      </c>
      <c r="NI713" s="127" t="s">
        <v>1440</v>
      </c>
      <c r="NJ713" s="127" t="s">
        <v>1448</v>
      </c>
      <c r="NK713" s="127" t="s">
        <v>1451</v>
      </c>
      <c r="NL713" s="127" t="s">
        <v>515</v>
      </c>
      <c r="NM713" s="129" t="s">
        <v>1450</v>
      </c>
      <c r="NV713" s="127" t="s">
        <v>518</v>
      </c>
      <c r="NW713" s="127">
        <v>39</v>
      </c>
      <c r="NX713" s="127" t="s">
        <v>866</v>
      </c>
      <c r="NY713" s="127" t="s">
        <v>866</v>
      </c>
      <c r="OB713" s="127">
        <v>4</v>
      </c>
      <c r="OU713" s="127" t="s">
        <v>1402</v>
      </c>
      <c r="OV713" s="127" t="s">
        <v>1044</v>
      </c>
      <c r="OX713" s="127">
        <v>2011</v>
      </c>
      <c r="OY713" s="127">
        <v>2014</v>
      </c>
      <c r="PB713" s="127" t="s">
        <v>522</v>
      </c>
      <c r="PC713" s="128">
        <v>46134</v>
      </c>
    </row>
    <row r="714" spans="1:419" s="127" customFormat="1" ht="15.75" thickBot="1">
      <c r="A714" t="s">
        <v>469</v>
      </c>
      <c r="B714" s="127" t="s">
        <v>1386</v>
      </c>
      <c r="C714" s="127" t="s">
        <v>1387</v>
      </c>
      <c r="D714" s="127" t="s">
        <v>472</v>
      </c>
      <c r="E714" s="127" t="s">
        <v>1388</v>
      </c>
      <c r="F714" s="127" t="s">
        <v>474</v>
      </c>
      <c r="G714" s="127" t="s">
        <v>475</v>
      </c>
      <c r="H714" s="127" t="s">
        <v>476</v>
      </c>
      <c r="I714" s="127">
        <v>-13.06</v>
      </c>
      <c r="J714" s="127">
        <v>34.299999999999997</v>
      </c>
      <c r="K714" s="127">
        <v>250</v>
      </c>
      <c r="AV714" s="127" t="s">
        <v>1389</v>
      </c>
      <c r="AW714" s="127">
        <v>1300</v>
      </c>
      <c r="AX714" s="127">
        <v>3900</v>
      </c>
      <c r="AY714" s="127">
        <v>3</v>
      </c>
      <c r="AZ714" s="127" t="s">
        <v>1390</v>
      </c>
      <c r="BA714" s="127">
        <v>2011</v>
      </c>
      <c r="BB714" s="127">
        <v>2014</v>
      </c>
      <c r="BD714" s="127" t="s">
        <v>1415</v>
      </c>
      <c r="BE714" s="127" t="s">
        <v>566</v>
      </c>
      <c r="BF714" s="127" t="s">
        <v>484</v>
      </c>
      <c r="BG714" s="127" t="s">
        <v>1364</v>
      </c>
      <c r="BH714" s="127" t="s">
        <v>1404</v>
      </c>
      <c r="BI714" s="127" t="s">
        <v>486</v>
      </c>
      <c r="BJ714" s="127">
        <v>12300</v>
      </c>
      <c r="BK714" s="127" t="s">
        <v>555</v>
      </c>
      <c r="BL714" s="127" t="s">
        <v>554</v>
      </c>
      <c r="BM714" s="127" t="s">
        <v>1416</v>
      </c>
      <c r="BN714" s="127" t="s">
        <v>486</v>
      </c>
      <c r="BO714" s="127">
        <v>266667</v>
      </c>
      <c r="BP714" s="127" t="s">
        <v>555</v>
      </c>
      <c r="BQ714" s="127" t="s">
        <v>485</v>
      </c>
      <c r="BR714" s="127" t="s">
        <v>1392</v>
      </c>
      <c r="BS714" s="127" t="s">
        <v>486</v>
      </c>
      <c r="BT714" s="127">
        <v>53333</v>
      </c>
      <c r="EI714" s="130"/>
      <c r="EJ714" s="130"/>
      <c r="EK714" s="130"/>
      <c r="EL714" s="130"/>
      <c r="EM714" s="130"/>
      <c r="EN714" s="130"/>
      <c r="EO714" s="130"/>
      <c r="EP714" s="130"/>
      <c r="EQ714" s="130"/>
      <c r="ER714" s="130"/>
      <c r="ES714" s="130"/>
      <c r="ET714" s="130"/>
      <c r="EU714" s="130"/>
      <c r="EV714" s="130"/>
      <c r="EW714" s="130"/>
      <c r="EX714" s="130"/>
      <c r="EY714" s="130"/>
      <c r="EZ714" s="130"/>
      <c r="FA714" s="130"/>
      <c r="FB714" s="130"/>
      <c r="FC714" s="130"/>
      <c r="FD714" s="130"/>
      <c r="FE714" s="130"/>
      <c r="FF714" s="130"/>
      <c r="FG714" s="130"/>
      <c r="FH714" s="130"/>
      <c r="FI714" s="130"/>
      <c r="FJ714" s="130"/>
      <c r="FK714" s="130"/>
      <c r="FL714" s="130"/>
      <c r="FM714" s="130"/>
      <c r="FN714" s="130"/>
      <c r="FO714" s="130"/>
      <c r="FP714" s="130"/>
      <c r="FQ714" s="130"/>
      <c r="FR714" s="130"/>
      <c r="FS714" s="130"/>
      <c r="FT714" s="130"/>
      <c r="FU714" s="130"/>
      <c r="FV714" s="130"/>
      <c r="FW714" s="130"/>
      <c r="FX714" s="130"/>
      <c r="FY714" s="130"/>
      <c r="FZ714" s="130"/>
      <c r="GA714" s="130"/>
      <c r="GB714" s="130"/>
      <c r="GC714" s="130"/>
      <c r="GD714" s="130"/>
      <c r="GE714" s="130"/>
      <c r="GF714" s="130"/>
      <c r="GG714" s="130"/>
      <c r="GH714" s="130"/>
      <c r="GI714" s="130"/>
      <c r="GJ714" s="130"/>
      <c r="GK714" s="130"/>
      <c r="GL714" s="130"/>
      <c r="GM714" s="130"/>
      <c r="GN714" s="130"/>
      <c r="GO714" s="130"/>
      <c r="GP714" s="130"/>
      <c r="GQ714" s="130"/>
      <c r="GR714" s="130"/>
      <c r="GS714" s="130"/>
      <c r="GT714" s="130"/>
      <c r="GU714" s="130"/>
      <c r="GV714" s="130"/>
      <c r="GW714" s="130"/>
      <c r="GX714" s="130"/>
      <c r="GY714" s="130"/>
      <c r="GZ714" s="130"/>
      <c r="HA714" s="130"/>
      <c r="HB714" s="130"/>
      <c r="HC714" s="130"/>
      <c r="HD714" s="130"/>
      <c r="HE714" s="130"/>
      <c r="HF714" s="130"/>
      <c r="HG714" s="130"/>
      <c r="HH714" s="130"/>
      <c r="HI714" s="130"/>
      <c r="HJ714" s="130"/>
      <c r="HK714" s="130" t="s">
        <v>1417</v>
      </c>
      <c r="HL714" s="130" t="s">
        <v>526</v>
      </c>
      <c r="HM714" s="127" t="s">
        <v>480</v>
      </c>
      <c r="HN714" s="127" t="s">
        <v>480</v>
      </c>
      <c r="HO714" s="127" t="s">
        <v>480</v>
      </c>
      <c r="HP714" s="127" t="s">
        <v>480</v>
      </c>
      <c r="HY714" s="128"/>
      <c r="IO714" s="127" t="s">
        <v>1415</v>
      </c>
      <c r="IP714" s="75" t="s">
        <v>558</v>
      </c>
      <c r="IS714" s="127">
        <v>2011</v>
      </c>
      <c r="IU714" s="127" t="s">
        <v>480</v>
      </c>
      <c r="JJ714" s="127" t="s">
        <v>1394</v>
      </c>
      <c r="JL714" s="127" t="s">
        <v>495</v>
      </c>
      <c r="JP714" s="127" t="s">
        <v>508</v>
      </c>
      <c r="JQ714" s="127">
        <v>124</v>
      </c>
      <c r="JR714" s="127">
        <v>50</v>
      </c>
      <c r="KE714" s="127" t="s">
        <v>1395</v>
      </c>
      <c r="KF714" s="127" t="s">
        <v>500</v>
      </c>
      <c r="KG714" s="127" t="s">
        <v>480</v>
      </c>
      <c r="KH714" s="127" t="s">
        <v>480</v>
      </c>
      <c r="KJ714" s="127" t="s">
        <v>530</v>
      </c>
      <c r="MY714" s="127" t="s">
        <v>1398</v>
      </c>
      <c r="MZ714" s="127">
        <v>1300</v>
      </c>
      <c r="NA714" s="127" t="s">
        <v>1418</v>
      </c>
      <c r="NB714" s="127" t="s">
        <v>548</v>
      </c>
      <c r="NC714" s="127" t="s">
        <v>1412</v>
      </c>
      <c r="ND714" s="127" t="s">
        <v>554</v>
      </c>
      <c r="NI714" s="127" t="s">
        <v>1441</v>
      </c>
      <c r="NJ714" s="127" t="s">
        <v>1448</v>
      </c>
      <c r="NK714" s="127" t="s">
        <v>1452</v>
      </c>
      <c r="NL714" s="127" t="s">
        <v>515</v>
      </c>
      <c r="NM714" s="129" t="s">
        <v>1450</v>
      </c>
      <c r="NV714" s="127" t="s">
        <v>518</v>
      </c>
      <c r="NW714" s="127">
        <v>45</v>
      </c>
      <c r="NX714" s="127" t="s">
        <v>866</v>
      </c>
      <c r="NY714" s="127" t="s">
        <v>866</v>
      </c>
      <c r="OB714" s="127">
        <v>4</v>
      </c>
      <c r="OU714" s="127" t="s">
        <v>1402</v>
      </c>
      <c r="OV714" s="127" t="s">
        <v>1044</v>
      </c>
      <c r="OX714" s="127">
        <v>2011</v>
      </c>
      <c r="OY714" s="127">
        <v>2014</v>
      </c>
      <c r="PB714" s="127" t="s">
        <v>522</v>
      </c>
      <c r="PC714" s="128">
        <v>46134</v>
      </c>
    </row>
    <row r="715" spans="1:419" s="127" customFormat="1" ht="15.75" thickBot="1">
      <c r="A715" s="78" t="s">
        <v>469</v>
      </c>
      <c r="B715" s="127" t="s">
        <v>1386</v>
      </c>
      <c r="C715" s="127" t="s">
        <v>1387</v>
      </c>
      <c r="D715" s="127" t="s">
        <v>472</v>
      </c>
      <c r="E715" s="127" t="s">
        <v>1419</v>
      </c>
      <c r="F715" s="127" t="s">
        <v>474</v>
      </c>
      <c r="G715" s="127" t="s">
        <v>475</v>
      </c>
      <c r="H715" s="127" t="s">
        <v>476</v>
      </c>
      <c r="I715" s="127">
        <v>-13.47</v>
      </c>
      <c r="J715" s="127">
        <v>33.71</v>
      </c>
      <c r="K715" s="127">
        <v>200</v>
      </c>
      <c r="AV715" s="127" t="s">
        <v>1389</v>
      </c>
      <c r="AW715" s="127">
        <v>2500</v>
      </c>
      <c r="AX715" s="127">
        <v>7500</v>
      </c>
      <c r="AY715" s="127">
        <v>3</v>
      </c>
      <c r="AZ715" s="127" t="s">
        <v>1390</v>
      </c>
      <c r="BA715" s="127">
        <v>2011</v>
      </c>
      <c r="BB715" s="127">
        <v>2014</v>
      </c>
      <c r="BD715" s="127" t="s">
        <v>1391</v>
      </c>
      <c r="BE715" s="127" t="s">
        <v>483</v>
      </c>
      <c r="BF715" s="127" t="s">
        <v>484</v>
      </c>
      <c r="BG715" s="127" t="s">
        <v>485</v>
      </c>
      <c r="BH715" s="127" t="s">
        <v>1392</v>
      </c>
      <c r="BI715" s="127" t="s">
        <v>486</v>
      </c>
      <c r="BJ715" s="127">
        <v>53333</v>
      </c>
      <c r="EI715" s="130"/>
      <c r="EJ715" s="130"/>
      <c r="EK715" s="130"/>
      <c r="EL715" s="130"/>
      <c r="EM715" s="130"/>
      <c r="EN715" s="130"/>
      <c r="EO715" s="130"/>
      <c r="EP715" s="130"/>
      <c r="EQ715" s="130"/>
      <c r="ER715" s="130"/>
      <c r="ES715" s="130"/>
      <c r="ET715" s="130"/>
      <c r="EU715" s="130"/>
      <c r="EV715" s="130"/>
      <c r="EW715" s="130"/>
      <c r="EX715" s="130"/>
      <c r="EY715" s="130"/>
      <c r="EZ715" s="130"/>
      <c r="FA715" s="130"/>
      <c r="FB715" s="130"/>
      <c r="FC715" s="130"/>
      <c r="FD715" s="130"/>
      <c r="FE715" s="130"/>
      <c r="FF715" s="130"/>
      <c r="FG715" s="130"/>
      <c r="FH715" s="130"/>
      <c r="FI715" s="130"/>
      <c r="FJ715" s="130"/>
      <c r="FK715" s="130"/>
      <c r="FL715" s="130"/>
      <c r="FM715" s="130"/>
      <c r="FN715" s="130"/>
      <c r="FO715" s="130"/>
      <c r="FP715" s="130"/>
      <c r="FQ715" s="130"/>
      <c r="FR715" s="130"/>
      <c r="FS715" s="130"/>
      <c r="FT715" s="130"/>
      <c r="FU715" s="130"/>
      <c r="FV715" s="130"/>
      <c r="FW715" s="130"/>
      <c r="FX715" s="130"/>
      <c r="FY715" s="130"/>
      <c r="FZ715" s="130"/>
      <c r="GA715" s="130"/>
      <c r="GB715" s="130"/>
      <c r="GC715" s="130"/>
      <c r="GD715" s="130"/>
      <c r="GE715" s="130"/>
      <c r="GF715" s="130"/>
      <c r="GG715" s="130"/>
      <c r="GH715" s="130"/>
      <c r="GI715" s="130"/>
      <c r="GJ715" s="130"/>
      <c r="GK715" s="130"/>
      <c r="GL715" s="130"/>
      <c r="GM715" s="130"/>
      <c r="GN715" s="130"/>
      <c r="GO715" s="130"/>
      <c r="GP715" s="130"/>
      <c r="GQ715" s="130"/>
      <c r="GR715" s="130"/>
      <c r="GS715" s="130"/>
      <c r="GT715" s="130"/>
      <c r="GU715" s="130"/>
      <c r="GV715" s="130"/>
      <c r="GW715" s="130"/>
      <c r="GX715" s="130"/>
      <c r="GY715" s="130"/>
      <c r="GZ715" s="130"/>
      <c r="HA715" s="130"/>
      <c r="HB715" s="130"/>
      <c r="HC715" s="130"/>
      <c r="HD715" s="130"/>
      <c r="HE715" s="130"/>
      <c r="HF715" s="130"/>
      <c r="HG715" s="130"/>
      <c r="HH715" s="130"/>
      <c r="HI715" s="130"/>
      <c r="HJ715" s="130"/>
      <c r="HK715" s="130" t="s">
        <v>1393</v>
      </c>
      <c r="HL715" s="130" t="s">
        <v>488</v>
      </c>
      <c r="HY715" s="128"/>
      <c r="IO715" s="127" t="s">
        <v>1391</v>
      </c>
      <c r="IP715" s="127" t="s">
        <v>492</v>
      </c>
      <c r="IS715" s="127">
        <v>2011</v>
      </c>
      <c r="JJ715" s="127" t="s">
        <v>1394</v>
      </c>
      <c r="JL715" s="127" t="s">
        <v>495</v>
      </c>
      <c r="JP715" s="127" t="s">
        <v>508</v>
      </c>
      <c r="JQ715" s="127">
        <v>309</v>
      </c>
      <c r="JR715" s="127">
        <v>93</v>
      </c>
      <c r="KE715" s="127" t="s">
        <v>1395</v>
      </c>
      <c r="KF715" s="127" t="s">
        <v>500</v>
      </c>
      <c r="KG715" s="127" t="s">
        <v>480</v>
      </c>
      <c r="KH715" s="127" t="s">
        <v>480</v>
      </c>
      <c r="KJ715" s="127" t="s">
        <v>501</v>
      </c>
      <c r="KK715" s="127" t="s">
        <v>1396</v>
      </c>
      <c r="KL715" s="127" t="s">
        <v>503</v>
      </c>
      <c r="KM715" s="127">
        <v>7.5</v>
      </c>
      <c r="KN715" s="127" t="s">
        <v>501</v>
      </c>
      <c r="KO715" s="127" t="s">
        <v>1397</v>
      </c>
      <c r="KP715" s="127" t="s">
        <v>503</v>
      </c>
      <c r="KQ715" s="127">
        <v>2</v>
      </c>
      <c r="MY715" s="127" t="s">
        <v>1398</v>
      </c>
      <c r="MZ715" s="127">
        <v>2500</v>
      </c>
      <c r="NA715" s="127" t="s">
        <v>1399</v>
      </c>
      <c r="NB715" s="127" t="s">
        <v>548</v>
      </c>
      <c r="NI715" s="127" t="s">
        <v>1436</v>
      </c>
      <c r="NJ715" s="127" t="s">
        <v>1448</v>
      </c>
      <c r="NK715" s="127" t="s">
        <v>1453</v>
      </c>
      <c r="NL715" s="127" t="s">
        <v>515</v>
      </c>
      <c r="NM715" s="129" t="s">
        <v>1450</v>
      </c>
      <c r="NU715" s="127" t="s">
        <v>1420</v>
      </c>
      <c r="NV715" s="127" t="s">
        <v>518</v>
      </c>
      <c r="NW715" s="127">
        <v>53</v>
      </c>
      <c r="NX715" s="127" t="s">
        <v>866</v>
      </c>
      <c r="NY715" s="127" t="s">
        <v>866</v>
      </c>
      <c r="OB715" s="127">
        <v>4</v>
      </c>
      <c r="OU715" s="127" t="s">
        <v>1421</v>
      </c>
      <c r="OV715" s="127" t="s">
        <v>1044</v>
      </c>
      <c r="OX715" s="127">
        <v>2011</v>
      </c>
      <c r="OY715" s="127">
        <v>2014</v>
      </c>
      <c r="PB715" s="127" t="s">
        <v>522</v>
      </c>
      <c r="PC715" s="128">
        <v>46134</v>
      </c>
    </row>
    <row r="716" spans="1:419" s="127" customFormat="1" ht="15.75" thickBot="1">
      <c r="A716" t="s">
        <v>469</v>
      </c>
      <c r="B716" s="127" t="s">
        <v>1386</v>
      </c>
      <c r="C716" s="127" t="s">
        <v>1387</v>
      </c>
      <c r="D716" s="127" t="s">
        <v>472</v>
      </c>
      <c r="E716" s="127" t="s">
        <v>1419</v>
      </c>
      <c r="F716" s="127" t="s">
        <v>474</v>
      </c>
      <c r="G716" s="127" t="s">
        <v>475</v>
      </c>
      <c r="H716" s="127" t="s">
        <v>476</v>
      </c>
      <c r="I716" s="127">
        <v>-13.47</v>
      </c>
      <c r="J716" s="127">
        <v>33.71</v>
      </c>
      <c r="K716" s="127">
        <v>200</v>
      </c>
      <c r="AV716" s="127" t="s">
        <v>1389</v>
      </c>
      <c r="AW716" s="127">
        <v>2500</v>
      </c>
      <c r="AX716" s="127">
        <v>7500</v>
      </c>
      <c r="AY716" s="127">
        <v>3</v>
      </c>
      <c r="AZ716" s="127" t="s">
        <v>1390</v>
      </c>
      <c r="BA716" s="127">
        <v>2011</v>
      </c>
      <c r="BB716" s="127">
        <v>2014</v>
      </c>
      <c r="BD716" s="127" t="s">
        <v>1422</v>
      </c>
      <c r="BE716" s="127" t="s">
        <v>572</v>
      </c>
      <c r="BF716" s="127" t="s">
        <v>484</v>
      </c>
      <c r="BG716" s="127" t="s">
        <v>1423</v>
      </c>
      <c r="BH716" s="127" t="s">
        <v>1424</v>
      </c>
      <c r="BI716" s="127" t="s">
        <v>486</v>
      </c>
      <c r="BJ716" s="127">
        <v>3700</v>
      </c>
      <c r="BK716" s="127" t="s">
        <v>537</v>
      </c>
      <c r="BL716" s="127" t="s">
        <v>1405</v>
      </c>
      <c r="BM716" s="127" t="s">
        <v>1406</v>
      </c>
      <c r="BN716" s="127" t="s">
        <v>486</v>
      </c>
      <c r="BO716" s="127">
        <v>18500</v>
      </c>
      <c r="BP716" s="127" t="s">
        <v>555</v>
      </c>
      <c r="BQ716" s="127" t="s">
        <v>1425</v>
      </c>
      <c r="BR716" s="127" t="s">
        <v>1426</v>
      </c>
      <c r="BS716" s="127" t="s">
        <v>486</v>
      </c>
      <c r="BT716" s="127">
        <v>222200</v>
      </c>
      <c r="BU716" s="127" t="s">
        <v>555</v>
      </c>
      <c r="BV716" s="127" t="s">
        <v>485</v>
      </c>
      <c r="BW716" s="127" t="s">
        <v>1392</v>
      </c>
      <c r="BX716" s="127" t="s">
        <v>486</v>
      </c>
      <c r="BY716" s="127">
        <v>53333</v>
      </c>
      <c r="EI716" s="130"/>
      <c r="EJ716" s="130"/>
      <c r="EK716" s="130"/>
      <c r="EL716" s="130"/>
      <c r="EM716" s="130"/>
      <c r="EN716" s="130"/>
      <c r="EO716" s="130"/>
      <c r="EP716" s="130"/>
      <c r="EQ716" s="130"/>
      <c r="ER716" s="130"/>
      <c r="ES716" s="130"/>
      <c r="ET716" s="130"/>
      <c r="EU716" s="130"/>
      <c r="EV716" s="130"/>
      <c r="EW716" s="130"/>
      <c r="EX716" s="130"/>
      <c r="EY716" s="130"/>
      <c r="EZ716" s="130"/>
      <c r="FA716" s="130"/>
      <c r="FB716" s="130"/>
      <c r="FC716" s="130"/>
      <c r="FD716" s="130"/>
      <c r="FE716" s="130"/>
      <c r="FF716" s="130"/>
      <c r="FG716" s="130"/>
      <c r="FH716" s="130"/>
      <c r="FI716" s="130"/>
      <c r="FJ716" s="130"/>
      <c r="FK716" s="130"/>
      <c r="FL716" s="130"/>
      <c r="FM716" s="130"/>
      <c r="FN716" s="130"/>
      <c r="FO716" s="130"/>
      <c r="FP716" s="130"/>
      <c r="FQ716" s="130"/>
      <c r="FR716" s="130"/>
      <c r="FS716" s="130"/>
      <c r="FT716" s="130"/>
      <c r="FU716" s="130"/>
      <c r="FV716" s="130"/>
      <c r="FW716" s="130"/>
      <c r="FX716" s="130"/>
      <c r="FY716" s="130"/>
      <c r="FZ716" s="130"/>
      <c r="GA716" s="130"/>
      <c r="GB716" s="130"/>
      <c r="GC716" s="130"/>
      <c r="GD716" s="130"/>
      <c r="GE716" s="130"/>
      <c r="GF716" s="130"/>
      <c r="GG716" s="130"/>
      <c r="GH716" s="130"/>
      <c r="GI716" s="130"/>
      <c r="GJ716" s="130"/>
      <c r="GK716" s="130"/>
      <c r="GL716" s="130"/>
      <c r="GM716" s="130"/>
      <c r="GN716" s="130"/>
      <c r="GO716" s="130"/>
      <c r="GP716" s="130"/>
      <c r="GQ716" s="130"/>
      <c r="GR716" s="130"/>
      <c r="GS716" s="130"/>
      <c r="GT716" s="130"/>
      <c r="GU716" s="130"/>
      <c r="GV716" s="130"/>
      <c r="GW716" s="130"/>
      <c r="GX716" s="130"/>
      <c r="GY716" s="130"/>
      <c r="GZ716" s="130"/>
      <c r="HA716" s="130"/>
      <c r="HB716" s="130"/>
      <c r="HC716" s="130"/>
      <c r="HD716" s="130"/>
      <c r="HE716" s="130"/>
      <c r="HF716" s="130"/>
      <c r="HG716" s="130"/>
      <c r="HH716" s="130"/>
      <c r="HI716" s="130"/>
      <c r="HJ716" s="130"/>
      <c r="HK716" s="130" t="s">
        <v>1393</v>
      </c>
      <c r="HL716" s="130" t="s">
        <v>488</v>
      </c>
      <c r="HY716" s="128"/>
      <c r="IO716" s="127" t="s">
        <v>1422</v>
      </c>
      <c r="IP716" s="75" t="s">
        <v>558</v>
      </c>
      <c r="IQ716" s="127" t="s">
        <v>1408</v>
      </c>
      <c r="IS716" s="127">
        <v>2011</v>
      </c>
      <c r="IU716" s="127" t="s">
        <v>480</v>
      </c>
      <c r="JJ716" s="127" t="s">
        <v>1394</v>
      </c>
      <c r="JL716" s="127" t="s">
        <v>495</v>
      </c>
      <c r="JP716" s="127" t="s">
        <v>508</v>
      </c>
      <c r="JQ716" s="127">
        <v>131</v>
      </c>
      <c r="JR716" s="127">
        <v>59</v>
      </c>
      <c r="KE716" s="127" t="s">
        <v>1395</v>
      </c>
      <c r="KF716" s="127" t="s">
        <v>500</v>
      </c>
      <c r="KG716" s="127" t="s">
        <v>480</v>
      </c>
      <c r="KH716" s="127" t="s">
        <v>480</v>
      </c>
      <c r="KJ716" s="127" t="s">
        <v>501</v>
      </c>
      <c r="KK716" s="127" t="s">
        <v>1396</v>
      </c>
      <c r="KL716" s="127" t="s">
        <v>503</v>
      </c>
      <c r="KM716" s="127">
        <v>7.5</v>
      </c>
      <c r="KN716" s="127" t="s">
        <v>501</v>
      </c>
      <c r="KO716" s="127" t="s">
        <v>1397</v>
      </c>
      <c r="KP716" s="127" t="s">
        <v>503</v>
      </c>
      <c r="KQ716" s="127">
        <v>1</v>
      </c>
      <c r="MY716" s="127" t="s">
        <v>1398</v>
      </c>
      <c r="MZ716" s="127">
        <v>2500</v>
      </c>
      <c r="NA716" s="127" t="s">
        <v>1427</v>
      </c>
      <c r="NB716" s="127" t="s">
        <v>548</v>
      </c>
      <c r="NC716" s="127" t="s">
        <v>1428</v>
      </c>
      <c r="ND716" s="127" t="s">
        <v>1413</v>
      </c>
      <c r="NE716" s="127" t="s">
        <v>1429</v>
      </c>
      <c r="NI716" s="127" t="s">
        <v>1436</v>
      </c>
      <c r="NJ716" s="127" t="s">
        <v>1448</v>
      </c>
      <c r="NK716" s="127" t="s">
        <v>1454</v>
      </c>
      <c r="NL716" s="127" t="s">
        <v>515</v>
      </c>
      <c r="NM716" s="129" t="s">
        <v>1450</v>
      </c>
      <c r="NV716" s="127" t="s">
        <v>518</v>
      </c>
      <c r="NW716" s="127">
        <v>45</v>
      </c>
      <c r="NX716" s="127" t="s">
        <v>866</v>
      </c>
      <c r="NY716" s="127" t="s">
        <v>866</v>
      </c>
      <c r="OB716" s="127">
        <v>4</v>
      </c>
      <c r="OU716" s="127" t="s">
        <v>1421</v>
      </c>
      <c r="OV716" s="127" t="s">
        <v>1044</v>
      </c>
      <c r="OX716" s="127">
        <v>2011</v>
      </c>
      <c r="OY716" s="127">
        <v>2014</v>
      </c>
      <c r="PB716" s="127" t="s">
        <v>522</v>
      </c>
      <c r="PC716" s="128">
        <v>46134</v>
      </c>
    </row>
    <row r="717" spans="1:419" s="127" customFormat="1" ht="15.75" thickBot="1">
      <c r="A717" t="s">
        <v>469</v>
      </c>
      <c r="B717" s="127" t="s">
        <v>1386</v>
      </c>
      <c r="C717" s="127" t="s">
        <v>1387</v>
      </c>
      <c r="D717" s="127" t="s">
        <v>472</v>
      </c>
      <c r="E717" s="127" t="s">
        <v>1419</v>
      </c>
      <c r="F717" s="127" t="s">
        <v>474</v>
      </c>
      <c r="G717" s="127" t="s">
        <v>475</v>
      </c>
      <c r="H717" s="127" t="s">
        <v>476</v>
      </c>
      <c r="I717" s="127">
        <v>-13.47</v>
      </c>
      <c r="J717" s="127">
        <v>33.71</v>
      </c>
      <c r="K717" s="127">
        <v>200</v>
      </c>
      <c r="AV717" s="127" t="s">
        <v>1389</v>
      </c>
      <c r="AW717" s="127">
        <v>2500</v>
      </c>
      <c r="AX717" s="127">
        <v>7500</v>
      </c>
      <c r="AY717" s="127">
        <v>3</v>
      </c>
      <c r="AZ717" s="127" t="s">
        <v>1390</v>
      </c>
      <c r="BA717" s="127">
        <v>2011</v>
      </c>
      <c r="BB717" s="127">
        <v>2014</v>
      </c>
      <c r="BD717" s="127" t="s">
        <v>1430</v>
      </c>
      <c r="BE717" s="127" t="s">
        <v>553</v>
      </c>
      <c r="BF717" s="127" t="s">
        <v>484</v>
      </c>
      <c r="BG717" s="127" t="s">
        <v>1423</v>
      </c>
      <c r="BH717" s="127" t="s">
        <v>1424</v>
      </c>
      <c r="BI717" s="127" t="s">
        <v>486</v>
      </c>
      <c r="BJ717" s="127">
        <v>3700</v>
      </c>
      <c r="BK717" s="127" t="s">
        <v>555</v>
      </c>
      <c r="BL717" s="127" t="s">
        <v>1425</v>
      </c>
      <c r="BM717" s="127" t="s">
        <v>1426</v>
      </c>
      <c r="BN717" s="127" t="s">
        <v>486</v>
      </c>
      <c r="BO717" s="127">
        <v>177800</v>
      </c>
      <c r="BP717" s="127" t="s">
        <v>555</v>
      </c>
      <c r="BQ717" s="127" t="s">
        <v>485</v>
      </c>
      <c r="BR717" s="127" t="s">
        <v>1392</v>
      </c>
      <c r="BS717" s="127" t="s">
        <v>486</v>
      </c>
      <c r="BT717" s="127">
        <v>53333</v>
      </c>
      <c r="EI717" s="130"/>
      <c r="EJ717" s="130"/>
      <c r="EK717" s="130"/>
      <c r="EL717" s="130"/>
      <c r="EM717" s="130"/>
      <c r="EN717" s="130"/>
      <c r="EO717" s="130"/>
      <c r="EP717" s="130"/>
      <c r="EQ717" s="130"/>
      <c r="ER717" s="130"/>
      <c r="ES717" s="130"/>
      <c r="ET717" s="130"/>
      <c r="EU717" s="130"/>
      <c r="EV717" s="130"/>
      <c r="EW717" s="130"/>
      <c r="EX717" s="130"/>
      <c r="EY717" s="130"/>
      <c r="EZ717" s="130"/>
      <c r="FA717" s="130"/>
      <c r="FB717" s="130"/>
      <c r="FC717" s="130"/>
      <c r="FD717" s="130"/>
      <c r="FE717" s="130"/>
      <c r="FF717" s="130"/>
      <c r="FG717" s="130"/>
      <c r="FH717" s="130"/>
      <c r="FI717" s="130"/>
      <c r="FJ717" s="130"/>
      <c r="FK717" s="130"/>
      <c r="FL717" s="130"/>
      <c r="FM717" s="130"/>
      <c r="FN717" s="130"/>
      <c r="FO717" s="130"/>
      <c r="FP717" s="130"/>
      <c r="FQ717" s="130"/>
      <c r="FR717" s="130"/>
      <c r="FS717" s="130"/>
      <c r="FT717" s="130"/>
      <c r="FU717" s="130"/>
      <c r="FV717" s="130"/>
      <c r="FW717" s="130"/>
      <c r="FX717" s="130"/>
      <c r="FY717" s="130"/>
      <c r="FZ717" s="130"/>
      <c r="GA717" s="130"/>
      <c r="GB717" s="130"/>
      <c r="GC717" s="130"/>
      <c r="GD717" s="130"/>
      <c r="GE717" s="130"/>
      <c r="GF717" s="130"/>
      <c r="GG717" s="130"/>
      <c r="GH717" s="130"/>
      <c r="GI717" s="130"/>
      <c r="GJ717" s="130"/>
      <c r="GK717" s="130"/>
      <c r="GL717" s="130"/>
      <c r="GM717" s="130"/>
      <c r="GN717" s="130"/>
      <c r="GO717" s="130"/>
      <c r="GP717" s="130"/>
      <c r="GQ717" s="130"/>
      <c r="GR717" s="130"/>
      <c r="GS717" s="130"/>
      <c r="GT717" s="130"/>
      <c r="GU717" s="130"/>
      <c r="GV717" s="130"/>
      <c r="GW717" s="130"/>
      <c r="GX717" s="130"/>
      <c r="GY717" s="130"/>
      <c r="GZ717" s="130"/>
      <c r="HA717" s="130"/>
      <c r="HB717" s="130"/>
      <c r="HC717" s="130"/>
      <c r="HD717" s="130"/>
      <c r="HE717" s="130"/>
      <c r="HF717" s="130"/>
      <c r="HG717" s="130"/>
      <c r="HH717" s="130"/>
      <c r="HI717" s="130"/>
      <c r="HJ717" s="130"/>
      <c r="HK717" s="130" t="s">
        <v>1417</v>
      </c>
      <c r="HL717" s="130" t="s">
        <v>526</v>
      </c>
      <c r="HM717" s="127" t="s">
        <v>480</v>
      </c>
      <c r="HN717" s="127" t="s">
        <v>480</v>
      </c>
      <c r="HO717" s="127" t="s">
        <v>480</v>
      </c>
      <c r="HP717" s="127" t="s">
        <v>480</v>
      </c>
      <c r="HY717" s="128"/>
      <c r="IO717" s="127" t="s">
        <v>1430</v>
      </c>
      <c r="IP717" s="75" t="s">
        <v>558</v>
      </c>
      <c r="IS717" s="127">
        <v>2011</v>
      </c>
      <c r="IU717" s="127" t="s">
        <v>480</v>
      </c>
      <c r="JJ717" s="127" t="s">
        <v>1394</v>
      </c>
      <c r="JL717" s="127" t="s">
        <v>495</v>
      </c>
      <c r="JP717" s="127" t="s">
        <v>508</v>
      </c>
      <c r="JQ717" s="127">
        <v>131</v>
      </c>
      <c r="JR717" s="127">
        <v>59</v>
      </c>
      <c r="KE717" s="127" t="s">
        <v>1395</v>
      </c>
      <c r="KF717" s="127" t="s">
        <v>500</v>
      </c>
      <c r="KG717" s="127" t="s">
        <v>480</v>
      </c>
      <c r="KH717" s="127" t="s">
        <v>480</v>
      </c>
      <c r="KJ717" s="127" t="s">
        <v>530</v>
      </c>
      <c r="MY717" s="127" t="s">
        <v>1398</v>
      </c>
      <c r="MZ717" s="127">
        <v>2500</v>
      </c>
      <c r="NA717" s="127" t="s">
        <v>1431</v>
      </c>
      <c r="NB717" s="127" t="s">
        <v>548</v>
      </c>
      <c r="NC717" s="127" t="s">
        <v>1428</v>
      </c>
      <c r="ND717" s="127" t="s">
        <v>1429</v>
      </c>
      <c r="NI717" s="127" t="s">
        <v>1441</v>
      </c>
      <c r="NJ717" s="127" t="s">
        <v>1448</v>
      </c>
      <c r="NK717" s="127" t="s">
        <v>1455</v>
      </c>
      <c r="NL717" s="127" t="s">
        <v>515</v>
      </c>
      <c r="NM717" s="129" t="s">
        <v>1450</v>
      </c>
      <c r="NV717" s="127" t="s">
        <v>518</v>
      </c>
      <c r="NW717" s="127">
        <v>56</v>
      </c>
      <c r="NX717" s="127" t="s">
        <v>866</v>
      </c>
      <c r="NY717" s="127" t="s">
        <v>866</v>
      </c>
      <c r="OB717" s="127">
        <v>4</v>
      </c>
      <c r="OU717" s="127" t="s">
        <v>1421</v>
      </c>
      <c r="OV717" s="127" t="s">
        <v>1044</v>
      </c>
      <c r="OX717" s="127">
        <v>2011</v>
      </c>
      <c r="OY717" s="127">
        <v>2014</v>
      </c>
      <c r="PB717" s="127" t="s">
        <v>522</v>
      </c>
      <c r="PC717" s="128">
        <v>46134</v>
      </c>
    </row>
    <row r="718" spans="1:419" s="127" customFormat="1" ht="15.75" thickBot="1">
      <c r="A718" s="78" t="s">
        <v>469</v>
      </c>
      <c r="B718" s="127" t="s">
        <v>1386</v>
      </c>
      <c r="C718" s="127" t="s">
        <v>1387</v>
      </c>
      <c r="D718" s="127" t="s">
        <v>472</v>
      </c>
      <c r="E718" s="127" t="s">
        <v>1388</v>
      </c>
      <c r="F718" s="127" t="s">
        <v>474</v>
      </c>
      <c r="G718" s="127" t="s">
        <v>475</v>
      </c>
      <c r="H718" s="127" t="s">
        <v>476</v>
      </c>
      <c r="I718" s="127">
        <v>-13.06</v>
      </c>
      <c r="J718" s="127">
        <v>34.299999999999997</v>
      </c>
      <c r="K718" s="127">
        <v>250</v>
      </c>
      <c r="AV718" s="127" t="s">
        <v>1389</v>
      </c>
      <c r="AW718" s="127">
        <v>1300</v>
      </c>
      <c r="AX718" s="127">
        <v>3900</v>
      </c>
      <c r="AY718" s="127">
        <v>3</v>
      </c>
      <c r="AZ718" s="127" t="s">
        <v>1390</v>
      </c>
      <c r="BA718" s="127">
        <v>2011</v>
      </c>
      <c r="BB718" s="127">
        <v>2014</v>
      </c>
      <c r="BD718" s="127" t="s">
        <v>1391</v>
      </c>
      <c r="BE718" s="127" t="s">
        <v>524</v>
      </c>
      <c r="BF718" s="127" t="s">
        <v>484</v>
      </c>
      <c r="BG718" s="127" t="s">
        <v>485</v>
      </c>
      <c r="BH718" s="127" t="s">
        <v>1392</v>
      </c>
      <c r="BI718" s="127" t="s">
        <v>486</v>
      </c>
      <c r="BJ718" s="127">
        <v>53333</v>
      </c>
      <c r="EI718" s="130"/>
      <c r="EJ718" s="130"/>
      <c r="EK718" s="130"/>
      <c r="EL718" s="130"/>
      <c r="EM718" s="130"/>
      <c r="EN718" s="130"/>
      <c r="EO718" s="130"/>
      <c r="EP718" s="130"/>
      <c r="EQ718" s="130"/>
      <c r="ER718" s="130"/>
      <c r="ES718" s="130"/>
      <c r="ET718" s="130"/>
      <c r="EU718" s="130"/>
      <c r="EV718" s="130"/>
      <c r="EW718" s="130"/>
      <c r="EX718" s="130"/>
      <c r="EY718" s="130"/>
      <c r="EZ718" s="130"/>
      <c r="FA718" s="130"/>
      <c r="FB718" s="130"/>
      <c r="FC718" s="130"/>
      <c r="FD718" s="130"/>
      <c r="FE718" s="130"/>
      <c r="FF718" s="130"/>
      <c r="FG718" s="130"/>
      <c r="FH718" s="130"/>
      <c r="FI718" s="130"/>
      <c r="FJ718" s="130"/>
      <c r="FK718" s="130"/>
      <c r="FL718" s="130"/>
      <c r="FM718" s="130"/>
      <c r="FN718" s="130"/>
      <c r="FO718" s="130"/>
      <c r="FP718" s="130"/>
      <c r="FQ718" s="130"/>
      <c r="FR718" s="130"/>
      <c r="FS718" s="130"/>
      <c r="FT718" s="130"/>
      <c r="FU718" s="130"/>
      <c r="FV718" s="130"/>
      <c r="FW718" s="130"/>
      <c r="FX718" s="130"/>
      <c r="FY718" s="130"/>
      <c r="FZ718" s="130"/>
      <c r="GA718" s="130"/>
      <c r="GB718" s="130"/>
      <c r="GC718" s="130"/>
      <c r="GD718" s="130"/>
      <c r="GE718" s="130"/>
      <c r="GF718" s="130"/>
      <c r="GG718" s="130"/>
      <c r="GH718" s="130"/>
      <c r="GI718" s="130"/>
      <c r="GJ718" s="130"/>
      <c r="GK718" s="130"/>
      <c r="GL718" s="130"/>
      <c r="GM718" s="130"/>
      <c r="GN718" s="130"/>
      <c r="GO718" s="130"/>
      <c r="GP718" s="130"/>
      <c r="GQ718" s="130"/>
      <c r="GR718" s="130"/>
      <c r="GS718" s="130"/>
      <c r="GT718" s="130"/>
      <c r="GU718" s="130"/>
      <c r="GV718" s="130"/>
      <c r="GW718" s="130"/>
      <c r="GX718" s="130"/>
      <c r="GY718" s="130"/>
      <c r="GZ718" s="130"/>
      <c r="HA718" s="130"/>
      <c r="HB718" s="130"/>
      <c r="HC718" s="130"/>
      <c r="HD718" s="130"/>
      <c r="HE718" s="130"/>
      <c r="HF718" s="130"/>
      <c r="HG718" s="130"/>
      <c r="HH718" s="130"/>
      <c r="HI718" s="130"/>
      <c r="HJ718" s="130"/>
      <c r="HK718" s="130" t="s">
        <v>1393</v>
      </c>
      <c r="HL718" s="130" t="s">
        <v>488</v>
      </c>
      <c r="HT718" s="128"/>
      <c r="HU718" s="128"/>
      <c r="HY718" s="128"/>
      <c r="IO718" s="127" t="s">
        <v>1391</v>
      </c>
      <c r="IP718" s="127" t="s">
        <v>492</v>
      </c>
      <c r="IS718" s="127">
        <v>2011</v>
      </c>
      <c r="JJ718" s="127" t="s">
        <v>1394</v>
      </c>
      <c r="JL718" s="127" t="s">
        <v>495</v>
      </c>
      <c r="JP718" s="127" t="s">
        <v>508</v>
      </c>
      <c r="JQ718" s="127">
        <v>309</v>
      </c>
      <c r="JR718" s="127">
        <v>93</v>
      </c>
      <c r="KE718" s="127" t="s">
        <v>1395</v>
      </c>
      <c r="KF718" s="127" t="s">
        <v>500</v>
      </c>
      <c r="KG718" s="127" t="s">
        <v>480</v>
      </c>
      <c r="KH718" s="127" t="s">
        <v>480</v>
      </c>
      <c r="KJ718" s="127" t="s">
        <v>501</v>
      </c>
      <c r="KK718" s="127" t="s">
        <v>1396</v>
      </c>
      <c r="KL718" s="127" t="s">
        <v>503</v>
      </c>
      <c r="KM718" s="127">
        <v>7.5</v>
      </c>
      <c r="KN718" s="127" t="s">
        <v>501</v>
      </c>
      <c r="KO718" s="127" t="s">
        <v>1397</v>
      </c>
      <c r="KP718" s="127" t="s">
        <v>503</v>
      </c>
      <c r="KQ718" s="127">
        <v>2</v>
      </c>
      <c r="MY718" s="127" t="s">
        <v>1398</v>
      </c>
      <c r="MZ718" s="127">
        <v>1300</v>
      </c>
      <c r="NA718" s="127" t="s">
        <v>1399</v>
      </c>
      <c r="NB718" s="127" t="s">
        <v>548</v>
      </c>
      <c r="NJ718" s="127" t="s">
        <v>1456</v>
      </c>
      <c r="NL718" s="127" t="s">
        <v>660</v>
      </c>
      <c r="NM718" s="127" t="s">
        <v>508</v>
      </c>
      <c r="NU718" s="127" t="s">
        <v>657</v>
      </c>
      <c r="NV718" s="127" t="s">
        <v>518</v>
      </c>
      <c r="NW718" s="127">
        <v>4320</v>
      </c>
      <c r="NX718" s="127" t="s">
        <v>866</v>
      </c>
      <c r="NY718" s="127" t="s">
        <v>866</v>
      </c>
      <c r="OB718" s="127">
        <v>4</v>
      </c>
      <c r="OU718" s="127" t="s">
        <v>1457</v>
      </c>
      <c r="OW718" s="127">
        <v>2014</v>
      </c>
      <c r="PB718" s="127" t="s">
        <v>522</v>
      </c>
      <c r="PC718" s="128">
        <v>46134</v>
      </c>
    </row>
    <row r="719" spans="1:419" s="127" customFormat="1" ht="15.75" thickBot="1">
      <c r="A719" t="s">
        <v>469</v>
      </c>
      <c r="B719" s="127" t="s">
        <v>1386</v>
      </c>
      <c r="C719" s="127" t="s">
        <v>1387</v>
      </c>
      <c r="D719" s="127" t="s">
        <v>472</v>
      </c>
      <c r="E719" s="127" t="s">
        <v>1388</v>
      </c>
      <c r="F719" s="127" t="s">
        <v>474</v>
      </c>
      <c r="G719" s="127" t="s">
        <v>475</v>
      </c>
      <c r="H719" s="127" t="s">
        <v>476</v>
      </c>
      <c r="I719" s="127">
        <v>-13.06</v>
      </c>
      <c r="J719" s="127">
        <v>34.299999999999997</v>
      </c>
      <c r="K719" s="127">
        <v>250</v>
      </c>
      <c r="AV719" s="127" t="s">
        <v>1389</v>
      </c>
      <c r="AW719" s="127">
        <v>1300</v>
      </c>
      <c r="AX719" s="127">
        <v>3900</v>
      </c>
      <c r="AY719" s="127">
        <v>3</v>
      </c>
      <c r="AZ719" s="127" t="s">
        <v>1390</v>
      </c>
      <c r="BA719" s="127">
        <v>2011</v>
      </c>
      <c r="BB719" s="127">
        <v>2014</v>
      </c>
      <c r="BD719" s="127" t="s">
        <v>1403</v>
      </c>
      <c r="BE719" s="127" t="s">
        <v>536</v>
      </c>
      <c r="BF719" s="127" t="s">
        <v>484</v>
      </c>
      <c r="BG719" s="127" t="s">
        <v>1364</v>
      </c>
      <c r="BH719" s="127" t="s">
        <v>1404</v>
      </c>
      <c r="BI719" s="127" t="s">
        <v>486</v>
      </c>
      <c r="BJ719" s="127">
        <v>12300</v>
      </c>
      <c r="BK719" s="127" t="s">
        <v>537</v>
      </c>
      <c r="BL719" s="127" t="s">
        <v>1405</v>
      </c>
      <c r="BM719" s="127" t="s">
        <v>1406</v>
      </c>
      <c r="BN719" s="127" t="s">
        <v>486</v>
      </c>
      <c r="BO719" s="127">
        <v>24700</v>
      </c>
      <c r="BP719" s="127" t="s">
        <v>555</v>
      </c>
      <c r="BQ719" s="127" t="s">
        <v>538</v>
      </c>
      <c r="BR719" s="127" t="s">
        <v>1407</v>
      </c>
      <c r="BS719" s="127" t="s">
        <v>486</v>
      </c>
      <c r="BT719" s="127">
        <v>355556</v>
      </c>
      <c r="BU719" s="127" t="s">
        <v>537</v>
      </c>
      <c r="BV719" s="127" t="s">
        <v>1405</v>
      </c>
      <c r="BW719" s="127" t="s">
        <v>1406</v>
      </c>
      <c r="BX719" s="127" t="s">
        <v>486</v>
      </c>
      <c r="BY719" s="127">
        <v>24700</v>
      </c>
      <c r="BZ719" s="127" t="s">
        <v>555</v>
      </c>
      <c r="CA719" s="127" t="s">
        <v>485</v>
      </c>
      <c r="CB719" s="127" t="s">
        <v>1392</v>
      </c>
      <c r="CC719" s="127" t="s">
        <v>486</v>
      </c>
      <c r="CD719" s="127">
        <v>53333</v>
      </c>
      <c r="EI719" s="130"/>
      <c r="EJ719" s="130"/>
      <c r="EK719" s="130"/>
      <c r="EL719" s="130"/>
      <c r="EM719" s="130"/>
      <c r="EN719" s="130"/>
      <c r="EO719" s="130"/>
      <c r="EP719" s="130"/>
      <c r="EQ719" s="130"/>
      <c r="ER719" s="130"/>
      <c r="ES719" s="130"/>
      <c r="ET719" s="130"/>
      <c r="EU719" s="130"/>
      <c r="EV719" s="130"/>
      <c r="EW719" s="130"/>
      <c r="EX719" s="130"/>
      <c r="EY719" s="130"/>
      <c r="EZ719" s="130"/>
      <c r="FA719" s="130"/>
      <c r="FB719" s="130"/>
      <c r="FC719" s="130"/>
      <c r="FD719" s="130"/>
      <c r="FE719" s="130"/>
      <c r="FF719" s="130"/>
      <c r="FG719" s="130"/>
      <c r="FH719" s="130"/>
      <c r="FI719" s="130"/>
      <c r="FJ719" s="130"/>
      <c r="FK719" s="130"/>
      <c r="FL719" s="130"/>
      <c r="FM719" s="130"/>
      <c r="FN719" s="130"/>
      <c r="FO719" s="130"/>
      <c r="FP719" s="130"/>
      <c r="FQ719" s="130"/>
      <c r="FR719" s="130"/>
      <c r="FS719" s="130"/>
      <c r="FT719" s="130"/>
      <c r="FU719" s="130"/>
      <c r="FV719" s="130"/>
      <c r="FW719" s="130"/>
      <c r="FX719" s="130"/>
      <c r="FY719" s="130"/>
      <c r="FZ719" s="130"/>
      <c r="GA719" s="130"/>
      <c r="GB719" s="130"/>
      <c r="GC719" s="130"/>
      <c r="GD719" s="130"/>
      <c r="GE719" s="130"/>
      <c r="GF719" s="130"/>
      <c r="GG719" s="130"/>
      <c r="GH719" s="130"/>
      <c r="GI719" s="130"/>
      <c r="GJ719" s="130"/>
      <c r="GK719" s="130"/>
      <c r="GL719" s="130"/>
      <c r="GM719" s="130"/>
      <c r="GN719" s="130"/>
      <c r="GO719" s="130"/>
      <c r="GP719" s="130"/>
      <c r="GQ719" s="130"/>
      <c r="GR719" s="130"/>
      <c r="GS719" s="130"/>
      <c r="GT719" s="130"/>
      <c r="GU719" s="130"/>
      <c r="GV719" s="130"/>
      <c r="GW719" s="130"/>
      <c r="GX719" s="130"/>
      <c r="GY719" s="130"/>
      <c r="GZ719" s="130"/>
      <c r="HA719" s="130"/>
      <c r="HB719" s="130"/>
      <c r="HC719" s="130"/>
      <c r="HD719" s="130"/>
      <c r="HE719" s="130"/>
      <c r="HF719" s="130"/>
      <c r="HG719" s="130"/>
      <c r="HH719" s="130"/>
      <c r="HI719" s="130"/>
      <c r="HJ719" s="130"/>
      <c r="HK719" s="130" t="s">
        <v>1393</v>
      </c>
      <c r="HL719" s="130" t="s">
        <v>488</v>
      </c>
      <c r="HT719" s="128"/>
      <c r="HU719" s="128"/>
      <c r="HY719" s="128"/>
      <c r="IO719" s="127" t="s">
        <v>1403</v>
      </c>
      <c r="IP719" s="75" t="s">
        <v>558</v>
      </c>
      <c r="IQ719" s="127" t="s">
        <v>1408</v>
      </c>
      <c r="IS719" s="127">
        <v>2011</v>
      </c>
      <c r="IU719" s="127" t="s">
        <v>480</v>
      </c>
      <c r="JJ719" s="127" t="s">
        <v>1394</v>
      </c>
      <c r="JL719" s="127" t="s">
        <v>495</v>
      </c>
      <c r="JP719" s="127" t="s">
        <v>508</v>
      </c>
      <c r="JQ719" s="127">
        <v>103</v>
      </c>
      <c r="JR719" s="127">
        <v>31</v>
      </c>
      <c r="KE719" s="127" t="s">
        <v>1395</v>
      </c>
      <c r="KF719" s="127" t="s">
        <v>500</v>
      </c>
      <c r="KG719" s="127" t="s">
        <v>480</v>
      </c>
      <c r="KH719" s="127" t="s">
        <v>480</v>
      </c>
      <c r="KJ719" s="127" t="s">
        <v>501</v>
      </c>
      <c r="KK719" s="127" t="s">
        <v>1396</v>
      </c>
      <c r="KL719" s="127" t="s">
        <v>503</v>
      </c>
      <c r="KM719" s="127">
        <v>7.5</v>
      </c>
      <c r="KN719" s="127" t="s">
        <v>501</v>
      </c>
      <c r="KO719" s="127" t="s">
        <v>1397</v>
      </c>
      <c r="KP719" s="127" t="s">
        <v>503</v>
      </c>
      <c r="KQ719" s="127">
        <v>1</v>
      </c>
      <c r="KR719" s="127" t="s">
        <v>545</v>
      </c>
      <c r="KS719" s="127" t="s">
        <v>1409</v>
      </c>
      <c r="KT719" s="127" t="s">
        <v>1410</v>
      </c>
      <c r="KU719" s="127">
        <v>100</v>
      </c>
      <c r="MY719" s="127" t="s">
        <v>1398</v>
      </c>
      <c r="MZ719" s="127">
        <v>1300</v>
      </c>
      <c r="NA719" s="127" t="s">
        <v>1411</v>
      </c>
      <c r="NB719" s="127" t="s">
        <v>548</v>
      </c>
      <c r="NJ719" s="127" t="s">
        <v>1456</v>
      </c>
      <c r="NL719" s="127" t="s">
        <v>660</v>
      </c>
      <c r="NM719" s="127" t="s">
        <v>508</v>
      </c>
      <c r="NV719" s="127" t="s">
        <v>518</v>
      </c>
      <c r="NW719" s="127">
        <v>5684</v>
      </c>
      <c r="NX719" s="127" t="s">
        <v>866</v>
      </c>
      <c r="NY719" s="127" t="s">
        <v>866</v>
      </c>
      <c r="OB719" s="127">
        <v>4</v>
      </c>
      <c r="OU719" s="127" t="s">
        <v>1457</v>
      </c>
      <c r="OW719" s="127">
        <v>2014</v>
      </c>
      <c r="PB719" s="127" t="s">
        <v>522</v>
      </c>
      <c r="PC719" s="128">
        <v>46134</v>
      </c>
    </row>
    <row r="720" spans="1:419" s="127" customFormat="1" ht="15.75" thickBot="1">
      <c r="A720" t="s">
        <v>469</v>
      </c>
      <c r="B720" s="127" t="s">
        <v>1386</v>
      </c>
      <c r="C720" s="127" t="s">
        <v>1387</v>
      </c>
      <c r="D720" s="127" t="s">
        <v>472</v>
      </c>
      <c r="E720" s="127" t="s">
        <v>1388</v>
      </c>
      <c r="F720" s="127" t="s">
        <v>474</v>
      </c>
      <c r="G720" s="127" t="s">
        <v>475</v>
      </c>
      <c r="H720" s="127" t="s">
        <v>476</v>
      </c>
      <c r="I720" s="127">
        <v>-13.06</v>
      </c>
      <c r="J720" s="127">
        <v>34.299999999999997</v>
      </c>
      <c r="K720" s="127">
        <v>250</v>
      </c>
      <c r="AV720" s="127" t="s">
        <v>1389</v>
      </c>
      <c r="AW720" s="127">
        <v>1300</v>
      </c>
      <c r="AX720" s="127">
        <v>3900</v>
      </c>
      <c r="AY720" s="127">
        <v>3</v>
      </c>
      <c r="AZ720" s="127" t="s">
        <v>1390</v>
      </c>
      <c r="BA720" s="127">
        <v>2011</v>
      </c>
      <c r="BB720" s="127">
        <v>2014</v>
      </c>
      <c r="BD720" s="127" t="s">
        <v>1415</v>
      </c>
      <c r="BE720" s="127" t="s">
        <v>566</v>
      </c>
      <c r="BF720" s="127" t="s">
        <v>484</v>
      </c>
      <c r="BG720" s="127" t="s">
        <v>1364</v>
      </c>
      <c r="BH720" s="127" t="s">
        <v>1404</v>
      </c>
      <c r="BI720" s="127" t="s">
        <v>486</v>
      </c>
      <c r="BJ720" s="127">
        <v>12300</v>
      </c>
      <c r="BK720" s="127" t="s">
        <v>555</v>
      </c>
      <c r="BL720" s="127" t="s">
        <v>554</v>
      </c>
      <c r="BM720" s="127" t="s">
        <v>1416</v>
      </c>
      <c r="BN720" s="127" t="s">
        <v>486</v>
      </c>
      <c r="BO720" s="127">
        <v>266667</v>
      </c>
      <c r="BP720" s="127" t="s">
        <v>555</v>
      </c>
      <c r="BQ720" s="127" t="s">
        <v>485</v>
      </c>
      <c r="BR720" s="127" t="s">
        <v>1392</v>
      </c>
      <c r="BS720" s="127" t="s">
        <v>486</v>
      </c>
      <c r="BT720" s="127">
        <v>53333</v>
      </c>
      <c r="EI720" s="130"/>
      <c r="EJ720" s="130"/>
      <c r="EK720" s="130"/>
      <c r="EL720" s="130"/>
      <c r="EM720" s="130"/>
      <c r="EN720" s="130"/>
      <c r="EO720" s="130"/>
      <c r="EP720" s="130"/>
      <c r="EQ720" s="130"/>
      <c r="ER720" s="130"/>
      <c r="ES720" s="130"/>
      <c r="ET720" s="130"/>
      <c r="EU720" s="130"/>
      <c r="EV720" s="130"/>
      <c r="EW720" s="130"/>
      <c r="EX720" s="130"/>
      <c r="EY720" s="130"/>
      <c r="EZ720" s="130"/>
      <c r="FA720" s="130"/>
      <c r="FB720" s="130"/>
      <c r="FC720" s="130"/>
      <c r="FD720" s="130"/>
      <c r="FE720" s="130"/>
      <c r="FF720" s="130"/>
      <c r="FG720" s="130"/>
      <c r="FH720" s="130"/>
      <c r="FI720" s="130"/>
      <c r="FJ720" s="130"/>
      <c r="FK720" s="130"/>
      <c r="FL720" s="130"/>
      <c r="FM720" s="130"/>
      <c r="FN720" s="130"/>
      <c r="FO720" s="130"/>
      <c r="FP720" s="130"/>
      <c r="FQ720" s="130"/>
      <c r="FR720" s="130"/>
      <c r="FS720" s="130"/>
      <c r="FT720" s="130"/>
      <c r="FU720" s="130"/>
      <c r="FV720" s="130"/>
      <c r="FW720" s="130"/>
      <c r="FX720" s="130"/>
      <c r="FY720" s="130"/>
      <c r="FZ720" s="130"/>
      <c r="GA720" s="130"/>
      <c r="GB720" s="130"/>
      <c r="GC720" s="130"/>
      <c r="GD720" s="130"/>
      <c r="GE720" s="130"/>
      <c r="GF720" s="130"/>
      <c r="GG720" s="130"/>
      <c r="GH720" s="130"/>
      <c r="GI720" s="130"/>
      <c r="GJ720" s="130"/>
      <c r="GK720" s="130"/>
      <c r="GL720" s="130"/>
      <c r="GM720" s="130"/>
      <c r="GN720" s="130"/>
      <c r="GO720" s="130"/>
      <c r="GP720" s="130"/>
      <c r="GQ720" s="130"/>
      <c r="GR720" s="130"/>
      <c r="GS720" s="130"/>
      <c r="GT720" s="130"/>
      <c r="GU720" s="130"/>
      <c r="GV720" s="130"/>
      <c r="GW720" s="130"/>
      <c r="GX720" s="130"/>
      <c r="GY720" s="130"/>
      <c r="GZ720" s="130"/>
      <c r="HA720" s="130"/>
      <c r="HB720" s="130"/>
      <c r="HC720" s="130"/>
      <c r="HD720" s="130"/>
      <c r="HE720" s="130"/>
      <c r="HF720" s="130"/>
      <c r="HG720" s="130"/>
      <c r="HH720" s="130"/>
      <c r="HI720" s="130"/>
      <c r="HJ720" s="130"/>
      <c r="HK720" s="130" t="s">
        <v>1417</v>
      </c>
      <c r="HL720" s="130" t="s">
        <v>526</v>
      </c>
      <c r="HM720" s="127" t="s">
        <v>480</v>
      </c>
      <c r="HN720" s="127" t="s">
        <v>480</v>
      </c>
      <c r="HO720" s="127" t="s">
        <v>480</v>
      </c>
      <c r="HP720" s="127" t="s">
        <v>480</v>
      </c>
      <c r="HY720" s="128"/>
      <c r="IO720" s="127" t="s">
        <v>1415</v>
      </c>
      <c r="IP720" s="75" t="s">
        <v>558</v>
      </c>
      <c r="IS720" s="127">
        <v>2011</v>
      </c>
      <c r="IU720" s="127" t="s">
        <v>480</v>
      </c>
      <c r="JJ720" s="127" t="s">
        <v>1394</v>
      </c>
      <c r="JL720" s="127" t="s">
        <v>495</v>
      </c>
      <c r="JP720" s="127" t="s">
        <v>508</v>
      </c>
      <c r="JQ720" s="127">
        <v>124</v>
      </c>
      <c r="JR720" s="127">
        <v>50</v>
      </c>
      <c r="KE720" s="127" t="s">
        <v>1395</v>
      </c>
      <c r="KF720" s="127" t="s">
        <v>500</v>
      </c>
      <c r="KG720" s="127" t="s">
        <v>480</v>
      </c>
      <c r="KH720" s="127" t="s">
        <v>480</v>
      </c>
      <c r="KJ720" s="127" t="s">
        <v>530</v>
      </c>
      <c r="MY720" s="127" t="s">
        <v>1398</v>
      </c>
      <c r="MZ720" s="127">
        <v>1300</v>
      </c>
      <c r="NA720" s="127" t="s">
        <v>1418</v>
      </c>
      <c r="NB720" s="127" t="s">
        <v>548</v>
      </c>
      <c r="NJ720" s="127" t="s">
        <v>1456</v>
      </c>
      <c r="NL720" s="127" t="s">
        <v>660</v>
      </c>
      <c r="NM720" s="127" t="s">
        <v>508</v>
      </c>
      <c r="NV720" s="127" t="s">
        <v>518</v>
      </c>
      <c r="NW720" s="127">
        <v>4789</v>
      </c>
      <c r="NX720" s="127" t="s">
        <v>866</v>
      </c>
      <c r="NY720" s="127" t="s">
        <v>866</v>
      </c>
      <c r="OB720" s="127">
        <v>4</v>
      </c>
      <c r="OU720" s="127" t="s">
        <v>1457</v>
      </c>
      <c r="OW720" s="127">
        <v>2014</v>
      </c>
      <c r="PB720" s="127" t="s">
        <v>522</v>
      </c>
      <c r="PC720" s="128">
        <v>46134</v>
      </c>
    </row>
    <row r="721" spans="1:420" s="127" customFormat="1" ht="15.75" thickBot="1">
      <c r="A721" s="78" t="s">
        <v>469</v>
      </c>
      <c r="B721" s="127" t="s">
        <v>1386</v>
      </c>
      <c r="C721" s="127" t="s">
        <v>1387</v>
      </c>
      <c r="D721" s="127" t="s">
        <v>472</v>
      </c>
      <c r="E721" s="127" t="s">
        <v>1419</v>
      </c>
      <c r="F721" s="127" t="s">
        <v>474</v>
      </c>
      <c r="G721" s="127" t="s">
        <v>475</v>
      </c>
      <c r="H721" s="127" t="s">
        <v>476</v>
      </c>
      <c r="I721" s="127">
        <v>-13.47</v>
      </c>
      <c r="J721" s="127">
        <v>33.71</v>
      </c>
      <c r="K721" s="127">
        <v>200</v>
      </c>
      <c r="AV721" s="127" t="s">
        <v>1389</v>
      </c>
      <c r="AW721" s="127">
        <v>2500</v>
      </c>
      <c r="AX721" s="127">
        <v>7500</v>
      </c>
      <c r="AY721" s="127">
        <v>3</v>
      </c>
      <c r="AZ721" s="127" t="s">
        <v>1390</v>
      </c>
      <c r="BA721" s="127">
        <v>2011</v>
      </c>
      <c r="BB721" s="127">
        <v>2014</v>
      </c>
      <c r="BD721" s="127" t="s">
        <v>1391</v>
      </c>
      <c r="BE721" s="127" t="s">
        <v>483</v>
      </c>
      <c r="BF721" s="127" t="s">
        <v>484</v>
      </c>
      <c r="BG721" s="127" t="s">
        <v>485</v>
      </c>
      <c r="BH721" s="127" t="s">
        <v>1392</v>
      </c>
      <c r="BI721" s="127" t="s">
        <v>486</v>
      </c>
      <c r="BJ721" s="127">
        <v>53333</v>
      </c>
      <c r="EI721" s="130"/>
      <c r="EJ721" s="130"/>
      <c r="EK721" s="130"/>
      <c r="EL721" s="130"/>
      <c r="EM721" s="130"/>
      <c r="EN721" s="130"/>
      <c r="EO721" s="130"/>
      <c r="EP721" s="130"/>
      <c r="EQ721" s="130"/>
      <c r="ER721" s="130"/>
      <c r="ES721" s="130"/>
      <c r="ET721" s="130"/>
      <c r="EU721" s="130"/>
      <c r="EV721" s="130"/>
      <c r="EW721" s="130"/>
      <c r="EX721" s="130"/>
      <c r="EY721" s="130"/>
      <c r="EZ721" s="130"/>
      <c r="FA721" s="130"/>
      <c r="FB721" s="130"/>
      <c r="FC721" s="130"/>
      <c r="FD721" s="130"/>
      <c r="FE721" s="130"/>
      <c r="FF721" s="130"/>
      <c r="FG721" s="130"/>
      <c r="FH721" s="130"/>
      <c r="FI721" s="130"/>
      <c r="FJ721" s="130"/>
      <c r="FK721" s="130"/>
      <c r="FL721" s="130"/>
      <c r="FM721" s="130"/>
      <c r="FN721" s="130"/>
      <c r="FO721" s="130"/>
      <c r="FP721" s="130"/>
      <c r="FQ721" s="130"/>
      <c r="FR721" s="130"/>
      <c r="FS721" s="130"/>
      <c r="FT721" s="130"/>
      <c r="FU721" s="130"/>
      <c r="FV721" s="130"/>
      <c r="FW721" s="130"/>
      <c r="FX721" s="130"/>
      <c r="FY721" s="130"/>
      <c r="FZ721" s="130"/>
      <c r="GA721" s="130"/>
      <c r="GB721" s="130"/>
      <c r="GC721" s="130"/>
      <c r="GD721" s="130"/>
      <c r="GE721" s="130"/>
      <c r="GF721" s="130"/>
      <c r="GG721" s="130"/>
      <c r="GH721" s="130"/>
      <c r="GI721" s="130"/>
      <c r="GJ721" s="130"/>
      <c r="GK721" s="130"/>
      <c r="GL721" s="130"/>
      <c r="GM721" s="130"/>
      <c r="GN721" s="130"/>
      <c r="GO721" s="130"/>
      <c r="GP721" s="130"/>
      <c r="GQ721" s="130"/>
      <c r="GR721" s="130"/>
      <c r="GS721" s="130"/>
      <c r="GT721" s="130"/>
      <c r="GU721" s="130"/>
      <c r="GV721" s="130"/>
      <c r="GW721" s="130"/>
      <c r="GX721" s="130"/>
      <c r="GY721" s="130"/>
      <c r="GZ721" s="130"/>
      <c r="HA721" s="130"/>
      <c r="HB721" s="130"/>
      <c r="HC721" s="130"/>
      <c r="HD721" s="130"/>
      <c r="HE721" s="130"/>
      <c r="HF721" s="130"/>
      <c r="HG721" s="130"/>
      <c r="HH721" s="130"/>
      <c r="HI721" s="130"/>
      <c r="HJ721" s="130"/>
      <c r="HK721" s="130" t="s">
        <v>1393</v>
      </c>
      <c r="HL721" s="130" t="s">
        <v>488</v>
      </c>
      <c r="HY721" s="128"/>
      <c r="IO721" s="127" t="s">
        <v>1391</v>
      </c>
      <c r="IP721" s="127" t="s">
        <v>492</v>
      </c>
      <c r="IS721" s="127">
        <v>2011</v>
      </c>
      <c r="JJ721" s="127" t="s">
        <v>1394</v>
      </c>
      <c r="JL721" s="127" t="s">
        <v>495</v>
      </c>
      <c r="JP721" s="127" t="s">
        <v>508</v>
      </c>
      <c r="JQ721" s="127">
        <v>309</v>
      </c>
      <c r="JR721" s="127">
        <v>93</v>
      </c>
      <c r="KE721" s="127" t="s">
        <v>1395</v>
      </c>
      <c r="KF721" s="127" t="s">
        <v>500</v>
      </c>
      <c r="KG721" s="127" t="s">
        <v>480</v>
      </c>
      <c r="KH721" s="127" t="s">
        <v>480</v>
      </c>
      <c r="KJ721" s="127" t="s">
        <v>501</v>
      </c>
      <c r="KK721" s="127" t="s">
        <v>1396</v>
      </c>
      <c r="KL721" s="127" t="s">
        <v>503</v>
      </c>
      <c r="KM721" s="127">
        <v>7.5</v>
      </c>
      <c r="KN721" s="127" t="s">
        <v>501</v>
      </c>
      <c r="KO721" s="127" t="s">
        <v>1397</v>
      </c>
      <c r="KP721" s="127" t="s">
        <v>503</v>
      </c>
      <c r="KQ721" s="127">
        <v>2</v>
      </c>
      <c r="MY721" s="127" t="s">
        <v>1398</v>
      </c>
      <c r="MZ721" s="127">
        <v>2500</v>
      </c>
      <c r="NA721" s="127" t="s">
        <v>1399</v>
      </c>
      <c r="NB721" s="127" t="s">
        <v>548</v>
      </c>
      <c r="NJ721" s="127" t="s">
        <v>1456</v>
      </c>
      <c r="NL721" s="127" t="s">
        <v>660</v>
      </c>
      <c r="NM721" s="127" t="s">
        <v>508</v>
      </c>
      <c r="NU721" s="127" t="s">
        <v>1420</v>
      </c>
      <c r="NV721" s="127" t="s">
        <v>518</v>
      </c>
      <c r="NW721" s="127">
        <v>4364</v>
      </c>
      <c r="NX721" s="127" t="s">
        <v>866</v>
      </c>
      <c r="NY721" s="127" t="s">
        <v>866</v>
      </c>
      <c r="OB721" s="127">
        <v>4</v>
      </c>
      <c r="OU721" s="127" t="s">
        <v>1458</v>
      </c>
      <c r="OW721" s="127">
        <v>2014</v>
      </c>
      <c r="PB721" s="127" t="s">
        <v>522</v>
      </c>
      <c r="PC721" s="128">
        <v>46134</v>
      </c>
    </row>
    <row r="722" spans="1:420" s="127" customFormat="1" ht="15.75" thickBot="1">
      <c r="A722" t="s">
        <v>469</v>
      </c>
      <c r="B722" s="127" t="s">
        <v>1386</v>
      </c>
      <c r="C722" s="127" t="s">
        <v>1387</v>
      </c>
      <c r="D722" s="127" t="s">
        <v>472</v>
      </c>
      <c r="E722" s="127" t="s">
        <v>1419</v>
      </c>
      <c r="F722" s="127" t="s">
        <v>474</v>
      </c>
      <c r="G722" s="127" t="s">
        <v>475</v>
      </c>
      <c r="H722" s="127" t="s">
        <v>476</v>
      </c>
      <c r="I722" s="127">
        <v>-13.47</v>
      </c>
      <c r="J722" s="127">
        <v>33.71</v>
      </c>
      <c r="K722" s="127">
        <v>200</v>
      </c>
      <c r="AV722" s="127" t="s">
        <v>1389</v>
      </c>
      <c r="AW722" s="127">
        <v>2500</v>
      </c>
      <c r="AX722" s="127">
        <v>7500</v>
      </c>
      <c r="AY722" s="127">
        <v>3</v>
      </c>
      <c r="AZ722" s="127" t="s">
        <v>1390</v>
      </c>
      <c r="BA722" s="127">
        <v>2011</v>
      </c>
      <c r="BB722" s="127">
        <v>2014</v>
      </c>
      <c r="BD722" s="127" t="s">
        <v>1422</v>
      </c>
      <c r="BE722" s="127" t="s">
        <v>572</v>
      </c>
      <c r="BF722" s="127" t="s">
        <v>484</v>
      </c>
      <c r="BG722" s="127" t="s">
        <v>1423</v>
      </c>
      <c r="BH722" s="127" t="s">
        <v>1424</v>
      </c>
      <c r="BI722" s="127" t="s">
        <v>486</v>
      </c>
      <c r="BJ722" s="127">
        <v>3700</v>
      </c>
      <c r="BK722" s="127" t="s">
        <v>537</v>
      </c>
      <c r="BL722" s="127" t="s">
        <v>1405</v>
      </c>
      <c r="BM722" s="127" t="s">
        <v>1406</v>
      </c>
      <c r="BN722" s="127" t="s">
        <v>486</v>
      </c>
      <c r="BO722" s="127">
        <v>18500</v>
      </c>
      <c r="BP722" s="127" t="s">
        <v>555</v>
      </c>
      <c r="BQ722" s="127" t="s">
        <v>1425</v>
      </c>
      <c r="BR722" s="127" t="s">
        <v>1426</v>
      </c>
      <c r="BS722" s="127" t="s">
        <v>486</v>
      </c>
      <c r="BT722" s="127">
        <v>222200</v>
      </c>
      <c r="BU722" s="127" t="s">
        <v>555</v>
      </c>
      <c r="BV722" s="127" t="s">
        <v>485</v>
      </c>
      <c r="BW722" s="127" t="s">
        <v>1392</v>
      </c>
      <c r="BX722" s="127" t="s">
        <v>486</v>
      </c>
      <c r="BY722" s="127">
        <v>53333</v>
      </c>
      <c r="EI722" s="130"/>
      <c r="EJ722" s="130"/>
      <c r="EK722" s="130"/>
      <c r="EL722" s="130"/>
      <c r="EM722" s="130"/>
      <c r="EN722" s="130"/>
      <c r="EO722" s="130"/>
      <c r="EP722" s="130"/>
      <c r="EQ722" s="130"/>
      <c r="ER722" s="130"/>
      <c r="ES722" s="130"/>
      <c r="ET722" s="130"/>
      <c r="EU722" s="130"/>
      <c r="EV722" s="130"/>
      <c r="EW722" s="130"/>
      <c r="EX722" s="130"/>
      <c r="EY722" s="130"/>
      <c r="EZ722" s="130"/>
      <c r="FA722" s="130"/>
      <c r="FB722" s="130"/>
      <c r="FC722" s="130"/>
      <c r="FD722" s="130"/>
      <c r="FE722" s="130"/>
      <c r="FF722" s="130"/>
      <c r="FG722" s="130"/>
      <c r="FH722" s="130"/>
      <c r="FI722" s="130"/>
      <c r="FJ722" s="130"/>
      <c r="FK722" s="130"/>
      <c r="FL722" s="130"/>
      <c r="FM722" s="130"/>
      <c r="FN722" s="130"/>
      <c r="FO722" s="130"/>
      <c r="FP722" s="130"/>
      <c r="FQ722" s="130"/>
      <c r="FR722" s="130"/>
      <c r="FS722" s="130"/>
      <c r="FT722" s="130"/>
      <c r="FU722" s="130"/>
      <c r="FV722" s="130"/>
      <c r="FW722" s="130"/>
      <c r="FX722" s="130"/>
      <c r="FY722" s="130"/>
      <c r="FZ722" s="130"/>
      <c r="GA722" s="130"/>
      <c r="GB722" s="130"/>
      <c r="GC722" s="130"/>
      <c r="GD722" s="130"/>
      <c r="GE722" s="130"/>
      <c r="GF722" s="130"/>
      <c r="GG722" s="130"/>
      <c r="GH722" s="130"/>
      <c r="GI722" s="130"/>
      <c r="GJ722" s="130"/>
      <c r="GK722" s="130"/>
      <c r="GL722" s="130"/>
      <c r="GM722" s="130"/>
      <c r="GN722" s="130"/>
      <c r="GO722" s="130"/>
      <c r="GP722" s="130"/>
      <c r="GQ722" s="130"/>
      <c r="GR722" s="130"/>
      <c r="GS722" s="130"/>
      <c r="GT722" s="130"/>
      <c r="GU722" s="130"/>
      <c r="GV722" s="130"/>
      <c r="GW722" s="130"/>
      <c r="GX722" s="130"/>
      <c r="GY722" s="130"/>
      <c r="GZ722" s="130"/>
      <c r="HA722" s="130"/>
      <c r="HB722" s="130"/>
      <c r="HC722" s="130"/>
      <c r="HD722" s="130"/>
      <c r="HE722" s="130"/>
      <c r="HF722" s="130"/>
      <c r="HG722" s="130"/>
      <c r="HH722" s="130"/>
      <c r="HI722" s="130"/>
      <c r="HJ722" s="130"/>
      <c r="HK722" s="130" t="s">
        <v>1393</v>
      </c>
      <c r="HL722" s="130" t="s">
        <v>488</v>
      </c>
      <c r="HY722" s="128"/>
      <c r="IO722" s="127" t="s">
        <v>1422</v>
      </c>
      <c r="IP722" s="75" t="s">
        <v>558</v>
      </c>
      <c r="IQ722" s="127" t="s">
        <v>1408</v>
      </c>
      <c r="IS722" s="127">
        <v>2011</v>
      </c>
      <c r="IU722" s="127" t="s">
        <v>480</v>
      </c>
      <c r="JJ722" s="127" t="s">
        <v>1394</v>
      </c>
      <c r="JL722" s="127" t="s">
        <v>495</v>
      </c>
      <c r="JP722" s="127" t="s">
        <v>508</v>
      </c>
      <c r="JQ722" s="127">
        <v>131</v>
      </c>
      <c r="JR722" s="127">
        <v>59</v>
      </c>
      <c r="KE722" s="127" t="s">
        <v>1395</v>
      </c>
      <c r="KF722" s="127" t="s">
        <v>500</v>
      </c>
      <c r="KG722" s="127" t="s">
        <v>480</v>
      </c>
      <c r="KH722" s="127" t="s">
        <v>480</v>
      </c>
      <c r="KJ722" s="127" t="s">
        <v>501</v>
      </c>
      <c r="KK722" s="127" t="s">
        <v>1396</v>
      </c>
      <c r="KL722" s="127" t="s">
        <v>503</v>
      </c>
      <c r="KM722" s="127">
        <v>7.5</v>
      </c>
      <c r="KN722" s="127" t="s">
        <v>501</v>
      </c>
      <c r="KO722" s="127" t="s">
        <v>1397</v>
      </c>
      <c r="KP722" s="127" t="s">
        <v>503</v>
      </c>
      <c r="KQ722" s="127">
        <v>1</v>
      </c>
      <c r="MY722" s="127" t="s">
        <v>1398</v>
      </c>
      <c r="MZ722" s="127">
        <v>2500</v>
      </c>
      <c r="NA722" s="127" t="s">
        <v>1427</v>
      </c>
      <c r="NB722" s="127" t="s">
        <v>548</v>
      </c>
      <c r="NJ722" s="127" t="s">
        <v>1456</v>
      </c>
      <c r="NL722" s="127" t="s">
        <v>660</v>
      </c>
      <c r="NM722" s="127" t="s">
        <v>508</v>
      </c>
      <c r="NV722" s="127" t="s">
        <v>518</v>
      </c>
      <c r="NW722" s="127">
        <v>6889</v>
      </c>
      <c r="NX722" s="127" t="s">
        <v>866</v>
      </c>
      <c r="NY722" s="127" t="s">
        <v>866</v>
      </c>
      <c r="OB722" s="127">
        <v>4</v>
      </c>
      <c r="OU722" s="127" t="s">
        <v>1458</v>
      </c>
      <c r="OW722" s="127">
        <v>2014</v>
      </c>
      <c r="PB722" s="127" t="s">
        <v>522</v>
      </c>
      <c r="PC722" s="128">
        <v>46134</v>
      </c>
    </row>
    <row r="723" spans="1:420" s="127" customFormat="1" ht="15.75" thickBot="1">
      <c r="A723" t="s">
        <v>469</v>
      </c>
      <c r="B723" s="127" t="s">
        <v>1386</v>
      </c>
      <c r="C723" s="127" t="s">
        <v>1387</v>
      </c>
      <c r="D723" s="127" t="s">
        <v>472</v>
      </c>
      <c r="E723" s="127" t="s">
        <v>1419</v>
      </c>
      <c r="F723" s="127" t="s">
        <v>474</v>
      </c>
      <c r="G723" s="127" t="s">
        <v>475</v>
      </c>
      <c r="H723" s="127" t="s">
        <v>476</v>
      </c>
      <c r="I723" s="127">
        <v>-13.47</v>
      </c>
      <c r="J723" s="127">
        <v>33.71</v>
      </c>
      <c r="K723" s="127">
        <v>200</v>
      </c>
      <c r="AV723" s="127" t="s">
        <v>1389</v>
      </c>
      <c r="AW723" s="127">
        <v>2500</v>
      </c>
      <c r="AX723" s="127">
        <v>7500</v>
      </c>
      <c r="AY723" s="127">
        <v>3</v>
      </c>
      <c r="AZ723" s="127" t="s">
        <v>1390</v>
      </c>
      <c r="BA723" s="127">
        <v>2011</v>
      </c>
      <c r="BB723" s="127">
        <v>2014</v>
      </c>
      <c r="BD723" s="127" t="s">
        <v>1430</v>
      </c>
      <c r="BE723" s="127" t="s">
        <v>553</v>
      </c>
      <c r="BF723" s="127" t="s">
        <v>484</v>
      </c>
      <c r="BG723" s="127" t="s">
        <v>1423</v>
      </c>
      <c r="BH723" s="127" t="s">
        <v>1424</v>
      </c>
      <c r="BI723" s="127" t="s">
        <v>486</v>
      </c>
      <c r="BJ723" s="127">
        <v>3700</v>
      </c>
      <c r="BK723" s="127" t="s">
        <v>555</v>
      </c>
      <c r="BL723" s="127" t="s">
        <v>1425</v>
      </c>
      <c r="BM723" s="127" t="s">
        <v>1426</v>
      </c>
      <c r="BN723" s="127" t="s">
        <v>486</v>
      </c>
      <c r="BO723" s="127">
        <v>177800</v>
      </c>
      <c r="BP723" s="127" t="s">
        <v>555</v>
      </c>
      <c r="BQ723" s="127" t="s">
        <v>485</v>
      </c>
      <c r="BR723" s="127" t="s">
        <v>1392</v>
      </c>
      <c r="BS723" s="127" t="s">
        <v>486</v>
      </c>
      <c r="BT723" s="127">
        <v>53333</v>
      </c>
      <c r="EI723" s="130"/>
      <c r="EJ723" s="130"/>
      <c r="EK723" s="130"/>
      <c r="EL723" s="130"/>
      <c r="EM723" s="130"/>
      <c r="EN723" s="130"/>
      <c r="EO723" s="130"/>
      <c r="EP723" s="130"/>
      <c r="EQ723" s="130"/>
      <c r="ER723" s="130"/>
      <c r="ES723" s="130"/>
      <c r="ET723" s="130"/>
      <c r="EU723" s="130"/>
      <c r="EV723" s="130"/>
      <c r="EW723" s="130"/>
      <c r="EX723" s="130"/>
      <c r="EY723" s="130"/>
      <c r="EZ723" s="130"/>
      <c r="FA723" s="130"/>
      <c r="FB723" s="130"/>
      <c r="FC723" s="130"/>
      <c r="FD723" s="130"/>
      <c r="FE723" s="130"/>
      <c r="FF723" s="130"/>
      <c r="FG723" s="130"/>
      <c r="FH723" s="130"/>
      <c r="FI723" s="130"/>
      <c r="FJ723" s="130"/>
      <c r="FK723" s="130"/>
      <c r="FL723" s="130"/>
      <c r="FM723" s="130"/>
      <c r="FN723" s="130"/>
      <c r="FO723" s="130"/>
      <c r="FP723" s="130"/>
      <c r="FQ723" s="130"/>
      <c r="FR723" s="130"/>
      <c r="FS723" s="130"/>
      <c r="FT723" s="130"/>
      <c r="FU723" s="130"/>
      <c r="FV723" s="130"/>
      <c r="FW723" s="130"/>
      <c r="FX723" s="130"/>
      <c r="FY723" s="130"/>
      <c r="FZ723" s="130"/>
      <c r="GA723" s="130"/>
      <c r="GB723" s="130"/>
      <c r="GC723" s="130"/>
      <c r="GD723" s="130"/>
      <c r="GE723" s="130"/>
      <c r="GF723" s="130"/>
      <c r="GG723" s="130"/>
      <c r="GH723" s="130"/>
      <c r="GI723" s="130"/>
      <c r="GJ723" s="130"/>
      <c r="GK723" s="130"/>
      <c r="GL723" s="130"/>
      <c r="GM723" s="130"/>
      <c r="GN723" s="130"/>
      <c r="GO723" s="130"/>
      <c r="GP723" s="130"/>
      <c r="GQ723" s="130"/>
      <c r="GR723" s="130"/>
      <c r="GS723" s="130"/>
      <c r="GT723" s="130"/>
      <c r="GU723" s="130"/>
      <c r="GV723" s="130"/>
      <c r="GW723" s="130"/>
      <c r="GX723" s="130"/>
      <c r="GY723" s="130"/>
      <c r="GZ723" s="130"/>
      <c r="HA723" s="130"/>
      <c r="HB723" s="130"/>
      <c r="HC723" s="130"/>
      <c r="HD723" s="130"/>
      <c r="HE723" s="130"/>
      <c r="HF723" s="130"/>
      <c r="HG723" s="130"/>
      <c r="HH723" s="130"/>
      <c r="HI723" s="130"/>
      <c r="HJ723" s="130"/>
      <c r="HK723" s="130" t="s">
        <v>1417</v>
      </c>
      <c r="HL723" s="130" t="s">
        <v>526</v>
      </c>
      <c r="HM723" s="127" t="s">
        <v>480</v>
      </c>
      <c r="HN723" s="127" t="s">
        <v>480</v>
      </c>
      <c r="HO723" s="127" t="s">
        <v>480</v>
      </c>
      <c r="HP723" s="127" t="s">
        <v>480</v>
      </c>
      <c r="HY723" s="128"/>
      <c r="IO723" s="127" t="s">
        <v>1430</v>
      </c>
      <c r="IP723" s="75" t="s">
        <v>558</v>
      </c>
      <c r="IS723" s="127">
        <v>2011</v>
      </c>
      <c r="IU723" s="127" t="s">
        <v>480</v>
      </c>
      <c r="JJ723" s="127" t="s">
        <v>1394</v>
      </c>
      <c r="JL723" s="127" t="s">
        <v>495</v>
      </c>
      <c r="JP723" s="127" t="s">
        <v>508</v>
      </c>
      <c r="JQ723" s="127">
        <v>131</v>
      </c>
      <c r="JR723" s="127">
        <v>59</v>
      </c>
      <c r="KE723" s="127" t="s">
        <v>1395</v>
      </c>
      <c r="KF723" s="127" t="s">
        <v>500</v>
      </c>
      <c r="KG723" s="127" t="s">
        <v>480</v>
      </c>
      <c r="KH723" s="127" t="s">
        <v>480</v>
      </c>
      <c r="KJ723" s="127" t="s">
        <v>530</v>
      </c>
      <c r="MY723" s="127" t="s">
        <v>1398</v>
      </c>
      <c r="MZ723" s="127">
        <v>2500</v>
      </c>
      <c r="NA723" s="127" t="s">
        <v>1431</v>
      </c>
      <c r="NB723" s="127" t="s">
        <v>548</v>
      </c>
      <c r="NJ723" s="127" t="s">
        <v>1456</v>
      </c>
      <c r="NL723" s="127" t="s">
        <v>660</v>
      </c>
      <c r="NM723" s="127" t="s">
        <v>508</v>
      </c>
      <c r="NV723" s="127" t="s">
        <v>518</v>
      </c>
      <c r="NW723" s="127">
        <v>6509</v>
      </c>
      <c r="NX723" s="127" t="s">
        <v>866</v>
      </c>
      <c r="NY723" s="127" t="s">
        <v>866</v>
      </c>
      <c r="OB723" s="127">
        <v>4</v>
      </c>
      <c r="OU723" s="127" t="s">
        <v>1458</v>
      </c>
      <c r="OW723" s="127">
        <v>2014</v>
      </c>
      <c r="PB723" s="127" t="s">
        <v>522</v>
      </c>
      <c r="PC723" s="128">
        <v>46134</v>
      </c>
    </row>
    <row r="724" spans="1:420" ht="17.25" thickBot="1">
      <c r="A724" t="s">
        <v>469</v>
      </c>
      <c r="B724" t="s">
        <v>1459</v>
      </c>
      <c r="C724" s="80" t="s">
        <v>667</v>
      </c>
      <c r="D724" s="132" t="s">
        <v>950</v>
      </c>
      <c r="E724" s="2" t="s">
        <v>1460</v>
      </c>
      <c r="F724" t="s">
        <v>1179</v>
      </c>
      <c r="G724" s="80" t="s">
        <v>475</v>
      </c>
      <c r="H724" s="132" t="s">
        <v>476</v>
      </c>
      <c r="I724">
        <v>-0.41666666699999999</v>
      </c>
      <c r="J724">
        <v>34.200000000000003</v>
      </c>
      <c r="K724" s="132" t="s">
        <v>480</v>
      </c>
      <c r="L724" s="80"/>
      <c r="M724" s="132"/>
      <c r="N724" s="80"/>
      <c r="O724" s="80"/>
      <c r="P724" s="80"/>
      <c r="Q724" s="80"/>
      <c r="R724" s="80"/>
      <c r="S724" s="80"/>
      <c r="T724" s="80"/>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c r="AV724" s="80" t="s">
        <v>1461</v>
      </c>
      <c r="AW724" s="80">
        <v>64</v>
      </c>
      <c r="AX724" s="80">
        <v>0.09</v>
      </c>
      <c r="AY724" s="80">
        <v>1</v>
      </c>
      <c r="AZ724" s="133" t="s">
        <v>1462</v>
      </c>
      <c r="BA724" s="133">
        <v>2007</v>
      </c>
      <c r="BB724" s="133">
        <v>2008</v>
      </c>
      <c r="BC724" s="133" t="s">
        <v>692</v>
      </c>
      <c r="BD724" s="133" t="s">
        <v>1463</v>
      </c>
      <c r="BE724" s="133" t="s">
        <v>524</v>
      </c>
      <c r="BF724" s="133" t="s">
        <v>484</v>
      </c>
      <c r="BG724" s="133" t="s">
        <v>1464</v>
      </c>
      <c r="BH724" s="133" t="s">
        <v>480</v>
      </c>
      <c r="BI724" s="134" t="s">
        <v>486</v>
      </c>
      <c r="BJ724" s="135">
        <v>111000</v>
      </c>
      <c r="BK724" s="133"/>
      <c r="BL724" s="133"/>
      <c r="BM724" s="133"/>
      <c r="BN724" s="133"/>
      <c r="BO724" s="133"/>
      <c r="BP724" s="133"/>
      <c r="BQ724" s="133"/>
      <c r="BR724" s="133"/>
      <c r="BS724" s="133"/>
      <c r="BT724" s="133"/>
      <c r="BU724" s="133"/>
      <c r="BV724" s="3"/>
      <c r="BW724" s="3"/>
      <c r="BX724" s="3"/>
      <c r="BY724" s="3"/>
      <c r="BZ724" s="3"/>
      <c r="CA724" s="3"/>
      <c r="CB724" s="3"/>
      <c r="CC724" s="3"/>
      <c r="CD724" s="3"/>
      <c r="CE724" s="3"/>
      <c r="CF724" s="3"/>
      <c r="CG724" s="3"/>
      <c r="CH724" s="3"/>
      <c r="CI724" s="3"/>
      <c r="CJ724" s="3"/>
      <c r="CK724" s="3"/>
      <c r="CL724" s="3"/>
      <c r="CM724" s="3"/>
      <c r="CN724" s="3"/>
      <c r="CO724" s="3"/>
      <c r="CP724" s="3"/>
      <c r="CQ724" s="3"/>
      <c r="CR724" s="3"/>
      <c r="CS724" s="3"/>
      <c r="CT724" s="3"/>
      <c r="CU724" s="3"/>
      <c r="CV724" s="3"/>
      <c r="CW724" s="3"/>
      <c r="CX724" s="3"/>
      <c r="CY724" s="3"/>
      <c r="CZ724" s="3"/>
      <c r="DA724" s="3"/>
      <c r="DB724" s="3"/>
      <c r="DC724" s="3"/>
      <c r="DD724" s="3"/>
      <c r="DE724" s="3"/>
      <c r="DF724" s="3"/>
      <c r="DG724" s="3"/>
      <c r="DH724" s="3"/>
      <c r="DI724" s="3"/>
      <c r="DJ724" s="3"/>
      <c r="DK724" s="3"/>
      <c r="DL724" s="3"/>
      <c r="DM724" s="3"/>
      <c r="DN724" s="3"/>
      <c r="DO724" s="3"/>
      <c r="DP724" s="3"/>
      <c r="DQ724" s="3"/>
      <c r="DR724" s="3"/>
      <c r="DS724" s="3"/>
      <c r="DT724" s="3"/>
      <c r="DU724" s="3"/>
      <c r="DV724" s="3"/>
      <c r="DW724" s="3"/>
      <c r="DX724" s="3"/>
      <c r="DY724" s="3"/>
      <c r="DZ724" s="3"/>
      <c r="EA724" s="3"/>
      <c r="EB724" s="3"/>
      <c r="EC724" s="3"/>
      <c r="ED724" s="2"/>
      <c r="EE724" s="133"/>
      <c r="EF724" s="133"/>
      <c r="EG724" s="133"/>
      <c r="EH724" s="133"/>
      <c r="EI724" s="133"/>
      <c r="EJ724" s="133"/>
      <c r="EK724" s="133"/>
      <c r="EL724" s="3"/>
      <c r="EM724" s="3"/>
      <c r="EN724" s="3"/>
      <c r="EO724" s="3"/>
      <c r="EP724" s="3"/>
      <c r="EQ724" s="3"/>
      <c r="ER724" s="3"/>
      <c r="ES724" s="3"/>
      <c r="ET724" s="3"/>
      <c r="EU724" s="3"/>
      <c r="EV724" s="3"/>
      <c r="EW724" s="3"/>
      <c r="EX724" s="3"/>
      <c r="EY724" s="3"/>
      <c r="EZ724" s="3"/>
      <c r="FA724" s="3"/>
      <c r="FB724" s="3"/>
      <c r="FC724" s="3"/>
      <c r="FD724" s="3"/>
      <c r="FE724" s="3"/>
      <c r="FF724" s="3"/>
      <c r="FG724" s="3"/>
      <c r="FH724" s="3"/>
      <c r="FI724" s="3"/>
      <c r="FJ724" s="3"/>
      <c r="FK724" s="3"/>
      <c r="FL724" s="3"/>
      <c r="FM724" s="3"/>
      <c r="FN724" s="3"/>
      <c r="FO724" s="3"/>
      <c r="FP724" s="3"/>
      <c r="FQ724" s="3"/>
      <c r="FR724" s="3"/>
      <c r="FS724" s="3"/>
      <c r="FT724" s="3"/>
      <c r="FU724" s="3"/>
      <c r="FV724" s="3"/>
      <c r="FW724" s="3"/>
      <c r="FX724" s="3"/>
      <c r="FY724" s="3"/>
      <c r="FZ724" s="3"/>
      <c r="GA724" s="3"/>
      <c r="GB724" s="3"/>
      <c r="GC724" s="3"/>
      <c r="GD724" s="3"/>
      <c r="GE724" s="3"/>
      <c r="GF724" s="3"/>
      <c r="GG724" s="3"/>
      <c r="GH724" s="3"/>
      <c r="GI724" s="3"/>
      <c r="GJ724" s="3"/>
      <c r="GK724" s="3"/>
      <c r="GL724" s="3"/>
      <c r="GM724" s="3"/>
      <c r="GN724" s="3"/>
      <c r="GO724" s="3"/>
      <c r="GP724" s="3"/>
      <c r="GQ724" s="3"/>
      <c r="GR724" s="3"/>
      <c r="GS724" s="3"/>
      <c r="GT724" s="3"/>
      <c r="GU724" s="3"/>
      <c r="GV724" s="3"/>
      <c r="GW724" s="3"/>
      <c r="GX724" s="3"/>
      <c r="GY724" s="3"/>
      <c r="GZ724" s="3"/>
      <c r="HA724" s="3"/>
      <c r="HB724" s="3"/>
      <c r="HC724" s="3"/>
      <c r="HD724" s="3"/>
      <c r="HE724" s="3"/>
      <c r="HF724" s="3"/>
      <c r="HG724" s="3"/>
      <c r="HH724" s="3"/>
      <c r="HI724" s="3"/>
      <c r="HJ724" s="3"/>
      <c r="HK724" s="133"/>
      <c r="HL724" s="133"/>
      <c r="HM724" s="133"/>
      <c r="HN724" s="133"/>
      <c r="HO724" s="133"/>
      <c r="HP724" s="133"/>
      <c r="HQ724" s="133"/>
      <c r="HR724" s="133"/>
      <c r="HS724" s="134"/>
      <c r="HT724" s="133"/>
      <c r="HU724" s="133"/>
      <c r="HV724" s="133"/>
      <c r="HW724" s="133"/>
      <c r="HX724" s="136"/>
      <c r="HY724" s="133"/>
      <c r="HZ724" s="133"/>
      <c r="IA724" s="133"/>
      <c r="IB724" s="133"/>
      <c r="IC724" s="133"/>
      <c r="ID724" s="133"/>
      <c r="IE724" s="133"/>
      <c r="IF724" s="133"/>
      <c r="IG724" s="133"/>
      <c r="IH724" s="133" t="s">
        <v>1465</v>
      </c>
      <c r="II724" s="137" t="s">
        <v>492</v>
      </c>
      <c r="IJ724" s="137"/>
      <c r="IK724" s="138"/>
      <c r="IL724" s="133"/>
      <c r="IM724" s="133"/>
      <c r="IN724" s="133"/>
      <c r="IQ724" s="133"/>
      <c r="IR724" s="133"/>
      <c r="IS724" s="133"/>
      <c r="IT724" s="133"/>
      <c r="IU724" s="133"/>
      <c r="IV724" s="133"/>
      <c r="IW724" s="133"/>
      <c r="IX724" s="133"/>
      <c r="IY724" s="133"/>
      <c r="IZ724" s="80"/>
      <c r="JA724" s="80"/>
      <c r="JB724" s="80"/>
      <c r="JC724" s="80"/>
      <c r="JD724" s="80"/>
      <c r="JE724" s="80"/>
      <c r="JF724" s="80"/>
      <c r="JG724" s="80"/>
      <c r="JH724" s="80"/>
      <c r="JI724" s="80"/>
      <c r="JJ724" s="80"/>
      <c r="JK724" s="80"/>
      <c r="JL724" s="139" t="s">
        <v>495</v>
      </c>
      <c r="JM724" s="140" t="s">
        <v>1466</v>
      </c>
      <c r="JN724" s="140" t="s">
        <v>1467</v>
      </c>
      <c r="JO724" s="140" t="s">
        <v>1467</v>
      </c>
      <c r="JR724" s="133"/>
      <c r="JS724" s="133"/>
      <c r="JT724" s="133"/>
      <c r="JU724" s="133"/>
      <c r="JV724" s="133"/>
      <c r="JW724" s="133"/>
      <c r="JX724" s="133"/>
      <c r="JY724" s="141"/>
      <c r="JZ724" s="141"/>
      <c r="KA724" s="134"/>
      <c r="KB724" s="133"/>
      <c r="KC724" s="134"/>
      <c r="KD724" s="133"/>
      <c r="KE724" s="133"/>
      <c r="KF724" s="133"/>
      <c r="KG724" s="134"/>
      <c r="KH724" s="134"/>
      <c r="KI724" s="137"/>
      <c r="KJ724" s="142"/>
      <c r="KK724" s="133"/>
      <c r="KL724" s="133"/>
      <c r="KM724" s="133"/>
      <c r="KN724" s="133"/>
      <c r="KO724" s="134"/>
      <c r="KP724" s="133"/>
      <c r="KQ724" s="137"/>
      <c r="KR724" s="142"/>
      <c r="KS724" s="133"/>
      <c r="KT724" s="133"/>
      <c r="KU724" s="143"/>
      <c r="KV724" s="142"/>
      <c r="KW724" s="133"/>
      <c r="KX724" s="133"/>
      <c r="KY724" s="133"/>
      <c r="KZ724" s="3"/>
      <c r="LA724" s="3"/>
      <c r="LB724" s="3"/>
      <c r="LC724" s="3"/>
      <c r="LD724" s="3"/>
      <c r="LE724" s="3"/>
      <c r="LF724" s="3"/>
      <c r="LG724" s="3"/>
      <c r="LH724" s="134"/>
      <c r="LI724" s="134"/>
      <c r="LJ724" s="134"/>
      <c r="LK724" s="134"/>
      <c r="LL724" s="134"/>
      <c r="LM724" s="134"/>
      <c r="LN724" s="134"/>
      <c r="LO724" s="134"/>
      <c r="LP724" s="134"/>
      <c r="LQ724" s="133"/>
      <c r="LR724" s="133"/>
      <c r="LS724" s="133"/>
      <c r="LT724" s="133"/>
      <c r="LU724" s="133"/>
      <c r="LV724" s="133"/>
      <c r="LW724" s="133"/>
      <c r="LX724" s="133"/>
      <c r="LY724" s="133"/>
      <c r="LZ724" s="80"/>
      <c r="MA724" s="80"/>
      <c r="MB724" s="80"/>
      <c r="MC724" s="80"/>
      <c r="MD724" s="80"/>
      <c r="ME724" s="144"/>
      <c r="MF724" s="144"/>
      <c r="MG724" s="144"/>
      <c r="MH724" s="2"/>
      <c r="MI724" s="133"/>
      <c r="MJ724" s="133"/>
      <c r="MK724" s="133"/>
      <c r="ML724" s="80"/>
      <c r="MM724" s="80"/>
      <c r="MN724" s="80"/>
      <c r="MO724" s="80"/>
      <c r="MP724" s="80"/>
      <c r="MQ724" s="80"/>
      <c r="MR724" s="80"/>
      <c r="MS724" s="80"/>
      <c r="MT724" s="133"/>
      <c r="MU724" s="133"/>
      <c r="MV724" s="133"/>
      <c r="MW724" s="133"/>
      <c r="MX724" s="133"/>
      <c r="MY724" s="133" t="s">
        <v>1468</v>
      </c>
      <c r="MZ724" s="80">
        <v>64</v>
      </c>
      <c r="NA724" s="144"/>
      <c r="NB724" s="144"/>
      <c r="NC724" s="144"/>
      <c r="ND724" s="144"/>
      <c r="NE724" s="144"/>
      <c r="NF724" s="144"/>
      <c r="NG724" s="144"/>
      <c r="NH724" s="144"/>
      <c r="NI724" s="133" t="s">
        <v>1469</v>
      </c>
      <c r="NJ724" s="133" t="s">
        <v>1470</v>
      </c>
      <c r="NK724" s="133" t="s">
        <v>1471</v>
      </c>
      <c r="NL724" s="133" t="s">
        <v>625</v>
      </c>
      <c r="NM724" s="145" t="s">
        <v>516</v>
      </c>
      <c r="NN724" s="133"/>
      <c r="NO724" s="133"/>
      <c r="NP724" s="133"/>
      <c r="NQ724" s="133"/>
      <c r="NR724" s="133"/>
      <c r="NS724" s="133"/>
      <c r="NT724" s="133"/>
      <c r="NU724" s="133" t="s">
        <v>536</v>
      </c>
      <c r="NV724" s="146" t="s">
        <v>518</v>
      </c>
      <c r="NW724" s="146">
        <v>195.1</v>
      </c>
      <c r="NX724" s="146" t="s">
        <v>520</v>
      </c>
      <c r="NY724" s="146">
        <v>3.1</v>
      </c>
      <c r="NZ724" s="147"/>
      <c r="OA724" s="133"/>
      <c r="OB724" s="133">
        <v>4</v>
      </c>
      <c r="OC724" s="133"/>
      <c r="OD724" s="133"/>
      <c r="OE724" s="133"/>
      <c r="OF724" s="133"/>
      <c r="OG724" s="133"/>
      <c r="OH724" s="133"/>
      <c r="OI724" s="133"/>
      <c r="OJ724" s="133"/>
      <c r="OK724" s="133"/>
      <c r="OL724" s="133"/>
      <c r="OM724" s="133"/>
      <c r="ON724" s="133"/>
      <c r="OO724" s="133"/>
      <c r="OP724" s="133"/>
      <c r="OQ724" s="133"/>
      <c r="OR724" s="133"/>
      <c r="OS724" s="133"/>
      <c r="OT724" s="133"/>
      <c r="OU724" s="133" t="s">
        <v>1472</v>
      </c>
      <c r="OV724" s="133"/>
      <c r="OW724" s="133">
        <v>2007</v>
      </c>
      <c r="OX724" s="133"/>
      <c r="OY724" s="133"/>
      <c r="OZ724" s="133" t="s">
        <v>692</v>
      </c>
      <c r="PA724" s="133"/>
      <c r="PB724" t="s">
        <v>522</v>
      </c>
      <c r="PC724" s="50">
        <v>46134</v>
      </c>
      <c r="PD724" s="127"/>
    </row>
    <row r="725" spans="1:420" ht="15.75" thickBot="1">
      <c r="A725" t="s">
        <v>469</v>
      </c>
      <c r="B725" t="s">
        <v>1459</v>
      </c>
      <c r="C725" s="80" t="s">
        <v>667</v>
      </c>
      <c r="D725" s="132" t="s">
        <v>950</v>
      </c>
      <c r="E725" s="2" t="s">
        <v>1460</v>
      </c>
      <c r="F725" t="s">
        <v>1179</v>
      </c>
      <c r="G725" s="80" t="s">
        <v>475</v>
      </c>
      <c r="H725" s="132" t="s">
        <v>476</v>
      </c>
      <c r="I725">
        <v>-0.41666666699999999</v>
      </c>
      <c r="J725">
        <v>34.200000000000003</v>
      </c>
      <c r="K725" s="132" t="s">
        <v>480</v>
      </c>
      <c r="L725" s="2"/>
      <c r="M725" s="88"/>
      <c r="N725" s="2"/>
      <c r="O725" s="80"/>
      <c r="P725" s="2"/>
      <c r="Q725" s="2"/>
      <c r="R725" s="80"/>
      <c r="S725" s="80"/>
      <c r="T725" s="80"/>
      <c r="U725" s="3"/>
      <c r="V725" s="3"/>
      <c r="W725" s="3"/>
      <c r="X725" s="3"/>
      <c r="Y725" s="3"/>
      <c r="Z725" s="3"/>
      <c r="AA725" s="3"/>
      <c r="AB725" s="3"/>
      <c r="AC725" s="3"/>
      <c r="AD725" s="3"/>
      <c r="AE725" s="3"/>
      <c r="AF725" s="3"/>
      <c r="AG725" s="3"/>
      <c r="AH725" s="3"/>
      <c r="AI725" s="3"/>
      <c r="AJ725" s="3"/>
      <c r="AK725" s="3"/>
      <c r="AL725" s="3"/>
      <c r="AM725" s="3"/>
      <c r="AN725" s="3"/>
      <c r="AO725" s="3"/>
      <c r="AP725" s="3"/>
      <c r="AQ725" s="3"/>
      <c r="AR725" s="3"/>
      <c r="AS725" s="3"/>
      <c r="AT725" s="3"/>
      <c r="AU725" s="3"/>
      <c r="AV725" s="80" t="s">
        <v>1461</v>
      </c>
      <c r="AW725" s="80">
        <v>64</v>
      </c>
      <c r="AX725" s="80">
        <v>0.09</v>
      </c>
      <c r="AY725" s="80">
        <v>1</v>
      </c>
      <c r="AZ725" s="133" t="s">
        <v>1462</v>
      </c>
      <c r="BA725" s="133">
        <v>2007</v>
      </c>
      <c r="BB725" s="133">
        <v>2008</v>
      </c>
      <c r="BC725" s="133" t="s">
        <v>692</v>
      </c>
      <c r="BD725" s="2" t="s">
        <v>1473</v>
      </c>
      <c r="BE725" s="2" t="s">
        <v>536</v>
      </c>
      <c r="BF725" s="133" t="s">
        <v>484</v>
      </c>
      <c r="BG725" s="2" t="s">
        <v>1464</v>
      </c>
      <c r="BH725" s="133" t="s">
        <v>480</v>
      </c>
      <c r="BI725" s="134" t="s">
        <v>486</v>
      </c>
      <c r="BJ725" s="135">
        <v>55500</v>
      </c>
      <c r="BK725" s="2" t="s">
        <v>537</v>
      </c>
      <c r="BL725" t="s">
        <v>1474</v>
      </c>
      <c r="BM725" s="133" t="s">
        <v>480</v>
      </c>
      <c r="BN725" s="2" t="s">
        <v>486</v>
      </c>
      <c r="BO725" s="2">
        <v>55000</v>
      </c>
      <c r="BP725" s="2"/>
      <c r="BQ725" s="2"/>
      <c r="BR725" s="2"/>
      <c r="BS725" s="2"/>
      <c r="BT725" s="2"/>
      <c r="BU725" s="2"/>
      <c r="BV725" s="3"/>
      <c r="BW725" s="3"/>
      <c r="BX725" s="3"/>
      <c r="BY725" s="3"/>
      <c r="BZ725" s="3"/>
      <c r="CA725" s="3"/>
      <c r="CB725" s="3"/>
      <c r="CC725" s="3"/>
      <c r="CD725" s="3"/>
      <c r="CE725" s="3"/>
      <c r="CF725" s="3"/>
      <c r="CG725" s="3"/>
      <c r="CH725" s="3"/>
      <c r="CI725" s="3"/>
      <c r="CJ725" s="3"/>
      <c r="CK725" s="3"/>
      <c r="CL725" s="3"/>
      <c r="CM725" s="3"/>
      <c r="CN725" s="3"/>
      <c r="CO725" s="3"/>
      <c r="CP725" s="3"/>
      <c r="CQ725" s="3"/>
      <c r="CR725" s="3"/>
      <c r="CS725" s="3"/>
      <c r="CT725" s="3"/>
      <c r="CU725" s="3"/>
      <c r="CV725" s="3"/>
      <c r="CW725" s="3"/>
      <c r="CX725" s="3"/>
      <c r="CY725" s="3"/>
      <c r="CZ725" s="3"/>
      <c r="DA725" s="3"/>
      <c r="DB725" s="3"/>
      <c r="DC725" s="3"/>
      <c r="DD725" s="3"/>
      <c r="DE725" s="3"/>
      <c r="DF725" s="3"/>
      <c r="DG725" s="3"/>
      <c r="DH725" s="3"/>
      <c r="DI725" s="3"/>
      <c r="DJ725" s="3"/>
      <c r="DK725" s="3"/>
      <c r="DL725" s="3"/>
      <c r="DM725" s="3"/>
      <c r="DN725" s="3"/>
      <c r="DO725" s="3"/>
      <c r="DP725" s="3"/>
      <c r="DQ725" s="3"/>
      <c r="DR725" s="3"/>
      <c r="DS725" s="3"/>
      <c r="DT725" s="3"/>
      <c r="DU725" s="3"/>
      <c r="DV725" s="3"/>
      <c r="DW725" s="3"/>
      <c r="DX725" s="3"/>
      <c r="DY725" s="3"/>
      <c r="DZ725" s="3"/>
      <c r="EA725" s="3"/>
      <c r="EB725" s="3"/>
      <c r="EC725" s="3"/>
      <c r="ED725" s="2"/>
      <c r="EE725" s="2"/>
      <c r="EF725" s="2"/>
      <c r="EG725" s="2"/>
      <c r="EH725" s="2"/>
      <c r="EI725" s="2"/>
      <c r="EJ725" s="2"/>
      <c r="EK725" s="2"/>
      <c r="EL725" s="3"/>
      <c r="EM725" s="3"/>
      <c r="EN725" s="3"/>
      <c r="EO725" s="3"/>
      <c r="EP725" s="3"/>
      <c r="EQ725" s="3"/>
      <c r="ER725" s="3"/>
      <c r="ES725" s="3"/>
      <c r="ET725" s="3"/>
      <c r="EU725" s="3"/>
      <c r="EV725" s="3"/>
      <c r="EW725" s="3"/>
      <c r="EX725" s="3"/>
      <c r="EY725" s="3"/>
      <c r="EZ725" s="3"/>
      <c r="FA725" s="3"/>
      <c r="FB725" s="3"/>
      <c r="FC725" s="3"/>
      <c r="FD725" s="3"/>
      <c r="FE725" s="3"/>
      <c r="FF725" s="3"/>
      <c r="FG725" s="3"/>
      <c r="FH725" s="3"/>
      <c r="FI725" s="3"/>
      <c r="FJ725" s="3"/>
      <c r="FK725" s="3"/>
      <c r="FL725" s="3"/>
      <c r="FM725" s="3"/>
      <c r="FN725" s="3"/>
      <c r="FO725" s="3"/>
      <c r="FP725" s="3"/>
      <c r="FQ725" s="3"/>
      <c r="FR725" s="3"/>
      <c r="FS725" s="3"/>
      <c r="FT725" s="3"/>
      <c r="FU725" s="3"/>
      <c r="FV725" s="3"/>
      <c r="FW725" s="3"/>
      <c r="FX725" s="3"/>
      <c r="FY725" s="3"/>
      <c r="FZ725" s="3"/>
      <c r="GA725" s="3"/>
      <c r="GB725" s="3"/>
      <c r="GC725" s="3"/>
      <c r="GD725" s="3"/>
      <c r="GE725" s="3"/>
      <c r="GF725" s="3"/>
      <c r="GG725" s="3"/>
      <c r="GH725" s="3"/>
      <c r="GI725" s="3"/>
      <c r="GJ725" s="3"/>
      <c r="GK725" s="3"/>
      <c r="GL725" s="3"/>
      <c r="GM725" s="3"/>
      <c r="GN725" s="3"/>
      <c r="GO725" s="3"/>
      <c r="GP725" s="3"/>
      <c r="GQ725" s="3"/>
      <c r="GR725" s="3"/>
      <c r="GS725" s="3"/>
      <c r="GT725" s="3"/>
      <c r="GU725" s="3"/>
      <c r="GV725" s="3"/>
      <c r="GW725" s="3"/>
      <c r="GX725" s="3"/>
      <c r="GY725" s="3"/>
      <c r="GZ725" s="3"/>
      <c r="HA725" s="3"/>
      <c r="HB725" s="3"/>
      <c r="HC725" s="3"/>
      <c r="HD725" s="3"/>
      <c r="HE725" s="3"/>
      <c r="HF725" s="3"/>
      <c r="HG725" s="3"/>
      <c r="HH725" s="3"/>
      <c r="HI725" s="3"/>
      <c r="HJ725" s="3"/>
      <c r="HK725" s="2"/>
      <c r="HL725" s="2"/>
      <c r="HM725" s="2"/>
      <c r="HN725" s="2"/>
      <c r="HO725" s="2"/>
      <c r="HP725" s="2"/>
      <c r="HQ725" s="2"/>
      <c r="HR725" s="2"/>
      <c r="HS725" s="88"/>
      <c r="HT725" s="2"/>
      <c r="HU725" s="2"/>
      <c r="HV725" s="2"/>
      <c r="HW725" s="2"/>
      <c r="HX725" s="2"/>
      <c r="HY725" s="2"/>
      <c r="HZ725" s="2"/>
      <c r="IA725" s="2"/>
      <c r="IB725" s="2"/>
      <c r="IC725" s="2"/>
      <c r="ID725" s="2"/>
      <c r="IE725" s="2"/>
      <c r="IF725" s="2"/>
      <c r="IG725" s="2"/>
      <c r="IH725" s="133" t="s">
        <v>1465</v>
      </c>
      <c r="II725" s="75" t="s">
        <v>929</v>
      </c>
      <c r="IJ725" s="149" t="s">
        <v>983</v>
      </c>
      <c r="IK725" s="150" t="s">
        <v>543</v>
      </c>
      <c r="IL725" s="2">
        <v>2007</v>
      </c>
      <c r="IM725" s="2" t="s">
        <v>692</v>
      </c>
      <c r="IN725" s="2" t="s">
        <v>480</v>
      </c>
      <c r="IQ725" s="2"/>
      <c r="IR725" s="2"/>
      <c r="IS725" s="2"/>
      <c r="IT725" s="2"/>
      <c r="IU725" s="2"/>
      <c r="IV725" s="2"/>
      <c r="IW725" s="2"/>
      <c r="IX725" s="2"/>
      <c r="IY725" s="2"/>
      <c r="IZ725" s="2"/>
      <c r="JA725" s="2"/>
      <c r="JB725" s="2"/>
      <c r="JC725" s="2"/>
      <c r="JD725" s="2"/>
      <c r="JE725" s="2"/>
      <c r="JF725" s="2"/>
      <c r="JG725" s="2"/>
      <c r="JH725" s="2"/>
      <c r="JI725" s="2"/>
      <c r="JJ725" s="2"/>
      <c r="JK725" s="2"/>
      <c r="JL725" s="139" t="s">
        <v>495</v>
      </c>
      <c r="JM725" s="140" t="s">
        <v>1466</v>
      </c>
      <c r="JN725" s="140" t="s">
        <v>1467</v>
      </c>
      <c r="JO725" s="140" t="s">
        <v>1467</v>
      </c>
      <c r="JR725" s="2"/>
      <c r="JS725" s="2"/>
      <c r="JT725" s="2"/>
      <c r="JU725" s="2"/>
      <c r="JV725" s="2"/>
      <c r="JW725" s="2"/>
      <c r="JX725" s="2"/>
      <c r="JY725" s="141"/>
      <c r="JZ725" s="151"/>
      <c r="KA725" s="88"/>
      <c r="KB725" s="2"/>
      <c r="KC725" s="88"/>
      <c r="KD725" s="2"/>
      <c r="KE725" s="2"/>
      <c r="KF725" s="2"/>
      <c r="KG725" s="88"/>
      <c r="KH725" s="2"/>
      <c r="KI725" s="148"/>
      <c r="KJ725" s="152"/>
      <c r="KK725" s="2"/>
      <c r="KL725" s="2"/>
      <c r="KM725" s="2"/>
      <c r="KN725" s="2"/>
      <c r="KO725" s="88"/>
      <c r="KP725" s="2"/>
      <c r="KQ725" s="148"/>
      <c r="KR725" s="152"/>
      <c r="KS725" s="2"/>
      <c r="KT725" s="2"/>
      <c r="KU725" s="143"/>
      <c r="KV725" s="152"/>
      <c r="KW725" s="2"/>
      <c r="KX725" s="2"/>
      <c r="KY725" s="2"/>
      <c r="KZ725" s="61"/>
      <c r="LA725" s="62"/>
      <c r="LB725" s="62"/>
      <c r="LC725" s="3"/>
      <c r="LD725" s="3"/>
      <c r="LE725" s="3"/>
      <c r="LF725" s="3"/>
      <c r="LG725" s="3"/>
      <c r="LH725" s="88"/>
      <c r="LI725" s="88"/>
      <c r="LJ725" s="88"/>
      <c r="LK725" s="88"/>
      <c r="LL725" s="88"/>
      <c r="LM725" s="2"/>
      <c r="LN725" s="88"/>
      <c r="LO725" s="88"/>
      <c r="LP725" s="88"/>
      <c r="LQ725" s="2"/>
      <c r="LR725" s="2"/>
      <c r="LS725" s="2"/>
      <c r="LT725" s="2"/>
      <c r="LU725" s="2"/>
      <c r="LV725" s="2"/>
      <c r="LW725" s="2"/>
      <c r="LX725" s="2"/>
      <c r="LY725" s="2"/>
      <c r="LZ725" s="2"/>
      <c r="MA725" s="2"/>
      <c r="MB725" s="2"/>
      <c r="MC725" s="2"/>
      <c r="MD725" s="2"/>
      <c r="ME725" s="2"/>
      <c r="MF725" s="2"/>
      <c r="MG725" s="2"/>
      <c r="MI725" s="2"/>
      <c r="MJ725" s="2"/>
      <c r="MK725" s="2"/>
      <c r="ML725" s="2"/>
      <c r="MM725" s="2"/>
      <c r="MN725" s="2"/>
      <c r="MO725" s="2"/>
      <c r="MP725" s="2"/>
      <c r="MQ725" s="2"/>
      <c r="MR725" s="2"/>
      <c r="MS725" s="2"/>
      <c r="MT725" s="2"/>
      <c r="MU725" s="2"/>
      <c r="MV725" s="2"/>
      <c r="MW725" s="2"/>
      <c r="MX725" s="2"/>
      <c r="MY725" s="133" t="s">
        <v>1468</v>
      </c>
      <c r="MZ725" s="80">
        <v>64</v>
      </c>
      <c r="NA725" s="144"/>
      <c r="NB725" s="144"/>
      <c r="NC725" s="144"/>
      <c r="ND725" s="144"/>
      <c r="NE725" s="144"/>
      <c r="NF725" s="144"/>
      <c r="NG725" s="144"/>
      <c r="NH725" s="144"/>
      <c r="NI725" s="133" t="s">
        <v>1469</v>
      </c>
      <c r="NJ725" s="133" t="s">
        <v>1470</v>
      </c>
      <c r="NK725" s="133" t="s">
        <v>1471</v>
      </c>
      <c r="NL725" s="133" t="s">
        <v>625</v>
      </c>
      <c r="NM725" s="145" t="s">
        <v>516</v>
      </c>
      <c r="NN725" s="133"/>
      <c r="NO725" s="133"/>
      <c r="NP725" s="133"/>
      <c r="NQ725" s="133"/>
      <c r="NR725" s="133"/>
      <c r="NS725" s="133"/>
      <c r="NT725" s="133"/>
      <c r="NU725" s="133"/>
      <c r="NV725" s="146" t="s">
        <v>518</v>
      </c>
      <c r="NW725" s="153">
        <v>306.10000000000002</v>
      </c>
      <c r="NX725" s="146" t="s">
        <v>520</v>
      </c>
      <c r="NY725" s="153">
        <v>4.4000000000000004</v>
      </c>
      <c r="NZ725" s="154"/>
      <c r="OA725" s="2"/>
      <c r="OB725" s="133">
        <v>4</v>
      </c>
      <c r="OC725" s="2"/>
      <c r="OD725" s="2"/>
      <c r="OE725" s="2"/>
      <c r="OF725" s="2"/>
      <c r="OG725" s="2"/>
      <c r="OH725" s="2"/>
      <c r="OI725" s="2"/>
      <c r="OJ725" s="2"/>
      <c r="OK725" s="2"/>
      <c r="OL725" s="2"/>
      <c r="OU725" s="133" t="s">
        <v>1472</v>
      </c>
      <c r="OV725" s="2"/>
      <c r="OW725" s="133">
        <v>2007</v>
      </c>
      <c r="OX725" s="133"/>
      <c r="OY725" s="133"/>
      <c r="OZ725" s="133" t="s">
        <v>692</v>
      </c>
      <c r="PA725" s="2"/>
      <c r="PB725" t="s">
        <v>522</v>
      </c>
      <c r="PC725" s="50">
        <v>46134</v>
      </c>
      <c r="PD725" s="127"/>
    </row>
    <row r="726" spans="1:420" ht="15.75" thickBot="1">
      <c r="A726" t="s">
        <v>469</v>
      </c>
      <c r="B726" t="s">
        <v>1459</v>
      </c>
      <c r="C726" s="80" t="s">
        <v>667</v>
      </c>
      <c r="D726" s="132" t="s">
        <v>950</v>
      </c>
      <c r="E726" s="2" t="s">
        <v>1460</v>
      </c>
      <c r="F726" t="s">
        <v>1179</v>
      </c>
      <c r="G726" s="80" t="s">
        <v>475</v>
      </c>
      <c r="H726" s="132" t="s">
        <v>476</v>
      </c>
      <c r="I726">
        <v>-0.41666666699999999</v>
      </c>
      <c r="J726">
        <v>34.200000000000003</v>
      </c>
      <c r="K726" s="132" t="s">
        <v>480</v>
      </c>
      <c r="L726" s="80"/>
      <c r="M726" s="132"/>
      <c r="N726" s="80"/>
      <c r="O726" s="80"/>
      <c r="P726" s="80"/>
      <c r="Q726" s="80"/>
      <c r="R726" s="80"/>
      <c r="S726" s="80"/>
      <c r="T726" s="80"/>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c r="AV726" s="80" t="s">
        <v>1461</v>
      </c>
      <c r="AW726" s="80">
        <v>64</v>
      </c>
      <c r="AX726" s="80">
        <v>0.09</v>
      </c>
      <c r="AY726" s="80">
        <v>1</v>
      </c>
      <c r="AZ726" s="133" t="s">
        <v>1462</v>
      </c>
      <c r="BA726" s="133">
        <v>2007</v>
      </c>
      <c r="BB726" s="133">
        <v>2008</v>
      </c>
      <c r="BC726" s="133" t="s">
        <v>709</v>
      </c>
      <c r="BD726" s="133" t="s">
        <v>1463</v>
      </c>
      <c r="BE726" s="133" t="s">
        <v>524</v>
      </c>
      <c r="BF726" s="133" t="s">
        <v>484</v>
      </c>
      <c r="BG726" s="133" t="s">
        <v>1464</v>
      </c>
      <c r="BH726" s="133" t="s">
        <v>480</v>
      </c>
      <c r="BI726" s="134" t="s">
        <v>486</v>
      </c>
      <c r="BJ726" s="135">
        <v>111000</v>
      </c>
      <c r="BK726" s="80"/>
      <c r="BL726" s="80"/>
      <c r="BM726" s="80"/>
      <c r="BN726" s="132"/>
      <c r="BO726" s="155"/>
      <c r="BP726" s="80"/>
      <c r="BQ726" s="80"/>
      <c r="BR726" s="80"/>
      <c r="BS726" s="80"/>
      <c r="BT726" s="80"/>
      <c r="BU726" s="80"/>
      <c r="BV726" s="3"/>
      <c r="BW726" s="3"/>
      <c r="BX726" s="3"/>
      <c r="BY726" s="3"/>
      <c r="BZ726" s="3"/>
      <c r="CA726" s="3"/>
      <c r="CB726" s="3"/>
      <c r="CC726" s="3"/>
      <c r="CD726" s="3"/>
      <c r="CE726" s="3"/>
      <c r="CF726" s="3"/>
      <c r="CG726" s="3"/>
      <c r="CH726" s="3"/>
      <c r="CI726" s="3"/>
      <c r="CJ726" s="3"/>
      <c r="CK726" s="3"/>
      <c r="CL726" s="3"/>
      <c r="CM726" s="3"/>
      <c r="CN726" s="3"/>
      <c r="CO726" s="3"/>
      <c r="CP726" s="3"/>
      <c r="CQ726" s="3"/>
      <c r="CR726" s="3"/>
      <c r="CS726" s="3"/>
      <c r="CT726" s="3"/>
      <c r="CU726" s="3"/>
      <c r="CV726" s="3"/>
      <c r="CW726" s="3"/>
      <c r="CX726" s="3"/>
      <c r="CY726" s="3"/>
      <c r="CZ726" s="3"/>
      <c r="DA726" s="3"/>
      <c r="DB726" s="3"/>
      <c r="DC726" s="3"/>
      <c r="DD726" s="3"/>
      <c r="DE726" s="3"/>
      <c r="DF726" s="3"/>
      <c r="DG726" s="3"/>
      <c r="DH726" s="3"/>
      <c r="DI726" s="3"/>
      <c r="DJ726" s="3"/>
      <c r="DK726" s="3"/>
      <c r="DL726" s="3"/>
      <c r="DM726" s="3"/>
      <c r="DN726" s="3"/>
      <c r="DO726" s="3"/>
      <c r="DP726" s="3"/>
      <c r="DQ726" s="3"/>
      <c r="DR726" s="3"/>
      <c r="DS726" s="3"/>
      <c r="DT726" s="3"/>
      <c r="DU726" s="3"/>
      <c r="DV726" s="3"/>
      <c r="DW726" s="3"/>
      <c r="DX726" s="3"/>
      <c r="DY726" s="3"/>
      <c r="DZ726" s="3"/>
      <c r="EA726" s="3"/>
      <c r="EB726" s="3"/>
      <c r="EC726" s="3"/>
      <c r="ED726" s="80"/>
      <c r="EE726" s="80"/>
      <c r="EF726" s="80"/>
      <c r="EG726" s="80"/>
      <c r="EH726" s="80"/>
      <c r="EI726" s="80"/>
      <c r="EJ726" s="80"/>
      <c r="EK726" s="80"/>
      <c r="EL726" s="3"/>
      <c r="EM726" s="3"/>
      <c r="EN726" s="3"/>
      <c r="EO726" s="3"/>
      <c r="EP726" s="3"/>
      <c r="EQ726" s="3"/>
      <c r="ER726" s="3"/>
      <c r="ES726" s="3"/>
      <c r="ET726" s="3"/>
      <c r="EU726" s="3"/>
      <c r="EV726" s="3"/>
      <c r="EW726" s="3"/>
      <c r="EX726" s="3"/>
      <c r="EY726" s="3"/>
      <c r="EZ726" s="3"/>
      <c r="FA726" s="3"/>
      <c r="FB726" s="3"/>
      <c r="FC726" s="3"/>
      <c r="FD726" s="3"/>
      <c r="FE726" s="3"/>
      <c r="FF726" s="3"/>
      <c r="FG726" s="3"/>
      <c r="FH726" s="3"/>
      <c r="FI726" s="3"/>
      <c r="FJ726" s="3"/>
      <c r="FK726" s="3"/>
      <c r="FL726" s="3"/>
      <c r="FM726" s="3"/>
      <c r="FN726" s="3"/>
      <c r="FO726" s="3"/>
      <c r="FP726" s="3"/>
      <c r="FQ726" s="3"/>
      <c r="FR726" s="3"/>
      <c r="FS726" s="3"/>
      <c r="FT726" s="3"/>
      <c r="FU726" s="3"/>
      <c r="FV726" s="3"/>
      <c r="FW726" s="3"/>
      <c r="FX726" s="3"/>
      <c r="FY726" s="3"/>
      <c r="FZ726" s="3"/>
      <c r="GA726" s="3"/>
      <c r="GB726" s="3"/>
      <c r="GC726" s="3"/>
      <c r="GD726" s="3"/>
      <c r="GE726" s="3"/>
      <c r="GF726" s="3"/>
      <c r="GG726" s="3"/>
      <c r="GH726" s="3"/>
      <c r="GI726" s="3"/>
      <c r="GJ726" s="3"/>
      <c r="GK726" s="3"/>
      <c r="GL726" s="3"/>
      <c r="GM726" s="3"/>
      <c r="GN726" s="3"/>
      <c r="GO726" s="3"/>
      <c r="GP726" s="3"/>
      <c r="GQ726" s="3"/>
      <c r="GR726" s="3"/>
      <c r="GS726" s="3"/>
      <c r="GT726" s="3"/>
      <c r="GU726" s="3"/>
      <c r="GV726" s="3"/>
      <c r="GW726" s="3"/>
      <c r="GX726" s="3"/>
      <c r="GY726" s="3"/>
      <c r="GZ726" s="3"/>
      <c r="HA726" s="3"/>
      <c r="HB726" s="3"/>
      <c r="HC726" s="3"/>
      <c r="HD726" s="3"/>
      <c r="HE726" s="3"/>
      <c r="HF726" s="3"/>
      <c r="HG726" s="3"/>
      <c r="HH726" s="3"/>
      <c r="HI726" s="3"/>
      <c r="HJ726" s="3"/>
      <c r="HK726" s="80"/>
      <c r="HL726" s="80"/>
      <c r="HM726" s="80"/>
      <c r="HN726" s="80"/>
      <c r="HO726" s="80"/>
      <c r="HP726" s="80"/>
      <c r="HQ726" s="80"/>
      <c r="HR726" s="80"/>
      <c r="HS726" s="132"/>
      <c r="HT726" s="80"/>
      <c r="HU726" s="80"/>
      <c r="HV726" s="80"/>
      <c r="HW726" s="80"/>
      <c r="HX726" s="80"/>
      <c r="HY726" s="80"/>
      <c r="HZ726" s="80"/>
      <c r="IA726" s="80"/>
      <c r="IB726" s="80"/>
      <c r="IC726" s="80"/>
      <c r="ID726" s="80"/>
      <c r="IE726" s="80"/>
      <c r="IF726" s="80"/>
      <c r="IG726" s="80"/>
      <c r="IH726" s="133" t="s">
        <v>1465</v>
      </c>
      <c r="II726" s="137" t="s">
        <v>492</v>
      </c>
      <c r="IJ726" s="156"/>
      <c r="IK726" s="157"/>
      <c r="IL726" s="80"/>
      <c r="IM726" s="80"/>
      <c r="IN726" s="132"/>
      <c r="IQ726" s="80"/>
      <c r="IR726" s="80"/>
      <c r="IS726" s="80"/>
      <c r="IT726" s="80"/>
      <c r="IU726" s="80"/>
      <c r="IV726" s="80"/>
      <c r="IW726" s="80"/>
      <c r="IX726" s="80"/>
      <c r="IY726" s="80"/>
      <c r="IZ726" s="80"/>
      <c r="JA726" s="80"/>
      <c r="JB726" s="80"/>
      <c r="JC726" s="80"/>
      <c r="JD726" s="80"/>
      <c r="JE726" s="80"/>
      <c r="JF726" s="80"/>
      <c r="JG726" s="80"/>
      <c r="JH726" s="80"/>
      <c r="JI726" s="80"/>
      <c r="JJ726" s="80"/>
      <c r="JK726" s="80"/>
      <c r="JL726" s="139" t="s">
        <v>495</v>
      </c>
      <c r="JM726" s="140" t="s">
        <v>1466</v>
      </c>
      <c r="JN726" s="140" t="s">
        <v>1467</v>
      </c>
      <c r="JO726" s="140" t="s">
        <v>1467</v>
      </c>
      <c r="JR726" s="80"/>
      <c r="JS726" s="80"/>
      <c r="JT726" s="80"/>
      <c r="JU726" s="80"/>
      <c r="JV726" s="80"/>
      <c r="JW726" s="80"/>
      <c r="JX726" s="80"/>
      <c r="JY726" s="141"/>
      <c r="JZ726" s="139"/>
      <c r="KA726" s="132"/>
      <c r="KB726" s="80"/>
      <c r="KC726" s="132"/>
      <c r="KD726" s="80"/>
      <c r="KE726" s="80"/>
      <c r="KF726" s="80"/>
      <c r="KG726" s="132"/>
      <c r="KH726" s="80"/>
      <c r="KI726" s="137"/>
      <c r="KJ726" s="158"/>
      <c r="KK726" s="80"/>
      <c r="KL726" s="80"/>
      <c r="KM726" s="80"/>
      <c r="KN726" s="80"/>
      <c r="KO726" s="132"/>
      <c r="KP726" s="80"/>
      <c r="KQ726" s="137"/>
      <c r="KR726" s="158"/>
      <c r="KS726" s="80"/>
      <c r="KT726" s="80"/>
      <c r="KU726" s="143"/>
      <c r="KV726" s="159"/>
      <c r="KW726" s="80"/>
      <c r="KX726" s="80"/>
      <c r="KY726" s="80"/>
      <c r="KZ726" s="3"/>
      <c r="LA726" s="3"/>
      <c r="LB726" s="3"/>
      <c r="LC726" s="3"/>
      <c r="LD726" s="3"/>
      <c r="LE726" s="3"/>
      <c r="LF726" s="3"/>
      <c r="LG726" s="3"/>
      <c r="LH726" s="132"/>
      <c r="LI726" s="132"/>
      <c r="LJ726" s="132"/>
      <c r="LK726" s="132"/>
      <c r="LL726" s="132"/>
      <c r="LM726" s="80"/>
      <c r="LN726" s="132"/>
      <c r="LO726" s="132"/>
      <c r="LP726" s="132"/>
      <c r="LQ726" s="80"/>
      <c r="LR726" s="80"/>
      <c r="LS726" s="80"/>
      <c r="LT726" s="80"/>
      <c r="LU726" s="80"/>
      <c r="LV726" s="80"/>
      <c r="LW726" s="80"/>
      <c r="LX726" s="80"/>
      <c r="LY726" s="80"/>
      <c r="LZ726" s="80"/>
      <c r="MA726" s="80"/>
      <c r="MB726" s="80"/>
      <c r="MC726" s="80"/>
      <c r="MD726" s="80"/>
      <c r="ME726" s="80"/>
      <c r="MF726" s="80"/>
      <c r="MG726" s="80"/>
      <c r="MH726" s="80"/>
      <c r="MI726" s="80"/>
      <c r="MJ726" s="80"/>
      <c r="MK726" s="80"/>
      <c r="ML726" s="80"/>
      <c r="MM726" s="80"/>
      <c r="MN726" s="80"/>
      <c r="MO726" s="80"/>
      <c r="MP726" s="80"/>
      <c r="MQ726" s="80"/>
      <c r="MR726" s="80"/>
      <c r="MS726" s="80"/>
      <c r="MT726" s="80"/>
      <c r="MU726" s="80"/>
      <c r="MV726" s="80"/>
      <c r="MW726" s="80"/>
      <c r="MX726" s="80"/>
      <c r="MY726" s="133" t="s">
        <v>1468</v>
      </c>
      <c r="MZ726" s="80">
        <v>64</v>
      </c>
      <c r="NA726" s="144"/>
      <c r="NB726" s="144"/>
      <c r="NC726" s="144"/>
      <c r="ND726" s="144"/>
      <c r="NE726" s="144"/>
      <c r="NF726" s="144"/>
      <c r="NG726" s="144"/>
      <c r="NH726" s="144"/>
      <c r="NI726" s="133" t="s">
        <v>1469</v>
      </c>
      <c r="NJ726" s="133" t="s">
        <v>1470</v>
      </c>
      <c r="NK726" s="133" t="s">
        <v>1471</v>
      </c>
      <c r="NL726" s="133" t="s">
        <v>625</v>
      </c>
      <c r="NM726" s="145" t="s">
        <v>516</v>
      </c>
      <c r="NN726" s="133"/>
      <c r="NO726" s="133"/>
      <c r="NP726" s="133"/>
      <c r="NQ726" s="133"/>
      <c r="NR726" s="133"/>
      <c r="NS726" s="133"/>
      <c r="NT726" s="133"/>
      <c r="NU726" s="133" t="s">
        <v>536</v>
      </c>
      <c r="NV726" s="146" t="s">
        <v>518</v>
      </c>
      <c r="NW726" s="86">
        <v>194.2</v>
      </c>
      <c r="NX726" s="146" t="s">
        <v>520</v>
      </c>
      <c r="NY726" s="86">
        <v>1.5</v>
      </c>
      <c r="NZ726" s="160"/>
      <c r="OA726" s="80"/>
      <c r="OB726" s="133">
        <v>4</v>
      </c>
      <c r="OC726" s="80"/>
      <c r="OD726" s="80"/>
      <c r="OE726" s="80"/>
      <c r="OF726" s="80"/>
      <c r="OG726" s="80"/>
      <c r="OH726" s="80"/>
      <c r="OI726" s="80"/>
      <c r="OJ726" s="80"/>
      <c r="OK726" s="80"/>
      <c r="OL726" s="80"/>
      <c r="OM726" s="144"/>
      <c r="ON726" s="144"/>
      <c r="OO726" s="144"/>
      <c r="OP726" s="144"/>
      <c r="OQ726" s="144"/>
      <c r="OR726" s="144"/>
      <c r="OS726" s="144"/>
      <c r="OT726" s="144"/>
      <c r="OU726" s="133" t="s">
        <v>1472</v>
      </c>
      <c r="OV726" s="80"/>
      <c r="OW726" s="80">
        <v>2007</v>
      </c>
      <c r="OX726" s="80"/>
      <c r="OY726" s="80"/>
      <c r="OZ726" s="80" t="s">
        <v>709</v>
      </c>
      <c r="PA726" s="80"/>
      <c r="PB726" t="s">
        <v>522</v>
      </c>
      <c r="PC726" s="50">
        <v>46134</v>
      </c>
      <c r="PD726" s="127"/>
    </row>
    <row r="727" spans="1:420" ht="15.75" thickBot="1">
      <c r="A727" t="s">
        <v>469</v>
      </c>
      <c r="B727" t="s">
        <v>1459</v>
      </c>
      <c r="C727" s="80" t="s">
        <v>667</v>
      </c>
      <c r="D727" s="132" t="s">
        <v>950</v>
      </c>
      <c r="E727" s="2" t="s">
        <v>1460</v>
      </c>
      <c r="F727" t="s">
        <v>1179</v>
      </c>
      <c r="G727" s="80" t="s">
        <v>475</v>
      </c>
      <c r="H727" s="132" t="s">
        <v>476</v>
      </c>
      <c r="I727">
        <v>-0.41666666699999999</v>
      </c>
      <c r="J727">
        <v>34.200000000000003</v>
      </c>
      <c r="K727" s="132" t="s">
        <v>480</v>
      </c>
      <c r="L727" s="2"/>
      <c r="M727" s="88"/>
      <c r="N727" s="2"/>
      <c r="O727" s="80"/>
      <c r="P727" s="2"/>
      <c r="Q727" s="2"/>
      <c r="R727" s="80"/>
      <c r="S727" s="80"/>
      <c r="T727" s="80"/>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c r="AV727" s="80" t="s">
        <v>1461</v>
      </c>
      <c r="AW727" s="80">
        <v>64</v>
      </c>
      <c r="AX727" s="80">
        <v>0.09</v>
      </c>
      <c r="AY727" s="80">
        <v>1</v>
      </c>
      <c r="AZ727" s="133" t="s">
        <v>1462</v>
      </c>
      <c r="BA727" s="133">
        <v>2007</v>
      </c>
      <c r="BB727" s="133">
        <v>2008</v>
      </c>
      <c r="BC727" s="133" t="s">
        <v>709</v>
      </c>
      <c r="BD727" s="2" t="s">
        <v>1473</v>
      </c>
      <c r="BE727" s="2" t="s">
        <v>536</v>
      </c>
      <c r="BF727" s="133" t="s">
        <v>484</v>
      </c>
      <c r="BG727" s="2" t="s">
        <v>1464</v>
      </c>
      <c r="BH727" s="133" t="s">
        <v>480</v>
      </c>
      <c r="BI727" s="134" t="s">
        <v>486</v>
      </c>
      <c r="BJ727" s="135">
        <v>55500</v>
      </c>
      <c r="BK727" s="2" t="s">
        <v>537</v>
      </c>
      <c r="BL727" t="s">
        <v>1474</v>
      </c>
      <c r="BM727" s="133" t="s">
        <v>480</v>
      </c>
      <c r="BN727" s="2" t="s">
        <v>486</v>
      </c>
      <c r="BO727" s="2">
        <v>55000</v>
      </c>
      <c r="BP727" s="2"/>
      <c r="BQ727" s="2"/>
      <c r="BR727" s="2"/>
      <c r="BS727" s="2"/>
      <c r="BT727" s="2"/>
      <c r="BU727" s="2"/>
      <c r="BV727" s="3"/>
      <c r="BW727" s="3"/>
      <c r="BX727" s="3"/>
      <c r="BY727" s="3"/>
      <c r="BZ727" s="3"/>
      <c r="CA727" s="3"/>
      <c r="CB727" s="3"/>
      <c r="CC727" s="3"/>
      <c r="CD727" s="3"/>
      <c r="CE727" s="3"/>
      <c r="CF727" s="3"/>
      <c r="CG727" s="3"/>
      <c r="CH727" s="3"/>
      <c r="CI727" s="3"/>
      <c r="CJ727" s="3"/>
      <c r="CK727" s="3"/>
      <c r="CL727" s="3"/>
      <c r="CM727" s="3"/>
      <c r="CN727" s="3"/>
      <c r="CO727" s="3"/>
      <c r="CP727" s="3"/>
      <c r="CQ727" s="3"/>
      <c r="CR727" s="3"/>
      <c r="CS727" s="3"/>
      <c r="CT727" s="3"/>
      <c r="CU727" s="3"/>
      <c r="CV727" s="3"/>
      <c r="CW727" s="3"/>
      <c r="CX727" s="3"/>
      <c r="CY727" s="3"/>
      <c r="CZ727" s="3"/>
      <c r="DA727" s="3"/>
      <c r="DB727" s="3"/>
      <c r="DC727" s="3"/>
      <c r="DD727" s="3"/>
      <c r="DE727" s="3"/>
      <c r="DF727" s="3"/>
      <c r="DG727" s="3"/>
      <c r="DH727" s="3"/>
      <c r="DI727" s="3"/>
      <c r="DJ727" s="3"/>
      <c r="DK727" s="3"/>
      <c r="DL727" s="3"/>
      <c r="DM727" s="3"/>
      <c r="DN727" s="3"/>
      <c r="DO727" s="3"/>
      <c r="DP727" s="3"/>
      <c r="DQ727" s="3"/>
      <c r="DR727" s="3"/>
      <c r="DS727" s="3"/>
      <c r="DT727" s="3"/>
      <c r="DU727" s="3"/>
      <c r="DV727" s="3"/>
      <c r="DW727" s="3"/>
      <c r="DX727" s="3"/>
      <c r="DY727" s="3"/>
      <c r="DZ727" s="3"/>
      <c r="EA727" s="3"/>
      <c r="EB727" s="3"/>
      <c r="EC727" s="3"/>
      <c r="ED727" s="2"/>
      <c r="EE727" s="2"/>
      <c r="EF727" s="2"/>
      <c r="EG727" s="2"/>
      <c r="EH727" s="2"/>
      <c r="EI727" s="2"/>
      <c r="EJ727" s="2"/>
      <c r="EK727" s="2"/>
      <c r="EL727" s="3"/>
      <c r="EM727" s="3"/>
      <c r="EN727" s="3"/>
      <c r="EO727" s="3"/>
      <c r="EP727" s="3"/>
      <c r="EQ727" s="3"/>
      <c r="ER727" s="3"/>
      <c r="ES727" s="3"/>
      <c r="ET727" s="3"/>
      <c r="EU727" s="3"/>
      <c r="EV727" s="3"/>
      <c r="EW727" s="3"/>
      <c r="EX727" s="3"/>
      <c r="EY727" s="3"/>
      <c r="EZ727" s="3"/>
      <c r="FA727" s="3"/>
      <c r="FB727" s="3"/>
      <c r="FC727" s="3"/>
      <c r="FD727" s="3"/>
      <c r="FE727" s="3"/>
      <c r="FF727" s="3"/>
      <c r="FG727" s="3"/>
      <c r="FH727" s="3"/>
      <c r="FI727" s="3"/>
      <c r="FJ727" s="3"/>
      <c r="FK727" s="3"/>
      <c r="FL727" s="3"/>
      <c r="FM727" s="3"/>
      <c r="FN727" s="3"/>
      <c r="FO727" s="3"/>
      <c r="FP727" s="3"/>
      <c r="FQ727" s="3"/>
      <c r="FR727" s="3"/>
      <c r="FS727" s="3"/>
      <c r="FT727" s="3"/>
      <c r="FU727" s="3"/>
      <c r="FV727" s="3"/>
      <c r="FW727" s="3"/>
      <c r="FX727" s="3"/>
      <c r="FY727" s="3"/>
      <c r="FZ727" s="3"/>
      <c r="GA727" s="3"/>
      <c r="GB727" s="3"/>
      <c r="GC727" s="3"/>
      <c r="GD727" s="3"/>
      <c r="GE727" s="3"/>
      <c r="GF727" s="3"/>
      <c r="GG727" s="3"/>
      <c r="GH727" s="3"/>
      <c r="GI727" s="3"/>
      <c r="GJ727" s="3"/>
      <c r="GK727" s="3"/>
      <c r="GL727" s="3"/>
      <c r="GM727" s="3"/>
      <c r="GN727" s="3"/>
      <c r="GO727" s="3"/>
      <c r="GP727" s="3"/>
      <c r="GQ727" s="3"/>
      <c r="GR727" s="3"/>
      <c r="GS727" s="3"/>
      <c r="GT727" s="3"/>
      <c r="GU727" s="3"/>
      <c r="GV727" s="3"/>
      <c r="GW727" s="3"/>
      <c r="GX727" s="3"/>
      <c r="GY727" s="3"/>
      <c r="GZ727" s="3"/>
      <c r="HA727" s="3"/>
      <c r="HB727" s="3"/>
      <c r="HC727" s="3"/>
      <c r="HD727" s="3"/>
      <c r="HE727" s="3"/>
      <c r="HF727" s="3"/>
      <c r="HG727" s="3"/>
      <c r="HH727" s="3"/>
      <c r="HI727" s="3"/>
      <c r="HJ727" s="3"/>
      <c r="HK727" s="2"/>
      <c r="HL727" s="2"/>
      <c r="HM727" s="2"/>
      <c r="HN727" s="2"/>
      <c r="HO727" s="2"/>
      <c r="HP727" s="2"/>
      <c r="HQ727" s="2"/>
      <c r="HR727" s="2"/>
      <c r="HS727" s="88"/>
      <c r="HT727" s="2"/>
      <c r="HU727" s="2"/>
      <c r="HV727" s="2"/>
      <c r="HW727" s="2"/>
      <c r="HX727" s="2"/>
      <c r="HY727" s="2"/>
      <c r="HZ727" s="2"/>
      <c r="IA727" s="2"/>
      <c r="IB727" s="2"/>
      <c r="IC727" s="2"/>
      <c r="ID727" s="2"/>
      <c r="IE727" s="2"/>
      <c r="IF727" s="2"/>
      <c r="IG727" s="2"/>
      <c r="IH727" s="133" t="s">
        <v>1465</v>
      </c>
      <c r="II727" s="75" t="s">
        <v>929</v>
      </c>
      <c r="IJ727" s="149" t="s">
        <v>983</v>
      </c>
      <c r="IK727" s="150" t="s">
        <v>543</v>
      </c>
      <c r="IL727" s="2">
        <v>2007</v>
      </c>
      <c r="IM727" s="2" t="s">
        <v>692</v>
      </c>
      <c r="IN727" s="2" t="s">
        <v>480</v>
      </c>
      <c r="IQ727" s="2"/>
      <c r="IR727" s="2"/>
      <c r="IS727" s="2"/>
      <c r="IT727" s="2"/>
      <c r="IU727" s="2"/>
      <c r="IV727" s="2"/>
      <c r="IW727" s="2"/>
      <c r="IX727" s="2"/>
      <c r="IY727" s="2"/>
      <c r="IZ727" s="2"/>
      <c r="JA727" s="2"/>
      <c r="JB727" s="2"/>
      <c r="JC727" s="2"/>
      <c r="JD727" s="2"/>
      <c r="JE727" s="2"/>
      <c r="JF727" s="2"/>
      <c r="JG727" s="2"/>
      <c r="JH727" s="2"/>
      <c r="JI727" s="2"/>
      <c r="JJ727" s="2"/>
      <c r="JK727" s="2"/>
      <c r="JL727" s="139" t="s">
        <v>495</v>
      </c>
      <c r="JM727" s="140" t="s">
        <v>1466</v>
      </c>
      <c r="JN727" s="140" t="s">
        <v>1467</v>
      </c>
      <c r="JO727" s="140" t="s">
        <v>1467</v>
      </c>
      <c r="JR727" s="2"/>
      <c r="JS727" s="2"/>
      <c r="JT727" s="2"/>
      <c r="JU727" s="2"/>
      <c r="JV727" s="2"/>
      <c r="JW727" s="2"/>
      <c r="JX727" s="2"/>
      <c r="JY727" s="141"/>
      <c r="JZ727" s="151"/>
      <c r="KA727" s="88"/>
      <c r="KB727" s="2"/>
      <c r="KC727" s="88"/>
      <c r="KD727" s="2"/>
      <c r="KE727" s="2"/>
      <c r="KF727" s="2"/>
      <c r="KG727" s="88"/>
      <c r="KH727" s="2"/>
      <c r="KI727" s="148"/>
      <c r="KJ727" s="152"/>
      <c r="KK727" s="2"/>
      <c r="KL727" s="2"/>
      <c r="KM727" s="2"/>
      <c r="KN727" s="2"/>
      <c r="KO727" s="88"/>
      <c r="KP727" s="2"/>
      <c r="KQ727" s="148"/>
      <c r="KR727" s="152"/>
      <c r="KS727" s="2"/>
      <c r="KT727" s="2"/>
      <c r="KU727" s="143"/>
      <c r="KV727" s="161"/>
      <c r="KW727" s="2"/>
      <c r="KX727" s="2"/>
      <c r="KY727" s="2"/>
      <c r="KZ727" s="3"/>
      <c r="LA727" s="3"/>
      <c r="LB727" s="3"/>
      <c r="LC727" s="3"/>
      <c r="LD727" s="3"/>
      <c r="LE727" s="3"/>
      <c r="LF727" s="3"/>
      <c r="LG727" s="3"/>
      <c r="LH727" s="88"/>
      <c r="LI727" s="88"/>
      <c r="LJ727" s="88"/>
      <c r="LK727" s="88"/>
      <c r="LL727" s="88"/>
      <c r="LM727" s="2"/>
      <c r="LN727" s="88"/>
      <c r="LO727" s="88"/>
      <c r="LP727" s="88"/>
      <c r="LQ727" s="2"/>
      <c r="LR727" s="2"/>
      <c r="LS727" s="2"/>
      <c r="LT727" s="2"/>
      <c r="LU727" s="2"/>
      <c r="LV727" s="2"/>
      <c r="LW727" s="2"/>
      <c r="LX727" s="2"/>
      <c r="LY727" s="2"/>
      <c r="LZ727" s="2"/>
      <c r="MA727" s="2"/>
      <c r="MB727" s="2"/>
      <c r="MC727" s="2"/>
      <c r="MD727" s="2"/>
      <c r="ME727" s="2"/>
      <c r="MF727" s="2"/>
      <c r="MG727" s="2"/>
      <c r="MH727" s="2"/>
      <c r="MI727" s="2"/>
      <c r="MJ727" s="2"/>
      <c r="MK727" s="2"/>
      <c r="ML727" s="2"/>
      <c r="MM727" s="2"/>
      <c r="MN727" s="2"/>
      <c r="MO727" s="2"/>
      <c r="MP727" s="2"/>
      <c r="MQ727" s="2"/>
      <c r="MR727" s="2"/>
      <c r="MS727" s="2"/>
      <c r="MT727" s="2"/>
      <c r="MU727" s="2"/>
      <c r="MV727" s="2"/>
      <c r="MW727" s="2"/>
      <c r="MX727" s="2"/>
      <c r="MY727" s="133" t="s">
        <v>1468</v>
      </c>
      <c r="MZ727" s="80">
        <v>64</v>
      </c>
      <c r="NA727" s="144"/>
      <c r="NB727" s="144"/>
      <c r="NC727" s="144"/>
      <c r="ND727" s="144"/>
      <c r="NE727" s="144"/>
      <c r="NF727" s="144"/>
      <c r="NG727" s="144"/>
      <c r="NH727" s="144"/>
      <c r="NI727" s="133" t="s">
        <v>1469</v>
      </c>
      <c r="NJ727" s="133" t="s">
        <v>1470</v>
      </c>
      <c r="NK727" s="133" t="s">
        <v>1471</v>
      </c>
      <c r="NL727" s="133" t="s">
        <v>625</v>
      </c>
      <c r="NM727" s="145" t="s">
        <v>516</v>
      </c>
      <c r="NN727" s="133"/>
      <c r="NO727" s="133"/>
      <c r="NP727" s="133"/>
      <c r="NQ727" s="133"/>
      <c r="NR727" s="133"/>
      <c r="NS727" s="133"/>
      <c r="NT727" s="133"/>
      <c r="NU727" s="133"/>
      <c r="NV727" s="146" t="s">
        <v>518</v>
      </c>
      <c r="NW727" s="153">
        <v>288.3</v>
      </c>
      <c r="NX727" s="146" t="s">
        <v>520</v>
      </c>
      <c r="NY727" s="153">
        <v>2.1</v>
      </c>
      <c r="NZ727" s="154"/>
      <c r="OA727" s="2"/>
      <c r="OB727" s="133">
        <v>4</v>
      </c>
      <c r="OC727" s="2"/>
      <c r="OD727" s="2"/>
      <c r="OE727" s="2"/>
      <c r="OF727" s="2"/>
      <c r="OG727" s="2"/>
      <c r="OH727" s="2"/>
      <c r="OI727" s="2"/>
      <c r="OJ727" s="2"/>
      <c r="OK727" s="2"/>
      <c r="OL727" s="2"/>
      <c r="OU727" s="133" t="s">
        <v>1472</v>
      </c>
      <c r="OV727" s="2"/>
      <c r="OW727" s="2">
        <v>2007</v>
      </c>
      <c r="OX727" s="2"/>
      <c r="OY727" s="2"/>
      <c r="OZ727" s="2" t="s">
        <v>709</v>
      </c>
      <c r="PA727" s="2"/>
      <c r="PB727" t="s">
        <v>522</v>
      </c>
      <c r="PC727" s="50">
        <v>46134</v>
      </c>
      <c r="PD727" s="127"/>
    </row>
    <row r="728" spans="1:420" ht="15.75" thickBot="1">
      <c r="A728" t="s">
        <v>469</v>
      </c>
      <c r="B728" t="s">
        <v>1459</v>
      </c>
      <c r="C728" s="80" t="s">
        <v>667</v>
      </c>
      <c r="D728" s="132" t="s">
        <v>950</v>
      </c>
      <c r="E728" s="2" t="s">
        <v>1460</v>
      </c>
      <c r="F728" t="s">
        <v>1179</v>
      </c>
      <c r="G728" s="80" t="s">
        <v>475</v>
      </c>
      <c r="H728" s="132" t="s">
        <v>476</v>
      </c>
      <c r="I728">
        <v>-0.41666666699999999</v>
      </c>
      <c r="J728">
        <v>34.200000000000003</v>
      </c>
      <c r="K728" s="132" t="s">
        <v>480</v>
      </c>
      <c r="L728" s="80"/>
      <c r="M728" s="132"/>
      <c r="N728" s="80"/>
      <c r="O728" s="80"/>
      <c r="P728" s="80"/>
      <c r="Q728" s="80"/>
      <c r="R728" s="80"/>
      <c r="S728" s="80"/>
      <c r="T728" s="80"/>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c r="AV728" s="80" t="s">
        <v>1461</v>
      </c>
      <c r="AW728" s="80">
        <v>64</v>
      </c>
      <c r="AX728" s="80">
        <v>0.09</v>
      </c>
      <c r="AY728" s="80">
        <v>1</v>
      </c>
      <c r="AZ728" s="133" t="s">
        <v>1462</v>
      </c>
      <c r="BA728" s="133">
        <v>2007</v>
      </c>
      <c r="BB728" s="133">
        <v>2008</v>
      </c>
      <c r="BC728" s="133" t="s">
        <v>692</v>
      </c>
      <c r="BD728" s="133" t="s">
        <v>1463</v>
      </c>
      <c r="BE728" s="133" t="s">
        <v>524</v>
      </c>
      <c r="BF728" s="133" t="s">
        <v>484</v>
      </c>
      <c r="BG728" s="133" t="s">
        <v>1464</v>
      </c>
      <c r="BH728" s="133" t="s">
        <v>480</v>
      </c>
      <c r="BI728" s="134" t="s">
        <v>486</v>
      </c>
      <c r="BJ728" s="135">
        <v>111000</v>
      </c>
      <c r="BK728" s="80"/>
      <c r="BL728" s="80"/>
      <c r="BM728" s="80"/>
      <c r="BN728" s="132"/>
      <c r="BO728" s="155"/>
      <c r="BP728" s="80"/>
      <c r="BQ728" s="80"/>
      <c r="BR728" s="80"/>
      <c r="BS728" s="132"/>
      <c r="BT728" s="155"/>
      <c r="BU728" s="80"/>
      <c r="BV728" s="3"/>
      <c r="BW728" s="3"/>
      <c r="BX728" s="3"/>
      <c r="BY728" s="3"/>
      <c r="BZ728" s="3"/>
      <c r="CA728" s="3"/>
      <c r="CB728" s="3"/>
      <c r="CC728" s="3"/>
      <c r="CD728" s="3"/>
      <c r="CE728" s="3"/>
      <c r="CF728" s="3"/>
      <c r="CG728" s="3"/>
      <c r="CH728" s="3"/>
      <c r="CI728" s="3"/>
      <c r="CJ728" s="3"/>
      <c r="CK728" s="3"/>
      <c r="CL728" s="3"/>
      <c r="CM728" s="3"/>
      <c r="CN728" s="3"/>
      <c r="CO728" s="3"/>
      <c r="CP728" s="3"/>
      <c r="CQ728" s="3"/>
      <c r="CR728" s="3"/>
      <c r="CS728" s="3"/>
      <c r="CT728" s="3"/>
      <c r="CU728" s="3"/>
      <c r="CV728" s="3"/>
      <c r="CW728" s="3"/>
      <c r="CX728" s="3"/>
      <c r="CY728" s="3"/>
      <c r="CZ728" s="3"/>
      <c r="DA728" s="3"/>
      <c r="DB728" s="3"/>
      <c r="DC728" s="3"/>
      <c r="DD728" s="3"/>
      <c r="DE728" s="3"/>
      <c r="DF728" s="3"/>
      <c r="DG728" s="3"/>
      <c r="DH728" s="3"/>
      <c r="DI728" s="3"/>
      <c r="DJ728" s="3"/>
      <c r="DK728" s="3"/>
      <c r="DL728" s="3"/>
      <c r="DM728" s="3"/>
      <c r="DN728" s="3"/>
      <c r="DO728" s="3"/>
      <c r="DP728" s="3"/>
      <c r="DQ728" s="3"/>
      <c r="DR728" s="3"/>
      <c r="DS728" s="3"/>
      <c r="DT728" s="3"/>
      <c r="DU728" s="3"/>
      <c r="DV728" s="3"/>
      <c r="DW728" s="3"/>
      <c r="DX728" s="3"/>
      <c r="DY728" s="3"/>
      <c r="DZ728" s="3"/>
      <c r="EA728" s="3"/>
      <c r="EB728" s="3"/>
      <c r="EC728" s="3"/>
      <c r="ED728" s="80"/>
      <c r="EE728" s="80"/>
      <c r="EF728" s="80"/>
      <c r="EG728" s="80"/>
      <c r="EH728" s="80"/>
      <c r="EI728" s="80"/>
      <c r="EJ728" s="80"/>
      <c r="EK728" s="80"/>
      <c r="EL728" s="3"/>
      <c r="EM728" s="3"/>
      <c r="EN728" s="3"/>
      <c r="EO728" s="3"/>
      <c r="EP728" s="3"/>
      <c r="EQ728" s="3"/>
      <c r="ER728" s="3"/>
      <c r="ES728" s="3"/>
      <c r="ET728" s="3"/>
      <c r="EU728" s="3"/>
      <c r="EV728" s="3"/>
      <c r="EW728" s="3"/>
      <c r="EX728" s="3"/>
      <c r="EY728" s="3"/>
      <c r="EZ728" s="3"/>
      <c r="FA728" s="3"/>
      <c r="FB728" s="3"/>
      <c r="FC728" s="3"/>
      <c r="FD728" s="3"/>
      <c r="FE728" s="3"/>
      <c r="FF728" s="3"/>
      <c r="FG728" s="3"/>
      <c r="FH728" s="3"/>
      <c r="FI728" s="3"/>
      <c r="FJ728" s="3"/>
      <c r="FK728" s="3"/>
      <c r="FL728" s="3"/>
      <c r="FM728" s="3"/>
      <c r="FN728" s="3"/>
      <c r="FO728" s="3"/>
      <c r="FP728" s="3"/>
      <c r="FQ728" s="3"/>
      <c r="FR728" s="3"/>
      <c r="FS728" s="3"/>
      <c r="FT728" s="3"/>
      <c r="FU728" s="3"/>
      <c r="FV728" s="3"/>
      <c r="FW728" s="3"/>
      <c r="FX728" s="3"/>
      <c r="FY728" s="3"/>
      <c r="FZ728" s="3"/>
      <c r="GA728" s="3"/>
      <c r="GB728" s="3"/>
      <c r="GC728" s="3"/>
      <c r="GD728" s="3"/>
      <c r="GE728" s="3"/>
      <c r="GF728" s="3"/>
      <c r="GG728" s="3"/>
      <c r="GH728" s="3"/>
      <c r="GI728" s="3"/>
      <c r="GJ728" s="3"/>
      <c r="GK728" s="3"/>
      <c r="GL728" s="3"/>
      <c r="GM728" s="3"/>
      <c r="GN728" s="3"/>
      <c r="GO728" s="3"/>
      <c r="GP728" s="3"/>
      <c r="GQ728" s="3"/>
      <c r="GR728" s="3"/>
      <c r="GS728" s="3"/>
      <c r="GT728" s="3"/>
      <c r="GU728" s="3"/>
      <c r="GV728" s="3"/>
      <c r="GW728" s="3"/>
      <c r="GX728" s="3"/>
      <c r="GY728" s="3"/>
      <c r="GZ728" s="3"/>
      <c r="HA728" s="3"/>
      <c r="HB728" s="3"/>
      <c r="HC728" s="3"/>
      <c r="HD728" s="3"/>
      <c r="HE728" s="3"/>
      <c r="HF728" s="3"/>
      <c r="HG728" s="3"/>
      <c r="HH728" s="3"/>
      <c r="HI728" s="3"/>
      <c r="HJ728" s="3"/>
      <c r="HK728" s="80"/>
      <c r="HL728" s="80"/>
      <c r="HM728" s="80"/>
      <c r="HN728" s="80"/>
      <c r="HO728" s="80"/>
      <c r="HP728" s="80"/>
      <c r="HQ728" s="80"/>
      <c r="HR728" s="80"/>
      <c r="HS728" s="132"/>
      <c r="HT728" s="80"/>
      <c r="HU728" s="80"/>
      <c r="HV728" s="80"/>
      <c r="HW728" s="80"/>
      <c r="HX728" s="80"/>
      <c r="HY728" s="80"/>
      <c r="HZ728" s="80"/>
      <c r="IA728" s="80"/>
      <c r="IB728" s="80"/>
      <c r="IC728" s="80"/>
      <c r="ID728" s="80"/>
      <c r="IE728" s="80"/>
      <c r="IF728" s="80"/>
      <c r="IG728" s="80"/>
      <c r="IH728" s="133" t="s">
        <v>1465</v>
      </c>
      <c r="II728" s="137" t="s">
        <v>492</v>
      </c>
      <c r="IJ728" s="80"/>
      <c r="IK728" s="80"/>
      <c r="IL728" s="80"/>
      <c r="IM728" s="80"/>
      <c r="IN728" s="80"/>
      <c r="IQ728" s="80"/>
      <c r="IR728" s="80"/>
      <c r="IS728" s="80"/>
      <c r="IT728" s="80"/>
      <c r="IU728" s="80"/>
      <c r="IV728" s="80"/>
      <c r="IW728" s="132"/>
      <c r="IX728" s="80"/>
      <c r="IY728" s="80"/>
      <c r="IZ728" s="80"/>
      <c r="JA728" s="80"/>
      <c r="JB728" s="80"/>
      <c r="JC728" s="80"/>
      <c r="JD728" s="80"/>
      <c r="JE728" s="80"/>
      <c r="JF728" s="80"/>
      <c r="JG728" s="80"/>
      <c r="JH728" s="80"/>
      <c r="JI728" s="80"/>
      <c r="JJ728" s="80"/>
      <c r="JK728" s="80"/>
      <c r="JL728" s="139" t="s">
        <v>495</v>
      </c>
      <c r="JM728" s="140" t="s">
        <v>1466</v>
      </c>
      <c r="JN728" s="140" t="s">
        <v>1467</v>
      </c>
      <c r="JO728" s="140" t="s">
        <v>1467</v>
      </c>
      <c r="JR728" s="80"/>
      <c r="JS728" s="80"/>
      <c r="JT728" s="80"/>
      <c r="JU728" s="80"/>
      <c r="JV728" s="80"/>
      <c r="JW728" s="80"/>
      <c r="JX728" s="80"/>
      <c r="JY728" s="141"/>
      <c r="JZ728" s="139"/>
      <c r="KA728" s="132"/>
      <c r="KB728" s="80"/>
      <c r="KC728" s="132"/>
      <c r="KD728" s="80"/>
      <c r="KE728" s="80"/>
      <c r="KF728" s="80"/>
      <c r="KG728" s="132"/>
      <c r="KH728" s="80"/>
      <c r="KI728" s="137"/>
      <c r="KJ728" s="158"/>
      <c r="KK728" s="80"/>
      <c r="KL728" s="80"/>
      <c r="KM728" s="80"/>
      <c r="KN728" s="80"/>
      <c r="KO728" s="132"/>
      <c r="KP728" s="80"/>
      <c r="KQ728" s="162"/>
      <c r="KR728" s="139"/>
      <c r="KS728" s="80"/>
      <c r="KT728" s="80"/>
      <c r="KU728" s="143"/>
      <c r="KV728" s="158"/>
      <c r="KW728" s="80"/>
      <c r="KX728" s="80"/>
      <c r="KY728" s="80"/>
      <c r="KZ728" s="3"/>
      <c r="LA728" s="3"/>
      <c r="LB728" s="3"/>
      <c r="LC728" s="3"/>
      <c r="LD728" s="3"/>
      <c r="LE728" s="3"/>
      <c r="LF728" s="3"/>
      <c r="LG728" s="3"/>
      <c r="LH728" s="132"/>
      <c r="LI728" s="132"/>
      <c r="LJ728" s="132"/>
      <c r="LK728" s="132"/>
      <c r="LL728" s="132"/>
      <c r="LM728" s="80"/>
      <c r="LN728" s="132"/>
      <c r="LO728" s="132"/>
      <c r="LP728" s="132"/>
      <c r="LQ728" s="80"/>
      <c r="LR728" s="80"/>
      <c r="LS728" s="80"/>
      <c r="LT728" s="80"/>
      <c r="LU728" s="80"/>
      <c r="LV728" s="80"/>
      <c r="LW728" s="80"/>
      <c r="LX728" s="80"/>
      <c r="LY728" s="80"/>
      <c r="LZ728" s="80"/>
      <c r="MA728" s="80"/>
      <c r="MB728" s="80"/>
      <c r="MC728" s="80"/>
      <c r="MD728" s="80"/>
      <c r="ME728" s="80"/>
      <c r="MF728" s="80"/>
      <c r="MG728" s="80"/>
      <c r="MH728" s="80"/>
      <c r="MI728" s="80"/>
      <c r="MJ728" s="80"/>
      <c r="MK728" s="80"/>
      <c r="ML728" s="80"/>
      <c r="MM728" s="80"/>
      <c r="MN728" s="80"/>
      <c r="MO728" s="80"/>
      <c r="MP728" s="80"/>
      <c r="MQ728" s="80"/>
      <c r="MR728" s="80"/>
      <c r="MS728" s="80"/>
      <c r="MT728" s="80"/>
      <c r="MU728" s="80"/>
      <c r="MV728" s="80"/>
      <c r="MW728" s="80"/>
      <c r="MX728" s="80"/>
      <c r="MY728" s="133" t="s">
        <v>1468</v>
      </c>
      <c r="MZ728" s="80">
        <v>64</v>
      </c>
      <c r="NA728" s="144"/>
      <c r="NB728" s="144"/>
      <c r="NC728" s="144"/>
      <c r="ND728" s="144"/>
      <c r="NE728" s="144"/>
      <c r="NF728" s="144"/>
      <c r="NG728" s="144"/>
      <c r="NH728" s="144"/>
      <c r="NI728" s="133" t="s">
        <v>1469</v>
      </c>
      <c r="NJ728" s="133" t="s">
        <v>1470</v>
      </c>
      <c r="NK728" s="133" t="s">
        <v>1471</v>
      </c>
      <c r="NL728" s="133" t="s">
        <v>625</v>
      </c>
      <c r="NM728" s="145" t="s">
        <v>516</v>
      </c>
      <c r="NN728" s="133"/>
      <c r="NO728" s="133"/>
      <c r="NP728" s="133"/>
      <c r="NQ728" s="133"/>
      <c r="NR728" s="133"/>
      <c r="NS728" s="133"/>
      <c r="NT728" s="133"/>
      <c r="NU728" s="133" t="s">
        <v>536</v>
      </c>
      <c r="NV728" s="146" t="s">
        <v>518</v>
      </c>
      <c r="NW728" s="86">
        <v>185</v>
      </c>
      <c r="NX728" s="146" t="s">
        <v>520</v>
      </c>
      <c r="NY728" s="86">
        <v>2.1</v>
      </c>
      <c r="NZ728" s="160"/>
      <c r="OA728" s="80"/>
      <c r="OB728" s="133">
        <v>4</v>
      </c>
      <c r="OC728" s="80"/>
      <c r="OD728" s="80"/>
      <c r="OE728" s="80"/>
      <c r="OF728" s="80"/>
      <c r="OG728" s="80"/>
      <c r="OH728" s="80"/>
      <c r="OI728" s="80"/>
      <c r="OJ728" s="80"/>
      <c r="OK728" s="80"/>
      <c r="OL728" s="80"/>
      <c r="OM728" s="144"/>
      <c r="ON728" s="144"/>
      <c r="OO728" s="144"/>
      <c r="OP728" s="144"/>
      <c r="OQ728" s="144"/>
      <c r="OR728" s="144"/>
      <c r="OS728" s="144"/>
      <c r="OT728" s="144"/>
      <c r="OU728" s="133" t="s">
        <v>1472</v>
      </c>
      <c r="OV728" s="80"/>
      <c r="OW728" s="80">
        <v>2008</v>
      </c>
      <c r="OX728" s="80"/>
      <c r="OY728" s="80"/>
      <c r="OZ728" s="133" t="s">
        <v>692</v>
      </c>
      <c r="PA728" s="80"/>
      <c r="PB728" t="s">
        <v>522</v>
      </c>
      <c r="PC728" s="50">
        <v>46134</v>
      </c>
      <c r="PD728" s="127"/>
    </row>
    <row r="729" spans="1:420" ht="15.75" thickBot="1">
      <c r="A729" t="s">
        <v>469</v>
      </c>
      <c r="B729" t="s">
        <v>1459</v>
      </c>
      <c r="C729" s="80" t="s">
        <v>667</v>
      </c>
      <c r="D729" s="132" t="s">
        <v>950</v>
      </c>
      <c r="E729" s="2" t="s">
        <v>1460</v>
      </c>
      <c r="F729" t="s">
        <v>1179</v>
      </c>
      <c r="G729" s="80" t="s">
        <v>475</v>
      </c>
      <c r="H729" s="132" t="s">
        <v>476</v>
      </c>
      <c r="I729">
        <v>-0.41666666699999999</v>
      </c>
      <c r="J729">
        <v>34.200000000000003</v>
      </c>
      <c r="K729" s="132" t="s">
        <v>480</v>
      </c>
      <c r="L729" s="2"/>
      <c r="M729" s="88"/>
      <c r="N729" s="2"/>
      <c r="O729" s="80"/>
      <c r="P729" s="2"/>
      <c r="Q729" s="2"/>
      <c r="R729" s="80"/>
      <c r="S729" s="80"/>
      <c r="T729" s="80"/>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c r="AV729" s="80" t="s">
        <v>1461</v>
      </c>
      <c r="AW729" s="80">
        <v>64</v>
      </c>
      <c r="AX729" s="80">
        <v>0.09</v>
      </c>
      <c r="AY729" s="80">
        <v>1</v>
      </c>
      <c r="AZ729" s="133" t="s">
        <v>1462</v>
      </c>
      <c r="BA729" s="133">
        <v>2007</v>
      </c>
      <c r="BB729" s="133">
        <v>2008</v>
      </c>
      <c r="BC729" s="133" t="s">
        <v>692</v>
      </c>
      <c r="BD729" s="2" t="s">
        <v>1473</v>
      </c>
      <c r="BE729" s="2" t="s">
        <v>536</v>
      </c>
      <c r="BF729" s="133" t="s">
        <v>484</v>
      </c>
      <c r="BG729" s="2" t="s">
        <v>1464</v>
      </c>
      <c r="BH729" s="133" t="s">
        <v>480</v>
      </c>
      <c r="BI729" s="134" t="s">
        <v>486</v>
      </c>
      <c r="BJ729" s="135">
        <v>55500</v>
      </c>
      <c r="BK729" s="2" t="s">
        <v>537</v>
      </c>
      <c r="BL729" t="s">
        <v>1474</v>
      </c>
      <c r="BM729" s="133" t="s">
        <v>480</v>
      </c>
      <c r="BN729" s="2" t="s">
        <v>486</v>
      </c>
      <c r="BO729" s="2">
        <v>55000</v>
      </c>
      <c r="BP729" s="2"/>
      <c r="BQ729" s="2"/>
      <c r="BR729" s="2"/>
      <c r="BS729" s="88"/>
      <c r="BT729" s="2"/>
      <c r="BU729" s="2"/>
      <c r="BV729" s="3"/>
      <c r="BW729" s="3"/>
      <c r="BX729" s="3"/>
      <c r="BY729" s="3"/>
      <c r="BZ729" s="3"/>
      <c r="CA729" s="3"/>
      <c r="CB729" s="3"/>
      <c r="CC729" s="3"/>
      <c r="CD729" s="3"/>
      <c r="CE729" s="3"/>
      <c r="CF729" s="3"/>
      <c r="CG729" s="3"/>
      <c r="CH729" s="3"/>
      <c r="CI729" s="3"/>
      <c r="CJ729" s="3"/>
      <c r="CK729" s="3"/>
      <c r="CL729" s="3"/>
      <c r="CM729" s="3"/>
      <c r="CN729" s="3"/>
      <c r="CO729" s="3"/>
      <c r="CP729" s="3"/>
      <c r="CQ729" s="3"/>
      <c r="CR729" s="3"/>
      <c r="CS729" s="3"/>
      <c r="CT729" s="3"/>
      <c r="CU729" s="3"/>
      <c r="CV729" s="3"/>
      <c r="CW729" s="3"/>
      <c r="CX729" s="3"/>
      <c r="CY729" s="3"/>
      <c r="CZ729" s="3"/>
      <c r="DA729" s="3"/>
      <c r="DB729" s="3"/>
      <c r="DC729" s="3"/>
      <c r="DD729" s="3"/>
      <c r="DE729" s="3"/>
      <c r="DF729" s="3"/>
      <c r="DG729" s="3"/>
      <c r="DH729" s="3"/>
      <c r="DI729" s="3"/>
      <c r="DJ729" s="3"/>
      <c r="DK729" s="3"/>
      <c r="DL729" s="3"/>
      <c r="DM729" s="3"/>
      <c r="DN729" s="3"/>
      <c r="DO729" s="3"/>
      <c r="DP729" s="3"/>
      <c r="DQ729" s="3"/>
      <c r="DR729" s="3"/>
      <c r="DS729" s="3"/>
      <c r="DT729" s="3"/>
      <c r="DU729" s="3"/>
      <c r="DV729" s="3"/>
      <c r="DW729" s="3"/>
      <c r="DX729" s="3"/>
      <c r="DY729" s="3"/>
      <c r="DZ729" s="3"/>
      <c r="EA729" s="3"/>
      <c r="EB729" s="3"/>
      <c r="EC729" s="3"/>
      <c r="ED729" s="2"/>
      <c r="EE729" s="2"/>
      <c r="EF729" s="2"/>
      <c r="EG729" s="2"/>
      <c r="EH729" s="2"/>
      <c r="EI729" s="2"/>
      <c r="EJ729" s="2"/>
      <c r="EK729" s="2"/>
      <c r="EL729" s="3"/>
      <c r="EM729" s="3"/>
      <c r="EN729" s="3"/>
      <c r="EO729" s="3"/>
      <c r="EP729" s="3"/>
      <c r="EQ729" s="3"/>
      <c r="ER729" s="3"/>
      <c r="ES729" s="3"/>
      <c r="ET729" s="3"/>
      <c r="EU729" s="3"/>
      <c r="EV729" s="3"/>
      <c r="EW729" s="3"/>
      <c r="EX729" s="3"/>
      <c r="EY729" s="3"/>
      <c r="EZ729" s="3"/>
      <c r="FA729" s="3"/>
      <c r="FB729" s="3"/>
      <c r="FC729" s="3"/>
      <c r="FD729" s="3"/>
      <c r="FE729" s="3"/>
      <c r="FF729" s="3"/>
      <c r="FG729" s="3"/>
      <c r="FH729" s="3"/>
      <c r="FI729" s="3"/>
      <c r="FJ729" s="3"/>
      <c r="FK729" s="3"/>
      <c r="FL729" s="3"/>
      <c r="FM729" s="3"/>
      <c r="FN729" s="3"/>
      <c r="FO729" s="3"/>
      <c r="FP729" s="3"/>
      <c r="FQ729" s="3"/>
      <c r="FR729" s="3"/>
      <c r="FS729" s="3"/>
      <c r="FT729" s="3"/>
      <c r="FU729" s="3"/>
      <c r="FV729" s="3"/>
      <c r="FW729" s="3"/>
      <c r="FX729" s="3"/>
      <c r="FY729" s="3"/>
      <c r="FZ729" s="3"/>
      <c r="GA729" s="3"/>
      <c r="GB729" s="3"/>
      <c r="GC729" s="3"/>
      <c r="GD729" s="3"/>
      <c r="GE729" s="3"/>
      <c r="GF729" s="3"/>
      <c r="GG729" s="3"/>
      <c r="GH729" s="3"/>
      <c r="GI729" s="3"/>
      <c r="GJ729" s="3"/>
      <c r="GK729" s="3"/>
      <c r="GL729" s="3"/>
      <c r="GM729" s="3"/>
      <c r="GN729" s="3"/>
      <c r="GO729" s="3"/>
      <c r="GP729" s="3"/>
      <c r="GQ729" s="3"/>
      <c r="GR729" s="3"/>
      <c r="GS729" s="3"/>
      <c r="GT729" s="3"/>
      <c r="GU729" s="3"/>
      <c r="GV729" s="3"/>
      <c r="GW729" s="3"/>
      <c r="GX729" s="3"/>
      <c r="GY729" s="3"/>
      <c r="GZ729" s="3"/>
      <c r="HA729" s="3"/>
      <c r="HB729" s="3"/>
      <c r="HC729" s="3"/>
      <c r="HD729" s="3"/>
      <c r="HE729" s="3"/>
      <c r="HF729" s="3"/>
      <c r="HG729" s="3"/>
      <c r="HH729" s="3"/>
      <c r="HI729" s="3"/>
      <c r="HJ729" s="3"/>
      <c r="HK729" s="2"/>
      <c r="HL729" s="2"/>
      <c r="HM729" s="2"/>
      <c r="HN729" s="2"/>
      <c r="HO729" s="2"/>
      <c r="HP729" s="2"/>
      <c r="HQ729" s="2"/>
      <c r="HR729" s="2"/>
      <c r="HS729" s="88"/>
      <c r="HT729" s="2"/>
      <c r="HU729" s="2"/>
      <c r="HV729" s="2"/>
      <c r="HW729" s="2"/>
      <c r="HX729" s="2"/>
      <c r="HY729" s="2"/>
      <c r="HZ729" s="2"/>
      <c r="IA729" s="2"/>
      <c r="IB729" s="2"/>
      <c r="IC729" s="2"/>
      <c r="ID729" s="2"/>
      <c r="IE729" s="2"/>
      <c r="IF729" s="2"/>
      <c r="IG729" s="2"/>
      <c r="IH729" s="133" t="s">
        <v>1465</v>
      </c>
      <c r="II729" s="75" t="s">
        <v>929</v>
      </c>
      <c r="IJ729" s="149" t="s">
        <v>983</v>
      </c>
      <c r="IK729" s="150" t="s">
        <v>543</v>
      </c>
      <c r="IL729" s="2">
        <v>2007</v>
      </c>
      <c r="IM729" s="2" t="s">
        <v>692</v>
      </c>
      <c r="IN729" s="2" t="s">
        <v>480</v>
      </c>
      <c r="IQ729" s="2"/>
      <c r="IR729" s="2"/>
      <c r="IS729" s="2"/>
      <c r="IT729" s="2"/>
      <c r="IU729" s="2"/>
      <c r="IV729" s="2"/>
      <c r="IW729" s="88"/>
      <c r="IX729" s="2"/>
      <c r="IY729" s="2"/>
      <c r="IZ729" s="2"/>
      <c r="JA729" s="2"/>
      <c r="JB729" s="2"/>
      <c r="JC729" s="2"/>
      <c r="JD729" s="2"/>
      <c r="JE729" s="2"/>
      <c r="JF729" s="2"/>
      <c r="JG729" s="2"/>
      <c r="JH729" s="2"/>
      <c r="JI729" s="2"/>
      <c r="JJ729" s="2"/>
      <c r="JK729" s="2"/>
      <c r="JL729" s="139" t="s">
        <v>495</v>
      </c>
      <c r="JM729" s="140" t="s">
        <v>1466</v>
      </c>
      <c r="JN729" s="140" t="s">
        <v>1467</v>
      </c>
      <c r="JO729" s="140" t="s">
        <v>1467</v>
      </c>
      <c r="JR729" s="2"/>
      <c r="JS729" s="2"/>
      <c r="JT729" s="2"/>
      <c r="JU729" s="2"/>
      <c r="JV729" s="2"/>
      <c r="JW729" s="2"/>
      <c r="JX729" s="2"/>
      <c r="JY729" s="141"/>
      <c r="JZ729" s="151"/>
      <c r="KA729" s="88"/>
      <c r="KB729" s="2"/>
      <c r="KC729" s="88"/>
      <c r="KD729" s="2"/>
      <c r="KE729" s="2"/>
      <c r="KF729" s="2"/>
      <c r="KG729" s="88"/>
      <c r="KH729" s="2"/>
      <c r="KI729" s="148"/>
      <c r="KJ729" s="152"/>
      <c r="KK729" s="2"/>
      <c r="KL729" s="2"/>
      <c r="KM729" s="2"/>
      <c r="KN729" s="2"/>
      <c r="KO729" s="88"/>
      <c r="KP729" s="2"/>
      <c r="KQ729" s="162"/>
      <c r="KR729" s="151"/>
      <c r="KS729" s="2"/>
      <c r="KT729" s="2"/>
      <c r="KU729" s="143"/>
      <c r="KV729" s="152"/>
      <c r="KW729" s="2"/>
      <c r="KX729" s="2"/>
      <c r="KY729" s="2"/>
      <c r="KZ729" s="3"/>
      <c r="LA729" s="3"/>
      <c r="LB729" s="3"/>
      <c r="LC729" s="3"/>
      <c r="LD729" s="3"/>
      <c r="LE729" s="3"/>
      <c r="LF729" s="3"/>
      <c r="LG729" s="3"/>
      <c r="LH729" s="88"/>
      <c r="LI729" s="88"/>
      <c r="LJ729" s="88"/>
      <c r="LK729" s="88"/>
      <c r="LL729" s="88"/>
      <c r="LM729" s="2"/>
      <c r="LN729" s="88"/>
      <c r="LO729" s="88"/>
      <c r="LP729" s="88"/>
      <c r="LQ729" s="2"/>
      <c r="LR729" s="2"/>
      <c r="LS729" s="2"/>
      <c r="LT729" s="2"/>
      <c r="LU729" s="2"/>
      <c r="LV729" s="2"/>
      <c r="LW729" s="2"/>
      <c r="LX729" s="2"/>
      <c r="LY729" s="2"/>
      <c r="LZ729" s="2"/>
      <c r="MA729" s="2"/>
      <c r="MB729" s="2"/>
      <c r="MC729" s="2"/>
      <c r="MD729" s="2"/>
      <c r="ME729" s="2"/>
      <c r="MF729" s="2"/>
      <c r="MG729" s="2"/>
      <c r="MH729" s="2"/>
      <c r="MI729" s="2"/>
      <c r="MJ729" s="2"/>
      <c r="MK729" s="2"/>
      <c r="ML729" s="2"/>
      <c r="MM729" s="2"/>
      <c r="MN729" s="2"/>
      <c r="MO729" s="2"/>
      <c r="MP729" s="2"/>
      <c r="MQ729" s="2"/>
      <c r="MR729" s="2"/>
      <c r="MS729" s="2"/>
      <c r="MT729" s="2"/>
      <c r="MU729" s="2"/>
      <c r="MV729" s="2"/>
      <c r="MW729" s="2"/>
      <c r="MX729" s="2"/>
      <c r="MY729" s="133" t="s">
        <v>1468</v>
      </c>
      <c r="MZ729" s="80">
        <v>64</v>
      </c>
      <c r="NA729" s="144"/>
      <c r="NB729" s="144"/>
      <c r="NC729" s="144"/>
      <c r="ND729" s="144"/>
      <c r="NE729" s="144"/>
      <c r="NF729" s="144"/>
      <c r="NG729" s="144"/>
      <c r="NH729" s="144"/>
      <c r="NI729" s="133" t="s">
        <v>1469</v>
      </c>
      <c r="NJ729" s="133" t="s">
        <v>1470</v>
      </c>
      <c r="NK729" s="133" t="s">
        <v>1471</v>
      </c>
      <c r="NL729" s="133" t="s">
        <v>625</v>
      </c>
      <c r="NM729" s="145" t="s">
        <v>516</v>
      </c>
      <c r="NN729" s="133"/>
      <c r="NO729" s="133"/>
      <c r="NP729" s="133"/>
      <c r="NQ729" s="133"/>
      <c r="NR729" s="133"/>
      <c r="NS729" s="133"/>
      <c r="NT729" s="133"/>
      <c r="NU729" s="133"/>
      <c r="NV729" s="146" t="s">
        <v>518</v>
      </c>
      <c r="NW729" s="153">
        <v>301.10000000000002</v>
      </c>
      <c r="NX729" s="146" t="s">
        <v>520</v>
      </c>
      <c r="NY729" s="153">
        <v>3.2</v>
      </c>
      <c r="NZ729" s="154"/>
      <c r="OA729" s="2"/>
      <c r="OB729" s="133">
        <v>4</v>
      </c>
      <c r="OC729" s="2"/>
      <c r="OD729" s="2"/>
      <c r="OE729" s="2"/>
      <c r="OF729" s="2"/>
      <c r="OG729" s="2"/>
      <c r="OH729" s="2"/>
      <c r="OI729" s="2"/>
      <c r="OJ729" s="2"/>
      <c r="OK729" s="2"/>
      <c r="OL729" s="2"/>
      <c r="OU729" s="133" t="s">
        <v>1472</v>
      </c>
      <c r="OV729" s="2"/>
      <c r="OW729" s="2">
        <v>2008</v>
      </c>
      <c r="OX729" s="2"/>
      <c r="OY729" s="2"/>
      <c r="OZ729" s="133" t="s">
        <v>692</v>
      </c>
      <c r="PA729" s="2"/>
      <c r="PB729" t="s">
        <v>522</v>
      </c>
      <c r="PC729" s="50">
        <v>46134</v>
      </c>
      <c r="PD729" s="127"/>
    </row>
    <row r="730" spans="1:420" ht="17.25" thickBot="1">
      <c r="A730" t="s">
        <v>469</v>
      </c>
      <c r="B730" t="s">
        <v>1459</v>
      </c>
      <c r="C730" s="80" t="s">
        <v>667</v>
      </c>
      <c r="D730" s="132" t="s">
        <v>950</v>
      </c>
      <c r="E730" s="2" t="s">
        <v>1460</v>
      </c>
      <c r="F730" t="s">
        <v>1179</v>
      </c>
      <c r="G730" s="80" t="s">
        <v>475</v>
      </c>
      <c r="H730" s="132" t="s">
        <v>476</v>
      </c>
      <c r="I730">
        <v>-0.41666666699999999</v>
      </c>
      <c r="J730">
        <v>34.200000000000003</v>
      </c>
      <c r="K730" s="132" t="s">
        <v>480</v>
      </c>
      <c r="L730" s="80"/>
      <c r="M730" s="132"/>
      <c r="N730" s="80"/>
      <c r="O730" s="80"/>
      <c r="P730" s="80"/>
      <c r="Q730" s="80"/>
      <c r="R730" s="80"/>
      <c r="S730" s="80"/>
      <c r="T730" s="80"/>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c r="AV730" s="80" t="s">
        <v>1461</v>
      </c>
      <c r="AW730" s="80">
        <v>64</v>
      </c>
      <c r="AX730" s="80">
        <v>0.09</v>
      </c>
      <c r="AY730" s="80">
        <v>1</v>
      </c>
      <c r="AZ730" s="133" t="s">
        <v>1462</v>
      </c>
      <c r="BA730" s="133">
        <v>2007</v>
      </c>
      <c r="BB730" s="133">
        <v>2008</v>
      </c>
      <c r="BC730" s="133" t="s">
        <v>692</v>
      </c>
      <c r="BD730" s="133" t="s">
        <v>1463</v>
      </c>
      <c r="BE730" s="133" t="s">
        <v>524</v>
      </c>
      <c r="BF730" s="133" t="s">
        <v>484</v>
      </c>
      <c r="BG730" s="133" t="s">
        <v>1464</v>
      </c>
      <c r="BH730" s="133" t="s">
        <v>480</v>
      </c>
      <c r="BI730" s="134" t="s">
        <v>486</v>
      </c>
      <c r="BJ730" s="135">
        <v>111000</v>
      </c>
      <c r="BK730" s="133"/>
      <c r="BL730" s="133"/>
      <c r="BM730" s="133"/>
      <c r="BN730" s="133"/>
      <c r="BO730" s="133"/>
      <c r="BP730" s="133"/>
      <c r="BQ730" s="133"/>
      <c r="BR730" s="133"/>
      <c r="BS730" s="133"/>
      <c r="BT730" s="133"/>
      <c r="BU730" s="133"/>
      <c r="BV730" s="3"/>
      <c r="BW730" s="3"/>
      <c r="BX730" s="3"/>
      <c r="BY730" s="3"/>
      <c r="BZ730" s="3"/>
      <c r="CA730" s="3"/>
      <c r="CB730" s="3"/>
      <c r="CC730" s="3"/>
      <c r="CD730" s="3"/>
      <c r="CE730" s="3"/>
      <c r="CF730" s="3"/>
      <c r="CG730" s="3"/>
      <c r="CH730" s="3"/>
      <c r="CI730" s="3"/>
      <c r="CJ730" s="3"/>
      <c r="CK730" s="3"/>
      <c r="CL730" s="3"/>
      <c r="CM730" s="3"/>
      <c r="CN730" s="3"/>
      <c r="CO730" s="3"/>
      <c r="CP730" s="3"/>
      <c r="CQ730" s="3"/>
      <c r="CR730" s="3"/>
      <c r="CS730" s="3"/>
      <c r="CT730" s="3"/>
      <c r="CU730" s="3"/>
      <c r="CV730" s="3"/>
      <c r="CW730" s="3"/>
      <c r="CX730" s="3"/>
      <c r="CY730" s="3"/>
      <c r="CZ730" s="3"/>
      <c r="DA730" s="3"/>
      <c r="DB730" s="3"/>
      <c r="DC730" s="3"/>
      <c r="DD730" s="3"/>
      <c r="DE730" s="3"/>
      <c r="DF730" s="3"/>
      <c r="DG730" s="3"/>
      <c r="DH730" s="3"/>
      <c r="DI730" s="3"/>
      <c r="DJ730" s="3"/>
      <c r="DK730" s="3"/>
      <c r="DL730" s="3"/>
      <c r="DM730" s="3"/>
      <c r="DN730" s="3"/>
      <c r="DO730" s="3"/>
      <c r="DP730" s="3"/>
      <c r="DQ730" s="3"/>
      <c r="DR730" s="3"/>
      <c r="DS730" s="3"/>
      <c r="DT730" s="3"/>
      <c r="DU730" s="3"/>
      <c r="DV730" s="3"/>
      <c r="DW730" s="3"/>
      <c r="DX730" s="3"/>
      <c r="DY730" s="3"/>
      <c r="DZ730" s="3"/>
      <c r="EA730" s="3"/>
      <c r="EB730" s="3"/>
      <c r="EC730" s="3"/>
      <c r="ED730" s="2"/>
      <c r="EE730" s="133"/>
      <c r="EF730" s="133"/>
      <c r="EG730" s="133"/>
      <c r="EH730" s="133"/>
      <c r="EI730" s="133"/>
      <c r="EJ730" s="133"/>
      <c r="EK730" s="133"/>
      <c r="EL730" s="3"/>
      <c r="EM730" s="3"/>
      <c r="EN730" s="3"/>
      <c r="EO730" s="3"/>
      <c r="EP730" s="3"/>
      <c r="EQ730" s="3"/>
      <c r="ER730" s="3"/>
      <c r="ES730" s="3"/>
      <c r="ET730" s="3"/>
      <c r="EU730" s="3"/>
      <c r="EV730" s="3"/>
      <c r="EW730" s="3"/>
      <c r="EX730" s="3"/>
      <c r="EY730" s="3"/>
      <c r="EZ730" s="3"/>
      <c r="FA730" s="3"/>
      <c r="FB730" s="3"/>
      <c r="FC730" s="3"/>
      <c r="FD730" s="3"/>
      <c r="FE730" s="3"/>
      <c r="FF730" s="3"/>
      <c r="FG730" s="3"/>
      <c r="FH730" s="3"/>
      <c r="FI730" s="3"/>
      <c r="FJ730" s="3"/>
      <c r="FK730" s="3"/>
      <c r="FL730" s="3"/>
      <c r="FM730" s="3"/>
      <c r="FN730" s="3"/>
      <c r="FO730" s="3"/>
      <c r="FP730" s="3"/>
      <c r="FQ730" s="3"/>
      <c r="FR730" s="3"/>
      <c r="FS730" s="3"/>
      <c r="FT730" s="3"/>
      <c r="FU730" s="3"/>
      <c r="FV730" s="3"/>
      <c r="FW730" s="3"/>
      <c r="FX730" s="3"/>
      <c r="FY730" s="3"/>
      <c r="FZ730" s="3"/>
      <c r="GA730" s="3"/>
      <c r="GB730" s="3"/>
      <c r="GC730" s="3"/>
      <c r="GD730" s="3"/>
      <c r="GE730" s="3"/>
      <c r="GF730" s="3"/>
      <c r="GG730" s="3"/>
      <c r="GH730" s="3"/>
      <c r="GI730" s="3"/>
      <c r="GJ730" s="3"/>
      <c r="GK730" s="3"/>
      <c r="GL730" s="3"/>
      <c r="GM730" s="3"/>
      <c r="GN730" s="3"/>
      <c r="GO730" s="3"/>
      <c r="GP730" s="3"/>
      <c r="GQ730" s="3"/>
      <c r="GR730" s="3"/>
      <c r="GS730" s="3"/>
      <c r="GT730" s="3"/>
      <c r="GU730" s="3"/>
      <c r="GV730" s="3"/>
      <c r="GW730" s="3"/>
      <c r="GX730" s="3"/>
      <c r="GY730" s="3"/>
      <c r="GZ730" s="3"/>
      <c r="HA730" s="3"/>
      <c r="HB730" s="3"/>
      <c r="HC730" s="3"/>
      <c r="HD730" s="3"/>
      <c r="HE730" s="3"/>
      <c r="HF730" s="3"/>
      <c r="HG730" s="3"/>
      <c r="HH730" s="3"/>
      <c r="HI730" s="3"/>
      <c r="HJ730" s="3"/>
      <c r="HK730" s="133"/>
      <c r="HL730" s="133"/>
      <c r="HM730" s="133"/>
      <c r="HN730" s="133"/>
      <c r="HO730" s="133"/>
      <c r="HP730" s="133"/>
      <c r="HQ730" s="133"/>
      <c r="HR730" s="133"/>
      <c r="HS730" s="134"/>
      <c r="HT730" s="133"/>
      <c r="HU730" s="133"/>
      <c r="HV730" s="133"/>
      <c r="HW730" s="133"/>
      <c r="HX730" s="136"/>
      <c r="HY730" s="133"/>
      <c r="HZ730" s="133"/>
      <c r="IA730" s="133"/>
      <c r="IB730" s="133"/>
      <c r="IC730" s="133"/>
      <c r="ID730" s="133"/>
      <c r="IE730" s="133"/>
      <c r="IF730" s="133"/>
      <c r="IG730" s="133"/>
      <c r="IH730" s="133" t="s">
        <v>1465</v>
      </c>
      <c r="II730" s="137" t="s">
        <v>492</v>
      </c>
      <c r="IJ730" s="137"/>
      <c r="IK730" s="138"/>
      <c r="IL730" s="133"/>
      <c r="IM730" s="133"/>
      <c r="IN730" s="133"/>
      <c r="IQ730" s="133"/>
      <c r="IR730" s="133"/>
      <c r="IS730" s="133"/>
      <c r="IT730" s="133"/>
      <c r="IU730" s="133"/>
      <c r="IV730" s="133"/>
      <c r="IW730" s="133"/>
      <c r="IX730" s="133"/>
      <c r="IY730" s="133"/>
      <c r="IZ730" s="80"/>
      <c r="JA730" s="80"/>
      <c r="JB730" s="80"/>
      <c r="JC730" s="80"/>
      <c r="JD730" s="80"/>
      <c r="JE730" s="80"/>
      <c r="JF730" s="80"/>
      <c r="JG730" s="80"/>
      <c r="JH730" s="80"/>
      <c r="JI730" s="80"/>
      <c r="JJ730" s="80"/>
      <c r="JK730" s="80"/>
      <c r="JL730" s="139" t="s">
        <v>495</v>
      </c>
      <c r="JM730" s="140" t="s">
        <v>1466</v>
      </c>
      <c r="JN730" s="140" t="s">
        <v>1467</v>
      </c>
      <c r="JO730" s="140" t="s">
        <v>1467</v>
      </c>
      <c r="JR730" s="133"/>
      <c r="JS730" s="133"/>
      <c r="JT730" s="133"/>
      <c r="JU730" s="133"/>
      <c r="JV730" s="133"/>
      <c r="JW730" s="133"/>
      <c r="JX730" s="133"/>
      <c r="JY730" s="141"/>
      <c r="JZ730" s="141"/>
      <c r="KA730" s="134"/>
      <c r="KB730" s="133"/>
      <c r="KC730" s="134"/>
      <c r="KD730" s="133"/>
      <c r="KE730" s="133"/>
      <c r="KF730" s="133"/>
      <c r="KG730" s="134"/>
      <c r="KH730" s="134"/>
      <c r="KI730" s="137"/>
      <c r="KJ730" s="142"/>
      <c r="KK730" s="133"/>
      <c r="KL730" s="133"/>
      <c r="KM730" s="133"/>
      <c r="KN730" s="133"/>
      <c r="KO730" s="134"/>
      <c r="KP730" s="133"/>
      <c r="KQ730" s="137"/>
      <c r="KR730" s="142"/>
      <c r="KS730" s="133"/>
      <c r="KT730" s="133"/>
      <c r="KU730" s="143"/>
      <c r="KV730" s="142"/>
      <c r="KW730" s="133"/>
      <c r="KX730" s="133"/>
      <c r="KY730" s="133"/>
      <c r="KZ730" s="3"/>
      <c r="LA730" s="3"/>
      <c r="LB730" s="3"/>
      <c r="LC730" s="3"/>
      <c r="LD730" s="3"/>
      <c r="LE730" s="3"/>
      <c r="LF730" s="3"/>
      <c r="LG730" s="3"/>
      <c r="LH730" s="134"/>
      <c r="LI730" s="134"/>
      <c r="LJ730" s="134"/>
      <c r="LK730" s="134"/>
      <c r="LL730" s="134"/>
      <c r="LM730" s="134"/>
      <c r="LN730" s="134"/>
      <c r="LO730" s="134"/>
      <c r="LP730" s="134"/>
      <c r="LQ730" s="133"/>
      <c r="LR730" s="133"/>
      <c r="LS730" s="133"/>
      <c r="LT730" s="133"/>
      <c r="LU730" s="133"/>
      <c r="LV730" s="133"/>
      <c r="LW730" s="133"/>
      <c r="LX730" s="133"/>
      <c r="LY730" s="133"/>
      <c r="LZ730" s="80"/>
      <c r="MA730" s="80"/>
      <c r="MB730" s="80"/>
      <c r="MC730" s="80"/>
      <c r="MD730" s="80"/>
      <c r="ME730" s="144"/>
      <c r="MF730" s="144"/>
      <c r="MG730" s="144"/>
      <c r="MH730" s="2"/>
      <c r="MI730" s="133"/>
      <c r="MJ730" s="133"/>
      <c r="MK730" s="133"/>
      <c r="ML730" s="80"/>
      <c r="MM730" s="80"/>
      <c r="MN730" s="80"/>
      <c r="MO730" s="80"/>
      <c r="MP730" s="80"/>
      <c r="MQ730" s="80"/>
      <c r="MR730" s="80"/>
      <c r="MS730" s="80"/>
      <c r="MT730" s="133"/>
      <c r="MU730" s="133"/>
      <c r="MV730" s="133"/>
      <c r="MW730" s="133"/>
      <c r="MX730" s="133"/>
      <c r="MY730" s="133" t="s">
        <v>1468</v>
      </c>
      <c r="MZ730" s="80">
        <v>64</v>
      </c>
      <c r="NA730" s="144"/>
      <c r="NB730" s="144"/>
      <c r="NC730" s="144"/>
      <c r="ND730" s="144"/>
      <c r="NE730" s="144"/>
      <c r="NF730" s="144"/>
      <c r="NG730" s="144"/>
      <c r="NH730" s="144"/>
      <c r="NI730" s="133" t="s">
        <v>1475</v>
      </c>
      <c r="NJ730" s="133" t="s">
        <v>1476</v>
      </c>
      <c r="NK730" s="133" t="s">
        <v>1477</v>
      </c>
      <c r="NL730" s="133" t="s">
        <v>944</v>
      </c>
      <c r="NM730" s="145" t="s">
        <v>516</v>
      </c>
      <c r="NN730" s="133"/>
      <c r="NO730" s="133"/>
      <c r="NP730" s="133"/>
      <c r="NQ730" s="133"/>
      <c r="NR730" s="133"/>
      <c r="NS730" s="133"/>
      <c r="NT730" s="133"/>
      <c r="NU730" s="133" t="s">
        <v>536</v>
      </c>
      <c r="NV730" s="146" t="s">
        <v>518</v>
      </c>
      <c r="NW730" s="146">
        <v>713.8</v>
      </c>
      <c r="NX730" s="146" t="s">
        <v>520</v>
      </c>
      <c r="NY730" s="146">
        <v>3.1</v>
      </c>
      <c r="NZ730" s="147"/>
      <c r="OA730" s="133"/>
      <c r="OB730" s="133">
        <v>4</v>
      </c>
      <c r="OC730" s="133"/>
      <c r="OD730" s="133"/>
      <c r="OE730" s="133"/>
      <c r="OF730" s="133"/>
      <c r="OG730" s="133"/>
      <c r="OH730" s="133"/>
      <c r="OI730" s="133"/>
      <c r="OJ730" s="133"/>
      <c r="OK730" s="133"/>
      <c r="OL730" s="133"/>
      <c r="OM730" s="133"/>
      <c r="ON730" s="133"/>
      <c r="OO730" s="133"/>
      <c r="OP730" s="133"/>
      <c r="OQ730" s="133"/>
      <c r="OR730" s="133"/>
      <c r="OS730" s="133"/>
      <c r="OT730" s="133"/>
      <c r="OU730" s="133" t="s">
        <v>1472</v>
      </c>
      <c r="OV730" s="133"/>
      <c r="OW730" s="133">
        <v>2007</v>
      </c>
      <c r="OX730" s="133"/>
      <c r="OY730" s="133"/>
      <c r="OZ730" s="133" t="s">
        <v>692</v>
      </c>
      <c r="PA730" s="133"/>
      <c r="PB730" t="s">
        <v>522</v>
      </c>
      <c r="PC730" s="50">
        <v>46134</v>
      </c>
      <c r="PD730" s="127"/>
    </row>
    <row r="731" spans="1:420" ht="15.75" thickBot="1">
      <c r="A731" t="s">
        <v>469</v>
      </c>
      <c r="B731" t="s">
        <v>1459</v>
      </c>
      <c r="C731" s="80" t="s">
        <v>667</v>
      </c>
      <c r="D731" s="132" t="s">
        <v>950</v>
      </c>
      <c r="E731" s="2" t="s">
        <v>1460</v>
      </c>
      <c r="F731" t="s">
        <v>1179</v>
      </c>
      <c r="G731" s="80" t="s">
        <v>475</v>
      </c>
      <c r="H731" s="132" t="s">
        <v>476</v>
      </c>
      <c r="I731">
        <v>-0.41666666699999999</v>
      </c>
      <c r="J731">
        <v>34.200000000000003</v>
      </c>
      <c r="K731" s="132" t="s">
        <v>480</v>
      </c>
      <c r="L731" s="2"/>
      <c r="M731" s="88"/>
      <c r="N731" s="2"/>
      <c r="O731" s="80"/>
      <c r="P731" s="2"/>
      <c r="Q731" s="2"/>
      <c r="R731" s="80"/>
      <c r="S731" s="80"/>
      <c r="T731" s="80"/>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c r="AV731" s="80" t="s">
        <v>1461</v>
      </c>
      <c r="AW731" s="80">
        <v>64</v>
      </c>
      <c r="AX731" s="80">
        <v>0.09</v>
      </c>
      <c r="AY731" s="80">
        <v>1</v>
      </c>
      <c r="AZ731" s="133" t="s">
        <v>1462</v>
      </c>
      <c r="BA731" s="133">
        <v>2007</v>
      </c>
      <c r="BB731" s="133">
        <v>2008</v>
      </c>
      <c r="BC731" s="133" t="s">
        <v>692</v>
      </c>
      <c r="BD731" s="2" t="s">
        <v>1473</v>
      </c>
      <c r="BE731" s="2" t="s">
        <v>536</v>
      </c>
      <c r="BF731" s="133" t="s">
        <v>484</v>
      </c>
      <c r="BG731" s="2" t="s">
        <v>1464</v>
      </c>
      <c r="BH731" s="133" t="s">
        <v>480</v>
      </c>
      <c r="BI731" s="134" t="s">
        <v>486</v>
      </c>
      <c r="BJ731" s="135">
        <v>55500</v>
      </c>
      <c r="BK731" s="2" t="s">
        <v>537</v>
      </c>
      <c r="BL731" t="s">
        <v>1474</v>
      </c>
      <c r="BM731" s="133" t="s">
        <v>480</v>
      </c>
      <c r="BN731" s="2" t="s">
        <v>486</v>
      </c>
      <c r="BO731" s="2">
        <v>55000</v>
      </c>
      <c r="BP731" s="2"/>
      <c r="BQ731" s="2"/>
      <c r="BR731" s="2"/>
      <c r="BS731" s="2"/>
      <c r="BT731" s="2"/>
      <c r="BU731" s="2"/>
      <c r="BV731" s="3"/>
      <c r="BW731" s="3"/>
      <c r="BX731" s="3"/>
      <c r="BY731" s="3"/>
      <c r="BZ731" s="3"/>
      <c r="CA731" s="3"/>
      <c r="CB731" s="3"/>
      <c r="CC731" s="3"/>
      <c r="CD731" s="3"/>
      <c r="CE731" s="3"/>
      <c r="CF731" s="3"/>
      <c r="CG731" s="3"/>
      <c r="CH731" s="3"/>
      <c r="CI731" s="3"/>
      <c r="CJ731" s="3"/>
      <c r="CK731" s="3"/>
      <c r="CL731" s="3"/>
      <c r="CM731" s="3"/>
      <c r="CN731" s="3"/>
      <c r="CO731" s="3"/>
      <c r="CP731" s="3"/>
      <c r="CQ731" s="3"/>
      <c r="CR731" s="3"/>
      <c r="CS731" s="3"/>
      <c r="CT731" s="3"/>
      <c r="CU731" s="3"/>
      <c r="CV731" s="3"/>
      <c r="CW731" s="3"/>
      <c r="CX731" s="3"/>
      <c r="CY731" s="3"/>
      <c r="CZ731" s="3"/>
      <c r="DA731" s="3"/>
      <c r="DB731" s="3"/>
      <c r="DC731" s="3"/>
      <c r="DD731" s="3"/>
      <c r="DE731" s="3"/>
      <c r="DF731" s="3"/>
      <c r="DG731" s="3"/>
      <c r="DH731" s="3"/>
      <c r="DI731" s="3"/>
      <c r="DJ731" s="3"/>
      <c r="DK731" s="3"/>
      <c r="DL731" s="3"/>
      <c r="DM731" s="3"/>
      <c r="DN731" s="3"/>
      <c r="DO731" s="3"/>
      <c r="DP731" s="3"/>
      <c r="DQ731" s="3"/>
      <c r="DR731" s="3"/>
      <c r="DS731" s="3"/>
      <c r="DT731" s="3"/>
      <c r="DU731" s="3"/>
      <c r="DV731" s="3"/>
      <c r="DW731" s="3"/>
      <c r="DX731" s="3"/>
      <c r="DY731" s="3"/>
      <c r="DZ731" s="3"/>
      <c r="EA731" s="3"/>
      <c r="EB731" s="3"/>
      <c r="EC731" s="3"/>
      <c r="ED731" s="2"/>
      <c r="EE731" s="2"/>
      <c r="EF731" s="2"/>
      <c r="EG731" s="2"/>
      <c r="EH731" s="2"/>
      <c r="EI731" s="2"/>
      <c r="EJ731" s="2"/>
      <c r="EK731" s="2"/>
      <c r="EL731" s="3"/>
      <c r="EM731" s="3"/>
      <c r="EN731" s="3"/>
      <c r="EO731" s="3"/>
      <c r="EP731" s="3"/>
      <c r="EQ731" s="3"/>
      <c r="ER731" s="3"/>
      <c r="ES731" s="3"/>
      <c r="ET731" s="3"/>
      <c r="EU731" s="3"/>
      <c r="EV731" s="3"/>
      <c r="EW731" s="3"/>
      <c r="EX731" s="3"/>
      <c r="EY731" s="3"/>
      <c r="EZ731" s="3"/>
      <c r="FA731" s="3"/>
      <c r="FB731" s="3"/>
      <c r="FC731" s="3"/>
      <c r="FD731" s="3"/>
      <c r="FE731" s="3"/>
      <c r="FF731" s="3"/>
      <c r="FG731" s="3"/>
      <c r="FH731" s="3"/>
      <c r="FI731" s="3"/>
      <c r="FJ731" s="3"/>
      <c r="FK731" s="3"/>
      <c r="FL731" s="3"/>
      <c r="FM731" s="3"/>
      <c r="FN731" s="3"/>
      <c r="FO731" s="3"/>
      <c r="FP731" s="3"/>
      <c r="FQ731" s="3"/>
      <c r="FR731" s="3"/>
      <c r="FS731" s="3"/>
      <c r="FT731" s="3"/>
      <c r="FU731" s="3"/>
      <c r="FV731" s="3"/>
      <c r="FW731" s="3"/>
      <c r="FX731" s="3"/>
      <c r="FY731" s="3"/>
      <c r="FZ731" s="3"/>
      <c r="GA731" s="3"/>
      <c r="GB731" s="3"/>
      <c r="GC731" s="3"/>
      <c r="GD731" s="3"/>
      <c r="GE731" s="3"/>
      <c r="GF731" s="3"/>
      <c r="GG731" s="3"/>
      <c r="GH731" s="3"/>
      <c r="GI731" s="3"/>
      <c r="GJ731" s="3"/>
      <c r="GK731" s="3"/>
      <c r="GL731" s="3"/>
      <c r="GM731" s="3"/>
      <c r="GN731" s="3"/>
      <c r="GO731" s="3"/>
      <c r="GP731" s="3"/>
      <c r="GQ731" s="3"/>
      <c r="GR731" s="3"/>
      <c r="GS731" s="3"/>
      <c r="GT731" s="3"/>
      <c r="GU731" s="3"/>
      <c r="GV731" s="3"/>
      <c r="GW731" s="3"/>
      <c r="GX731" s="3"/>
      <c r="GY731" s="3"/>
      <c r="GZ731" s="3"/>
      <c r="HA731" s="3"/>
      <c r="HB731" s="3"/>
      <c r="HC731" s="3"/>
      <c r="HD731" s="3"/>
      <c r="HE731" s="3"/>
      <c r="HF731" s="3"/>
      <c r="HG731" s="3"/>
      <c r="HH731" s="3"/>
      <c r="HI731" s="3"/>
      <c r="HJ731" s="3"/>
      <c r="HK731" s="2"/>
      <c r="HL731" s="2"/>
      <c r="HM731" s="2"/>
      <c r="HN731" s="2"/>
      <c r="HO731" s="2"/>
      <c r="HP731" s="2"/>
      <c r="HQ731" s="2"/>
      <c r="HR731" s="2"/>
      <c r="HS731" s="88"/>
      <c r="HT731" s="2"/>
      <c r="HU731" s="2"/>
      <c r="HV731" s="2"/>
      <c r="HW731" s="2"/>
      <c r="HX731" s="2"/>
      <c r="HY731" s="2"/>
      <c r="HZ731" s="2"/>
      <c r="IA731" s="2"/>
      <c r="IB731" s="2"/>
      <c r="IC731" s="2"/>
      <c r="ID731" s="2"/>
      <c r="IE731" s="2"/>
      <c r="IF731" s="2"/>
      <c r="IG731" s="2"/>
      <c r="IH731" s="133" t="s">
        <v>1465</v>
      </c>
      <c r="II731" s="75" t="s">
        <v>929</v>
      </c>
      <c r="IJ731" s="149" t="s">
        <v>983</v>
      </c>
      <c r="IK731" s="150" t="s">
        <v>543</v>
      </c>
      <c r="IL731" s="2">
        <v>2007</v>
      </c>
      <c r="IM731" s="2" t="s">
        <v>692</v>
      </c>
      <c r="IN731" s="2" t="s">
        <v>480</v>
      </c>
      <c r="IQ731" s="2"/>
      <c r="IR731" s="2"/>
      <c r="IS731" s="2"/>
      <c r="IT731" s="2"/>
      <c r="IU731" s="2"/>
      <c r="IV731" s="2"/>
      <c r="IW731" s="2"/>
      <c r="IX731" s="2"/>
      <c r="IY731" s="2"/>
      <c r="IZ731" s="2"/>
      <c r="JA731" s="2"/>
      <c r="JB731" s="2"/>
      <c r="JC731" s="2"/>
      <c r="JD731" s="2"/>
      <c r="JE731" s="2"/>
      <c r="JF731" s="2"/>
      <c r="JG731" s="2"/>
      <c r="JH731" s="2"/>
      <c r="JI731" s="2"/>
      <c r="JJ731" s="2"/>
      <c r="JK731" s="2"/>
      <c r="JL731" s="139" t="s">
        <v>495</v>
      </c>
      <c r="JM731" s="140" t="s">
        <v>1466</v>
      </c>
      <c r="JN731" s="140" t="s">
        <v>1467</v>
      </c>
      <c r="JO731" s="140" t="s">
        <v>1467</v>
      </c>
      <c r="JR731" s="2"/>
      <c r="JS731" s="2"/>
      <c r="JT731" s="2"/>
      <c r="JU731" s="2"/>
      <c r="JV731" s="2"/>
      <c r="JW731" s="2"/>
      <c r="JX731" s="2"/>
      <c r="JY731" s="141"/>
      <c r="JZ731" s="151"/>
      <c r="KA731" s="88"/>
      <c r="KB731" s="2"/>
      <c r="KC731" s="88"/>
      <c r="KD731" s="2"/>
      <c r="KE731" s="2"/>
      <c r="KF731" s="2"/>
      <c r="KG731" s="88"/>
      <c r="KH731" s="2"/>
      <c r="KI731" s="148"/>
      <c r="KJ731" s="152"/>
      <c r="KK731" s="2"/>
      <c r="KL731" s="2"/>
      <c r="KM731" s="2"/>
      <c r="KN731" s="2"/>
      <c r="KO731" s="88"/>
      <c r="KP731" s="2"/>
      <c r="KQ731" s="148"/>
      <c r="KR731" s="152"/>
      <c r="KS731" s="2"/>
      <c r="KT731" s="2"/>
      <c r="KU731" s="143"/>
      <c r="KV731" s="152"/>
      <c r="KW731" s="2"/>
      <c r="KX731" s="2"/>
      <c r="KY731" s="2"/>
      <c r="KZ731" s="61"/>
      <c r="LA731" s="62"/>
      <c r="LB731" s="62"/>
      <c r="LC731" s="3"/>
      <c r="LD731" s="3"/>
      <c r="LE731" s="3"/>
      <c r="LF731" s="3"/>
      <c r="LG731" s="3"/>
      <c r="LH731" s="88"/>
      <c r="LI731" s="88"/>
      <c r="LJ731" s="88"/>
      <c r="LK731" s="88"/>
      <c r="LL731" s="88"/>
      <c r="LM731" s="2"/>
      <c r="LN731" s="88"/>
      <c r="LO731" s="88"/>
      <c r="LP731" s="88"/>
      <c r="LQ731" s="2"/>
      <c r="LR731" s="2"/>
      <c r="LS731" s="2"/>
      <c r="LT731" s="2"/>
      <c r="LU731" s="2"/>
      <c r="LV731" s="2"/>
      <c r="LW731" s="2"/>
      <c r="LX731" s="2"/>
      <c r="LY731" s="2"/>
      <c r="LZ731" s="2"/>
      <c r="MA731" s="2"/>
      <c r="MB731" s="2"/>
      <c r="MC731" s="2"/>
      <c r="MD731" s="2"/>
      <c r="ME731" s="2"/>
      <c r="MF731" s="2"/>
      <c r="MG731" s="2"/>
      <c r="MI731" s="2"/>
      <c r="MJ731" s="2"/>
      <c r="MK731" s="2"/>
      <c r="ML731" s="2"/>
      <c r="MM731" s="2"/>
      <c r="MN731" s="2"/>
      <c r="MO731" s="2"/>
      <c r="MP731" s="2"/>
      <c r="MQ731" s="2"/>
      <c r="MR731" s="2"/>
      <c r="MS731" s="2"/>
      <c r="MT731" s="2"/>
      <c r="MU731" s="2"/>
      <c r="MV731" s="2"/>
      <c r="MW731" s="2"/>
      <c r="MX731" s="2"/>
      <c r="MY731" s="133" t="s">
        <v>1468</v>
      </c>
      <c r="MZ731" s="80">
        <v>64</v>
      </c>
      <c r="NA731" s="144"/>
      <c r="NB731" s="144"/>
      <c r="NC731" s="144"/>
      <c r="ND731" s="144"/>
      <c r="NE731" s="144"/>
      <c r="NF731" s="144"/>
      <c r="NG731" s="144"/>
      <c r="NH731" s="144"/>
      <c r="NI731" s="133" t="s">
        <v>1475</v>
      </c>
      <c r="NJ731" s="133" t="s">
        <v>1476</v>
      </c>
      <c r="NK731" s="133" t="s">
        <v>1477</v>
      </c>
      <c r="NL731" s="133" t="s">
        <v>944</v>
      </c>
      <c r="NM731" s="145" t="s">
        <v>516</v>
      </c>
      <c r="NN731" s="133"/>
      <c r="NO731" s="133"/>
      <c r="NP731" s="133"/>
      <c r="NQ731" s="133"/>
      <c r="NR731" s="133"/>
      <c r="NS731" s="133"/>
      <c r="NT731" s="133"/>
      <c r="NU731" s="133"/>
      <c r="NV731" s="146" t="s">
        <v>518</v>
      </c>
      <c r="NW731" s="153">
        <v>866.8</v>
      </c>
      <c r="NX731" s="146" t="s">
        <v>520</v>
      </c>
      <c r="NY731" s="153">
        <v>4.4000000000000004</v>
      </c>
      <c r="NZ731" s="154"/>
      <c r="OA731" s="2"/>
      <c r="OB731" s="133">
        <v>4</v>
      </c>
      <c r="OC731" s="2"/>
      <c r="OD731" s="2"/>
      <c r="OE731" s="2"/>
      <c r="OF731" s="2"/>
      <c r="OG731" s="2"/>
      <c r="OH731" s="2"/>
      <c r="OI731" s="2"/>
      <c r="OJ731" s="2"/>
      <c r="OK731" s="2"/>
      <c r="OL731" s="2"/>
      <c r="OU731" s="133" t="s">
        <v>1472</v>
      </c>
      <c r="OV731" s="2"/>
      <c r="OW731" s="133">
        <v>2007</v>
      </c>
      <c r="OX731" s="133"/>
      <c r="OY731" s="133"/>
      <c r="OZ731" s="133" t="s">
        <v>692</v>
      </c>
      <c r="PA731" s="2"/>
      <c r="PB731" t="s">
        <v>522</v>
      </c>
      <c r="PC731" s="50">
        <v>46134</v>
      </c>
      <c r="PD731" s="127"/>
    </row>
    <row r="732" spans="1:420" ht="15.75" thickBot="1">
      <c r="A732" t="s">
        <v>469</v>
      </c>
      <c r="B732" t="s">
        <v>1459</v>
      </c>
      <c r="C732" s="80" t="s">
        <v>667</v>
      </c>
      <c r="D732" s="132" t="s">
        <v>950</v>
      </c>
      <c r="E732" s="2" t="s">
        <v>1460</v>
      </c>
      <c r="F732" t="s">
        <v>1179</v>
      </c>
      <c r="G732" s="80" t="s">
        <v>475</v>
      </c>
      <c r="H732" s="132" t="s">
        <v>476</v>
      </c>
      <c r="I732">
        <v>-0.41666666699999999</v>
      </c>
      <c r="J732">
        <v>34.200000000000003</v>
      </c>
      <c r="K732" s="132" t="s">
        <v>480</v>
      </c>
      <c r="L732" s="80"/>
      <c r="M732" s="132"/>
      <c r="N732" s="80"/>
      <c r="O732" s="80"/>
      <c r="P732" s="80"/>
      <c r="Q732" s="80"/>
      <c r="R732" s="80"/>
      <c r="S732" s="80"/>
      <c r="T732" s="80"/>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c r="AV732" s="80" t="s">
        <v>1461</v>
      </c>
      <c r="AW732" s="80">
        <v>64</v>
      </c>
      <c r="AX732" s="80">
        <v>0.09</v>
      </c>
      <c r="AY732" s="80">
        <v>1</v>
      </c>
      <c r="AZ732" s="133" t="s">
        <v>1462</v>
      </c>
      <c r="BA732" s="133">
        <v>2007</v>
      </c>
      <c r="BB732" s="133">
        <v>2008</v>
      </c>
      <c r="BC732" s="133" t="s">
        <v>709</v>
      </c>
      <c r="BD732" s="133" t="s">
        <v>1463</v>
      </c>
      <c r="BE732" s="133" t="s">
        <v>524</v>
      </c>
      <c r="BF732" s="133" t="s">
        <v>484</v>
      </c>
      <c r="BG732" s="133" t="s">
        <v>1464</v>
      </c>
      <c r="BH732" s="133" t="s">
        <v>480</v>
      </c>
      <c r="BI732" s="134" t="s">
        <v>486</v>
      </c>
      <c r="BJ732" s="135">
        <v>111000</v>
      </c>
      <c r="BK732" s="80"/>
      <c r="BL732" s="80"/>
      <c r="BM732" s="80"/>
      <c r="BN732" s="132"/>
      <c r="BO732" s="155"/>
      <c r="BP732" s="80"/>
      <c r="BQ732" s="80"/>
      <c r="BR732" s="80"/>
      <c r="BS732" s="80"/>
      <c r="BT732" s="80"/>
      <c r="BU732" s="80"/>
      <c r="BV732" s="3"/>
      <c r="BW732" s="3"/>
      <c r="BX732" s="3"/>
      <c r="BY732" s="3"/>
      <c r="BZ732" s="3"/>
      <c r="CA732" s="3"/>
      <c r="CB732" s="3"/>
      <c r="CC732" s="3"/>
      <c r="CD732" s="3"/>
      <c r="CE732" s="3"/>
      <c r="CF732" s="3"/>
      <c r="CG732" s="3"/>
      <c r="CH732" s="3"/>
      <c r="CI732" s="3"/>
      <c r="CJ732" s="3"/>
      <c r="CK732" s="3"/>
      <c r="CL732" s="3"/>
      <c r="CM732" s="3"/>
      <c r="CN732" s="3"/>
      <c r="CO732" s="3"/>
      <c r="CP732" s="3"/>
      <c r="CQ732" s="3"/>
      <c r="CR732" s="3"/>
      <c r="CS732" s="3"/>
      <c r="CT732" s="3"/>
      <c r="CU732" s="3"/>
      <c r="CV732" s="3"/>
      <c r="CW732" s="3"/>
      <c r="CX732" s="3"/>
      <c r="CY732" s="3"/>
      <c r="CZ732" s="3"/>
      <c r="DA732" s="3"/>
      <c r="DB732" s="3"/>
      <c r="DC732" s="3"/>
      <c r="DD732" s="3"/>
      <c r="DE732" s="3"/>
      <c r="DF732" s="3"/>
      <c r="DG732" s="3"/>
      <c r="DH732" s="3"/>
      <c r="DI732" s="3"/>
      <c r="DJ732" s="3"/>
      <c r="DK732" s="3"/>
      <c r="DL732" s="3"/>
      <c r="DM732" s="3"/>
      <c r="DN732" s="3"/>
      <c r="DO732" s="3"/>
      <c r="DP732" s="3"/>
      <c r="DQ732" s="3"/>
      <c r="DR732" s="3"/>
      <c r="DS732" s="3"/>
      <c r="DT732" s="3"/>
      <c r="DU732" s="3"/>
      <c r="DV732" s="3"/>
      <c r="DW732" s="3"/>
      <c r="DX732" s="3"/>
      <c r="DY732" s="3"/>
      <c r="DZ732" s="3"/>
      <c r="EA732" s="3"/>
      <c r="EB732" s="3"/>
      <c r="EC732" s="3"/>
      <c r="ED732" s="80"/>
      <c r="EE732" s="80"/>
      <c r="EF732" s="80"/>
      <c r="EG732" s="80"/>
      <c r="EH732" s="80"/>
      <c r="EI732" s="80"/>
      <c r="EJ732" s="80"/>
      <c r="EK732" s="80"/>
      <c r="EL732" s="3"/>
      <c r="EM732" s="3"/>
      <c r="EN732" s="3"/>
      <c r="EO732" s="3"/>
      <c r="EP732" s="3"/>
      <c r="EQ732" s="3"/>
      <c r="ER732" s="3"/>
      <c r="ES732" s="3"/>
      <c r="ET732" s="3"/>
      <c r="EU732" s="3"/>
      <c r="EV732" s="3"/>
      <c r="EW732" s="3"/>
      <c r="EX732" s="3"/>
      <c r="EY732" s="3"/>
      <c r="EZ732" s="3"/>
      <c r="FA732" s="3"/>
      <c r="FB732" s="3"/>
      <c r="FC732" s="3"/>
      <c r="FD732" s="3"/>
      <c r="FE732" s="3"/>
      <c r="FF732" s="3"/>
      <c r="FG732" s="3"/>
      <c r="FH732" s="3"/>
      <c r="FI732" s="3"/>
      <c r="FJ732" s="3"/>
      <c r="FK732" s="3"/>
      <c r="FL732" s="3"/>
      <c r="FM732" s="3"/>
      <c r="FN732" s="3"/>
      <c r="FO732" s="3"/>
      <c r="FP732" s="3"/>
      <c r="FQ732" s="3"/>
      <c r="FR732" s="3"/>
      <c r="FS732" s="3"/>
      <c r="FT732" s="3"/>
      <c r="FU732" s="3"/>
      <c r="FV732" s="3"/>
      <c r="FW732" s="3"/>
      <c r="FX732" s="3"/>
      <c r="FY732" s="3"/>
      <c r="FZ732" s="3"/>
      <c r="GA732" s="3"/>
      <c r="GB732" s="3"/>
      <c r="GC732" s="3"/>
      <c r="GD732" s="3"/>
      <c r="GE732" s="3"/>
      <c r="GF732" s="3"/>
      <c r="GG732" s="3"/>
      <c r="GH732" s="3"/>
      <c r="GI732" s="3"/>
      <c r="GJ732" s="3"/>
      <c r="GK732" s="3"/>
      <c r="GL732" s="3"/>
      <c r="GM732" s="3"/>
      <c r="GN732" s="3"/>
      <c r="GO732" s="3"/>
      <c r="GP732" s="3"/>
      <c r="GQ732" s="3"/>
      <c r="GR732" s="3"/>
      <c r="GS732" s="3"/>
      <c r="GT732" s="3"/>
      <c r="GU732" s="3"/>
      <c r="GV732" s="3"/>
      <c r="GW732" s="3"/>
      <c r="GX732" s="3"/>
      <c r="GY732" s="3"/>
      <c r="GZ732" s="3"/>
      <c r="HA732" s="3"/>
      <c r="HB732" s="3"/>
      <c r="HC732" s="3"/>
      <c r="HD732" s="3"/>
      <c r="HE732" s="3"/>
      <c r="HF732" s="3"/>
      <c r="HG732" s="3"/>
      <c r="HH732" s="3"/>
      <c r="HI732" s="3"/>
      <c r="HJ732" s="3"/>
      <c r="HK732" s="80"/>
      <c r="HL732" s="80"/>
      <c r="HM732" s="80"/>
      <c r="HN732" s="80"/>
      <c r="HO732" s="80"/>
      <c r="HP732" s="80"/>
      <c r="HQ732" s="80"/>
      <c r="HR732" s="80"/>
      <c r="HS732" s="132"/>
      <c r="HT732" s="80"/>
      <c r="HU732" s="80"/>
      <c r="HV732" s="80"/>
      <c r="HW732" s="80"/>
      <c r="HX732" s="80"/>
      <c r="HY732" s="80"/>
      <c r="HZ732" s="80"/>
      <c r="IA732" s="80"/>
      <c r="IB732" s="80"/>
      <c r="IC732" s="80"/>
      <c r="ID732" s="80"/>
      <c r="IE732" s="80"/>
      <c r="IF732" s="80"/>
      <c r="IG732" s="80"/>
      <c r="IH732" s="133" t="s">
        <v>1465</v>
      </c>
      <c r="II732" s="137" t="s">
        <v>492</v>
      </c>
      <c r="IJ732" s="156"/>
      <c r="IK732" s="157"/>
      <c r="IL732" s="80"/>
      <c r="IM732" s="80"/>
      <c r="IN732" s="132"/>
      <c r="IQ732" s="80"/>
      <c r="IR732" s="80"/>
      <c r="IS732" s="80"/>
      <c r="IT732" s="80"/>
      <c r="IU732" s="80"/>
      <c r="IV732" s="80"/>
      <c r="IW732" s="80"/>
      <c r="IX732" s="80"/>
      <c r="IY732" s="80"/>
      <c r="IZ732" s="80"/>
      <c r="JA732" s="80"/>
      <c r="JB732" s="80"/>
      <c r="JC732" s="80"/>
      <c r="JD732" s="80"/>
      <c r="JE732" s="80"/>
      <c r="JF732" s="80"/>
      <c r="JG732" s="80"/>
      <c r="JH732" s="80"/>
      <c r="JI732" s="80"/>
      <c r="JJ732" s="80"/>
      <c r="JK732" s="80"/>
      <c r="JL732" s="139" t="s">
        <v>495</v>
      </c>
      <c r="JM732" s="140" t="s">
        <v>1466</v>
      </c>
      <c r="JN732" s="140" t="s">
        <v>1467</v>
      </c>
      <c r="JO732" s="140" t="s">
        <v>1467</v>
      </c>
      <c r="JR732" s="80"/>
      <c r="JS732" s="80"/>
      <c r="JT732" s="80"/>
      <c r="JU732" s="80"/>
      <c r="JV732" s="80"/>
      <c r="JW732" s="80"/>
      <c r="JX732" s="80"/>
      <c r="JY732" s="141"/>
      <c r="JZ732" s="139"/>
      <c r="KA732" s="132"/>
      <c r="KB732" s="80"/>
      <c r="KC732" s="132"/>
      <c r="KD732" s="80"/>
      <c r="KE732" s="80"/>
      <c r="KF732" s="80"/>
      <c r="KG732" s="132"/>
      <c r="KH732" s="80"/>
      <c r="KI732" s="137"/>
      <c r="KJ732" s="158"/>
      <c r="KK732" s="80"/>
      <c r="KL732" s="80"/>
      <c r="KM732" s="80"/>
      <c r="KN732" s="80"/>
      <c r="KO732" s="132"/>
      <c r="KP732" s="80"/>
      <c r="KQ732" s="137"/>
      <c r="KR732" s="158"/>
      <c r="KS732" s="80"/>
      <c r="KT732" s="80"/>
      <c r="KU732" s="143"/>
      <c r="KV732" s="159"/>
      <c r="KW732" s="80"/>
      <c r="KX732" s="80"/>
      <c r="KY732" s="80"/>
      <c r="KZ732" s="3"/>
      <c r="LA732" s="3"/>
      <c r="LB732" s="3"/>
      <c r="LC732" s="3"/>
      <c r="LD732" s="3"/>
      <c r="LE732" s="3"/>
      <c r="LF732" s="3"/>
      <c r="LG732" s="3"/>
      <c r="LH732" s="132"/>
      <c r="LI732" s="132"/>
      <c r="LJ732" s="132"/>
      <c r="LK732" s="132"/>
      <c r="LL732" s="132"/>
      <c r="LM732" s="80"/>
      <c r="LN732" s="132"/>
      <c r="LO732" s="132"/>
      <c r="LP732" s="132"/>
      <c r="LQ732" s="80"/>
      <c r="LR732" s="80"/>
      <c r="LS732" s="80"/>
      <c r="LT732" s="80"/>
      <c r="LU732" s="80"/>
      <c r="LV732" s="80"/>
      <c r="LW732" s="80"/>
      <c r="LX732" s="80"/>
      <c r="LY732" s="80"/>
      <c r="LZ732" s="80"/>
      <c r="MA732" s="80"/>
      <c r="MB732" s="80"/>
      <c r="MC732" s="80"/>
      <c r="MD732" s="80"/>
      <c r="ME732" s="80"/>
      <c r="MF732" s="80"/>
      <c r="MG732" s="80"/>
      <c r="MH732" s="80"/>
      <c r="MI732" s="80"/>
      <c r="MJ732" s="80"/>
      <c r="MK732" s="80"/>
      <c r="ML732" s="80"/>
      <c r="MM732" s="80"/>
      <c r="MN732" s="80"/>
      <c r="MO732" s="80"/>
      <c r="MP732" s="80"/>
      <c r="MQ732" s="80"/>
      <c r="MR732" s="80"/>
      <c r="MS732" s="80"/>
      <c r="MT732" s="80"/>
      <c r="MU732" s="80"/>
      <c r="MV732" s="80"/>
      <c r="MW732" s="80"/>
      <c r="MX732" s="80"/>
      <c r="MY732" s="133" t="s">
        <v>1468</v>
      </c>
      <c r="MZ732" s="80">
        <v>64</v>
      </c>
      <c r="NA732" s="144"/>
      <c r="NB732" s="144"/>
      <c r="NC732" s="144"/>
      <c r="ND732" s="144"/>
      <c r="NE732" s="144"/>
      <c r="NF732" s="144"/>
      <c r="NG732" s="144"/>
      <c r="NH732" s="144"/>
      <c r="NI732" s="133" t="s">
        <v>1475</v>
      </c>
      <c r="NJ732" s="133" t="s">
        <v>1476</v>
      </c>
      <c r="NK732" s="133" t="s">
        <v>1477</v>
      </c>
      <c r="NL732" s="133" t="s">
        <v>944</v>
      </c>
      <c r="NM732" s="145" t="s">
        <v>516</v>
      </c>
      <c r="NN732" s="133"/>
      <c r="NO732" s="133"/>
      <c r="NP732" s="133"/>
      <c r="NQ732" s="133"/>
      <c r="NR732" s="133"/>
      <c r="NS732" s="133"/>
      <c r="NT732" s="133"/>
      <c r="NU732" s="133" t="s">
        <v>536</v>
      </c>
      <c r="NV732" s="146" t="s">
        <v>518</v>
      </c>
      <c r="NW732" s="86">
        <v>712.9</v>
      </c>
      <c r="NX732" s="146" t="s">
        <v>520</v>
      </c>
      <c r="NY732" s="86">
        <v>1.5</v>
      </c>
      <c r="NZ732" s="160"/>
      <c r="OA732" s="80"/>
      <c r="OB732" s="133">
        <v>4</v>
      </c>
      <c r="OC732" s="80"/>
      <c r="OD732" s="80"/>
      <c r="OE732" s="80"/>
      <c r="OF732" s="80"/>
      <c r="OG732" s="80"/>
      <c r="OH732" s="80"/>
      <c r="OI732" s="80"/>
      <c r="OJ732" s="80"/>
      <c r="OK732" s="80"/>
      <c r="OL732" s="80"/>
      <c r="OM732" s="144"/>
      <c r="ON732" s="144"/>
      <c r="OO732" s="144"/>
      <c r="OP732" s="144"/>
      <c r="OQ732" s="144"/>
      <c r="OR732" s="144"/>
      <c r="OS732" s="144"/>
      <c r="OT732" s="144"/>
      <c r="OU732" s="133" t="s">
        <v>1472</v>
      </c>
      <c r="OV732" s="80"/>
      <c r="OW732" s="80">
        <v>2007</v>
      </c>
      <c r="OX732" s="80"/>
      <c r="OY732" s="80"/>
      <c r="OZ732" s="80" t="s">
        <v>709</v>
      </c>
      <c r="PA732" s="80"/>
      <c r="PB732" t="s">
        <v>522</v>
      </c>
      <c r="PC732" s="50">
        <v>46134</v>
      </c>
      <c r="PD732" s="127"/>
    </row>
    <row r="733" spans="1:420" ht="15.75" thickBot="1">
      <c r="A733" t="s">
        <v>469</v>
      </c>
      <c r="B733" t="s">
        <v>1459</v>
      </c>
      <c r="C733" s="80" t="s">
        <v>667</v>
      </c>
      <c r="D733" s="132" t="s">
        <v>950</v>
      </c>
      <c r="E733" s="2" t="s">
        <v>1460</v>
      </c>
      <c r="F733" t="s">
        <v>1179</v>
      </c>
      <c r="G733" s="80" t="s">
        <v>475</v>
      </c>
      <c r="H733" s="132" t="s">
        <v>476</v>
      </c>
      <c r="I733">
        <v>-0.41666666699999999</v>
      </c>
      <c r="J733">
        <v>34.200000000000003</v>
      </c>
      <c r="K733" s="132" t="s">
        <v>480</v>
      </c>
      <c r="L733" s="2"/>
      <c r="M733" s="88"/>
      <c r="N733" s="2"/>
      <c r="O733" s="80"/>
      <c r="P733" s="2"/>
      <c r="Q733" s="2"/>
      <c r="R733" s="80"/>
      <c r="S733" s="80"/>
      <c r="T733" s="80"/>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c r="AV733" s="80" t="s">
        <v>1461</v>
      </c>
      <c r="AW733" s="80">
        <v>64</v>
      </c>
      <c r="AX733" s="80">
        <v>0.09</v>
      </c>
      <c r="AY733" s="80">
        <v>1</v>
      </c>
      <c r="AZ733" s="133" t="s">
        <v>1462</v>
      </c>
      <c r="BA733" s="133">
        <v>2007</v>
      </c>
      <c r="BB733" s="133">
        <v>2008</v>
      </c>
      <c r="BC733" s="133" t="s">
        <v>709</v>
      </c>
      <c r="BD733" s="2" t="s">
        <v>1473</v>
      </c>
      <c r="BE733" s="2" t="s">
        <v>536</v>
      </c>
      <c r="BF733" s="133" t="s">
        <v>484</v>
      </c>
      <c r="BG733" s="2" t="s">
        <v>1464</v>
      </c>
      <c r="BH733" s="133" t="s">
        <v>480</v>
      </c>
      <c r="BI733" s="134" t="s">
        <v>486</v>
      </c>
      <c r="BJ733" s="135">
        <v>55500</v>
      </c>
      <c r="BK733" s="2" t="s">
        <v>537</v>
      </c>
      <c r="BL733" t="s">
        <v>1474</v>
      </c>
      <c r="BM733" s="133" t="s">
        <v>480</v>
      </c>
      <c r="BN733" s="2" t="s">
        <v>486</v>
      </c>
      <c r="BO733" s="2">
        <v>55000</v>
      </c>
      <c r="BP733" s="2"/>
      <c r="BQ733" s="2"/>
      <c r="BR733" s="2"/>
      <c r="BS733" s="2"/>
      <c r="BT733" s="2"/>
      <c r="BU733" s="2"/>
      <c r="BV733" s="3"/>
      <c r="BW733" s="3"/>
      <c r="BX733" s="3"/>
      <c r="BY733" s="3"/>
      <c r="BZ733" s="3"/>
      <c r="CA733" s="3"/>
      <c r="CB733" s="3"/>
      <c r="CC733" s="3"/>
      <c r="CD733" s="3"/>
      <c r="CE733" s="3"/>
      <c r="CF733" s="3"/>
      <c r="CG733" s="3"/>
      <c r="CH733" s="3"/>
      <c r="CI733" s="3"/>
      <c r="CJ733" s="3"/>
      <c r="CK733" s="3"/>
      <c r="CL733" s="3"/>
      <c r="CM733" s="3"/>
      <c r="CN733" s="3"/>
      <c r="CO733" s="3"/>
      <c r="CP733" s="3"/>
      <c r="CQ733" s="3"/>
      <c r="CR733" s="3"/>
      <c r="CS733" s="3"/>
      <c r="CT733" s="3"/>
      <c r="CU733" s="3"/>
      <c r="CV733" s="3"/>
      <c r="CW733" s="3"/>
      <c r="CX733" s="3"/>
      <c r="CY733" s="3"/>
      <c r="CZ733" s="3"/>
      <c r="DA733" s="3"/>
      <c r="DB733" s="3"/>
      <c r="DC733" s="3"/>
      <c r="DD733" s="3"/>
      <c r="DE733" s="3"/>
      <c r="DF733" s="3"/>
      <c r="DG733" s="3"/>
      <c r="DH733" s="3"/>
      <c r="DI733" s="3"/>
      <c r="DJ733" s="3"/>
      <c r="DK733" s="3"/>
      <c r="DL733" s="3"/>
      <c r="DM733" s="3"/>
      <c r="DN733" s="3"/>
      <c r="DO733" s="3"/>
      <c r="DP733" s="3"/>
      <c r="DQ733" s="3"/>
      <c r="DR733" s="3"/>
      <c r="DS733" s="3"/>
      <c r="DT733" s="3"/>
      <c r="DU733" s="3"/>
      <c r="DV733" s="3"/>
      <c r="DW733" s="3"/>
      <c r="DX733" s="3"/>
      <c r="DY733" s="3"/>
      <c r="DZ733" s="3"/>
      <c r="EA733" s="3"/>
      <c r="EB733" s="3"/>
      <c r="EC733" s="3"/>
      <c r="ED733" s="2"/>
      <c r="EE733" s="2"/>
      <c r="EF733" s="2"/>
      <c r="EG733" s="2"/>
      <c r="EH733" s="2"/>
      <c r="EI733" s="2"/>
      <c r="EJ733" s="2"/>
      <c r="EK733" s="2"/>
      <c r="EL733" s="3"/>
      <c r="EM733" s="3"/>
      <c r="EN733" s="3"/>
      <c r="EO733" s="3"/>
      <c r="EP733" s="3"/>
      <c r="EQ733" s="3"/>
      <c r="ER733" s="3"/>
      <c r="ES733" s="3"/>
      <c r="ET733" s="3"/>
      <c r="EU733" s="3"/>
      <c r="EV733" s="3"/>
      <c r="EW733" s="3"/>
      <c r="EX733" s="3"/>
      <c r="EY733" s="3"/>
      <c r="EZ733" s="3"/>
      <c r="FA733" s="3"/>
      <c r="FB733" s="3"/>
      <c r="FC733" s="3"/>
      <c r="FD733" s="3"/>
      <c r="FE733" s="3"/>
      <c r="FF733" s="3"/>
      <c r="FG733" s="3"/>
      <c r="FH733" s="3"/>
      <c r="FI733" s="3"/>
      <c r="FJ733" s="3"/>
      <c r="FK733" s="3"/>
      <c r="FL733" s="3"/>
      <c r="FM733" s="3"/>
      <c r="FN733" s="3"/>
      <c r="FO733" s="3"/>
      <c r="FP733" s="3"/>
      <c r="FQ733" s="3"/>
      <c r="FR733" s="3"/>
      <c r="FS733" s="3"/>
      <c r="FT733" s="3"/>
      <c r="FU733" s="3"/>
      <c r="FV733" s="3"/>
      <c r="FW733" s="3"/>
      <c r="FX733" s="3"/>
      <c r="FY733" s="3"/>
      <c r="FZ733" s="3"/>
      <c r="GA733" s="3"/>
      <c r="GB733" s="3"/>
      <c r="GC733" s="3"/>
      <c r="GD733" s="3"/>
      <c r="GE733" s="3"/>
      <c r="GF733" s="3"/>
      <c r="GG733" s="3"/>
      <c r="GH733" s="3"/>
      <c r="GI733" s="3"/>
      <c r="GJ733" s="3"/>
      <c r="GK733" s="3"/>
      <c r="GL733" s="3"/>
      <c r="GM733" s="3"/>
      <c r="GN733" s="3"/>
      <c r="GO733" s="3"/>
      <c r="GP733" s="3"/>
      <c r="GQ733" s="3"/>
      <c r="GR733" s="3"/>
      <c r="GS733" s="3"/>
      <c r="GT733" s="3"/>
      <c r="GU733" s="3"/>
      <c r="GV733" s="3"/>
      <c r="GW733" s="3"/>
      <c r="GX733" s="3"/>
      <c r="GY733" s="3"/>
      <c r="GZ733" s="3"/>
      <c r="HA733" s="3"/>
      <c r="HB733" s="3"/>
      <c r="HC733" s="3"/>
      <c r="HD733" s="3"/>
      <c r="HE733" s="3"/>
      <c r="HF733" s="3"/>
      <c r="HG733" s="3"/>
      <c r="HH733" s="3"/>
      <c r="HI733" s="3"/>
      <c r="HJ733" s="3"/>
      <c r="HK733" s="2"/>
      <c r="HL733" s="2"/>
      <c r="HM733" s="2"/>
      <c r="HN733" s="2"/>
      <c r="HO733" s="2"/>
      <c r="HP733" s="2"/>
      <c r="HQ733" s="2"/>
      <c r="HR733" s="2"/>
      <c r="HS733" s="88"/>
      <c r="HT733" s="2"/>
      <c r="HU733" s="2"/>
      <c r="HV733" s="2"/>
      <c r="HW733" s="2"/>
      <c r="HX733" s="2"/>
      <c r="HY733" s="2"/>
      <c r="HZ733" s="2"/>
      <c r="IA733" s="2"/>
      <c r="IB733" s="2"/>
      <c r="IC733" s="2"/>
      <c r="ID733" s="2"/>
      <c r="IE733" s="2"/>
      <c r="IF733" s="2"/>
      <c r="IG733" s="2"/>
      <c r="IH733" s="133" t="s">
        <v>1465</v>
      </c>
      <c r="II733" s="75" t="s">
        <v>929</v>
      </c>
      <c r="IJ733" s="149" t="s">
        <v>983</v>
      </c>
      <c r="IK733" s="150" t="s">
        <v>543</v>
      </c>
      <c r="IL733" s="2">
        <v>2007</v>
      </c>
      <c r="IM733" s="2" t="s">
        <v>692</v>
      </c>
      <c r="IN733" s="2" t="s">
        <v>480</v>
      </c>
      <c r="IQ733" s="2"/>
      <c r="IR733" s="2"/>
      <c r="IS733" s="2"/>
      <c r="IT733" s="2"/>
      <c r="IU733" s="2"/>
      <c r="IV733" s="2"/>
      <c r="IW733" s="2"/>
      <c r="IX733" s="2"/>
      <c r="IY733" s="2"/>
      <c r="IZ733" s="2"/>
      <c r="JA733" s="2"/>
      <c r="JB733" s="2"/>
      <c r="JC733" s="2"/>
      <c r="JD733" s="2"/>
      <c r="JE733" s="2"/>
      <c r="JF733" s="2"/>
      <c r="JG733" s="2"/>
      <c r="JH733" s="2"/>
      <c r="JI733" s="2"/>
      <c r="JJ733" s="2"/>
      <c r="JK733" s="2"/>
      <c r="JL733" s="139" t="s">
        <v>495</v>
      </c>
      <c r="JM733" s="140" t="s">
        <v>1466</v>
      </c>
      <c r="JN733" s="140" t="s">
        <v>1467</v>
      </c>
      <c r="JO733" s="140" t="s">
        <v>1467</v>
      </c>
      <c r="JR733" s="2"/>
      <c r="JS733" s="2"/>
      <c r="JT733" s="2"/>
      <c r="JU733" s="2"/>
      <c r="JV733" s="2"/>
      <c r="JW733" s="2"/>
      <c r="JX733" s="2"/>
      <c r="JY733" s="141"/>
      <c r="JZ733" s="151"/>
      <c r="KA733" s="88"/>
      <c r="KB733" s="2"/>
      <c r="KC733" s="88"/>
      <c r="KD733" s="2"/>
      <c r="KE733" s="2"/>
      <c r="KF733" s="2"/>
      <c r="KG733" s="88"/>
      <c r="KH733" s="2"/>
      <c r="KI733" s="148"/>
      <c r="KJ733" s="152"/>
      <c r="KK733" s="2"/>
      <c r="KL733" s="2"/>
      <c r="KM733" s="2"/>
      <c r="KN733" s="2"/>
      <c r="KO733" s="88"/>
      <c r="KP733" s="2"/>
      <c r="KQ733" s="148"/>
      <c r="KR733" s="152"/>
      <c r="KS733" s="2"/>
      <c r="KT733" s="2"/>
      <c r="KU733" s="143"/>
      <c r="KV733" s="161"/>
      <c r="KW733" s="2"/>
      <c r="KX733" s="2"/>
      <c r="KY733" s="2"/>
      <c r="KZ733" s="3"/>
      <c r="LA733" s="3"/>
      <c r="LB733" s="3"/>
      <c r="LC733" s="3"/>
      <c r="LD733" s="3"/>
      <c r="LE733" s="3"/>
      <c r="LF733" s="3"/>
      <c r="LG733" s="3"/>
      <c r="LH733" s="88"/>
      <c r="LI733" s="88"/>
      <c r="LJ733" s="88"/>
      <c r="LK733" s="88"/>
      <c r="LL733" s="88"/>
      <c r="LM733" s="2"/>
      <c r="LN733" s="88"/>
      <c r="LO733" s="88"/>
      <c r="LP733" s="88"/>
      <c r="LQ733" s="2"/>
      <c r="LR733" s="2"/>
      <c r="LS733" s="2"/>
      <c r="LT733" s="2"/>
      <c r="LU733" s="2"/>
      <c r="LV733" s="2"/>
      <c r="LW733" s="2"/>
      <c r="LX733" s="2"/>
      <c r="LY733" s="2"/>
      <c r="LZ733" s="2"/>
      <c r="MA733" s="2"/>
      <c r="MB733" s="2"/>
      <c r="MC733" s="2"/>
      <c r="MD733" s="2"/>
      <c r="ME733" s="2"/>
      <c r="MF733" s="2"/>
      <c r="MG733" s="2"/>
      <c r="MH733" s="2"/>
      <c r="MI733" s="2"/>
      <c r="MJ733" s="2"/>
      <c r="MK733" s="2"/>
      <c r="ML733" s="2"/>
      <c r="MM733" s="2"/>
      <c r="MN733" s="2"/>
      <c r="MO733" s="2"/>
      <c r="MP733" s="2"/>
      <c r="MQ733" s="2"/>
      <c r="MR733" s="2"/>
      <c r="MS733" s="2"/>
      <c r="MT733" s="2"/>
      <c r="MU733" s="2"/>
      <c r="MV733" s="2"/>
      <c r="MW733" s="2"/>
      <c r="MX733" s="2"/>
      <c r="MY733" s="133" t="s">
        <v>1468</v>
      </c>
      <c r="MZ733" s="80">
        <v>64</v>
      </c>
      <c r="NA733" s="144"/>
      <c r="NB733" s="144"/>
      <c r="NC733" s="144"/>
      <c r="ND733" s="144"/>
      <c r="NE733" s="144"/>
      <c r="NF733" s="144"/>
      <c r="NG733" s="144"/>
      <c r="NH733" s="144"/>
      <c r="NI733" s="133" t="s">
        <v>1475</v>
      </c>
      <c r="NJ733" s="133" t="s">
        <v>1476</v>
      </c>
      <c r="NK733" s="133" t="s">
        <v>1477</v>
      </c>
      <c r="NL733" s="133" t="s">
        <v>944</v>
      </c>
      <c r="NM733" s="145" t="s">
        <v>516</v>
      </c>
      <c r="NN733" s="133"/>
      <c r="NO733" s="133"/>
      <c r="NP733" s="133"/>
      <c r="NQ733" s="133"/>
      <c r="NR733" s="133"/>
      <c r="NS733" s="133"/>
      <c r="NT733" s="133"/>
      <c r="NU733" s="133"/>
      <c r="NV733" s="146" t="s">
        <v>518</v>
      </c>
      <c r="NW733" s="153">
        <v>806.9</v>
      </c>
      <c r="NX733" s="146" t="s">
        <v>520</v>
      </c>
      <c r="NY733" s="153">
        <v>2.1</v>
      </c>
      <c r="NZ733" s="154"/>
      <c r="OA733" s="2"/>
      <c r="OB733" s="133">
        <v>4</v>
      </c>
      <c r="OC733" s="2"/>
      <c r="OD733" s="2"/>
      <c r="OE733" s="2"/>
      <c r="OF733" s="2"/>
      <c r="OG733" s="2"/>
      <c r="OH733" s="2"/>
      <c r="OI733" s="2"/>
      <c r="OJ733" s="2"/>
      <c r="OK733" s="2"/>
      <c r="OL733" s="2"/>
      <c r="OU733" s="133" t="s">
        <v>1472</v>
      </c>
      <c r="OV733" s="2"/>
      <c r="OW733" s="2">
        <v>2007</v>
      </c>
      <c r="OX733" s="2"/>
      <c r="OY733" s="2"/>
      <c r="OZ733" s="2" t="s">
        <v>709</v>
      </c>
      <c r="PA733" s="2"/>
      <c r="PB733" t="s">
        <v>522</v>
      </c>
      <c r="PC733" s="50">
        <v>46134</v>
      </c>
      <c r="PD733" s="127"/>
    </row>
    <row r="734" spans="1:420" ht="15.75" thickBot="1">
      <c r="A734" t="s">
        <v>469</v>
      </c>
      <c r="B734" t="s">
        <v>1459</v>
      </c>
      <c r="C734" s="80" t="s">
        <v>667</v>
      </c>
      <c r="D734" s="132" t="s">
        <v>950</v>
      </c>
      <c r="E734" s="2" t="s">
        <v>1460</v>
      </c>
      <c r="F734" t="s">
        <v>1179</v>
      </c>
      <c r="G734" s="80" t="s">
        <v>475</v>
      </c>
      <c r="H734" s="132" t="s">
        <v>476</v>
      </c>
      <c r="I734">
        <v>-0.41666666699999999</v>
      </c>
      <c r="J734">
        <v>34.200000000000003</v>
      </c>
      <c r="K734" s="132" t="s">
        <v>480</v>
      </c>
      <c r="L734" s="80"/>
      <c r="M734" s="132"/>
      <c r="N734" s="80"/>
      <c r="O734" s="80"/>
      <c r="P734" s="80"/>
      <c r="Q734" s="80"/>
      <c r="R734" s="80"/>
      <c r="S734" s="80"/>
      <c r="T734" s="80"/>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c r="AV734" s="80" t="s">
        <v>1461</v>
      </c>
      <c r="AW734" s="80">
        <v>64</v>
      </c>
      <c r="AX734" s="80">
        <v>0.09</v>
      </c>
      <c r="AY734" s="80">
        <v>1</v>
      </c>
      <c r="AZ734" s="133" t="s">
        <v>1462</v>
      </c>
      <c r="BA734" s="133">
        <v>2007</v>
      </c>
      <c r="BB734" s="133">
        <v>2008</v>
      </c>
      <c r="BC734" s="133" t="s">
        <v>692</v>
      </c>
      <c r="BD734" s="133" t="s">
        <v>1463</v>
      </c>
      <c r="BE734" s="133" t="s">
        <v>524</v>
      </c>
      <c r="BF734" s="133" t="s">
        <v>484</v>
      </c>
      <c r="BG734" s="133" t="s">
        <v>1464</v>
      </c>
      <c r="BH734" s="133" t="s">
        <v>480</v>
      </c>
      <c r="BI734" s="134" t="s">
        <v>486</v>
      </c>
      <c r="BJ734" s="135">
        <v>111000</v>
      </c>
      <c r="BK734" s="80"/>
      <c r="BL734" s="80"/>
      <c r="BM734" s="80"/>
      <c r="BN734" s="132"/>
      <c r="BO734" s="155"/>
      <c r="BP734" s="80"/>
      <c r="BQ734" s="80"/>
      <c r="BR734" s="80"/>
      <c r="BS734" s="132"/>
      <c r="BT734" s="155"/>
      <c r="BU734" s="80"/>
      <c r="BV734" s="3"/>
      <c r="BW734" s="3"/>
      <c r="BX734" s="3"/>
      <c r="BY734" s="3"/>
      <c r="BZ734" s="3"/>
      <c r="CA734" s="3"/>
      <c r="CB734" s="3"/>
      <c r="CC734" s="3"/>
      <c r="CD734" s="3"/>
      <c r="CE734" s="3"/>
      <c r="CF734" s="3"/>
      <c r="CG734" s="3"/>
      <c r="CH734" s="3"/>
      <c r="CI734" s="3"/>
      <c r="CJ734" s="3"/>
      <c r="CK734" s="3"/>
      <c r="CL734" s="3"/>
      <c r="CM734" s="3"/>
      <c r="CN734" s="3"/>
      <c r="CO734" s="3"/>
      <c r="CP734" s="3"/>
      <c r="CQ734" s="3"/>
      <c r="CR734" s="3"/>
      <c r="CS734" s="3"/>
      <c r="CT734" s="3"/>
      <c r="CU734" s="3"/>
      <c r="CV734" s="3"/>
      <c r="CW734" s="3"/>
      <c r="CX734" s="3"/>
      <c r="CY734" s="3"/>
      <c r="CZ734" s="3"/>
      <c r="DA734" s="3"/>
      <c r="DB734" s="3"/>
      <c r="DC734" s="3"/>
      <c r="DD734" s="3"/>
      <c r="DE734" s="3"/>
      <c r="DF734" s="3"/>
      <c r="DG734" s="3"/>
      <c r="DH734" s="3"/>
      <c r="DI734" s="3"/>
      <c r="DJ734" s="3"/>
      <c r="DK734" s="3"/>
      <c r="DL734" s="3"/>
      <c r="DM734" s="3"/>
      <c r="DN734" s="3"/>
      <c r="DO734" s="3"/>
      <c r="DP734" s="3"/>
      <c r="DQ734" s="3"/>
      <c r="DR734" s="3"/>
      <c r="DS734" s="3"/>
      <c r="DT734" s="3"/>
      <c r="DU734" s="3"/>
      <c r="DV734" s="3"/>
      <c r="DW734" s="3"/>
      <c r="DX734" s="3"/>
      <c r="DY734" s="3"/>
      <c r="DZ734" s="3"/>
      <c r="EA734" s="3"/>
      <c r="EB734" s="3"/>
      <c r="EC734" s="3"/>
      <c r="ED734" s="80"/>
      <c r="EE734" s="80"/>
      <c r="EF734" s="80"/>
      <c r="EG734" s="80"/>
      <c r="EH734" s="80"/>
      <c r="EI734" s="80"/>
      <c r="EJ734" s="80"/>
      <c r="EK734" s="80"/>
      <c r="EL734" s="3"/>
      <c r="EM734" s="3"/>
      <c r="EN734" s="3"/>
      <c r="EO734" s="3"/>
      <c r="EP734" s="3"/>
      <c r="EQ734" s="3"/>
      <c r="ER734" s="3"/>
      <c r="ES734" s="3"/>
      <c r="ET734" s="3"/>
      <c r="EU734" s="3"/>
      <c r="EV734" s="3"/>
      <c r="EW734" s="3"/>
      <c r="EX734" s="3"/>
      <c r="EY734" s="3"/>
      <c r="EZ734" s="3"/>
      <c r="FA734" s="3"/>
      <c r="FB734" s="3"/>
      <c r="FC734" s="3"/>
      <c r="FD734" s="3"/>
      <c r="FE734" s="3"/>
      <c r="FF734" s="3"/>
      <c r="FG734" s="3"/>
      <c r="FH734" s="3"/>
      <c r="FI734" s="3"/>
      <c r="FJ734" s="3"/>
      <c r="FK734" s="3"/>
      <c r="FL734" s="3"/>
      <c r="FM734" s="3"/>
      <c r="FN734" s="3"/>
      <c r="FO734" s="3"/>
      <c r="FP734" s="3"/>
      <c r="FQ734" s="3"/>
      <c r="FR734" s="3"/>
      <c r="FS734" s="3"/>
      <c r="FT734" s="3"/>
      <c r="FU734" s="3"/>
      <c r="FV734" s="3"/>
      <c r="FW734" s="3"/>
      <c r="FX734" s="3"/>
      <c r="FY734" s="3"/>
      <c r="FZ734" s="3"/>
      <c r="GA734" s="3"/>
      <c r="GB734" s="3"/>
      <c r="GC734" s="3"/>
      <c r="GD734" s="3"/>
      <c r="GE734" s="3"/>
      <c r="GF734" s="3"/>
      <c r="GG734" s="3"/>
      <c r="GH734" s="3"/>
      <c r="GI734" s="3"/>
      <c r="GJ734" s="3"/>
      <c r="GK734" s="3"/>
      <c r="GL734" s="3"/>
      <c r="GM734" s="3"/>
      <c r="GN734" s="3"/>
      <c r="GO734" s="3"/>
      <c r="GP734" s="3"/>
      <c r="GQ734" s="3"/>
      <c r="GR734" s="3"/>
      <c r="GS734" s="3"/>
      <c r="GT734" s="3"/>
      <c r="GU734" s="3"/>
      <c r="GV734" s="3"/>
      <c r="GW734" s="3"/>
      <c r="GX734" s="3"/>
      <c r="GY734" s="3"/>
      <c r="GZ734" s="3"/>
      <c r="HA734" s="3"/>
      <c r="HB734" s="3"/>
      <c r="HC734" s="3"/>
      <c r="HD734" s="3"/>
      <c r="HE734" s="3"/>
      <c r="HF734" s="3"/>
      <c r="HG734" s="3"/>
      <c r="HH734" s="3"/>
      <c r="HI734" s="3"/>
      <c r="HJ734" s="3"/>
      <c r="HK734" s="80"/>
      <c r="HL734" s="80"/>
      <c r="HM734" s="80"/>
      <c r="HN734" s="80"/>
      <c r="HO734" s="80"/>
      <c r="HP734" s="80"/>
      <c r="HQ734" s="80"/>
      <c r="HR734" s="80"/>
      <c r="HS734" s="132"/>
      <c r="HT734" s="80"/>
      <c r="HU734" s="80"/>
      <c r="HV734" s="80"/>
      <c r="HW734" s="80"/>
      <c r="HX734" s="80"/>
      <c r="HY734" s="80"/>
      <c r="HZ734" s="80"/>
      <c r="IA734" s="80"/>
      <c r="IB734" s="80"/>
      <c r="IC734" s="80"/>
      <c r="ID734" s="80"/>
      <c r="IE734" s="80"/>
      <c r="IF734" s="80"/>
      <c r="IG734" s="80"/>
      <c r="IH734" s="133" t="s">
        <v>1465</v>
      </c>
      <c r="II734" s="137" t="s">
        <v>492</v>
      </c>
      <c r="IJ734" s="80"/>
      <c r="IK734" s="80"/>
      <c r="IL734" s="80"/>
      <c r="IM734" s="80"/>
      <c r="IN734" s="80"/>
      <c r="IQ734" s="80"/>
      <c r="IR734" s="80"/>
      <c r="IS734" s="80"/>
      <c r="IT734" s="80"/>
      <c r="IU734" s="80"/>
      <c r="IV734" s="80"/>
      <c r="IW734" s="132"/>
      <c r="IX734" s="80"/>
      <c r="IY734" s="80"/>
      <c r="IZ734" s="80"/>
      <c r="JA734" s="80"/>
      <c r="JB734" s="80"/>
      <c r="JC734" s="80"/>
      <c r="JD734" s="80"/>
      <c r="JE734" s="80"/>
      <c r="JF734" s="80"/>
      <c r="JG734" s="80"/>
      <c r="JH734" s="80"/>
      <c r="JI734" s="80"/>
      <c r="JJ734" s="80"/>
      <c r="JK734" s="80"/>
      <c r="JL734" s="139" t="s">
        <v>495</v>
      </c>
      <c r="JM734" s="140" t="s">
        <v>1466</v>
      </c>
      <c r="JN734" s="140" t="s">
        <v>1467</v>
      </c>
      <c r="JO734" s="140" t="s">
        <v>1467</v>
      </c>
      <c r="JR734" s="80"/>
      <c r="JS734" s="80"/>
      <c r="JT734" s="80"/>
      <c r="JU734" s="80"/>
      <c r="JV734" s="80"/>
      <c r="JW734" s="80"/>
      <c r="JX734" s="80"/>
      <c r="JY734" s="141"/>
      <c r="JZ734" s="139"/>
      <c r="KA734" s="132"/>
      <c r="KB734" s="80"/>
      <c r="KC734" s="132"/>
      <c r="KD734" s="80"/>
      <c r="KE734" s="80"/>
      <c r="KF734" s="80"/>
      <c r="KG734" s="132"/>
      <c r="KH734" s="80"/>
      <c r="KI734" s="137"/>
      <c r="KJ734" s="158"/>
      <c r="KK734" s="80"/>
      <c r="KL734" s="80"/>
      <c r="KM734" s="80"/>
      <c r="KN734" s="80"/>
      <c r="KO734" s="132"/>
      <c r="KP734" s="80"/>
      <c r="KQ734" s="162"/>
      <c r="KR734" s="139"/>
      <c r="KS734" s="80"/>
      <c r="KT734" s="80"/>
      <c r="KU734" s="143"/>
      <c r="KV734" s="158"/>
      <c r="KW734" s="80"/>
      <c r="KX734" s="80"/>
      <c r="KY734" s="80"/>
      <c r="KZ734" s="3"/>
      <c r="LA734" s="3"/>
      <c r="LB734" s="3"/>
      <c r="LC734" s="3"/>
      <c r="LD734" s="3"/>
      <c r="LE734" s="3"/>
      <c r="LF734" s="3"/>
      <c r="LG734" s="3"/>
      <c r="LH734" s="132"/>
      <c r="LI734" s="132"/>
      <c r="LJ734" s="132"/>
      <c r="LK734" s="132"/>
      <c r="LL734" s="132"/>
      <c r="LM734" s="80"/>
      <c r="LN734" s="132"/>
      <c r="LO734" s="132"/>
      <c r="LP734" s="132"/>
      <c r="LQ734" s="80"/>
      <c r="LR734" s="80"/>
      <c r="LS734" s="80"/>
      <c r="LT734" s="80"/>
      <c r="LU734" s="80"/>
      <c r="LV734" s="80"/>
      <c r="LW734" s="80"/>
      <c r="LX734" s="80"/>
      <c r="LY734" s="80"/>
      <c r="LZ734" s="80"/>
      <c r="MA734" s="80"/>
      <c r="MB734" s="80"/>
      <c r="MC734" s="80"/>
      <c r="MD734" s="80"/>
      <c r="ME734" s="80"/>
      <c r="MF734" s="80"/>
      <c r="MG734" s="80"/>
      <c r="MH734" s="80"/>
      <c r="MI734" s="80"/>
      <c r="MJ734" s="80"/>
      <c r="MK734" s="80"/>
      <c r="ML734" s="80"/>
      <c r="MM734" s="80"/>
      <c r="MN734" s="80"/>
      <c r="MO734" s="80"/>
      <c r="MP734" s="80"/>
      <c r="MQ734" s="80"/>
      <c r="MR734" s="80"/>
      <c r="MS734" s="80"/>
      <c r="MT734" s="80"/>
      <c r="MU734" s="80"/>
      <c r="MV734" s="80"/>
      <c r="MW734" s="80"/>
      <c r="MX734" s="80"/>
      <c r="MY734" s="133" t="s">
        <v>1468</v>
      </c>
      <c r="MZ734" s="80">
        <v>64</v>
      </c>
      <c r="NA734" s="144"/>
      <c r="NB734" s="144"/>
      <c r="NC734" s="144"/>
      <c r="ND734" s="144"/>
      <c r="NE734" s="144"/>
      <c r="NF734" s="144"/>
      <c r="NG734" s="144"/>
      <c r="NH734" s="144"/>
      <c r="NI734" s="133" t="s">
        <v>1475</v>
      </c>
      <c r="NJ734" s="133" t="s">
        <v>1476</v>
      </c>
      <c r="NK734" s="133" t="s">
        <v>1477</v>
      </c>
      <c r="NL734" s="133" t="s">
        <v>944</v>
      </c>
      <c r="NM734" s="145" t="s">
        <v>516</v>
      </c>
      <c r="NN734" s="133"/>
      <c r="NO734" s="133"/>
      <c r="NP734" s="133"/>
      <c r="NQ734" s="133"/>
      <c r="NR734" s="133"/>
      <c r="NS734" s="133"/>
      <c r="NT734" s="133"/>
      <c r="NU734" s="133" t="s">
        <v>536</v>
      </c>
      <c r="NV734" s="146" t="s">
        <v>518</v>
      </c>
      <c r="NW734" s="86">
        <v>703.7</v>
      </c>
      <c r="NX734" s="146" t="s">
        <v>520</v>
      </c>
      <c r="NY734" s="86">
        <v>2.1</v>
      </c>
      <c r="NZ734" s="160"/>
      <c r="OA734" s="80"/>
      <c r="OB734" s="133">
        <v>4</v>
      </c>
      <c r="OC734" s="80"/>
      <c r="OD734" s="80"/>
      <c r="OE734" s="80"/>
      <c r="OF734" s="80"/>
      <c r="OG734" s="80"/>
      <c r="OH734" s="80"/>
      <c r="OI734" s="80"/>
      <c r="OJ734" s="80"/>
      <c r="OK734" s="80"/>
      <c r="OL734" s="80"/>
      <c r="OM734" s="144"/>
      <c r="ON734" s="144"/>
      <c r="OO734" s="144"/>
      <c r="OP734" s="144"/>
      <c r="OQ734" s="144"/>
      <c r="OR734" s="144"/>
      <c r="OS734" s="144"/>
      <c r="OT734" s="144"/>
      <c r="OU734" s="133" t="s">
        <v>1472</v>
      </c>
      <c r="OV734" s="80"/>
      <c r="OW734" s="80">
        <v>2008</v>
      </c>
      <c r="OX734" s="80"/>
      <c r="OY734" s="80"/>
      <c r="OZ734" s="133" t="s">
        <v>692</v>
      </c>
      <c r="PA734" s="80"/>
      <c r="PB734" t="s">
        <v>522</v>
      </c>
      <c r="PC734" s="50">
        <v>46134</v>
      </c>
      <c r="PD734" s="127"/>
    </row>
    <row r="735" spans="1:420" ht="15.75" thickBot="1">
      <c r="A735" t="s">
        <v>469</v>
      </c>
      <c r="B735" t="s">
        <v>1459</v>
      </c>
      <c r="C735" s="80" t="s">
        <v>667</v>
      </c>
      <c r="D735" s="132" t="s">
        <v>950</v>
      </c>
      <c r="E735" s="2" t="s">
        <v>1460</v>
      </c>
      <c r="F735" t="s">
        <v>1179</v>
      </c>
      <c r="G735" s="80" t="s">
        <v>475</v>
      </c>
      <c r="H735" s="132" t="s">
        <v>476</v>
      </c>
      <c r="I735">
        <v>-0.41666666699999999</v>
      </c>
      <c r="J735">
        <v>34.200000000000003</v>
      </c>
      <c r="K735" s="132" t="s">
        <v>480</v>
      </c>
      <c r="L735" s="2"/>
      <c r="M735" s="88"/>
      <c r="N735" s="2"/>
      <c r="O735" s="80"/>
      <c r="P735" s="2"/>
      <c r="Q735" s="2"/>
      <c r="R735" s="80"/>
      <c r="S735" s="80"/>
      <c r="T735" s="80"/>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c r="AV735" s="80" t="s">
        <v>1461</v>
      </c>
      <c r="AW735" s="80">
        <v>64</v>
      </c>
      <c r="AX735" s="80">
        <v>0.09</v>
      </c>
      <c r="AY735" s="80">
        <v>1</v>
      </c>
      <c r="AZ735" s="133" t="s">
        <v>1462</v>
      </c>
      <c r="BA735" s="133">
        <v>2007</v>
      </c>
      <c r="BB735" s="133">
        <v>2008</v>
      </c>
      <c r="BC735" s="133" t="s">
        <v>692</v>
      </c>
      <c r="BD735" s="2" t="s">
        <v>1473</v>
      </c>
      <c r="BE735" s="2" t="s">
        <v>536</v>
      </c>
      <c r="BF735" s="133" t="s">
        <v>484</v>
      </c>
      <c r="BG735" s="2" t="s">
        <v>1464</v>
      </c>
      <c r="BH735" s="133" t="s">
        <v>480</v>
      </c>
      <c r="BI735" s="134" t="s">
        <v>486</v>
      </c>
      <c r="BJ735" s="135">
        <v>55500</v>
      </c>
      <c r="BK735" s="2" t="s">
        <v>537</v>
      </c>
      <c r="BL735" t="s">
        <v>1474</v>
      </c>
      <c r="BM735" s="133" t="s">
        <v>480</v>
      </c>
      <c r="BN735" s="2" t="s">
        <v>486</v>
      </c>
      <c r="BO735" s="2">
        <v>55000</v>
      </c>
      <c r="BP735" s="2"/>
      <c r="BQ735" s="2"/>
      <c r="BR735" s="2"/>
      <c r="BS735" s="88"/>
      <c r="BT735" s="2"/>
      <c r="BU735" s="2"/>
      <c r="BV735" s="3"/>
      <c r="BW735" s="3"/>
      <c r="BX735" s="3"/>
      <c r="BY735" s="3"/>
      <c r="BZ735" s="3"/>
      <c r="CA735" s="3"/>
      <c r="CB735" s="3"/>
      <c r="CC735" s="3"/>
      <c r="CD735" s="3"/>
      <c r="CE735" s="3"/>
      <c r="CF735" s="3"/>
      <c r="CG735" s="3"/>
      <c r="CH735" s="3"/>
      <c r="CI735" s="3"/>
      <c r="CJ735" s="3"/>
      <c r="CK735" s="3"/>
      <c r="CL735" s="3"/>
      <c r="CM735" s="3"/>
      <c r="CN735" s="3"/>
      <c r="CO735" s="3"/>
      <c r="CP735" s="3"/>
      <c r="CQ735" s="3"/>
      <c r="CR735" s="3"/>
      <c r="CS735" s="3"/>
      <c r="CT735" s="3"/>
      <c r="CU735" s="3"/>
      <c r="CV735" s="3"/>
      <c r="CW735" s="3"/>
      <c r="CX735" s="3"/>
      <c r="CY735" s="3"/>
      <c r="CZ735" s="3"/>
      <c r="DA735" s="3"/>
      <c r="DB735" s="3"/>
      <c r="DC735" s="3"/>
      <c r="DD735" s="3"/>
      <c r="DE735" s="3"/>
      <c r="DF735" s="3"/>
      <c r="DG735" s="3"/>
      <c r="DH735" s="3"/>
      <c r="DI735" s="3"/>
      <c r="DJ735" s="3"/>
      <c r="DK735" s="3"/>
      <c r="DL735" s="3"/>
      <c r="DM735" s="3"/>
      <c r="DN735" s="3"/>
      <c r="DO735" s="3"/>
      <c r="DP735" s="3"/>
      <c r="DQ735" s="3"/>
      <c r="DR735" s="3"/>
      <c r="DS735" s="3"/>
      <c r="DT735" s="3"/>
      <c r="DU735" s="3"/>
      <c r="DV735" s="3"/>
      <c r="DW735" s="3"/>
      <c r="DX735" s="3"/>
      <c r="DY735" s="3"/>
      <c r="DZ735" s="3"/>
      <c r="EA735" s="3"/>
      <c r="EB735" s="3"/>
      <c r="EC735" s="3"/>
      <c r="ED735" s="2"/>
      <c r="EE735" s="2"/>
      <c r="EF735" s="2"/>
      <c r="EG735" s="2"/>
      <c r="EH735" s="2"/>
      <c r="EI735" s="2"/>
      <c r="EJ735" s="2"/>
      <c r="EK735" s="2"/>
      <c r="EL735" s="3"/>
      <c r="EM735" s="3"/>
      <c r="EN735" s="3"/>
      <c r="EO735" s="3"/>
      <c r="EP735" s="3"/>
      <c r="EQ735" s="3"/>
      <c r="ER735" s="3"/>
      <c r="ES735" s="3"/>
      <c r="ET735" s="3"/>
      <c r="EU735" s="3"/>
      <c r="EV735" s="3"/>
      <c r="EW735" s="3"/>
      <c r="EX735" s="3"/>
      <c r="EY735" s="3"/>
      <c r="EZ735" s="3"/>
      <c r="FA735" s="3"/>
      <c r="FB735" s="3"/>
      <c r="FC735" s="3"/>
      <c r="FD735" s="3"/>
      <c r="FE735" s="3"/>
      <c r="FF735" s="3"/>
      <c r="FG735" s="3"/>
      <c r="FH735" s="3"/>
      <c r="FI735" s="3"/>
      <c r="FJ735" s="3"/>
      <c r="FK735" s="3"/>
      <c r="FL735" s="3"/>
      <c r="FM735" s="3"/>
      <c r="FN735" s="3"/>
      <c r="FO735" s="3"/>
      <c r="FP735" s="3"/>
      <c r="FQ735" s="3"/>
      <c r="FR735" s="3"/>
      <c r="FS735" s="3"/>
      <c r="FT735" s="3"/>
      <c r="FU735" s="3"/>
      <c r="FV735" s="3"/>
      <c r="FW735" s="3"/>
      <c r="FX735" s="3"/>
      <c r="FY735" s="3"/>
      <c r="FZ735" s="3"/>
      <c r="GA735" s="3"/>
      <c r="GB735" s="3"/>
      <c r="GC735" s="3"/>
      <c r="GD735" s="3"/>
      <c r="GE735" s="3"/>
      <c r="GF735" s="3"/>
      <c r="GG735" s="3"/>
      <c r="GH735" s="3"/>
      <c r="GI735" s="3"/>
      <c r="GJ735" s="3"/>
      <c r="GK735" s="3"/>
      <c r="GL735" s="3"/>
      <c r="GM735" s="3"/>
      <c r="GN735" s="3"/>
      <c r="GO735" s="3"/>
      <c r="GP735" s="3"/>
      <c r="GQ735" s="3"/>
      <c r="GR735" s="3"/>
      <c r="GS735" s="3"/>
      <c r="GT735" s="3"/>
      <c r="GU735" s="3"/>
      <c r="GV735" s="3"/>
      <c r="GW735" s="3"/>
      <c r="GX735" s="3"/>
      <c r="GY735" s="3"/>
      <c r="GZ735" s="3"/>
      <c r="HA735" s="3"/>
      <c r="HB735" s="3"/>
      <c r="HC735" s="3"/>
      <c r="HD735" s="3"/>
      <c r="HE735" s="3"/>
      <c r="HF735" s="3"/>
      <c r="HG735" s="3"/>
      <c r="HH735" s="3"/>
      <c r="HI735" s="3"/>
      <c r="HJ735" s="3"/>
      <c r="HK735" s="2"/>
      <c r="HL735" s="2"/>
      <c r="HM735" s="2"/>
      <c r="HN735" s="2"/>
      <c r="HO735" s="2"/>
      <c r="HP735" s="2"/>
      <c r="HQ735" s="2"/>
      <c r="HR735" s="2"/>
      <c r="HS735" s="88"/>
      <c r="HT735" s="2"/>
      <c r="HU735" s="2"/>
      <c r="HV735" s="2"/>
      <c r="HW735" s="2"/>
      <c r="HX735" s="2"/>
      <c r="HY735" s="2"/>
      <c r="HZ735" s="2"/>
      <c r="IA735" s="2"/>
      <c r="IB735" s="2"/>
      <c r="IC735" s="2"/>
      <c r="ID735" s="2"/>
      <c r="IE735" s="2"/>
      <c r="IF735" s="2"/>
      <c r="IG735" s="2"/>
      <c r="IH735" s="133" t="s">
        <v>1465</v>
      </c>
      <c r="II735" s="75" t="s">
        <v>929</v>
      </c>
      <c r="IJ735" s="149" t="s">
        <v>983</v>
      </c>
      <c r="IK735" s="150" t="s">
        <v>543</v>
      </c>
      <c r="IL735" s="2">
        <v>2007</v>
      </c>
      <c r="IM735" s="2" t="s">
        <v>692</v>
      </c>
      <c r="IN735" s="2" t="s">
        <v>480</v>
      </c>
      <c r="IQ735" s="2"/>
      <c r="IR735" s="2"/>
      <c r="IS735" s="2"/>
      <c r="IT735" s="2"/>
      <c r="IU735" s="2"/>
      <c r="IV735" s="2"/>
      <c r="IW735" s="88"/>
      <c r="IX735" s="2"/>
      <c r="IY735" s="2"/>
      <c r="IZ735" s="2"/>
      <c r="JA735" s="2"/>
      <c r="JB735" s="2"/>
      <c r="JC735" s="2"/>
      <c r="JD735" s="2"/>
      <c r="JE735" s="2"/>
      <c r="JF735" s="2"/>
      <c r="JG735" s="2"/>
      <c r="JH735" s="2"/>
      <c r="JI735" s="2"/>
      <c r="JJ735" s="2"/>
      <c r="JK735" s="2"/>
      <c r="JL735" s="139" t="s">
        <v>495</v>
      </c>
      <c r="JM735" s="140" t="s">
        <v>1466</v>
      </c>
      <c r="JN735" s="140" t="s">
        <v>1467</v>
      </c>
      <c r="JO735" s="140" t="s">
        <v>1467</v>
      </c>
      <c r="JR735" s="2"/>
      <c r="JS735" s="2"/>
      <c r="JT735" s="2"/>
      <c r="JU735" s="2"/>
      <c r="JV735" s="2"/>
      <c r="JW735" s="2"/>
      <c r="JX735" s="2"/>
      <c r="JY735" s="141"/>
      <c r="JZ735" s="151"/>
      <c r="KA735" s="88"/>
      <c r="KB735" s="2"/>
      <c r="KC735" s="88"/>
      <c r="KD735" s="2"/>
      <c r="KE735" s="2"/>
      <c r="KF735" s="2"/>
      <c r="KG735" s="88"/>
      <c r="KH735" s="2"/>
      <c r="KI735" s="148"/>
      <c r="KJ735" s="152"/>
      <c r="KK735" s="2"/>
      <c r="KL735" s="2"/>
      <c r="KM735" s="2"/>
      <c r="KN735" s="2"/>
      <c r="KO735" s="88"/>
      <c r="KP735" s="2"/>
      <c r="KQ735" s="162"/>
      <c r="KR735" s="151"/>
      <c r="KS735" s="2"/>
      <c r="KT735" s="2"/>
      <c r="KU735" s="143"/>
      <c r="KV735" s="152"/>
      <c r="KW735" s="2"/>
      <c r="KX735" s="2"/>
      <c r="KY735" s="2"/>
      <c r="KZ735" s="3"/>
      <c r="LA735" s="3"/>
      <c r="LB735" s="3"/>
      <c r="LC735" s="3"/>
      <c r="LD735" s="3"/>
      <c r="LE735" s="3"/>
      <c r="LF735" s="3"/>
      <c r="LG735" s="3"/>
      <c r="LH735" s="88"/>
      <c r="LI735" s="88"/>
      <c r="LJ735" s="88"/>
      <c r="LK735" s="88"/>
      <c r="LL735" s="88"/>
      <c r="LM735" s="2"/>
      <c r="LN735" s="88"/>
      <c r="LO735" s="88"/>
      <c r="LP735" s="88"/>
      <c r="LQ735" s="2"/>
      <c r="LR735" s="2"/>
      <c r="LS735" s="2"/>
      <c r="LT735" s="2"/>
      <c r="LU735" s="2"/>
      <c r="LV735" s="2"/>
      <c r="LW735" s="2"/>
      <c r="LX735" s="2"/>
      <c r="LY735" s="2"/>
      <c r="LZ735" s="2"/>
      <c r="MA735" s="2"/>
      <c r="MB735" s="2"/>
      <c r="MC735" s="2"/>
      <c r="MD735" s="2"/>
      <c r="ME735" s="2"/>
      <c r="MF735" s="2"/>
      <c r="MG735" s="2"/>
      <c r="MH735" s="2"/>
      <c r="MI735" s="2"/>
      <c r="MJ735" s="2"/>
      <c r="MK735" s="2"/>
      <c r="ML735" s="2"/>
      <c r="MM735" s="2"/>
      <c r="MN735" s="2"/>
      <c r="MO735" s="2"/>
      <c r="MP735" s="2"/>
      <c r="MQ735" s="2"/>
      <c r="MR735" s="2"/>
      <c r="MS735" s="2"/>
      <c r="MT735" s="2"/>
      <c r="MU735" s="2"/>
      <c r="MV735" s="2"/>
      <c r="MW735" s="2"/>
      <c r="MX735" s="2"/>
      <c r="MY735" s="133" t="s">
        <v>1468</v>
      </c>
      <c r="MZ735" s="80">
        <v>64</v>
      </c>
      <c r="NA735" s="144"/>
      <c r="NB735" s="144"/>
      <c r="NC735" s="144"/>
      <c r="ND735" s="144"/>
      <c r="NE735" s="144"/>
      <c r="NF735" s="144"/>
      <c r="NG735" s="144"/>
      <c r="NH735" s="144"/>
      <c r="NI735" s="133" t="s">
        <v>1475</v>
      </c>
      <c r="NJ735" s="133" t="s">
        <v>1476</v>
      </c>
      <c r="NK735" s="133" t="s">
        <v>1477</v>
      </c>
      <c r="NL735" s="133" t="s">
        <v>944</v>
      </c>
      <c r="NM735" s="145" t="s">
        <v>516</v>
      </c>
      <c r="NN735" s="133"/>
      <c r="NO735" s="133"/>
      <c r="NP735" s="133"/>
      <c r="NQ735" s="133"/>
      <c r="NR735" s="133"/>
      <c r="NS735" s="133"/>
      <c r="NT735" s="133"/>
      <c r="NU735" s="133"/>
      <c r="NV735" s="146" t="s">
        <v>518</v>
      </c>
      <c r="NW735" s="153">
        <v>819.8</v>
      </c>
      <c r="NX735" s="146" t="s">
        <v>520</v>
      </c>
      <c r="NY735" s="153">
        <v>3.2</v>
      </c>
      <c r="NZ735" s="154"/>
      <c r="OA735" s="2"/>
      <c r="OB735" s="133">
        <v>4</v>
      </c>
      <c r="OC735" s="2"/>
      <c r="OD735" s="2"/>
      <c r="OE735" s="2"/>
      <c r="OF735" s="2"/>
      <c r="OG735" s="2"/>
      <c r="OH735" s="2"/>
      <c r="OI735" s="2"/>
      <c r="OJ735" s="2"/>
      <c r="OK735" s="2"/>
      <c r="OL735" s="2"/>
      <c r="OU735" s="133" t="s">
        <v>1472</v>
      </c>
      <c r="OV735" s="2"/>
      <c r="OW735" s="2">
        <v>2008</v>
      </c>
      <c r="OX735" s="2"/>
      <c r="OY735" s="2"/>
      <c r="OZ735" s="133" t="s">
        <v>692</v>
      </c>
      <c r="PA735" s="2"/>
      <c r="PB735" t="s">
        <v>522</v>
      </c>
      <c r="PC735" s="50">
        <v>46134</v>
      </c>
      <c r="PD735" s="127"/>
    </row>
    <row r="736" spans="1:420" ht="17.25" thickBot="1">
      <c r="A736" t="s">
        <v>469</v>
      </c>
      <c r="B736" t="s">
        <v>1459</v>
      </c>
      <c r="C736" s="80" t="s">
        <v>667</v>
      </c>
      <c r="D736" s="132" t="s">
        <v>950</v>
      </c>
      <c r="E736" s="2" t="s">
        <v>1460</v>
      </c>
      <c r="F736" t="s">
        <v>1179</v>
      </c>
      <c r="G736" s="80" t="s">
        <v>475</v>
      </c>
      <c r="H736" s="132" t="s">
        <v>476</v>
      </c>
      <c r="I736">
        <v>-0.41666666699999999</v>
      </c>
      <c r="J736">
        <v>34.200000000000003</v>
      </c>
      <c r="K736" s="132" t="s">
        <v>480</v>
      </c>
      <c r="L736" s="80"/>
      <c r="M736" s="132"/>
      <c r="N736" s="80"/>
      <c r="O736" s="80"/>
      <c r="P736" s="80"/>
      <c r="Q736" s="80"/>
      <c r="R736" s="80"/>
      <c r="S736" s="80"/>
      <c r="T736" s="80"/>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c r="AV736" s="80" t="s">
        <v>1461</v>
      </c>
      <c r="AW736" s="80">
        <v>64</v>
      </c>
      <c r="AX736" s="80">
        <v>0.09</v>
      </c>
      <c r="AY736" s="80">
        <v>1</v>
      </c>
      <c r="AZ736" s="133" t="s">
        <v>1462</v>
      </c>
      <c r="BA736" s="133">
        <v>2007</v>
      </c>
      <c r="BB736" s="133">
        <v>2008</v>
      </c>
      <c r="BC736" s="133" t="s">
        <v>692</v>
      </c>
      <c r="BD736" s="133" t="s">
        <v>1463</v>
      </c>
      <c r="BE736" s="133" t="s">
        <v>524</v>
      </c>
      <c r="BF736" s="133" t="s">
        <v>484</v>
      </c>
      <c r="BG736" s="133" t="s">
        <v>1464</v>
      </c>
      <c r="BH736" s="133" t="s">
        <v>480</v>
      </c>
      <c r="BI736" s="134" t="s">
        <v>486</v>
      </c>
      <c r="BJ736" s="135">
        <v>111000</v>
      </c>
      <c r="BK736" s="133"/>
      <c r="BL736" s="133"/>
      <c r="BM736" s="133"/>
      <c r="BN736" s="133"/>
      <c r="BO736" s="133"/>
      <c r="BP736" s="133"/>
      <c r="BQ736" s="133"/>
      <c r="BR736" s="133"/>
      <c r="BS736" s="133"/>
      <c r="BT736" s="133"/>
      <c r="BU736" s="133"/>
      <c r="BV736" s="3"/>
      <c r="BW736" s="3"/>
      <c r="BX736" s="3"/>
      <c r="BY736" s="3"/>
      <c r="BZ736" s="3"/>
      <c r="CA736" s="3"/>
      <c r="CB736" s="3"/>
      <c r="CC736" s="3"/>
      <c r="CD736" s="3"/>
      <c r="CE736" s="3"/>
      <c r="CF736" s="3"/>
      <c r="CG736" s="3"/>
      <c r="CH736" s="3"/>
      <c r="CI736" s="3"/>
      <c r="CJ736" s="3"/>
      <c r="CK736" s="3"/>
      <c r="CL736" s="3"/>
      <c r="CM736" s="3"/>
      <c r="CN736" s="3"/>
      <c r="CO736" s="3"/>
      <c r="CP736" s="3"/>
      <c r="CQ736" s="3"/>
      <c r="CR736" s="3"/>
      <c r="CS736" s="3"/>
      <c r="CT736" s="3"/>
      <c r="CU736" s="3"/>
      <c r="CV736" s="3"/>
      <c r="CW736" s="3"/>
      <c r="CX736" s="3"/>
      <c r="CY736" s="3"/>
      <c r="CZ736" s="3"/>
      <c r="DA736" s="3"/>
      <c r="DB736" s="3"/>
      <c r="DC736" s="3"/>
      <c r="DD736" s="3"/>
      <c r="DE736" s="3"/>
      <c r="DF736" s="3"/>
      <c r="DG736" s="3"/>
      <c r="DH736" s="3"/>
      <c r="DI736" s="3"/>
      <c r="DJ736" s="3"/>
      <c r="DK736" s="3"/>
      <c r="DL736" s="3"/>
      <c r="DM736" s="3"/>
      <c r="DN736" s="3"/>
      <c r="DO736" s="3"/>
      <c r="DP736" s="3"/>
      <c r="DQ736" s="3"/>
      <c r="DR736" s="3"/>
      <c r="DS736" s="3"/>
      <c r="DT736" s="3"/>
      <c r="DU736" s="3"/>
      <c r="DV736" s="3"/>
      <c r="DW736" s="3"/>
      <c r="DX736" s="3"/>
      <c r="DY736" s="3"/>
      <c r="DZ736" s="3"/>
      <c r="EA736" s="3"/>
      <c r="EB736" s="3"/>
      <c r="EC736" s="3"/>
      <c r="ED736" s="2"/>
      <c r="EE736" s="133"/>
      <c r="EF736" s="133"/>
      <c r="EG736" s="133"/>
      <c r="EH736" s="133"/>
      <c r="EI736" s="133"/>
      <c r="EJ736" s="133"/>
      <c r="EK736" s="133"/>
      <c r="EL736" s="3"/>
      <c r="EM736" s="3"/>
      <c r="EN736" s="3"/>
      <c r="EO736" s="3"/>
      <c r="EP736" s="3"/>
      <c r="EQ736" s="3"/>
      <c r="ER736" s="3"/>
      <c r="ES736" s="3"/>
      <c r="ET736" s="3"/>
      <c r="EU736" s="3"/>
      <c r="EV736" s="3"/>
      <c r="EW736" s="3"/>
      <c r="EX736" s="3"/>
      <c r="EY736" s="3"/>
      <c r="EZ736" s="3"/>
      <c r="FA736" s="3"/>
      <c r="FB736" s="3"/>
      <c r="FC736" s="3"/>
      <c r="FD736" s="3"/>
      <c r="FE736" s="3"/>
      <c r="FF736" s="3"/>
      <c r="FG736" s="3"/>
      <c r="FH736" s="3"/>
      <c r="FI736" s="3"/>
      <c r="FJ736" s="3"/>
      <c r="FK736" s="3"/>
      <c r="FL736" s="3"/>
      <c r="FM736" s="3"/>
      <c r="FN736" s="3"/>
      <c r="FO736" s="3"/>
      <c r="FP736" s="3"/>
      <c r="FQ736" s="3"/>
      <c r="FR736" s="3"/>
      <c r="FS736" s="3"/>
      <c r="FT736" s="3"/>
      <c r="FU736" s="3"/>
      <c r="FV736" s="3"/>
      <c r="FW736" s="3"/>
      <c r="FX736" s="3"/>
      <c r="FY736" s="3"/>
      <c r="FZ736" s="3"/>
      <c r="GA736" s="3"/>
      <c r="GB736" s="3"/>
      <c r="GC736" s="3"/>
      <c r="GD736" s="3"/>
      <c r="GE736" s="3"/>
      <c r="GF736" s="3"/>
      <c r="GG736" s="3"/>
      <c r="GH736" s="3"/>
      <c r="GI736" s="3"/>
      <c r="GJ736" s="3"/>
      <c r="GK736" s="3"/>
      <c r="GL736" s="3"/>
      <c r="GM736" s="3"/>
      <c r="GN736" s="3"/>
      <c r="GO736" s="3"/>
      <c r="GP736" s="3"/>
      <c r="GQ736" s="3"/>
      <c r="GR736" s="3"/>
      <c r="GS736" s="3"/>
      <c r="GT736" s="3"/>
      <c r="GU736" s="3"/>
      <c r="GV736" s="3"/>
      <c r="GW736" s="3"/>
      <c r="GX736" s="3"/>
      <c r="GY736" s="3"/>
      <c r="GZ736" s="3"/>
      <c r="HA736" s="3"/>
      <c r="HB736" s="3"/>
      <c r="HC736" s="3"/>
      <c r="HD736" s="3"/>
      <c r="HE736" s="3"/>
      <c r="HF736" s="3"/>
      <c r="HG736" s="3"/>
      <c r="HH736" s="3"/>
      <c r="HI736" s="3"/>
      <c r="HJ736" s="3"/>
      <c r="HK736" s="133"/>
      <c r="HL736" s="133"/>
      <c r="HM736" s="133"/>
      <c r="HN736" s="133"/>
      <c r="HO736" s="133"/>
      <c r="HP736" s="133"/>
      <c r="HQ736" s="133"/>
      <c r="HR736" s="133"/>
      <c r="HS736" s="134"/>
      <c r="HT736" s="133"/>
      <c r="HU736" s="133"/>
      <c r="HV736" s="133"/>
      <c r="HW736" s="133"/>
      <c r="HX736" s="136"/>
      <c r="HY736" s="133"/>
      <c r="HZ736" s="133"/>
      <c r="IA736" s="133"/>
      <c r="IB736" s="133"/>
      <c r="IC736" s="133"/>
      <c r="ID736" s="133"/>
      <c r="IE736" s="133"/>
      <c r="IF736" s="133"/>
      <c r="IG736" s="133"/>
      <c r="IH736" s="133" t="s">
        <v>1465</v>
      </c>
      <c r="II736" s="137" t="s">
        <v>492</v>
      </c>
      <c r="IJ736" s="137"/>
      <c r="IK736" s="138"/>
      <c r="IL736" s="133"/>
      <c r="IM736" s="133"/>
      <c r="IN736" s="133"/>
      <c r="IQ736" s="133"/>
      <c r="IR736" s="133"/>
      <c r="IS736" s="133"/>
      <c r="IT736" s="133"/>
      <c r="IU736" s="133"/>
      <c r="IV736" s="133"/>
      <c r="IW736" s="133"/>
      <c r="IX736" s="133"/>
      <c r="IY736" s="133"/>
      <c r="IZ736" s="80"/>
      <c r="JA736" s="80"/>
      <c r="JB736" s="80"/>
      <c r="JC736" s="80"/>
      <c r="JD736" s="80"/>
      <c r="JE736" s="80"/>
      <c r="JF736" s="80"/>
      <c r="JG736" s="80"/>
      <c r="JH736" s="80"/>
      <c r="JI736" s="80"/>
      <c r="JJ736" s="80"/>
      <c r="JK736" s="80"/>
      <c r="JL736" s="139" t="s">
        <v>495</v>
      </c>
      <c r="JM736" s="140" t="s">
        <v>1466</v>
      </c>
      <c r="JN736" s="140" t="s">
        <v>1467</v>
      </c>
      <c r="JO736" s="140" t="s">
        <v>1467</v>
      </c>
      <c r="JR736" s="133"/>
      <c r="JS736" s="133"/>
      <c r="JT736" s="133"/>
      <c r="JU736" s="133"/>
      <c r="JV736" s="133"/>
      <c r="JW736" s="133"/>
      <c r="JX736" s="133"/>
      <c r="JY736" s="141"/>
      <c r="JZ736" s="141"/>
      <c r="KA736" s="134"/>
      <c r="KB736" s="133"/>
      <c r="KC736" s="134"/>
      <c r="KD736" s="133"/>
      <c r="KE736" s="133"/>
      <c r="KF736" s="133"/>
      <c r="KG736" s="134"/>
      <c r="KH736" s="134"/>
      <c r="KI736" s="137"/>
      <c r="KJ736" s="142"/>
      <c r="KK736" s="133"/>
      <c r="KL736" s="133"/>
      <c r="KM736" s="133"/>
      <c r="KN736" s="133"/>
      <c r="KO736" s="134"/>
      <c r="KP736" s="133"/>
      <c r="KQ736" s="137"/>
      <c r="KR736" s="142"/>
      <c r="KS736" s="133"/>
      <c r="KT736" s="133"/>
      <c r="KU736" s="143"/>
      <c r="KV736" s="142"/>
      <c r="KW736" s="133"/>
      <c r="KX736" s="133"/>
      <c r="KY736" s="133"/>
      <c r="KZ736" s="3"/>
      <c r="LA736" s="3"/>
      <c r="LB736" s="3"/>
      <c r="LC736" s="3"/>
      <c r="LD736" s="3"/>
      <c r="LE736" s="3"/>
      <c r="LF736" s="3"/>
      <c r="LG736" s="3"/>
      <c r="LH736" s="134"/>
      <c r="LI736" s="134"/>
      <c r="LJ736" s="134"/>
      <c r="LK736" s="134"/>
      <c r="LL736" s="134"/>
      <c r="LM736" s="134"/>
      <c r="LN736" s="134"/>
      <c r="LO736" s="134"/>
      <c r="LP736" s="134"/>
      <c r="LQ736" s="133"/>
      <c r="LR736" s="133"/>
      <c r="LS736" s="133"/>
      <c r="LT736" s="133"/>
      <c r="LU736" s="133"/>
      <c r="LV736" s="133"/>
      <c r="LW736" s="133"/>
      <c r="LX736" s="133"/>
      <c r="LY736" s="133"/>
      <c r="LZ736" s="80"/>
      <c r="MA736" s="80"/>
      <c r="MB736" s="80"/>
      <c r="MC736" s="80"/>
      <c r="MD736" s="80"/>
      <c r="ME736" s="144"/>
      <c r="MF736" s="144"/>
      <c r="MG736" s="144"/>
      <c r="MH736" s="2"/>
      <c r="MI736" s="133"/>
      <c r="MJ736" s="133"/>
      <c r="MK736" s="133"/>
      <c r="ML736" s="80"/>
      <c r="MM736" s="80"/>
      <c r="MN736" s="80"/>
      <c r="MO736" s="80"/>
      <c r="MP736" s="80"/>
      <c r="MQ736" s="80"/>
      <c r="MR736" s="80"/>
      <c r="MS736" s="80"/>
      <c r="MT736" s="133"/>
      <c r="MU736" s="133"/>
      <c r="MV736" s="133"/>
      <c r="MW736" s="133"/>
      <c r="MX736" s="133"/>
      <c r="MY736" s="133" t="s">
        <v>1468</v>
      </c>
      <c r="MZ736" s="80">
        <v>64</v>
      </c>
      <c r="NA736" s="133" t="s">
        <v>1478</v>
      </c>
      <c r="NB736" s="144" t="s">
        <v>1479</v>
      </c>
      <c r="NC736" s="144" t="s">
        <v>1480</v>
      </c>
      <c r="ND736" s="144"/>
      <c r="NE736" s="144"/>
      <c r="NF736" s="144"/>
      <c r="NG736" s="144"/>
      <c r="NH736" s="144"/>
      <c r="NI736" s="133"/>
      <c r="NJ736" s="133" t="s">
        <v>1481</v>
      </c>
      <c r="NK736" s="133" t="s">
        <v>1478</v>
      </c>
      <c r="NL736" t="s">
        <v>946</v>
      </c>
      <c r="NM736" s="145" t="s">
        <v>516</v>
      </c>
      <c r="NN736" s="133"/>
      <c r="NO736" s="133"/>
      <c r="NP736" s="133"/>
      <c r="NQ736" s="133"/>
      <c r="NR736" s="133"/>
      <c r="NS736" s="133"/>
      <c r="NT736" s="133"/>
      <c r="NU736" s="133" t="s">
        <v>536</v>
      </c>
      <c r="NV736" s="146" t="s">
        <v>518</v>
      </c>
      <c r="NW736" s="146">
        <v>235.4</v>
      </c>
      <c r="NX736" s="146" t="s">
        <v>520</v>
      </c>
      <c r="NY736" s="146">
        <v>23.6</v>
      </c>
      <c r="NZ736" s="147"/>
      <c r="OA736" s="133"/>
      <c r="OB736" s="133">
        <v>4</v>
      </c>
      <c r="OC736" s="133"/>
      <c r="OD736" s="133"/>
      <c r="OE736" s="133"/>
      <c r="OF736" s="133"/>
      <c r="OG736" s="133"/>
      <c r="OH736" s="133"/>
      <c r="OI736" s="133"/>
      <c r="OJ736" s="133"/>
      <c r="OK736" s="133"/>
      <c r="OL736" s="133"/>
      <c r="OM736" s="133"/>
      <c r="ON736" s="133"/>
      <c r="OO736" s="133"/>
      <c r="OP736" s="133"/>
      <c r="OQ736" s="133"/>
      <c r="OR736" s="133"/>
      <c r="OS736" s="133"/>
      <c r="OT736" s="133"/>
      <c r="OU736" s="133" t="s">
        <v>1472</v>
      </c>
      <c r="OV736" s="133"/>
      <c r="OW736" s="133">
        <v>2007</v>
      </c>
      <c r="OX736" s="133"/>
      <c r="OY736" s="133"/>
      <c r="OZ736" s="133" t="s">
        <v>692</v>
      </c>
      <c r="PA736" s="133"/>
      <c r="PB736" t="s">
        <v>522</v>
      </c>
      <c r="PC736" s="50">
        <v>46134</v>
      </c>
      <c r="PD736" s="127"/>
    </row>
    <row r="737" spans="1:420" ht="15.75" thickBot="1">
      <c r="A737" t="s">
        <v>469</v>
      </c>
      <c r="B737" t="s">
        <v>1459</v>
      </c>
      <c r="C737" s="80" t="s">
        <v>667</v>
      </c>
      <c r="D737" s="132" t="s">
        <v>950</v>
      </c>
      <c r="E737" s="2" t="s">
        <v>1460</v>
      </c>
      <c r="F737" t="s">
        <v>1179</v>
      </c>
      <c r="G737" s="80" t="s">
        <v>475</v>
      </c>
      <c r="H737" s="132" t="s">
        <v>476</v>
      </c>
      <c r="I737">
        <v>-0.41666666699999999</v>
      </c>
      <c r="J737">
        <v>34.200000000000003</v>
      </c>
      <c r="K737" s="132" t="s">
        <v>480</v>
      </c>
      <c r="L737" s="2"/>
      <c r="M737" s="88"/>
      <c r="N737" s="2"/>
      <c r="O737" s="80"/>
      <c r="P737" s="2"/>
      <c r="Q737" s="2"/>
      <c r="R737" s="80"/>
      <c r="S737" s="80"/>
      <c r="T737" s="80"/>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c r="AV737" s="80" t="s">
        <v>1461</v>
      </c>
      <c r="AW737" s="80">
        <v>64</v>
      </c>
      <c r="AX737" s="80">
        <v>0.09</v>
      </c>
      <c r="AY737" s="80">
        <v>1</v>
      </c>
      <c r="AZ737" s="133" t="s">
        <v>1462</v>
      </c>
      <c r="BA737" s="133">
        <v>2007</v>
      </c>
      <c r="BB737" s="133">
        <v>2008</v>
      </c>
      <c r="BC737" s="133" t="s">
        <v>692</v>
      </c>
      <c r="BD737" s="2" t="s">
        <v>1473</v>
      </c>
      <c r="BE737" s="2" t="s">
        <v>536</v>
      </c>
      <c r="BF737" s="133" t="s">
        <v>484</v>
      </c>
      <c r="BG737" s="2" t="s">
        <v>1464</v>
      </c>
      <c r="BH737" s="133" t="s">
        <v>480</v>
      </c>
      <c r="BI737" s="134" t="s">
        <v>486</v>
      </c>
      <c r="BJ737" s="135">
        <v>55500</v>
      </c>
      <c r="BK737" s="2" t="s">
        <v>537</v>
      </c>
      <c r="BL737" t="s">
        <v>1474</v>
      </c>
      <c r="BM737" s="133" t="s">
        <v>480</v>
      </c>
      <c r="BN737" s="2" t="s">
        <v>486</v>
      </c>
      <c r="BO737" s="2">
        <v>55000</v>
      </c>
      <c r="BP737" s="2"/>
      <c r="BQ737" s="2"/>
      <c r="BR737" s="2"/>
      <c r="BS737" s="2"/>
      <c r="BT737" s="2"/>
      <c r="BU737" s="2"/>
      <c r="BV737" s="3"/>
      <c r="BW737" s="3"/>
      <c r="BX737" s="3"/>
      <c r="BY737" s="3"/>
      <c r="BZ737" s="3"/>
      <c r="CA737" s="3"/>
      <c r="CB737" s="3"/>
      <c r="CC737" s="3"/>
      <c r="CD737" s="3"/>
      <c r="CE737" s="3"/>
      <c r="CF737" s="3"/>
      <c r="CG737" s="3"/>
      <c r="CH737" s="3"/>
      <c r="CI737" s="3"/>
      <c r="CJ737" s="3"/>
      <c r="CK737" s="3"/>
      <c r="CL737" s="3"/>
      <c r="CM737" s="3"/>
      <c r="CN737" s="3"/>
      <c r="CO737" s="3"/>
      <c r="CP737" s="3"/>
      <c r="CQ737" s="3"/>
      <c r="CR737" s="3"/>
      <c r="CS737" s="3"/>
      <c r="CT737" s="3"/>
      <c r="CU737" s="3"/>
      <c r="CV737" s="3"/>
      <c r="CW737" s="3"/>
      <c r="CX737" s="3"/>
      <c r="CY737" s="3"/>
      <c r="CZ737" s="3"/>
      <c r="DA737" s="3"/>
      <c r="DB737" s="3"/>
      <c r="DC737" s="3"/>
      <c r="DD737" s="3"/>
      <c r="DE737" s="3"/>
      <c r="DF737" s="3"/>
      <c r="DG737" s="3"/>
      <c r="DH737" s="3"/>
      <c r="DI737" s="3"/>
      <c r="DJ737" s="3"/>
      <c r="DK737" s="3"/>
      <c r="DL737" s="3"/>
      <c r="DM737" s="3"/>
      <c r="DN737" s="3"/>
      <c r="DO737" s="3"/>
      <c r="DP737" s="3"/>
      <c r="DQ737" s="3"/>
      <c r="DR737" s="3"/>
      <c r="DS737" s="3"/>
      <c r="DT737" s="3"/>
      <c r="DU737" s="3"/>
      <c r="DV737" s="3"/>
      <c r="DW737" s="3"/>
      <c r="DX737" s="3"/>
      <c r="DY737" s="3"/>
      <c r="DZ737" s="3"/>
      <c r="EA737" s="3"/>
      <c r="EB737" s="3"/>
      <c r="EC737" s="3"/>
      <c r="ED737" s="2"/>
      <c r="EE737" s="2"/>
      <c r="EF737" s="2"/>
      <c r="EG737" s="2"/>
      <c r="EH737" s="2"/>
      <c r="EI737" s="2"/>
      <c r="EJ737" s="2"/>
      <c r="EK737" s="2"/>
      <c r="EL737" s="3"/>
      <c r="EM737" s="3"/>
      <c r="EN737" s="3"/>
      <c r="EO737" s="3"/>
      <c r="EP737" s="3"/>
      <c r="EQ737" s="3"/>
      <c r="ER737" s="3"/>
      <c r="ES737" s="3"/>
      <c r="ET737" s="3"/>
      <c r="EU737" s="3"/>
      <c r="EV737" s="3"/>
      <c r="EW737" s="3"/>
      <c r="EX737" s="3"/>
      <c r="EY737" s="3"/>
      <c r="EZ737" s="3"/>
      <c r="FA737" s="3"/>
      <c r="FB737" s="3"/>
      <c r="FC737" s="3"/>
      <c r="FD737" s="3"/>
      <c r="FE737" s="3"/>
      <c r="FF737" s="3"/>
      <c r="FG737" s="3"/>
      <c r="FH737" s="3"/>
      <c r="FI737" s="3"/>
      <c r="FJ737" s="3"/>
      <c r="FK737" s="3"/>
      <c r="FL737" s="3"/>
      <c r="FM737" s="3"/>
      <c r="FN737" s="3"/>
      <c r="FO737" s="3"/>
      <c r="FP737" s="3"/>
      <c r="FQ737" s="3"/>
      <c r="FR737" s="3"/>
      <c r="FS737" s="3"/>
      <c r="FT737" s="3"/>
      <c r="FU737" s="3"/>
      <c r="FV737" s="3"/>
      <c r="FW737" s="3"/>
      <c r="FX737" s="3"/>
      <c r="FY737" s="3"/>
      <c r="FZ737" s="3"/>
      <c r="GA737" s="3"/>
      <c r="GB737" s="3"/>
      <c r="GC737" s="3"/>
      <c r="GD737" s="3"/>
      <c r="GE737" s="3"/>
      <c r="GF737" s="3"/>
      <c r="GG737" s="3"/>
      <c r="GH737" s="3"/>
      <c r="GI737" s="3"/>
      <c r="GJ737" s="3"/>
      <c r="GK737" s="3"/>
      <c r="GL737" s="3"/>
      <c r="GM737" s="3"/>
      <c r="GN737" s="3"/>
      <c r="GO737" s="3"/>
      <c r="GP737" s="3"/>
      <c r="GQ737" s="3"/>
      <c r="GR737" s="3"/>
      <c r="GS737" s="3"/>
      <c r="GT737" s="3"/>
      <c r="GU737" s="3"/>
      <c r="GV737" s="3"/>
      <c r="GW737" s="3"/>
      <c r="GX737" s="3"/>
      <c r="GY737" s="3"/>
      <c r="GZ737" s="3"/>
      <c r="HA737" s="3"/>
      <c r="HB737" s="3"/>
      <c r="HC737" s="3"/>
      <c r="HD737" s="3"/>
      <c r="HE737" s="3"/>
      <c r="HF737" s="3"/>
      <c r="HG737" s="3"/>
      <c r="HH737" s="3"/>
      <c r="HI737" s="3"/>
      <c r="HJ737" s="3"/>
      <c r="HK737" s="2"/>
      <c r="HL737" s="2"/>
      <c r="HM737" s="2"/>
      <c r="HN737" s="2"/>
      <c r="HO737" s="2"/>
      <c r="HP737" s="2"/>
      <c r="HQ737" s="2"/>
      <c r="HR737" s="2"/>
      <c r="HS737" s="88"/>
      <c r="HT737" s="2"/>
      <c r="HU737" s="2"/>
      <c r="HV737" s="2"/>
      <c r="HW737" s="2"/>
      <c r="HX737" s="2"/>
      <c r="HY737" s="2"/>
      <c r="HZ737" s="2"/>
      <c r="IA737" s="2"/>
      <c r="IB737" s="2"/>
      <c r="IC737" s="2"/>
      <c r="ID737" s="2"/>
      <c r="IE737" s="2"/>
      <c r="IF737" s="2"/>
      <c r="IG737" s="2"/>
      <c r="IH737" s="133" t="s">
        <v>1465</v>
      </c>
      <c r="II737" s="75" t="s">
        <v>929</v>
      </c>
      <c r="IJ737" s="149" t="s">
        <v>983</v>
      </c>
      <c r="IK737" s="150" t="s">
        <v>543</v>
      </c>
      <c r="IL737" s="2">
        <v>2007</v>
      </c>
      <c r="IM737" s="2" t="s">
        <v>692</v>
      </c>
      <c r="IN737" s="2" t="s">
        <v>480</v>
      </c>
      <c r="IQ737" s="2"/>
      <c r="IR737" s="2"/>
      <c r="IS737" s="2"/>
      <c r="IT737" s="2"/>
      <c r="IU737" s="2"/>
      <c r="IV737" s="2"/>
      <c r="IW737" s="2"/>
      <c r="IX737" s="2"/>
      <c r="IY737" s="2"/>
      <c r="IZ737" s="2"/>
      <c r="JA737" s="2"/>
      <c r="JB737" s="2"/>
      <c r="JC737" s="2"/>
      <c r="JD737" s="2"/>
      <c r="JE737" s="2"/>
      <c r="JF737" s="2"/>
      <c r="JG737" s="2"/>
      <c r="JH737" s="2"/>
      <c r="JI737" s="2"/>
      <c r="JJ737" s="2"/>
      <c r="JK737" s="2"/>
      <c r="JL737" s="139" t="s">
        <v>495</v>
      </c>
      <c r="JM737" s="140" t="s">
        <v>1466</v>
      </c>
      <c r="JN737" s="140" t="s">
        <v>1467</v>
      </c>
      <c r="JO737" s="140" t="s">
        <v>1467</v>
      </c>
      <c r="JR737" s="2"/>
      <c r="JS737" s="2"/>
      <c r="JT737" s="2"/>
      <c r="JU737" s="2"/>
      <c r="JV737" s="2"/>
      <c r="JW737" s="2"/>
      <c r="JX737" s="2"/>
      <c r="JY737" s="141"/>
      <c r="JZ737" s="151"/>
      <c r="KA737" s="88"/>
      <c r="KB737" s="2"/>
      <c r="KC737" s="88"/>
      <c r="KD737" s="2"/>
      <c r="KE737" s="2"/>
      <c r="KF737" s="2"/>
      <c r="KG737" s="88"/>
      <c r="KH737" s="2"/>
      <c r="KI737" s="148"/>
      <c r="KJ737" s="152"/>
      <c r="KK737" s="2"/>
      <c r="KL737" s="2"/>
      <c r="KM737" s="2"/>
      <c r="KN737" s="2"/>
      <c r="KO737" s="88"/>
      <c r="KP737" s="2"/>
      <c r="KQ737" s="148"/>
      <c r="KR737" s="152"/>
      <c r="KS737" s="2"/>
      <c r="KT737" s="2"/>
      <c r="KU737" s="143"/>
      <c r="KV737" s="152"/>
      <c r="KW737" s="2"/>
      <c r="KX737" s="2"/>
      <c r="KY737" s="2"/>
      <c r="KZ737" s="61"/>
      <c r="LA737" s="62"/>
      <c r="LB737" s="62"/>
      <c r="LC737" s="3"/>
      <c r="LD737" s="3"/>
      <c r="LE737" s="3"/>
      <c r="LF737" s="3"/>
      <c r="LG737" s="3"/>
      <c r="LH737" s="88"/>
      <c r="LI737" s="88"/>
      <c r="LJ737" s="88"/>
      <c r="LK737" s="88"/>
      <c r="LL737" s="88"/>
      <c r="LM737" s="2"/>
      <c r="LN737" s="88"/>
      <c r="LO737" s="88"/>
      <c r="LP737" s="88"/>
      <c r="LQ737" s="2"/>
      <c r="LR737" s="2"/>
      <c r="LS737" s="2"/>
      <c r="LT737" s="2"/>
      <c r="LU737" s="2"/>
      <c r="LV737" s="2"/>
      <c r="LW737" s="2"/>
      <c r="LX737" s="2"/>
      <c r="LY737" s="2"/>
      <c r="LZ737" s="2"/>
      <c r="MA737" s="2"/>
      <c r="MB737" s="2"/>
      <c r="MC737" s="2"/>
      <c r="MD737" s="2"/>
      <c r="ME737" s="2"/>
      <c r="MF737" s="2"/>
      <c r="MG737" s="2"/>
      <c r="MI737" s="2"/>
      <c r="MJ737" s="2"/>
      <c r="MK737" s="2"/>
      <c r="ML737" s="2"/>
      <c r="MM737" s="2"/>
      <c r="MN737" s="2"/>
      <c r="MO737" s="2"/>
      <c r="MP737" s="2"/>
      <c r="MQ737" s="2"/>
      <c r="MR737" s="2"/>
      <c r="MS737" s="2"/>
      <c r="MT737" s="2"/>
      <c r="MU737" s="2"/>
      <c r="MV737" s="2"/>
      <c r="MW737" s="2"/>
      <c r="MX737" s="2"/>
      <c r="MY737" s="133" t="s">
        <v>1468</v>
      </c>
      <c r="MZ737" s="80">
        <v>64</v>
      </c>
      <c r="NA737" s="133" t="s">
        <v>1478</v>
      </c>
      <c r="NB737" s="144" t="s">
        <v>1479</v>
      </c>
      <c r="NC737" s="144" t="s">
        <v>1480</v>
      </c>
      <c r="ND737" s="144" t="s">
        <v>1482</v>
      </c>
      <c r="NE737" s="144"/>
      <c r="NF737" s="144"/>
      <c r="NG737" s="144"/>
      <c r="NH737" s="144"/>
      <c r="NI737" s="133"/>
      <c r="NJ737" s="133" t="s">
        <v>1481</v>
      </c>
      <c r="NK737" s="133" t="s">
        <v>1478</v>
      </c>
      <c r="NL737" t="s">
        <v>946</v>
      </c>
      <c r="NM737" s="145" t="s">
        <v>516</v>
      </c>
      <c r="NN737" s="133"/>
      <c r="NO737" s="133"/>
      <c r="NP737" s="133"/>
      <c r="NQ737" s="133"/>
      <c r="NR737" s="133"/>
      <c r="NS737" s="133"/>
      <c r="NT737" s="133"/>
      <c r="NU737" s="133"/>
      <c r="NV737" s="146" t="s">
        <v>518</v>
      </c>
      <c r="NW737" s="153">
        <v>1084.4000000000001</v>
      </c>
      <c r="NX737" s="146" t="s">
        <v>520</v>
      </c>
      <c r="NY737" s="153">
        <v>80</v>
      </c>
      <c r="NZ737" s="154"/>
      <c r="OA737" s="2"/>
      <c r="OB737" s="133">
        <v>4</v>
      </c>
      <c r="OC737" s="2"/>
      <c r="OD737" s="2"/>
      <c r="OE737" s="2"/>
      <c r="OF737" s="2"/>
      <c r="OG737" s="2"/>
      <c r="OH737" s="2"/>
      <c r="OI737" s="2"/>
      <c r="OJ737" s="2"/>
      <c r="OK737" s="2"/>
      <c r="OL737" s="2"/>
      <c r="OU737" s="133" t="s">
        <v>1472</v>
      </c>
      <c r="OV737" s="2"/>
      <c r="OW737" s="133">
        <v>2007</v>
      </c>
      <c r="OX737" s="133"/>
      <c r="OY737" s="133"/>
      <c r="OZ737" s="133" t="s">
        <v>692</v>
      </c>
      <c r="PA737" s="2"/>
      <c r="PB737" t="s">
        <v>522</v>
      </c>
      <c r="PC737" s="50">
        <v>46134</v>
      </c>
      <c r="PD737" s="127"/>
    </row>
    <row r="738" spans="1:420" ht="15.75" thickBot="1">
      <c r="A738" t="s">
        <v>469</v>
      </c>
      <c r="B738" t="s">
        <v>1459</v>
      </c>
      <c r="C738" s="80" t="s">
        <v>667</v>
      </c>
      <c r="D738" s="132" t="s">
        <v>950</v>
      </c>
      <c r="E738" s="2" t="s">
        <v>1460</v>
      </c>
      <c r="F738" t="s">
        <v>1179</v>
      </c>
      <c r="G738" s="80" t="s">
        <v>475</v>
      </c>
      <c r="H738" s="132" t="s">
        <v>476</v>
      </c>
      <c r="I738">
        <v>-0.41666666699999999</v>
      </c>
      <c r="J738">
        <v>34.200000000000003</v>
      </c>
      <c r="K738" s="132" t="s">
        <v>480</v>
      </c>
      <c r="L738" s="80"/>
      <c r="M738" s="132"/>
      <c r="N738" s="80"/>
      <c r="O738" s="80"/>
      <c r="P738" s="80"/>
      <c r="Q738" s="80"/>
      <c r="R738" s="80"/>
      <c r="S738" s="80"/>
      <c r="T738" s="80"/>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c r="AV738" s="80" t="s">
        <v>1461</v>
      </c>
      <c r="AW738" s="80">
        <v>64</v>
      </c>
      <c r="AX738" s="80">
        <v>0.09</v>
      </c>
      <c r="AY738" s="80">
        <v>1</v>
      </c>
      <c r="AZ738" s="133" t="s">
        <v>1462</v>
      </c>
      <c r="BA738" s="133">
        <v>2007</v>
      </c>
      <c r="BB738" s="133">
        <v>2008</v>
      </c>
      <c r="BC738" s="133" t="s">
        <v>709</v>
      </c>
      <c r="BD738" s="133" t="s">
        <v>1463</v>
      </c>
      <c r="BE738" s="133" t="s">
        <v>524</v>
      </c>
      <c r="BF738" s="133" t="s">
        <v>484</v>
      </c>
      <c r="BG738" s="133" t="s">
        <v>1464</v>
      </c>
      <c r="BH738" s="133" t="s">
        <v>480</v>
      </c>
      <c r="BI738" s="134" t="s">
        <v>486</v>
      </c>
      <c r="BJ738" s="135">
        <v>111000</v>
      </c>
      <c r="BK738" s="80"/>
      <c r="BL738" s="80"/>
      <c r="BM738" s="80"/>
      <c r="BN738" s="132"/>
      <c r="BO738" s="155"/>
      <c r="BP738" s="80"/>
      <c r="BQ738" s="80"/>
      <c r="BR738" s="80"/>
      <c r="BS738" s="80"/>
      <c r="BT738" s="80"/>
      <c r="BU738" s="80"/>
      <c r="BV738" s="3"/>
      <c r="BW738" s="3"/>
      <c r="BX738" s="3"/>
      <c r="BY738" s="3"/>
      <c r="BZ738" s="3"/>
      <c r="CA738" s="3"/>
      <c r="CB738" s="3"/>
      <c r="CC738" s="3"/>
      <c r="CD738" s="3"/>
      <c r="CE738" s="3"/>
      <c r="CF738" s="3"/>
      <c r="CG738" s="3"/>
      <c r="CH738" s="3"/>
      <c r="CI738" s="3"/>
      <c r="CJ738" s="3"/>
      <c r="CK738" s="3"/>
      <c r="CL738" s="3"/>
      <c r="CM738" s="3"/>
      <c r="CN738" s="3"/>
      <c r="CO738" s="3"/>
      <c r="CP738" s="3"/>
      <c r="CQ738" s="3"/>
      <c r="CR738" s="3"/>
      <c r="CS738" s="3"/>
      <c r="CT738" s="3"/>
      <c r="CU738" s="3"/>
      <c r="CV738" s="3"/>
      <c r="CW738" s="3"/>
      <c r="CX738" s="3"/>
      <c r="CY738" s="3"/>
      <c r="CZ738" s="3"/>
      <c r="DA738" s="3"/>
      <c r="DB738" s="3"/>
      <c r="DC738" s="3"/>
      <c r="DD738" s="3"/>
      <c r="DE738" s="3"/>
      <c r="DF738" s="3"/>
      <c r="DG738" s="3"/>
      <c r="DH738" s="3"/>
      <c r="DI738" s="3"/>
      <c r="DJ738" s="3"/>
      <c r="DK738" s="3"/>
      <c r="DL738" s="3"/>
      <c r="DM738" s="3"/>
      <c r="DN738" s="3"/>
      <c r="DO738" s="3"/>
      <c r="DP738" s="3"/>
      <c r="DQ738" s="3"/>
      <c r="DR738" s="3"/>
      <c r="DS738" s="3"/>
      <c r="DT738" s="3"/>
      <c r="DU738" s="3"/>
      <c r="DV738" s="3"/>
      <c r="DW738" s="3"/>
      <c r="DX738" s="3"/>
      <c r="DY738" s="3"/>
      <c r="DZ738" s="3"/>
      <c r="EA738" s="3"/>
      <c r="EB738" s="3"/>
      <c r="EC738" s="3"/>
      <c r="ED738" s="80"/>
      <c r="EE738" s="80"/>
      <c r="EF738" s="80"/>
      <c r="EG738" s="80"/>
      <c r="EH738" s="80"/>
      <c r="EI738" s="80"/>
      <c r="EJ738" s="80"/>
      <c r="EK738" s="80"/>
      <c r="EL738" s="3"/>
      <c r="EM738" s="3"/>
      <c r="EN738" s="3"/>
      <c r="EO738" s="3"/>
      <c r="EP738" s="3"/>
      <c r="EQ738" s="3"/>
      <c r="ER738" s="3"/>
      <c r="ES738" s="3"/>
      <c r="ET738" s="3"/>
      <c r="EU738" s="3"/>
      <c r="EV738" s="3"/>
      <c r="EW738" s="3"/>
      <c r="EX738" s="3"/>
      <c r="EY738" s="3"/>
      <c r="EZ738" s="3"/>
      <c r="FA738" s="3"/>
      <c r="FB738" s="3"/>
      <c r="FC738" s="3"/>
      <c r="FD738" s="3"/>
      <c r="FE738" s="3"/>
      <c r="FF738" s="3"/>
      <c r="FG738" s="3"/>
      <c r="FH738" s="3"/>
      <c r="FI738" s="3"/>
      <c r="FJ738" s="3"/>
      <c r="FK738" s="3"/>
      <c r="FL738" s="3"/>
      <c r="FM738" s="3"/>
      <c r="FN738" s="3"/>
      <c r="FO738" s="3"/>
      <c r="FP738" s="3"/>
      <c r="FQ738" s="3"/>
      <c r="FR738" s="3"/>
      <c r="FS738" s="3"/>
      <c r="FT738" s="3"/>
      <c r="FU738" s="3"/>
      <c r="FV738" s="3"/>
      <c r="FW738" s="3"/>
      <c r="FX738" s="3"/>
      <c r="FY738" s="3"/>
      <c r="FZ738" s="3"/>
      <c r="GA738" s="3"/>
      <c r="GB738" s="3"/>
      <c r="GC738" s="3"/>
      <c r="GD738" s="3"/>
      <c r="GE738" s="3"/>
      <c r="GF738" s="3"/>
      <c r="GG738" s="3"/>
      <c r="GH738" s="3"/>
      <c r="GI738" s="3"/>
      <c r="GJ738" s="3"/>
      <c r="GK738" s="3"/>
      <c r="GL738" s="3"/>
      <c r="GM738" s="3"/>
      <c r="GN738" s="3"/>
      <c r="GO738" s="3"/>
      <c r="GP738" s="3"/>
      <c r="GQ738" s="3"/>
      <c r="GR738" s="3"/>
      <c r="GS738" s="3"/>
      <c r="GT738" s="3"/>
      <c r="GU738" s="3"/>
      <c r="GV738" s="3"/>
      <c r="GW738" s="3"/>
      <c r="GX738" s="3"/>
      <c r="GY738" s="3"/>
      <c r="GZ738" s="3"/>
      <c r="HA738" s="3"/>
      <c r="HB738" s="3"/>
      <c r="HC738" s="3"/>
      <c r="HD738" s="3"/>
      <c r="HE738" s="3"/>
      <c r="HF738" s="3"/>
      <c r="HG738" s="3"/>
      <c r="HH738" s="3"/>
      <c r="HI738" s="3"/>
      <c r="HJ738" s="3"/>
      <c r="HK738" s="80"/>
      <c r="HL738" s="80"/>
      <c r="HM738" s="80"/>
      <c r="HN738" s="80"/>
      <c r="HO738" s="80"/>
      <c r="HP738" s="80"/>
      <c r="HQ738" s="80"/>
      <c r="HR738" s="80"/>
      <c r="HS738" s="132"/>
      <c r="HT738" s="80"/>
      <c r="HU738" s="80"/>
      <c r="HV738" s="80"/>
      <c r="HW738" s="80"/>
      <c r="HX738" s="80"/>
      <c r="HY738" s="80"/>
      <c r="HZ738" s="80"/>
      <c r="IA738" s="80"/>
      <c r="IB738" s="80"/>
      <c r="IC738" s="80"/>
      <c r="ID738" s="80"/>
      <c r="IE738" s="80"/>
      <c r="IF738" s="80"/>
      <c r="IG738" s="80"/>
      <c r="IH738" s="133" t="s">
        <v>1465</v>
      </c>
      <c r="II738" s="137" t="s">
        <v>492</v>
      </c>
      <c r="IJ738" s="156"/>
      <c r="IK738" s="157"/>
      <c r="IL738" s="80"/>
      <c r="IM738" s="80"/>
      <c r="IN738" s="132"/>
      <c r="IQ738" s="80"/>
      <c r="IR738" s="80"/>
      <c r="IS738" s="80"/>
      <c r="IT738" s="80"/>
      <c r="IU738" s="80"/>
      <c r="IV738" s="80"/>
      <c r="IW738" s="80"/>
      <c r="IX738" s="80"/>
      <c r="IY738" s="80"/>
      <c r="IZ738" s="80"/>
      <c r="JA738" s="80"/>
      <c r="JB738" s="80"/>
      <c r="JC738" s="80"/>
      <c r="JD738" s="80"/>
      <c r="JE738" s="80"/>
      <c r="JF738" s="80"/>
      <c r="JG738" s="80"/>
      <c r="JH738" s="80"/>
      <c r="JI738" s="80"/>
      <c r="JJ738" s="80"/>
      <c r="JK738" s="80"/>
      <c r="JL738" s="139" t="s">
        <v>495</v>
      </c>
      <c r="JM738" s="140" t="s">
        <v>1466</v>
      </c>
      <c r="JN738" s="140" t="s">
        <v>1467</v>
      </c>
      <c r="JO738" s="140" t="s">
        <v>1467</v>
      </c>
      <c r="JR738" s="80"/>
      <c r="JS738" s="80"/>
      <c r="JT738" s="80"/>
      <c r="JU738" s="80"/>
      <c r="JV738" s="80"/>
      <c r="JW738" s="80"/>
      <c r="JX738" s="80"/>
      <c r="JY738" s="141"/>
      <c r="JZ738" s="139"/>
      <c r="KA738" s="132"/>
      <c r="KB738" s="80"/>
      <c r="KC738" s="132"/>
      <c r="KD738" s="80"/>
      <c r="KE738" s="80"/>
      <c r="KF738" s="80"/>
      <c r="KG738" s="132"/>
      <c r="KH738" s="80"/>
      <c r="KI738" s="137"/>
      <c r="KJ738" s="158"/>
      <c r="KK738" s="80"/>
      <c r="KL738" s="80"/>
      <c r="KM738" s="80"/>
      <c r="KN738" s="80"/>
      <c r="KO738" s="132"/>
      <c r="KP738" s="80"/>
      <c r="KQ738" s="137"/>
      <c r="KR738" s="158"/>
      <c r="KS738" s="80"/>
      <c r="KT738" s="80"/>
      <c r="KU738" s="143"/>
      <c r="KV738" s="159"/>
      <c r="KW738" s="80"/>
      <c r="KX738" s="80"/>
      <c r="KY738" s="80"/>
      <c r="KZ738" s="3"/>
      <c r="LA738" s="3"/>
      <c r="LB738" s="3"/>
      <c r="LC738" s="3"/>
      <c r="LD738" s="3"/>
      <c r="LE738" s="3"/>
      <c r="LF738" s="3"/>
      <c r="LG738" s="3"/>
      <c r="LH738" s="132"/>
      <c r="LI738" s="132"/>
      <c r="LJ738" s="132"/>
      <c r="LK738" s="132"/>
      <c r="LL738" s="132"/>
      <c r="LM738" s="80"/>
      <c r="LN738" s="132"/>
      <c r="LO738" s="132"/>
      <c r="LP738" s="132"/>
      <c r="LQ738" s="80"/>
      <c r="LR738" s="80"/>
      <c r="LS738" s="80"/>
      <c r="LT738" s="80"/>
      <c r="LU738" s="80"/>
      <c r="LV738" s="80"/>
      <c r="LW738" s="80"/>
      <c r="LX738" s="80"/>
      <c r="LY738" s="80"/>
      <c r="LZ738" s="80"/>
      <c r="MA738" s="80"/>
      <c r="MB738" s="80"/>
      <c r="MC738" s="80"/>
      <c r="MD738" s="80"/>
      <c r="ME738" s="80"/>
      <c r="MF738" s="80"/>
      <c r="MG738" s="80"/>
      <c r="MH738" s="80"/>
      <c r="MI738" s="80"/>
      <c r="MJ738" s="80"/>
      <c r="MK738" s="80"/>
      <c r="ML738" s="80"/>
      <c r="MM738" s="80"/>
      <c r="MN738" s="80"/>
      <c r="MO738" s="80"/>
      <c r="MP738" s="80"/>
      <c r="MQ738" s="80"/>
      <c r="MR738" s="80"/>
      <c r="MS738" s="80"/>
      <c r="MT738" s="80"/>
      <c r="MU738" s="80"/>
      <c r="MV738" s="80"/>
      <c r="MW738" s="80"/>
      <c r="MX738" s="80"/>
      <c r="MY738" s="133" t="s">
        <v>1468</v>
      </c>
      <c r="MZ738" s="80">
        <v>64</v>
      </c>
      <c r="NA738" s="133" t="s">
        <v>1478</v>
      </c>
      <c r="NB738" s="144" t="s">
        <v>1479</v>
      </c>
      <c r="NC738" s="144" t="s">
        <v>1480</v>
      </c>
      <c r="ND738" s="144"/>
      <c r="NE738" s="144"/>
      <c r="NF738" s="144"/>
      <c r="NG738" s="144"/>
      <c r="NH738" s="144"/>
      <c r="NI738" s="133"/>
      <c r="NJ738" s="133" t="s">
        <v>1481</v>
      </c>
      <c r="NK738" s="133" t="s">
        <v>1478</v>
      </c>
      <c r="NL738" t="s">
        <v>946</v>
      </c>
      <c r="NM738" s="145" t="s">
        <v>516</v>
      </c>
      <c r="NN738" s="133"/>
      <c r="NO738" s="133"/>
      <c r="NP738" s="133"/>
      <c r="NQ738" s="133"/>
      <c r="NR738" s="133"/>
      <c r="NS738" s="133"/>
      <c r="NT738" s="133"/>
      <c r="NU738" s="133" t="s">
        <v>536</v>
      </c>
      <c r="NV738" s="146" t="s">
        <v>518</v>
      </c>
      <c r="NW738" s="86">
        <v>306.60000000000002</v>
      </c>
      <c r="NX738" s="146" t="s">
        <v>520</v>
      </c>
      <c r="NY738" s="86">
        <v>49.2</v>
      </c>
      <c r="NZ738" s="160"/>
      <c r="OA738" s="80"/>
      <c r="OB738" s="133">
        <v>4</v>
      </c>
      <c r="OC738" s="80"/>
      <c r="OD738" s="80"/>
      <c r="OE738" s="80"/>
      <c r="OF738" s="80"/>
      <c r="OG738" s="80"/>
      <c r="OH738" s="80"/>
      <c r="OI738" s="80"/>
      <c r="OJ738" s="80"/>
      <c r="OK738" s="80"/>
      <c r="OL738" s="80"/>
      <c r="OM738" s="144"/>
      <c r="ON738" s="144"/>
      <c r="OO738" s="144"/>
      <c r="OP738" s="144"/>
      <c r="OQ738" s="144"/>
      <c r="OR738" s="144"/>
      <c r="OS738" s="144"/>
      <c r="OT738" s="144"/>
      <c r="OU738" s="133" t="s">
        <v>1472</v>
      </c>
      <c r="OV738" s="80"/>
      <c r="OW738" s="80">
        <v>2007</v>
      </c>
      <c r="OX738" s="80"/>
      <c r="OY738" s="80"/>
      <c r="OZ738" s="80" t="s">
        <v>709</v>
      </c>
      <c r="PA738" s="80"/>
      <c r="PB738" t="s">
        <v>522</v>
      </c>
      <c r="PC738" s="50">
        <v>46134</v>
      </c>
      <c r="PD738" s="127"/>
    </row>
    <row r="739" spans="1:420" ht="15.75" thickBot="1">
      <c r="A739" t="s">
        <v>469</v>
      </c>
      <c r="B739" t="s">
        <v>1459</v>
      </c>
      <c r="C739" s="80" t="s">
        <v>667</v>
      </c>
      <c r="D739" s="132" t="s">
        <v>950</v>
      </c>
      <c r="E739" s="2" t="s">
        <v>1460</v>
      </c>
      <c r="F739" t="s">
        <v>1179</v>
      </c>
      <c r="G739" s="80" t="s">
        <v>475</v>
      </c>
      <c r="H739" s="132" t="s">
        <v>476</v>
      </c>
      <c r="I739">
        <v>-0.41666666699999999</v>
      </c>
      <c r="J739">
        <v>34.200000000000003</v>
      </c>
      <c r="K739" s="132">
        <v>100</v>
      </c>
      <c r="L739" s="2"/>
      <c r="M739" s="88"/>
      <c r="N739" s="2"/>
      <c r="O739" s="80"/>
      <c r="P739" s="2"/>
      <c r="Q739" s="2"/>
      <c r="R739" s="80"/>
      <c r="S739" s="80"/>
      <c r="T739" s="80"/>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c r="AV739" s="80" t="s">
        <v>1461</v>
      </c>
      <c r="AW739" s="80">
        <v>64</v>
      </c>
      <c r="AX739" s="80">
        <v>0.09</v>
      </c>
      <c r="AY739" s="80">
        <v>1</v>
      </c>
      <c r="AZ739" s="133" t="s">
        <v>1462</v>
      </c>
      <c r="BA739" s="133">
        <v>2007</v>
      </c>
      <c r="BB739" s="133">
        <v>2008</v>
      </c>
      <c r="BC739" s="133" t="s">
        <v>709</v>
      </c>
      <c r="BD739" s="2" t="s">
        <v>1473</v>
      </c>
      <c r="BE739" s="2" t="s">
        <v>536</v>
      </c>
      <c r="BF739" s="133" t="s">
        <v>484</v>
      </c>
      <c r="BG739" s="2" t="s">
        <v>1464</v>
      </c>
      <c r="BH739" s="133" t="s">
        <v>480</v>
      </c>
      <c r="BI739" s="134" t="s">
        <v>486</v>
      </c>
      <c r="BJ739" s="135">
        <v>55500</v>
      </c>
      <c r="BK739" s="2" t="s">
        <v>537</v>
      </c>
      <c r="BL739" t="s">
        <v>1474</v>
      </c>
      <c r="BM739" s="133" t="s">
        <v>480</v>
      </c>
      <c r="BN739" s="2" t="s">
        <v>486</v>
      </c>
      <c r="BO739" s="2">
        <v>55000</v>
      </c>
      <c r="BP739" s="2"/>
      <c r="BQ739" s="2"/>
      <c r="BR739" s="2"/>
      <c r="BS739" s="2"/>
      <c r="BT739" s="2"/>
      <c r="BU739" s="2"/>
      <c r="BV739" s="3"/>
      <c r="BW739" s="3"/>
      <c r="BX739" s="3"/>
      <c r="BY739" s="3"/>
      <c r="BZ739" s="3"/>
      <c r="CA739" s="3"/>
      <c r="CB739" s="3"/>
      <c r="CC739" s="3"/>
      <c r="CD739" s="3"/>
      <c r="CE739" s="3"/>
      <c r="CF739" s="3"/>
      <c r="CG739" s="3"/>
      <c r="CH739" s="3"/>
      <c r="CI739" s="3"/>
      <c r="CJ739" s="3"/>
      <c r="CK739" s="3"/>
      <c r="CL739" s="3"/>
      <c r="CM739" s="3"/>
      <c r="CN739" s="3"/>
      <c r="CO739" s="3"/>
      <c r="CP739" s="3"/>
      <c r="CQ739" s="3"/>
      <c r="CR739" s="3"/>
      <c r="CS739" s="3"/>
      <c r="CT739" s="3"/>
      <c r="CU739" s="3"/>
      <c r="CV739" s="3"/>
      <c r="CW739" s="3"/>
      <c r="CX739" s="3"/>
      <c r="CY739" s="3"/>
      <c r="CZ739" s="3"/>
      <c r="DA739" s="3"/>
      <c r="DB739" s="3"/>
      <c r="DC739" s="3"/>
      <c r="DD739" s="3"/>
      <c r="DE739" s="3"/>
      <c r="DF739" s="3"/>
      <c r="DG739" s="3"/>
      <c r="DH739" s="3"/>
      <c r="DI739" s="3"/>
      <c r="DJ739" s="3"/>
      <c r="DK739" s="3"/>
      <c r="DL739" s="3"/>
      <c r="DM739" s="3"/>
      <c r="DN739" s="3"/>
      <c r="DO739" s="3"/>
      <c r="DP739" s="3"/>
      <c r="DQ739" s="3"/>
      <c r="DR739" s="3"/>
      <c r="DS739" s="3"/>
      <c r="DT739" s="3"/>
      <c r="DU739" s="3"/>
      <c r="DV739" s="3"/>
      <c r="DW739" s="3"/>
      <c r="DX739" s="3"/>
      <c r="DY739" s="3"/>
      <c r="DZ739" s="3"/>
      <c r="EA739" s="3"/>
      <c r="EB739" s="3"/>
      <c r="EC739" s="3"/>
      <c r="ED739" s="2"/>
      <c r="EE739" s="2"/>
      <c r="EF739" s="2"/>
      <c r="EG739" s="2"/>
      <c r="EH739" s="2"/>
      <c r="EI739" s="2"/>
      <c r="EJ739" s="2"/>
      <c r="EK739" s="2"/>
      <c r="EL739" s="3"/>
      <c r="EM739" s="3"/>
      <c r="EN739" s="3"/>
      <c r="EO739" s="3"/>
      <c r="EP739" s="3"/>
      <c r="EQ739" s="3"/>
      <c r="ER739" s="3"/>
      <c r="ES739" s="3"/>
      <c r="ET739" s="3"/>
      <c r="EU739" s="3"/>
      <c r="EV739" s="3"/>
      <c r="EW739" s="3"/>
      <c r="EX739" s="3"/>
      <c r="EY739" s="3"/>
      <c r="EZ739" s="3"/>
      <c r="FA739" s="3"/>
      <c r="FB739" s="3"/>
      <c r="FC739" s="3"/>
      <c r="FD739" s="3"/>
      <c r="FE739" s="3"/>
      <c r="FF739" s="3"/>
      <c r="FG739" s="3"/>
      <c r="FH739" s="3"/>
      <c r="FI739" s="3"/>
      <c r="FJ739" s="3"/>
      <c r="FK739" s="3"/>
      <c r="FL739" s="3"/>
      <c r="FM739" s="3"/>
      <c r="FN739" s="3"/>
      <c r="FO739" s="3"/>
      <c r="FP739" s="3"/>
      <c r="FQ739" s="3"/>
      <c r="FR739" s="3"/>
      <c r="FS739" s="3"/>
      <c r="FT739" s="3"/>
      <c r="FU739" s="3"/>
      <c r="FV739" s="3"/>
      <c r="FW739" s="3"/>
      <c r="FX739" s="3"/>
      <c r="FY739" s="3"/>
      <c r="FZ739" s="3"/>
      <c r="GA739" s="3"/>
      <c r="GB739" s="3"/>
      <c r="GC739" s="3"/>
      <c r="GD739" s="3"/>
      <c r="GE739" s="3"/>
      <c r="GF739" s="3"/>
      <c r="GG739" s="3"/>
      <c r="GH739" s="3"/>
      <c r="GI739" s="3"/>
      <c r="GJ739" s="3"/>
      <c r="GK739" s="3"/>
      <c r="GL739" s="3"/>
      <c r="GM739" s="3"/>
      <c r="GN739" s="3"/>
      <c r="GO739" s="3"/>
      <c r="GP739" s="3"/>
      <c r="GQ739" s="3"/>
      <c r="GR739" s="3"/>
      <c r="GS739" s="3"/>
      <c r="GT739" s="3"/>
      <c r="GU739" s="3"/>
      <c r="GV739" s="3"/>
      <c r="GW739" s="3"/>
      <c r="GX739" s="3"/>
      <c r="GY739" s="3"/>
      <c r="GZ739" s="3"/>
      <c r="HA739" s="3"/>
      <c r="HB739" s="3"/>
      <c r="HC739" s="3"/>
      <c r="HD739" s="3"/>
      <c r="HE739" s="3"/>
      <c r="HF739" s="3"/>
      <c r="HG739" s="3"/>
      <c r="HH739" s="3"/>
      <c r="HI739" s="3"/>
      <c r="HJ739" s="3"/>
      <c r="HK739" s="2"/>
      <c r="HL739" s="2"/>
      <c r="HM739" s="2"/>
      <c r="HN739" s="2"/>
      <c r="HO739" s="2"/>
      <c r="HP739" s="2"/>
      <c r="HQ739" s="2"/>
      <c r="HR739" s="2"/>
      <c r="HS739" s="88"/>
      <c r="HT739" s="2"/>
      <c r="HU739" s="2"/>
      <c r="HV739" s="2"/>
      <c r="HW739" s="2"/>
      <c r="HX739" s="2"/>
      <c r="HY739" s="2"/>
      <c r="HZ739" s="2"/>
      <c r="IA739" s="2"/>
      <c r="IB739" s="2"/>
      <c r="IC739" s="2"/>
      <c r="ID739" s="2"/>
      <c r="IE739" s="2"/>
      <c r="IF739" s="2"/>
      <c r="IG739" s="2"/>
      <c r="IH739" s="133" t="s">
        <v>1465</v>
      </c>
      <c r="II739" s="75" t="s">
        <v>929</v>
      </c>
      <c r="IJ739" s="149" t="s">
        <v>983</v>
      </c>
      <c r="IK739" s="150" t="s">
        <v>543</v>
      </c>
      <c r="IL739" s="2">
        <v>2007</v>
      </c>
      <c r="IM739" s="2" t="s">
        <v>692</v>
      </c>
      <c r="IN739" s="2" t="s">
        <v>480</v>
      </c>
      <c r="IQ739" s="2"/>
      <c r="IR739" s="2"/>
      <c r="IS739" s="2"/>
      <c r="IT739" s="2"/>
      <c r="IU739" s="2"/>
      <c r="IV739" s="2"/>
      <c r="IW739" s="2"/>
      <c r="IX739" s="2"/>
      <c r="IY739" s="2"/>
      <c r="IZ739" s="2"/>
      <c r="JA739" s="2"/>
      <c r="JB739" s="2"/>
      <c r="JC739" s="2"/>
      <c r="JD739" s="2"/>
      <c r="JE739" s="2"/>
      <c r="JF739" s="2"/>
      <c r="JG739" s="2"/>
      <c r="JH739" s="2"/>
      <c r="JI739" s="2"/>
      <c r="JJ739" s="2"/>
      <c r="JK739" s="2"/>
      <c r="JL739" s="139" t="s">
        <v>495</v>
      </c>
      <c r="JM739" s="140" t="s">
        <v>1466</v>
      </c>
      <c r="JN739" s="140" t="s">
        <v>1467</v>
      </c>
      <c r="JO739" s="140" t="s">
        <v>1467</v>
      </c>
      <c r="JR739" s="2"/>
      <c r="JS739" s="2"/>
      <c r="JT739" s="2"/>
      <c r="JU739" s="2"/>
      <c r="JV739" s="2"/>
      <c r="JW739" s="2"/>
      <c r="JX739" s="2"/>
      <c r="JY739" s="141"/>
      <c r="JZ739" s="151"/>
      <c r="KA739" s="88"/>
      <c r="KB739" s="2"/>
      <c r="KC739" s="88"/>
      <c r="KD739" s="2"/>
      <c r="KE739" s="2"/>
      <c r="KF739" s="2"/>
      <c r="KG739" s="88"/>
      <c r="KH739" s="2"/>
      <c r="KI739" s="148"/>
      <c r="KJ739" s="152"/>
      <c r="KK739" s="2"/>
      <c r="KL739" s="2"/>
      <c r="KM739" s="2"/>
      <c r="KN739" s="2"/>
      <c r="KO739" s="88"/>
      <c r="KP739" s="2"/>
      <c r="KQ739" s="148"/>
      <c r="KR739" s="152"/>
      <c r="KS739" s="2"/>
      <c r="KT739" s="2"/>
      <c r="KU739" s="143"/>
      <c r="KV739" s="161"/>
      <c r="KW739" s="2"/>
      <c r="KX739" s="2"/>
      <c r="KY739" s="2"/>
      <c r="KZ739" s="3"/>
      <c r="LA739" s="3"/>
      <c r="LB739" s="3"/>
      <c r="LC739" s="3"/>
      <c r="LD739" s="3"/>
      <c r="LE739" s="3"/>
      <c r="LF739" s="3"/>
      <c r="LG739" s="3"/>
      <c r="LH739" s="88"/>
      <c r="LI739" s="88"/>
      <c r="LJ739" s="88"/>
      <c r="LK739" s="88"/>
      <c r="LL739" s="88"/>
      <c r="LM739" s="2"/>
      <c r="LN739" s="88"/>
      <c r="LO739" s="88"/>
      <c r="LP739" s="88"/>
      <c r="LQ739" s="2"/>
      <c r="LR739" s="2"/>
      <c r="LS739" s="2"/>
      <c r="LT739" s="2"/>
      <c r="LU739" s="2"/>
      <c r="LV739" s="2"/>
      <c r="LW739" s="2"/>
      <c r="LX739" s="2"/>
      <c r="LY739" s="2"/>
      <c r="LZ739" s="2"/>
      <c r="MA739" s="2"/>
      <c r="MB739" s="2"/>
      <c r="MC739" s="2"/>
      <c r="MD739" s="2"/>
      <c r="ME739" s="2"/>
      <c r="MF739" s="2"/>
      <c r="MG739" s="2"/>
      <c r="MH739" s="2"/>
      <c r="MI739" s="2"/>
      <c r="MJ739" s="2"/>
      <c r="MK739" s="2"/>
      <c r="ML739" s="2"/>
      <c r="MM739" s="2"/>
      <c r="MN739" s="2"/>
      <c r="MO739" s="2"/>
      <c r="MP739" s="2"/>
      <c r="MQ739" s="2"/>
      <c r="MR739" s="2"/>
      <c r="MS739" s="2"/>
      <c r="MT739" s="2"/>
      <c r="MU739" s="2"/>
      <c r="MV739" s="2"/>
      <c r="MW739" s="2"/>
      <c r="MX739" s="2"/>
      <c r="MY739" s="133" t="s">
        <v>1468</v>
      </c>
      <c r="MZ739" s="80">
        <v>64</v>
      </c>
      <c r="NA739" s="133" t="s">
        <v>1478</v>
      </c>
      <c r="NB739" s="144" t="s">
        <v>1479</v>
      </c>
      <c r="NC739" s="144" t="s">
        <v>1480</v>
      </c>
      <c r="ND739" s="144" t="s">
        <v>1482</v>
      </c>
      <c r="NE739" s="144"/>
      <c r="NF739" s="144"/>
      <c r="NG739" s="144"/>
      <c r="NH739" s="144"/>
      <c r="NI739" s="133"/>
      <c r="NJ739" s="133" t="s">
        <v>1481</v>
      </c>
      <c r="NK739" s="133" t="s">
        <v>1478</v>
      </c>
      <c r="NL739" t="s">
        <v>946</v>
      </c>
      <c r="NM739" s="145" t="s">
        <v>516</v>
      </c>
      <c r="NN739" s="133"/>
      <c r="NO739" s="133"/>
      <c r="NP739" s="133"/>
      <c r="NQ739" s="133"/>
      <c r="NR739" s="133"/>
      <c r="NS739" s="133"/>
      <c r="NT739" s="133"/>
      <c r="NU739" s="133"/>
      <c r="NV739" s="146" t="s">
        <v>518</v>
      </c>
      <c r="NW739" s="153">
        <v>1324.7</v>
      </c>
      <c r="NX739" s="146" t="s">
        <v>520</v>
      </c>
      <c r="NY739" s="153">
        <v>77.400000000000006</v>
      </c>
      <c r="NZ739" s="154"/>
      <c r="OA739" s="2"/>
      <c r="OB739" s="133">
        <v>4</v>
      </c>
      <c r="OC739" s="2"/>
      <c r="OD739" s="2"/>
      <c r="OE739" s="2"/>
      <c r="OF739" s="2"/>
      <c r="OG739" s="2"/>
      <c r="OH739" s="2"/>
      <c r="OI739" s="2"/>
      <c r="OJ739" s="2"/>
      <c r="OK739" s="2"/>
      <c r="OL739" s="2"/>
      <c r="OU739" s="133" t="s">
        <v>1472</v>
      </c>
      <c r="OV739" s="2"/>
      <c r="OW739" s="2">
        <v>2007</v>
      </c>
      <c r="OX739" s="2"/>
      <c r="OY739" s="2"/>
      <c r="OZ739" s="2" t="s">
        <v>709</v>
      </c>
      <c r="PA739" s="2"/>
      <c r="PB739" t="s">
        <v>522</v>
      </c>
      <c r="PC739" s="50">
        <v>46134</v>
      </c>
      <c r="PD739" s="127"/>
    </row>
    <row r="740" spans="1:420" ht="15.75" thickBot="1">
      <c r="A740" t="s">
        <v>469</v>
      </c>
      <c r="B740" t="s">
        <v>1459</v>
      </c>
      <c r="C740" s="80" t="s">
        <v>667</v>
      </c>
      <c r="D740" s="132" t="s">
        <v>950</v>
      </c>
      <c r="E740" s="2" t="s">
        <v>1460</v>
      </c>
      <c r="F740" t="s">
        <v>1179</v>
      </c>
      <c r="G740" s="80" t="s">
        <v>475</v>
      </c>
      <c r="H740" s="132" t="s">
        <v>476</v>
      </c>
      <c r="I740">
        <v>-0.41666666699999999</v>
      </c>
      <c r="J740">
        <v>34.200000000000003</v>
      </c>
      <c r="K740" s="132">
        <v>100</v>
      </c>
      <c r="L740" s="80"/>
      <c r="M740" s="132"/>
      <c r="N740" s="80"/>
      <c r="O740" s="80"/>
      <c r="P740" s="80"/>
      <c r="Q740" s="80"/>
      <c r="R740" s="80"/>
      <c r="S740" s="80"/>
      <c r="T740" s="80"/>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c r="AV740" s="80" t="s">
        <v>1461</v>
      </c>
      <c r="AW740" s="80">
        <v>64</v>
      </c>
      <c r="AX740" s="80">
        <v>0.09</v>
      </c>
      <c r="AY740" s="80">
        <v>1</v>
      </c>
      <c r="AZ740" s="133" t="s">
        <v>1462</v>
      </c>
      <c r="BA740" s="133">
        <v>2007</v>
      </c>
      <c r="BB740" s="133">
        <v>2008</v>
      </c>
      <c r="BC740" s="133" t="s">
        <v>692</v>
      </c>
      <c r="BD740" s="133" t="s">
        <v>1463</v>
      </c>
      <c r="BE740" s="133" t="s">
        <v>524</v>
      </c>
      <c r="BF740" s="133" t="s">
        <v>484</v>
      </c>
      <c r="BG740" s="133" t="s">
        <v>1464</v>
      </c>
      <c r="BH740" s="133" t="s">
        <v>480</v>
      </c>
      <c r="BI740" s="134" t="s">
        <v>486</v>
      </c>
      <c r="BJ740" s="135">
        <v>111000</v>
      </c>
      <c r="BK740" s="80"/>
      <c r="BL740" s="80"/>
      <c r="BM740" s="80"/>
      <c r="BN740" s="132"/>
      <c r="BO740" s="155"/>
      <c r="BP740" s="80"/>
      <c r="BQ740" s="80"/>
      <c r="BR740" s="80"/>
      <c r="BS740" s="132"/>
      <c r="BT740" s="155"/>
      <c r="BU740" s="80"/>
      <c r="BV740" s="3"/>
      <c r="BW740" s="3"/>
      <c r="BX740" s="3"/>
      <c r="BY740" s="3"/>
      <c r="BZ740" s="3"/>
      <c r="CA740" s="3"/>
      <c r="CB740" s="3"/>
      <c r="CC740" s="3"/>
      <c r="CD740" s="3"/>
      <c r="CE740" s="3"/>
      <c r="CF740" s="3"/>
      <c r="CG740" s="3"/>
      <c r="CH740" s="3"/>
      <c r="CI740" s="3"/>
      <c r="CJ740" s="3"/>
      <c r="CK740" s="3"/>
      <c r="CL740" s="3"/>
      <c r="CM740" s="3"/>
      <c r="CN740" s="3"/>
      <c r="CO740" s="3"/>
      <c r="CP740" s="3"/>
      <c r="CQ740" s="3"/>
      <c r="CR740" s="3"/>
      <c r="CS740" s="3"/>
      <c r="CT740" s="3"/>
      <c r="CU740" s="3"/>
      <c r="CV740" s="3"/>
      <c r="CW740" s="3"/>
      <c r="CX740" s="3"/>
      <c r="CY740" s="3"/>
      <c r="CZ740" s="3"/>
      <c r="DA740" s="3"/>
      <c r="DB740" s="3"/>
      <c r="DC740" s="3"/>
      <c r="DD740" s="3"/>
      <c r="DE740" s="3"/>
      <c r="DF740" s="3"/>
      <c r="DG740" s="3"/>
      <c r="DH740" s="3"/>
      <c r="DI740" s="3"/>
      <c r="DJ740" s="3"/>
      <c r="DK740" s="3"/>
      <c r="DL740" s="3"/>
      <c r="DM740" s="3"/>
      <c r="DN740" s="3"/>
      <c r="DO740" s="3"/>
      <c r="DP740" s="3"/>
      <c r="DQ740" s="3"/>
      <c r="DR740" s="3"/>
      <c r="DS740" s="3"/>
      <c r="DT740" s="3"/>
      <c r="DU740" s="3"/>
      <c r="DV740" s="3"/>
      <c r="DW740" s="3"/>
      <c r="DX740" s="3"/>
      <c r="DY740" s="3"/>
      <c r="DZ740" s="3"/>
      <c r="EA740" s="3"/>
      <c r="EB740" s="3"/>
      <c r="EC740" s="3"/>
      <c r="ED740" s="80"/>
      <c r="EE740" s="80"/>
      <c r="EF740" s="80"/>
      <c r="EG740" s="80"/>
      <c r="EH740" s="80"/>
      <c r="EI740" s="80"/>
      <c r="EJ740" s="80"/>
      <c r="EK740" s="80"/>
      <c r="EL740" s="3"/>
      <c r="EM740" s="3"/>
      <c r="EN740" s="3"/>
      <c r="EO740" s="3"/>
      <c r="EP740" s="3"/>
      <c r="EQ740" s="3"/>
      <c r="ER740" s="3"/>
      <c r="ES740" s="3"/>
      <c r="ET740" s="3"/>
      <c r="EU740" s="3"/>
      <c r="EV740" s="3"/>
      <c r="EW740" s="3"/>
      <c r="EX740" s="3"/>
      <c r="EY740" s="3"/>
      <c r="EZ740" s="3"/>
      <c r="FA740" s="3"/>
      <c r="FB740" s="3"/>
      <c r="FC740" s="3"/>
      <c r="FD740" s="3"/>
      <c r="FE740" s="3"/>
      <c r="FF740" s="3"/>
      <c r="FG740" s="3"/>
      <c r="FH740" s="3"/>
      <c r="FI740" s="3"/>
      <c r="FJ740" s="3"/>
      <c r="FK740" s="3"/>
      <c r="FL740" s="3"/>
      <c r="FM740" s="3"/>
      <c r="FN740" s="3"/>
      <c r="FO740" s="3"/>
      <c r="FP740" s="3"/>
      <c r="FQ740" s="3"/>
      <c r="FR740" s="3"/>
      <c r="FS740" s="3"/>
      <c r="FT740" s="3"/>
      <c r="FU740" s="3"/>
      <c r="FV740" s="3"/>
      <c r="FW740" s="3"/>
      <c r="FX740" s="3"/>
      <c r="FY740" s="3"/>
      <c r="FZ740" s="3"/>
      <c r="GA740" s="3"/>
      <c r="GB740" s="3"/>
      <c r="GC740" s="3"/>
      <c r="GD740" s="3"/>
      <c r="GE740" s="3"/>
      <c r="GF740" s="3"/>
      <c r="GG740" s="3"/>
      <c r="GH740" s="3"/>
      <c r="GI740" s="3"/>
      <c r="GJ740" s="3"/>
      <c r="GK740" s="3"/>
      <c r="GL740" s="3"/>
      <c r="GM740" s="3"/>
      <c r="GN740" s="3"/>
      <c r="GO740" s="3"/>
      <c r="GP740" s="3"/>
      <c r="GQ740" s="3"/>
      <c r="GR740" s="3"/>
      <c r="GS740" s="3"/>
      <c r="GT740" s="3"/>
      <c r="GU740" s="3"/>
      <c r="GV740" s="3"/>
      <c r="GW740" s="3"/>
      <c r="GX740" s="3"/>
      <c r="GY740" s="3"/>
      <c r="GZ740" s="3"/>
      <c r="HA740" s="3"/>
      <c r="HB740" s="3"/>
      <c r="HC740" s="3"/>
      <c r="HD740" s="3"/>
      <c r="HE740" s="3"/>
      <c r="HF740" s="3"/>
      <c r="HG740" s="3"/>
      <c r="HH740" s="3"/>
      <c r="HI740" s="3"/>
      <c r="HJ740" s="3"/>
      <c r="HK740" s="80"/>
      <c r="HL740" s="80"/>
      <c r="HM740" s="80"/>
      <c r="HN740" s="80"/>
      <c r="HO740" s="80"/>
      <c r="HP740" s="80"/>
      <c r="HQ740" s="80"/>
      <c r="HR740" s="80"/>
      <c r="HS740" s="132"/>
      <c r="HT740" s="80"/>
      <c r="HU740" s="80"/>
      <c r="HV740" s="80"/>
      <c r="HW740" s="80"/>
      <c r="HX740" s="80"/>
      <c r="HY740" s="80"/>
      <c r="HZ740" s="80"/>
      <c r="IA740" s="80"/>
      <c r="IB740" s="80"/>
      <c r="IC740" s="80"/>
      <c r="ID740" s="80"/>
      <c r="IE740" s="80"/>
      <c r="IF740" s="80"/>
      <c r="IG740" s="80"/>
      <c r="IH740" s="133" t="s">
        <v>1465</v>
      </c>
      <c r="II740" s="137" t="s">
        <v>492</v>
      </c>
      <c r="IJ740" s="80"/>
      <c r="IK740" s="80"/>
      <c r="IL740" s="80"/>
      <c r="IM740" s="80"/>
      <c r="IN740" s="80"/>
      <c r="IQ740" s="80"/>
      <c r="IR740" s="80"/>
      <c r="IS740" s="80"/>
      <c r="IT740" s="80"/>
      <c r="IU740" s="80"/>
      <c r="IV740" s="80"/>
      <c r="IW740" s="132"/>
      <c r="IX740" s="80"/>
      <c r="IY740" s="80"/>
      <c r="IZ740" s="80"/>
      <c r="JA740" s="80"/>
      <c r="JB740" s="80"/>
      <c r="JC740" s="80"/>
      <c r="JD740" s="80"/>
      <c r="JE740" s="80"/>
      <c r="JF740" s="80"/>
      <c r="JG740" s="80"/>
      <c r="JH740" s="80"/>
      <c r="JI740" s="80"/>
      <c r="JJ740" s="80"/>
      <c r="JK740" s="80"/>
      <c r="JL740" s="139" t="s">
        <v>495</v>
      </c>
      <c r="JM740" s="140" t="s">
        <v>1466</v>
      </c>
      <c r="JN740" s="140" t="s">
        <v>1467</v>
      </c>
      <c r="JO740" s="140" t="s">
        <v>1467</v>
      </c>
      <c r="JR740" s="80"/>
      <c r="JS740" s="80"/>
      <c r="JT740" s="80"/>
      <c r="JU740" s="80"/>
      <c r="JV740" s="80"/>
      <c r="JW740" s="80"/>
      <c r="JX740" s="80"/>
      <c r="JY740" s="141"/>
      <c r="JZ740" s="139"/>
      <c r="KA740" s="132"/>
      <c r="KB740" s="80"/>
      <c r="KC740" s="132"/>
      <c r="KD740" s="80"/>
      <c r="KE740" s="80"/>
      <c r="KF740" s="80"/>
      <c r="KG740" s="132"/>
      <c r="KH740" s="80"/>
      <c r="KI740" s="137"/>
      <c r="KJ740" s="158"/>
      <c r="KK740" s="80"/>
      <c r="KL740" s="80"/>
      <c r="KM740" s="80"/>
      <c r="KN740" s="80"/>
      <c r="KO740" s="132"/>
      <c r="KP740" s="80"/>
      <c r="KQ740" s="162"/>
      <c r="KR740" s="139"/>
      <c r="KS740" s="80"/>
      <c r="KT740" s="80"/>
      <c r="KU740" s="143"/>
      <c r="KV740" s="158"/>
      <c r="KW740" s="80"/>
      <c r="KX740" s="80"/>
      <c r="KY740" s="80"/>
      <c r="KZ740" s="3"/>
      <c r="LA740" s="3"/>
      <c r="LB740" s="3"/>
      <c r="LC740" s="3"/>
      <c r="LD740" s="3"/>
      <c r="LE740" s="3"/>
      <c r="LF740" s="3"/>
      <c r="LG740" s="3"/>
      <c r="LH740" s="132"/>
      <c r="LI740" s="132"/>
      <c r="LJ740" s="132"/>
      <c r="LK740" s="132"/>
      <c r="LL740" s="132"/>
      <c r="LM740" s="80"/>
      <c r="LN740" s="132"/>
      <c r="LO740" s="132"/>
      <c r="LP740" s="132"/>
      <c r="LQ740" s="80"/>
      <c r="LR740" s="80"/>
      <c r="LS740" s="80"/>
      <c r="LT740" s="80"/>
      <c r="LU740" s="80"/>
      <c r="LV740" s="80"/>
      <c r="LW740" s="80"/>
      <c r="LX740" s="80"/>
      <c r="LY740" s="80"/>
      <c r="LZ740" s="80"/>
      <c r="MA740" s="80"/>
      <c r="MB740" s="80"/>
      <c r="MC740" s="80"/>
      <c r="MD740" s="80"/>
      <c r="ME740" s="80"/>
      <c r="MF740" s="80"/>
      <c r="MG740" s="80"/>
      <c r="MH740" s="80"/>
      <c r="MI740" s="80"/>
      <c r="MJ740" s="80"/>
      <c r="MK740" s="80"/>
      <c r="ML740" s="80"/>
      <c r="MM740" s="80"/>
      <c r="MN740" s="80"/>
      <c r="MO740" s="80"/>
      <c r="MP740" s="80"/>
      <c r="MQ740" s="80"/>
      <c r="MR740" s="80"/>
      <c r="MS740" s="80"/>
      <c r="MT740" s="80"/>
      <c r="MU740" s="80"/>
      <c r="MV740" s="80"/>
      <c r="MW740" s="80"/>
      <c r="MX740" s="80"/>
      <c r="MY740" s="133" t="s">
        <v>1468</v>
      </c>
      <c r="MZ740" s="80">
        <v>64</v>
      </c>
      <c r="NA740" s="133" t="s">
        <v>1478</v>
      </c>
      <c r="NB740" s="144" t="s">
        <v>1479</v>
      </c>
      <c r="NC740" s="144" t="s">
        <v>1480</v>
      </c>
      <c r="ND740" s="144"/>
      <c r="NE740" s="144"/>
      <c r="NF740" s="144"/>
      <c r="NG740" s="144"/>
      <c r="NH740" s="144"/>
      <c r="NI740" s="133"/>
      <c r="NJ740" s="133" t="s">
        <v>1481</v>
      </c>
      <c r="NK740" s="133" t="s">
        <v>1478</v>
      </c>
      <c r="NL740" t="s">
        <v>946</v>
      </c>
      <c r="NM740" s="145" t="s">
        <v>516</v>
      </c>
      <c r="NN740" s="133"/>
      <c r="NO740" s="133"/>
      <c r="NP740" s="133"/>
      <c r="NQ740" s="133"/>
      <c r="NR740" s="133"/>
      <c r="NS740" s="133"/>
      <c r="NT740" s="133"/>
      <c r="NU740" s="133" t="s">
        <v>536</v>
      </c>
      <c r="NV740" s="146" t="s">
        <v>518</v>
      </c>
      <c r="NW740" s="86">
        <v>467.9</v>
      </c>
      <c r="NX740" s="146" t="s">
        <v>520</v>
      </c>
      <c r="NY740" s="86">
        <v>70.7</v>
      </c>
      <c r="NZ740" s="160"/>
      <c r="OA740" s="80"/>
      <c r="OB740" s="133">
        <v>4</v>
      </c>
      <c r="OC740" s="80"/>
      <c r="OD740" s="80"/>
      <c r="OE740" s="80"/>
      <c r="OF740" s="80"/>
      <c r="OG740" s="80"/>
      <c r="OH740" s="80"/>
      <c r="OI740" s="80"/>
      <c r="OJ740" s="80"/>
      <c r="OK740" s="80"/>
      <c r="OL740" s="80"/>
      <c r="OM740" s="144"/>
      <c r="ON740" s="144"/>
      <c r="OO740" s="144"/>
      <c r="OP740" s="144"/>
      <c r="OQ740" s="144"/>
      <c r="OR740" s="144"/>
      <c r="OS740" s="144"/>
      <c r="OT740" s="144"/>
      <c r="OU740" s="133" t="s">
        <v>1472</v>
      </c>
      <c r="OV740" s="80"/>
      <c r="OW740" s="80">
        <v>2008</v>
      </c>
      <c r="OX740" s="80"/>
      <c r="OY740" s="80"/>
      <c r="OZ740" s="133" t="s">
        <v>692</v>
      </c>
      <c r="PA740" s="80"/>
      <c r="PB740" t="s">
        <v>522</v>
      </c>
      <c r="PC740" s="50">
        <v>46134</v>
      </c>
      <c r="PD740" s="127"/>
    </row>
    <row r="741" spans="1:420" ht="15.75" thickBot="1">
      <c r="A741" t="s">
        <v>469</v>
      </c>
      <c r="B741" t="s">
        <v>1459</v>
      </c>
      <c r="C741" s="80" t="s">
        <v>667</v>
      </c>
      <c r="D741" s="132" t="s">
        <v>950</v>
      </c>
      <c r="E741" s="2" t="s">
        <v>1460</v>
      </c>
      <c r="F741" t="s">
        <v>1179</v>
      </c>
      <c r="G741" s="80" t="s">
        <v>475</v>
      </c>
      <c r="H741" s="132" t="s">
        <v>476</v>
      </c>
      <c r="I741">
        <v>-0.41666666699999999</v>
      </c>
      <c r="J741">
        <v>34.200000000000003</v>
      </c>
      <c r="K741" s="132">
        <v>100</v>
      </c>
      <c r="L741" s="2"/>
      <c r="M741" s="88"/>
      <c r="N741" s="2"/>
      <c r="O741" s="80"/>
      <c r="P741" s="2"/>
      <c r="Q741" s="2"/>
      <c r="R741" s="80"/>
      <c r="S741" s="80"/>
      <c r="T741" s="80"/>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c r="AV741" s="80" t="s">
        <v>1461</v>
      </c>
      <c r="AW741" s="80">
        <v>64</v>
      </c>
      <c r="AX741" s="80">
        <v>0.09</v>
      </c>
      <c r="AY741" s="80">
        <v>1</v>
      </c>
      <c r="AZ741" s="133" t="s">
        <v>1462</v>
      </c>
      <c r="BA741" s="133">
        <v>2007</v>
      </c>
      <c r="BB741" s="133">
        <v>2008</v>
      </c>
      <c r="BC741" s="133" t="s">
        <v>692</v>
      </c>
      <c r="BD741" s="2" t="s">
        <v>1473</v>
      </c>
      <c r="BE741" s="2" t="s">
        <v>536</v>
      </c>
      <c r="BF741" s="133" t="s">
        <v>484</v>
      </c>
      <c r="BG741" s="2" t="s">
        <v>1464</v>
      </c>
      <c r="BH741" s="133" t="s">
        <v>480</v>
      </c>
      <c r="BI741" s="134" t="s">
        <v>486</v>
      </c>
      <c r="BJ741" s="135">
        <v>55500</v>
      </c>
      <c r="BK741" s="2" t="s">
        <v>537</v>
      </c>
      <c r="BL741" t="s">
        <v>1474</v>
      </c>
      <c r="BM741" s="133" t="s">
        <v>480</v>
      </c>
      <c r="BN741" s="2" t="s">
        <v>486</v>
      </c>
      <c r="BO741" s="2">
        <v>55000</v>
      </c>
      <c r="BP741" s="2"/>
      <c r="BQ741" s="2"/>
      <c r="BR741" s="2"/>
      <c r="BS741" s="88"/>
      <c r="BT741" s="2"/>
      <c r="BU741" s="2"/>
      <c r="BV741" s="3"/>
      <c r="BW741" s="3"/>
      <c r="BX741" s="3"/>
      <c r="BY741" s="3"/>
      <c r="BZ741" s="3"/>
      <c r="CA741" s="3"/>
      <c r="CB741" s="3"/>
      <c r="CC741" s="3"/>
      <c r="CD741" s="3"/>
      <c r="CE741" s="3"/>
      <c r="CF741" s="3"/>
      <c r="CG741" s="3"/>
      <c r="CH741" s="3"/>
      <c r="CI741" s="3"/>
      <c r="CJ741" s="3"/>
      <c r="CK741" s="3"/>
      <c r="CL741" s="3"/>
      <c r="CM741" s="3"/>
      <c r="CN741" s="3"/>
      <c r="CO741" s="3"/>
      <c r="CP741" s="3"/>
      <c r="CQ741" s="3"/>
      <c r="CR741" s="3"/>
      <c r="CS741" s="3"/>
      <c r="CT741" s="3"/>
      <c r="CU741" s="3"/>
      <c r="CV741" s="3"/>
      <c r="CW741" s="3"/>
      <c r="CX741" s="3"/>
      <c r="CY741" s="3"/>
      <c r="CZ741" s="3"/>
      <c r="DA741" s="3"/>
      <c r="DB741" s="3"/>
      <c r="DC741" s="3"/>
      <c r="DD741" s="3"/>
      <c r="DE741" s="3"/>
      <c r="DF741" s="3"/>
      <c r="DG741" s="3"/>
      <c r="DH741" s="3"/>
      <c r="DI741" s="3"/>
      <c r="DJ741" s="3"/>
      <c r="DK741" s="3"/>
      <c r="DL741" s="3"/>
      <c r="DM741" s="3"/>
      <c r="DN741" s="3"/>
      <c r="DO741" s="3"/>
      <c r="DP741" s="3"/>
      <c r="DQ741" s="3"/>
      <c r="DR741" s="3"/>
      <c r="DS741" s="3"/>
      <c r="DT741" s="3"/>
      <c r="DU741" s="3"/>
      <c r="DV741" s="3"/>
      <c r="DW741" s="3"/>
      <c r="DX741" s="3"/>
      <c r="DY741" s="3"/>
      <c r="DZ741" s="3"/>
      <c r="EA741" s="3"/>
      <c r="EB741" s="3"/>
      <c r="EC741" s="3"/>
      <c r="ED741" s="2"/>
      <c r="EE741" s="2"/>
      <c r="EF741" s="2"/>
      <c r="EG741" s="2"/>
      <c r="EH741" s="2"/>
      <c r="EI741" s="2"/>
      <c r="EJ741" s="2"/>
      <c r="EK741" s="2"/>
      <c r="EL741" s="3"/>
      <c r="EM741" s="3"/>
      <c r="EN741" s="3"/>
      <c r="EO741" s="3"/>
      <c r="EP741" s="3"/>
      <c r="EQ741" s="3"/>
      <c r="ER741" s="3"/>
      <c r="ES741" s="3"/>
      <c r="ET741" s="3"/>
      <c r="EU741" s="3"/>
      <c r="EV741" s="3"/>
      <c r="EW741" s="3"/>
      <c r="EX741" s="3"/>
      <c r="EY741" s="3"/>
      <c r="EZ741" s="3"/>
      <c r="FA741" s="3"/>
      <c r="FB741" s="3"/>
      <c r="FC741" s="3"/>
      <c r="FD741" s="3"/>
      <c r="FE741" s="3"/>
      <c r="FF741" s="3"/>
      <c r="FG741" s="3"/>
      <c r="FH741" s="3"/>
      <c r="FI741" s="3"/>
      <c r="FJ741" s="3"/>
      <c r="FK741" s="3"/>
      <c r="FL741" s="3"/>
      <c r="FM741" s="3"/>
      <c r="FN741" s="3"/>
      <c r="FO741" s="3"/>
      <c r="FP741" s="3"/>
      <c r="FQ741" s="3"/>
      <c r="FR741" s="3"/>
      <c r="FS741" s="3"/>
      <c r="FT741" s="3"/>
      <c r="FU741" s="3"/>
      <c r="FV741" s="3"/>
      <c r="FW741" s="3"/>
      <c r="FX741" s="3"/>
      <c r="FY741" s="3"/>
      <c r="FZ741" s="3"/>
      <c r="GA741" s="3"/>
      <c r="GB741" s="3"/>
      <c r="GC741" s="3"/>
      <c r="GD741" s="3"/>
      <c r="GE741" s="3"/>
      <c r="GF741" s="3"/>
      <c r="GG741" s="3"/>
      <c r="GH741" s="3"/>
      <c r="GI741" s="3"/>
      <c r="GJ741" s="3"/>
      <c r="GK741" s="3"/>
      <c r="GL741" s="3"/>
      <c r="GM741" s="3"/>
      <c r="GN741" s="3"/>
      <c r="GO741" s="3"/>
      <c r="GP741" s="3"/>
      <c r="GQ741" s="3"/>
      <c r="GR741" s="3"/>
      <c r="GS741" s="3"/>
      <c r="GT741" s="3"/>
      <c r="GU741" s="3"/>
      <c r="GV741" s="3"/>
      <c r="GW741" s="3"/>
      <c r="GX741" s="3"/>
      <c r="GY741" s="3"/>
      <c r="GZ741" s="3"/>
      <c r="HA741" s="3"/>
      <c r="HB741" s="3"/>
      <c r="HC741" s="3"/>
      <c r="HD741" s="3"/>
      <c r="HE741" s="3"/>
      <c r="HF741" s="3"/>
      <c r="HG741" s="3"/>
      <c r="HH741" s="3"/>
      <c r="HI741" s="3"/>
      <c r="HJ741" s="3"/>
      <c r="HK741" s="2"/>
      <c r="HL741" s="2"/>
      <c r="HM741" s="2"/>
      <c r="HN741" s="2"/>
      <c r="HO741" s="2"/>
      <c r="HP741" s="2"/>
      <c r="HQ741" s="2"/>
      <c r="HR741" s="2"/>
      <c r="HS741" s="88"/>
      <c r="HT741" s="2"/>
      <c r="HU741" s="2"/>
      <c r="HV741" s="2"/>
      <c r="HW741" s="2"/>
      <c r="HX741" s="2"/>
      <c r="HY741" s="2"/>
      <c r="HZ741" s="2"/>
      <c r="IA741" s="2"/>
      <c r="IB741" s="2"/>
      <c r="IC741" s="2"/>
      <c r="ID741" s="2"/>
      <c r="IE741" s="2"/>
      <c r="IF741" s="2"/>
      <c r="IG741" s="2"/>
      <c r="IH741" s="133" t="s">
        <v>1465</v>
      </c>
      <c r="II741" s="75" t="s">
        <v>929</v>
      </c>
      <c r="IJ741" s="149" t="s">
        <v>983</v>
      </c>
      <c r="IK741" s="150" t="s">
        <v>543</v>
      </c>
      <c r="IL741" s="2">
        <v>2007</v>
      </c>
      <c r="IM741" s="2" t="s">
        <v>692</v>
      </c>
      <c r="IN741" s="2" t="s">
        <v>480</v>
      </c>
      <c r="IQ741" s="2"/>
      <c r="IR741" s="2"/>
      <c r="IS741" s="2"/>
      <c r="IT741" s="2"/>
      <c r="IU741" s="2"/>
      <c r="IV741" s="2"/>
      <c r="IW741" s="88"/>
      <c r="IX741" s="2"/>
      <c r="IY741" s="2"/>
      <c r="IZ741" s="2"/>
      <c r="JA741" s="2"/>
      <c r="JB741" s="2"/>
      <c r="JC741" s="2"/>
      <c r="JD741" s="2"/>
      <c r="JE741" s="2"/>
      <c r="JF741" s="2"/>
      <c r="JG741" s="2"/>
      <c r="JH741" s="2"/>
      <c r="JI741" s="2"/>
      <c r="JJ741" s="2"/>
      <c r="JK741" s="2"/>
      <c r="JL741" s="139" t="s">
        <v>495</v>
      </c>
      <c r="JM741" s="140" t="s">
        <v>1466</v>
      </c>
      <c r="JN741" s="140" t="s">
        <v>1467</v>
      </c>
      <c r="JO741" s="140" t="s">
        <v>1467</v>
      </c>
      <c r="JR741" s="2"/>
      <c r="JS741" s="2"/>
      <c r="JT741" s="2"/>
      <c r="JU741" s="2"/>
      <c r="JV741" s="2"/>
      <c r="JW741" s="2"/>
      <c r="JX741" s="2"/>
      <c r="JY741" s="141"/>
      <c r="JZ741" s="151"/>
      <c r="KA741" s="88"/>
      <c r="KB741" s="2"/>
      <c r="KC741" s="88"/>
      <c r="KD741" s="2"/>
      <c r="KE741" s="2"/>
      <c r="KF741" s="2"/>
      <c r="KG741" s="88"/>
      <c r="KH741" s="2"/>
      <c r="KI741" s="148"/>
      <c r="KJ741" s="152"/>
      <c r="KK741" s="2"/>
      <c r="KL741" s="2"/>
      <c r="KM741" s="2"/>
      <c r="KN741" s="2"/>
      <c r="KO741" s="88"/>
      <c r="KP741" s="2"/>
      <c r="KQ741" s="162"/>
      <c r="KR741" s="151"/>
      <c r="KS741" s="2"/>
      <c r="KT741" s="2"/>
      <c r="KU741" s="143"/>
      <c r="KV741" s="152"/>
      <c r="KW741" s="2"/>
      <c r="KX741" s="2"/>
      <c r="KY741" s="2"/>
      <c r="KZ741" s="3"/>
      <c r="LA741" s="3"/>
      <c r="LB741" s="3"/>
      <c r="LC741" s="3"/>
      <c r="LD741" s="3"/>
      <c r="LE741" s="3"/>
      <c r="LF741" s="3"/>
      <c r="LG741" s="3"/>
      <c r="LH741" s="88"/>
      <c r="LI741" s="88"/>
      <c r="LJ741" s="88"/>
      <c r="LK741" s="88"/>
      <c r="LL741" s="88"/>
      <c r="LM741" s="2"/>
      <c r="LN741" s="88"/>
      <c r="LO741" s="88"/>
      <c r="LP741" s="88"/>
      <c r="LQ741" s="2"/>
      <c r="LR741" s="2"/>
      <c r="LS741" s="2"/>
      <c r="LT741" s="2"/>
      <c r="LU741" s="2"/>
      <c r="LV741" s="2"/>
      <c r="LW741" s="2"/>
      <c r="LX741" s="2"/>
      <c r="LY741" s="2"/>
      <c r="LZ741" s="2"/>
      <c r="MA741" s="2"/>
      <c r="MB741" s="2"/>
      <c r="MC741" s="2"/>
      <c r="MD741" s="2"/>
      <c r="ME741" s="2"/>
      <c r="MF741" s="2"/>
      <c r="MG741" s="2"/>
      <c r="MH741" s="2"/>
      <c r="MI741" s="2"/>
      <c r="MJ741" s="2"/>
      <c r="MK741" s="2"/>
      <c r="ML741" s="2"/>
      <c r="MM741" s="2"/>
      <c r="MN741" s="2"/>
      <c r="MO741" s="2"/>
      <c r="MP741" s="2"/>
      <c r="MQ741" s="2"/>
      <c r="MR741" s="2"/>
      <c r="MS741" s="2"/>
      <c r="MT741" s="2"/>
      <c r="MU741" s="2"/>
      <c r="MV741" s="2"/>
      <c r="MW741" s="2"/>
      <c r="MX741" s="2"/>
      <c r="MY741" s="133" t="s">
        <v>1468</v>
      </c>
      <c r="MZ741" s="80">
        <v>64</v>
      </c>
      <c r="NA741" s="133" t="s">
        <v>1478</v>
      </c>
      <c r="NB741" s="144" t="s">
        <v>1479</v>
      </c>
      <c r="NC741" s="144" t="s">
        <v>1480</v>
      </c>
      <c r="ND741" s="144" t="s">
        <v>1482</v>
      </c>
      <c r="NE741" s="144"/>
      <c r="NF741" s="144"/>
      <c r="NG741" s="144"/>
      <c r="NH741" s="144"/>
      <c r="NI741" s="133"/>
      <c r="NJ741" s="133" t="s">
        <v>1481</v>
      </c>
      <c r="NK741" s="133" t="s">
        <v>1478</v>
      </c>
      <c r="NL741" t="s">
        <v>946</v>
      </c>
      <c r="NM741" s="145" t="s">
        <v>516</v>
      </c>
      <c r="NN741" s="133"/>
      <c r="NO741" s="133"/>
      <c r="NP741" s="133"/>
      <c r="NQ741" s="133"/>
      <c r="NR741" s="133"/>
      <c r="NS741" s="133"/>
      <c r="NT741" s="133"/>
      <c r="NU741" s="133"/>
      <c r="NV741" s="146" t="s">
        <v>518</v>
      </c>
      <c r="NW741" s="153">
        <v>1297.3</v>
      </c>
      <c r="NX741" s="146" t="s">
        <v>520</v>
      </c>
      <c r="NY741" s="153">
        <v>46.3</v>
      </c>
      <c r="NZ741" s="154"/>
      <c r="OA741" s="2"/>
      <c r="OB741" s="133">
        <v>4</v>
      </c>
      <c r="OC741" s="2"/>
      <c r="OD741" s="2"/>
      <c r="OE741" s="2"/>
      <c r="OF741" s="2"/>
      <c r="OG741" s="2"/>
      <c r="OH741" s="2"/>
      <c r="OI741" s="2"/>
      <c r="OJ741" s="2"/>
      <c r="OK741" s="2"/>
      <c r="OL741" s="2"/>
      <c r="OU741" s="133" t="s">
        <v>1472</v>
      </c>
      <c r="OV741" s="2"/>
      <c r="OW741" s="2">
        <v>2008</v>
      </c>
      <c r="OX741" s="2"/>
      <c r="OY741" s="2"/>
      <c r="OZ741" s="133" t="s">
        <v>692</v>
      </c>
      <c r="PA741" s="2"/>
      <c r="PB741" t="s">
        <v>522</v>
      </c>
      <c r="PC741" s="50">
        <v>46134</v>
      </c>
      <c r="PD741" s="127"/>
    </row>
    <row r="742" spans="1:420" ht="17.25" thickBot="1">
      <c r="A742" t="s">
        <v>469</v>
      </c>
      <c r="B742" t="s">
        <v>1459</v>
      </c>
      <c r="C742" s="80" t="s">
        <v>667</v>
      </c>
      <c r="D742" s="132" t="s">
        <v>950</v>
      </c>
      <c r="E742" s="2" t="s">
        <v>1460</v>
      </c>
      <c r="F742" t="s">
        <v>1179</v>
      </c>
      <c r="G742" s="80" t="s">
        <v>475</v>
      </c>
      <c r="H742" s="132" t="s">
        <v>476</v>
      </c>
      <c r="I742">
        <v>-0.41666666699999999</v>
      </c>
      <c r="J742">
        <v>34.200000000000003</v>
      </c>
      <c r="K742" s="132">
        <v>100</v>
      </c>
      <c r="L742" s="80"/>
      <c r="M742" s="132"/>
      <c r="N742" s="80"/>
      <c r="O742" s="80"/>
      <c r="P742" s="80"/>
      <c r="Q742" s="80"/>
      <c r="R742" s="80"/>
      <c r="S742" s="80"/>
      <c r="T742" s="80"/>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c r="AV742" s="80" t="s">
        <v>1461</v>
      </c>
      <c r="AW742" s="80">
        <v>64</v>
      </c>
      <c r="AX742" s="80">
        <v>0.09</v>
      </c>
      <c r="AY742" s="80">
        <v>1</v>
      </c>
      <c r="AZ742" s="133" t="s">
        <v>1462</v>
      </c>
      <c r="BA742" s="133">
        <v>2007</v>
      </c>
      <c r="BB742" s="133">
        <v>2008</v>
      </c>
      <c r="BC742" s="133" t="s">
        <v>692</v>
      </c>
      <c r="BD742" s="133" t="s">
        <v>1463</v>
      </c>
      <c r="BE742" s="133" t="s">
        <v>524</v>
      </c>
      <c r="BF742" s="133" t="s">
        <v>484</v>
      </c>
      <c r="BG742" s="133" t="s">
        <v>1464</v>
      </c>
      <c r="BH742" s="133" t="s">
        <v>480</v>
      </c>
      <c r="BI742" s="134" t="s">
        <v>486</v>
      </c>
      <c r="BJ742" s="135">
        <v>111000</v>
      </c>
      <c r="BK742" s="133"/>
      <c r="BL742" s="133"/>
      <c r="BM742" s="133"/>
      <c r="BN742" s="133"/>
      <c r="BO742" s="133"/>
      <c r="BP742" s="133"/>
      <c r="BQ742" s="133"/>
      <c r="BR742" s="133"/>
      <c r="BS742" s="133"/>
      <c r="BT742" s="133"/>
      <c r="BU742" s="133"/>
      <c r="BV742" s="3"/>
      <c r="BW742" s="3"/>
      <c r="BX742" s="3"/>
      <c r="BY742" s="3"/>
      <c r="BZ742" s="3"/>
      <c r="CA742" s="3"/>
      <c r="CB742" s="3"/>
      <c r="CC742" s="3"/>
      <c r="CD742" s="3"/>
      <c r="CE742" s="3"/>
      <c r="CF742" s="3"/>
      <c r="CG742" s="3"/>
      <c r="CH742" s="3"/>
      <c r="CI742" s="3"/>
      <c r="CJ742" s="3"/>
      <c r="CK742" s="3"/>
      <c r="CL742" s="3"/>
      <c r="CM742" s="3"/>
      <c r="CN742" s="3"/>
      <c r="CO742" s="3"/>
      <c r="CP742" s="3"/>
      <c r="CQ742" s="3"/>
      <c r="CR742" s="3"/>
      <c r="CS742" s="3"/>
      <c r="CT742" s="3"/>
      <c r="CU742" s="3"/>
      <c r="CV742" s="3"/>
      <c r="CW742" s="3"/>
      <c r="CX742" s="3"/>
      <c r="CY742" s="3"/>
      <c r="CZ742" s="3"/>
      <c r="DA742" s="3"/>
      <c r="DB742" s="3"/>
      <c r="DC742" s="3"/>
      <c r="DD742" s="3"/>
      <c r="DE742" s="3"/>
      <c r="DF742" s="3"/>
      <c r="DG742" s="3"/>
      <c r="DH742" s="3"/>
      <c r="DI742" s="3"/>
      <c r="DJ742" s="3"/>
      <c r="DK742" s="3"/>
      <c r="DL742" s="3"/>
      <c r="DM742" s="3"/>
      <c r="DN742" s="3"/>
      <c r="DO742" s="3"/>
      <c r="DP742" s="3"/>
      <c r="DQ742" s="3"/>
      <c r="DR742" s="3"/>
      <c r="DS742" s="3"/>
      <c r="DT742" s="3"/>
      <c r="DU742" s="3"/>
      <c r="DV742" s="3"/>
      <c r="DW742" s="3"/>
      <c r="DX742" s="3"/>
      <c r="DY742" s="3"/>
      <c r="DZ742" s="3"/>
      <c r="EA742" s="3"/>
      <c r="EB742" s="3"/>
      <c r="EC742" s="3"/>
      <c r="ED742" s="2"/>
      <c r="EE742" s="133"/>
      <c r="EF742" s="133"/>
      <c r="EG742" s="133"/>
      <c r="EH742" s="133"/>
      <c r="EI742" s="133"/>
      <c r="EJ742" s="133"/>
      <c r="EK742" s="133"/>
      <c r="EL742" s="3"/>
      <c r="EM742" s="3"/>
      <c r="EN742" s="3"/>
      <c r="EO742" s="3"/>
      <c r="EP742" s="3"/>
      <c r="EQ742" s="3"/>
      <c r="ER742" s="3"/>
      <c r="ES742" s="3"/>
      <c r="ET742" s="3"/>
      <c r="EU742" s="3"/>
      <c r="EV742" s="3"/>
      <c r="EW742" s="3"/>
      <c r="EX742" s="3"/>
      <c r="EY742" s="3"/>
      <c r="EZ742" s="3"/>
      <c r="FA742" s="3"/>
      <c r="FB742" s="3"/>
      <c r="FC742" s="3"/>
      <c r="FD742" s="3"/>
      <c r="FE742" s="3"/>
      <c r="FF742" s="3"/>
      <c r="FG742" s="3"/>
      <c r="FH742" s="3"/>
      <c r="FI742" s="3"/>
      <c r="FJ742" s="3"/>
      <c r="FK742" s="3"/>
      <c r="FL742" s="3"/>
      <c r="FM742" s="3"/>
      <c r="FN742" s="3"/>
      <c r="FO742" s="3"/>
      <c r="FP742" s="3"/>
      <c r="FQ742" s="3"/>
      <c r="FR742" s="3"/>
      <c r="FS742" s="3"/>
      <c r="FT742" s="3"/>
      <c r="FU742" s="3"/>
      <c r="FV742" s="3"/>
      <c r="FW742" s="3"/>
      <c r="FX742" s="3"/>
      <c r="FY742" s="3"/>
      <c r="FZ742" s="3"/>
      <c r="GA742" s="3"/>
      <c r="GB742" s="3"/>
      <c r="GC742" s="3"/>
      <c r="GD742" s="3"/>
      <c r="GE742" s="3"/>
      <c r="GF742" s="3"/>
      <c r="GG742" s="3"/>
      <c r="GH742" s="3"/>
      <c r="GI742" s="3"/>
      <c r="GJ742" s="3"/>
      <c r="GK742" s="3"/>
      <c r="GL742" s="3"/>
      <c r="GM742" s="3"/>
      <c r="GN742" s="3"/>
      <c r="GO742" s="3"/>
      <c r="GP742" s="3"/>
      <c r="GQ742" s="3"/>
      <c r="GR742" s="3"/>
      <c r="GS742" s="3"/>
      <c r="GT742" s="3"/>
      <c r="GU742" s="3"/>
      <c r="GV742" s="3"/>
      <c r="GW742" s="3"/>
      <c r="GX742" s="3"/>
      <c r="GY742" s="3"/>
      <c r="GZ742" s="3"/>
      <c r="HA742" s="3"/>
      <c r="HB742" s="3"/>
      <c r="HC742" s="3"/>
      <c r="HD742" s="3"/>
      <c r="HE742" s="3"/>
      <c r="HF742" s="3"/>
      <c r="HG742" s="3"/>
      <c r="HH742" s="3"/>
      <c r="HI742" s="3"/>
      <c r="HJ742" s="3"/>
      <c r="HK742" s="133"/>
      <c r="HL742" s="133"/>
      <c r="HM742" s="133"/>
      <c r="HN742" s="133"/>
      <c r="HO742" s="133"/>
      <c r="HP742" s="133"/>
      <c r="HQ742" s="133"/>
      <c r="HR742" s="133"/>
      <c r="HS742" s="134"/>
      <c r="HT742" s="133"/>
      <c r="HU742" s="133"/>
      <c r="HV742" s="133"/>
      <c r="HW742" s="133"/>
      <c r="HX742" s="136"/>
      <c r="HY742" s="133"/>
      <c r="HZ742" s="133"/>
      <c r="IA742" s="133"/>
      <c r="IB742" s="133"/>
      <c r="IC742" s="133"/>
      <c r="ID742" s="133"/>
      <c r="IE742" s="133"/>
      <c r="IF742" s="133"/>
      <c r="IG742" s="133"/>
      <c r="IH742" s="133" t="s">
        <v>1465</v>
      </c>
      <c r="II742" s="137" t="s">
        <v>492</v>
      </c>
      <c r="IJ742" s="137"/>
      <c r="IK742" s="138"/>
      <c r="IL742" s="133"/>
      <c r="IM742" s="133"/>
      <c r="IN742" s="133"/>
      <c r="IQ742" s="133"/>
      <c r="IR742" s="133"/>
      <c r="IS742" s="133"/>
      <c r="IT742" s="133"/>
      <c r="IU742" s="133"/>
      <c r="IV742" s="133"/>
      <c r="IW742" s="133"/>
      <c r="IX742" s="133"/>
      <c r="IY742" s="133"/>
      <c r="IZ742" s="80"/>
      <c r="JA742" s="80"/>
      <c r="JB742" s="80"/>
      <c r="JC742" s="80"/>
      <c r="JD742" s="80"/>
      <c r="JE742" s="80"/>
      <c r="JF742" s="80"/>
      <c r="JG742" s="80"/>
      <c r="JH742" s="80"/>
      <c r="JI742" s="80"/>
      <c r="JJ742" s="80"/>
      <c r="JK742" s="80"/>
      <c r="JL742" s="139" t="s">
        <v>495</v>
      </c>
      <c r="JM742" s="140" t="s">
        <v>1466</v>
      </c>
      <c r="JN742" s="140" t="s">
        <v>1467</v>
      </c>
      <c r="JO742" s="140" t="s">
        <v>1467</v>
      </c>
      <c r="JR742" s="133"/>
      <c r="JS742" s="133"/>
      <c r="JT742" s="133"/>
      <c r="JU742" s="133"/>
      <c r="JV742" s="133"/>
      <c r="JW742" s="133"/>
      <c r="JX742" s="133"/>
      <c r="JY742" s="141"/>
      <c r="JZ742" s="141"/>
      <c r="KA742" s="134"/>
      <c r="KB742" s="133"/>
      <c r="KC742" s="134"/>
      <c r="KD742" s="133"/>
      <c r="KE742" s="133"/>
      <c r="KF742" s="133"/>
      <c r="KG742" s="134"/>
      <c r="KH742" s="134"/>
      <c r="KI742" s="137"/>
      <c r="KJ742" s="142"/>
      <c r="KK742" s="133"/>
      <c r="KL742" s="133"/>
      <c r="KM742" s="133"/>
      <c r="KN742" s="133"/>
      <c r="KO742" s="134"/>
      <c r="KP742" s="133"/>
      <c r="KQ742" s="137"/>
      <c r="KR742" s="142"/>
      <c r="KS742" s="133"/>
      <c r="KT742" s="133"/>
      <c r="KU742" s="143"/>
      <c r="KV742" s="142"/>
      <c r="KW742" s="133"/>
      <c r="KX742" s="133"/>
      <c r="KY742" s="133"/>
      <c r="KZ742" s="3"/>
      <c r="LA742" s="3"/>
      <c r="LB742" s="3"/>
      <c r="LC742" s="3"/>
      <c r="LD742" s="3"/>
      <c r="LE742" s="3"/>
      <c r="LF742" s="3"/>
      <c r="LG742" s="3"/>
      <c r="LH742" s="134"/>
      <c r="LI742" s="134"/>
      <c r="LJ742" s="134"/>
      <c r="LK742" s="134"/>
      <c r="LL742" s="134"/>
      <c r="LM742" s="134"/>
      <c r="LN742" s="134"/>
      <c r="LO742" s="134"/>
      <c r="LP742" s="134"/>
      <c r="LQ742" s="133"/>
      <c r="LR742" s="133"/>
      <c r="LS742" s="133"/>
      <c r="LT742" s="133"/>
      <c r="LU742" s="133"/>
      <c r="LV742" s="133"/>
      <c r="LW742" s="133"/>
      <c r="LX742" s="133"/>
      <c r="LY742" s="133"/>
      <c r="LZ742" s="80"/>
      <c r="MA742" s="80"/>
      <c r="MB742" s="80"/>
      <c r="MC742" s="80"/>
      <c r="MD742" s="80"/>
      <c r="ME742" s="144"/>
      <c r="MF742" s="144"/>
      <c r="MG742" s="144"/>
      <c r="MH742" s="2"/>
      <c r="MI742" s="133"/>
      <c r="MJ742" s="133"/>
      <c r="MK742" s="133"/>
      <c r="ML742" s="80"/>
      <c r="MM742" s="80"/>
      <c r="MN742" s="80"/>
      <c r="MO742" s="80"/>
      <c r="MP742" s="80"/>
      <c r="MQ742" s="80"/>
      <c r="MR742" s="80"/>
      <c r="MS742" s="80"/>
      <c r="MT742" s="133"/>
      <c r="MU742" s="133"/>
      <c r="MV742" s="133"/>
      <c r="MW742" s="133"/>
      <c r="MX742" s="133"/>
      <c r="MY742" s="133" t="s">
        <v>1468</v>
      </c>
      <c r="MZ742" s="80">
        <v>64</v>
      </c>
      <c r="NA742" s="133" t="s">
        <v>1478</v>
      </c>
      <c r="NB742" s="144" t="s">
        <v>1479</v>
      </c>
      <c r="NC742" s="144" t="s">
        <v>1480</v>
      </c>
      <c r="ND742" s="144"/>
      <c r="NE742" s="144"/>
      <c r="NF742" s="144"/>
      <c r="NG742" s="144"/>
      <c r="NH742" s="144"/>
      <c r="NI742" s="133" t="s">
        <v>1475</v>
      </c>
      <c r="NJ742" s="133" t="s">
        <v>1481</v>
      </c>
      <c r="NK742" s="133" t="s">
        <v>1483</v>
      </c>
      <c r="NL742" t="s">
        <v>515</v>
      </c>
      <c r="NM742" s="145" t="s">
        <v>516</v>
      </c>
      <c r="NN742" s="133"/>
      <c r="NO742" s="133"/>
      <c r="NP742" s="133"/>
      <c r="NQ742" s="133"/>
      <c r="NR742" s="133"/>
      <c r="NS742" s="133"/>
      <c r="NT742" s="133"/>
      <c r="NU742" s="133" t="s">
        <v>536</v>
      </c>
      <c r="NV742" s="146" t="s">
        <v>518</v>
      </c>
      <c r="NW742" s="146">
        <v>-478.3</v>
      </c>
      <c r="NX742" s="146" t="s">
        <v>520</v>
      </c>
      <c r="NY742" s="146">
        <v>23.3</v>
      </c>
      <c r="NZ742" s="147"/>
      <c r="OA742" s="133"/>
      <c r="OB742" s="133">
        <v>4</v>
      </c>
      <c r="OC742" s="133"/>
      <c r="OD742" s="133"/>
      <c r="OE742" s="133"/>
      <c r="OF742" s="133"/>
      <c r="OG742" s="133"/>
      <c r="OH742" s="133"/>
      <c r="OI742" s="133"/>
      <c r="OJ742" s="133"/>
      <c r="OK742" s="133"/>
      <c r="OL742" s="133"/>
      <c r="OM742" s="133"/>
      <c r="ON742" s="133"/>
      <c r="OO742" s="133"/>
      <c r="OP742" s="133"/>
      <c r="OQ742" s="133"/>
      <c r="OR742" s="133"/>
      <c r="OS742" s="133"/>
      <c r="OT742" s="133"/>
      <c r="OU742" s="133" t="s">
        <v>1472</v>
      </c>
      <c r="OV742" s="133"/>
      <c r="OW742" s="133">
        <v>2007</v>
      </c>
      <c r="OX742" s="133"/>
      <c r="OY742" s="133"/>
      <c r="OZ742" s="133" t="s">
        <v>692</v>
      </c>
      <c r="PA742" s="133"/>
      <c r="PB742" t="s">
        <v>522</v>
      </c>
      <c r="PC742" s="50">
        <v>46134</v>
      </c>
      <c r="PD742" s="127"/>
    </row>
    <row r="743" spans="1:420" ht="15.75" thickBot="1">
      <c r="A743" t="s">
        <v>469</v>
      </c>
      <c r="B743" t="s">
        <v>1459</v>
      </c>
      <c r="C743" s="80" t="s">
        <v>667</v>
      </c>
      <c r="D743" s="132" t="s">
        <v>950</v>
      </c>
      <c r="E743" s="2" t="s">
        <v>1460</v>
      </c>
      <c r="F743" t="s">
        <v>1179</v>
      </c>
      <c r="G743" s="80" t="s">
        <v>475</v>
      </c>
      <c r="H743" s="132" t="s">
        <v>476</v>
      </c>
      <c r="I743">
        <v>-0.41666666699999999</v>
      </c>
      <c r="J743">
        <v>34.200000000000003</v>
      </c>
      <c r="K743" s="132">
        <v>100</v>
      </c>
      <c r="L743" s="2"/>
      <c r="M743" s="88"/>
      <c r="N743" s="2"/>
      <c r="O743" s="80"/>
      <c r="P743" s="2"/>
      <c r="Q743" s="2"/>
      <c r="R743" s="80"/>
      <c r="S743" s="80"/>
      <c r="T743" s="80"/>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c r="AV743" s="80" t="s">
        <v>1461</v>
      </c>
      <c r="AW743" s="80">
        <v>64</v>
      </c>
      <c r="AX743" s="80">
        <v>0.09</v>
      </c>
      <c r="AY743" s="80">
        <v>1</v>
      </c>
      <c r="AZ743" s="133" t="s">
        <v>1462</v>
      </c>
      <c r="BA743" s="133">
        <v>2007</v>
      </c>
      <c r="BB743" s="133">
        <v>2008</v>
      </c>
      <c r="BC743" s="133" t="s">
        <v>692</v>
      </c>
      <c r="BD743" s="2" t="s">
        <v>1473</v>
      </c>
      <c r="BE743" s="2" t="s">
        <v>536</v>
      </c>
      <c r="BF743" s="133" t="s">
        <v>484</v>
      </c>
      <c r="BG743" s="2" t="s">
        <v>1464</v>
      </c>
      <c r="BH743" s="133" t="s">
        <v>480</v>
      </c>
      <c r="BI743" s="134" t="s">
        <v>486</v>
      </c>
      <c r="BJ743" s="135">
        <v>55500</v>
      </c>
      <c r="BK743" s="2" t="s">
        <v>537</v>
      </c>
      <c r="BL743" t="s">
        <v>1474</v>
      </c>
      <c r="BM743" s="133" t="s">
        <v>480</v>
      </c>
      <c r="BN743" s="2" t="s">
        <v>486</v>
      </c>
      <c r="BO743" s="2">
        <v>55000</v>
      </c>
      <c r="BP743" s="2"/>
      <c r="BQ743" s="2"/>
      <c r="BR743" s="2"/>
      <c r="BS743" s="2"/>
      <c r="BT743" s="2"/>
      <c r="BU743" s="2"/>
      <c r="BV743" s="3"/>
      <c r="BW743" s="3"/>
      <c r="BX743" s="3"/>
      <c r="BY743" s="3"/>
      <c r="BZ743" s="3"/>
      <c r="CA743" s="3"/>
      <c r="CB743" s="3"/>
      <c r="CC743" s="3"/>
      <c r="CD743" s="3"/>
      <c r="CE743" s="3"/>
      <c r="CF743" s="3"/>
      <c r="CG743" s="3"/>
      <c r="CH743" s="3"/>
      <c r="CI743" s="3"/>
      <c r="CJ743" s="3"/>
      <c r="CK743" s="3"/>
      <c r="CL743" s="3"/>
      <c r="CM743" s="3"/>
      <c r="CN743" s="3"/>
      <c r="CO743" s="3"/>
      <c r="CP743" s="3"/>
      <c r="CQ743" s="3"/>
      <c r="CR743" s="3"/>
      <c r="CS743" s="3"/>
      <c r="CT743" s="3"/>
      <c r="CU743" s="3"/>
      <c r="CV743" s="3"/>
      <c r="CW743" s="3"/>
      <c r="CX743" s="3"/>
      <c r="CY743" s="3"/>
      <c r="CZ743" s="3"/>
      <c r="DA743" s="3"/>
      <c r="DB743" s="3"/>
      <c r="DC743" s="3"/>
      <c r="DD743" s="3"/>
      <c r="DE743" s="3"/>
      <c r="DF743" s="3"/>
      <c r="DG743" s="3"/>
      <c r="DH743" s="3"/>
      <c r="DI743" s="3"/>
      <c r="DJ743" s="3"/>
      <c r="DK743" s="3"/>
      <c r="DL743" s="3"/>
      <c r="DM743" s="3"/>
      <c r="DN743" s="3"/>
      <c r="DO743" s="3"/>
      <c r="DP743" s="3"/>
      <c r="DQ743" s="3"/>
      <c r="DR743" s="3"/>
      <c r="DS743" s="3"/>
      <c r="DT743" s="3"/>
      <c r="DU743" s="3"/>
      <c r="DV743" s="3"/>
      <c r="DW743" s="3"/>
      <c r="DX743" s="3"/>
      <c r="DY743" s="3"/>
      <c r="DZ743" s="3"/>
      <c r="EA743" s="3"/>
      <c r="EB743" s="3"/>
      <c r="EC743" s="3"/>
      <c r="ED743" s="2"/>
      <c r="EE743" s="2"/>
      <c r="EF743" s="2"/>
      <c r="EG743" s="2"/>
      <c r="EH743" s="2"/>
      <c r="EI743" s="2"/>
      <c r="EJ743" s="2"/>
      <c r="EK743" s="2"/>
      <c r="EL743" s="3"/>
      <c r="EM743" s="3"/>
      <c r="EN743" s="3"/>
      <c r="EO743" s="3"/>
      <c r="EP743" s="3"/>
      <c r="EQ743" s="3"/>
      <c r="ER743" s="3"/>
      <c r="ES743" s="3"/>
      <c r="ET743" s="3"/>
      <c r="EU743" s="3"/>
      <c r="EV743" s="3"/>
      <c r="EW743" s="3"/>
      <c r="EX743" s="3"/>
      <c r="EY743" s="3"/>
      <c r="EZ743" s="3"/>
      <c r="FA743" s="3"/>
      <c r="FB743" s="3"/>
      <c r="FC743" s="3"/>
      <c r="FD743" s="3"/>
      <c r="FE743" s="3"/>
      <c r="FF743" s="3"/>
      <c r="FG743" s="3"/>
      <c r="FH743" s="3"/>
      <c r="FI743" s="3"/>
      <c r="FJ743" s="3"/>
      <c r="FK743" s="3"/>
      <c r="FL743" s="3"/>
      <c r="FM743" s="3"/>
      <c r="FN743" s="3"/>
      <c r="FO743" s="3"/>
      <c r="FP743" s="3"/>
      <c r="FQ743" s="3"/>
      <c r="FR743" s="3"/>
      <c r="FS743" s="3"/>
      <c r="FT743" s="3"/>
      <c r="FU743" s="3"/>
      <c r="FV743" s="3"/>
      <c r="FW743" s="3"/>
      <c r="FX743" s="3"/>
      <c r="FY743" s="3"/>
      <c r="FZ743" s="3"/>
      <c r="GA743" s="3"/>
      <c r="GB743" s="3"/>
      <c r="GC743" s="3"/>
      <c r="GD743" s="3"/>
      <c r="GE743" s="3"/>
      <c r="GF743" s="3"/>
      <c r="GG743" s="3"/>
      <c r="GH743" s="3"/>
      <c r="GI743" s="3"/>
      <c r="GJ743" s="3"/>
      <c r="GK743" s="3"/>
      <c r="GL743" s="3"/>
      <c r="GM743" s="3"/>
      <c r="GN743" s="3"/>
      <c r="GO743" s="3"/>
      <c r="GP743" s="3"/>
      <c r="GQ743" s="3"/>
      <c r="GR743" s="3"/>
      <c r="GS743" s="3"/>
      <c r="GT743" s="3"/>
      <c r="GU743" s="3"/>
      <c r="GV743" s="3"/>
      <c r="GW743" s="3"/>
      <c r="GX743" s="3"/>
      <c r="GY743" s="3"/>
      <c r="GZ743" s="3"/>
      <c r="HA743" s="3"/>
      <c r="HB743" s="3"/>
      <c r="HC743" s="3"/>
      <c r="HD743" s="3"/>
      <c r="HE743" s="3"/>
      <c r="HF743" s="3"/>
      <c r="HG743" s="3"/>
      <c r="HH743" s="3"/>
      <c r="HI743" s="3"/>
      <c r="HJ743" s="3"/>
      <c r="HK743" s="2"/>
      <c r="HL743" s="2"/>
      <c r="HM743" s="2"/>
      <c r="HN743" s="2"/>
      <c r="HO743" s="2"/>
      <c r="HP743" s="2"/>
      <c r="HQ743" s="2"/>
      <c r="HR743" s="2"/>
      <c r="HS743" s="88"/>
      <c r="HT743" s="2"/>
      <c r="HU743" s="2"/>
      <c r="HV743" s="2"/>
      <c r="HW743" s="2"/>
      <c r="HX743" s="2"/>
      <c r="HY743" s="2"/>
      <c r="HZ743" s="2"/>
      <c r="IA743" s="2"/>
      <c r="IB743" s="2"/>
      <c r="IC743" s="2"/>
      <c r="ID743" s="2"/>
      <c r="IE743" s="2"/>
      <c r="IF743" s="2"/>
      <c r="IG743" s="2"/>
      <c r="IH743" s="133" t="s">
        <v>1465</v>
      </c>
      <c r="II743" s="75" t="s">
        <v>929</v>
      </c>
      <c r="IJ743" s="149" t="s">
        <v>983</v>
      </c>
      <c r="IK743" s="150" t="s">
        <v>543</v>
      </c>
      <c r="IL743" s="2">
        <v>2007</v>
      </c>
      <c r="IM743" s="2" t="s">
        <v>692</v>
      </c>
      <c r="IN743" s="2" t="s">
        <v>480</v>
      </c>
      <c r="IQ743" s="2"/>
      <c r="IR743" s="2"/>
      <c r="IS743" s="2"/>
      <c r="IT743" s="2"/>
      <c r="IU743" s="2"/>
      <c r="IV743" s="2"/>
      <c r="IW743" s="2"/>
      <c r="IX743" s="2"/>
      <c r="IY743" s="2"/>
      <c r="IZ743" s="2"/>
      <c r="JA743" s="2"/>
      <c r="JB743" s="2"/>
      <c r="JC743" s="2"/>
      <c r="JD743" s="2"/>
      <c r="JE743" s="2"/>
      <c r="JF743" s="2"/>
      <c r="JG743" s="2"/>
      <c r="JH743" s="2"/>
      <c r="JI743" s="2"/>
      <c r="JJ743" s="2"/>
      <c r="JK743" s="2"/>
      <c r="JL743" s="139" t="s">
        <v>495</v>
      </c>
      <c r="JM743" s="140" t="s">
        <v>1466</v>
      </c>
      <c r="JN743" s="140" t="s">
        <v>1467</v>
      </c>
      <c r="JO743" s="140" t="s">
        <v>1467</v>
      </c>
      <c r="JR743" s="2"/>
      <c r="JS743" s="2"/>
      <c r="JT743" s="2"/>
      <c r="JU743" s="2"/>
      <c r="JV743" s="2"/>
      <c r="JW743" s="2"/>
      <c r="JX743" s="2"/>
      <c r="JY743" s="141"/>
      <c r="JZ743" s="151"/>
      <c r="KA743" s="88"/>
      <c r="KB743" s="2"/>
      <c r="KC743" s="88"/>
      <c r="KD743" s="2"/>
      <c r="KE743" s="2"/>
      <c r="KF743" s="2"/>
      <c r="KG743" s="88"/>
      <c r="KH743" s="2"/>
      <c r="KI743" s="148"/>
      <c r="KJ743" s="152"/>
      <c r="KK743" s="2"/>
      <c r="KL743" s="2"/>
      <c r="KM743" s="2"/>
      <c r="KN743" s="2"/>
      <c r="KO743" s="88"/>
      <c r="KP743" s="2"/>
      <c r="KQ743" s="148"/>
      <c r="KR743" s="152"/>
      <c r="KS743" s="2"/>
      <c r="KT743" s="2"/>
      <c r="KU743" s="143"/>
      <c r="KV743" s="152"/>
      <c r="KW743" s="2"/>
      <c r="KX743" s="2"/>
      <c r="KY743" s="2"/>
      <c r="KZ743" s="61"/>
      <c r="LA743" s="62"/>
      <c r="LB743" s="62"/>
      <c r="LC743" s="3"/>
      <c r="LD743" s="3"/>
      <c r="LE743" s="3"/>
      <c r="LF743" s="3"/>
      <c r="LG743" s="3"/>
      <c r="LH743" s="88"/>
      <c r="LI743" s="88"/>
      <c r="LJ743" s="88"/>
      <c r="LK743" s="88"/>
      <c r="LL743" s="88"/>
      <c r="LM743" s="2"/>
      <c r="LN743" s="88"/>
      <c r="LO743" s="88"/>
      <c r="LP743" s="88"/>
      <c r="LQ743" s="2"/>
      <c r="LR743" s="2"/>
      <c r="LS743" s="2"/>
      <c r="LT743" s="2"/>
      <c r="LU743" s="2"/>
      <c r="LV743" s="2"/>
      <c r="LW743" s="2"/>
      <c r="LX743" s="2"/>
      <c r="LY743" s="2"/>
      <c r="LZ743" s="2"/>
      <c r="MA743" s="2"/>
      <c r="MB743" s="2"/>
      <c r="MC743" s="2"/>
      <c r="MD743" s="2"/>
      <c r="ME743" s="2"/>
      <c r="MF743" s="2"/>
      <c r="MG743" s="2"/>
      <c r="MI743" s="2"/>
      <c r="MJ743" s="2"/>
      <c r="MK743" s="2"/>
      <c r="ML743" s="2"/>
      <c r="MM743" s="2"/>
      <c r="MN743" s="2"/>
      <c r="MO743" s="2"/>
      <c r="MP743" s="2"/>
      <c r="MQ743" s="2"/>
      <c r="MR743" s="2"/>
      <c r="MS743" s="2"/>
      <c r="MT743" s="2"/>
      <c r="MU743" s="2"/>
      <c r="MV743" s="2"/>
      <c r="MW743" s="2"/>
      <c r="MX743" s="2"/>
      <c r="MY743" s="133" t="s">
        <v>1468</v>
      </c>
      <c r="MZ743" s="80">
        <v>64</v>
      </c>
      <c r="NA743" s="133" t="s">
        <v>1478</v>
      </c>
      <c r="NB743" s="144" t="s">
        <v>1479</v>
      </c>
      <c r="NC743" s="144" t="s">
        <v>1480</v>
      </c>
      <c r="ND743" s="144" t="s">
        <v>1482</v>
      </c>
      <c r="NE743" s="144"/>
      <c r="NF743" s="144"/>
      <c r="NG743" s="144"/>
      <c r="NH743" s="144"/>
      <c r="NI743" s="133" t="s">
        <v>1475</v>
      </c>
      <c r="NJ743" s="133" t="s">
        <v>1481</v>
      </c>
      <c r="NK743" s="133" t="s">
        <v>1483</v>
      </c>
      <c r="NL743" t="s">
        <v>515</v>
      </c>
      <c r="NM743" s="145" t="s">
        <v>516</v>
      </c>
      <c r="NN743" s="133"/>
      <c r="NO743" s="133"/>
      <c r="NP743" s="133"/>
      <c r="NQ743" s="133"/>
      <c r="NR743" s="133"/>
      <c r="NS743" s="133"/>
      <c r="NT743" s="133"/>
      <c r="NU743" s="133"/>
      <c r="NV743" s="146" t="s">
        <v>518</v>
      </c>
      <c r="NW743" s="153">
        <v>217.5</v>
      </c>
      <c r="NX743" s="146" t="s">
        <v>520</v>
      </c>
      <c r="NY743" s="153">
        <v>83.1</v>
      </c>
      <c r="NZ743" s="154"/>
      <c r="OA743" s="2"/>
      <c r="OB743" s="133">
        <v>4</v>
      </c>
      <c r="OC743" s="2"/>
      <c r="OD743" s="2"/>
      <c r="OE743" s="2"/>
      <c r="OF743" s="2"/>
      <c r="OG743" s="2"/>
      <c r="OH743" s="2"/>
      <c r="OI743" s="2"/>
      <c r="OJ743" s="2"/>
      <c r="OK743" s="2"/>
      <c r="OL743" s="2"/>
      <c r="OU743" s="133" t="s">
        <v>1472</v>
      </c>
      <c r="OV743" s="2"/>
      <c r="OW743" s="133">
        <v>2007</v>
      </c>
      <c r="OX743" s="133"/>
      <c r="OY743" s="133"/>
      <c r="OZ743" s="133" t="s">
        <v>692</v>
      </c>
      <c r="PA743" s="2"/>
      <c r="PB743" t="s">
        <v>522</v>
      </c>
      <c r="PC743" s="50">
        <v>46134</v>
      </c>
      <c r="PD743" s="127"/>
    </row>
    <row r="744" spans="1:420" ht="15.75" thickBot="1">
      <c r="A744" t="s">
        <v>469</v>
      </c>
      <c r="B744" t="s">
        <v>1459</v>
      </c>
      <c r="C744" s="80" t="s">
        <v>667</v>
      </c>
      <c r="D744" s="132" t="s">
        <v>950</v>
      </c>
      <c r="E744" s="2" t="s">
        <v>1460</v>
      </c>
      <c r="F744" t="s">
        <v>1179</v>
      </c>
      <c r="G744" s="80" t="s">
        <v>475</v>
      </c>
      <c r="H744" s="132" t="s">
        <v>476</v>
      </c>
      <c r="I744">
        <v>-0.41666666699999999</v>
      </c>
      <c r="J744">
        <v>34.200000000000003</v>
      </c>
      <c r="K744" s="132">
        <v>100</v>
      </c>
      <c r="L744" s="80"/>
      <c r="M744" s="132"/>
      <c r="N744" s="80"/>
      <c r="O744" s="80"/>
      <c r="P744" s="80"/>
      <c r="Q744" s="80"/>
      <c r="R744" s="80"/>
      <c r="S744" s="80"/>
      <c r="T744" s="80"/>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c r="AV744" s="80" t="s">
        <v>1461</v>
      </c>
      <c r="AW744" s="80">
        <v>64</v>
      </c>
      <c r="AX744" s="80">
        <v>0.09</v>
      </c>
      <c r="AY744" s="80">
        <v>1</v>
      </c>
      <c r="AZ744" s="133" t="s">
        <v>1462</v>
      </c>
      <c r="BA744" s="133">
        <v>2007</v>
      </c>
      <c r="BB744" s="133">
        <v>2008</v>
      </c>
      <c r="BC744" s="133" t="s">
        <v>709</v>
      </c>
      <c r="BD744" s="133" t="s">
        <v>1463</v>
      </c>
      <c r="BE744" s="133" t="s">
        <v>524</v>
      </c>
      <c r="BF744" s="133" t="s">
        <v>484</v>
      </c>
      <c r="BG744" s="133" t="s">
        <v>1464</v>
      </c>
      <c r="BH744" s="133" t="s">
        <v>480</v>
      </c>
      <c r="BI744" s="134" t="s">
        <v>486</v>
      </c>
      <c r="BJ744" s="135">
        <v>111000</v>
      </c>
      <c r="BK744" s="80"/>
      <c r="BL744" s="80"/>
      <c r="BM744" s="80"/>
      <c r="BN744" s="132"/>
      <c r="BO744" s="155"/>
      <c r="BP744" s="80"/>
      <c r="BQ744" s="80"/>
      <c r="BR744" s="80"/>
      <c r="BS744" s="80"/>
      <c r="BT744" s="80"/>
      <c r="BU744" s="80"/>
      <c r="BV744" s="3"/>
      <c r="BW744" s="3"/>
      <c r="BX744" s="3"/>
      <c r="BY744" s="3"/>
      <c r="BZ744" s="3"/>
      <c r="CA744" s="3"/>
      <c r="CB744" s="3"/>
      <c r="CC744" s="3"/>
      <c r="CD744" s="3"/>
      <c r="CE744" s="3"/>
      <c r="CF744" s="3"/>
      <c r="CG744" s="3"/>
      <c r="CH744" s="3"/>
      <c r="CI744" s="3"/>
      <c r="CJ744" s="3"/>
      <c r="CK744" s="3"/>
      <c r="CL744" s="3"/>
      <c r="CM744" s="3"/>
      <c r="CN744" s="3"/>
      <c r="CO744" s="3"/>
      <c r="CP744" s="3"/>
      <c r="CQ744" s="3"/>
      <c r="CR744" s="3"/>
      <c r="CS744" s="3"/>
      <c r="CT744" s="3"/>
      <c r="CU744" s="3"/>
      <c r="CV744" s="3"/>
      <c r="CW744" s="3"/>
      <c r="CX744" s="3"/>
      <c r="CY744" s="3"/>
      <c r="CZ744" s="3"/>
      <c r="DA744" s="3"/>
      <c r="DB744" s="3"/>
      <c r="DC744" s="3"/>
      <c r="DD744" s="3"/>
      <c r="DE744" s="3"/>
      <c r="DF744" s="3"/>
      <c r="DG744" s="3"/>
      <c r="DH744" s="3"/>
      <c r="DI744" s="3"/>
      <c r="DJ744" s="3"/>
      <c r="DK744" s="3"/>
      <c r="DL744" s="3"/>
      <c r="DM744" s="3"/>
      <c r="DN744" s="3"/>
      <c r="DO744" s="3"/>
      <c r="DP744" s="3"/>
      <c r="DQ744" s="3"/>
      <c r="DR744" s="3"/>
      <c r="DS744" s="3"/>
      <c r="DT744" s="3"/>
      <c r="DU744" s="3"/>
      <c r="DV744" s="3"/>
      <c r="DW744" s="3"/>
      <c r="DX744" s="3"/>
      <c r="DY744" s="3"/>
      <c r="DZ744" s="3"/>
      <c r="EA744" s="3"/>
      <c r="EB744" s="3"/>
      <c r="EC744" s="3"/>
      <c r="ED744" s="80"/>
      <c r="EE744" s="80"/>
      <c r="EF744" s="80"/>
      <c r="EG744" s="80"/>
      <c r="EH744" s="80"/>
      <c r="EI744" s="80"/>
      <c r="EJ744" s="80"/>
      <c r="EK744" s="80"/>
      <c r="EL744" s="3"/>
      <c r="EM744" s="3"/>
      <c r="EN744" s="3"/>
      <c r="EO744" s="3"/>
      <c r="EP744" s="3"/>
      <c r="EQ744" s="3"/>
      <c r="ER744" s="3"/>
      <c r="ES744" s="3"/>
      <c r="ET744" s="3"/>
      <c r="EU744" s="3"/>
      <c r="EV744" s="3"/>
      <c r="EW744" s="3"/>
      <c r="EX744" s="3"/>
      <c r="EY744" s="3"/>
      <c r="EZ744" s="3"/>
      <c r="FA744" s="3"/>
      <c r="FB744" s="3"/>
      <c r="FC744" s="3"/>
      <c r="FD744" s="3"/>
      <c r="FE744" s="3"/>
      <c r="FF744" s="3"/>
      <c r="FG744" s="3"/>
      <c r="FH744" s="3"/>
      <c r="FI744" s="3"/>
      <c r="FJ744" s="3"/>
      <c r="FK744" s="3"/>
      <c r="FL744" s="3"/>
      <c r="FM744" s="3"/>
      <c r="FN744" s="3"/>
      <c r="FO744" s="3"/>
      <c r="FP744" s="3"/>
      <c r="FQ744" s="3"/>
      <c r="FR744" s="3"/>
      <c r="FS744" s="3"/>
      <c r="FT744" s="3"/>
      <c r="FU744" s="3"/>
      <c r="FV744" s="3"/>
      <c r="FW744" s="3"/>
      <c r="FX744" s="3"/>
      <c r="FY744" s="3"/>
      <c r="FZ744" s="3"/>
      <c r="GA744" s="3"/>
      <c r="GB744" s="3"/>
      <c r="GC744" s="3"/>
      <c r="GD744" s="3"/>
      <c r="GE744" s="3"/>
      <c r="GF744" s="3"/>
      <c r="GG744" s="3"/>
      <c r="GH744" s="3"/>
      <c r="GI744" s="3"/>
      <c r="GJ744" s="3"/>
      <c r="GK744" s="3"/>
      <c r="GL744" s="3"/>
      <c r="GM744" s="3"/>
      <c r="GN744" s="3"/>
      <c r="GO744" s="3"/>
      <c r="GP744" s="3"/>
      <c r="GQ744" s="3"/>
      <c r="GR744" s="3"/>
      <c r="GS744" s="3"/>
      <c r="GT744" s="3"/>
      <c r="GU744" s="3"/>
      <c r="GV744" s="3"/>
      <c r="GW744" s="3"/>
      <c r="GX744" s="3"/>
      <c r="GY744" s="3"/>
      <c r="GZ744" s="3"/>
      <c r="HA744" s="3"/>
      <c r="HB744" s="3"/>
      <c r="HC744" s="3"/>
      <c r="HD744" s="3"/>
      <c r="HE744" s="3"/>
      <c r="HF744" s="3"/>
      <c r="HG744" s="3"/>
      <c r="HH744" s="3"/>
      <c r="HI744" s="3"/>
      <c r="HJ744" s="3"/>
      <c r="HK744" s="80"/>
      <c r="HL744" s="80"/>
      <c r="HM744" s="80"/>
      <c r="HN744" s="80"/>
      <c r="HO744" s="80"/>
      <c r="HP744" s="80"/>
      <c r="HQ744" s="80"/>
      <c r="HR744" s="80"/>
      <c r="HS744" s="132"/>
      <c r="HT744" s="80"/>
      <c r="HU744" s="80"/>
      <c r="HV744" s="80"/>
      <c r="HW744" s="80"/>
      <c r="HX744" s="80"/>
      <c r="HY744" s="80"/>
      <c r="HZ744" s="80"/>
      <c r="IA744" s="80"/>
      <c r="IB744" s="80"/>
      <c r="IC744" s="80"/>
      <c r="ID744" s="80"/>
      <c r="IE744" s="80"/>
      <c r="IF744" s="80"/>
      <c r="IG744" s="80"/>
      <c r="IH744" s="133" t="s">
        <v>1465</v>
      </c>
      <c r="II744" s="137" t="s">
        <v>492</v>
      </c>
      <c r="IJ744" s="156"/>
      <c r="IK744" s="157"/>
      <c r="IL744" s="80"/>
      <c r="IM744" s="80"/>
      <c r="IN744" s="132"/>
      <c r="IQ744" s="80"/>
      <c r="IR744" s="80"/>
      <c r="IS744" s="80"/>
      <c r="IT744" s="80"/>
      <c r="IU744" s="80"/>
      <c r="IV744" s="80"/>
      <c r="IW744" s="80"/>
      <c r="IX744" s="80"/>
      <c r="IY744" s="80"/>
      <c r="IZ744" s="80"/>
      <c r="JA744" s="80"/>
      <c r="JB744" s="80"/>
      <c r="JC744" s="80"/>
      <c r="JD744" s="80"/>
      <c r="JE744" s="80"/>
      <c r="JF744" s="80"/>
      <c r="JG744" s="80"/>
      <c r="JH744" s="80"/>
      <c r="JI744" s="80"/>
      <c r="JJ744" s="80"/>
      <c r="JK744" s="80"/>
      <c r="JL744" s="139" t="s">
        <v>495</v>
      </c>
      <c r="JM744" s="140" t="s">
        <v>1466</v>
      </c>
      <c r="JN744" s="140" t="s">
        <v>1467</v>
      </c>
      <c r="JO744" s="140" t="s">
        <v>1467</v>
      </c>
      <c r="JR744" s="80"/>
      <c r="JS744" s="80"/>
      <c r="JT744" s="80"/>
      <c r="JU744" s="80"/>
      <c r="JV744" s="80"/>
      <c r="JW744" s="80"/>
      <c r="JX744" s="80"/>
      <c r="JY744" s="141"/>
      <c r="JZ744" s="139"/>
      <c r="KA744" s="132"/>
      <c r="KB744" s="80"/>
      <c r="KC744" s="132"/>
      <c r="KD744" s="80"/>
      <c r="KE744" s="80"/>
      <c r="KF744" s="80"/>
      <c r="KG744" s="132"/>
      <c r="KH744" s="80"/>
      <c r="KI744" s="137"/>
      <c r="KJ744" s="158"/>
      <c r="KK744" s="80"/>
      <c r="KL744" s="80"/>
      <c r="KM744" s="80"/>
      <c r="KN744" s="80"/>
      <c r="KO744" s="132"/>
      <c r="KP744" s="80"/>
      <c r="KQ744" s="137"/>
      <c r="KR744" s="158"/>
      <c r="KS744" s="80"/>
      <c r="KT744" s="80"/>
      <c r="KU744" s="143"/>
      <c r="KV744" s="159"/>
      <c r="KW744" s="80"/>
      <c r="KX744" s="80"/>
      <c r="KY744" s="80"/>
      <c r="KZ744" s="3"/>
      <c r="LA744" s="3"/>
      <c r="LB744" s="3"/>
      <c r="LC744" s="3"/>
      <c r="LD744" s="3"/>
      <c r="LE744" s="3"/>
      <c r="LF744" s="3"/>
      <c r="LG744" s="3"/>
      <c r="LH744" s="132"/>
      <c r="LI744" s="132"/>
      <c r="LJ744" s="132"/>
      <c r="LK744" s="132"/>
      <c r="LL744" s="132"/>
      <c r="LM744" s="80"/>
      <c r="LN744" s="132"/>
      <c r="LO744" s="132"/>
      <c r="LP744" s="132"/>
      <c r="LQ744" s="80"/>
      <c r="LR744" s="80"/>
      <c r="LS744" s="80"/>
      <c r="LT744" s="80"/>
      <c r="LU744" s="80"/>
      <c r="LV744" s="80"/>
      <c r="LW744" s="80"/>
      <c r="LX744" s="80"/>
      <c r="LY744" s="80"/>
      <c r="LZ744" s="80"/>
      <c r="MA744" s="80"/>
      <c r="MB744" s="80"/>
      <c r="MC744" s="80"/>
      <c r="MD744" s="80"/>
      <c r="ME744" s="80"/>
      <c r="MF744" s="80"/>
      <c r="MG744" s="80"/>
      <c r="MH744" s="80"/>
      <c r="MI744" s="80"/>
      <c r="MJ744" s="80"/>
      <c r="MK744" s="80"/>
      <c r="ML744" s="80"/>
      <c r="MM744" s="80"/>
      <c r="MN744" s="80"/>
      <c r="MO744" s="80"/>
      <c r="MP744" s="80"/>
      <c r="MQ744" s="80"/>
      <c r="MR744" s="80"/>
      <c r="MS744" s="80"/>
      <c r="MT744" s="80"/>
      <c r="MU744" s="80"/>
      <c r="MV744" s="80"/>
      <c r="MW744" s="80"/>
      <c r="MX744" s="80"/>
      <c r="MY744" s="133" t="s">
        <v>1468</v>
      </c>
      <c r="MZ744" s="80">
        <v>64</v>
      </c>
      <c r="NA744" s="133" t="s">
        <v>1478</v>
      </c>
      <c r="NB744" s="144" t="s">
        <v>1479</v>
      </c>
      <c r="NC744" s="144" t="s">
        <v>1480</v>
      </c>
      <c r="ND744" s="144"/>
      <c r="NE744" s="144"/>
      <c r="NF744" s="144"/>
      <c r="NG744" s="144"/>
      <c r="NH744" s="144"/>
      <c r="NI744" s="133" t="s">
        <v>1475</v>
      </c>
      <c r="NJ744" s="133" t="s">
        <v>1481</v>
      </c>
      <c r="NK744" s="133" t="s">
        <v>1483</v>
      </c>
      <c r="NL744" t="s">
        <v>515</v>
      </c>
      <c r="NM744" s="145" t="s">
        <v>516</v>
      </c>
      <c r="NN744" s="133"/>
      <c r="NO744" s="133"/>
      <c r="NP744" s="133"/>
      <c r="NQ744" s="133"/>
      <c r="NR744" s="133"/>
      <c r="NS744" s="133"/>
      <c r="NT744" s="133"/>
      <c r="NU744" s="133" t="s">
        <v>536</v>
      </c>
      <c r="NV744" s="146" t="s">
        <v>518</v>
      </c>
      <c r="NW744" s="86">
        <v>-406.3</v>
      </c>
      <c r="NX744" s="146" t="s">
        <v>520</v>
      </c>
      <c r="NY744" s="86">
        <v>49.2</v>
      </c>
      <c r="NZ744" s="160"/>
      <c r="OA744" s="80"/>
      <c r="OB744" s="133">
        <v>4</v>
      </c>
      <c r="OC744" s="80"/>
      <c r="OD744" s="80"/>
      <c r="OE744" s="80"/>
      <c r="OF744" s="80"/>
      <c r="OG744" s="80"/>
      <c r="OH744" s="80"/>
      <c r="OI744" s="80"/>
      <c r="OJ744" s="80"/>
      <c r="OK744" s="80"/>
      <c r="OL744" s="80"/>
      <c r="OM744" s="144"/>
      <c r="ON744" s="144"/>
      <c r="OO744" s="144"/>
      <c r="OP744" s="144"/>
      <c r="OQ744" s="144"/>
      <c r="OR744" s="144"/>
      <c r="OS744" s="144"/>
      <c r="OT744" s="144"/>
      <c r="OU744" s="133" t="s">
        <v>1472</v>
      </c>
      <c r="OV744" s="80"/>
      <c r="OW744" s="80">
        <v>2007</v>
      </c>
      <c r="OX744" s="80"/>
      <c r="OY744" s="80"/>
      <c r="OZ744" s="80" t="s">
        <v>709</v>
      </c>
      <c r="PA744" s="80"/>
      <c r="PB744" t="s">
        <v>522</v>
      </c>
      <c r="PC744" s="50">
        <v>46134</v>
      </c>
      <c r="PD744" s="127"/>
    </row>
    <row r="745" spans="1:420" ht="15.75" thickBot="1">
      <c r="A745" t="s">
        <v>469</v>
      </c>
      <c r="B745" t="s">
        <v>1459</v>
      </c>
      <c r="C745" s="80" t="s">
        <v>667</v>
      </c>
      <c r="D745" s="132" t="s">
        <v>950</v>
      </c>
      <c r="E745" s="2" t="s">
        <v>1460</v>
      </c>
      <c r="F745" t="s">
        <v>1179</v>
      </c>
      <c r="G745" s="80" t="s">
        <v>475</v>
      </c>
      <c r="H745" s="132" t="s">
        <v>476</v>
      </c>
      <c r="I745">
        <v>-0.41666666699999999</v>
      </c>
      <c r="J745">
        <v>34.200000000000003</v>
      </c>
      <c r="K745" s="132">
        <v>100</v>
      </c>
      <c r="L745" s="2"/>
      <c r="M745" s="88"/>
      <c r="N745" s="2"/>
      <c r="O745" s="80"/>
      <c r="P745" s="2"/>
      <c r="Q745" s="2"/>
      <c r="R745" s="80"/>
      <c r="S745" s="80"/>
      <c r="T745" s="80"/>
      <c r="U745" s="3"/>
      <c r="V745" s="3"/>
      <c r="W745" s="3"/>
      <c r="X745" s="3"/>
      <c r="Y745" s="3"/>
      <c r="Z745" s="3"/>
      <c r="AA745" s="3"/>
      <c r="AB745" s="3"/>
      <c r="AC745" s="3"/>
      <c r="AD745" s="3"/>
      <c r="AE745" s="3"/>
      <c r="AF745" s="3"/>
      <c r="AG745" s="3"/>
      <c r="AH745" s="3"/>
      <c r="AI745" s="3"/>
      <c r="AJ745" s="3"/>
      <c r="AK745" s="3"/>
      <c r="AL745" s="3"/>
      <c r="AM745" s="3"/>
      <c r="AN745" s="3"/>
      <c r="AO745" s="3"/>
      <c r="AP745" s="3"/>
      <c r="AQ745" s="3"/>
      <c r="AR745" s="3"/>
      <c r="AS745" s="3"/>
      <c r="AT745" s="3"/>
      <c r="AU745" s="3"/>
      <c r="AV745" s="80" t="s">
        <v>1461</v>
      </c>
      <c r="AW745" s="80">
        <v>64</v>
      </c>
      <c r="AX745" s="80">
        <v>0.09</v>
      </c>
      <c r="AY745" s="80">
        <v>1</v>
      </c>
      <c r="AZ745" s="133" t="s">
        <v>1462</v>
      </c>
      <c r="BA745" s="133">
        <v>2007</v>
      </c>
      <c r="BB745" s="133">
        <v>2008</v>
      </c>
      <c r="BC745" s="133" t="s">
        <v>709</v>
      </c>
      <c r="BD745" s="2" t="s">
        <v>1473</v>
      </c>
      <c r="BE745" s="2" t="s">
        <v>536</v>
      </c>
      <c r="BF745" s="133" t="s">
        <v>484</v>
      </c>
      <c r="BG745" s="2" t="s">
        <v>1464</v>
      </c>
      <c r="BH745" s="133" t="s">
        <v>480</v>
      </c>
      <c r="BI745" s="134" t="s">
        <v>486</v>
      </c>
      <c r="BJ745" s="135">
        <v>55500</v>
      </c>
      <c r="BK745" s="2" t="s">
        <v>537</v>
      </c>
      <c r="BL745" t="s">
        <v>1474</v>
      </c>
      <c r="BM745" s="133" t="s">
        <v>480</v>
      </c>
      <c r="BN745" s="2" t="s">
        <v>486</v>
      </c>
      <c r="BO745" s="2">
        <v>55000</v>
      </c>
      <c r="BP745" s="2"/>
      <c r="BQ745" s="2"/>
      <c r="BR745" s="2"/>
      <c r="BS745" s="2"/>
      <c r="BT745" s="2"/>
      <c r="BU745" s="2"/>
      <c r="BV745" s="3"/>
      <c r="BW745" s="3"/>
      <c r="BX745" s="3"/>
      <c r="BY745" s="3"/>
      <c r="BZ745" s="3"/>
      <c r="CA745" s="3"/>
      <c r="CB745" s="3"/>
      <c r="CC745" s="3"/>
      <c r="CD745" s="3"/>
      <c r="CE745" s="3"/>
      <c r="CF745" s="3"/>
      <c r="CG745" s="3"/>
      <c r="CH745" s="3"/>
      <c r="CI745" s="3"/>
      <c r="CJ745" s="3"/>
      <c r="CK745" s="3"/>
      <c r="CL745" s="3"/>
      <c r="CM745" s="3"/>
      <c r="CN745" s="3"/>
      <c r="CO745" s="3"/>
      <c r="CP745" s="3"/>
      <c r="CQ745" s="3"/>
      <c r="CR745" s="3"/>
      <c r="CS745" s="3"/>
      <c r="CT745" s="3"/>
      <c r="CU745" s="3"/>
      <c r="CV745" s="3"/>
      <c r="CW745" s="3"/>
      <c r="CX745" s="3"/>
      <c r="CY745" s="3"/>
      <c r="CZ745" s="3"/>
      <c r="DA745" s="3"/>
      <c r="DB745" s="3"/>
      <c r="DC745" s="3"/>
      <c r="DD745" s="3"/>
      <c r="DE745" s="3"/>
      <c r="DF745" s="3"/>
      <c r="DG745" s="3"/>
      <c r="DH745" s="3"/>
      <c r="DI745" s="3"/>
      <c r="DJ745" s="3"/>
      <c r="DK745" s="3"/>
      <c r="DL745" s="3"/>
      <c r="DM745" s="3"/>
      <c r="DN745" s="3"/>
      <c r="DO745" s="3"/>
      <c r="DP745" s="3"/>
      <c r="DQ745" s="3"/>
      <c r="DR745" s="3"/>
      <c r="DS745" s="3"/>
      <c r="DT745" s="3"/>
      <c r="DU745" s="3"/>
      <c r="DV745" s="3"/>
      <c r="DW745" s="3"/>
      <c r="DX745" s="3"/>
      <c r="DY745" s="3"/>
      <c r="DZ745" s="3"/>
      <c r="EA745" s="3"/>
      <c r="EB745" s="3"/>
      <c r="EC745" s="3"/>
      <c r="ED745" s="2"/>
      <c r="EE745" s="2"/>
      <c r="EF745" s="2"/>
      <c r="EG745" s="2"/>
      <c r="EH745" s="2"/>
      <c r="EI745" s="2"/>
      <c r="EJ745" s="2"/>
      <c r="EK745" s="2"/>
      <c r="EL745" s="3"/>
      <c r="EM745" s="3"/>
      <c r="EN745" s="3"/>
      <c r="EO745" s="3"/>
      <c r="EP745" s="3"/>
      <c r="EQ745" s="3"/>
      <c r="ER745" s="3"/>
      <c r="ES745" s="3"/>
      <c r="ET745" s="3"/>
      <c r="EU745" s="3"/>
      <c r="EV745" s="3"/>
      <c r="EW745" s="3"/>
      <c r="EX745" s="3"/>
      <c r="EY745" s="3"/>
      <c r="EZ745" s="3"/>
      <c r="FA745" s="3"/>
      <c r="FB745" s="3"/>
      <c r="FC745" s="3"/>
      <c r="FD745" s="3"/>
      <c r="FE745" s="3"/>
      <c r="FF745" s="3"/>
      <c r="FG745" s="3"/>
      <c r="FH745" s="3"/>
      <c r="FI745" s="3"/>
      <c r="FJ745" s="3"/>
      <c r="FK745" s="3"/>
      <c r="FL745" s="3"/>
      <c r="FM745" s="3"/>
      <c r="FN745" s="3"/>
      <c r="FO745" s="3"/>
      <c r="FP745" s="3"/>
      <c r="FQ745" s="3"/>
      <c r="FR745" s="3"/>
      <c r="FS745" s="3"/>
      <c r="FT745" s="3"/>
      <c r="FU745" s="3"/>
      <c r="FV745" s="3"/>
      <c r="FW745" s="3"/>
      <c r="FX745" s="3"/>
      <c r="FY745" s="3"/>
      <c r="FZ745" s="3"/>
      <c r="GA745" s="3"/>
      <c r="GB745" s="3"/>
      <c r="GC745" s="3"/>
      <c r="GD745" s="3"/>
      <c r="GE745" s="3"/>
      <c r="GF745" s="3"/>
      <c r="GG745" s="3"/>
      <c r="GH745" s="3"/>
      <c r="GI745" s="3"/>
      <c r="GJ745" s="3"/>
      <c r="GK745" s="3"/>
      <c r="GL745" s="3"/>
      <c r="GM745" s="3"/>
      <c r="GN745" s="3"/>
      <c r="GO745" s="3"/>
      <c r="GP745" s="3"/>
      <c r="GQ745" s="3"/>
      <c r="GR745" s="3"/>
      <c r="GS745" s="3"/>
      <c r="GT745" s="3"/>
      <c r="GU745" s="3"/>
      <c r="GV745" s="3"/>
      <c r="GW745" s="3"/>
      <c r="GX745" s="3"/>
      <c r="GY745" s="3"/>
      <c r="GZ745" s="3"/>
      <c r="HA745" s="3"/>
      <c r="HB745" s="3"/>
      <c r="HC745" s="3"/>
      <c r="HD745" s="3"/>
      <c r="HE745" s="3"/>
      <c r="HF745" s="3"/>
      <c r="HG745" s="3"/>
      <c r="HH745" s="3"/>
      <c r="HI745" s="3"/>
      <c r="HJ745" s="3"/>
      <c r="HK745" s="2"/>
      <c r="HL745" s="2"/>
      <c r="HM745" s="2"/>
      <c r="HN745" s="2"/>
      <c r="HO745" s="2"/>
      <c r="HP745" s="2"/>
      <c r="HQ745" s="2"/>
      <c r="HR745" s="2"/>
      <c r="HS745" s="88"/>
      <c r="HT745" s="2"/>
      <c r="HU745" s="2"/>
      <c r="HV745" s="2"/>
      <c r="HW745" s="2"/>
      <c r="HX745" s="2"/>
      <c r="HY745" s="2"/>
      <c r="HZ745" s="2"/>
      <c r="IA745" s="2"/>
      <c r="IB745" s="2"/>
      <c r="IC745" s="2"/>
      <c r="ID745" s="2"/>
      <c r="IE745" s="2"/>
      <c r="IF745" s="2"/>
      <c r="IG745" s="2"/>
      <c r="IH745" s="133" t="s">
        <v>1465</v>
      </c>
      <c r="II745" s="75" t="s">
        <v>929</v>
      </c>
      <c r="IJ745" s="149" t="s">
        <v>983</v>
      </c>
      <c r="IK745" s="150" t="s">
        <v>543</v>
      </c>
      <c r="IL745" s="2">
        <v>2007</v>
      </c>
      <c r="IM745" s="2" t="s">
        <v>692</v>
      </c>
      <c r="IN745" s="2" t="s">
        <v>480</v>
      </c>
      <c r="IQ745" s="2"/>
      <c r="IR745" s="2"/>
      <c r="IS745" s="2"/>
      <c r="IT745" s="2"/>
      <c r="IU745" s="2"/>
      <c r="IV745" s="2"/>
      <c r="IW745" s="2"/>
      <c r="IX745" s="2"/>
      <c r="IY745" s="2"/>
      <c r="IZ745" s="2"/>
      <c r="JA745" s="2"/>
      <c r="JB745" s="2"/>
      <c r="JC745" s="2"/>
      <c r="JD745" s="2"/>
      <c r="JE745" s="2"/>
      <c r="JF745" s="2"/>
      <c r="JG745" s="2"/>
      <c r="JH745" s="2"/>
      <c r="JI745" s="2"/>
      <c r="JJ745" s="2"/>
      <c r="JK745" s="2"/>
      <c r="JL745" s="139" t="s">
        <v>495</v>
      </c>
      <c r="JM745" s="140" t="s">
        <v>1466</v>
      </c>
      <c r="JN745" s="140" t="s">
        <v>1467</v>
      </c>
      <c r="JO745" s="140" t="s">
        <v>1467</v>
      </c>
      <c r="JR745" s="2"/>
      <c r="JS745" s="2"/>
      <c r="JT745" s="2"/>
      <c r="JU745" s="2"/>
      <c r="JV745" s="2"/>
      <c r="JW745" s="2"/>
      <c r="JX745" s="2"/>
      <c r="JY745" s="141"/>
      <c r="JZ745" s="151"/>
      <c r="KA745" s="88"/>
      <c r="KB745" s="2"/>
      <c r="KC745" s="88"/>
      <c r="KD745" s="2"/>
      <c r="KE745" s="2"/>
      <c r="KF745" s="2"/>
      <c r="KG745" s="88"/>
      <c r="KH745" s="2"/>
      <c r="KI745" s="148"/>
      <c r="KJ745" s="152"/>
      <c r="KK745" s="2"/>
      <c r="KL745" s="2"/>
      <c r="KM745" s="2"/>
      <c r="KN745" s="2"/>
      <c r="KO745" s="88"/>
      <c r="KP745" s="2"/>
      <c r="KQ745" s="148"/>
      <c r="KR745" s="152"/>
      <c r="KS745" s="2"/>
      <c r="KT745" s="2"/>
      <c r="KU745" s="143"/>
      <c r="KV745" s="161"/>
      <c r="KW745" s="2"/>
      <c r="KX745" s="2"/>
      <c r="KY745" s="2"/>
      <c r="KZ745" s="3"/>
      <c r="LA745" s="3"/>
      <c r="LB745" s="3"/>
      <c r="LC745" s="3"/>
      <c r="LD745" s="3"/>
      <c r="LE745" s="3"/>
      <c r="LF745" s="3"/>
      <c r="LG745" s="3"/>
      <c r="LH745" s="88"/>
      <c r="LI745" s="88"/>
      <c r="LJ745" s="88"/>
      <c r="LK745" s="88"/>
      <c r="LL745" s="88"/>
      <c r="LM745" s="2"/>
      <c r="LN745" s="88"/>
      <c r="LO745" s="88"/>
      <c r="LP745" s="88"/>
      <c r="LQ745" s="2"/>
      <c r="LR745" s="2"/>
      <c r="LS745" s="2"/>
      <c r="LT745" s="2"/>
      <c r="LU745" s="2"/>
      <c r="LV745" s="2"/>
      <c r="LW745" s="2"/>
      <c r="LX745" s="2"/>
      <c r="LY745" s="2"/>
      <c r="LZ745" s="2"/>
      <c r="MA745" s="2"/>
      <c r="MB745" s="2"/>
      <c r="MC745" s="2"/>
      <c r="MD745" s="2"/>
      <c r="ME745" s="2"/>
      <c r="MF745" s="2"/>
      <c r="MG745" s="2"/>
      <c r="MH745" s="2"/>
      <c r="MI745" s="2"/>
      <c r="MJ745" s="2"/>
      <c r="MK745" s="2"/>
      <c r="ML745" s="2"/>
      <c r="MM745" s="2"/>
      <c r="MN745" s="2"/>
      <c r="MO745" s="2"/>
      <c r="MP745" s="2"/>
      <c r="MQ745" s="2"/>
      <c r="MR745" s="2"/>
      <c r="MS745" s="2"/>
      <c r="MT745" s="2"/>
      <c r="MU745" s="2"/>
      <c r="MV745" s="2"/>
      <c r="MW745" s="2"/>
      <c r="MX745" s="2"/>
      <c r="MY745" s="133" t="s">
        <v>1468</v>
      </c>
      <c r="MZ745" s="80">
        <v>64</v>
      </c>
      <c r="NA745" s="133" t="s">
        <v>1478</v>
      </c>
      <c r="NB745" s="144" t="s">
        <v>1479</v>
      </c>
      <c r="NC745" s="144" t="s">
        <v>1480</v>
      </c>
      <c r="ND745" s="144" t="s">
        <v>1482</v>
      </c>
      <c r="NE745" s="144"/>
      <c r="NF745" s="144"/>
      <c r="NG745" s="144"/>
      <c r="NH745" s="144"/>
      <c r="NI745" s="133" t="s">
        <v>1475</v>
      </c>
      <c r="NJ745" s="133" t="s">
        <v>1481</v>
      </c>
      <c r="NK745" s="133" t="s">
        <v>1483</v>
      </c>
      <c r="NL745" t="s">
        <v>515</v>
      </c>
      <c r="NM745" s="145" t="s">
        <v>516</v>
      </c>
      <c r="NN745" s="133"/>
      <c r="NO745" s="133"/>
      <c r="NP745" s="133"/>
      <c r="NQ745" s="133"/>
      <c r="NR745" s="133"/>
      <c r="NS745" s="133"/>
      <c r="NT745" s="133"/>
      <c r="NU745" s="133"/>
      <c r="NV745" s="146" t="s">
        <v>518</v>
      </c>
      <c r="NW745" s="153">
        <v>517.79999999999995</v>
      </c>
      <c r="NX745" s="146" t="s">
        <v>520</v>
      </c>
      <c r="NY745" s="153">
        <v>77.7</v>
      </c>
      <c r="NZ745" s="154"/>
      <c r="OA745" s="2"/>
      <c r="OB745" s="133">
        <v>4</v>
      </c>
      <c r="OC745" s="2"/>
      <c r="OD745" s="2"/>
      <c r="OE745" s="2"/>
      <c r="OF745" s="2"/>
      <c r="OG745" s="2"/>
      <c r="OH745" s="2"/>
      <c r="OI745" s="2"/>
      <c r="OJ745" s="2"/>
      <c r="OK745" s="2"/>
      <c r="OL745" s="2"/>
      <c r="OU745" s="133" t="s">
        <v>1472</v>
      </c>
      <c r="OV745" s="2"/>
      <c r="OW745" s="2">
        <v>2007</v>
      </c>
      <c r="OX745" s="2"/>
      <c r="OY745" s="2"/>
      <c r="OZ745" s="2" t="s">
        <v>709</v>
      </c>
      <c r="PA745" s="2"/>
      <c r="PB745" t="s">
        <v>522</v>
      </c>
      <c r="PC745" s="50">
        <v>46134</v>
      </c>
      <c r="PD745" s="127"/>
    </row>
    <row r="746" spans="1:420" ht="15.75" thickBot="1">
      <c r="A746" t="s">
        <v>469</v>
      </c>
      <c r="B746" t="s">
        <v>1459</v>
      </c>
      <c r="C746" s="80" t="s">
        <v>667</v>
      </c>
      <c r="D746" s="132" t="s">
        <v>950</v>
      </c>
      <c r="E746" s="2" t="s">
        <v>1460</v>
      </c>
      <c r="F746" t="s">
        <v>1179</v>
      </c>
      <c r="G746" s="80" t="s">
        <v>475</v>
      </c>
      <c r="H746" s="132" t="s">
        <v>476</v>
      </c>
      <c r="I746">
        <v>-0.41666666699999999</v>
      </c>
      <c r="J746">
        <v>34.200000000000003</v>
      </c>
      <c r="K746" s="132">
        <v>100</v>
      </c>
      <c r="L746" s="80"/>
      <c r="M746" s="132"/>
      <c r="N746" s="80"/>
      <c r="O746" s="80"/>
      <c r="P746" s="80"/>
      <c r="Q746" s="80"/>
      <c r="R746" s="80"/>
      <c r="S746" s="80"/>
      <c r="T746" s="80"/>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c r="AV746" s="80" t="s">
        <v>1461</v>
      </c>
      <c r="AW746" s="80">
        <v>64</v>
      </c>
      <c r="AX746" s="80">
        <v>0.09</v>
      </c>
      <c r="AY746" s="80">
        <v>1</v>
      </c>
      <c r="AZ746" s="133" t="s">
        <v>1462</v>
      </c>
      <c r="BA746" s="133">
        <v>2007</v>
      </c>
      <c r="BB746" s="133">
        <v>2008</v>
      </c>
      <c r="BC746" s="133" t="s">
        <v>692</v>
      </c>
      <c r="BD746" s="133" t="s">
        <v>1463</v>
      </c>
      <c r="BE746" s="133" t="s">
        <v>524</v>
      </c>
      <c r="BF746" s="133" t="s">
        <v>484</v>
      </c>
      <c r="BG746" s="133" t="s">
        <v>1464</v>
      </c>
      <c r="BH746" s="133" t="s">
        <v>480</v>
      </c>
      <c r="BI746" s="134" t="s">
        <v>486</v>
      </c>
      <c r="BJ746" s="135">
        <v>111000</v>
      </c>
      <c r="BK746" s="80"/>
      <c r="BL746" s="80"/>
      <c r="BM746" s="80"/>
      <c r="BN746" s="132"/>
      <c r="BO746" s="155"/>
      <c r="BP746" s="80"/>
      <c r="BQ746" s="80"/>
      <c r="BR746" s="80"/>
      <c r="BS746" s="132"/>
      <c r="BT746" s="155"/>
      <c r="BU746" s="80"/>
      <c r="BV746" s="3"/>
      <c r="BW746" s="3"/>
      <c r="BX746" s="3"/>
      <c r="BY746" s="3"/>
      <c r="BZ746" s="3"/>
      <c r="CA746" s="3"/>
      <c r="CB746" s="3"/>
      <c r="CC746" s="3"/>
      <c r="CD746" s="3"/>
      <c r="CE746" s="3"/>
      <c r="CF746" s="3"/>
      <c r="CG746" s="3"/>
      <c r="CH746" s="3"/>
      <c r="CI746" s="3"/>
      <c r="CJ746" s="3"/>
      <c r="CK746" s="3"/>
      <c r="CL746" s="3"/>
      <c r="CM746" s="3"/>
      <c r="CN746" s="3"/>
      <c r="CO746" s="3"/>
      <c r="CP746" s="3"/>
      <c r="CQ746" s="3"/>
      <c r="CR746" s="3"/>
      <c r="CS746" s="3"/>
      <c r="CT746" s="3"/>
      <c r="CU746" s="3"/>
      <c r="CV746" s="3"/>
      <c r="CW746" s="3"/>
      <c r="CX746" s="3"/>
      <c r="CY746" s="3"/>
      <c r="CZ746" s="3"/>
      <c r="DA746" s="3"/>
      <c r="DB746" s="3"/>
      <c r="DC746" s="3"/>
      <c r="DD746" s="3"/>
      <c r="DE746" s="3"/>
      <c r="DF746" s="3"/>
      <c r="DG746" s="3"/>
      <c r="DH746" s="3"/>
      <c r="DI746" s="3"/>
      <c r="DJ746" s="3"/>
      <c r="DK746" s="3"/>
      <c r="DL746" s="3"/>
      <c r="DM746" s="3"/>
      <c r="DN746" s="3"/>
      <c r="DO746" s="3"/>
      <c r="DP746" s="3"/>
      <c r="DQ746" s="3"/>
      <c r="DR746" s="3"/>
      <c r="DS746" s="3"/>
      <c r="DT746" s="3"/>
      <c r="DU746" s="3"/>
      <c r="DV746" s="3"/>
      <c r="DW746" s="3"/>
      <c r="DX746" s="3"/>
      <c r="DY746" s="3"/>
      <c r="DZ746" s="3"/>
      <c r="EA746" s="3"/>
      <c r="EB746" s="3"/>
      <c r="EC746" s="3"/>
      <c r="ED746" s="80"/>
      <c r="EE746" s="80"/>
      <c r="EF746" s="80"/>
      <c r="EG746" s="80"/>
      <c r="EH746" s="80"/>
      <c r="EI746" s="80"/>
      <c r="EJ746" s="80"/>
      <c r="EK746" s="80"/>
      <c r="EL746" s="3"/>
      <c r="EM746" s="3"/>
      <c r="EN746" s="3"/>
      <c r="EO746" s="3"/>
      <c r="EP746" s="3"/>
      <c r="EQ746" s="3"/>
      <c r="ER746" s="3"/>
      <c r="ES746" s="3"/>
      <c r="ET746" s="3"/>
      <c r="EU746" s="3"/>
      <c r="EV746" s="3"/>
      <c r="EW746" s="3"/>
      <c r="EX746" s="3"/>
      <c r="EY746" s="3"/>
      <c r="EZ746" s="3"/>
      <c r="FA746" s="3"/>
      <c r="FB746" s="3"/>
      <c r="FC746" s="3"/>
      <c r="FD746" s="3"/>
      <c r="FE746" s="3"/>
      <c r="FF746" s="3"/>
      <c r="FG746" s="3"/>
      <c r="FH746" s="3"/>
      <c r="FI746" s="3"/>
      <c r="FJ746" s="3"/>
      <c r="FK746" s="3"/>
      <c r="FL746" s="3"/>
      <c r="FM746" s="3"/>
      <c r="FN746" s="3"/>
      <c r="FO746" s="3"/>
      <c r="FP746" s="3"/>
      <c r="FQ746" s="3"/>
      <c r="FR746" s="3"/>
      <c r="FS746" s="3"/>
      <c r="FT746" s="3"/>
      <c r="FU746" s="3"/>
      <c r="FV746" s="3"/>
      <c r="FW746" s="3"/>
      <c r="FX746" s="3"/>
      <c r="FY746" s="3"/>
      <c r="FZ746" s="3"/>
      <c r="GA746" s="3"/>
      <c r="GB746" s="3"/>
      <c r="GC746" s="3"/>
      <c r="GD746" s="3"/>
      <c r="GE746" s="3"/>
      <c r="GF746" s="3"/>
      <c r="GG746" s="3"/>
      <c r="GH746" s="3"/>
      <c r="GI746" s="3"/>
      <c r="GJ746" s="3"/>
      <c r="GK746" s="3"/>
      <c r="GL746" s="3"/>
      <c r="GM746" s="3"/>
      <c r="GN746" s="3"/>
      <c r="GO746" s="3"/>
      <c r="GP746" s="3"/>
      <c r="GQ746" s="3"/>
      <c r="GR746" s="3"/>
      <c r="GS746" s="3"/>
      <c r="GT746" s="3"/>
      <c r="GU746" s="3"/>
      <c r="GV746" s="3"/>
      <c r="GW746" s="3"/>
      <c r="GX746" s="3"/>
      <c r="GY746" s="3"/>
      <c r="GZ746" s="3"/>
      <c r="HA746" s="3"/>
      <c r="HB746" s="3"/>
      <c r="HC746" s="3"/>
      <c r="HD746" s="3"/>
      <c r="HE746" s="3"/>
      <c r="HF746" s="3"/>
      <c r="HG746" s="3"/>
      <c r="HH746" s="3"/>
      <c r="HI746" s="3"/>
      <c r="HJ746" s="3"/>
      <c r="HK746" s="80"/>
      <c r="HL746" s="80"/>
      <c r="HM746" s="80"/>
      <c r="HN746" s="80"/>
      <c r="HO746" s="80"/>
      <c r="HP746" s="80"/>
      <c r="HQ746" s="80"/>
      <c r="HR746" s="80"/>
      <c r="HS746" s="132"/>
      <c r="HT746" s="80"/>
      <c r="HU746" s="80"/>
      <c r="HV746" s="80"/>
      <c r="HW746" s="80"/>
      <c r="HX746" s="80"/>
      <c r="HY746" s="80"/>
      <c r="HZ746" s="80"/>
      <c r="IA746" s="80"/>
      <c r="IB746" s="80"/>
      <c r="IC746" s="80"/>
      <c r="ID746" s="80"/>
      <c r="IE746" s="80"/>
      <c r="IF746" s="80"/>
      <c r="IG746" s="80"/>
      <c r="IH746" s="133" t="s">
        <v>1465</v>
      </c>
      <c r="II746" s="137" t="s">
        <v>492</v>
      </c>
      <c r="IJ746" s="80"/>
      <c r="IK746" s="80"/>
      <c r="IL746" s="80"/>
      <c r="IM746" s="80"/>
      <c r="IN746" s="80"/>
      <c r="IQ746" s="80"/>
      <c r="IR746" s="80"/>
      <c r="IS746" s="80"/>
      <c r="IT746" s="80"/>
      <c r="IU746" s="80"/>
      <c r="IV746" s="80"/>
      <c r="IW746" s="132"/>
      <c r="IX746" s="80"/>
      <c r="IY746" s="80"/>
      <c r="IZ746" s="80"/>
      <c r="JA746" s="80"/>
      <c r="JB746" s="80"/>
      <c r="JC746" s="80"/>
      <c r="JD746" s="80"/>
      <c r="JE746" s="80"/>
      <c r="JF746" s="80"/>
      <c r="JG746" s="80"/>
      <c r="JH746" s="80"/>
      <c r="JI746" s="80"/>
      <c r="JJ746" s="80"/>
      <c r="JK746" s="80"/>
      <c r="JL746" s="139" t="s">
        <v>495</v>
      </c>
      <c r="JM746" s="140" t="s">
        <v>1466</v>
      </c>
      <c r="JN746" s="140" t="s">
        <v>1467</v>
      </c>
      <c r="JO746" s="140" t="s">
        <v>1467</v>
      </c>
      <c r="JR746" s="80"/>
      <c r="JS746" s="80"/>
      <c r="JT746" s="80"/>
      <c r="JU746" s="80"/>
      <c r="JV746" s="80"/>
      <c r="JW746" s="80"/>
      <c r="JX746" s="80"/>
      <c r="JY746" s="141"/>
      <c r="JZ746" s="139"/>
      <c r="KA746" s="132"/>
      <c r="KB746" s="80"/>
      <c r="KC746" s="132"/>
      <c r="KD746" s="80"/>
      <c r="KE746" s="80"/>
      <c r="KF746" s="80"/>
      <c r="KG746" s="132"/>
      <c r="KH746" s="80"/>
      <c r="KI746" s="137"/>
      <c r="KJ746" s="158"/>
      <c r="KK746" s="80"/>
      <c r="KL746" s="80"/>
      <c r="KM746" s="80"/>
      <c r="KN746" s="80"/>
      <c r="KO746" s="132"/>
      <c r="KP746" s="80"/>
      <c r="KQ746" s="162"/>
      <c r="KR746" s="139"/>
      <c r="KS746" s="80"/>
      <c r="KT746" s="80"/>
      <c r="KU746" s="143"/>
      <c r="KV746" s="158"/>
      <c r="KW746" s="80"/>
      <c r="KX746" s="80"/>
      <c r="KY746" s="80"/>
      <c r="KZ746" s="3"/>
      <c r="LA746" s="3"/>
      <c r="LB746" s="3"/>
      <c r="LC746" s="3"/>
      <c r="LD746" s="3"/>
      <c r="LE746" s="3"/>
      <c r="LF746" s="3"/>
      <c r="LG746" s="3"/>
      <c r="LH746" s="132"/>
      <c r="LI746" s="132"/>
      <c r="LJ746" s="132"/>
      <c r="LK746" s="132"/>
      <c r="LL746" s="132"/>
      <c r="LM746" s="80"/>
      <c r="LN746" s="132"/>
      <c r="LO746" s="132"/>
      <c r="LP746" s="132"/>
      <c r="LQ746" s="80"/>
      <c r="LR746" s="80"/>
      <c r="LS746" s="80"/>
      <c r="LT746" s="80"/>
      <c r="LU746" s="80"/>
      <c r="LV746" s="80"/>
      <c r="LW746" s="80"/>
      <c r="LX746" s="80"/>
      <c r="LY746" s="80"/>
      <c r="LZ746" s="80"/>
      <c r="MA746" s="80"/>
      <c r="MB746" s="80"/>
      <c r="MC746" s="80"/>
      <c r="MD746" s="80"/>
      <c r="ME746" s="80"/>
      <c r="MF746" s="80"/>
      <c r="MG746" s="80"/>
      <c r="MH746" s="80"/>
      <c r="MI746" s="80"/>
      <c r="MJ746" s="80"/>
      <c r="MK746" s="80"/>
      <c r="ML746" s="80"/>
      <c r="MM746" s="80"/>
      <c r="MN746" s="80"/>
      <c r="MO746" s="80"/>
      <c r="MP746" s="80"/>
      <c r="MQ746" s="80"/>
      <c r="MR746" s="80"/>
      <c r="MS746" s="80"/>
      <c r="MT746" s="80"/>
      <c r="MU746" s="80"/>
      <c r="MV746" s="80"/>
      <c r="MW746" s="80"/>
      <c r="MX746" s="80"/>
      <c r="MY746" s="133" t="s">
        <v>1468</v>
      </c>
      <c r="MZ746" s="80">
        <v>64</v>
      </c>
      <c r="NA746" s="133" t="s">
        <v>1478</v>
      </c>
      <c r="NB746" s="144" t="s">
        <v>1479</v>
      </c>
      <c r="NC746" s="144" t="s">
        <v>1480</v>
      </c>
      <c r="ND746" s="144"/>
      <c r="NE746" s="144"/>
      <c r="NF746" s="144"/>
      <c r="NG746" s="144"/>
      <c r="NH746" s="144"/>
      <c r="NI746" s="133" t="s">
        <v>1475</v>
      </c>
      <c r="NJ746" s="133" t="s">
        <v>1481</v>
      </c>
      <c r="NK746" s="133" t="s">
        <v>1483</v>
      </c>
      <c r="NL746" t="s">
        <v>515</v>
      </c>
      <c r="NM746" s="145" t="s">
        <v>516</v>
      </c>
      <c r="NN746" s="133"/>
      <c r="NO746" s="133"/>
      <c r="NP746" s="133"/>
      <c r="NQ746" s="133"/>
      <c r="NR746" s="133"/>
      <c r="NS746" s="133"/>
      <c r="NT746" s="133"/>
      <c r="NU746" s="133" t="s">
        <v>536</v>
      </c>
      <c r="NV746" s="146" t="s">
        <v>518</v>
      </c>
      <c r="NW746" s="86">
        <v>-147.6</v>
      </c>
      <c r="NX746" s="146" t="s">
        <v>520</v>
      </c>
      <c r="NY746" s="86">
        <v>41.8</v>
      </c>
      <c r="NZ746" s="160"/>
      <c r="OA746" s="80"/>
      <c r="OB746" s="133">
        <v>4</v>
      </c>
      <c r="OC746" s="80"/>
      <c r="OD746" s="80"/>
      <c r="OE746" s="80"/>
      <c r="OF746" s="80"/>
      <c r="OG746" s="80"/>
      <c r="OH746" s="80"/>
      <c r="OI746" s="80"/>
      <c r="OJ746" s="80"/>
      <c r="OK746" s="80"/>
      <c r="OL746" s="80"/>
      <c r="OM746" s="144"/>
      <c r="ON746" s="144"/>
      <c r="OO746" s="144"/>
      <c r="OP746" s="144"/>
      <c r="OQ746" s="144"/>
      <c r="OR746" s="144"/>
      <c r="OS746" s="144"/>
      <c r="OT746" s="144"/>
      <c r="OU746" s="133" t="s">
        <v>1472</v>
      </c>
      <c r="OV746" s="80"/>
      <c r="OW746" s="80">
        <v>2008</v>
      </c>
      <c r="OX746" s="80"/>
      <c r="OY746" s="80"/>
      <c r="OZ746" s="133" t="s">
        <v>692</v>
      </c>
      <c r="PA746" s="80"/>
      <c r="PB746" t="s">
        <v>522</v>
      </c>
      <c r="PC746" s="50">
        <v>46134</v>
      </c>
      <c r="PD746" s="127"/>
    </row>
    <row r="747" spans="1:420" ht="15.75" thickBot="1">
      <c r="A747" t="s">
        <v>469</v>
      </c>
      <c r="B747" t="s">
        <v>1459</v>
      </c>
      <c r="C747" s="80" t="s">
        <v>667</v>
      </c>
      <c r="D747" s="132" t="s">
        <v>950</v>
      </c>
      <c r="E747" s="2" t="s">
        <v>1460</v>
      </c>
      <c r="F747" t="s">
        <v>1179</v>
      </c>
      <c r="G747" s="80" t="s">
        <v>475</v>
      </c>
      <c r="H747" s="132" t="s">
        <v>476</v>
      </c>
      <c r="I747">
        <v>-0.41666666699999999</v>
      </c>
      <c r="J747">
        <v>34.200000000000003</v>
      </c>
      <c r="K747" s="132">
        <v>100</v>
      </c>
      <c r="L747" s="2"/>
      <c r="M747" s="88"/>
      <c r="N747" s="2"/>
      <c r="O747" s="80"/>
      <c r="P747" s="2"/>
      <c r="Q747" s="2"/>
      <c r="R747" s="80"/>
      <c r="S747" s="80"/>
      <c r="T747" s="80"/>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c r="AV747" s="80" t="s">
        <v>1461</v>
      </c>
      <c r="AW747" s="80">
        <v>64</v>
      </c>
      <c r="AX747" s="80">
        <v>0.09</v>
      </c>
      <c r="AY747" s="80">
        <v>1</v>
      </c>
      <c r="AZ747" s="133" t="s">
        <v>1462</v>
      </c>
      <c r="BA747" s="133">
        <v>2007</v>
      </c>
      <c r="BB747" s="133">
        <v>2008</v>
      </c>
      <c r="BC747" s="133" t="s">
        <v>692</v>
      </c>
      <c r="BD747" s="2" t="s">
        <v>1473</v>
      </c>
      <c r="BE747" s="2" t="s">
        <v>536</v>
      </c>
      <c r="BF747" s="133" t="s">
        <v>484</v>
      </c>
      <c r="BG747" s="2" t="s">
        <v>1464</v>
      </c>
      <c r="BH747" s="133" t="s">
        <v>480</v>
      </c>
      <c r="BI747" s="134" t="s">
        <v>486</v>
      </c>
      <c r="BJ747" s="135">
        <v>55500</v>
      </c>
      <c r="BK747" s="2" t="s">
        <v>537</v>
      </c>
      <c r="BL747" t="s">
        <v>1474</v>
      </c>
      <c r="BM747" s="133" t="s">
        <v>480</v>
      </c>
      <c r="BN747" s="2" t="s">
        <v>486</v>
      </c>
      <c r="BO747" s="2">
        <v>55000</v>
      </c>
      <c r="BP747" s="2"/>
      <c r="BQ747" s="2"/>
      <c r="BR747" s="2"/>
      <c r="BS747" s="88"/>
      <c r="BT747" s="2"/>
      <c r="BU747" s="2"/>
      <c r="BV747" s="3"/>
      <c r="BW747" s="3"/>
      <c r="BX747" s="3"/>
      <c r="BY747" s="3"/>
      <c r="BZ747" s="3"/>
      <c r="CA747" s="3"/>
      <c r="CB747" s="3"/>
      <c r="CC747" s="3"/>
      <c r="CD747" s="3"/>
      <c r="CE747" s="3"/>
      <c r="CF747" s="3"/>
      <c r="CG747" s="3"/>
      <c r="CH747" s="3"/>
      <c r="CI747" s="3"/>
      <c r="CJ747" s="3"/>
      <c r="CK747" s="3"/>
      <c r="CL747" s="3"/>
      <c r="CM747" s="3"/>
      <c r="CN747" s="3"/>
      <c r="CO747" s="3"/>
      <c r="CP747" s="3"/>
      <c r="CQ747" s="3"/>
      <c r="CR747" s="3"/>
      <c r="CS747" s="3"/>
      <c r="CT747" s="3"/>
      <c r="CU747" s="3"/>
      <c r="CV747" s="3"/>
      <c r="CW747" s="3"/>
      <c r="CX747" s="3"/>
      <c r="CY747" s="3"/>
      <c r="CZ747" s="3"/>
      <c r="DA747" s="3"/>
      <c r="DB747" s="3"/>
      <c r="DC747" s="3"/>
      <c r="DD747" s="3"/>
      <c r="DE747" s="3"/>
      <c r="DF747" s="3"/>
      <c r="DG747" s="3"/>
      <c r="DH747" s="3"/>
      <c r="DI747" s="3"/>
      <c r="DJ747" s="3"/>
      <c r="DK747" s="3"/>
      <c r="DL747" s="3"/>
      <c r="DM747" s="3"/>
      <c r="DN747" s="3"/>
      <c r="DO747" s="3"/>
      <c r="DP747" s="3"/>
      <c r="DQ747" s="3"/>
      <c r="DR747" s="3"/>
      <c r="DS747" s="3"/>
      <c r="DT747" s="3"/>
      <c r="DU747" s="3"/>
      <c r="DV747" s="3"/>
      <c r="DW747" s="3"/>
      <c r="DX747" s="3"/>
      <c r="DY747" s="3"/>
      <c r="DZ747" s="3"/>
      <c r="EA747" s="3"/>
      <c r="EB747" s="3"/>
      <c r="EC747" s="3"/>
      <c r="ED747" s="2"/>
      <c r="EE747" s="2"/>
      <c r="EF747" s="2"/>
      <c r="EG747" s="2"/>
      <c r="EH747" s="2"/>
      <c r="EI747" s="2"/>
      <c r="EJ747" s="2"/>
      <c r="EK747" s="2"/>
      <c r="EL747" s="3"/>
      <c r="EM747" s="3"/>
      <c r="EN747" s="3"/>
      <c r="EO747" s="3"/>
      <c r="EP747" s="3"/>
      <c r="EQ747" s="3"/>
      <c r="ER747" s="3"/>
      <c r="ES747" s="3"/>
      <c r="ET747" s="3"/>
      <c r="EU747" s="3"/>
      <c r="EV747" s="3"/>
      <c r="EW747" s="3"/>
      <c r="EX747" s="3"/>
      <c r="EY747" s="3"/>
      <c r="EZ747" s="3"/>
      <c r="FA747" s="3"/>
      <c r="FB747" s="3"/>
      <c r="FC747" s="3"/>
      <c r="FD747" s="3"/>
      <c r="FE747" s="3"/>
      <c r="FF747" s="3"/>
      <c r="FG747" s="3"/>
      <c r="FH747" s="3"/>
      <c r="FI747" s="3"/>
      <c r="FJ747" s="3"/>
      <c r="FK747" s="3"/>
      <c r="FL747" s="3"/>
      <c r="FM747" s="3"/>
      <c r="FN747" s="3"/>
      <c r="FO747" s="3"/>
      <c r="FP747" s="3"/>
      <c r="FQ747" s="3"/>
      <c r="FR747" s="3"/>
      <c r="FS747" s="3"/>
      <c r="FT747" s="3"/>
      <c r="FU747" s="3"/>
      <c r="FV747" s="3"/>
      <c r="FW747" s="3"/>
      <c r="FX747" s="3"/>
      <c r="FY747" s="3"/>
      <c r="FZ747" s="3"/>
      <c r="GA747" s="3"/>
      <c r="GB747" s="3"/>
      <c r="GC747" s="3"/>
      <c r="GD747" s="3"/>
      <c r="GE747" s="3"/>
      <c r="GF747" s="3"/>
      <c r="GG747" s="3"/>
      <c r="GH747" s="3"/>
      <c r="GI747" s="3"/>
      <c r="GJ747" s="3"/>
      <c r="GK747" s="3"/>
      <c r="GL747" s="3"/>
      <c r="GM747" s="3"/>
      <c r="GN747" s="3"/>
      <c r="GO747" s="3"/>
      <c r="GP747" s="3"/>
      <c r="GQ747" s="3"/>
      <c r="GR747" s="3"/>
      <c r="GS747" s="3"/>
      <c r="GT747" s="3"/>
      <c r="GU747" s="3"/>
      <c r="GV747" s="3"/>
      <c r="GW747" s="3"/>
      <c r="GX747" s="3"/>
      <c r="GY747" s="3"/>
      <c r="GZ747" s="3"/>
      <c r="HA747" s="3"/>
      <c r="HB747" s="3"/>
      <c r="HC747" s="3"/>
      <c r="HD747" s="3"/>
      <c r="HE747" s="3"/>
      <c r="HF747" s="3"/>
      <c r="HG747" s="3"/>
      <c r="HH747" s="3"/>
      <c r="HI747" s="3"/>
      <c r="HJ747" s="3"/>
      <c r="HK747" s="2"/>
      <c r="HL747" s="2"/>
      <c r="HM747" s="2"/>
      <c r="HN747" s="2"/>
      <c r="HO747" s="2"/>
      <c r="HP747" s="2"/>
      <c r="HQ747" s="2"/>
      <c r="HR747" s="2"/>
      <c r="HS747" s="88"/>
      <c r="HT747" s="2"/>
      <c r="HU747" s="2"/>
      <c r="HV747" s="2"/>
      <c r="HW747" s="2"/>
      <c r="HX747" s="2"/>
      <c r="HY747" s="2"/>
      <c r="HZ747" s="2"/>
      <c r="IA747" s="2"/>
      <c r="IB747" s="2"/>
      <c r="IC747" s="2"/>
      <c r="ID747" s="2"/>
      <c r="IE747" s="2"/>
      <c r="IF747" s="2"/>
      <c r="IG747" s="2"/>
      <c r="IH747" s="133" t="s">
        <v>1465</v>
      </c>
      <c r="II747" s="75" t="s">
        <v>929</v>
      </c>
      <c r="IJ747" s="149" t="s">
        <v>983</v>
      </c>
      <c r="IK747" s="150" t="s">
        <v>543</v>
      </c>
      <c r="IL747" s="2">
        <v>2007</v>
      </c>
      <c r="IM747" s="2" t="s">
        <v>692</v>
      </c>
      <c r="IN747" s="2" t="s">
        <v>480</v>
      </c>
      <c r="IQ747" s="2"/>
      <c r="IR747" s="2"/>
      <c r="IS747" s="2"/>
      <c r="IT747" s="2"/>
      <c r="IU747" s="2"/>
      <c r="IV747" s="2"/>
      <c r="IW747" s="88"/>
      <c r="IX747" s="2"/>
      <c r="IY747" s="2"/>
      <c r="IZ747" s="2"/>
      <c r="JA747" s="2"/>
      <c r="JB747" s="2"/>
      <c r="JC747" s="2"/>
      <c r="JD747" s="2"/>
      <c r="JE747" s="2"/>
      <c r="JF747" s="2"/>
      <c r="JG747" s="2"/>
      <c r="JH747" s="2"/>
      <c r="JI747" s="2"/>
      <c r="JJ747" s="2"/>
      <c r="JK747" s="2"/>
      <c r="JL747" s="139" t="s">
        <v>495</v>
      </c>
      <c r="JM747" s="140" t="s">
        <v>1466</v>
      </c>
      <c r="JN747" s="140" t="s">
        <v>1467</v>
      </c>
      <c r="JO747" s="140" t="s">
        <v>1467</v>
      </c>
      <c r="JR747" s="2"/>
      <c r="JS747" s="2"/>
      <c r="JT747" s="2"/>
      <c r="JU747" s="2"/>
      <c r="JV747" s="2"/>
      <c r="JW747" s="2"/>
      <c r="JX747" s="2"/>
      <c r="JY747" s="141"/>
      <c r="JZ747" s="151"/>
      <c r="KA747" s="88"/>
      <c r="KB747" s="2"/>
      <c r="KC747" s="88"/>
      <c r="KD747" s="2"/>
      <c r="KE747" s="2"/>
      <c r="KF747" s="2"/>
      <c r="KG747" s="88"/>
      <c r="KH747" s="2"/>
      <c r="KI747" s="148"/>
      <c r="KJ747" s="152"/>
      <c r="KK747" s="2"/>
      <c r="KL747" s="2"/>
      <c r="KM747" s="2"/>
      <c r="KN747" s="2"/>
      <c r="KO747" s="88"/>
      <c r="KP747" s="2"/>
      <c r="KQ747" s="162"/>
      <c r="KR747" s="151"/>
      <c r="KS747" s="2"/>
      <c r="KT747" s="2"/>
      <c r="KU747" s="143"/>
      <c r="KV747" s="152"/>
      <c r="KW747" s="2"/>
      <c r="KX747" s="2"/>
      <c r="KY747" s="2"/>
      <c r="KZ747" s="3"/>
      <c r="LA747" s="3"/>
      <c r="LB747" s="3"/>
      <c r="LC747" s="3"/>
      <c r="LD747" s="3"/>
      <c r="LE747" s="3"/>
      <c r="LF747" s="3"/>
      <c r="LG747" s="3"/>
      <c r="LH747" s="88"/>
      <c r="LI747" s="88"/>
      <c r="LJ747" s="88"/>
      <c r="LK747" s="88"/>
      <c r="LL747" s="88"/>
      <c r="LM747" s="2"/>
      <c r="LN747" s="88"/>
      <c r="LO747" s="88"/>
      <c r="LP747" s="88"/>
      <c r="LQ747" s="2"/>
      <c r="LR747" s="2"/>
      <c r="LS747" s="2"/>
      <c r="LT747" s="2"/>
      <c r="LU747" s="2"/>
      <c r="LV747" s="2"/>
      <c r="LW747" s="2"/>
      <c r="LX747" s="2"/>
      <c r="LY747" s="2"/>
      <c r="LZ747" s="2"/>
      <c r="MA747" s="2"/>
      <c r="MB747" s="2"/>
      <c r="MC747" s="2"/>
      <c r="MD747" s="2"/>
      <c r="ME747" s="2"/>
      <c r="MF747" s="2"/>
      <c r="MG747" s="2"/>
      <c r="MH747" s="2"/>
      <c r="MI747" s="2"/>
      <c r="MJ747" s="2"/>
      <c r="MK747" s="2"/>
      <c r="ML747" s="2"/>
      <c r="MM747" s="2"/>
      <c r="MN747" s="2"/>
      <c r="MO747" s="2"/>
      <c r="MP747" s="2"/>
      <c r="MQ747" s="2"/>
      <c r="MR747" s="2"/>
      <c r="MS747" s="2"/>
      <c r="MT747" s="2"/>
      <c r="MU747" s="2"/>
      <c r="MV747" s="2"/>
      <c r="MW747" s="2"/>
      <c r="MX747" s="2"/>
      <c r="MY747" s="133" t="s">
        <v>1468</v>
      </c>
      <c r="MZ747" s="80">
        <v>64</v>
      </c>
      <c r="NA747" s="133" t="s">
        <v>1478</v>
      </c>
      <c r="NB747" s="144" t="s">
        <v>1479</v>
      </c>
      <c r="NC747" s="144" t="s">
        <v>1480</v>
      </c>
      <c r="ND747" s="144" t="s">
        <v>1482</v>
      </c>
      <c r="NE747" s="144"/>
      <c r="NF747" s="144"/>
      <c r="NG747" s="144"/>
      <c r="NH747" s="144"/>
      <c r="NI747" s="133" t="s">
        <v>1475</v>
      </c>
      <c r="NJ747" s="133" t="s">
        <v>1481</v>
      </c>
      <c r="NK747" s="133" t="s">
        <v>1483</v>
      </c>
      <c r="NL747" t="s">
        <v>515</v>
      </c>
      <c r="NM747" s="145" t="s">
        <v>516</v>
      </c>
      <c r="NN747" s="133"/>
      <c r="NO747" s="133"/>
      <c r="NP747" s="133"/>
      <c r="NQ747" s="133"/>
      <c r="NR747" s="133"/>
      <c r="NS747" s="133"/>
      <c r="NT747" s="133"/>
      <c r="NU747" s="133"/>
      <c r="NV747" s="146" t="s">
        <v>518</v>
      </c>
      <c r="NW747" s="153">
        <v>477.5</v>
      </c>
      <c r="NX747" s="146" t="s">
        <v>520</v>
      </c>
      <c r="NY747" s="153">
        <v>48.1</v>
      </c>
      <c r="NZ747" s="154"/>
      <c r="OA747" s="2"/>
      <c r="OB747" s="133">
        <v>4</v>
      </c>
      <c r="OC747" s="2"/>
      <c r="OD747" s="2"/>
      <c r="OE747" s="2"/>
      <c r="OF747" s="2"/>
      <c r="OG747" s="2"/>
      <c r="OH747" s="2"/>
      <c r="OI747" s="2"/>
      <c r="OJ747" s="2"/>
      <c r="OK747" s="2"/>
      <c r="OL747" s="2"/>
      <c r="OU747" s="133" t="s">
        <v>1472</v>
      </c>
      <c r="OV747" s="2"/>
      <c r="OW747" s="2">
        <v>2008</v>
      </c>
      <c r="OX747" s="2"/>
      <c r="OY747" s="2"/>
      <c r="OZ747" s="133" t="s">
        <v>692</v>
      </c>
      <c r="PA747" s="2"/>
      <c r="PB747" t="s">
        <v>522</v>
      </c>
      <c r="PC747" s="50">
        <v>46134</v>
      </c>
      <c r="PD747" s="127"/>
    </row>
    <row r="748" spans="1:420" ht="15.75" thickBot="1">
      <c r="A748" t="s">
        <v>469</v>
      </c>
      <c r="B748" t="s">
        <v>1459</v>
      </c>
      <c r="C748" s="80" t="s">
        <v>667</v>
      </c>
      <c r="D748" s="132" t="s">
        <v>950</v>
      </c>
      <c r="E748" s="2" t="s">
        <v>1460</v>
      </c>
      <c r="F748" t="s">
        <v>1179</v>
      </c>
      <c r="G748" s="80" t="s">
        <v>475</v>
      </c>
      <c r="H748" s="132" t="s">
        <v>476</v>
      </c>
      <c r="I748">
        <v>-0.41666666699999999</v>
      </c>
      <c r="J748">
        <v>34.200000000000003</v>
      </c>
      <c r="K748" s="132">
        <v>100</v>
      </c>
      <c r="L748" s="2"/>
      <c r="M748" s="88"/>
      <c r="N748" s="2"/>
      <c r="O748" s="80"/>
      <c r="P748" s="2"/>
      <c r="Q748" s="2"/>
      <c r="R748" s="80"/>
      <c r="S748" s="80"/>
      <c r="T748" s="80"/>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c r="AV748" s="80" t="s">
        <v>1461</v>
      </c>
      <c r="AW748" s="80">
        <v>64</v>
      </c>
      <c r="AX748" s="80">
        <v>0.09</v>
      </c>
      <c r="AY748" s="80">
        <v>1</v>
      </c>
      <c r="AZ748" s="133" t="s">
        <v>1462</v>
      </c>
      <c r="BA748" s="133">
        <v>2007</v>
      </c>
      <c r="BB748" s="133">
        <v>2008</v>
      </c>
      <c r="BC748" s="133" t="s">
        <v>692</v>
      </c>
      <c r="BD748" s="2" t="s">
        <v>1473</v>
      </c>
      <c r="BE748" s="2" t="s">
        <v>536</v>
      </c>
      <c r="BF748" s="133" t="s">
        <v>484</v>
      </c>
      <c r="BG748" s="2" t="s">
        <v>1464</v>
      </c>
      <c r="BH748" s="133" t="s">
        <v>480</v>
      </c>
      <c r="BI748" s="134" t="s">
        <v>486</v>
      </c>
      <c r="BJ748" s="135">
        <v>55500</v>
      </c>
      <c r="BK748" s="2" t="s">
        <v>537</v>
      </c>
      <c r="BL748" t="s">
        <v>1474</v>
      </c>
      <c r="BM748" s="133" t="s">
        <v>480</v>
      </c>
      <c r="BN748" s="2" t="s">
        <v>486</v>
      </c>
      <c r="BO748" s="2">
        <v>55000</v>
      </c>
      <c r="BP748" s="2"/>
      <c r="BQ748" s="2"/>
      <c r="BR748" s="2"/>
      <c r="BS748" s="2"/>
      <c r="BT748" s="2"/>
      <c r="BU748" s="2"/>
      <c r="BV748" s="3"/>
      <c r="BW748" s="3"/>
      <c r="BX748" s="3"/>
      <c r="BY748" s="3"/>
      <c r="BZ748" s="3"/>
      <c r="CA748" s="3"/>
      <c r="CB748" s="3"/>
      <c r="CC748" s="3"/>
      <c r="CD748" s="3"/>
      <c r="CE748" s="3"/>
      <c r="CF748" s="3"/>
      <c r="CG748" s="3"/>
      <c r="CH748" s="3"/>
      <c r="CI748" s="3"/>
      <c r="CJ748" s="3"/>
      <c r="CK748" s="3"/>
      <c r="CL748" s="3"/>
      <c r="CM748" s="3"/>
      <c r="CN748" s="3"/>
      <c r="CO748" s="3"/>
      <c r="CP748" s="3"/>
      <c r="CQ748" s="3"/>
      <c r="CR748" s="3"/>
      <c r="CS748" s="3"/>
      <c r="CT748" s="3"/>
      <c r="CU748" s="3"/>
      <c r="CV748" s="3"/>
      <c r="CW748" s="3"/>
      <c r="CX748" s="3"/>
      <c r="CY748" s="3"/>
      <c r="CZ748" s="3"/>
      <c r="DA748" s="3"/>
      <c r="DB748" s="3"/>
      <c r="DC748" s="3"/>
      <c r="DD748" s="3"/>
      <c r="DE748" s="3"/>
      <c r="DF748" s="3"/>
      <c r="DG748" s="3"/>
      <c r="DH748" s="3"/>
      <c r="DI748" s="3"/>
      <c r="DJ748" s="3"/>
      <c r="DK748" s="3"/>
      <c r="DL748" s="3"/>
      <c r="DM748" s="3"/>
      <c r="DN748" s="3"/>
      <c r="DO748" s="3"/>
      <c r="DP748" s="3"/>
      <c r="DQ748" s="3"/>
      <c r="DR748" s="3"/>
      <c r="DS748" s="3"/>
      <c r="DT748" s="3"/>
      <c r="DU748" s="3"/>
      <c r="DV748" s="3"/>
      <c r="DW748" s="3"/>
      <c r="DX748" s="3"/>
      <c r="DY748" s="3"/>
      <c r="DZ748" s="3"/>
      <c r="EA748" s="3"/>
      <c r="EB748" s="3"/>
      <c r="EC748" s="3"/>
      <c r="ED748" s="2"/>
      <c r="EE748" s="2"/>
      <c r="EF748" s="2"/>
      <c r="EG748" s="2"/>
      <c r="EH748" s="2"/>
      <c r="EI748" s="2"/>
      <c r="EJ748" s="2"/>
      <c r="EK748" s="2"/>
      <c r="EL748" s="3"/>
      <c r="EM748" s="3"/>
      <c r="EN748" s="3"/>
      <c r="EO748" s="3"/>
      <c r="EP748" s="3"/>
      <c r="EQ748" s="3"/>
      <c r="ER748" s="3"/>
      <c r="ES748" s="3"/>
      <c r="ET748" s="3"/>
      <c r="EU748" s="3"/>
      <c r="EV748" s="3"/>
      <c r="EW748" s="3"/>
      <c r="EX748" s="3"/>
      <c r="EY748" s="3"/>
      <c r="EZ748" s="3"/>
      <c r="FA748" s="3"/>
      <c r="FB748" s="3"/>
      <c r="FC748" s="3"/>
      <c r="FD748" s="3"/>
      <c r="FE748" s="3"/>
      <c r="FF748" s="3"/>
      <c r="FG748" s="3"/>
      <c r="FH748" s="3"/>
      <c r="FI748" s="3"/>
      <c r="FJ748" s="3"/>
      <c r="FK748" s="3"/>
      <c r="FL748" s="3"/>
      <c r="FM748" s="3"/>
      <c r="FN748" s="3"/>
      <c r="FO748" s="3"/>
      <c r="FP748" s="3"/>
      <c r="FQ748" s="3"/>
      <c r="FR748" s="3"/>
      <c r="FS748" s="3"/>
      <c r="FT748" s="3"/>
      <c r="FU748" s="3"/>
      <c r="FV748" s="3"/>
      <c r="FW748" s="3"/>
      <c r="FX748" s="3"/>
      <c r="FY748" s="3"/>
      <c r="FZ748" s="3"/>
      <c r="GA748" s="3"/>
      <c r="GB748" s="3"/>
      <c r="GC748" s="3"/>
      <c r="GD748" s="3"/>
      <c r="GE748" s="3"/>
      <c r="GF748" s="3"/>
      <c r="GG748" s="3"/>
      <c r="GH748" s="3"/>
      <c r="GI748" s="3"/>
      <c r="GJ748" s="3"/>
      <c r="GK748" s="3"/>
      <c r="GL748" s="3"/>
      <c r="GM748" s="3"/>
      <c r="GN748" s="3"/>
      <c r="GO748" s="3"/>
      <c r="GP748" s="3"/>
      <c r="GQ748" s="3"/>
      <c r="GR748" s="3"/>
      <c r="GS748" s="3"/>
      <c r="GT748" s="3"/>
      <c r="GU748" s="3"/>
      <c r="GV748" s="3"/>
      <c r="GW748" s="3"/>
      <c r="GX748" s="3"/>
      <c r="GY748" s="3"/>
      <c r="GZ748" s="3"/>
      <c r="HA748" s="3"/>
      <c r="HB748" s="3"/>
      <c r="HC748" s="3"/>
      <c r="HD748" s="3"/>
      <c r="HE748" s="3"/>
      <c r="HF748" s="3"/>
      <c r="HG748" s="3"/>
      <c r="HH748" s="3"/>
      <c r="HI748" s="3"/>
      <c r="HJ748" s="3"/>
      <c r="HK748" s="2"/>
      <c r="HL748" s="2"/>
      <c r="HM748" s="2"/>
      <c r="HN748" s="2"/>
      <c r="HO748" s="2"/>
      <c r="HP748" s="2"/>
      <c r="HQ748" s="2"/>
      <c r="HR748" s="2"/>
      <c r="HS748" s="88"/>
      <c r="HT748" s="2"/>
      <c r="HU748" s="2"/>
      <c r="HV748" s="2"/>
      <c r="HW748" s="2"/>
      <c r="HX748" s="2"/>
      <c r="HY748" s="2"/>
      <c r="HZ748" s="2"/>
      <c r="IA748" s="2"/>
      <c r="IB748" s="2"/>
      <c r="IC748" s="2"/>
      <c r="ID748" s="2"/>
      <c r="IE748" s="2"/>
      <c r="IF748" s="2"/>
      <c r="IG748" s="2"/>
      <c r="IH748" s="133" t="s">
        <v>1465</v>
      </c>
      <c r="II748" s="75" t="s">
        <v>929</v>
      </c>
      <c r="IJ748" s="149" t="s">
        <v>983</v>
      </c>
      <c r="IK748" s="150" t="s">
        <v>543</v>
      </c>
      <c r="IL748" s="2">
        <v>2007</v>
      </c>
      <c r="IM748" s="2" t="s">
        <v>692</v>
      </c>
      <c r="IN748" s="2" t="s">
        <v>480</v>
      </c>
      <c r="IQ748" s="2"/>
      <c r="IR748" s="2"/>
      <c r="IS748" s="2"/>
      <c r="IT748" s="2"/>
      <c r="IU748" s="2"/>
      <c r="IV748" s="2"/>
      <c r="IW748" s="2"/>
      <c r="IX748" s="2"/>
      <c r="IY748" s="2"/>
      <c r="IZ748" s="2"/>
      <c r="JA748" s="2"/>
      <c r="JB748" s="2"/>
      <c r="JC748" s="2"/>
      <c r="JD748" s="2"/>
      <c r="JE748" s="2"/>
      <c r="JF748" s="2"/>
      <c r="JG748" s="2"/>
      <c r="JH748" s="2"/>
      <c r="JI748" s="2"/>
      <c r="JJ748" s="2"/>
      <c r="JK748" s="2"/>
      <c r="JL748" s="139" t="s">
        <v>495</v>
      </c>
      <c r="JM748" s="140" t="s">
        <v>1466</v>
      </c>
      <c r="JN748" s="140" t="s">
        <v>1467</v>
      </c>
      <c r="JO748" s="140" t="s">
        <v>1467</v>
      </c>
      <c r="JR748" s="2"/>
      <c r="JS748" s="2"/>
      <c r="JT748" s="2"/>
      <c r="JU748" s="2"/>
      <c r="JV748" s="2"/>
      <c r="JW748" s="2"/>
      <c r="JX748" s="2"/>
      <c r="JY748" s="141"/>
      <c r="JZ748" s="151"/>
      <c r="KA748" s="88"/>
      <c r="KB748" s="2"/>
      <c r="KC748" s="88"/>
      <c r="KD748" s="2"/>
      <c r="KE748" s="2"/>
      <c r="KF748" s="2"/>
      <c r="KG748" s="88"/>
      <c r="KH748" s="2"/>
      <c r="KI748" s="148"/>
      <c r="KJ748" s="152"/>
      <c r="KK748" s="2"/>
      <c r="KL748" s="2"/>
      <c r="KM748" s="2"/>
      <c r="KN748" s="2"/>
      <c r="KO748" s="88"/>
      <c r="KP748" s="2"/>
      <c r="KQ748" s="148"/>
      <c r="KR748" s="152"/>
      <c r="KS748" s="2"/>
      <c r="KT748" s="2"/>
      <c r="KU748" s="143"/>
      <c r="KV748" s="152"/>
      <c r="KW748" s="2"/>
      <c r="KX748" s="2"/>
      <c r="KY748" s="2"/>
      <c r="KZ748" s="61"/>
      <c r="LA748" s="62"/>
      <c r="LB748" s="62"/>
      <c r="LC748" s="3"/>
      <c r="LD748" s="3"/>
      <c r="LE748" s="3"/>
      <c r="LF748" s="3"/>
      <c r="LG748" s="3"/>
      <c r="LH748" s="88"/>
      <c r="LI748" s="88"/>
      <c r="LJ748" s="88"/>
      <c r="LK748" s="88"/>
      <c r="LL748" s="88"/>
      <c r="LM748" s="2"/>
      <c r="LN748" s="88"/>
      <c r="LO748" s="88"/>
      <c r="LP748" s="88"/>
      <c r="LQ748" s="2"/>
      <c r="LR748" s="2"/>
      <c r="LS748" s="2"/>
      <c r="LT748" s="2"/>
      <c r="LU748" s="2"/>
      <c r="LV748" s="2"/>
      <c r="LW748" s="2"/>
      <c r="LX748" s="2"/>
      <c r="LY748" s="2"/>
      <c r="LZ748" s="2"/>
      <c r="MA748" s="2"/>
      <c r="MB748" s="2"/>
      <c r="MC748" s="2"/>
      <c r="MD748" s="2"/>
      <c r="ME748" s="2"/>
      <c r="MF748" s="2"/>
      <c r="MG748" s="2"/>
      <c r="MI748" s="2"/>
      <c r="MJ748" s="2"/>
      <c r="MK748" s="2"/>
      <c r="ML748" s="2"/>
      <c r="MM748" s="2"/>
      <c r="MN748" s="2"/>
      <c r="MO748" s="2"/>
      <c r="MP748" s="2"/>
      <c r="MQ748" s="2"/>
      <c r="MR748" s="2"/>
      <c r="MS748" s="2"/>
      <c r="MT748" s="2"/>
      <c r="MU748" s="2"/>
      <c r="MV748" s="2"/>
      <c r="MW748" s="2"/>
      <c r="MX748" s="2"/>
      <c r="MY748" s="133" t="s">
        <v>1468</v>
      </c>
      <c r="MZ748" s="80">
        <v>64</v>
      </c>
      <c r="NA748" s="133" t="s">
        <v>1478</v>
      </c>
      <c r="NB748" s="144" t="s">
        <v>1479</v>
      </c>
      <c r="NC748" s="144"/>
      <c r="ND748" s="144"/>
      <c r="NE748" s="144"/>
      <c r="NF748" s="144"/>
      <c r="NG748" s="144"/>
      <c r="NH748" s="144"/>
      <c r="NI748" s="133"/>
      <c r="NJ748" s="133" t="s">
        <v>1484</v>
      </c>
      <c r="NK748" s="133" t="s">
        <v>1485</v>
      </c>
      <c r="NL748" t="s">
        <v>660</v>
      </c>
      <c r="NM748" s="145" t="s">
        <v>508</v>
      </c>
      <c r="NN748" s="133"/>
      <c r="NO748" s="133"/>
      <c r="NP748" s="133"/>
      <c r="NQ748" s="133"/>
      <c r="NR748" s="133"/>
      <c r="NS748" s="133"/>
      <c r="NT748" s="133"/>
      <c r="NU748" s="133"/>
      <c r="NV748" s="146" t="s">
        <v>518</v>
      </c>
      <c r="NW748" s="133">
        <v>695.2</v>
      </c>
      <c r="NX748" s="146" t="s">
        <v>520</v>
      </c>
      <c r="NY748" s="133">
        <v>78</v>
      </c>
      <c r="NZ748" s="154"/>
      <c r="OA748" s="2"/>
      <c r="OB748" s="133">
        <v>4</v>
      </c>
      <c r="OG748" s="2"/>
      <c r="OH748" s="2"/>
      <c r="OI748" s="2"/>
      <c r="OJ748" s="2"/>
      <c r="OK748" s="2"/>
      <c r="OL748" s="2"/>
      <c r="OU748" s="133" t="s">
        <v>1486</v>
      </c>
      <c r="OV748" s="2"/>
      <c r="OW748" s="133">
        <v>2007</v>
      </c>
      <c r="OX748" s="133"/>
      <c r="OY748" s="133"/>
      <c r="OZ748" s="133" t="s">
        <v>692</v>
      </c>
      <c r="PA748" s="2"/>
      <c r="PB748" t="s">
        <v>522</v>
      </c>
      <c r="PC748" s="50">
        <v>46134</v>
      </c>
      <c r="PD748" s="127"/>
    </row>
    <row r="749" spans="1:420" ht="17.25" thickBot="1">
      <c r="A749" t="s">
        <v>469</v>
      </c>
      <c r="B749" t="s">
        <v>1459</v>
      </c>
      <c r="C749" s="80" t="s">
        <v>667</v>
      </c>
      <c r="D749" s="132" t="s">
        <v>950</v>
      </c>
      <c r="E749" s="2" t="s">
        <v>1460</v>
      </c>
      <c r="F749" t="s">
        <v>1179</v>
      </c>
      <c r="G749" s="80" t="s">
        <v>475</v>
      </c>
      <c r="H749" s="132" t="s">
        <v>476</v>
      </c>
      <c r="I749">
        <v>-0.41666666699999999</v>
      </c>
      <c r="J749">
        <v>34.200000000000003</v>
      </c>
      <c r="K749" s="132">
        <v>100</v>
      </c>
      <c r="L749" s="80"/>
      <c r="M749" s="132"/>
      <c r="N749" s="80"/>
      <c r="O749" s="80"/>
      <c r="P749" s="80"/>
      <c r="Q749" s="80"/>
      <c r="R749" s="80"/>
      <c r="S749" s="80"/>
      <c r="T749" s="80"/>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c r="AV749" s="80" t="s">
        <v>1461</v>
      </c>
      <c r="AW749" s="80">
        <v>64</v>
      </c>
      <c r="AX749" s="80">
        <v>0.09</v>
      </c>
      <c r="AY749" s="80">
        <v>1</v>
      </c>
      <c r="AZ749" s="133" t="s">
        <v>1462</v>
      </c>
      <c r="BA749" s="133">
        <v>2007</v>
      </c>
      <c r="BB749" s="133">
        <v>2008</v>
      </c>
      <c r="BC749" s="133" t="s">
        <v>692</v>
      </c>
      <c r="BD749" s="133" t="s">
        <v>1463</v>
      </c>
      <c r="BE749" s="133" t="s">
        <v>524</v>
      </c>
      <c r="BF749" s="133" t="s">
        <v>484</v>
      </c>
      <c r="BG749" s="133" t="s">
        <v>1464</v>
      </c>
      <c r="BH749" s="133" t="s">
        <v>480</v>
      </c>
      <c r="BI749" s="134" t="s">
        <v>486</v>
      </c>
      <c r="BJ749" s="135">
        <v>111000</v>
      </c>
      <c r="BK749" s="133"/>
      <c r="BL749" s="133"/>
      <c r="BM749" s="133"/>
      <c r="BN749" s="133"/>
      <c r="BO749" s="133"/>
      <c r="BP749" s="133"/>
      <c r="BQ749" s="133"/>
      <c r="BR749" s="133"/>
      <c r="BS749" s="133"/>
      <c r="BT749" s="133"/>
      <c r="BU749" s="133"/>
      <c r="BV749" s="3"/>
      <c r="BW749" s="3"/>
      <c r="BX749" s="3"/>
      <c r="BY749" s="3"/>
      <c r="BZ749" s="3"/>
      <c r="CA749" s="3"/>
      <c r="CB749" s="3"/>
      <c r="CC749" s="3"/>
      <c r="CD749" s="3"/>
      <c r="CE749" s="3"/>
      <c r="CF749" s="3"/>
      <c r="CG749" s="3"/>
      <c r="CH749" s="3"/>
      <c r="CI749" s="3"/>
      <c r="CJ749" s="3"/>
      <c r="CK749" s="3"/>
      <c r="CL749" s="3"/>
      <c r="CM749" s="3"/>
      <c r="CN749" s="3"/>
      <c r="CO749" s="3"/>
      <c r="CP749" s="3"/>
      <c r="CQ749" s="3"/>
      <c r="CR749" s="3"/>
      <c r="CS749" s="3"/>
      <c r="CT749" s="3"/>
      <c r="CU749" s="3"/>
      <c r="CV749" s="3"/>
      <c r="CW749" s="3"/>
      <c r="CX749" s="3"/>
      <c r="CY749" s="3"/>
      <c r="CZ749" s="3"/>
      <c r="DA749" s="3"/>
      <c r="DB749" s="3"/>
      <c r="DC749" s="3"/>
      <c r="DD749" s="3"/>
      <c r="DE749" s="3"/>
      <c r="DF749" s="3"/>
      <c r="DG749" s="3"/>
      <c r="DH749" s="3"/>
      <c r="DI749" s="3"/>
      <c r="DJ749" s="3"/>
      <c r="DK749" s="3"/>
      <c r="DL749" s="3"/>
      <c r="DM749" s="3"/>
      <c r="DN749" s="3"/>
      <c r="DO749" s="3"/>
      <c r="DP749" s="3"/>
      <c r="DQ749" s="3"/>
      <c r="DR749" s="3"/>
      <c r="DS749" s="3"/>
      <c r="DT749" s="3"/>
      <c r="DU749" s="3"/>
      <c r="DV749" s="3"/>
      <c r="DW749" s="3"/>
      <c r="DX749" s="3"/>
      <c r="DY749" s="3"/>
      <c r="DZ749" s="3"/>
      <c r="EA749" s="3"/>
      <c r="EB749" s="3"/>
      <c r="EC749" s="3"/>
      <c r="ED749" s="2"/>
      <c r="EE749" s="133"/>
      <c r="EF749" s="133"/>
      <c r="EG749" s="133"/>
      <c r="EH749" s="133"/>
      <c r="EI749" s="133"/>
      <c r="EJ749" s="133"/>
      <c r="EK749" s="133"/>
      <c r="EL749" s="3"/>
      <c r="EM749" s="3"/>
      <c r="EN749" s="3"/>
      <c r="EO749" s="3"/>
      <c r="EP749" s="3"/>
      <c r="EQ749" s="3"/>
      <c r="ER749" s="3"/>
      <c r="ES749" s="3"/>
      <c r="ET749" s="3"/>
      <c r="EU749" s="3"/>
      <c r="EV749" s="3"/>
      <c r="EW749" s="3"/>
      <c r="EX749" s="3"/>
      <c r="EY749" s="3"/>
      <c r="EZ749" s="3"/>
      <c r="FA749" s="3"/>
      <c r="FB749" s="3"/>
      <c r="FC749" s="3"/>
      <c r="FD749" s="3"/>
      <c r="FE749" s="3"/>
      <c r="FF749" s="3"/>
      <c r="FG749" s="3"/>
      <c r="FH749" s="3"/>
      <c r="FI749" s="3"/>
      <c r="FJ749" s="3"/>
      <c r="FK749" s="3"/>
      <c r="FL749" s="3"/>
      <c r="FM749" s="3"/>
      <c r="FN749" s="3"/>
      <c r="FO749" s="3"/>
      <c r="FP749" s="3"/>
      <c r="FQ749" s="3"/>
      <c r="FR749" s="3"/>
      <c r="FS749" s="3"/>
      <c r="FT749" s="3"/>
      <c r="FU749" s="3"/>
      <c r="FV749" s="3"/>
      <c r="FW749" s="3"/>
      <c r="FX749" s="3"/>
      <c r="FY749" s="3"/>
      <c r="FZ749" s="3"/>
      <c r="GA749" s="3"/>
      <c r="GB749" s="3"/>
      <c r="GC749" s="3"/>
      <c r="GD749" s="3"/>
      <c r="GE749" s="3"/>
      <c r="GF749" s="3"/>
      <c r="GG749" s="3"/>
      <c r="GH749" s="3"/>
      <c r="GI749" s="3"/>
      <c r="GJ749" s="3"/>
      <c r="GK749" s="3"/>
      <c r="GL749" s="3"/>
      <c r="GM749" s="3"/>
      <c r="GN749" s="3"/>
      <c r="GO749" s="3"/>
      <c r="GP749" s="3"/>
      <c r="GQ749" s="3"/>
      <c r="GR749" s="3"/>
      <c r="GS749" s="3"/>
      <c r="GT749" s="3"/>
      <c r="GU749" s="3"/>
      <c r="GV749" s="3"/>
      <c r="GW749" s="3"/>
      <c r="GX749" s="3"/>
      <c r="GY749" s="3"/>
      <c r="GZ749" s="3"/>
      <c r="HA749" s="3"/>
      <c r="HB749" s="3"/>
      <c r="HC749" s="3"/>
      <c r="HD749" s="3"/>
      <c r="HE749" s="3"/>
      <c r="HF749" s="3"/>
      <c r="HG749" s="3"/>
      <c r="HH749" s="3"/>
      <c r="HI749" s="3"/>
      <c r="HJ749" s="3"/>
      <c r="HK749" s="133"/>
      <c r="HL749" s="133"/>
      <c r="HM749" s="133"/>
      <c r="HN749" s="133"/>
      <c r="HO749" s="133"/>
      <c r="HP749" s="133"/>
      <c r="HQ749" s="133"/>
      <c r="HR749" s="133"/>
      <c r="HS749" s="134"/>
      <c r="HT749" s="133"/>
      <c r="HU749" s="133"/>
      <c r="HV749" s="133"/>
      <c r="HW749" s="133"/>
      <c r="HX749" s="136"/>
      <c r="HY749" s="133"/>
      <c r="HZ749" s="133"/>
      <c r="IA749" s="133"/>
      <c r="IB749" s="133"/>
      <c r="IC749" s="133"/>
      <c r="ID749" s="133"/>
      <c r="IE749" s="133"/>
      <c r="IF749" s="133"/>
      <c r="IG749" s="133"/>
      <c r="IH749" s="133" t="s">
        <v>1465</v>
      </c>
      <c r="II749" s="137" t="s">
        <v>492</v>
      </c>
      <c r="IJ749" s="137"/>
      <c r="IK749" s="138"/>
      <c r="IL749" s="133"/>
      <c r="IM749" s="133"/>
      <c r="IN749" s="133"/>
      <c r="IQ749" s="133"/>
      <c r="IR749" s="133"/>
      <c r="IS749" s="133"/>
      <c r="IT749" s="133"/>
      <c r="IU749" s="133"/>
      <c r="IV749" s="133"/>
      <c r="IW749" s="133"/>
      <c r="IX749" s="133"/>
      <c r="IY749" s="133"/>
      <c r="IZ749" s="80"/>
      <c r="JA749" s="80"/>
      <c r="JB749" s="80"/>
      <c r="JC749" s="80"/>
      <c r="JD749" s="80"/>
      <c r="JE749" s="80"/>
      <c r="JF749" s="80"/>
      <c r="JG749" s="80"/>
      <c r="JH749" s="80"/>
      <c r="JI749" s="80"/>
      <c r="JJ749" s="80"/>
      <c r="JK749" s="80"/>
      <c r="JL749" s="139" t="s">
        <v>495</v>
      </c>
      <c r="JM749" s="140" t="s">
        <v>1466</v>
      </c>
      <c r="JN749" s="140" t="s">
        <v>1467</v>
      </c>
      <c r="JO749" s="140" t="s">
        <v>1467</v>
      </c>
      <c r="JR749" s="133"/>
      <c r="JS749" s="133"/>
      <c r="JT749" s="133"/>
      <c r="JU749" s="133"/>
      <c r="JV749" s="133"/>
      <c r="JW749" s="133"/>
      <c r="JX749" s="133"/>
      <c r="JY749" s="141"/>
      <c r="JZ749" s="141"/>
      <c r="KA749" s="134"/>
      <c r="KB749" s="133"/>
      <c r="KC749" s="134"/>
      <c r="KD749" s="133"/>
      <c r="KE749" s="133"/>
      <c r="KF749" s="133"/>
      <c r="KG749" s="134"/>
      <c r="KH749" s="134"/>
      <c r="KI749" s="137"/>
      <c r="KJ749" s="142"/>
      <c r="KK749" s="133"/>
      <c r="KL749" s="133"/>
      <c r="KM749" s="133"/>
      <c r="KN749" s="133"/>
      <c r="KO749" s="134"/>
      <c r="KP749" s="133"/>
      <c r="KQ749" s="137"/>
      <c r="KR749" s="142"/>
      <c r="KS749" s="133"/>
      <c r="KT749" s="133"/>
      <c r="KU749" s="143"/>
      <c r="KV749" s="142"/>
      <c r="KW749" s="133"/>
      <c r="KX749" s="133"/>
      <c r="KY749" s="133"/>
      <c r="KZ749" s="3"/>
      <c r="LA749" s="3"/>
      <c r="LB749" s="3"/>
      <c r="LC749" s="3"/>
      <c r="LD749" s="3"/>
      <c r="LE749" s="3"/>
      <c r="LF749" s="3"/>
      <c r="LG749" s="3"/>
      <c r="LH749" s="134"/>
      <c r="LI749" s="134"/>
      <c r="LJ749" s="134"/>
      <c r="LK749" s="134"/>
      <c r="LL749" s="134"/>
      <c r="LM749" s="134"/>
      <c r="LN749" s="134"/>
      <c r="LO749" s="134"/>
      <c r="LP749" s="134"/>
      <c r="LQ749" s="133"/>
      <c r="LR749" s="133"/>
      <c r="LS749" s="133"/>
      <c r="LT749" s="133"/>
      <c r="LU749" s="133"/>
      <c r="LV749" s="133"/>
      <c r="LW749" s="133"/>
      <c r="LX749" s="133"/>
      <c r="LY749" s="133"/>
      <c r="LZ749" s="80"/>
      <c r="MA749" s="80"/>
      <c r="MB749" s="80"/>
      <c r="MC749" s="80"/>
      <c r="MD749" s="80"/>
      <c r="ME749" s="144"/>
      <c r="MF749" s="144"/>
      <c r="MG749" s="144"/>
      <c r="MH749" s="2"/>
      <c r="MI749" s="133"/>
      <c r="MJ749" s="133"/>
      <c r="MK749" s="133"/>
      <c r="ML749" s="80"/>
      <c r="MM749" s="80"/>
      <c r="MN749" s="80"/>
      <c r="MO749" s="80"/>
      <c r="MP749" s="80"/>
      <c r="MQ749" s="80"/>
      <c r="MR749" s="80"/>
      <c r="MS749" s="80"/>
      <c r="MT749" s="133"/>
      <c r="MU749" s="133"/>
      <c r="MV749" s="133"/>
      <c r="MW749" s="133"/>
      <c r="MX749" s="133"/>
      <c r="MY749" s="133" t="s">
        <v>1468</v>
      </c>
      <c r="MZ749" s="80">
        <v>64</v>
      </c>
      <c r="NA749" s="133" t="s">
        <v>1478</v>
      </c>
      <c r="NB749" s="144" t="s">
        <v>1479</v>
      </c>
      <c r="NC749" s="144"/>
      <c r="ND749" s="144"/>
      <c r="NE749" s="144"/>
      <c r="NF749" s="144"/>
      <c r="NG749" s="144"/>
      <c r="NH749" s="144"/>
      <c r="NI749" s="133"/>
      <c r="NJ749" s="133" t="s">
        <v>1484</v>
      </c>
      <c r="NK749" s="133" t="s">
        <v>1487</v>
      </c>
      <c r="NL749" t="s">
        <v>660</v>
      </c>
      <c r="NM749" s="145" t="s">
        <v>508</v>
      </c>
      <c r="NN749" s="133"/>
      <c r="NO749" s="133"/>
      <c r="NP749" s="133"/>
      <c r="NQ749" s="133"/>
      <c r="NR749" s="133"/>
      <c r="NS749" s="133"/>
      <c r="NT749" s="133"/>
      <c r="NU749" s="133" t="s">
        <v>536</v>
      </c>
      <c r="NV749" s="146" t="s">
        <v>518</v>
      </c>
      <c r="NW749" s="2">
        <v>240.6</v>
      </c>
      <c r="NX749" s="146" t="s">
        <v>520</v>
      </c>
      <c r="NY749" s="2">
        <v>27</v>
      </c>
      <c r="NZ749" s="147"/>
      <c r="OA749" s="133"/>
      <c r="OB749" s="133">
        <v>4</v>
      </c>
      <c r="OG749" s="133"/>
      <c r="OH749" s="133"/>
      <c r="OI749" s="133"/>
      <c r="OJ749" s="133"/>
      <c r="OK749" s="133"/>
      <c r="OL749" s="133"/>
      <c r="OM749" s="133"/>
      <c r="ON749" s="133"/>
      <c r="OO749" s="133"/>
      <c r="OP749" s="133"/>
      <c r="OQ749" s="133"/>
      <c r="OR749" s="133"/>
      <c r="OS749" s="133"/>
      <c r="OT749" s="133"/>
      <c r="OU749" s="133" t="s">
        <v>1486</v>
      </c>
      <c r="OV749" s="133"/>
      <c r="OW749" s="133">
        <v>2007</v>
      </c>
      <c r="OX749" s="133"/>
      <c r="OY749" s="133"/>
      <c r="OZ749" s="133" t="s">
        <v>692</v>
      </c>
      <c r="PA749" s="133"/>
      <c r="PB749" t="s">
        <v>522</v>
      </c>
      <c r="PC749" s="50">
        <v>46134</v>
      </c>
      <c r="PD749" s="127"/>
    </row>
    <row r="750" spans="1:420" ht="15.75" thickBot="1">
      <c r="A750" t="s">
        <v>469</v>
      </c>
      <c r="B750" t="s">
        <v>1459</v>
      </c>
      <c r="C750" s="80" t="s">
        <v>667</v>
      </c>
      <c r="D750" s="132" t="s">
        <v>950</v>
      </c>
      <c r="E750" s="2" t="s">
        <v>1460</v>
      </c>
      <c r="F750" t="s">
        <v>1179</v>
      </c>
      <c r="G750" s="80" t="s">
        <v>475</v>
      </c>
      <c r="H750" s="132" t="s">
        <v>476</v>
      </c>
      <c r="I750">
        <v>-0.41666666699999999</v>
      </c>
      <c r="J750">
        <v>34.200000000000003</v>
      </c>
      <c r="K750" s="132">
        <v>100</v>
      </c>
      <c r="L750" s="2"/>
      <c r="M750" s="88"/>
      <c r="N750" s="2"/>
      <c r="O750" s="80"/>
      <c r="P750" s="2"/>
      <c r="Q750" s="2"/>
      <c r="R750" s="80"/>
      <c r="S750" s="80"/>
      <c r="T750" s="80"/>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c r="AV750" s="80" t="s">
        <v>1461</v>
      </c>
      <c r="AW750" s="80">
        <v>64</v>
      </c>
      <c r="AX750" s="80">
        <v>0.09</v>
      </c>
      <c r="AY750" s="80">
        <v>1</v>
      </c>
      <c r="AZ750" s="133" t="s">
        <v>1462</v>
      </c>
      <c r="BA750" s="133">
        <v>2007</v>
      </c>
      <c r="BB750" s="133">
        <v>2008</v>
      </c>
      <c r="BC750" s="133" t="s">
        <v>709</v>
      </c>
      <c r="BD750" s="2" t="s">
        <v>1473</v>
      </c>
      <c r="BE750" s="2" t="s">
        <v>536</v>
      </c>
      <c r="BF750" s="133" t="s">
        <v>484</v>
      </c>
      <c r="BG750" s="2" t="s">
        <v>1464</v>
      </c>
      <c r="BH750" s="133" t="s">
        <v>480</v>
      </c>
      <c r="BI750" s="134" t="s">
        <v>486</v>
      </c>
      <c r="BJ750" s="135">
        <v>55500</v>
      </c>
      <c r="BK750" s="2" t="s">
        <v>537</v>
      </c>
      <c r="BL750" t="s">
        <v>1474</v>
      </c>
      <c r="BM750" s="133" t="s">
        <v>480</v>
      </c>
      <c r="BN750" s="2" t="s">
        <v>486</v>
      </c>
      <c r="BO750" s="2">
        <v>55000</v>
      </c>
      <c r="BP750" s="2"/>
      <c r="BQ750" s="2"/>
      <c r="BR750" s="2"/>
      <c r="BS750" s="2"/>
      <c r="BT750" s="2"/>
      <c r="BU750" s="2"/>
      <c r="BV750" s="3"/>
      <c r="BW750" s="3"/>
      <c r="BX750" s="3"/>
      <c r="BY750" s="3"/>
      <c r="BZ750" s="3"/>
      <c r="CA750" s="3"/>
      <c r="CB750" s="3"/>
      <c r="CC750" s="3"/>
      <c r="CD750" s="3"/>
      <c r="CE750" s="3"/>
      <c r="CF750" s="3"/>
      <c r="CG750" s="3"/>
      <c r="CH750" s="3"/>
      <c r="CI750" s="3"/>
      <c r="CJ750" s="3"/>
      <c r="CK750" s="3"/>
      <c r="CL750" s="3"/>
      <c r="CM750" s="3"/>
      <c r="CN750" s="3"/>
      <c r="CO750" s="3"/>
      <c r="CP750" s="3"/>
      <c r="CQ750" s="3"/>
      <c r="CR750" s="3"/>
      <c r="CS750" s="3"/>
      <c r="CT750" s="3"/>
      <c r="CU750" s="3"/>
      <c r="CV750" s="3"/>
      <c r="CW750" s="3"/>
      <c r="CX750" s="3"/>
      <c r="CY750" s="3"/>
      <c r="CZ750" s="3"/>
      <c r="DA750" s="3"/>
      <c r="DB750" s="3"/>
      <c r="DC750" s="3"/>
      <c r="DD750" s="3"/>
      <c r="DE750" s="3"/>
      <c r="DF750" s="3"/>
      <c r="DG750" s="3"/>
      <c r="DH750" s="3"/>
      <c r="DI750" s="3"/>
      <c r="DJ750" s="3"/>
      <c r="DK750" s="3"/>
      <c r="DL750" s="3"/>
      <c r="DM750" s="3"/>
      <c r="DN750" s="3"/>
      <c r="DO750" s="3"/>
      <c r="DP750" s="3"/>
      <c r="DQ750" s="3"/>
      <c r="DR750" s="3"/>
      <c r="DS750" s="3"/>
      <c r="DT750" s="3"/>
      <c r="DU750" s="3"/>
      <c r="DV750" s="3"/>
      <c r="DW750" s="3"/>
      <c r="DX750" s="3"/>
      <c r="DY750" s="3"/>
      <c r="DZ750" s="3"/>
      <c r="EA750" s="3"/>
      <c r="EB750" s="3"/>
      <c r="EC750" s="3"/>
      <c r="ED750" s="2"/>
      <c r="EE750" s="2"/>
      <c r="EF750" s="2"/>
      <c r="EG750" s="2"/>
      <c r="EH750" s="2"/>
      <c r="EI750" s="2"/>
      <c r="EJ750" s="2"/>
      <c r="EK750" s="2"/>
      <c r="EL750" s="3"/>
      <c r="EM750" s="3"/>
      <c r="EN750" s="3"/>
      <c r="EO750" s="3"/>
      <c r="EP750" s="3"/>
      <c r="EQ750" s="3"/>
      <c r="ER750" s="3"/>
      <c r="ES750" s="3"/>
      <c r="ET750" s="3"/>
      <c r="EU750" s="3"/>
      <c r="EV750" s="3"/>
      <c r="EW750" s="3"/>
      <c r="EX750" s="3"/>
      <c r="EY750" s="3"/>
      <c r="EZ750" s="3"/>
      <c r="FA750" s="3"/>
      <c r="FB750" s="3"/>
      <c r="FC750" s="3"/>
      <c r="FD750" s="3"/>
      <c r="FE750" s="3"/>
      <c r="FF750" s="3"/>
      <c r="FG750" s="3"/>
      <c r="FH750" s="3"/>
      <c r="FI750" s="3"/>
      <c r="FJ750" s="3"/>
      <c r="FK750" s="3"/>
      <c r="FL750" s="3"/>
      <c r="FM750" s="3"/>
      <c r="FN750" s="3"/>
      <c r="FO750" s="3"/>
      <c r="FP750" s="3"/>
      <c r="FQ750" s="3"/>
      <c r="FR750" s="3"/>
      <c r="FS750" s="3"/>
      <c r="FT750" s="3"/>
      <c r="FU750" s="3"/>
      <c r="FV750" s="3"/>
      <c r="FW750" s="3"/>
      <c r="FX750" s="3"/>
      <c r="FY750" s="3"/>
      <c r="FZ750" s="3"/>
      <c r="GA750" s="3"/>
      <c r="GB750" s="3"/>
      <c r="GC750" s="3"/>
      <c r="GD750" s="3"/>
      <c r="GE750" s="3"/>
      <c r="GF750" s="3"/>
      <c r="GG750" s="3"/>
      <c r="GH750" s="3"/>
      <c r="GI750" s="3"/>
      <c r="GJ750" s="3"/>
      <c r="GK750" s="3"/>
      <c r="GL750" s="3"/>
      <c r="GM750" s="3"/>
      <c r="GN750" s="3"/>
      <c r="GO750" s="3"/>
      <c r="GP750" s="3"/>
      <c r="GQ750" s="3"/>
      <c r="GR750" s="3"/>
      <c r="GS750" s="3"/>
      <c r="GT750" s="3"/>
      <c r="GU750" s="3"/>
      <c r="GV750" s="3"/>
      <c r="GW750" s="3"/>
      <c r="GX750" s="3"/>
      <c r="GY750" s="3"/>
      <c r="GZ750" s="3"/>
      <c r="HA750" s="3"/>
      <c r="HB750" s="3"/>
      <c r="HC750" s="3"/>
      <c r="HD750" s="3"/>
      <c r="HE750" s="3"/>
      <c r="HF750" s="3"/>
      <c r="HG750" s="3"/>
      <c r="HH750" s="3"/>
      <c r="HI750" s="3"/>
      <c r="HJ750" s="3"/>
      <c r="HK750" s="2"/>
      <c r="HL750" s="2"/>
      <c r="HM750" s="2"/>
      <c r="HN750" s="2"/>
      <c r="HO750" s="2"/>
      <c r="HP750" s="2"/>
      <c r="HQ750" s="2"/>
      <c r="HR750" s="2"/>
      <c r="HS750" s="88"/>
      <c r="HT750" s="2"/>
      <c r="HU750" s="2"/>
      <c r="HV750" s="2"/>
      <c r="HW750" s="2"/>
      <c r="HX750" s="2"/>
      <c r="HY750" s="2"/>
      <c r="HZ750" s="2"/>
      <c r="IA750" s="2"/>
      <c r="IB750" s="2"/>
      <c r="IC750" s="2"/>
      <c r="ID750" s="2"/>
      <c r="IE750" s="2"/>
      <c r="IF750" s="2"/>
      <c r="IG750" s="2"/>
      <c r="IH750" s="133" t="s">
        <v>1465</v>
      </c>
      <c r="II750" s="75" t="s">
        <v>929</v>
      </c>
      <c r="IJ750" s="149" t="s">
        <v>983</v>
      </c>
      <c r="IK750" s="150" t="s">
        <v>543</v>
      </c>
      <c r="IL750" s="2">
        <v>2007</v>
      </c>
      <c r="IM750" s="2" t="s">
        <v>692</v>
      </c>
      <c r="IN750" s="2" t="s">
        <v>480</v>
      </c>
      <c r="IQ750" s="2"/>
      <c r="IR750" s="2"/>
      <c r="IS750" s="2"/>
      <c r="IT750" s="2"/>
      <c r="IU750" s="2"/>
      <c r="IV750" s="2"/>
      <c r="IW750" s="2"/>
      <c r="IX750" s="2"/>
      <c r="IY750" s="2"/>
      <c r="IZ750" s="2"/>
      <c r="JA750" s="2"/>
      <c r="JB750" s="2"/>
      <c r="JC750" s="2"/>
      <c r="JD750" s="2"/>
      <c r="JE750" s="2"/>
      <c r="JF750" s="2"/>
      <c r="JG750" s="2"/>
      <c r="JH750" s="2"/>
      <c r="JI750" s="2"/>
      <c r="JJ750" s="2"/>
      <c r="JK750" s="2"/>
      <c r="JL750" s="139" t="s">
        <v>495</v>
      </c>
      <c r="JM750" s="140" t="s">
        <v>1466</v>
      </c>
      <c r="JN750" s="140" t="s">
        <v>1467</v>
      </c>
      <c r="JO750" s="140" t="s">
        <v>1467</v>
      </c>
      <c r="JR750" s="2"/>
      <c r="JS750" s="2"/>
      <c r="JT750" s="2"/>
      <c r="JU750" s="2"/>
      <c r="JV750" s="2"/>
      <c r="JW750" s="2"/>
      <c r="JX750" s="2"/>
      <c r="JY750" s="141"/>
      <c r="JZ750" s="151"/>
      <c r="KA750" s="88"/>
      <c r="KB750" s="2"/>
      <c r="KC750" s="88"/>
      <c r="KD750" s="2"/>
      <c r="KE750" s="2"/>
      <c r="KF750" s="2"/>
      <c r="KG750" s="88"/>
      <c r="KH750" s="2"/>
      <c r="KI750" s="148"/>
      <c r="KJ750" s="152"/>
      <c r="KK750" s="2"/>
      <c r="KL750" s="2"/>
      <c r="KM750" s="2"/>
      <c r="KN750" s="2"/>
      <c r="KO750" s="88"/>
      <c r="KP750" s="2"/>
      <c r="KQ750" s="148"/>
      <c r="KR750" s="152"/>
      <c r="KS750" s="2"/>
      <c r="KT750" s="2"/>
      <c r="KU750" s="143"/>
      <c r="KV750" s="161"/>
      <c r="KW750" s="2"/>
      <c r="KX750" s="2"/>
      <c r="KY750" s="2"/>
      <c r="KZ750" s="3"/>
      <c r="LA750" s="3"/>
      <c r="LB750" s="3"/>
      <c r="LC750" s="3"/>
      <c r="LD750" s="3"/>
      <c r="LE750" s="3"/>
      <c r="LF750" s="3"/>
      <c r="LG750" s="3"/>
      <c r="LH750" s="88"/>
      <c r="LI750" s="88"/>
      <c r="LJ750" s="88"/>
      <c r="LK750" s="88"/>
      <c r="LL750" s="88"/>
      <c r="LM750" s="2"/>
      <c r="LN750" s="88"/>
      <c r="LO750" s="88"/>
      <c r="LP750" s="88"/>
      <c r="LQ750" s="2"/>
      <c r="LR750" s="2"/>
      <c r="LS750" s="2"/>
      <c r="LT750" s="2"/>
      <c r="LU750" s="2"/>
      <c r="LV750" s="2"/>
      <c r="LW750" s="2"/>
      <c r="LX750" s="2"/>
      <c r="LY750" s="2"/>
      <c r="LZ750" s="2"/>
      <c r="MA750" s="2"/>
      <c r="MB750" s="2"/>
      <c r="MC750" s="2"/>
      <c r="MD750" s="2"/>
      <c r="ME750" s="2"/>
      <c r="MF750" s="2"/>
      <c r="MG750" s="2"/>
      <c r="MH750" s="2"/>
      <c r="MI750" s="2"/>
      <c r="MJ750" s="2"/>
      <c r="MK750" s="2"/>
      <c r="ML750" s="2"/>
      <c r="MM750" s="2"/>
      <c r="MN750" s="2"/>
      <c r="MO750" s="2"/>
      <c r="MP750" s="2"/>
      <c r="MQ750" s="2"/>
      <c r="MR750" s="2"/>
      <c r="MS750" s="2"/>
      <c r="MT750" s="2"/>
      <c r="MU750" s="2"/>
      <c r="MV750" s="2"/>
      <c r="MW750" s="2"/>
      <c r="MX750" s="2"/>
      <c r="MY750" s="133" t="s">
        <v>1468</v>
      </c>
      <c r="MZ750" s="80">
        <v>64</v>
      </c>
      <c r="NA750" s="133" t="s">
        <v>1478</v>
      </c>
      <c r="NB750" s="144" t="s">
        <v>1479</v>
      </c>
      <c r="NC750" s="144"/>
      <c r="ND750" s="144"/>
      <c r="NE750" s="144"/>
      <c r="NF750" s="144"/>
      <c r="NG750" s="144"/>
      <c r="NH750" s="144"/>
      <c r="NI750" s="133"/>
      <c r="NJ750" s="133" t="s">
        <v>1484</v>
      </c>
      <c r="NK750" s="133" t="s">
        <v>1485</v>
      </c>
      <c r="NL750" t="s">
        <v>660</v>
      </c>
      <c r="NM750" s="145" t="s">
        <v>508</v>
      </c>
      <c r="NN750" s="133"/>
      <c r="NO750" s="133"/>
      <c r="NP750" s="133"/>
      <c r="NQ750" s="133"/>
      <c r="NR750" s="133"/>
      <c r="NS750" s="133"/>
      <c r="NT750" s="133"/>
      <c r="NU750" s="133"/>
      <c r="NV750" s="146" t="s">
        <v>518</v>
      </c>
      <c r="NW750" s="80">
        <v>935.8</v>
      </c>
      <c r="NX750" s="146" t="s">
        <v>520</v>
      </c>
      <c r="NY750" s="80">
        <v>90</v>
      </c>
      <c r="NZ750" s="154"/>
      <c r="OA750" s="2"/>
      <c r="OB750" s="133">
        <v>4</v>
      </c>
      <c r="OG750" s="2"/>
      <c r="OH750" s="2"/>
      <c r="OI750" s="2"/>
      <c r="OJ750" s="2"/>
      <c r="OK750" s="2"/>
      <c r="OL750" s="2"/>
      <c r="OU750" s="133" t="s">
        <v>1486</v>
      </c>
      <c r="OV750" s="2"/>
      <c r="OW750" s="2">
        <v>2007</v>
      </c>
      <c r="OX750" s="2"/>
      <c r="OY750" s="2"/>
      <c r="OZ750" s="2" t="s">
        <v>709</v>
      </c>
      <c r="PA750" s="2"/>
      <c r="PB750" t="s">
        <v>522</v>
      </c>
      <c r="PC750" s="50">
        <v>46134</v>
      </c>
      <c r="PD750" s="127"/>
    </row>
    <row r="751" spans="1:420" ht="15.75" thickBot="1">
      <c r="A751" t="s">
        <v>469</v>
      </c>
      <c r="B751" t="s">
        <v>1459</v>
      </c>
      <c r="C751" s="80" t="s">
        <v>667</v>
      </c>
      <c r="D751" s="132" t="s">
        <v>950</v>
      </c>
      <c r="E751" s="2" t="s">
        <v>1460</v>
      </c>
      <c r="F751" t="s">
        <v>1179</v>
      </c>
      <c r="G751" s="80" t="s">
        <v>475</v>
      </c>
      <c r="H751" s="132" t="s">
        <v>476</v>
      </c>
      <c r="I751">
        <v>-0.41666666699999999</v>
      </c>
      <c r="J751">
        <v>34.200000000000003</v>
      </c>
      <c r="K751" s="132">
        <v>100</v>
      </c>
      <c r="L751" s="80"/>
      <c r="M751" s="132"/>
      <c r="N751" s="80"/>
      <c r="O751" s="80"/>
      <c r="P751" s="80"/>
      <c r="Q751" s="80"/>
      <c r="R751" s="80"/>
      <c r="S751" s="80"/>
      <c r="T751" s="80"/>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c r="AV751" s="80" t="s">
        <v>1461</v>
      </c>
      <c r="AW751" s="80">
        <v>64</v>
      </c>
      <c r="AX751" s="80">
        <v>0.09</v>
      </c>
      <c r="AY751" s="80">
        <v>1</v>
      </c>
      <c r="AZ751" s="133" t="s">
        <v>1462</v>
      </c>
      <c r="BA751" s="133">
        <v>2007</v>
      </c>
      <c r="BB751" s="133">
        <v>2008</v>
      </c>
      <c r="BC751" s="133" t="s">
        <v>709</v>
      </c>
      <c r="BD751" s="133" t="s">
        <v>1463</v>
      </c>
      <c r="BE751" s="133" t="s">
        <v>524</v>
      </c>
      <c r="BF751" s="133" t="s">
        <v>484</v>
      </c>
      <c r="BG751" s="133" t="s">
        <v>1464</v>
      </c>
      <c r="BH751" s="133" t="s">
        <v>480</v>
      </c>
      <c r="BI751" s="134" t="s">
        <v>486</v>
      </c>
      <c r="BJ751" s="135">
        <v>111000</v>
      </c>
      <c r="BK751" s="80"/>
      <c r="BL751" s="80"/>
      <c r="BM751" s="80"/>
      <c r="BN751" s="132"/>
      <c r="BO751" s="155"/>
      <c r="BP751" s="80"/>
      <c r="BQ751" s="80"/>
      <c r="BR751" s="80"/>
      <c r="BS751" s="80"/>
      <c r="BT751" s="80"/>
      <c r="BU751" s="80"/>
      <c r="BV751" s="3"/>
      <c r="BW751" s="3"/>
      <c r="BX751" s="3"/>
      <c r="BY751" s="3"/>
      <c r="BZ751" s="3"/>
      <c r="CA751" s="3"/>
      <c r="CB751" s="3"/>
      <c r="CC751" s="3"/>
      <c r="CD751" s="3"/>
      <c r="CE751" s="3"/>
      <c r="CF751" s="3"/>
      <c r="CG751" s="3"/>
      <c r="CH751" s="3"/>
      <c r="CI751" s="3"/>
      <c r="CJ751" s="3"/>
      <c r="CK751" s="3"/>
      <c r="CL751" s="3"/>
      <c r="CM751" s="3"/>
      <c r="CN751" s="3"/>
      <c r="CO751" s="3"/>
      <c r="CP751" s="3"/>
      <c r="CQ751" s="3"/>
      <c r="CR751" s="3"/>
      <c r="CS751" s="3"/>
      <c r="CT751" s="3"/>
      <c r="CU751" s="3"/>
      <c r="CV751" s="3"/>
      <c r="CW751" s="3"/>
      <c r="CX751" s="3"/>
      <c r="CY751" s="3"/>
      <c r="CZ751" s="3"/>
      <c r="DA751" s="3"/>
      <c r="DB751" s="3"/>
      <c r="DC751" s="3"/>
      <c r="DD751" s="3"/>
      <c r="DE751" s="3"/>
      <c r="DF751" s="3"/>
      <c r="DG751" s="3"/>
      <c r="DH751" s="3"/>
      <c r="DI751" s="3"/>
      <c r="DJ751" s="3"/>
      <c r="DK751" s="3"/>
      <c r="DL751" s="3"/>
      <c r="DM751" s="3"/>
      <c r="DN751" s="3"/>
      <c r="DO751" s="3"/>
      <c r="DP751" s="3"/>
      <c r="DQ751" s="3"/>
      <c r="DR751" s="3"/>
      <c r="DS751" s="3"/>
      <c r="DT751" s="3"/>
      <c r="DU751" s="3"/>
      <c r="DV751" s="3"/>
      <c r="DW751" s="3"/>
      <c r="DX751" s="3"/>
      <c r="DY751" s="3"/>
      <c r="DZ751" s="3"/>
      <c r="EA751" s="3"/>
      <c r="EB751" s="3"/>
      <c r="EC751" s="3"/>
      <c r="ED751" s="80"/>
      <c r="EE751" s="80"/>
      <c r="EF751" s="80"/>
      <c r="EG751" s="80"/>
      <c r="EH751" s="80"/>
      <c r="EI751" s="80"/>
      <c r="EJ751" s="80"/>
      <c r="EK751" s="80"/>
      <c r="EL751" s="3"/>
      <c r="EM751" s="3"/>
      <c r="EN751" s="3"/>
      <c r="EO751" s="3"/>
      <c r="EP751" s="3"/>
      <c r="EQ751" s="3"/>
      <c r="ER751" s="3"/>
      <c r="ES751" s="3"/>
      <c r="ET751" s="3"/>
      <c r="EU751" s="3"/>
      <c r="EV751" s="3"/>
      <c r="EW751" s="3"/>
      <c r="EX751" s="3"/>
      <c r="EY751" s="3"/>
      <c r="EZ751" s="3"/>
      <c r="FA751" s="3"/>
      <c r="FB751" s="3"/>
      <c r="FC751" s="3"/>
      <c r="FD751" s="3"/>
      <c r="FE751" s="3"/>
      <c r="FF751" s="3"/>
      <c r="FG751" s="3"/>
      <c r="FH751" s="3"/>
      <c r="FI751" s="3"/>
      <c r="FJ751" s="3"/>
      <c r="FK751" s="3"/>
      <c r="FL751" s="3"/>
      <c r="FM751" s="3"/>
      <c r="FN751" s="3"/>
      <c r="FO751" s="3"/>
      <c r="FP751" s="3"/>
      <c r="FQ751" s="3"/>
      <c r="FR751" s="3"/>
      <c r="FS751" s="3"/>
      <c r="FT751" s="3"/>
      <c r="FU751" s="3"/>
      <c r="FV751" s="3"/>
      <c r="FW751" s="3"/>
      <c r="FX751" s="3"/>
      <c r="FY751" s="3"/>
      <c r="FZ751" s="3"/>
      <c r="GA751" s="3"/>
      <c r="GB751" s="3"/>
      <c r="GC751" s="3"/>
      <c r="GD751" s="3"/>
      <c r="GE751" s="3"/>
      <c r="GF751" s="3"/>
      <c r="GG751" s="3"/>
      <c r="GH751" s="3"/>
      <c r="GI751" s="3"/>
      <c r="GJ751" s="3"/>
      <c r="GK751" s="3"/>
      <c r="GL751" s="3"/>
      <c r="GM751" s="3"/>
      <c r="GN751" s="3"/>
      <c r="GO751" s="3"/>
      <c r="GP751" s="3"/>
      <c r="GQ751" s="3"/>
      <c r="GR751" s="3"/>
      <c r="GS751" s="3"/>
      <c r="GT751" s="3"/>
      <c r="GU751" s="3"/>
      <c r="GV751" s="3"/>
      <c r="GW751" s="3"/>
      <c r="GX751" s="3"/>
      <c r="GY751" s="3"/>
      <c r="GZ751" s="3"/>
      <c r="HA751" s="3"/>
      <c r="HB751" s="3"/>
      <c r="HC751" s="3"/>
      <c r="HD751" s="3"/>
      <c r="HE751" s="3"/>
      <c r="HF751" s="3"/>
      <c r="HG751" s="3"/>
      <c r="HH751" s="3"/>
      <c r="HI751" s="3"/>
      <c r="HJ751" s="3"/>
      <c r="HK751" s="80"/>
      <c r="HL751" s="80"/>
      <c r="HM751" s="80"/>
      <c r="HN751" s="80"/>
      <c r="HO751" s="80"/>
      <c r="HP751" s="80"/>
      <c r="HQ751" s="80"/>
      <c r="HR751" s="80"/>
      <c r="HS751" s="132"/>
      <c r="HT751" s="80"/>
      <c r="HU751" s="80"/>
      <c r="HV751" s="80"/>
      <c r="HW751" s="80"/>
      <c r="HX751" s="80"/>
      <c r="HY751" s="80"/>
      <c r="HZ751" s="80"/>
      <c r="IA751" s="80"/>
      <c r="IB751" s="80"/>
      <c r="IC751" s="80"/>
      <c r="ID751" s="80"/>
      <c r="IE751" s="80"/>
      <c r="IF751" s="80"/>
      <c r="IG751" s="80"/>
      <c r="IH751" s="133" t="s">
        <v>1465</v>
      </c>
      <c r="II751" s="137" t="s">
        <v>492</v>
      </c>
      <c r="IJ751" s="156"/>
      <c r="IK751" s="157"/>
      <c r="IL751" s="80"/>
      <c r="IM751" s="80"/>
      <c r="IN751" s="132"/>
      <c r="IQ751" s="80"/>
      <c r="IR751" s="80"/>
      <c r="IS751" s="80"/>
      <c r="IT751" s="80"/>
      <c r="IU751" s="80"/>
      <c r="IV751" s="80"/>
      <c r="IW751" s="80"/>
      <c r="IX751" s="80"/>
      <c r="IY751" s="80"/>
      <c r="IZ751" s="80"/>
      <c r="JA751" s="80"/>
      <c r="JB751" s="80"/>
      <c r="JC751" s="80"/>
      <c r="JD751" s="80"/>
      <c r="JE751" s="80"/>
      <c r="JF751" s="80"/>
      <c r="JG751" s="80"/>
      <c r="JH751" s="80"/>
      <c r="JI751" s="80"/>
      <c r="JJ751" s="80"/>
      <c r="JK751" s="80"/>
      <c r="JL751" s="139" t="s">
        <v>495</v>
      </c>
      <c r="JM751" s="140" t="s">
        <v>1466</v>
      </c>
      <c r="JN751" s="140" t="s">
        <v>1467</v>
      </c>
      <c r="JO751" s="140" t="s">
        <v>1467</v>
      </c>
      <c r="JR751" s="80"/>
      <c r="JS751" s="80"/>
      <c r="JT751" s="80"/>
      <c r="JU751" s="80"/>
      <c r="JV751" s="80"/>
      <c r="JW751" s="80"/>
      <c r="JX751" s="80"/>
      <c r="JY751" s="141"/>
      <c r="JZ751" s="139"/>
      <c r="KA751" s="132"/>
      <c r="KB751" s="80"/>
      <c r="KC751" s="132"/>
      <c r="KD751" s="80"/>
      <c r="KE751" s="80"/>
      <c r="KF751" s="80"/>
      <c r="KG751" s="132"/>
      <c r="KH751" s="80"/>
      <c r="KI751" s="137"/>
      <c r="KJ751" s="158"/>
      <c r="KK751" s="80"/>
      <c r="KL751" s="80"/>
      <c r="KM751" s="80"/>
      <c r="KN751" s="80"/>
      <c r="KO751" s="132"/>
      <c r="KP751" s="80"/>
      <c r="KQ751" s="137"/>
      <c r="KR751" s="158"/>
      <c r="KS751" s="80"/>
      <c r="KT751" s="80"/>
      <c r="KU751" s="143"/>
      <c r="KV751" s="159"/>
      <c r="KW751" s="80"/>
      <c r="KX751" s="80"/>
      <c r="KY751" s="80"/>
      <c r="KZ751" s="3"/>
      <c r="LA751" s="3"/>
      <c r="LB751" s="3"/>
      <c r="LC751" s="3"/>
      <c r="LD751" s="3"/>
      <c r="LE751" s="3"/>
      <c r="LF751" s="3"/>
      <c r="LG751" s="3"/>
      <c r="LH751" s="132"/>
      <c r="LI751" s="132"/>
      <c r="LJ751" s="132"/>
      <c r="LK751" s="132"/>
      <c r="LL751" s="132"/>
      <c r="LM751" s="80"/>
      <c r="LN751" s="132"/>
      <c r="LO751" s="132"/>
      <c r="LP751" s="132"/>
      <c r="LQ751" s="80"/>
      <c r="LR751" s="80"/>
      <c r="LS751" s="80"/>
      <c r="LT751" s="80"/>
      <c r="LU751" s="80"/>
      <c r="LV751" s="80"/>
      <c r="LW751" s="80"/>
      <c r="LX751" s="80"/>
      <c r="LY751" s="80"/>
      <c r="LZ751" s="80"/>
      <c r="MA751" s="80"/>
      <c r="MB751" s="80"/>
      <c r="MC751" s="80"/>
      <c r="MD751" s="80"/>
      <c r="ME751" s="80"/>
      <c r="MF751" s="80"/>
      <c r="MG751" s="80"/>
      <c r="MH751" s="80"/>
      <c r="MI751" s="80"/>
      <c r="MJ751" s="80"/>
      <c r="MK751" s="80"/>
      <c r="ML751" s="80"/>
      <c r="MM751" s="80"/>
      <c r="MN751" s="80"/>
      <c r="MO751" s="80"/>
      <c r="MP751" s="80"/>
      <c r="MQ751" s="80"/>
      <c r="MR751" s="80"/>
      <c r="MS751" s="80"/>
      <c r="MT751" s="80"/>
      <c r="MU751" s="80"/>
      <c r="MV751" s="80"/>
      <c r="MW751" s="80"/>
      <c r="MX751" s="80"/>
      <c r="MY751" s="133" t="s">
        <v>1468</v>
      </c>
      <c r="MZ751" s="80">
        <v>64</v>
      </c>
      <c r="NA751" s="133" t="s">
        <v>1478</v>
      </c>
      <c r="NB751" s="144" t="s">
        <v>1479</v>
      </c>
      <c r="NC751" s="144"/>
      <c r="ND751" s="144"/>
      <c r="NE751" s="144"/>
      <c r="NF751" s="144"/>
      <c r="NG751" s="144"/>
      <c r="NH751" s="144"/>
      <c r="NI751" s="133"/>
      <c r="NJ751" s="133" t="s">
        <v>1484</v>
      </c>
      <c r="NK751" s="133" t="s">
        <v>1487</v>
      </c>
      <c r="NL751" t="s">
        <v>660</v>
      </c>
      <c r="NM751" s="145" t="s">
        <v>508</v>
      </c>
      <c r="NN751" s="133"/>
      <c r="NO751" s="133"/>
      <c r="NP751" s="133"/>
      <c r="NQ751" s="133"/>
      <c r="NR751" s="133"/>
      <c r="NS751" s="133"/>
      <c r="NT751" s="133"/>
      <c r="NU751" s="133" t="s">
        <v>536</v>
      </c>
      <c r="NV751" s="146" t="s">
        <v>518</v>
      </c>
      <c r="NW751" s="2">
        <v>320.8</v>
      </c>
      <c r="NX751" s="146" t="s">
        <v>520</v>
      </c>
      <c r="NY751" s="2">
        <v>57</v>
      </c>
      <c r="NZ751" s="160"/>
      <c r="OA751" s="80"/>
      <c r="OB751" s="133">
        <v>4</v>
      </c>
      <c r="OG751" s="80"/>
      <c r="OH751" s="80"/>
      <c r="OI751" s="80"/>
      <c r="OJ751" s="80"/>
      <c r="OK751" s="80"/>
      <c r="OL751" s="80"/>
      <c r="OM751" s="144"/>
      <c r="ON751" s="144"/>
      <c r="OO751" s="144"/>
      <c r="OP751" s="144"/>
      <c r="OQ751" s="144"/>
      <c r="OR751" s="144"/>
      <c r="OS751" s="144"/>
      <c r="OT751" s="144"/>
      <c r="OU751" s="133" t="s">
        <v>1486</v>
      </c>
      <c r="OV751" s="80"/>
      <c r="OW751" s="80">
        <v>2007</v>
      </c>
      <c r="OX751" s="80"/>
      <c r="OY751" s="80"/>
      <c r="OZ751" s="80" t="s">
        <v>709</v>
      </c>
      <c r="PA751" s="80"/>
      <c r="PB751" t="s">
        <v>522</v>
      </c>
      <c r="PC751" s="50">
        <v>46134</v>
      </c>
      <c r="PD751" s="127"/>
    </row>
    <row r="752" spans="1:420" ht="15.75" thickBot="1">
      <c r="A752" t="s">
        <v>469</v>
      </c>
      <c r="B752" t="s">
        <v>1459</v>
      </c>
      <c r="C752" s="80" t="s">
        <v>667</v>
      </c>
      <c r="D752" s="132" t="s">
        <v>950</v>
      </c>
      <c r="E752" s="2" t="s">
        <v>1460</v>
      </c>
      <c r="F752" t="s">
        <v>1179</v>
      </c>
      <c r="G752" s="80" t="s">
        <v>475</v>
      </c>
      <c r="H752" s="132" t="s">
        <v>476</v>
      </c>
      <c r="I752">
        <v>-0.41666666699999999</v>
      </c>
      <c r="J752">
        <v>34.200000000000003</v>
      </c>
      <c r="K752" s="132">
        <v>100</v>
      </c>
      <c r="L752" s="2"/>
      <c r="M752" s="88"/>
      <c r="N752" s="2"/>
      <c r="O752" s="80"/>
      <c r="P752" s="2"/>
      <c r="Q752" s="2"/>
      <c r="R752" s="80"/>
      <c r="S752" s="80"/>
      <c r="T752" s="80"/>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c r="AV752" s="80" t="s">
        <v>1461</v>
      </c>
      <c r="AW752" s="80">
        <v>64</v>
      </c>
      <c r="AX752" s="80">
        <v>0.09</v>
      </c>
      <c r="AY752" s="80">
        <v>1</v>
      </c>
      <c r="AZ752" s="133" t="s">
        <v>1462</v>
      </c>
      <c r="BA752" s="133">
        <v>2007</v>
      </c>
      <c r="BB752" s="133">
        <v>2008</v>
      </c>
      <c r="BC752" s="133" t="s">
        <v>692</v>
      </c>
      <c r="BD752" s="2" t="s">
        <v>1473</v>
      </c>
      <c r="BE752" s="2" t="s">
        <v>536</v>
      </c>
      <c r="BF752" s="133" t="s">
        <v>484</v>
      </c>
      <c r="BG752" s="2" t="s">
        <v>1464</v>
      </c>
      <c r="BH752" s="133" t="s">
        <v>480</v>
      </c>
      <c r="BI752" s="134" t="s">
        <v>486</v>
      </c>
      <c r="BJ752" s="135">
        <v>55500</v>
      </c>
      <c r="BK752" s="2" t="s">
        <v>537</v>
      </c>
      <c r="BL752" t="s">
        <v>1474</v>
      </c>
      <c r="BM752" s="133" t="s">
        <v>480</v>
      </c>
      <c r="BN752" s="2" t="s">
        <v>486</v>
      </c>
      <c r="BO752" s="2">
        <v>55000</v>
      </c>
      <c r="BP752" s="2"/>
      <c r="BQ752" s="2"/>
      <c r="BR752" s="2"/>
      <c r="BS752" s="88"/>
      <c r="BT752" s="2"/>
      <c r="BU752" s="2"/>
      <c r="BV752" s="3"/>
      <c r="BW752" s="3"/>
      <c r="BX752" s="3"/>
      <c r="BY752" s="3"/>
      <c r="BZ752" s="3"/>
      <c r="CA752" s="3"/>
      <c r="CB752" s="3"/>
      <c r="CC752" s="3"/>
      <c r="CD752" s="3"/>
      <c r="CE752" s="3"/>
      <c r="CF752" s="3"/>
      <c r="CG752" s="3"/>
      <c r="CH752" s="3"/>
      <c r="CI752" s="3"/>
      <c r="CJ752" s="3"/>
      <c r="CK752" s="3"/>
      <c r="CL752" s="3"/>
      <c r="CM752" s="3"/>
      <c r="CN752" s="3"/>
      <c r="CO752" s="3"/>
      <c r="CP752" s="3"/>
      <c r="CQ752" s="3"/>
      <c r="CR752" s="3"/>
      <c r="CS752" s="3"/>
      <c r="CT752" s="3"/>
      <c r="CU752" s="3"/>
      <c r="CV752" s="3"/>
      <c r="CW752" s="3"/>
      <c r="CX752" s="3"/>
      <c r="CY752" s="3"/>
      <c r="CZ752" s="3"/>
      <c r="DA752" s="3"/>
      <c r="DB752" s="3"/>
      <c r="DC752" s="3"/>
      <c r="DD752" s="3"/>
      <c r="DE752" s="3"/>
      <c r="DF752" s="3"/>
      <c r="DG752" s="3"/>
      <c r="DH752" s="3"/>
      <c r="DI752" s="3"/>
      <c r="DJ752" s="3"/>
      <c r="DK752" s="3"/>
      <c r="DL752" s="3"/>
      <c r="DM752" s="3"/>
      <c r="DN752" s="3"/>
      <c r="DO752" s="3"/>
      <c r="DP752" s="3"/>
      <c r="DQ752" s="3"/>
      <c r="DR752" s="3"/>
      <c r="DS752" s="3"/>
      <c r="DT752" s="3"/>
      <c r="DU752" s="3"/>
      <c r="DV752" s="3"/>
      <c r="DW752" s="3"/>
      <c r="DX752" s="3"/>
      <c r="DY752" s="3"/>
      <c r="DZ752" s="3"/>
      <c r="EA752" s="3"/>
      <c r="EB752" s="3"/>
      <c r="EC752" s="3"/>
      <c r="ED752" s="2"/>
      <c r="EE752" s="2"/>
      <c r="EF752" s="2"/>
      <c r="EG752" s="2"/>
      <c r="EH752" s="2"/>
      <c r="EI752" s="2"/>
      <c r="EJ752" s="2"/>
      <c r="EK752" s="2"/>
      <c r="EL752" s="3"/>
      <c r="EM752" s="3"/>
      <c r="EN752" s="3"/>
      <c r="EO752" s="3"/>
      <c r="EP752" s="3"/>
      <c r="EQ752" s="3"/>
      <c r="ER752" s="3"/>
      <c r="ES752" s="3"/>
      <c r="ET752" s="3"/>
      <c r="EU752" s="3"/>
      <c r="EV752" s="3"/>
      <c r="EW752" s="3"/>
      <c r="EX752" s="3"/>
      <c r="EY752" s="3"/>
      <c r="EZ752" s="3"/>
      <c r="FA752" s="3"/>
      <c r="FB752" s="3"/>
      <c r="FC752" s="3"/>
      <c r="FD752" s="3"/>
      <c r="FE752" s="3"/>
      <c r="FF752" s="3"/>
      <c r="FG752" s="3"/>
      <c r="FH752" s="3"/>
      <c r="FI752" s="3"/>
      <c r="FJ752" s="3"/>
      <c r="FK752" s="3"/>
      <c r="FL752" s="3"/>
      <c r="FM752" s="3"/>
      <c r="FN752" s="3"/>
      <c r="FO752" s="3"/>
      <c r="FP752" s="3"/>
      <c r="FQ752" s="3"/>
      <c r="FR752" s="3"/>
      <c r="FS752" s="3"/>
      <c r="FT752" s="3"/>
      <c r="FU752" s="3"/>
      <c r="FV752" s="3"/>
      <c r="FW752" s="3"/>
      <c r="FX752" s="3"/>
      <c r="FY752" s="3"/>
      <c r="FZ752" s="3"/>
      <c r="GA752" s="3"/>
      <c r="GB752" s="3"/>
      <c r="GC752" s="3"/>
      <c r="GD752" s="3"/>
      <c r="GE752" s="3"/>
      <c r="GF752" s="3"/>
      <c r="GG752" s="3"/>
      <c r="GH752" s="3"/>
      <c r="GI752" s="3"/>
      <c r="GJ752" s="3"/>
      <c r="GK752" s="3"/>
      <c r="GL752" s="3"/>
      <c r="GM752" s="3"/>
      <c r="GN752" s="3"/>
      <c r="GO752" s="3"/>
      <c r="GP752" s="3"/>
      <c r="GQ752" s="3"/>
      <c r="GR752" s="3"/>
      <c r="GS752" s="3"/>
      <c r="GT752" s="3"/>
      <c r="GU752" s="3"/>
      <c r="GV752" s="3"/>
      <c r="GW752" s="3"/>
      <c r="GX752" s="3"/>
      <c r="GY752" s="3"/>
      <c r="GZ752" s="3"/>
      <c r="HA752" s="3"/>
      <c r="HB752" s="3"/>
      <c r="HC752" s="3"/>
      <c r="HD752" s="3"/>
      <c r="HE752" s="3"/>
      <c r="HF752" s="3"/>
      <c r="HG752" s="3"/>
      <c r="HH752" s="3"/>
      <c r="HI752" s="3"/>
      <c r="HJ752" s="3"/>
      <c r="HK752" s="2"/>
      <c r="HL752" s="2"/>
      <c r="HM752" s="2"/>
      <c r="HN752" s="2"/>
      <c r="HO752" s="2"/>
      <c r="HP752" s="2"/>
      <c r="HQ752" s="2"/>
      <c r="HR752" s="2"/>
      <c r="HS752" s="88"/>
      <c r="HT752" s="2"/>
      <c r="HU752" s="2"/>
      <c r="HV752" s="2"/>
      <c r="HW752" s="2"/>
      <c r="HX752" s="2"/>
      <c r="HY752" s="2"/>
      <c r="HZ752" s="2"/>
      <c r="IA752" s="2"/>
      <c r="IB752" s="2"/>
      <c r="IC752" s="2"/>
      <c r="ID752" s="2"/>
      <c r="IE752" s="2"/>
      <c r="IF752" s="2"/>
      <c r="IG752" s="2"/>
      <c r="IH752" s="133" t="s">
        <v>1465</v>
      </c>
      <c r="II752" s="75" t="s">
        <v>929</v>
      </c>
      <c r="IJ752" s="149" t="s">
        <v>983</v>
      </c>
      <c r="IK752" s="150" t="s">
        <v>543</v>
      </c>
      <c r="IL752" s="2">
        <v>2007</v>
      </c>
      <c r="IM752" s="2" t="s">
        <v>692</v>
      </c>
      <c r="IN752" s="2" t="s">
        <v>480</v>
      </c>
      <c r="IQ752" s="2"/>
      <c r="IR752" s="2"/>
      <c r="IS752" s="2"/>
      <c r="IT752" s="2"/>
      <c r="IU752" s="2"/>
      <c r="IV752" s="2"/>
      <c r="IW752" s="88"/>
      <c r="IX752" s="2"/>
      <c r="IY752" s="2"/>
      <c r="IZ752" s="2"/>
      <c r="JA752" s="2"/>
      <c r="JB752" s="2"/>
      <c r="JC752" s="2"/>
      <c r="JD752" s="2"/>
      <c r="JE752" s="2"/>
      <c r="JF752" s="2"/>
      <c r="JG752" s="2"/>
      <c r="JH752" s="2"/>
      <c r="JI752" s="2"/>
      <c r="JJ752" s="2"/>
      <c r="JK752" s="2"/>
      <c r="JL752" s="139" t="s">
        <v>495</v>
      </c>
      <c r="JM752" s="140" t="s">
        <v>1466</v>
      </c>
      <c r="JN752" s="140" t="s">
        <v>1467</v>
      </c>
      <c r="JO752" s="140" t="s">
        <v>1467</v>
      </c>
      <c r="JR752" s="2"/>
      <c r="JS752" s="2"/>
      <c r="JT752" s="2"/>
      <c r="JU752" s="2"/>
      <c r="JV752" s="2"/>
      <c r="JW752" s="2"/>
      <c r="JX752" s="2"/>
      <c r="JY752" s="141"/>
      <c r="JZ752" s="151"/>
      <c r="KA752" s="88"/>
      <c r="KB752" s="2"/>
      <c r="KC752" s="88"/>
      <c r="KD752" s="2"/>
      <c r="KE752" s="2"/>
      <c r="KF752" s="2"/>
      <c r="KG752" s="88"/>
      <c r="KH752" s="2"/>
      <c r="KI752" s="148"/>
      <c r="KJ752" s="152"/>
      <c r="KK752" s="2"/>
      <c r="KL752" s="2"/>
      <c r="KM752" s="2"/>
      <c r="KN752" s="2"/>
      <c r="KO752" s="88"/>
      <c r="KP752" s="2"/>
      <c r="KQ752" s="162"/>
      <c r="KR752" s="151"/>
      <c r="KS752" s="2"/>
      <c r="KT752" s="2"/>
      <c r="KU752" s="143"/>
      <c r="KV752" s="152"/>
      <c r="KW752" s="2"/>
      <c r="KX752" s="2"/>
      <c r="KY752" s="2"/>
      <c r="KZ752" s="3"/>
      <c r="LA752" s="3"/>
      <c r="LB752" s="3"/>
      <c r="LC752" s="3"/>
      <c r="LD752" s="3"/>
      <c r="LE752" s="3"/>
      <c r="LF752" s="3"/>
      <c r="LG752" s="3"/>
      <c r="LH752" s="88"/>
      <c r="LI752" s="88"/>
      <c r="LJ752" s="88"/>
      <c r="LK752" s="88"/>
      <c r="LL752" s="88"/>
      <c r="LM752" s="2"/>
      <c r="LN752" s="88"/>
      <c r="LO752" s="88"/>
      <c r="LP752" s="88"/>
      <c r="LQ752" s="2"/>
      <c r="LR752" s="2"/>
      <c r="LS752" s="2"/>
      <c r="LT752" s="2"/>
      <c r="LU752" s="2"/>
      <c r="LV752" s="2"/>
      <c r="LW752" s="2"/>
      <c r="LX752" s="2"/>
      <c r="LY752" s="2"/>
      <c r="LZ752" s="2"/>
      <c r="MA752" s="2"/>
      <c r="MB752" s="2"/>
      <c r="MC752" s="2"/>
      <c r="MD752" s="2"/>
      <c r="ME752" s="2"/>
      <c r="MF752" s="2"/>
      <c r="MG752" s="2"/>
      <c r="MH752" s="2"/>
      <c r="MI752" s="2"/>
      <c r="MJ752" s="2"/>
      <c r="MK752" s="2"/>
      <c r="ML752" s="2"/>
      <c r="MM752" s="2"/>
      <c r="MN752" s="2"/>
      <c r="MO752" s="2"/>
      <c r="MP752" s="2"/>
      <c r="MQ752" s="2"/>
      <c r="MR752" s="2"/>
      <c r="MS752" s="2"/>
      <c r="MT752" s="2"/>
      <c r="MU752" s="2"/>
      <c r="MV752" s="2"/>
      <c r="MW752" s="2"/>
      <c r="MX752" s="2"/>
      <c r="MY752" s="133" t="s">
        <v>1468</v>
      </c>
      <c r="MZ752" s="80">
        <v>64</v>
      </c>
      <c r="NA752" s="133" t="s">
        <v>1478</v>
      </c>
      <c r="NB752" s="144" t="s">
        <v>1479</v>
      </c>
      <c r="NC752" s="144"/>
      <c r="ND752" s="144"/>
      <c r="NE752" s="144"/>
      <c r="NF752" s="144"/>
      <c r="NG752" s="144"/>
      <c r="NH752" s="144"/>
      <c r="NI752" s="133"/>
      <c r="NJ752" s="133" t="s">
        <v>1484</v>
      </c>
      <c r="NK752" s="133" t="s">
        <v>1485</v>
      </c>
      <c r="NL752" t="s">
        <v>660</v>
      </c>
      <c r="NM752" s="145" t="s">
        <v>508</v>
      </c>
      <c r="NN752" s="133"/>
      <c r="NO752" s="133"/>
      <c r="NP752" s="133"/>
      <c r="NQ752" s="133"/>
      <c r="NR752" s="133"/>
      <c r="NS752" s="133"/>
      <c r="NT752" s="133"/>
      <c r="NU752" s="133"/>
      <c r="NV752" s="146" t="s">
        <v>518</v>
      </c>
      <c r="NW752" s="80">
        <v>943.8</v>
      </c>
      <c r="NX752" s="146" t="s">
        <v>520</v>
      </c>
      <c r="NY752" s="80">
        <v>45</v>
      </c>
      <c r="NZ752" s="154"/>
      <c r="OA752" s="2"/>
      <c r="OB752" s="133">
        <v>4</v>
      </c>
      <c r="OG752" s="2"/>
      <c r="OH752" s="2"/>
      <c r="OI752" s="2"/>
      <c r="OJ752" s="2"/>
      <c r="OK752" s="2"/>
      <c r="OL752" s="2"/>
      <c r="OU752" s="133" t="s">
        <v>1486</v>
      </c>
      <c r="OV752" s="2"/>
      <c r="OW752" s="2">
        <v>2008</v>
      </c>
      <c r="OX752" s="2"/>
      <c r="OY752" s="2"/>
      <c r="OZ752" s="133" t="s">
        <v>692</v>
      </c>
      <c r="PA752" s="2"/>
      <c r="PB752" t="s">
        <v>522</v>
      </c>
      <c r="PC752" s="50">
        <v>46134</v>
      </c>
      <c r="PD752" s="127"/>
    </row>
    <row r="753" spans="1:420" ht="15.75" thickBot="1">
      <c r="A753" t="s">
        <v>469</v>
      </c>
      <c r="B753" t="s">
        <v>1459</v>
      </c>
      <c r="C753" s="80" t="s">
        <v>667</v>
      </c>
      <c r="D753" s="132" t="s">
        <v>950</v>
      </c>
      <c r="E753" s="2" t="s">
        <v>1460</v>
      </c>
      <c r="F753" t="s">
        <v>1179</v>
      </c>
      <c r="G753" s="80" t="s">
        <v>475</v>
      </c>
      <c r="H753" s="132" t="s">
        <v>476</v>
      </c>
      <c r="I753">
        <v>-0.41666666699999999</v>
      </c>
      <c r="J753">
        <v>34.200000000000003</v>
      </c>
      <c r="K753" s="132">
        <v>100</v>
      </c>
      <c r="L753" s="80"/>
      <c r="M753" s="132"/>
      <c r="N753" s="80"/>
      <c r="O753" s="80"/>
      <c r="P753" s="80"/>
      <c r="Q753" s="80"/>
      <c r="R753" s="80"/>
      <c r="S753" s="80"/>
      <c r="T753" s="80"/>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c r="AV753" s="80" t="s">
        <v>1461</v>
      </c>
      <c r="AW753" s="80">
        <v>64</v>
      </c>
      <c r="AX753" s="80">
        <v>0.09</v>
      </c>
      <c r="AY753" s="80">
        <v>1</v>
      </c>
      <c r="AZ753" s="133" t="s">
        <v>1462</v>
      </c>
      <c r="BA753" s="133">
        <v>2007</v>
      </c>
      <c r="BB753" s="133">
        <v>2008</v>
      </c>
      <c r="BC753" s="133" t="s">
        <v>692</v>
      </c>
      <c r="BD753" s="133" t="s">
        <v>1463</v>
      </c>
      <c r="BE753" s="133" t="s">
        <v>524</v>
      </c>
      <c r="BF753" s="133" t="s">
        <v>484</v>
      </c>
      <c r="BG753" s="133" t="s">
        <v>1464</v>
      </c>
      <c r="BH753" s="133" t="s">
        <v>480</v>
      </c>
      <c r="BI753" s="134" t="s">
        <v>486</v>
      </c>
      <c r="BJ753" s="135">
        <v>111000</v>
      </c>
      <c r="BK753" s="80"/>
      <c r="BL753" s="80"/>
      <c r="BM753" s="80"/>
      <c r="BN753" s="132"/>
      <c r="BO753" s="155"/>
      <c r="BP753" s="80"/>
      <c r="BQ753" s="80"/>
      <c r="BR753" s="80"/>
      <c r="BS753" s="132"/>
      <c r="BT753" s="155"/>
      <c r="BU753" s="80"/>
      <c r="BV753" s="3"/>
      <c r="BW753" s="3"/>
      <c r="BX753" s="3"/>
      <c r="BY753" s="3"/>
      <c r="BZ753" s="3"/>
      <c r="CA753" s="3"/>
      <c r="CB753" s="3"/>
      <c r="CC753" s="3"/>
      <c r="CD753" s="3"/>
      <c r="CE753" s="3"/>
      <c r="CF753" s="3"/>
      <c r="CG753" s="3"/>
      <c r="CH753" s="3"/>
      <c r="CI753" s="3"/>
      <c r="CJ753" s="3"/>
      <c r="CK753" s="3"/>
      <c r="CL753" s="3"/>
      <c r="CM753" s="3"/>
      <c r="CN753" s="3"/>
      <c r="CO753" s="3"/>
      <c r="CP753" s="3"/>
      <c r="CQ753" s="3"/>
      <c r="CR753" s="3"/>
      <c r="CS753" s="3"/>
      <c r="CT753" s="3"/>
      <c r="CU753" s="3"/>
      <c r="CV753" s="3"/>
      <c r="CW753" s="3"/>
      <c r="CX753" s="3"/>
      <c r="CY753" s="3"/>
      <c r="CZ753" s="3"/>
      <c r="DA753" s="3"/>
      <c r="DB753" s="3"/>
      <c r="DC753" s="3"/>
      <c r="DD753" s="3"/>
      <c r="DE753" s="3"/>
      <c r="DF753" s="3"/>
      <c r="DG753" s="3"/>
      <c r="DH753" s="3"/>
      <c r="DI753" s="3"/>
      <c r="DJ753" s="3"/>
      <c r="DK753" s="3"/>
      <c r="DL753" s="3"/>
      <c r="DM753" s="3"/>
      <c r="DN753" s="3"/>
      <c r="DO753" s="3"/>
      <c r="DP753" s="3"/>
      <c r="DQ753" s="3"/>
      <c r="DR753" s="3"/>
      <c r="DS753" s="3"/>
      <c r="DT753" s="3"/>
      <c r="DU753" s="3"/>
      <c r="DV753" s="3"/>
      <c r="DW753" s="3"/>
      <c r="DX753" s="3"/>
      <c r="DY753" s="3"/>
      <c r="DZ753" s="3"/>
      <c r="EA753" s="3"/>
      <c r="EB753" s="3"/>
      <c r="EC753" s="3"/>
      <c r="ED753" s="80"/>
      <c r="EE753" s="80"/>
      <c r="EF753" s="80"/>
      <c r="EG753" s="80"/>
      <c r="EH753" s="80"/>
      <c r="EI753" s="80"/>
      <c r="EJ753" s="80"/>
      <c r="EK753" s="80"/>
      <c r="EL753" s="3"/>
      <c r="EM753" s="3"/>
      <c r="EN753" s="3"/>
      <c r="EO753" s="3"/>
      <c r="EP753" s="3"/>
      <c r="EQ753" s="3"/>
      <c r="ER753" s="3"/>
      <c r="ES753" s="3"/>
      <c r="ET753" s="3"/>
      <c r="EU753" s="3"/>
      <c r="EV753" s="3"/>
      <c r="EW753" s="3"/>
      <c r="EX753" s="3"/>
      <c r="EY753" s="3"/>
      <c r="EZ753" s="3"/>
      <c r="FA753" s="3"/>
      <c r="FB753" s="3"/>
      <c r="FC753" s="3"/>
      <c r="FD753" s="3"/>
      <c r="FE753" s="3"/>
      <c r="FF753" s="3"/>
      <c r="FG753" s="3"/>
      <c r="FH753" s="3"/>
      <c r="FI753" s="3"/>
      <c r="FJ753" s="3"/>
      <c r="FK753" s="3"/>
      <c r="FL753" s="3"/>
      <c r="FM753" s="3"/>
      <c r="FN753" s="3"/>
      <c r="FO753" s="3"/>
      <c r="FP753" s="3"/>
      <c r="FQ753" s="3"/>
      <c r="FR753" s="3"/>
      <c r="FS753" s="3"/>
      <c r="FT753" s="3"/>
      <c r="FU753" s="3"/>
      <c r="FV753" s="3"/>
      <c r="FW753" s="3"/>
      <c r="FX753" s="3"/>
      <c r="FY753" s="3"/>
      <c r="FZ753" s="3"/>
      <c r="GA753" s="3"/>
      <c r="GB753" s="3"/>
      <c r="GC753" s="3"/>
      <c r="GD753" s="3"/>
      <c r="GE753" s="3"/>
      <c r="GF753" s="3"/>
      <c r="GG753" s="3"/>
      <c r="GH753" s="3"/>
      <c r="GI753" s="3"/>
      <c r="GJ753" s="3"/>
      <c r="GK753" s="3"/>
      <c r="GL753" s="3"/>
      <c r="GM753" s="3"/>
      <c r="GN753" s="3"/>
      <c r="GO753" s="3"/>
      <c r="GP753" s="3"/>
      <c r="GQ753" s="3"/>
      <c r="GR753" s="3"/>
      <c r="GS753" s="3"/>
      <c r="GT753" s="3"/>
      <c r="GU753" s="3"/>
      <c r="GV753" s="3"/>
      <c r="GW753" s="3"/>
      <c r="GX753" s="3"/>
      <c r="GY753" s="3"/>
      <c r="GZ753" s="3"/>
      <c r="HA753" s="3"/>
      <c r="HB753" s="3"/>
      <c r="HC753" s="3"/>
      <c r="HD753" s="3"/>
      <c r="HE753" s="3"/>
      <c r="HF753" s="3"/>
      <c r="HG753" s="3"/>
      <c r="HH753" s="3"/>
      <c r="HI753" s="3"/>
      <c r="HJ753" s="3"/>
      <c r="HK753" s="80"/>
      <c r="HL753" s="80"/>
      <c r="HM753" s="80"/>
      <c r="HN753" s="80"/>
      <c r="HO753" s="80"/>
      <c r="HP753" s="80"/>
      <c r="HQ753" s="80"/>
      <c r="HR753" s="80"/>
      <c r="HS753" s="132"/>
      <c r="HT753" s="80"/>
      <c r="HU753" s="80"/>
      <c r="HV753" s="80"/>
      <c r="HW753" s="80"/>
      <c r="HX753" s="80"/>
      <c r="HY753" s="80"/>
      <c r="HZ753" s="80"/>
      <c r="IA753" s="80"/>
      <c r="IB753" s="80"/>
      <c r="IC753" s="80"/>
      <c r="ID753" s="80"/>
      <c r="IE753" s="80"/>
      <c r="IF753" s="80"/>
      <c r="IG753" s="80"/>
      <c r="IH753" s="133" t="s">
        <v>1465</v>
      </c>
      <c r="II753" s="137" t="s">
        <v>492</v>
      </c>
      <c r="IJ753" s="80"/>
      <c r="IK753" s="80"/>
      <c r="IL753" s="80"/>
      <c r="IM753" s="80"/>
      <c r="IN753" s="80"/>
      <c r="IQ753" s="80"/>
      <c r="IR753" s="80"/>
      <c r="IS753" s="80"/>
      <c r="IT753" s="80"/>
      <c r="IU753" s="80"/>
      <c r="IV753" s="80"/>
      <c r="IW753" s="132"/>
      <c r="IX753" s="80"/>
      <c r="IY753" s="80"/>
      <c r="IZ753" s="80"/>
      <c r="JA753" s="80"/>
      <c r="JB753" s="80"/>
      <c r="JC753" s="80"/>
      <c r="JD753" s="80"/>
      <c r="JE753" s="80"/>
      <c r="JF753" s="80"/>
      <c r="JG753" s="80"/>
      <c r="JH753" s="80"/>
      <c r="JI753" s="80"/>
      <c r="JJ753" s="80"/>
      <c r="JK753" s="80"/>
      <c r="JL753" s="139" t="s">
        <v>495</v>
      </c>
      <c r="JM753" s="140" t="s">
        <v>1466</v>
      </c>
      <c r="JN753" s="140" t="s">
        <v>1467</v>
      </c>
      <c r="JO753" s="140" t="s">
        <v>1467</v>
      </c>
      <c r="JR753" s="80"/>
      <c r="JS753" s="80"/>
      <c r="JT753" s="80"/>
      <c r="JU753" s="80"/>
      <c r="JV753" s="80"/>
      <c r="JW753" s="80"/>
      <c r="JX753" s="80"/>
      <c r="JY753" s="141"/>
      <c r="JZ753" s="139"/>
      <c r="KA753" s="132"/>
      <c r="KB753" s="80"/>
      <c r="KC753" s="132"/>
      <c r="KD753" s="80"/>
      <c r="KE753" s="80"/>
      <c r="KF753" s="80"/>
      <c r="KG753" s="132"/>
      <c r="KH753" s="80"/>
      <c r="KI753" s="137"/>
      <c r="KJ753" s="158"/>
      <c r="KK753" s="80"/>
      <c r="KL753" s="80"/>
      <c r="KM753" s="80"/>
      <c r="KN753" s="80"/>
      <c r="KO753" s="132"/>
      <c r="KP753" s="80"/>
      <c r="KQ753" s="162"/>
      <c r="KR753" s="139"/>
      <c r="KS753" s="80"/>
      <c r="KT753" s="80"/>
      <c r="KU753" s="143"/>
      <c r="KV753" s="158"/>
      <c r="KW753" s="80"/>
      <c r="KX753" s="80"/>
      <c r="KY753" s="80"/>
      <c r="KZ753" s="3"/>
      <c r="LA753" s="3"/>
      <c r="LB753" s="3"/>
      <c r="LC753" s="3"/>
      <c r="LD753" s="3"/>
      <c r="LE753" s="3"/>
      <c r="LF753" s="3"/>
      <c r="LG753" s="3"/>
      <c r="LH753" s="132"/>
      <c r="LI753" s="132"/>
      <c r="LJ753" s="132"/>
      <c r="LK753" s="132"/>
      <c r="LL753" s="132"/>
      <c r="LM753" s="80"/>
      <c r="LN753" s="132"/>
      <c r="LO753" s="132"/>
      <c r="LP753" s="132"/>
      <c r="LQ753" s="80"/>
      <c r="LR753" s="80"/>
      <c r="LS753" s="80"/>
      <c r="LT753" s="80"/>
      <c r="LU753" s="80"/>
      <c r="LV753" s="80"/>
      <c r="LW753" s="80"/>
      <c r="LX753" s="80"/>
      <c r="LY753" s="80"/>
      <c r="LZ753" s="80"/>
      <c r="MA753" s="80"/>
      <c r="MB753" s="80"/>
      <c r="MC753" s="80"/>
      <c r="MD753" s="80"/>
      <c r="ME753" s="80"/>
      <c r="MF753" s="80"/>
      <c r="MG753" s="80"/>
      <c r="MH753" s="80"/>
      <c r="MI753" s="80"/>
      <c r="MJ753" s="80"/>
      <c r="MK753" s="80"/>
      <c r="ML753" s="80"/>
      <c r="MM753" s="80"/>
      <c r="MN753" s="80"/>
      <c r="MO753" s="80"/>
      <c r="MP753" s="80"/>
      <c r="MQ753" s="80"/>
      <c r="MR753" s="80"/>
      <c r="MS753" s="80"/>
      <c r="MT753" s="80"/>
      <c r="MU753" s="80"/>
      <c r="MV753" s="80"/>
      <c r="MW753" s="80"/>
      <c r="MX753" s="80"/>
      <c r="MY753" s="133" t="s">
        <v>1468</v>
      </c>
      <c r="MZ753" s="80">
        <v>64</v>
      </c>
      <c r="NA753" s="133" t="s">
        <v>1478</v>
      </c>
      <c r="NB753" s="144" t="s">
        <v>1479</v>
      </c>
      <c r="NC753" s="144"/>
      <c r="ND753" s="144"/>
      <c r="NE753" s="144"/>
      <c r="NF753" s="144"/>
      <c r="NG753" s="144"/>
      <c r="NH753" s="144"/>
      <c r="NI753" s="133"/>
      <c r="NJ753" s="133" t="s">
        <v>1484</v>
      </c>
      <c r="NK753" s="133" t="s">
        <v>1487</v>
      </c>
      <c r="NL753" t="s">
        <v>660</v>
      </c>
      <c r="NM753" s="145" t="s">
        <v>508</v>
      </c>
      <c r="NN753" s="133"/>
      <c r="NO753" s="133"/>
      <c r="NP753" s="133"/>
      <c r="NQ753" s="133"/>
      <c r="NR753" s="133"/>
      <c r="NS753" s="133"/>
      <c r="NT753" s="133"/>
      <c r="NU753" s="133" t="s">
        <v>536</v>
      </c>
      <c r="NV753" s="146" t="s">
        <v>518</v>
      </c>
      <c r="NW753" s="2">
        <v>598.9</v>
      </c>
      <c r="NX753" s="146" t="s">
        <v>520</v>
      </c>
      <c r="NY753" s="2">
        <v>44</v>
      </c>
      <c r="NZ753" s="160"/>
      <c r="OA753" s="80"/>
      <c r="OB753" s="133">
        <v>4</v>
      </c>
      <c r="OG753" s="80"/>
      <c r="OH753" s="80"/>
      <c r="OI753" s="80"/>
      <c r="OJ753" s="80"/>
      <c r="OK753" s="80"/>
      <c r="OL753" s="80"/>
      <c r="OM753" s="144"/>
      <c r="ON753" s="144"/>
      <c r="OO753" s="144"/>
      <c r="OP753" s="144"/>
      <c r="OQ753" s="144"/>
      <c r="OR753" s="144"/>
      <c r="OS753" s="144"/>
      <c r="OT753" s="144"/>
      <c r="OU753" s="133" t="s">
        <v>1486</v>
      </c>
      <c r="OV753" s="80"/>
      <c r="OW753" s="80">
        <v>2008</v>
      </c>
      <c r="OX753" s="80"/>
      <c r="OY753" s="80"/>
      <c r="OZ753" s="133" t="s">
        <v>692</v>
      </c>
      <c r="PA753" s="80"/>
      <c r="PB753" t="s">
        <v>522</v>
      </c>
      <c r="PC753" s="50">
        <v>46134</v>
      </c>
      <c r="PD753" s="127"/>
    </row>
    <row r="754" spans="1:420" ht="15.75" thickBot="1">
      <c r="A754" t="s">
        <v>469</v>
      </c>
      <c r="B754" t="s">
        <v>1459</v>
      </c>
      <c r="C754" s="80" t="s">
        <v>667</v>
      </c>
      <c r="D754" s="132" t="s">
        <v>950</v>
      </c>
      <c r="E754" s="2" t="s">
        <v>1460</v>
      </c>
      <c r="F754" t="s">
        <v>1179</v>
      </c>
      <c r="G754" s="80" t="s">
        <v>475</v>
      </c>
      <c r="H754" s="132" t="s">
        <v>476</v>
      </c>
      <c r="I754">
        <v>-0.41666666699999999</v>
      </c>
      <c r="J754">
        <v>34.200000000000003</v>
      </c>
      <c r="K754" s="132">
        <v>100</v>
      </c>
      <c r="L754" s="2"/>
      <c r="M754" s="88"/>
      <c r="N754" s="2"/>
      <c r="O754" s="80"/>
      <c r="P754" s="2"/>
      <c r="Q754" s="2"/>
      <c r="R754" s="80"/>
      <c r="S754" s="80"/>
      <c r="T754" s="80"/>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c r="AV754" s="80" t="s">
        <v>1461</v>
      </c>
      <c r="AW754" s="80">
        <v>64</v>
      </c>
      <c r="AX754" s="80">
        <v>0.09</v>
      </c>
      <c r="AY754" s="80">
        <v>1</v>
      </c>
      <c r="AZ754" s="133" t="s">
        <v>1462</v>
      </c>
      <c r="BA754" s="133">
        <v>2007</v>
      </c>
      <c r="BB754" s="133">
        <v>2008</v>
      </c>
      <c r="BC754" s="133" t="s">
        <v>709</v>
      </c>
      <c r="BD754" s="2" t="s">
        <v>1473</v>
      </c>
      <c r="BE754" s="2" t="s">
        <v>536</v>
      </c>
      <c r="BF754" s="133" t="s">
        <v>484</v>
      </c>
      <c r="BG754" s="2" t="s">
        <v>1464</v>
      </c>
      <c r="BH754" s="133" t="s">
        <v>480</v>
      </c>
      <c r="BI754" s="134" t="s">
        <v>486</v>
      </c>
      <c r="BJ754" s="135">
        <v>55500</v>
      </c>
      <c r="BK754" s="2" t="s">
        <v>537</v>
      </c>
      <c r="BL754" t="s">
        <v>1474</v>
      </c>
      <c r="BM754" s="133" t="s">
        <v>480</v>
      </c>
      <c r="BN754" s="2" t="s">
        <v>486</v>
      </c>
      <c r="BO754" s="2">
        <v>55000</v>
      </c>
      <c r="BP754" s="2"/>
      <c r="BQ754" s="2"/>
      <c r="BR754" s="2"/>
      <c r="BS754" s="88"/>
      <c r="BT754" s="2"/>
      <c r="BU754" s="2"/>
      <c r="BV754" s="3"/>
      <c r="BW754" s="3"/>
      <c r="BX754" s="3"/>
      <c r="BY754" s="3"/>
      <c r="BZ754" s="3"/>
      <c r="CA754" s="3"/>
      <c r="CB754" s="3"/>
      <c r="CC754" s="3"/>
      <c r="CD754" s="3"/>
      <c r="CE754" s="3"/>
      <c r="CF754" s="3"/>
      <c r="CG754" s="3"/>
      <c r="CH754" s="3"/>
      <c r="CI754" s="3"/>
      <c r="CJ754" s="3"/>
      <c r="CK754" s="3"/>
      <c r="CL754" s="3"/>
      <c r="CM754" s="3"/>
      <c r="CN754" s="3"/>
      <c r="CO754" s="3"/>
      <c r="CP754" s="3"/>
      <c r="CQ754" s="3"/>
      <c r="CR754" s="3"/>
      <c r="CS754" s="3"/>
      <c r="CT754" s="3"/>
      <c r="CU754" s="3"/>
      <c r="CV754" s="3"/>
      <c r="CW754" s="3"/>
      <c r="CX754" s="3"/>
      <c r="CY754" s="3"/>
      <c r="CZ754" s="3"/>
      <c r="DA754" s="3"/>
      <c r="DB754" s="3"/>
      <c r="DC754" s="3"/>
      <c r="DD754" s="3"/>
      <c r="DE754" s="3"/>
      <c r="DF754" s="3"/>
      <c r="DG754" s="3"/>
      <c r="DH754" s="3"/>
      <c r="DI754" s="3"/>
      <c r="DJ754" s="3"/>
      <c r="DK754" s="3"/>
      <c r="DL754" s="3"/>
      <c r="DM754" s="3"/>
      <c r="DN754" s="3"/>
      <c r="DO754" s="3"/>
      <c r="DP754" s="3"/>
      <c r="DQ754" s="3"/>
      <c r="DR754" s="3"/>
      <c r="DS754" s="3"/>
      <c r="DT754" s="3"/>
      <c r="DU754" s="3"/>
      <c r="DV754" s="3"/>
      <c r="DW754" s="3"/>
      <c r="DX754" s="3"/>
      <c r="DY754" s="3"/>
      <c r="DZ754" s="3"/>
      <c r="EA754" s="3"/>
      <c r="EB754" s="3"/>
      <c r="EC754" s="3"/>
      <c r="ED754" s="2"/>
      <c r="EE754" s="2"/>
      <c r="EF754" s="2"/>
      <c r="EG754" s="2"/>
      <c r="EH754" s="2"/>
      <c r="EI754" s="2"/>
      <c r="EJ754" s="2"/>
      <c r="EK754" s="2"/>
      <c r="EL754" s="3"/>
      <c r="EM754" s="3"/>
      <c r="EN754" s="3"/>
      <c r="EO754" s="3"/>
      <c r="EP754" s="3"/>
      <c r="EQ754" s="3"/>
      <c r="ER754" s="3"/>
      <c r="ES754" s="3"/>
      <c r="ET754" s="3"/>
      <c r="EU754" s="3"/>
      <c r="EV754" s="3"/>
      <c r="EW754" s="3"/>
      <c r="EX754" s="3"/>
      <c r="EY754" s="3"/>
      <c r="EZ754" s="3"/>
      <c r="FA754" s="3"/>
      <c r="FB754" s="3"/>
      <c r="FC754" s="3"/>
      <c r="FD754" s="3"/>
      <c r="FE754" s="3"/>
      <c r="FF754" s="3"/>
      <c r="FG754" s="3"/>
      <c r="FH754" s="3"/>
      <c r="FI754" s="3"/>
      <c r="FJ754" s="3"/>
      <c r="FK754" s="3"/>
      <c r="FL754" s="3"/>
      <c r="FM754" s="3"/>
      <c r="FN754" s="3"/>
      <c r="FO754" s="3"/>
      <c r="FP754" s="3"/>
      <c r="FQ754" s="3"/>
      <c r="FR754" s="3"/>
      <c r="FS754" s="3"/>
      <c r="FT754" s="3"/>
      <c r="FU754" s="3"/>
      <c r="FV754" s="3"/>
      <c r="FW754" s="3"/>
      <c r="FX754" s="3"/>
      <c r="FY754" s="3"/>
      <c r="FZ754" s="3"/>
      <c r="GA754" s="3"/>
      <c r="GB754" s="3"/>
      <c r="GC754" s="3"/>
      <c r="GD754" s="3"/>
      <c r="GE754" s="3"/>
      <c r="GF754" s="3"/>
      <c r="GG754" s="3"/>
      <c r="GH754" s="3"/>
      <c r="GI754" s="3"/>
      <c r="GJ754" s="3"/>
      <c r="GK754" s="3"/>
      <c r="GL754" s="3"/>
      <c r="GM754" s="3"/>
      <c r="GN754" s="3"/>
      <c r="GO754" s="3"/>
      <c r="GP754" s="3"/>
      <c r="GQ754" s="3"/>
      <c r="GR754" s="3"/>
      <c r="GS754" s="3"/>
      <c r="GT754" s="3"/>
      <c r="GU754" s="3"/>
      <c r="GV754" s="3"/>
      <c r="GW754" s="3"/>
      <c r="GX754" s="3"/>
      <c r="GY754" s="3"/>
      <c r="GZ754" s="3"/>
      <c r="HA754" s="3"/>
      <c r="HB754" s="3"/>
      <c r="HC754" s="3"/>
      <c r="HD754" s="3"/>
      <c r="HE754" s="3"/>
      <c r="HF754" s="3"/>
      <c r="HG754" s="3"/>
      <c r="HH754" s="3"/>
      <c r="HI754" s="3"/>
      <c r="HJ754" s="3"/>
      <c r="HK754" s="2"/>
      <c r="HL754" s="2"/>
      <c r="HM754" s="2"/>
      <c r="HN754" s="2"/>
      <c r="HO754" s="2"/>
      <c r="HP754" s="2"/>
      <c r="HQ754" s="2"/>
      <c r="HR754" s="2"/>
      <c r="HS754" s="88"/>
      <c r="HT754" s="2"/>
      <c r="HU754" s="2"/>
      <c r="HV754" s="2"/>
      <c r="HW754" s="2"/>
      <c r="HX754" s="2"/>
      <c r="HY754" s="2"/>
      <c r="HZ754" s="2"/>
      <c r="IA754" s="2"/>
      <c r="IB754" s="2"/>
      <c r="IC754" s="2"/>
      <c r="ID754" s="2"/>
      <c r="IE754" s="2"/>
      <c r="IF754" s="2"/>
      <c r="IG754" s="2"/>
      <c r="IH754" s="133" t="s">
        <v>1465</v>
      </c>
      <c r="II754" s="75" t="s">
        <v>929</v>
      </c>
      <c r="IJ754" s="149" t="s">
        <v>983</v>
      </c>
      <c r="IK754" s="150" t="s">
        <v>543</v>
      </c>
      <c r="IL754" s="2">
        <v>2007</v>
      </c>
      <c r="IM754" s="2" t="s">
        <v>692</v>
      </c>
      <c r="IN754" s="2" t="s">
        <v>480</v>
      </c>
      <c r="IQ754" s="2"/>
      <c r="IR754" s="2"/>
      <c r="IS754" s="2"/>
      <c r="IT754" s="2"/>
      <c r="IU754" s="2"/>
      <c r="IV754" s="2"/>
      <c r="IW754" s="88"/>
      <c r="IX754" s="2"/>
      <c r="IY754" s="2"/>
      <c r="IZ754" s="2"/>
      <c r="JA754" s="2"/>
      <c r="JB754" s="2"/>
      <c r="JC754" s="2"/>
      <c r="JD754" s="2"/>
      <c r="JE754" s="2"/>
      <c r="JF754" s="2"/>
      <c r="JG754" s="2"/>
      <c r="JH754" s="2"/>
      <c r="JI754" s="2"/>
      <c r="JJ754" s="2"/>
      <c r="JK754" s="2"/>
      <c r="JL754" s="139" t="s">
        <v>495</v>
      </c>
      <c r="JM754" s="140" t="s">
        <v>1466</v>
      </c>
      <c r="JN754" s="140" t="s">
        <v>1467</v>
      </c>
      <c r="JO754" s="140" t="s">
        <v>1467</v>
      </c>
      <c r="JR754" s="2"/>
      <c r="JS754" s="2"/>
      <c r="JT754" s="2"/>
      <c r="JU754" s="2"/>
      <c r="JV754" s="2"/>
      <c r="JW754" s="2"/>
      <c r="JX754" s="2"/>
      <c r="JY754" s="141"/>
      <c r="JZ754" s="151"/>
      <c r="KA754" s="88"/>
      <c r="KB754" s="2"/>
      <c r="KC754" s="88"/>
      <c r="KD754" s="2"/>
      <c r="KE754" s="2"/>
      <c r="KF754" s="2"/>
      <c r="KG754" s="88"/>
      <c r="KH754" s="2"/>
      <c r="KI754" s="148"/>
      <c r="KJ754" s="152"/>
      <c r="KK754" s="2"/>
      <c r="KL754" s="2"/>
      <c r="KM754" s="2"/>
      <c r="KN754" s="2"/>
      <c r="KO754" s="88"/>
      <c r="KP754" s="2"/>
      <c r="KQ754" s="162"/>
      <c r="KR754" s="151"/>
      <c r="KS754" s="2"/>
      <c r="KT754" s="2"/>
      <c r="KU754" s="143"/>
      <c r="KV754" s="152"/>
      <c r="KW754" s="2"/>
      <c r="KX754" s="2"/>
      <c r="KY754" s="2"/>
      <c r="KZ754" s="3"/>
      <c r="LA754" s="3"/>
      <c r="LB754" s="3"/>
      <c r="LC754" s="3"/>
      <c r="LD754" s="3"/>
      <c r="LE754" s="3"/>
      <c r="LF754" s="3"/>
      <c r="LG754" s="3"/>
      <c r="LH754" s="88"/>
      <c r="LI754" s="88"/>
      <c r="LJ754" s="88"/>
      <c r="LK754" s="88"/>
      <c r="LL754" s="88"/>
      <c r="LM754" s="2"/>
      <c r="LN754" s="88"/>
      <c r="LO754" s="88"/>
      <c r="LP754" s="88"/>
      <c r="LQ754" s="2"/>
      <c r="LR754" s="2"/>
      <c r="LS754" s="2"/>
      <c r="LT754" s="2"/>
      <c r="LU754" s="2"/>
      <c r="LV754" s="2"/>
      <c r="LW754" s="2"/>
      <c r="LX754" s="2"/>
      <c r="LY754" s="2"/>
      <c r="LZ754" s="2"/>
      <c r="MA754" s="2"/>
      <c r="MB754" s="2"/>
      <c r="MC754" s="2"/>
      <c r="MD754" s="2"/>
      <c r="ME754" s="2"/>
      <c r="MF754" s="2"/>
      <c r="MG754" s="2"/>
      <c r="MH754" s="2"/>
      <c r="MI754" s="2"/>
      <c r="MJ754" s="2"/>
      <c r="MK754" s="2"/>
      <c r="ML754" s="2"/>
      <c r="MM754" s="2"/>
      <c r="MN754" s="2"/>
      <c r="MO754" s="2"/>
      <c r="MP754" s="2"/>
      <c r="MQ754" s="2"/>
      <c r="MR754" s="2"/>
      <c r="MS754" s="2"/>
      <c r="MT754" s="2"/>
      <c r="MU754" s="2"/>
      <c r="MV754" s="2"/>
      <c r="MW754" s="2"/>
      <c r="MX754" s="2"/>
      <c r="MY754" s="133" t="s">
        <v>1468</v>
      </c>
      <c r="MZ754" s="80">
        <v>64</v>
      </c>
      <c r="NA754" s="133" t="s">
        <v>1478</v>
      </c>
      <c r="NB754" s="144" t="s">
        <v>1479</v>
      </c>
      <c r="NC754" s="144"/>
      <c r="ND754" s="144"/>
      <c r="NE754" s="144"/>
      <c r="NF754" s="144"/>
      <c r="NG754" s="144"/>
      <c r="NH754" s="144"/>
      <c r="NI754" s="133"/>
      <c r="NJ754" s="133" t="s">
        <v>1484</v>
      </c>
      <c r="NK754" s="133" t="s">
        <v>1485</v>
      </c>
      <c r="NL754" t="s">
        <v>660</v>
      </c>
      <c r="NM754" s="145" t="s">
        <v>508</v>
      </c>
      <c r="NN754" s="133"/>
      <c r="NO754" s="133"/>
      <c r="NP754" s="133"/>
      <c r="NQ754" s="133"/>
      <c r="NR754" s="133"/>
      <c r="NS754" s="133"/>
      <c r="NT754" s="133"/>
      <c r="NU754" s="133"/>
      <c r="NV754" s="146" t="s">
        <v>518</v>
      </c>
      <c r="NW754" s="80">
        <v>882.3</v>
      </c>
      <c r="NX754" s="146" t="s">
        <v>520</v>
      </c>
      <c r="NY754" s="80">
        <v>75</v>
      </c>
      <c r="NZ754" s="154"/>
      <c r="OA754" s="2"/>
      <c r="OB754" s="133">
        <v>4</v>
      </c>
      <c r="OG754" s="2"/>
      <c r="OH754" s="2"/>
      <c r="OI754" s="2"/>
      <c r="OJ754" s="2"/>
      <c r="OK754" s="2"/>
      <c r="OL754" s="2"/>
      <c r="OU754" s="133" t="s">
        <v>1486</v>
      </c>
      <c r="OV754" s="2"/>
      <c r="OW754" s="2">
        <v>2008</v>
      </c>
      <c r="OX754" s="2"/>
      <c r="OY754" s="2"/>
      <c r="OZ754" s="2" t="s">
        <v>709</v>
      </c>
      <c r="PA754" s="2"/>
      <c r="PB754" t="s">
        <v>522</v>
      </c>
      <c r="PC754" s="50">
        <v>46134</v>
      </c>
      <c r="PD754" s="127"/>
    </row>
    <row r="755" spans="1:420" ht="15.75" thickBot="1">
      <c r="A755" t="s">
        <v>469</v>
      </c>
      <c r="B755" t="s">
        <v>1459</v>
      </c>
      <c r="C755" s="80" t="s">
        <v>667</v>
      </c>
      <c r="D755" s="132" t="s">
        <v>950</v>
      </c>
      <c r="E755" s="2" t="s">
        <v>1460</v>
      </c>
      <c r="F755" t="s">
        <v>1179</v>
      </c>
      <c r="G755" s="80" t="s">
        <v>475</v>
      </c>
      <c r="H755" s="132" t="s">
        <v>476</v>
      </c>
      <c r="I755">
        <v>-0.41666666699999999</v>
      </c>
      <c r="J755">
        <v>34.200000000000003</v>
      </c>
      <c r="K755" s="132">
        <v>100</v>
      </c>
      <c r="L755" s="80"/>
      <c r="M755" s="132"/>
      <c r="N755" s="80"/>
      <c r="O755" s="80"/>
      <c r="P755" s="80"/>
      <c r="Q755" s="80"/>
      <c r="R755" s="80"/>
      <c r="S755" s="80"/>
      <c r="T755" s="80"/>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c r="AV755" s="80" t="s">
        <v>1461</v>
      </c>
      <c r="AW755" s="80">
        <v>64</v>
      </c>
      <c r="AX755" s="80">
        <v>0.09</v>
      </c>
      <c r="AY755" s="80">
        <v>1</v>
      </c>
      <c r="AZ755" s="133" t="s">
        <v>1462</v>
      </c>
      <c r="BA755" s="133">
        <v>2007</v>
      </c>
      <c r="BB755" s="133">
        <v>2008</v>
      </c>
      <c r="BC755" s="133" t="s">
        <v>709</v>
      </c>
      <c r="BD755" s="133" t="s">
        <v>1463</v>
      </c>
      <c r="BE755" s="133" t="s">
        <v>524</v>
      </c>
      <c r="BF755" s="133" t="s">
        <v>484</v>
      </c>
      <c r="BG755" s="133" t="s">
        <v>1464</v>
      </c>
      <c r="BH755" s="133" t="s">
        <v>480</v>
      </c>
      <c r="BI755" s="134" t="s">
        <v>486</v>
      </c>
      <c r="BJ755" s="135">
        <v>111000</v>
      </c>
      <c r="BK755" s="80"/>
      <c r="BL755" s="80"/>
      <c r="BM755" s="80"/>
      <c r="BN755" s="132"/>
      <c r="BO755" s="155"/>
      <c r="BP755" s="80"/>
      <c r="BQ755" s="80"/>
      <c r="BR755" s="80"/>
      <c r="BS755" s="132"/>
      <c r="BT755" s="155"/>
      <c r="BU755" s="80"/>
      <c r="BV755" s="3"/>
      <c r="BW755" s="3"/>
      <c r="BX755" s="3"/>
      <c r="BY755" s="3"/>
      <c r="BZ755" s="3"/>
      <c r="CA755" s="3"/>
      <c r="CB755" s="3"/>
      <c r="CC755" s="3"/>
      <c r="CD755" s="3"/>
      <c r="CE755" s="3"/>
      <c r="CF755" s="3"/>
      <c r="CG755" s="3"/>
      <c r="CH755" s="3"/>
      <c r="CI755" s="3"/>
      <c r="CJ755" s="3"/>
      <c r="CK755" s="3"/>
      <c r="CL755" s="3"/>
      <c r="CM755" s="3"/>
      <c r="CN755" s="3"/>
      <c r="CO755" s="3"/>
      <c r="CP755" s="3"/>
      <c r="CQ755" s="3"/>
      <c r="CR755" s="3"/>
      <c r="CS755" s="3"/>
      <c r="CT755" s="3"/>
      <c r="CU755" s="3"/>
      <c r="CV755" s="3"/>
      <c r="CW755" s="3"/>
      <c r="CX755" s="3"/>
      <c r="CY755" s="3"/>
      <c r="CZ755" s="3"/>
      <c r="DA755" s="3"/>
      <c r="DB755" s="3"/>
      <c r="DC755" s="3"/>
      <c r="DD755" s="3"/>
      <c r="DE755" s="3"/>
      <c r="DF755" s="3"/>
      <c r="DG755" s="3"/>
      <c r="DH755" s="3"/>
      <c r="DI755" s="3"/>
      <c r="DJ755" s="3"/>
      <c r="DK755" s="3"/>
      <c r="DL755" s="3"/>
      <c r="DM755" s="3"/>
      <c r="DN755" s="3"/>
      <c r="DO755" s="3"/>
      <c r="DP755" s="3"/>
      <c r="DQ755" s="3"/>
      <c r="DR755" s="3"/>
      <c r="DS755" s="3"/>
      <c r="DT755" s="3"/>
      <c r="DU755" s="3"/>
      <c r="DV755" s="3"/>
      <c r="DW755" s="3"/>
      <c r="DX755" s="3"/>
      <c r="DY755" s="3"/>
      <c r="DZ755" s="3"/>
      <c r="EA755" s="3"/>
      <c r="EB755" s="3"/>
      <c r="EC755" s="3"/>
      <c r="ED755" s="80"/>
      <c r="EE755" s="80"/>
      <c r="EF755" s="80"/>
      <c r="EG755" s="80"/>
      <c r="EH755" s="80"/>
      <c r="EI755" s="80"/>
      <c r="EJ755" s="80"/>
      <c r="EK755" s="80"/>
      <c r="EL755" s="3"/>
      <c r="EM755" s="3"/>
      <c r="EN755" s="3"/>
      <c r="EO755" s="3"/>
      <c r="EP755" s="3"/>
      <c r="EQ755" s="3"/>
      <c r="ER755" s="3"/>
      <c r="ES755" s="3"/>
      <c r="ET755" s="3"/>
      <c r="EU755" s="3"/>
      <c r="EV755" s="3"/>
      <c r="EW755" s="3"/>
      <c r="EX755" s="3"/>
      <c r="EY755" s="3"/>
      <c r="EZ755" s="3"/>
      <c r="FA755" s="3"/>
      <c r="FB755" s="3"/>
      <c r="FC755" s="3"/>
      <c r="FD755" s="3"/>
      <c r="FE755" s="3"/>
      <c r="FF755" s="3"/>
      <c r="FG755" s="3"/>
      <c r="FH755" s="3"/>
      <c r="FI755" s="3"/>
      <c r="FJ755" s="3"/>
      <c r="FK755" s="3"/>
      <c r="FL755" s="3"/>
      <c r="FM755" s="3"/>
      <c r="FN755" s="3"/>
      <c r="FO755" s="3"/>
      <c r="FP755" s="3"/>
      <c r="FQ755" s="3"/>
      <c r="FR755" s="3"/>
      <c r="FS755" s="3"/>
      <c r="FT755" s="3"/>
      <c r="FU755" s="3"/>
      <c r="FV755" s="3"/>
      <c r="FW755" s="3"/>
      <c r="FX755" s="3"/>
      <c r="FY755" s="3"/>
      <c r="FZ755" s="3"/>
      <c r="GA755" s="3"/>
      <c r="GB755" s="3"/>
      <c r="GC755" s="3"/>
      <c r="GD755" s="3"/>
      <c r="GE755" s="3"/>
      <c r="GF755" s="3"/>
      <c r="GG755" s="3"/>
      <c r="GH755" s="3"/>
      <c r="GI755" s="3"/>
      <c r="GJ755" s="3"/>
      <c r="GK755" s="3"/>
      <c r="GL755" s="3"/>
      <c r="GM755" s="3"/>
      <c r="GN755" s="3"/>
      <c r="GO755" s="3"/>
      <c r="GP755" s="3"/>
      <c r="GQ755" s="3"/>
      <c r="GR755" s="3"/>
      <c r="GS755" s="3"/>
      <c r="GT755" s="3"/>
      <c r="GU755" s="3"/>
      <c r="GV755" s="3"/>
      <c r="GW755" s="3"/>
      <c r="GX755" s="3"/>
      <c r="GY755" s="3"/>
      <c r="GZ755" s="3"/>
      <c r="HA755" s="3"/>
      <c r="HB755" s="3"/>
      <c r="HC755" s="3"/>
      <c r="HD755" s="3"/>
      <c r="HE755" s="3"/>
      <c r="HF755" s="3"/>
      <c r="HG755" s="3"/>
      <c r="HH755" s="3"/>
      <c r="HI755" s="3"/>
      <c r="HJ755" s="3"/>
      <c r="HK755" s="80"/>
      <c r="HL755" s="80"/>
      <c r="HM755" s="80"/>
      <c r="HN755" s="80"/>
      <c r="HO755" s="80"/>
      <c r="HP755" s="80"/>
      <c r="HQ755" s="80"/>
      <c r="HR755" s="80"/>
      <c r="HS755" s="132"/>
      <c r="HT755" s="80"/>
      <c r="HU755" s="80"/>
      <c r="HV755" s="80"/>
      <c r="HW755" s="80"/>
      <c r="HX755" s="80"/>
      <c r="HY755" s="80"/>
      <c r="HZ755" s="80"/>
      <c r="IA755" s="80"/>
      <c r="IB755" s="80"/>
      <c r="IC755" s="80"/>
      <c r="ID755" s="80"/>
      <c r="IE755" s="80"/>
      <c r="IF755" s="80"/>
      <c r="IG755" s="80"/>
      <c r="IH755" s="133" t="s">
        <v>1465</v>
      </c>
      <c r="II755" s="137" t="s">
        <v>492</v>
      </c>
      <c r="IJ755" s="80"/>
      <c r="IK755" s="80"/>
      <c r="IL755" s="80"/>
      <c r="IM755" s="80"/>
      <c r="IN755" s="80"/>
      <c r="IQ755" s="80"/>
      <c r="IR755" s="80"/>
      <c r="IS755" s="80"/>
      <c r="IT755" s="80"/>
      <c r="IU755" s="80"/>
      <c r="IV755" s="80"/>
      <c r="IW755" s="132"/>
      <c r="IX755" s="80"/>
      <c r="IY755" s="80"/>
      <c r="IZ755" s="80"/>
      <c r="JA755" s="80"/>
      <c r="JB755" s="80"/>
      <c r="JC755" s="80"/>
      <c r="JD755" s="80"/>
      <c r="JE755" s="80"/>
      <c r="JF755" s="80"/>
      <c r="JG755" s="80"/>
      <c r="JH755" s="80"/>
      <c r="JI755" s="80"/>
      <c r="JJ755" s="80"/>
      <c r="JK755" s="80"/>
      <c r="JL755" s="139" t="s">
        <v>495</v>
      </c>
      <c r="JM755" s="140" t="s">
        <v>1466</v>
      </c>
      <c r="JN755" s="140" t="s">
        <v>1467</v>
      </c>
      <c r="JO755" s="140" t="s">
        <v>1467</v>
      </c>
      <c r="JR755" s="80"/>
      <c r="JS755" s="80"/>
      <c r="JT755" s="80"/>
      <c r="JU755" s="80"/>
      <c r="JV755" s="80"/>
      <c r="JW755" s="80"/>
      <c r="JX755" s="80"/>
      <c r="JY755" s="141"/>
      <c r="JZ755" s="139"/>
      <c r="KA755" s="132"/>
      <c r="KB755" s="80"/>
      <c r="KC755" s="132"/>
      <c r="KD755" s="80"/>
      <c r="KE755" s="80"/>
      <c r="KF755" s="80"/>
      <c r="KG755" s="132"/>
      <c r="KH755" s="80"/>
      <c r="KI755" s="137"/>
      <c r="KJ755" s="158"/>
      <c r="KK755" s="80"/>
      <c r="KL755" s="80"/>
      <c r="KM755" s="80"/>
      <c r="KN755" s="80"/>
      <c r="KO755" s="132"/>
      <c r="KP755" s="80"/>
      <c r="KQ755" s="162"/>
      <c r="KR755" s="139"/>
      <c r="KS755" s="80"/>
      <c r="KT755" s="80"/>
      <c r="KU755" s="143"/>
      <c r="KV755" s="158"/>
      <c r="KW755" s="80"/>
      <c r="KX755" s="80"/>
      <c r="KY755" s="80"/>
      <c r="KZ755" s="3"/>
      <c r="LA755" s="3"/>
      <c r="LB755" s="3"/>
      <c r="LC755" s="3"/>
      <c r="LD755" s="3"/>
      <c r="LE755" s="3"/>
      <c r="LF755" s="3"/>
      <c r="LG755" s="3"/>
      <c r="LH755" s="132"/>
      <c r="LI755" s="132"/>
      <c r="LJ755" s="132"/>
      <c r="LK755" s="132"/>
      <c r="LL755" s="132"/>
      <c r="LM755" s="80"/>
      <c r="LN755" s="132"/>
      <c r="LO755" s="132"/>
      <c r="LP755" s="132"/>
      <c r="LQ755" s="80"/>
      <c r="LR755" s="80"/>
      <c r="LS755" s="80"/>
      <c r="LT755" s="80"/>
      <c r="LU755" s="80"/>
      <c r="LV755" s="80"/>
      <c r="LW755" s="80"/>
      <c r="LX755" s="80"/>
      <c r="LY755" s="80"/>
      <c r="LZ755" s="80"/>
      <c r="MA755" s="80"/>
      <c r="MB755" s="80"/>
      <c r="MC755" s="80"/>
      <c r="MD755" s="80"/>
      <c r="ME755" s="80"/>
      <c r="MF755" s="80"/>
      <c r="MG755" s="80"/>
      <c r="MH755" s="80"/>
      <c r="MI755" s="80"/>
      <c r="MJ755" s="80"/>
      <c r="MK755" s="80"/>
      <c r="ML755" s="80"/>
      <c r="MM755" s="80"/>
      <c r="MN755" s="80"/>
      <c r="MO755" s="80"/>
      <c r="MP755" s="80"/>
      <c r="MQ755" s="80"/>
      <c r="MR755" s="80"/>
      <c r="MS755" s="80"/>
      <c r="MT755" s="80"/>
      <c r="MU755" s="80"/>
      <c r="MV755" s="80"/>
      <c r="MW755" s="80"/>
      <c r="MX755" s="80"/>
      <c r="MY755" s="133" t="s">
        <v>1468</v>
      </c>
      <c r="MZ755" s="80">
        <v>64</v>
      </c>
      <c r="NA755" s="133" t="s">
        <v>1478</v>
      </c>
      <c r="NB755" s="144" t="s">
        <v>1479</v>
      </c>
      <c r="NC755" s="144"/>
      <c r="ND755" s="144"/>
      <c r="NE755" s="144"/>
      <c r="NF755" s="144"/>
      <c r="NG755" s="144"/>
      <c r="NH755" s="144"/>
      <c r="NI755" s="133"/>
      <c r="NJ755" s="133" t="s">
        <v>1484</v>
      </c>
      <c r="NK755" s="133" t="s">
        <v>1487</v>
      </c>
      <c r="NL755" t="s">
        <v>660</v>
      </c>
      <c r="NM755" s="145" t="s">
        <v>508</v>
      </c>
      <c r="NN755" s="133"/>
      <c r="NO755" s="133"/>
      <c r="NP755" s="133"/>
      <c r="NQ755" s="133"/>
      <c r="NR755" s="133"/>
      <c r="NS755" s="133"/>
      <c r="NT755" s="133"/>
      <c r="NU755" s="133" t="s">
        <v>536</v>
      </c>
      <c r="NV755" s="146" t="s">
        <v>518</v>
      </c>
      <c r="NW755" s="2">
        <v>508</v>
      </c>
      <c r="NX755" s="146" t="s">
        <v>520</v>
      </c>
      <c r="NY755" s="2">
        <v>56</v>
      </c>
      <c r="NZ755" s="160"/>
      <c r="OA755" s="80"/>
      <c r="OB755" s="133">
        <v>4</v>
      </c>
      <c r="OG755" s="80"/>
      <c r="OH755" s="80"/>
      <c r="OI755" s="80"/>
      <c r="OJ755" s="80"/>
      <c r="OK755" s="80"/>
      <c r="OL755" s="80"/>
      <c r="OM755" s="144"/>
      <c r="ON755" s="144"/>
      <c r="OO755" s="144"/>
      <c r="OP755" s="144"/>
      <c r="OQ755" s="144"/>
      <c r="OR755" s="144"/>
      <c r="OS755" s="144"/>
      <c r="OT755" s="144"/>
      <c r="OU755" s="133" t="s">
        <v>1486</v>
      </c>
      <c r="OV755" s="80"/>
      <c r="OW755" s="80">
        <v>2008</v>
      </c>
      <c r="OX755" s="80"/>
      <c r="OY755" s="80"/>
      <c r="OZ755" s="80" t="s">
        <v>709</v>
      </c>
      <c r="PA755" s="80"/>
      <c r="PB755" t="s">
        <v>522</v>
      </c>
      <c r="PC755" s="50">
        <v>46134</v>
      </c>
      <c r="PD755" s="127"/>
    </row>
    <row r="756" spans="1:420" ht="15.75" thickBot="1">
      <c r="A756" t="s">
        <v>469</v>
      </c>
      <c r="B756" t="s">
        <v>1459</v>
      </c>
      <c r="C756" s="80" t="s">
        <v>667</v>
      </c>
      <c r="D756" s="132" t="s">
        <v>950</v>
      </c>
      <c r="E756" s="2" t="s">
        <v>1460</v>
      </c>
      <c r="F756" t="s">
        <v>1179</v>
      </c>
      <c r="G756" s="80" t="s">
        <v>475</v>
      </c>
      <c r="H756" s="132" t="s">
        <v>476</v>
      </c>
      <c r="I756">
        <v>-0.41666666699999999</v>
      </c>
      <c r="J756">
        <v>34.200000000000003</v>
      </c>
      <c r="K756" s="132">
        <v>100</v>
      </c>
      <c r="L756" s="2"/>
      <c r="M756" s="88"/>
      <c r="N756" s="2"/>
      <c r="O756" s="80"/>
      <c r="P756" s="2"/>
      <c r="Q756" s="2"/>
      <c r="R756" s="80"/>
      <c r="S756" s="80"/>
      <c r="T756" s="80"/>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c r="AV756" s="80" t="s">
        <v>1461</v>
      </c>
      <c r="AW756" s="80">
        <v>64</v>
      </c>
      <c r="AX756" s="80">
        <v>0.09</v>
      </c>
      <c r="AY756" s="80">
        <v>1</v>
      </c>
      <c r="AZ756" s="133" t="s">
        <v>1462</v>
      </c>
      <c r="BA756" s="133">
        <v>2007</v>
      </c>
      <c r="BB756" s="133">
        <v>2008</v>
      </c>
      <c r="BC756" s="133" t="s">
        <v>692</v>
      </c>
      <c r="BD756" s="2" t="s">
        <v>1473</v>
      </c>
      <c r="BE756" s="2" t="s">
        <v>536</v>
      </c>
      <c r="BF756" s="133" t="s">
        <v>484</v>
      </c>
      <c r="BG756" s="2" t="s">
        <v>1464</v>
      </c>
      <c r="BH756" s="133" t="s">
        <v>480</v>
      </c>
      <c r="BI756" s="134" t="s">
        <v>486</v>
      </c>
      <c r="BJ756" s="135">
        <v>55500</v>
      </c>
      <c r="BK756" s="2" t="s">
        <v>537</v>
      </c>
      <c r="BL756" t="s">
        <v>1474</v>
      </c>
      <c r="BM756" s="133" t="s">
        <v>480</v>
      </c>
      <c r="BN756" s="2" t="s">
        <v>486</v>
      </c>
      <c r="BO756" s="2">
        <v>55000</v>
      </c>
      <c r="BP756" s="2"/>
      <c r="BQ756" s="2"/>
      <c r="BR756" s="2"/>
      <c r="BS756" s="2"/>
      <c r="BT756" s="2"/>
      <c r="BU756" s="2"/>
      <c r="BV756" s="3"/>
      <c r="BW756" s="3"/>
      <c r="BX756" s="3"/>
      <c r="BY756" s="3"/>
      <c r="BZ756" s="3"/>
      <c r="CA756" s="3"/>
      <c r="CB756" s="3"/>
      <c r="CC756" s="3"/>
      <c r="CD756" s="3"/>
      <c r="CE756" s="3"/>
      <c r="CF756" s="3"/>
      <c r="CG756" s="3"/>
      <c r="CH756" s="3"/>
      <c r="CI756" s="3"/>
      <c r="CJ756" s="3"/>
      <c r="CK756" s="3"/>
      <c r="CL756" s="3"/>
      <c r="CM756" s="3"/>
      <c r="CN756" s="3"/>
      <c r="CO756" s="3"/>
      <c r="CP756" s="3"/>
      <c r="CQ756" s="3"/>
      <c r="CR756" s="3"/>
      <c r="CS756" s="3"/>
      <c r="CT756" s="3"/>
      <c r="CU756" s="3"/>
      <c r="CV756" s="3"/>
      <c r="CW756" s="3"/>
      <c r="CX756" s="3"/>
      <c r="CY756" s="3"/>
      <c r="CZ756" s="3"/>
      <c r="DA756" s="3"/>
      <c r="DB756" s="3"/>
      <c r="DC756" s="3"/>
      <c r="DD756" s="3"/>
      <c r="DE756" s="3"/>
      <c r="DF756" s="3"/>
      <c r="DG756" s="3"/>
      <c r="DH756" s="3"/>
      <c r="DI756" s="3"/>
      <c r="DJ756" s="3"/>
      <c r="DK756" s="3"/>
      <c r="DL756" s="3"/>
      <c r="DM756" s="3"/>
      <c r="DN756" s="3"/>
      <c r="DO756" s="3"/>
      <c r="DP756" s="3"/>
      <c r="DQ756" s="3"/>
      <c r="DR756" s="3"/>
      <c r="DS756" s="3"/>
      <c r="DT756" s="3"/>
      <c r="DU756" s="3"/>
      <c r="DV756" s="3"/>
      <c r="DW756" s="3"/>
      <c r="DX756" s="3"/>
      <c r="DY756" s="3"/>
      <c r="DZ756" s="3"/>
      <c r="EA756" s="3"/>
      <c r="EB756" s="3"/>
      <c r="EC756" s="3"/>
      <c r="ED756" s="2"/>
      <c r="EE756" s="2"/>
      <c r="EF756" s="2"/>
      <c r="EG756" s="2"/>
      <c r="EH756" s="2"/>
      <c r="EI756" s="2"/>
      <c r="EJ756" s="2"/>
      <c r="EK756" s="2"/>
      <c r="EL756" s="3"/>
      <c r="EM756" s="3"/>
      <c r="EN756" s="3"/>
      <c r="EO756" s="3"/>
      <c r="EP756" s="3"/>
      <c r="EQ756" s="3"/>
      <c r="ER756" s="3"/>
      <c r="ES756" s="3"/>
      <c r="ET756" s="3"/>
      <c r="EU756" s="3"/>
      <c r="EV756" s="3"/>
      <c r="EW756" s="3"/>
      <c r="EX756" s="3"/>
      <c r="EY756" s="3"/>
      <c r="EZ756" s="3"/>
      <c r="FA756" s="3"/>
      <c r="FB756" s="3"/>
      <c r="FC756" s="3"/>
      <c r="FD756" s="3"/>
      <c r="FE756" s="3"/>
      <c r="FF756" s="3"/>
      <c r="FG756" s="3"/>
      <c r="FH756" s="3"/>
      <c r="FI756" s="3"/>
      <c r="FJ756" s="3"/>
      <c r="FK756" s="3"/>
      <c r="FL756" s="3"/>
      <c r="FM756" s="3"/>
      <c r="FN756" s="3"/>
      <c r="FO756" s="3"/>
      <c r="FP756" s="3"/>
      <c r="FQ756" s="3"/>
      <c r="FR756" s="3"/>
      <c r="FS756" s="3"/>
      <c r="FT756" s="3"/>
      <c r="FU756" s="3"/>
      <c r="FV756" s="3"/>
      <c r="FW756" s="3"/>
      <c r="FX756" s="3"/>
      <c r="FY756" s="3"/>
      <c r="FZ756" s="3"/>
      <c r="GA756" s="3"/>
      <c r="GB756" s="3"/>
      <c r="GC756" s="3"/>
      <c r="GD756" s="3"/>
      <c r="GE756" s="3"/>
      <c r="GF756" s="3"/>
      <c r="GG756" s="3"/>
      <c r="GH756" s="3"/>
      <c r="GI756" s="3"/>
      <c r="GJ756" s="3"/>
      <c r="GK756" s="3"/>
      <c r="GL756" s="3"/>
      <c r="GM756" s="3"/>
      <c r="GN756" s="3"/>
      <c r="GO756" s="3"/>
      <c r="GP756" s="3"/>
      <c r="GQ756" s="3"/>
      <c r="GR756" s="3"/>
      <c r="GS756" s="3"/>
      <c r="GT756" s="3"/>
      <c r="GU756" s="3"/>
      <c r="GV756" s="3"/>
      <c r="GW756" s="3"/>
      <c r="GX756" s="3"/>
      <c r="GY756" s="3"/>
      <c r="GZ756" s="3"/>
      <c r="HA756" s="3"/>
      <c r="HB756" s="3"/>
      <c r="HC756" s="3"/>
      <c r="HD756" s="3"/>
      <c r="HE756" s="3"/>
      <c r="HF756" s="3"/>
      <c r="HG756" s="3"/>
      <c r="HH756" s="3"/>
      <c r="HI756" s="3"/>
      <c r="HJ756" s="3"/>
      <c r="HK756" s="2"/>
      <c r="HL756" s="2"/>
      <c r="HM756" s="2"/>
      <c r="HN756" s="2"/>
      <c r="HO756" s="2"/>
      <c r="HP756" s="2"/>
      <c r="HQ756" s="2"/>
      <c r="HR756" s="2"/>
      <c r="HS756" s="88"/>
      <c r="HT756" s="2"/>
      <c r="HU756" s="2"/>
      <c r="HV756" s="2"/>
      <c r="HW756" s="2"/>
      <c r="HX756" s="2"/>
      <c r="HY756" s="2"/>
      <c r="HZ756" s="2"/>
      <c r="IA756" s="2"/>
      <c r="IB756" s="2"/>
      <c r="IC756" s="2"/>
      <c r="ID756" s="2"/>
      <c r="IE756" s="2"/>
      <c r="IF756" s="2"/>
      <c r="IG756" s="2"/>
      <c r="IH756" s="133" t="s">
        <v>1465</v>
      </c>
      <c r="II756" s="75" t="s">
        <v>929</v>
      </c>
      <c r="IJ756" s="149" t="s">
        <v>983</v>
      </c>
      <c r="IK756" s="150" t="s">
        <v>543</v>
      </c>
      <c r="IL756" s="2">
        <v>2007</v>
      </c>
      <c r="IM756" s="2" t="s">
        <v>692</v>
      </c>
      <c r="IN756" s="2" t="s">
        <v>480</v>
      </c>
      <c r="IQ756" s="2"/>
      <c r="IR756" s="2"/>
      <c r="IS756" s="2"/>
      <c r="IT756" s="2"/>
      <c r="IU756" s="2"/>
      <c r="IV756" s="2"/>
      <c r="IW756" s="2"/>
      <c r="IX756" s="2"/>
      <c r="IY756" s="2"/>
      <c r="IZ756" s="2"/>
      <c r="JA756" s="2"/>
      <c r="JB756" s="2"/>
      <c r="JC756" s="2"/>
      <c r="JD756" s="2"/>
      <c r="JE756" s="2"/>
      <c r="JF756" s="2"/>
      <c r="JG756" s="2"/>
      <c r="JH756" s="2"/>
      <c r="JI756" s="2"/>
      <c r="JJ756" s="2"/>
      <c r="JK756" s="2"/>
      <c r="JL756" s="139" t="s">
        <v>495</v>
      </c>
      <c r="JM756" s="140" t="s">
        <v>1466</v>
      </c>
      <c r="JN756" s="140" t="s">
        <v>1467</v>
      </c>
      <c r="JO756" s="140" t="s">
        <v>1467</v>
      </c>
      <c r="JR756" s="2"/>
      <c r="JS756" s="2"/>
      <c r="JT756" s="2"/>
      <c r="JU756" s="2"/>
      <c r="JV756" s="2"/>
      <c r="JW756" s="2"/>
      <c r="JX756" s="2"/>
      <c r="JY756" s="141"/>
      <c r="JZ756" s="151"/>
      <c r="KA756" s="88"/>
      <c r="KB756" s="2"/>
      <c r="KC756" s="88"/>
      <c r="KD756" s="2"/>
      <c r="KE756" s="2"/>
      <c r="KF756" s="2"/>
      <c r="KG756" s="88"/>
      <c r="KH756" s="2"/>
      <c r="KI756" s="148"/>
      <c r="KJ756" s="152"/>
      <c r="KK756" s="2"/>
      <c r="KL756" s="2"/>
      <c r="KM756" s="2"/>
      <c r="KN756" s="2"/>
      <c r="KO756" s="88"/>
      <c r="KP756" s="2"/>
      <c r="KQ756" s="148"/>
      <c r="KR756" s="152"/>
      <c r="KS756" s="2"/>
      <c r="KT756" s="2"/>
      <c r="KU756" s="143"/>
      <c r="KV756" s="152"/>
      <c r="KW756" s="2"/>
      <c r="KX756" s="2"/>
      <c r="KY756" s="2"/>
      <c r="KZ756" s="61"/>
      <c r="LA756" s="62"/>
      <c r="LB756" s="62"/>
      <c r="LC756" s="3"/>
      <c r="LD756" s="3"/>
      <c r="LE756" s="3"/>
      <c r="LF756" s="3"/>
      <c r="LG756" s="3"/>
      <c r="LH756" s="88"/>
      <c r="LI756" s="88"/>
      <c r="LJ756" s="88"/>
      <c r="LK756" s="88"/>
      <c r="LL756" s="88"/>
      <c r="LM756" s="2"/>
      <c r="LN756" s="88"/>
      <c r="LO756" s="88"/>
      <c r="LP756" s="88"/>
      <c r="LQ756" s="2"/>
      <c r="LR756" s="2"/>
      <c r="LS756" s="2"/>
      <c r="LT756" s="2"/>
      <c r="LU756" s="2"/>
      <c r="LV756" s="2"/>
      <c r="LW756" s="2"/>
      <c r="LX756" s="2"/>
      <c r="LY756" s="2"/>
      <c r="LZ756" s="2"/>
      <c r="MA756" s="2"/>
      <c r="MB756" s="2"/>
      <c r="MC756" s="2"/>
      <c r="MD756" s="2"/>
      <c r="ME756" s="2"/>
      <c r="MF756" s="2"/>
      <c r="MG756" s="2"/>
      <c r="MI756" s="2"/>
      <c r="MJ756" s="2"/>
      <c r="MK756" s="2"/>
      <c r="ML756" s="2"/>
      <c r="MM756" s="2"/>
      <c r="MN756" s="2"/>
      <c r="MO756" s="2"/>
      <c r="MP756" s="2"/>
      <c r="MQ756" s="2"/>
      <c r="MR756" s="2"/>
      <c r="MS756" s="2"/>
      <c r="MT756" s="2"/>
      <c r="MU756" s="2"/>
      <c r="MV756" s="2"/>
      <c r="MW756" s="2"/>
      <c r="MX756" s="2"/>
      <c r="MY756" s="133" t="s">
        <v>1468</v>
      </c>
      <c r="MZ756" s="80">
        <v>64</v>
      </c>
      <c r="NA756" s="133" t="s">
        <v>1478</v>
      </c>
      <c r="NB756" s="144" t="s">
        <v>1480</v>
      </c>
      <c r="ND756" s="144"/>
      <c r="NE756" s="144"/>
      <c r="NF756" s="144"/>
      <c r="NG756" s="144"/>
      <c r="NH756" s="144"/>
      <c r="NI756" s="133"/>
      <c r="NJ756" s="133" t="s">
        <v>1484</v>
      </c>
      <c r="NK756" s="133" t="s">
        <v>1485</v>
      </c>
      <c r="NL756" t="s">
        <v>660</v>
      </c>
      <c r="NM756" s="145" t="s">
        <v>508</v>
      </c>
      <c r="NN756" s="133"/>
      <c r="NO756" s="133"/>
      <c r="NP756" s="133"/>
      <c r="NQ756" s="133"/>
      <c r="NR756" s="133"/>
      <c r="NS756" s="133"/>
      <c r="NT756" s="133"/>
      <c r="NU756" s="133"/>
      <c r="NV756" s="146" t="s">
        <v>518</v>
      </c>
      <c r="NW756">
        <v>15049.7</v>
      </c>
      <c r="NX756" s="146" t="s">
        <v>520</v>
      </c>
      <c r="NY756">
        <v>402</v>
      </c>
      <c r="NZ756" s="154"/>
      <c r="OA756" s="2"/>
      <c r="OB756" s="133">
        <v>4</v>
      </c>
      <c r="OC756" s="133"/>
      <c r="OD756" s="133"/>
      <c r="OG756" s="2"/>
      <c r="OH756" s="2"/>
      <c r="OI756" s="2"/>
      <c r="OJ756" s="2"/>
      <c r="OK756" s="2"/>
      <c r="OL756" s="2"/>
      <c r="OU756" s="133" t="s">
        <v>1486</v>
      </c>
      <c r="OV756" s="2"/>
      <c r="OW756" s="133">
        <v>2007</v>
      </c>
      <c r="OX756" s="133"/>
      <c r="OY756" s="133"/>
      <c r="OZ756" s="133" t="s">
        <v>692</v>
      </c>
      <c r="PA756" s="2"/>
      <c r="PB756" t="s">
        <v>522</v>
      </c>
      <c r="PC756" s="50">
        <v>46134</v>
      </c>
      <c r="PD756" s="127"/>
    </row>
    <row r="757" spans="1:420" ht="17.25" thickBot="1">
      <c r="A757" t="s">
        <v>469</v>
      </c>
      <c r="B757" t="s">
        <v>1459</v>
      </c>
      <c r="C757" s="80" t="s">
        <v>667</v>
      </c>
      <c r="D757" s="132" t="s">
        <v>950</v>
      </c>
      <c r="E757" s="2" t="s">
        <v>1460</v>
      </c>
      <c r="F757" t="s">
        <v>1179</v>
      </c>
      <c r="G757" s="80" t="s">
        <v>475</v>
      </c>
      <c r="H757" s="132" t="s">
        <v>476</v>
      </c>
      <c r="I757">
        <v>-0.41666666699999999</v>
      </c>
      <c r="J757">
        <v>34.200000000000003</v>
      </c>
      <c r="K757" s="132">
        <v>100</v>
      </c>
      <c r="L757" s="80"/>
      <c r="M757" s="132"/>
      <c r="N757" s="80"/>
      <c r="O757" s="80"/>
      <c r="P757" s="80"/>
      <c r="Q757" s="80"/>
      <c r="R757" s="80"/>
      <c r="S757" s="80"/>
      <c r="T757" s="80"/>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c r="AV757" s="80" t="s">
        <v>1461</v>
      </c>
      <c r="AW757" s="80">
        <v>64</v>
      </c>
      <c r="AX757" s="80">
        <v>0.09</v>
      </c>
      <c r="AY757" s="80">
        <v>1</v>
      </c>
      <c r="AZ757" s="133" t="s">
        <v>1462</v>
      </c>
      <c r="BA757" s="133">
        <v>2007</v>
      </c>
      <c r="BB757" s="133">
        <v>2008</v>
      </c>
      <c r="BC757" s="133" t="s">
        <v>692</v>
      </c>
      <c r="BD757" s="133" t="s">
        <v>1463</v>
      </c>
      <c r="BE757" s="133" t="s">
        <v>524</v>
      </c>
      <c r="BF757" s="133" t="s">
        <v>484</v>
      </c>
      <c r="BG757" s="133" t="s">
        <v>1464</v>
      </c>
      <c r="BH757" s="133" t="s">
        <v>480</v>
      </c>
      <c r="BI757" s="134" t="s">
        <v>486</v>
      </c>
      <c r="BJ757" s="135">
        <v>111000</v>
      </c>
      <c r="BK757" s="133"/>
      <c r="BL757" s="133"/>
      <c r="BM757" s="133"/>
      <c r="BN757" s="133"/>
      <c r="BO757" s="133"/>
      <c r="BP757" s="133"/>
      <c r="BQ757" s="133"/>
      <c r="BR757" s="133"/>
      <c r="BS757" s="133"/>
      <c r="BT757" s="133"/>
      <c r="BU757" s="133"/>
      <c r="BV757" s="3"/>
      <c r="BW757" s="3"/>
      <c r="BX757" s="3"/>
      <c r="BY757" s="3"/>
      <c r="BZ757" s="3"/>
      <c r="CA757" s="3"/>
      <c r="CB757" s="3"/>
      <c r="CC757" s="3"/>
      <c r="CD757" s="3"/>
      <c r="CE757" s="3"/>
      <c r="CF757" s="3"/>
      <c r="CG757" s="3"/>
      <c r="CH757" s="3"/>
      <c r="CI757" s="3"/>
      <c r="CJ757" s="3"/>
      <c r="CK757" s="3"/>
      <c r="CL757" s="3"/>
      <c r="CM757" s="3"/>
      <c r="CN757" s="3"/>
      <c r="CO757" s="3"/>
      <c r="CP757" s="3"/>
      <c r="CQ757" s="3"/>
      <c r="CR757" s="3"/>
      <c r="CS757" s="3"/>
      <c r="CT757" s="3"/>
      <c r="CU757" s="3"/>
      <c r="CV757" s="3"/>
      <c r="CW757" s="3"/>
      <c r="CX757" s="3"/>
      <c r="CY757" s="3"/>
      <c r="CZ757" s="3"/>
      <c r="DA757" s="3"/>
      <c r="DB757" s="3"/>
      <c r="DC757" s="3"/>
      <c r="DD757" s="3"/>
      <c r="DE757" s="3"/>
      <c r="DF757" s="3"/>
      <c r="DG757" s="3"/>
      <c r="DH757" s="3"/>
      <c r="DI757" s="3"/>
      <c r="DJ757" s="3"/>
      <c r="DK757" s="3"/>
      <c r="DL757" s="3"/>
      <c r="DM757" s="3"/>
      <c r="DN757" s="3"/>
      <c r="DO757" s="3"/>
      <c r="DP757" s="3"/>
      <c r="DQ757" s="3"/>
      <c r="DR757" s="3"/>
      <c r="DS757" s="3"/>
      <c r="DT757" s="3"/>
      <c r="DU757" s="3"/>
      <c r="DV757" s="3"/>
      <c r="DW757" s="3"/>
      <c r="DX757" s="3"/>
      <c r="DY757" s="3"/>
      <c r="DZ757" s="3"/>
      <c r="EA757" s="3"/>
      <c r="EB757" s="3"/>
      <c r="EC757" s="3"/>
      <c r="ED757" s="2"/>
      <c r="EE757" s="133"/>
      <c r="EF757" s="133"/>
      <c r="EG757" s="133"/>
      <c r="EH757" s="133"/>
      <c r="EI757" s="133"/>
      <c r="EJ757" s="133"/>
      <c r="EK757" s="133"/>
      <c r="EL757" s="3"/>
      <c r="EM757" s="3"/>
      <c r="EN757" s="3"/>
      <c r="EO757" s="3"/>
      <c r="EP757" s="3"/>
      <c r="EQ757" s="3"/>
      <c r="ER757" s="3"/>
      <c r="ES757" s="3"/>
      <c r="ET757" s="3"/>
      <c r="EU757" s="3"/>
      <c r="EV757" s="3"/>
      <c r="EW757" s="3"/>
      <c r="EX757" s="3"/>
      <c r="EY757" s="3"/>
      <c r="EZ757" s="3"/>
      <c r="FA757" s="3"/>
      <c r="FB757" s="3"/>
      <c r="FC757" s="3"/>
      <c r="FD757" s="3"/>
      <c r="FE757" s="3"/>
      <c r="FF757" s="3"/>
      <c r="FG757" s="3"/>
      <c r="FH757" s="3"/>
      <c r="FI757" s="3"/>
      <c r="FJ757" s="3"/>
      <c r="FK757" s="3"/>
      <c r="FL757" s="3"/>
      <c r="FM757" s="3"/>
      <c r="FN757" s="3"/>
      <c r="FO757" s="3"/>
      <c r="FP757" s="3"/>
      <c r="FQ757" s="3"/>
      <c r="FR757" s="3"/>
      <c r="FS757" s="3"/>
      <c r="FT757" s="3"/>
      <c r="FU757" s="3"/>
      <c r="FV757" s="3"/>
      <c r="FW757" s="3"/>
      <c r="FX757" s="3"/>
      <c r="FY757" s="3"/>
      <c r="FZ757" s="3"/>
      <c r="GA757" s="3"/>
      <c r="GB757" s="3"/>
      <c r="GC757" s="3"/>
      <c r="GD757" s="3"/>
      <c r="GE757" s="3"/>
      <c r="GF757" s="3"/>
      <c r="GG757" s="3"/>
      <c r="GH757" s="3"/>
      <c r="GI757" s="3"/>
      <c r="GJ757" s="3"/>
      <c r="GK757" s="3"/>
      <c r="GL757" s="3"/>
      <c r="GM757" s="3"/>
      <c r="GN757" s="3"/>
      <c r="GO757" s="3"/>
      <c r="GP757" s="3"/>
      <c r="GQ757" s="3"/>
      <c r="GR757" s="3"/>
      <c r="GS757" s="3"/>
      <c r="GT757" s="3"/>
      <c r="GU757" s="3"/>
      <c r="GV757" s="3"/>
      <c r="GW757" s="3"/>
      <c r="GX757" s="3"/>
      <c r="GY757" s="3"/>
      <c r="GZ757" s="3"/>
      <c r="HA757" s="3"/>
      <c r="HB757" s="3"/>
      <c r="HC757" s="3"/>
      <c r="HD757" s="3"/>
      <c r="HE757" s="3"/>
      <c r="HF757" s="3"/>
      <c r="HG757" s="3"/>
      <c r="HH757" s="3"/>
      <c r="HI757" s="3"/>
      <c r="HJ757" s="3"/>
      <c r="HK757" s="133"/>
      <c r="HL757" s="133"/>
      <c r="HM757" s="133"/>
      <c r="HN757" s="133"/>
      <c r="HO757" s="133"/>
      <c r="HP757" s="133"/>
      <c r="HQ757" s="133"/>
      <c r="HR757" s="133"/>
      <c r="HS757" s="134"/>
      <c r="HT757" s="133"/>
      <c r="HU757" s="133"/>
      <c r="HV757" s="133"/>
      <c r="HW757" s="133"/>
      <c r="HX757" s="136"/>
      <c r="HY757" s="133"/>
      <c r="HZ757" s="133"/>
      <c r="IA757" s="133"/>
      <c r="IB757" s="133"/>
      <c r="IC757" s="133"/>
      <c r="ID757" s="133"/>
      <c r="IE757" s="133"/>
      <c r="IF757" s="133"/>
      <c r="IG757" s="133"/>
      <c r="IH757" s="133" t="s">
        <v>1465</v>
      </c>
      <c r="II757" s="137" t="s">
        <v>492</v>
      </c>
      <c r="IJ757" s="137"/>
      <c r="IK757" s="138"/>
      <c r="IL757" s="133"/>
      <c r="IM757" s="133"/>
      <c r="IN757" s="133"/>
      <c r="IQ757" s="133"/>
      <c r="IR757" s="133"/>
      <c r="IS757" s="133"/>
      <c r="IT757" s="133"/>
      <c r="IU757" s="133"/>
      <c r="IV757" s="133"/>
      <c r="IW757" s="133"/>
      <c r="IX757" s="133"/>
      <c r="IY757" s="133"/>
      <c r="IZ757" s="80"/>
      <c r="JA757" s="80"/>
      <c r="JB757" s="80"/>
      <c r="JC757" s="80"/>
      <c r="JD757" s="80"/>
      <c r="JE757" s="80"/>
      <c r="JF757" s="80"/>
      <c r="JG757" s="80"/>
      <c r="JH757" s="80"/>
      <c r="JI757" s="80"/>
      <c r="JJ757" s="80"/>
      <c r="JK757" s="80"/>
      <c r="JL757" s="139" t="s">
        <v>495</v>
      </c>
      <c r="JM757" s="140" t="s">
        <v>1466</v>
      </c>
      <c r="JN757" s="140" t="s">
        <v>1467</v>
      </c>
      <c r="JO757" s="140" t="s">
        <v>1467</v>
      </c>
      <c r="JR757" s="133"/>
      <c r="JS757" s="133"/>
      <c r="JT757" s="133"/>
      <c r="JU757" s="133"/>
      <c r="JV757" s="133"/>
      <c r="JW757" s="133"/>
      <c r="JX757" s="133"/>
      <c r="JY757" s="141"/>
      <c r="JZ757" s="141"/>
      <c r="KA757" s="134"/>
      <c r="KB757" s="133"/>
      <c r="KC757" s="134"/>
      <c r="KD757" s="133"/>
      <c r="KE757" s="133"/>
      <c r="KF757" s="133"/>
      <c r="KG757" s="134"/>
      <c r="KH757" s="134"/>
      <c r="KI757" s="137"/>
      <c r="KJ757" s="142"/>
      <c r="KK757" s="133"/>
      <c r="KL757" s="133"/>
      <c r="KM757" s="133"/>
      <c r="KN757" s="133"/>
      <c r="KO757" s="134"/>
      <c r="KP757" s="133"/>
      <c r="KQ757" s="137"/>
      <c r="KR757" s="142"/>
      <c r="KS757" s="133"/>
      <c r="KT757" s="133"/>
      <c r="KU757" s="143"/>
      <c r="KV757" s="142"/>
      <c r="KW757" s="133"/>
      <c r="KX757" s="133"/>
      <c r="KY757" s="133"/>
      <c r="KZ757" s="3"/>
      <c r="LA757" s="3"/>
      <c r="LB757" s="3"/>
      <c r="LC757" s="3"/>
      <c r="LD757" s="3"/>
      <c r="LE757" s="3"/>
      <c r="LF757" s="3"/>
      <c r="LG757" s="3"/>
      <c r="LH757" s="134"/>
      <c r="LI757" s="134"/>
      <c r="LJ757" s="134"/>
      <c r="LK757" s="134"/>
      <c r="LL757" s="134"/>
      <c r="LM757" s="134"/>
      <c r="LN757" s="134"/>
      <c r="LO757" s="134"/>
      <c r="LP757" s="134"/>
      <c r="LQ757" s="133"/>
      <c r="LR757" s="133"/>
      <c r="LS757" s="133"/>
      <c r="LT757" s="133"/>
      <c r="LU757" s="133"/>
      <c r="LV757" s="133"/>
      <c r="LW757" s="133"/>
      <c r="LX757" s="133"/>
      <c r="LY757" s="133"/>
      <c r="LZ757" s="80"/>
      <c r="MA757" s="80"/>
      <c r="MB757" s="80"/>
      <c r="MC757" s="80"/>
      <c r="MD757" s="80"/>
      <c r="ME757" s="144"/>
      <c r="MF757" s="144"/>
      <c r="MG757" s="144"/>
      <c r="MH757" s="2"/>
      <c r="MI757" s="133"/>
      <c r="MJ757" s="133"/>
      <c r="MK757" s="133"/>
      <c r="ML757" s="80"/>
      <c r="MM757" s="80"/>
      <c r="MN757" s="80"/>
      <c r="MO757" s="80"/>
      <c r="MP757" s="80"/>
      <c r="MQ757" s="80"/>
      <c r="MR757" s="80"/>
      <c r="MS757" s="80"/>
      <c r="MT757" s="133"/>
      <c r="MU757" s="133"/>
      <c r="MV757" s="133"/>
      <c r="MW757" s="133"/>
      <c r="MX757" s="133"/>
      <c r="MY757" s="133" t="s">
        <v>1468</v>
      </c>
      <c r="MZ757" s="80">
        <v>64</v>
      </c>
      <c r="NA757" s="133" t="s">
        <v>1478</v>
      </c>
      <c r="NB757" s="144" t="s">
        <v>1480</v>
      </c>
      <c r="ND757" s="144"/>
      <c r="NE757" s="144"/>
      <c r="NF757" s="144"/>
      <c r="NG757" s="144"/>
      <c r="NH757" s="144"/>
      <c r="NI757" s="133"/>
      <c r="NJ757" s="133" t="s">
        <v>1484</v>
      </c>
      <c r="NK757" s="133" t="s">
        <v>1487</v>
      </c>
      <c r="NL757" t="s">
        <v>660</v>
      </c>
      <c r="NM757" s="145" t="s">
        <v>508</v>
      </c>
      <c r="NN757" s="133"/>
      <c r="NO757" s="133"/>
      <c r="NP757" s="133"/>
      <c r="NQ757" s="133"/>
      <c r="NR757" s="133"/>
      <c r="NS757" s="133"/>
      <c r="NT757" s="133"/>
      <c r="NU757" s="133" t="s">
        <v>536</v>
      </c>
      <c r="NV757" s="146" t="s">
        <v>518</v>
      </c>
      <c r="NW757">
        <v>4029.6</v>
      </c>
      <c r="NX757" s="146" t="s">
        <v>520</v>
      </c>
      <c r="NY757">
        <v>353</v>
      </c>
      <c r="NZ757" s="147"/>
      <c r="OA757" s="133"/>
      <c r="OB757" s="133">
        <v>4</v>
      </c>
      <c r="OC757" s="2"/>
      <c r="OD757" s="2"/>
      <c r="OG757" s="133"/>
      <c r="OH757" s="133"/>
      <c r="OI757" s="133"/>
      <c r="OJ757" s="133"/>
      <c r="OK757" s="133"/>
      <c r="OL757" s="133"/>
      <c r="OM757" s="133"/>
      <c r="ON757" s="133"/>
      <c r="OO757" s="133"/>
      <c r="OP757" s="133"/>
      <c r="OQ757" s="133"/>
      <c r="OR757" s="133"/>
      <c r="OS757" s="133"/>
      <c r="OT757" s="133"/>
      <c r="OU757" s="133" t="s">
        <v>1486</v>
      </c>
      <c r="OV757" s="133"/>
      <c r="OW757" s="133">
        <v>2007</v>
      </c>
      <c r="OX757" s="133"/>
      <c r="OY757" s="133"/>
      <c r="OZ757" s="133" t="s">
        <v>692</v>
      </c>
      <c r="PA757" s="133"/>
      <c r="PB757" t="s">
        <v>522</v>
      </c>
      <c r="PC757" s="50">
        <v>46134</v>
      </c>
      <c r="PD757" s="127"/>
    </row>
    <row r="758" spans="1:420" ht="15.75" thickBot="1">
      <c r="A758" t="s">
        <v>469</v>
      </c>
      <c r="B758" t="s">
        <v>1459</v>
      </c>
      <c r="C758" s="80" t="s">
        <v>667</v>
      </c>
      <c r="D758" s="132" t="s">
        <v>950</v>
      </c>
      <c r="E758" s="2" t="s">
        <v>1460</v>
      </c>
      <c r="F758" t="s">
        <v>1179</v>
      </c>
      <c r="G758" s="80" t="s">
        <v>475</v>
      </c>
      <c r="H758" s="132" t="s">
        <v>476</v>
      </c>
      <c r="I758">
        <v>-0.41666666699999999</v>
      </c>
      <c r="J758">
        <v>34.200000000000003</v>
      </c>
      <c r="K758" s="132">
        <v>100</v>
      </c>
      <c r="L758" s="2"/>
      <c r="M758" s="88"/>
      <c r="N758" s="2"/>
      <c r="O758" s="80"/>
      <c r="P758" s="2"/>
      <c r="Q758" s="2"/>
      <c r="R758" s="80"/>
      <c r="S758" s="80"/>
      <c r="T758" s="80"/>
      <c r="U758" s="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c r="AV758" s="80" t="s">
        <v>1461</v>
      </c>
      <c r="AW758" s="80">
        <v>64</v>
      </c>
      <c r="AX758" s="80">
        <v>0.09</v>
      </c>
      <c r="AY758" s="80">
        <v>1</v>
      </c>
      <c r="AZ758" s="133" t="s">
        <v>1462</v>
      </c>
      <c r="BA758" s="133">
        <v>2007</v>
      </c>
      <c r="BB758" s="133">
        <v>2008</v>
      </c>
      <c r="BC758" s="133" t="s">
        <v>709</v>
      </c>
      <c r="BD758" s="2" t="s">
        <v>1473</v>
      </c>
      <c r="BE758" s="2" t="s">
        <v>536</v>
      </c>
      <c r="BF758" s="133" t="s">
        <v>484</v>
      </c>
      <c r="BG758" s="2" t="s">
        <v>1464</v>
      </c>
      <c r="BH758" s="133" t="s">
        <v>480</v>
      </c>
      <c r="BI758" s="134" t="s">
        <v>486</v>
      </c>
      <c r="BJ758" s="135">
        <v>55500</v>
      </c>
      <c r="BK758" s="2" t="s">
        <v>537</v>
      </c>
      <c r="BL758" t="s">
        <v>1474</v>
      </c>
      <c r="BM758" s="133" t="s">
        <v>480</v>
      </c>
      <c r="BN758" s="2" t="s">
        <v>486</v>
      </c>
      <c r="BO758" s="2">
        <v>55000</v>
      </c>
      <c r="BP758" s="2"/>
      <c r="BQ758" s="2"/>
      <c r="BR758" s="2"/>
      <c r="BS758" s="2"/>
      <c r="BT758" s="2"/>
      <c r="BU758" s="2"/>
      <c r="BV758" s="3"/>
      <c r="BW758" s="3"/>
      <c r="BX758" s="3"/>
      <c r="BY758" s="3"/>
      <c r="BZ758" s="3"/>
      <c r="CA758" s="3"/>
      <c r="CB758" s="3"/>
      <c r="CC758" s="3"/>
      <c r="CD758" s="3"/>
      <c r="CE758" s="3"/>
      <c r="CF758" s="3"/>
      <c r="CG758" s="3"/>
      <c r="CH758" s="3"/>
      <c r="CI758" s="3"/>
      <c r="CJ758" s="3"/>
      <c r="CK758" s="3"/>
      <c r="CL758" s="3"/>
      <c r="CM758" s="3"/>
      <c r="CN758" s="3"/>
      <c r="CO758" s="3"/>
      <c r="CP758" s="3"/>
      <c r="CQ758" s="3"/>
      <c r="CR758" s="3"/>
      <c r="CS758" s="3"/>
      <c r="CT758" s="3"/>
      <c r="CU758" s="3"/>
      <c r="CV758" s="3"/>
      <c r="CW758" s="3"/>
      <c r="CX758" s="3"/>
      <c r="CY758" s="3"/>
      <c r="CZ758" s="3"/>
      <c r="DA758" s="3"/>
      <c r="DB758" s="3"/>
      <c r="DC758" s="3"/>
      <c r="DD758" s="3"/>
      <c r="DE758" s="3"/>
      <c r="DF758" s="3"/>
      <c r="DG758" s="3"/>
      <c r="DH758" s="3"/>
      <c r="DI758" s="3"/>
      <c r="DJ758" s="3"/>
      <c r="DK758" s="3"/>
      <c r="DL758" s="3"/>
      <c r="DM758" s="3"/>
      <c r="DN758" s="3"/>
      <c r="DO758" s="3"/>
      <c r="DP758" s="3"/>
      <c r="DQ758" s="3"/>
      <c r="DR758" s="3"/>
      <c r="DS758" s="3"/>
      <c r="DT758" s="3"/>
      <c r="DU758" s="3"/>
      <c r="DV758" s="3"/>
      <c r="DW758" s="3"/>
      <c r="DX758" s="3"/>
      <c r="DY758" s="3"/>
      <c r="DZ758" s="3"/>
      <c r="EA758" s="3"/>
      <c r="EB758" s="3"/>
      <c r="EC758" s="3"/>
      <c r="ED758" s="2"/>
      <c r="EE758" s="2"/>
      <c r="EF758" s="2"/>
      <c r="EG758" s="2"/>
      <c r="EH758" s="2"/>
      <c r="EI758" s="2"/>
      <c r="EJ758" s="2"/>
      <c r="EK758" s="2"/>
      <c r="EL758" s="3"/>
      <c r="EM758" s="3"/>
      <c r="EN758" s="3"/>
      <c r="EO758" s="3"/>
      <c r="EP758" s="3"/>
      <c r="EQ758" s="3"/>
      <c r="ER758" s="3"/>
      <c r="ES758" s="3"/>
      <c r="ET758" s="3"/>
      <c r="EU758" s="3"/>
      <c r="EV758" s="3"/>
      <c r="EW758" s="3"/>
      <c r="EX758" s="3"/>
      <c r="EY758" s="3"/>
      <c r="EZ758" s="3"/>
      <c r="FA758" s="3"/>
      <c r="FB758" s="3"/>
      <c r="FC758" s="3"/>
      <c r="FD758" s="3"/>
      <c r="FE758" s="3"/>
      <c r="FF758" s="3"/>
      <c r="FG758" s="3"/>
      <c r="FH758" s="3"/>
      <c r="FI758" s="3"/>
      <c r="FJ758" s="3"/>
      <c r="FK758" s="3"/>
      <c r="FL758" s="3"/>
      <c r="FM758" s="3"/>
      <c r="FN758" s="3"/>
      <c r="FO758" s="3"/>
      <c r="FP758" s="3"/>
      <c r="FQ758" s="3"/>
      <c r="FR758" s="3"/>
      <c r="FS758" s="3"/>
      <c r="FT758" s="3"/>
      <c r="FU758" s="3"/>
      <c r="FV758" s="3"/>
      <c r="FW758" s="3"/>
      <c r="FX758" s="3"/>
      <c r="FY758" s="3"/>
      <c r="FZ758" s="3"/>
      <c r="GA758" s="3"/>
      <c r="GB758" s="3"/>
      <c r="GC758" s="3"/>
      <c r="GD758" s="3"/>
      <c r="GE758" s="3"/>
      <c r="GF758" s="3"/>
      <c r="GG758" s="3"/>
      <c r="GH758" s="3"/>
      <c r="GI758" s="3"/>
      <c r="GJ758" s="3"/>
      <c r="GK758" s="3"/>
      <c r="GL758" s="3"/>
      <c r="GM758" s="3"/>
      <c r="GN758" s="3"/>
      <c r="GO758" s="3"/>
      <c r="GP758" s="3"/>
      <c r="GQ758" s="3"/>
      <c r="GR758" s="3"/>
      <c r="GS758" s="3"/>
      <c r="GT758" s="3"/>
      <c r="GU758" s="3"/>
      <c r="GV758" s="3"/>
      <c r="GW758" s="3"/>
      <c r="GX758" s="3"/>
      <c r="GY758" s="3"/>
      <c r="GZ758" s="3"/>
      <c r="HA758" s="3"/>
      <c r="HB758" s="3"/>
      <c r="HC758" s="3"/>
      <c r="HD758" s="3"/>
      <c r="HE758" s="3"/>
      <c r="HF758" s="3"/>
      <c r="HG758" s="3"/>
      <c r="HH758" s="3"/>
      <c r="HI758" s="3"/>
      <c r="HJ758" s="3"/>
      <c r="HK758" s="2"/>
      <c r="HL758" s="2"/>
      <c r="HM758" s="2"/>
      <c r="HN758" s="2"/>
      <c r="HO758" s="2"/>
      <c r="HP758" s="2"/>
      <c r="HQ758" s="2"/>
      <c r="HR758" s="2"/>
      <c r="HS758" s="88"/>
      <c r="HT758" s="2"/>
      <c r="HU758" s="2"/>
      <c r="HV758" s="2"/>
      <c r="HW758" s="2"/>
      <c r="HX758" s="2"/>
      <c r="HY758" s="2"/>
      <c r="HZ758" s="2"/>
      <c r="IA758" s="2"/>
      <c r="IB758" s="2"/>
      <c r="IC758" s="2"/>
      <c r="ID758" s="2"/>
      <c r="IE758" s="2"/>
      <c r="IF758" s="2"/>
      <c r="IG758" s="2"/>
      <c r="IH758" s="133" t="s">
        <v>1465</v>
      </c>
      <c r="II758" s="75" t="s">
        <v>929</v>
      </c>
      <c r="IJ758" s="149" t="s">
        <v>983</v>
      </c>
      <c r="IK758" s="150" t="s">
        <v>543</v>
      </c>
      <c r="IL758" s="2">
        <v>2007</v>
      </c>
      <c r="IM758" s="2" t="s">
        <v>692</v>
      </c>
      <c r="IN758" s="2" t="s">
        <v>480</v>
      </c>
      <c r="IQ758" s="2"/>
      <c r="IR758" s="2"/>
      <c r="IS758" s="2"/>
      <c r="IT758" s="2"/>
      <c r="IU758" s="2"/>
      <c r="IV758" s="2"/>
      <c r="IW758" s="2"/>
      <c r="IX758" s="2"/>
      <c r="IY758" s="2"/>
      <c r="IZ758" s="2"/>
      <c r="JA758" s="2"/>
      <c r="JB758" s="2"/>
      <c r="JC758" s="2"/>
      <c r="JD758" s="2"/>
      <c r="JE758" s="2"/>
      <c r="JF758" s="2"/>
      <c r="JG758" s="2"/>
      <c r="JH758" s="2"/>
      <c r="JI758" s="2"/>
      <c r="JJ758" s="2"/>
      <c r="JK758" s="2"/>
      <c r="JL758" s="139" t="s">
        <v>495</v>
      </c>
      <c r="JM758" s="140" t="s">
        <v>1466</v>
      </c>
      <c r="JN758" s="140" t="s">
        <v>1467</v>
      </c>
      <c r="JO758" s="140" t="s">
        <v>1467</v>
      </c>
      <c r="JR758" s="2"/>
      <c r="JS758" s="2"/>
      <c r="JT758" s="2"/>
      <c r="JU758" s="2"/>
      <c r="JV758" s="2"/>
      <c r="JW758" s="2"/>
      <c r="JX758" s="2"/>
      <c r="JY758" s="141"/>
      <c r="JZ758" s="151"/>
      <c r="KA758" s="88"/>
      <c r="KB758" s="2"/>
      <c r="KC758" s="88"/>
      <c r="KD758" s="2"/>
      <c r="KE758" s="2"/>
      <c r="KF758" s="2"/>
      <c r="KG758" s="88"/>
      <c r="KH758" s="2"/>
      <c r="KI758" s="148"/>
      <c r="KJ758" s="152"/>
      <c r="KK758" s="2"/>
      <c r="KL758" s="2"/>
      <c r="KM758" s="2"/>
      <c r="KN758" s="2"/>
      <c r="KO758" s="88"/>
      <c r="KP758" s="2"/>
      <c r="KQ758" s="148"/>
      <c r="KR758" s="152"/>
      <c r="KS758" s="2"/>
      <c r="KT758" s="2"/>
      <c r="KU758" s="143"/>
      <c r="KV758" s="161"/>
      <c r="KW758" s="2"/>
      <c r="KX758" s="2"/>
      <c r="KY758" s="2"/>
      <c r="KZ758" s="3"/>
      <c r="LA758" s="3"/>
      <c r="LB758" s="3"/>
      <c r="LC758" s="3"/>
      <c r="LD758" s="3"/>
      <c r="LE758" s="3"/>
      <c r="LF758" s="3"/>
      <c r="LG758" s="3"/>
      <c r="LH758" s="88"/>
      <c r="LI758" s="88"/>
      <c r="LJ758" s="88"/>
      <c r="LK758" s="88"/>
      <c r="LL758" s="88"/>
      <c r="LM758" s="2"/>
      <c r="LN758" s="88"/>
      <c r="LO758" s="88"/>
      <c r="LP758" s="88"/>
      <c r="LQ758" s="2"/>
      <c r="LR758" s="2"/>
      <c r="LS758" s="2"/>
      <c r="LT758" s="2"/>
      <c r="LU758" s="2"/>
      <c r="LV758" s="2"/>
      <c r="LW758" s="2"/>
      <c r="LX758" s="2"/>
      <c r="LY758" s="2"/>
      <c r="LZ758" s="2"/>
      <c r="MA758" s="2"/>
      <c r="MB758" s="2"/>
      <c r="MC758" s="2"/>
      <c r="MD758" s="2"/>
      <c r="ME758" s="2"/>
      <c r="MF758" s="2"/>
      <c r="MG758" s="2"/>
      <c r="MH758" s="2"/>
      <c r="MI758" s="2"/>
      <c r="MJ758" s="2"/>
      <c r="MK758" s="2"/>
      <c r="ML758" s="2"/>
      <c r="MM758" s="2"/>
      <c r="MN758" s="2"/>
      <c r="MO758" s="2"/>
      <c r="MP758" s="2"/>
      <c r="MQ758" s="2"/>
      <c r="MR758" s="2"/>
      <c r="MS758" s="2"/>
      <c r="MT758" s="2"/>
      <c r="MU758" s="2"/>
      <c r="MV758" s="2"/>
      <c r="MW758" s="2"/>
      <c r="MX758" s="2"/>
      <c r="MY758" s="133" t="s">
        <v>1468</v>
      </c>
      <c r="MZ758" s="80">
        <v>64</v>
      </c>
      <c r="NA758" s="133" t="s">
        <v>1478</v>
      </c>
      <c r="NB758" s="144" t="s">
        <v>1480</v>
      </c>
      <c r="ND758" s="144"/>
      <c r="NE758" s="144"/>
      <c r="NF758" s="144"/>
      <c r="NG758" s="144"/>
      <c r="NH758" s="144"/>
      <c r="NI758" s="133"/>
      <c r="NJ758" s="133" t="s">
        <v>1484</v>
      </c>
      <c r="NK758" s="133" t="s">
        <v>1485</v>
      </c>
      <c r="NL758" t="s">
        <v>660</v>
      </c>
      <c r="NM758" s="145" t="s">
        <v>508</v>
      </c>
      <c r="NN758" s="133"/>
      <c r="NO758" s="133"/>
      <c r="NP758" s="133"/>
      <c r="NQ758" s="133"/>
      <c r="NR758" s="133"/>
      <c r="NS758" s="133"/>
      <c r="NT758" s="133"/>
      <c r="NU758" s="133"/>
      <c r="NV758" s="146" t="s">
        <v>518</v>
      </c>
      <c r="NW758">
        <v>13788.5</v>
      </c>
      <c r="NX758" s="146" t="s">
        <v>520</v>
      </c>
      <c r="NY758">
        <v>303</v>
      </c>
      <c r="NZ758" s="154"/>
      <c r="OA758" s="2"/>
      <c r="OB758" s="133">
        <v>4</v>
      </c>
      <c r="OC758" s="80"/>
      <c r="OD758" s="80"/>
      <c r="OG758" s="2"/>
      <c r="OH758" s="2"/>
      <c r="OI758" s="2"/>
      <c r="OJ758" s="2"/>
      <c r="OK758" s="2"/>
      <c r="OL758" s="2"/>
      <c r="OU758" s="133" t="s">
        <v>1486</v>
      </c>
      <c r="OV758" s="2"/>
      <c r="OW758" s="2">
        <v>2007</v>
      </c>
      <c r="OX758" s="2"/>
      <c r="OY758" s="2"/>
      <c r="OZ758" s="2" t="s">
        <v>709</v>
      </c>
      <c r="PA758" s="2"/>
      <c r="PB758" t="s">
        <v>522</v>
      </c>
      <c r="PC758" s="50">
        <v>46134</v>
      </c>
      <c r="PD758" s="127"/>
    </row>
    <row r="759" spans="1:420" ht="15.75" thickBot="1">
      <c r="A759" t="s">
        <v>469</v>
      </c>
      <c r="B759" t="s">
        <v>1459</v>
      </c>
      <c r="C759" s="80" t="s">
        <v>667</v>
      </c>
      <c r="D759" s="132" t="s">
        <v>950</v>
      </c>
      <c r="E759" s="2" t="s">
        <v>1460</v>
      </c>
      <c r="F759" t="s">
        <v>1179</v>
      </c>
      <c r="G759" s="80" t="s">
        <v>475</v>
      </c>
      <c r="H759" s="132" t="s">
        <v>476</v>
      </c>
      <c r="I759">
        <v>-0.41666666699999999</v>
      </c>
      <c r="J759">
        <v>34.200000000000003</v>
      </c>
      <c r="K759" s="132">
        <v>100</v>
      </c>
      <c r="L759" s="80"/>
      <c r="M759" s="132"/>
      <c r="N759" s="80"/>
      <c r="O759" s="80"/>
      <c r="P759" s="80"/>
      <c r="Q759" s="80"/>
      <c r="R759" s="80"/>
      <c r="S759" s="80"/>
      <c r="T759" s="80"/>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c r="AV759" s="80" t="s">
        <v>1461</v>
      </c>
      <c r="AW759" s="80">
        <v>64</v>
      </c>
      <c r="AX759" s="80">
        <v>0.09</v>
      </c>
      <c r="AY759" s="80">
        <v>1</v>
      </c>
      <c r="AZ759" s="133" t="s">
        <v>1462</v>
      </c>
      <c r="BA759" s="133">
        <v>2007</v>
      </c>
      <c r="BB759" s="133">
        <v>2008</v>
      </c>
      <c r="BC759" s="133" t="s">
        <v>709</v>
      </c>
      <c r="BD759" s="133" t="s">
        <v>1463</v>
      </c>
      <c r="BE759" s="133" t="s">
        <v>524</v>
      </c>
      <c r="BF759" s="133" t="s">
        <v>484</v>
      </c>
      <c r="BG759" s="133" t="s">
        <v>1464</v>
      </c>
      <c r="BH759" s="133" t="s">
        <v>480</v>
      </c>
      <c r="BI759" s="134" t="s">
        <v>486</v>
      </c>
      <c r="BJ759" s="135">
        <v>111000</v>
      </c>
      <c r="BK759" s="80"/>
      <c r="BL759" s="80"/>
      <c r="BM759" s="80"/>
      <c r="BN759" s="132"/>
      <c r="BO759" s="155"/>
      <c r="BP759" s="80"/>
      <c r="BQ759" s="80"/>
      <c r="BR759" s="80"/>
      <c r="BS759" s="80"/>
      <c r="BT759" s="80"/>
      <c r="BU759" s="80"/>
      <c r="BV759" s="3"/>
      <c r="BW759" s="3"/>
      <c r="BX759" s="3"/>
      <c r="BY759" s="3"/>
      <c r="BZ759" s="3"/>
      <c r="CA759" s="3"/>
      <c r="CB759" s="3"/>
      <c r="CC759" s="3"/>
      <c r="CD759" s="3"/>
      <c r="CE759" s="3"/>
      <c r="CF759" s="3"/>
      <c r="CG759" s="3"/>
      <c r="CH759" s="3"/>
      <c r="CI759" s="3"/>
      <c r="CJ759" s="3"/>
      <c r="CK759" s="3"/>
      <c r="CL759" s="3"/>
      <c r="CM759" s="3"/>
      <c r="CN759" s="3"/>
      <c r="CO759" s="3"/>
      <c r="CP759" s="3"/>
      <c r="CQ759" s="3"/>
      <c r="CR759" s="3"/>
      <c r="CS759" s="3"/>
      <c r="CT759" s="3"/>
      <c r="CU759" s="3"/>
      <c r="CV759" s="3"/>
      <c r="CW759" s="3"/>
      <c r="CX759" s="3"/>
      <c r="CY759" s="3"/>
      <c r="CZ759" s="3"/>
      <c r="DA759" s="3"/>
      <c r="DB759" s="3"/>
      <c r="DC759" s="3"/>
      <c r="DD759" s="3"/>
      <c r="DE759" s="3"/>
      <c r="DF759" s="3"/>
      <c r="DG759" s="3"/>
      <c r="DH759" s="3"/>
      <c r="DI759" s="3"/>
      <c r="DJ759" s="3"/>
      <c r="DK759" s="3"/>
      <c r="DL759" s="3"/>
      <c r="DM759" s="3"/>
      <c r="DN759" s="3"/>
      <c r="DO759" s="3"/>
      <c r="DP759" s="3"/>
      <c r="DQ759" s="3"/>
      <c r="DR759" s="3"/>
      <c r="DS759" s="3"/>
      <c r="DT759" s="3"/>
      <c r="DU759" s="3"/>
      <c r="DV759" s="3"/>
      <c r="DW759" s="3"/>
      <c r="DX759" s="3"/>
      <c r="DY759" s="3"/>
      <c r="DZ759" s="3"/>
      <c r="EA759" s="3"/>
      <c r="EB759" s="3"/>
      <c r="EC759" s="3"/>
      <c r="ED759" s="80"/>
      <c r="EE759" s="80"/>
      <c r="EF759" s="80"/>
      <c r="EG759" s="80"/>
      <c r="EH759" s="80"/>
      <c r="EI759" s="80"/>
      <c r="EJ759" s="80"/>
      <c r="EK759" s="80"/>
      <c r="EL759" s="3"/>
      <c r="EM759" s="3"/>
      <c r="EN759" s="3"/>
      <c r="EO759" s="3"/>
      <c r="EP759" s="3"/>
      <c r="EQ759" s="3"/>
      <c r="ER759" s="3"/>
      <c r="ES759" s="3"/>
      <c r="ET759" s="3"/>
      <c r="EU759" s="3"/>
      <c r="EV759" s="3"/>
      <c r="EW759" s="3"/>
      <c r="EX759" s="3"/>
      <c r="EY759" s="3"/>
      <c r="EZ759" s="3"/>
      <c r="FA759" s="3"/>
      <c r="FB759" s="3"/>
      <c r="FC759" s="3"/>
      <c r="FD759" s="3"/>
      <c r="FE759" s="3"/>
      <c r="FF759" s="3"/>
      <c r="FG759" s="3"/>
      <c r="FH759" s="3"/>
      <c r="FI759" s="3"/>
      <c r="FJ759" s="3"/>
      <c r="FK759" s="3"/>
      <c r="FL759" s="3"/>
      <c r="FM759" s="3"/>
      <c r="FN759" s="3"/>
      <c r="FO759" s="3"/>
      <c r="FP759" s="3"/>
      <c r="FQ759" s="3"/>
      <c r="FR759" s="3"/>
      <c r="FS759" s="3"/>
      <c r="FT759" s="3"/>
      <c r="FU759" s="3"/>
      <c r="FV759" s="3"/>
      <c r="FW759" s="3"/>
      <c r="FX759" s="3"/>
      <c r="FY759" s="3"/>
      <c r="FZ759" s="3"/>
      <c r="GA759" s="3"/>
      <c r="GB759" s="3"/>
      <c r="GC759" s="3"/>
      <c r="GD759" s="3"/>
      <c r="GE759" s="3"/>
      <c r="GF759" s="3"/>
      <c r="GG759" s="3"/>
      <c r="GH759" s="3"/>
      <c r="GI759" s="3"/>
      <c r="GJ759" s="3"/>
      <c r="GK759" s="3"/>
      <c r="GL759" s="3"/>
      <c r="GM759" s="3"/>
      <c r="GN759" s="3"/>
      <c r="GO759" s="3"/>
      <c r="GP759" s="3"/>
      <c r="GQ759" s="3"/>
      <c r="GR759" s="3"/>
      <c r="GS759" s="3"/>
      <c r="GT759" s="3"/>
      <c r="GU759" s="3"/>
      <c r="GV759" s="3"/>
      <c r="GW759" s="3"/>
      <c r="GX759" s="3"/>
      <c r="GY759" s="3"/>
      <c r="GZ759" s="3"/>
      <c r="HA759" s="3"/>
      <c r="HB759" s="3"/>
      <c r="HC759" s="3"/>
      <c r="HD759" s="3"/>
      <c r="HE759" s="3"/>
      <c r="HF759" s="3"/>
      <c r="HG759" s="3"/>
      <c r="HH759" s="3"/>
      <c r="HI759" s="3"/>
      <c r="HJ759" s="3"/>
      <c r="HK759" s="80"/>
      <c r="HL759" s="80"/>
      <c r="HM759" s="80"/>
      <c r="HN759" s="80"/>
      <c r="HO759" s="80"/>
      <c r="HP759" s="80"/>
      <c r="HQ759" s="80"/>
      <c r="HR759" s="80"/>
      <c r="HS759" s="132"/>
      <c r="HT759" s="80"/>
      <c r="HU759" s="80"/>
      <c r="HV759" s="80"/>
      <c r="HW759" s="80"/>
      <c r="HX759" s="80"/>
      <c r="HY759" s="80"/>
      <c r="HZ759" s="80"/>
      <c r="IA759" s="80"/>
      <c r="IB759" s="80"/>
      <c r="IC759" s="80"/>
      <c r="ID759" s="80"/>
      <c r="IE759" s="80"/>
      <c r="IF759" s="80"/>
      <c r="IG759" s="80"/>
      <c r="IH759" s="133" t="s">
        <v>1465</v>
      </c>
      <c r="II759" s="137" t="s">
        <v>492</v>
      </c>
      <c r="IJ759" s="156"/>
      <c r="IK759" s="157"/>
      <c r="IL759" s="80"/>
      <c r="IM759" s="80"/>
      <c r="IN759" s="132"/>
      <c r="IQ759" s="80"/>
      <c r="IR759" s="80"/>
      <c r="IS759" s="80"/>
      <c r="IT759" s="80"/>
      <c r="IU759" s="80"/>
      <c r="IV759" s="80"/>
      <c r="IW759" s="80"/>
      <c r="IX759" s="80"/>
      <c r="IY759" s="80"/>
      <c r="IZ759" s="80"/>
      <c r="JA759" s="80"/>
      <c r="JB759" s="80"/>
      <c r="JC759" s="80"/>
      <c r="JD759" s="80"/>
      <c r="JE759" s="80"/>
      <c r="JF759" s="80"/>
      <c r="JG759" s="80"/>
      <c r="JH759" s="80"/>
      <c r="JI759" s="80"/>
      <c r="JJ759" s="80"/>
      <c r="JK759" s="80"/>
      <c r="JL759" s="139" t="s">
        <v>495</v>
      </c>
      <c r="JM759" s="140" t="s">
        <v>1466</v>
      </c>
      <c r="JN759" s="140" t="s">
        <v>1467</v>
      </c>
      <c r="JO759" s="140" t="s">
        <v>1467</v>
      </c>
      <c r="JR759" s="80"/>
      <c r="JS759" s="80"/>
      <c r="JT759" s="80"/>
      <c r="JU759" s="80"/>
      <c r="JV759" s="80"/>
      <c r="JW759" s="80"/>
      <c r="JX759" s="80"/>
      <c r="JY759" s="141"/>
      <c r="JZ759" s="139"/>
      <c r="KA759" s="132"/>
      <c r="KB759" s="80"/>
      <c r="KC759" s="132"/>
      <c r="KD759" s="80"/>
      <c r="KE759" s="80"/>
      <c r="KF759" s="80"/>
      <c r="KG759" s="132"/>
      <c r="KH759" s="80"/>
      <c r="KI759" s="137"/>
      <c r="KJ759" s="158"/>
      <c r="KK759" s="80"/>
      <c r="KL759" s="80"/>
      <c r="KM759" s="80"/>
      <c r="KN759" s="80"/>
      <c r="KO759" s="132"/>
      <c r="KP759" s="80"/>
      <c r="KQ759" s="137"/>
      <c r="KR759" s="158"/>
      <c r="KS759" s="80"/>
      <c r="KT759" s="80"/>
      <c r="KU759" s="143"/>
      <c r="KV759" s="159"/>
      <c r="KW759" s="80"/>
      <c r="KX759" s="80"/>
      <c r="KY759" s="80"/>
      <c r="KZ759" s="3"/>
      <c r="LA759" s="3"/>
      <c r="LB759" s="3"/>
      <c r="LC759" s="3"/>
      <c r="LD759" s="3"/>
      <c r="LE759" s="3"/>
      <c r="LF759" s="3"/>
      <c r="LG759" s="3"/>
      <c r="LH759" s="132"/>
      <c r="LI759" s="132"/>
      <c r="LJ759" s="132"/>
      <c r="LK759" s="132"/>
      <c r="LL759" s="132"/>
      <c r="LM759" s="80"/>
      <c r="LN759" s="132"/>
      <c r="LO759" s="132"/>
      <c r="LP759" s="132"/>
      <c r="LQ759" s="80"/>
      <c r="LR759" s="80"/>
      <c r="LS759" s="80"/>
      <c r="LT759" s="80"/>
      <c r="LU759" s="80"/>
      <c r="LV759" s="80"/>
      <c r="LW759" s="80"/>
      <c r="LX759" s="80"/>
      <c r="LY759" s="80"/>
      <c r="LZ759" s="80"/>
      <c r="MA759" s="80"/>
      <c r="MB759" s="80"/>
      <c r="MC759" s="80"/>
      <c r="MD759" s="80"/>
      <c r="ME759" s="80"/>
      <c r="MF759" s="80"/>
      <c r="MG759" s="80"/>
      <c r="MH759" s="80"/>
      <c r="MI759" s="80"/>
      <c r="MJ759" s="80"/>
      <c r="MK759" s="80"/>
      <c r="ML759" s="80"/>
      <c r="MM759" s="80"/>
      <c r="MN759" s="80"/>
      <c r="MO759" s="80"/>
      <c r="MP759" s="80"/>
      <c r="MQ759" s="80"/>
      <c r="MR759" s="80"/>
      <c r="MS759" s="80"/>
      <c r="MT759" s="80"/>
      <c r="MU759" s="80"/>
      <c r="MV759" s="80"/>
      <c r="MW759" s="80"/>
      <c r="MX759" s="80"/>
      <c r="MY759" s="133" t="s">
        <v>1468</v>
      </c>
      <c r="MZ759" s="80">
        <v>64</v>
      </c>
      <c r="NA759" s="133" t="s">
        <v>1478</v>
      </c>
      <c r="NB759" s="144" t="s">
        <v>1480</v>
      </c>
      <c r="ND759" s="144"/>
      <c r="NE759" s="144"/>
      <c r="NF759" s="144"/>
      <c r="NG759" s="144"/>
      <c r="NH759" s="144"/>
      <c r="NI759" s="133"/>
      <c r="NJ759" s="133" t="s">
        <v>1484</v>
      </c>
      <c r="NK759" s="133" t="s">
        <v>1487</v>
      </c>
      <c r="NL759" t="s">
        <v>660</v>
      </c>
      <c r="NM759" s="145" t="s">
        <v>508</v>
      </c>
      <c r="NN759" s="133"/>
      <c r="NO759" s="133"/>
      <c r="NP759" s="133"/>
      <c r="NQ759" s="133"/>
      <c r="NR759" s="133"/>
      <c r="NS759" s="133"/>
      <c r="NT759" s="133"/>
      <c r="NU759" s="133" t="s">
        <v>536</v>
      </c>
      <c r="NV759" s="146" t="s">
        <v>518</v>
      </c>
      <c r="NW759">
        <v>4276</v>
      </c>
      <c r="NX759" s="146" t="s">
        <v>520</v>
      </c>
      <c r="NY759">
        <v>144</v>
      </c>
      <c r="NZ759" s="160"/>
      <c r="OA759" s="80"/>
      <c r="OB759" s="133">
        <v>4</v>
      </c>
      <c r="OC759" s="2"/>
      <c r="OD759" s="2"/>
      <c r="OG759" s="80"/>
      <c r="OH759" s="80"/>
      <c r="OI759" s="80"/>
      <c r="OJ759" s="80"/>
      <c r="OK759" s="80"/>
      <c r="OL759" s="80"/>
      <c r="OM759" s="144"/>
      <c r="ON759" s="144"/>
      <c r="OO759" s="144"/>
      <c r="OP759" s="144"/>
      <c r="OQ759" s="144"/>
      <c r="OR759" s="144"/>
      <c r="OS759" s="144"/>
      <c r="OT759" s="144"/>
      <c r="OU759" s="133" t="s">
        <v>1486</v>
      </c>
      <c r="OV759" s="80"/>
      <c r="OW759" s="80">
        <v>2007</v>
      </c>
      <c r="OX759" s="80"/>
      <c r="OY759" s="80"/>
      <c r="OZ759" s="80" t="s">
        <v>709</v>
      </c>
      <c r="PA759" s="80"/>
      <c r="PB759" t="s">
        <v>522</v>
      </c>
      <c r="PC759" s="50">
        <v>46134</v>
      </c>
      <c r="PD759" s="127"/>
    </row>
    <row r="760" spans="1:420" ht="15.75" thickBot="1">
      <c r="A760" t="s">
        <v>469</v>
      </c>
      <c r="B760" t="s">
        <v>1459</v>
      </c>
      <c r="C760" s="80" t="s">
        <v>667</v>
      </c>
      <c r="D760" s="132" t="s">
        <v>950</v>
      </c>
      <c r="E760" s="2" t="s">
        <v>1460</v>
      </c>
      <c r="F760" t="s">
        <v>1179</v>
      </c>
      <c r="G760" s="80" t="s">
        <v>475</v>
      </c>
      <c r="H760" s="132" t="s">
        <v>476</v>
      </c>
      <c r="I760">
        <v>-0.41666666699999999</v>
      </c>
      <c r="J760">
        <v>34.200000000000003</v>
      </c>
      <c r="K760" s="132">
        <v>100</v>
      </c>
      <c r="L760" s="2"/>
      <c r="M760" s="88"/>
      <c r="N760" s="2"/>
      <c r="O760" s="80"/>
      <c r="P760" s="2"/>
      <c r="Q760" s="2"/>
      <c r="R760" s="80"/>
      <c r="S760" s="80"/>
      <c r="T760" s="80"/>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c r="AV760" s="80" t="s">
        <v>1461</v>
      </c>
      <c r="AW760" s="80">
        <v>64</v>
      </c>
      <c r="AX760" s="80">
        <v>0.09</v>
      </c>
      <c r="AY760" s="80">
        <v>1</v>
      </c>
      <c r="AZ760" s="133" t="s">
        <v>1462</v>
      </c>
      <c r="BA760" s="133">
        <v>2007</v>
      </c>
      <c r="BB760" s="133">
        <v>2008</v>
      </c>
      <c r="BC760" s="133" t="s">
        <v>692</v>
      </c>
      <c r="BD760" s="2" t="s">
        <v>1473</v>
      </c>
      <c r="BE760" s="2" t="s">
        <v>536</v>
      </c>
      <c r="BF760" s="133" t="s">
        <v>484</v>
      </c>
      <c r="BG760" s="2" t="s">
        <v>1464</v>
      </c>
      <c r="BH760" s="133" t="s">
        <v>480</v>
      </c>
      <c r="BI760" s="134" t="s">
        <v>486</v>
      </c>
      <c r="BJ760" s="135">
        <v>55500</v>
      </c>
      <c r="BK760" s="2" t="s">
        <v>537</v>
      </c>
      <c r="BL760" t="s">
        <v>1474</v>
      </c>
      <c r="BM760" s="133" t="s">
        <v>480</v>
      </c>
      <c r="BN760" s="2" t="s">
        <v>486</v>
      </c>
      <c r="BO760" s="2">
        <v>55000</v>
      </c>
      <c r="BP760" s="2"/>
      <c r="BQ760" s="2"/>
      <c r="BR760" s="2"/>
      <c r="BS760" s="88"/>
      <c r="BT760" s="2"/>
      <c r="BU760" s="2"/>
      <c r="BV760" s="3"/>
      <c r="BW760" s="3"/>
      <c r="BX760" s="3"/>
      <c r="BY760" s="3"/>
      <c r="BZ760" s="3"/>
      <c r="CA760" s="3"/>
      <c r="CB760" s="3"/>
      <c r="CC760" s="3"/>
      <c r="CD760" s="3"/>
      <c r="CE760" s="3"/>
      <c r="CF760" s="3"/>
      <c r="CG760" s="3"/>
      <c r="CH760" s="3"/>
      <c r="CI760" s="3"/>
      <c r="CJ760" s="3"/>
      <c r="CK760" s="3"/>
      <c r="CL760" s="3"/>
      <c r="CM760" s="3"/>
      <c r="CN760" s="3"/>
      <c r="CO760" s="3"/>
      <c r="CP760" s="3"/>
      <c r="CQ760" s="3"/>
      <c r="CR760" s="3"/>
      <c r="CS760" s="3"/>
      <c r="CT760" s="3"/>
      <c r="CU760" s="3"/>
      <c r="CV760" s="3"/>
      <c r="CW760" s="3"/>
      <c r="CX760" s="3"/>
      <c r="CY760" s="3"/>
      <c r="CZ760" s="3"/>
      <c r="DA760" s="3"/>
      <c r="DB760" s="3"/>
      <c r="DC760" s="3"/>
      <c r="DD760" s="3"/>
      <c r="DE760" s="3"/>
      <c r="DF760" s="3"/>
      <c r="DG760" s="3"/>
      <c r="DH760" s="3"/>
      <c r="DI760" s="3"/>
      <c r="DJ760" s="3"/>
      <c r="DK760" s="3"/>
      <c r="DL760" s="3"/>
      <c r="DM760" s="3"/>
      <c r="DN760" s="3"/>
      <c r="DO760" s="3"/>
      <c r="DP760" s="3"/>
      <c r="DQ760" s="3"/>
      <c r="DR760" s="3"/>
      <c r="DS760" s="3"/>
      <c r="DT760" s="3"/>
      <c r="DU760" s="3"/>
      <c r="DV760" s="3"/>
      <c r="DW760" s="3"/>
      <c r="DX760" s="3"/>
      <c r="DY760" s="3"/>
      <c r="DZ760" s="3"/>
      <c r="EA760" s="3"/>
      <c r="EB760" s="3"/>
      <c r="EC760" s="3"/>
      <c r="ED760" s="2"/>
      <c r="EE760" s="2"/>
      <c r="EF760" s="2"/>
      <c r="EG760" s="2"/>
      <c r="EH760" s="2"/>
      <c r="EI760" s="2"/>
      <c r="EJ760" s="2"/>
      <c r="EK760" s="2"/>
      <c r="EL760" s="3"/>
      <c r="EM760" s="3"/>
      <c r="EN760" s="3"/>
      <c r="EO760" s="3"/>
      <c r="EP760" s="3"/>
      <c r="EQ760" s="3"/>
      <c r="ER760" s="3"/>
      <c r="ES760" s="3"/>
      <c r="ET760" s="3"/>
      <c r="EU760" s="3"/>
      <c r="EV760" s="3"/>
      <c r="EW760" s="3"/>
      <c r="EX760" s="3"/>
      <c r="EY760" s="3"/>
      <c r="EZ760" s="3"/>
      <c r="FA760" s="3"/>
      <c r="FB760" s="3"/>
      <c r="FC760" s="3"/>
      <c r="FD760" s="3"/>
      <c r="FE760" s="3"/>
      <c r="FF760" s="3"/>
      <c r="FG760" s="3"/>
      <c r="FH760" s="3"/>
      <c r="FI760" s="3"/>
      <c r="FJ760" s="3"/>
      <c r="FK760" s="3"/>
      <c r="FL760" s="3"/>
      <c r="FM760" s="3"/>
      <c r="FN760" s="3"/>
      <c r="FO760" s="3"/>
      <c r="FP760" s="3"/>
      <c r="FQ760" s="3"/>
      <c r="FR760" s="3"/>
      <c r="FS760" s="3"/>
      <c r="FT760" s="3"/>
      <c r="FU760" s="3"/>
      <c r="FV760" s="3"/>
      <c r="FW760" s="3"/>
      <c r="FX760" s="3"/>
      <c r="FY760" s="3"/>
      <c r="FZ760" s="3"/>
      <c r="GA760" s="3"/>
      <c r="GB760" s="3"/>
      <c r="GC760" s="3"/>
      <c r="GD760" s="3"/>
      <c r="GE760" s="3"/>
      <c r="GF760" s="3"/>
      <c r="GG760" s="3"/>
      <c r="GH760" s="3"/>
      <c r="GI760" s="3"/>
      <c r="GJ760" s="3"/>
      <c r="GK760" s="3"/>
      <c r="GL760" s="3"/>
      <c r="GM760" s="3"/>
      <c r="GN760" s="3"/>
      <c r="GO760" s="3"/>
      <c r="GP760" s="3"/>
      <c r="GQ760" s="3"/>
      <c r="GR760" s="3"/>
      <c r="GS760" s="3"/>
      <c r="GT760" s="3"/>
      <c r="GU760" s="3"/>
      <c r="GV760" s="3"/>
      <c r="GW760" s="3"/>
      <c r="GX760" s="3"/>
      <c r="GY760" s="3"/>
      <c r="GZ760" s="3"/>
      <c r="HA760" s="3"/>
      <c r="HB760" s="3"/>
      <c r="HC760" s="3"/>
      <c r="HD760" s="3"/>
      <c r="HE760" s="3"/>
      <c r="HF760" s="3"/>
      <c r="HG760" s="3"/>
      <c r="HH760" s="3"/>
      <c r="HI760" s="3"/>
      <c r="HJ760" s="3"/>
      <c r="HK760" s="2"/>
      <c r="HL760" s="2"/>
      <c r="HM760" s="2"/>
      <c r="HN760" s="2"/>
      <c r="HO760" s="2"/>
      <c r="HP760" s="2"/>
      <c r="HQ760" s="2"/>
      <c r="HR760" s="2"/>
      <c r="HS760" s="88"/>
      <c r="HT760" s="2"/>
      <c r="HU760" s="2"/>
      <c r="HV760" s="2"/>
      <c r="HW760" s="2"/>
      <c r="HX760" s="2"/>
      <c r="HY760" s="2"/>
      <c r="HZ760" s="2"/>
      <c r="IA760" s="2"/>
      <c r="IB760" s="2"/>
      <c r="IC760" s="2"/>
      <c r="ID760" s="2"/>
      <c r="IE760" s="2"/>
      <c r="IF760" s="2"/>
      <c r="IG760" s="2"/>
      <c r="IH760" s="133" t="s">
        <v>1465</v>
      </c>
      <c r="II760" s="75" t="s">
        <v>929</v>
      </c>
      <c r="IJ760" s="149" t="s">
        <v>983</v>
      </c>
      <c r="IK760" s="150" t="s">
        <v>543</v>
      </c>
      <c r="IL760" s="2">
        <v>2007</v>
      </c>
      <c r="IM760" s="2" t="s">
        <v>692</v>
      </c>
      <c r="IN760" s="2" t="s">
        <v>480</v>
      </c>
      <c r="IQ760" s="2"/>
      <c r="IR760" s="2"/>
      <c r="IS760" s="2"/>
      <c r="IT760" s="2"/>
      <c r="IU760" s="2"/>
      <c r="IV760" s="2"/>
      <c r="IW760" s="88"/>
      <c r="IX760" s="2"/>
      <c r="IY760" s="2"/>
      <c r="IZ760" s="2"/>
      <c r="JA760" s="2"/>
      <c r="JB760" s="2"/>
      <c r="JC760" s="2"/>
      <c r="JD760" s="2"/>
      <c r="JE760" s="2"/>
      <c r="JF760" s="2"/>
      <c r="JG760" s="2"/>
      <c r="JH760" s="2"/>
      <c r="JI760" s="2"/>
      <c r="JJ760" s="2"/>
      <c r="JK760" s="2"/>
      <c r="JL760" s="139" t="s">
        <v>495</v>
      </c>
      <c r="JM760" s="140" t="s">
        <v>1466</v>
      </c>
      <c r="JN760" s="140" t="s">
        <v>1467</v>
      </c>
      <c r="JO760" s="140" t="s">
        <v>1467</v>
      </c>
      <c r="JR760" s="2"/>
      <c r="JS760" s="2"/>
      <c r="JT760" s="2"/>
      <c r="JU760" s="2"/>
      <c r="JV760" s="2"/>
      <c r="JW760" s="2"/>
      <c r="JX760" s="2"/>
      <c r="JY760" s="141"/>
      <c r="JZ760" s="151"/>
      <c r="KA760" s="88"/>
      <c r="KB760" s="2"/>
      <c r="KC760" s="88"/>
      <c r="KD760" s="2"/>
      <c r="KE760" s="2"/>
      <c r="KF760" s="2"/>
      <c r="KG760" s="88"/>
      <c r="KH760" s="2"/>
      <c r="KI760" s="148"/>
      <c r="KJ760" s="152"/>
      <c r="KK760" s="2"/>
      <c r="KL760" s="2"/>
      <c r="KM760" s="2"/>
      <c r="KN760" s="2"/>
      <c r="KO760" s="88"/>
      <c r="KP760" s="2"/>
      <c r="KQ760" s="162"/>
      <c r="KR760" s="151"/>
      <c r="KS760" s="2"/>
      <c r="KT760" s="2"/>
      <c r="KU760" s="143"/>
      <c r="KV760" s="152"/>
      <c r="KW760" s="2"/>
      <c r="KX760" s="2"/>
      <c r="KY760" s="2"/>
      <c r="KZ760" s="3"/>
      <c r="LA760" s="3"/>
      <c r="LB760" s="3"/>
      <c r="LC760" s="3"/>
      <c r="LD760" s="3"/>
      <c r="LE760" s="3"/>
      <c r="LF760" s="3"/>
      <c r="LG760" s="3"/>
      <c r="LH760" s="88"/>
      <c r="LI760" s="88"/>
      <c r="LJ760" s="88"/>
      <c r="LK760" s="88"/>
      <c r="LL760" s="88"/>
      <c r="LM760" s="2"/>
      <c r="LN760" s="88"/>
      <c r="LO760" s="88"/>
      <c r="LP760" s="88"/>
      <c r="LQ760" s="2"/>
      <c r="LR760" s="2"/>
      <c r="LS760" s="2"/>
      <c r="LT760" s="2"/>
      <c r="LU760" s="2"/>
      <c r="LV760" s="2"/>
      <c r="LW760" s="2"/>
      <c r="LX760" s="2"/>
      <c r="LY760" s="2"/>
      <c r="LZ760" s="2"/>
      <c r="MA760" s="2"/>
      <c r="MB760" s="2"/>
      <c r="MC760" s="2"/>
      <c r="MD760" s="2"/>
      <c r="ME760" s="2"/>
      <c r="MF760" s="2"/>
      <c r="MG760" s="2"/>
      <c r="MH760" s="2"/>
      <c r="MI760" s="2"/>
      <c r="MJ760" s="2"/>
      <c r="MK760" s="2"/>
      <c r="ML760" s="2"/>
      <c r="MM760" s="2"/>
      <c r="MN760" s="2"/>
      <c r="MO760" s="2"/>
      <c r="MP760" s="2"/>
      <c r="MQ760" s="2"/>
      <c r="MR760" s="2"/>
      <c r="MS760" s="2"/>
      <c r="MT760" s="2"/>
      <c r="MU760" s="2"/>
      <c r="MV760" s="2"/>
      <c r="MW760" s="2"/>
      <c r="MX760" s="2"/>
      <c r="MY760" s="133" t="s">
        <v>1468</v>
      </c>
      <c r="MZ760" s="80">
        <v>64</v>
      </c>
      <c r="NA760" s="133" t="s">
        <v>1478</v>
      </c>
      <c r="NB760" s="144" t="s">
        <v>1480</v>
      </c>
      <c r="ND760" s="144"/>
      <c r="NE760" s="144"/>
      <c r="NF760" s="144"/>
      <c r="NG760" s="144"/>
      <c r="NH760" s="144"/>
      <c r="NI760" s="133"/>
      <c r="NJ760" s="133" t="s">
        <v>1484</v>
      </c>
      <c r="NK760" s="133" t="s">
        <v>1485</v>
      </c>
      <c r="NL760" t="s">
        <v>660</v>
      </c>
      <c r="NM760" s="145" t="s">
        <v>508</v>
      </c>
      <c r="NN760" s="133"/>
      <c r="NO760" s="133"/>
      <c r="NP760" s="133"/>
      <c r="NQ760" s="133"/>
      <c r="NR760" s="133"/>
      <c r="NS760" s="133"/>
      <c r="NT760" s="133"/>
      <c r="NU760" s="133"/>
      <c r="NV760" s="146" t="s">
        <v>518</v>
      </c>
      <c r="NW760">
        <v>14336.7</v>
      </c>
      <c r="NX760" s="146" t="s">
        <v>520</v>
      </c>
      <c r="NY760">
        <v>458</v>
      </c>
      <c r="NZ760" s="154"/>
      <c r="OA760" s="2"/>
      <c r="OB760" s="133">
        <v>4</v>
      </c>
      <c r="OC760" s="80"/>
      <c r="OD760" s="80"/>
      <c r="OG760" s="2"/>
      <c r="OH760" s="2"/>
      <c r="OI760" s="2"/>
      <c r="OJ760" s="2"/>
      <c r="OK760" s="2"/>
      <c r="OL760" s="2"/>
      <c r="OU760" s="133" t="s">
        <v>1486</v>
      </c>
      <c r="OV760" s="2"/>
      <c r="OW760" s="2">
        <v>2008</v>
      </c>
      <c r="OX760" s="2"/>
      <c r="OY760" s="2"/>
      <c r="OZ760" s="133" t="s">
        <v>692</v>
      </c>
      <c r="PA760" s="2"/>
      <c r="PB760" t="s">
        <v>522</v>
      </c>
      <c r="PC760" s="50">
        <v>46134</v>
      </c>
      <c r="PD760" s="127"/>
    </row>
    <row r="761" spans="1:420" ht="15.75" thickBot="1">
      <c r="A761" t="s">
        <v>469</v>
      </c>
      <c r="B761" t="s">
        <v>1459</v>
      </c>
      <c r="C761" s="80" t="s">
        <v>667</v>
      </c>
      <c r="D761" s="132" t="s">
        <v>950</v>
      </c>
      <c r="E761" s="2" t="s">
        <v>1460</v>
      </c>
      <c r="F761" t="s">
        <v>1179</v>
      </c>
      <c r="G761" s="80" t="s">
        <v>475</v>
      </c>
      <c r="H761" s="132" t="s">
        <v>476</v>
      </c>
      <c r="I761">
        <v>-0.41666666699999999</v>
      </c>
      <c r="J761">
        <v>34.200000000000003</v>
      </c>
      <c r="K761" s="132">
        <v>100</v>
      </c>
      <c r="L761" s="80"/>
      <c r="M761" s="132"/>
      <c r="N761" s="80"/>
      <c r="O761" s="80"/>
      <c r="P761" s="80"/>
      <c r="Q761" s="80"/>
      <c r="R761" s="80"/>
      <c r="S761" s="80"/>
      <c r="T761" s="80"/>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c r="AV761" s="80" t="s">
        <v>1461</v>
      </c>
      <c r="AW761" s="80">
        <v>64</v>
      </c>
      <c r="AX761" s="80">
        <v>0.09</v>
      </c>
      <c r="AY761" s="80">
        <v>1</v>
      </c>
      <c r="AZ761" s="133" t="s">
        <v>1462</v>
      </c>
      <c r="BA761" s="133">
        <v>2007</v>
      </c>
      <c r="BB761" s="133">
        <v>2008</v>
      </c>
      <c r="BC761" s="133" t="s">
        <v>692</v>
      </c>
      <c r="BD761" s="133" t="s">
        <v>1463</v>
      </c>
      <c r="BE761" s="133" t="s">
        <v>524</v>
      </c>
      <c r="BF761" s="133" t="s">
        <v>484</v>
      </c>
      <c r="BG761" s="133" t="s">
        <v>1464</v>
      </c>
      <c r="BH761" s="133" t="s">
        <v>480</v>
      </c>
      <c r="BI761" s="134" t="s">
        <v>486</v>
      </c>
      <c r="BJ761" s="135">
        <v>111000</v>
      </c>
      <c r="BK761" s="80"/>
      <c r="BL761" s="80"/>
      <c r="BM761" s="80"/>
      <c r="BN761" s="132"/>
      <c r="BO761" s="155"/>
      <c r="BP761" s="80"/>
      <c r="BQ761" s="80"/>
      <c r="BR761" s="80"/>
      <c r="BS761" s="132"/>
      <c r="BT761" s="155"/>
      <c r="BU761" s="80"/>
      <c r="BV761" s="3"/>
      <c r="BW761" s="3"/>
      <c r="BX761" s="3"/>
      <c r="BY761" s="3"/>
      <c r="BZ761" s="3"/>
      <c r="CA761" s="3"/>
      <c r="CB761" s="3"/>
      <c r="CC761" s="3"/>
      <c r="CD761" s="3"/>
      <c r="CE761" s="3"/>
      <c r="CF761" s="3"/>
      <c r="CG761" s="3"/>
      <c r="CH761" s="3"/>
      <c r="CI761" s="3"/>
      <c r="CJ761" s="3"/>
      <c r="CK761" s="3"/>
      <c r="CL761" s="3"/>
      <c r="CM761" s="3"/>
      <c r="CN761" s="3"/>
      <c r="CO761" s="3"/>
      <c r="CP761" s="3"/>
      <c r="CQ761" s="3"/>
      <c r="CR761" s="3"/>
      <c r="CS761" s="3"/>
      <c r="CT761" s="3"/>
      <c r="CU761" s="3"/>
      <c r="CV761" s="3"/>
      <c r="CW761" s="3"/>
      <c r="CX761" s="3"/>
      <c r="CY761" s="3"/>
      <c r="CZ761" s="3"/>
      <c r="DA761" s="3"/>
      <c r="DB761" s="3"/>
      <c r="DC761" s="3"/>
      <c r="DD761" s="3"/>
      <c r="DE761" s="3"/>
      <c r="DF761" s="3"/>
      <c r="DG761" s="3"/>
      <c r="DH761" s="3"/>
      <c r="DI761" s="3"/>
      <c r="DJ761" s="3"/>
      <c r="DK761" s="3"/>
      <c r="DL761" s="3"/>
      <c r="DM761" s="3"/>
      <c r="DN761" s="3"/>
      <c r="DO761" s="3"/>
      <c r="DP761" s="3"/>
      <c r="DQ761" s="3"/>
      <c r="DR761" s="3"/>
      <c r="DS761" s="3"/>
      <c r="DT761" s="3"/>
      <c r="DU761" s="3"/>
      <c r="DV761" s="3"/>
      <c r="DW761" s="3"/>
      <c r="DX761" s="3"/>
      <c r="DY761" s="3"/>
      <c r="DZ761" s="3"/>
      <c r="EA761" s="3"/>
      <c r="EB761" s="3"/>
      <c r="EC761" s="3"/>
      <c r="ED761" s="80"/>
      <c r="EE761" s="80"/>
      <c r="EF761" s="80"/>
      <c r="EG761" s="80"/>
      <c r="EH761" s="80"/>
      <c r="EI761" s="80"/>
      <c r="EJ761" s="80"/>
      <c r="EK761" s="80"/>
      <c r="EL761" s="3"/>
      <c r="EM761" s="3"/>
      <c r="EN761" s="3"/>
      <c r="EO761" s="3"/>
      <c r="EP761" s="3"/>
      <c r="EQ761" s="3"/>
      <c r="ER761" s="3"/>
      <c r="ES761" s="3"/>
      <c r="ET761" s="3"/>
      <c r="EU761" s="3"/>
      <c r="EV761" s="3"/>
      <c r="EW761" s="3"/>
      <c r="EX761" s="3"/>
      <c r="EY761" s="3"/>
      <c r="EZ761" s="3"/>
      <c r="FA761" s="3"/>
      <c r="FB761" s="3"/>
      <c r="FC761" s="3"/>
      <c r="FD761" s="3"/>
      <c r="FE761" s="3"/>
      <c r="FF761" s="3"/>
      <c r="FG761" s="3"/>
      <c r="FH761" s="3"/>
      <c r="FI761" s="3"/>
      <c r="FJ761" s="3"/>
      <c r="FK761" s="3"/>
      <c r="FL761" s="3"/>
      <c r="FM761" s="3"/>
      <c r="FN761" s="3"/>
      <c r="FO761" s="3"/>
      <c r="FP761" s="3"/>
      <c r="FQ761" s="3"/>
      <c r="FR761" s="3"/>
      <c r="FS761" s="3"/>
      <c r="FT761" s="3"/>
      <c r="FU761" s="3"/>
      <c r="FV761" s="3"/>
      <c r="FW761" s="3"/>
      <c r="FX761" s="3"/>
      <c r="FY761" s="3"/>
      <c r="FZ761" s="3"/>
      <c r="GA761" s="3"/>
      <c r="GB761" s="3"/>
      <c r="GC761" s="3"/>
      <c r="GD761" s="3"/>
      <c r="GE761" s="3"/>
      <c r="GF761" s="3"/>
      <c r="GG761" s="3"/>
      <c r="GH761" s="3"/>
      <c r="GI761" s="3"/>
      <c r="GJ761" s="3"/>
      <c r="GK761" s="3"/>
      <c r="GL761" s="3"/>
      <c r="GM761" s="3"/>
      <c r="GN761" s="3"/>
      <c r="GO761" s="3"/>
      <c r="GP761" s="3"/>
      <c r="GQ761" s="3"/>
      <c r="GR761" s="3"/>
      <c r="GS761" s="3"/>
      <c r="GT761" s="3"/>
      <c r="GU761" s="3"/>
      <c r="GV761" s="3"/>
      <c r="GW761" s="3"/>
      <c r="GX761" s="3"/>
      <c r="GY761" s="3"/>
      <c r="GZ761" s="3"/>
      <c r="HA761" s="3"/>
      <c r="HB761" s="3"/>
      <c r="HC761" s="3"/>
      <c r="HD761" s="3"/>
      <c r="HE761" s="3"/>
      <c r="HF761" s="3"/>
      <c r="HG761" s="3"/>
      <c r="HH761" s="3"/>
      <c r="HI761" s="3"/>
      <c r="HJ761" s="3"/>
      <c r="HK761" s="80"/>
      <c r="HL761" s="80"/>
      <c r="HM761" s="80"/>
      <c r="HN761" s="80"/>
      <c r="HO761" s="80"/>
      <c r="HP761" s="80"/>
      <c r="HQ761" s="80"/>
      <c r="HR761" s="80"/>
      <c r="HS761" s="132"/>
      <c r="HT761" s="80"/>
      <c r="HU761" s="80"/>
      <c r="HV761" s="80"/>
      <c r="HW761" s="80"/>
      <c r="HX761" s="80"/>
      <c r="HY761" s="80"/>
      <c r="HZ761" s="80"/>
      <c r="IA761" s="80"/>
      <c r="IB761" s="80"/>
      <c r="IC761" s="80"/>
      <c r="ID761" s="80"/>
      <c r="IE761" s="80"/>
      <c r="IF761" s="80"/>
      <c r="IG761" s="80"/>
      <c r="IH761" s="133" t="s">
        <v>1465</v>
      </c>
      <c r="II761" s="137" t="s">
        <v>492</v>
      </c>
      <c r="IJ761" s="80"/>
      <c r="IK761" s="80"/>
      <c r="IL761" s="80"/>
      <c r="IM761" s="80"/>
      <c r="IN761" s="80"/>
      <c r="IQ761" s="80"/>
      <c r="IR761" s="80"/>
      <c r="IS761" s="80"/>
      <c r="IT761" s="80"/>
      <c r="IU761" s="80"/>
      <c r="IV761" s="80"/>
      <c r="IW761" s="132"/>
      <c r="IX761" s="80"/>
      <c r="IY761" s="80"/>
      <c r="IZ761" s="80"/>
      <c r="JA761" s="80"/>
      <c r="JB761" s="80"/>
      <c r="JC761" s="80"/>
      <c r="JD761" s="80"/>
      <c r="JE761" s="80"/>
      <c r="JF761" s="80"/>
      <c r="JG761" s="80"/>
      <c r="JH761" s="80"/>
      <c r="JI761" s="80"/>
      <c r="JJ761" s="80"/>
      <c r="JK761" s="80"/>
      <c r="JL761" s="139" t="s">
        <v>495</v>
      </c>
      <c r="JM761" s="140" t="s">
        <v>1466</v>
      </c>
      <c r="JN761" s="140" t="s">
        <v>1467</v>
      </c>
      <c r="JO761" s="140" t="s">
        <v>1467</v>
      </c>
      <c r="JR761" s="80"/>
      <c r="JS761" s="80"/>
      <c r="JT761" s="80"/>
      <c r="JU761" s="80"/>
      <c r="JV761" s="80"/>
      <c r="JW761" s="80"/>
      <c r="JX761" s="80"/>
      <c r="JY761" s="141"/>
      <c r="JZ761" s="139"/>
      <c r="KA761" s="132"/>
      <c r="KB761" s="80"/>
      <c r="KC761" s="132"/>
      <c r="KD761" s="80"/>
      <c r="KE761" s="80"/>
      <c r="KF761" s="80"/>
      <c r="KG761" s="132"/>
      <c r="KH761" s="80"/>
      <c r="KI761" s="137"/>
      <c r="KJ761" s="158"/>
      <c r="KK761" s="80"/>
      <c r="KL761" s="80"/>
      <c r="KM761" s="80"/>
      <c r="KN761" s="80"/>
      <c r="KO761" s="132"/>
      <c r="KP761" s="80"/>
      <c r="KQ761" s="162"/>
      <c r="KR761" s="139"/>
      <c r="KS761" s="80"/>
      <c r="KT761" s="80"/>
      <c r="KU761" s="143"/>
      <c r="KV761" s="158"/>
      <c r="KW761" s="80"/>
      <c r="KX761" s="80"/>
      <c r="KY761" s="80"/>
      <c r="KZ761" s="3"/>
      <c r="LA761" s="3"/>
      <c r="LB761" s="3"/>
      <c r="LC761" s="3"/>
      <c r="LD761" s="3"/>
      <c r="LE761" s="3"/>
      <c r="LF761" s="3"/>
      <c r="LG761" s="3"/>
      <c r="LH761" s="132"/>
      <c r="LI761" s="132"/>
      <c r="LJ761" s="132"/>
      <c r="LK761" s="132"/>
      <c r="LL761" s="132"/>
      <c r="LM761" s="80"/>
      <c r="LN761" s="132"/>
      <c r="LO761" s="132"/>
      <c r="LP761" s="132"/>
      <c r="LQ761" s="80"/>
      <c r="LR761" s="80"/>
      <c r="LS761" s="80"/>
      <c r="LT761" s="80"/>
      <c r="LU761" s="80"/>
      <c r="LV761" s="80"/>
      <c r="LW761" s="80"/>
      <c r="LX761" s="80"/>
      <c r="LY761" s="80"/>
      <c r="LZ761" s="80"/>
      <c r="MA761" s="80"/>
      <c r="MB761" s="80"/>
      <c r="MC761" s="80"/>
      <c r="MD761" s="80"/>
      <c r="ME761" s="80"/>
      <c r="MF761" s="80"/>
      <c r="MG761" s="80"/>
      <c r="MH761" s="80"/>
      <c r="MI761" s="80"/>
      <c r="MJ761" s="80"/>
      <c r="MK761" s="80"/>
      <c r="ML761" s="80"/>
      <c r="MM761" s="80"/>
      <c r="MN761" s="80"/>
      <c r="MO761" s="80"/>
      <c r="MP761" s="80"/>
      <c r="MQ761" s="80"/>
      <c r="MR761" s="80"/>
      <c r="MS761" s="80"/>
      <c r="MT761" s="80"/>
      <c r="MU761" s="80"/>
      <c r="MV761" s="80"/>
      <c r="MW761" s="80"/>
      <c r="MX761" s="80"/>
      <c r="MY761" s="133" t="s">
        <v>1468</v>
      </c>
      <c r="MZ761" s="80">
        <v>64</v>
      </c>
      <c r="NA761" s="133" t="s">
        <v>1478</v>
      </c>
      <c r="NB761" s="144" t="s">
        <v>1480</v>
      </c>
      <c r="ND761" s="144"/>
      <c r="NE761" s="144"/>
      <c r="NF761" s="144"/>
      <c r="NG761" s="144"/>
      <c r="NH761" s="144"/>
      <c r="NI761" s="133"/>
      <c r="NJ761" s="133" t="s">
        <v>1484</v>
      </c>
      <c r="NK761" s="133" t="s">
        <v>1487</v>
      </c>
      <c r="NL761" t="s">
        <v>660</v>
      </c>
      <c r="NM761" s="145" t="s">
        <v>508</v>
      </c>
      <c r="NN761" s="133"/>
      <c r="NO761" s="133"/>
      <c r="NP761" s="133"/>
      <c r="NQ761" s="133"/>
      <c r="NR761" s="133"/>
      <c r="NS761" s="133"/>
      <c r="NT761" s="133"/>
      <c r="NU761" s="133" t="s">
        <v>536</v>
      </c>
      <c r="NV761" s="146" t="s">
        <v>518</v>
      </c>
      <c r="NW761">
        <v>4852</v>
      </c>
      <c r="NX761" s="146" t="s">
        <v>520</v>
      </c>
      <c r="NY761">
        <v>209</v>
      </c>
      <c r="NZ761" s="160"/>
      <c r="OA761" s="80"/>
      <c r="OB761" s="133">
        <v>4</v>
      </c>
      <c r="OC761" s="2"/>
      <c r="OD761" s="2"/>
      <c r="OG761" s="80"/>
      <c r="OH761" s="80"/>
      <c r="OI761" s="80"/>
      <c r="OJ761" s="80"/>
      <c r="OK761" s="80"/>
      <c r="OL761" s="80"/>
      <c r="OM761" s="144"/>
      <c r="ON761" s="144"/>
      <c r="OO761" s="144"/>
      <c r="OP761" s="144"/>
      <c r="OQ761" s="144"/>
      <c r="OR761" s="144"/>
      <c r="OS761" s="144"/>
      <c r="OT761" s="144"/>
      <c r="OU761" s="133" t="s">
        <v>1486</v>
      </c>
      <c r="OV761" s="80"/>
      <c r="OW761" s="80">
        <v>2008</v>
      </c>
      <c r="OX761" s="80"/>
      <c r="OY761" s="80"/>
      <c r="OZ761" s="133" t="s">
        <v>692</v>
      </c>
      <c r="PA761" s="80"/>
      <c r="PB761" t="s">
        <v>522</v>
      </c>
      <c r="PC761" s="50">
        <v>46134</v>
      </c>
      <c r="PD761" s="127"/>
    </row>
    <row r="762" spans="1:420" ht="17.25" thickBot="1">
      <c r="A762" t="s">
        <v>469</v>
      </c>
      <c r="B762" t="s">
        <v>1459</v>
      </c>
      <c r="C762" s="80" t="s">
        <v>667</v>
      </c>
      <c r="D762" s="132" t="s">
        <v>950</v>
      </c>
      <c r="E762" s="2" t="s">
        <v>1460</v>
      </c>
      <c r="F762" t="s">
        <v>1179</v>
      </c>
      <c r="G762" s="80" t="s">
        <v>475</v>
      </c>
      <c r="H762" s="132" t="s">
        <v>476</v>
      </c>
      <c r="I762">
        <v>-0.41666666699999999</v>
      </c>
      <c r="J762">
        <v>34.200000000000003</v>
      </c>
      <c r="K762" s="132">
        <v>100</v>
      </c>
      <c r="L762" s="80"/>
      <c r="M762" s="132"/>
      <c r="N762" s="80"/>
      <c r="O762" s="80"/>
      <c r="P762" s="80"/>
      <c r="Q762" s="80"/>
      <c r="R762" s="80"/>
      <c r="S762" s="80"/>
      <c r="T762" s="80"/>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c r="AV762" s="80" t="s">
        <v>1461</v>
      </c>
      <c r="AW762" s="80">
        <v>64</v>
      </c>
      <c r="AX762" s="80">
        <v>0.09</v>
      </c>
      <c r="AY762" s="80">
        <v>1</v>
      </c>
      <c r="AZ762" s="133" t="s">
        <v>1462</v>
      </c>
      <c r="BA762" s="133">
        <v>2007</v>
      </c>
      <c r="BB762" s="133">
        <v>2008</v>
      </c>
      <c r="BC762" s="133" t="s">
        <v>692</v>
      </c>
      <c r="BD762" s="133" t="s">
        <v>1463</v>
      </c>
      <c r="BE762" s="133" t="s">
        <v>524</v>
      </c>
      <c r="BF762" s="133" t="s">
        <v>484</v>
      </c>
      <c r="BG762" s="133" t="s">
        <v>1464</v>
      </c>
      <c r="BH762" s="133" t="s">
        <v>480</v>
      </c>
      <c r="BI762" s="134" t="s">
        <v>486</v>
      </c>
      <c r="BJ762" s="135">
        <v>111000</v>
      </c>
      <c r="BK762" s="133"/>
      <c r="BL762" s="133"/>
      <c r="BM762" s="133"/>
      <c r="BN762" s="133"/>
      <c r="BO762" s="133"/>
      <c r="BP762" s="133"/>
      <c r="BQ762" s="133"/>
      <c r="BR762" s="133"/>
      <c r="BS762" s="133"/>
      <c r="BT762" s="133"/>
      <c r="BU762" s="133"/>
      <c r="BV762" s="3"/>
      <c r="BW762" s="3"/>
      <c r="BX762" s="3"/>
      <c r="BY762" s="3"/>
      <c r="BZ762" s="3"/>
      <c r="CA762" s="3"/>
      <c r="CB762" s="3"/>
      <c r="CC762" s="3"/>
      <c r="CD762" s="3"/>
      <c r="CE762" s="3"/>
      <c r="CF762" s="3"/>
      <c r="CG762" s="3"/>
      <c r="CH762" s="3"/>
      <c r="CI762" s="3"/>
      <c r="CJ762" s="3"/>
      <c r="CK762" s="3"/>
      <c r="CL762" s="3"/>
      <c r="CM762" s="3"/>
      <c r="CN762" s="3"/>
      <c r="CO762" s="3"/>
      <c r="CP762" s="3"/>
      <c r="CQ762" s="3"/>
      <c r="CR762" s="3"/>
      <c r="CS762" s="3"/>
      <c r="CT762" s="3"/>
      <c r="CU762" s="3"/>
      <c r="CV762" s="3"/>
      <c r="CW762" s="3"/>
      <c r="CX762" s="3"/>
      <c r="CY762" s="3"/>
      <c r="CZ762" s="3"/>
      <c r="DA762" s="3"/>
      <c r="DB762" s="3"/>
      <c r="DC762" s="3"/>
      <c r="DD762" s="3"/>
      <c r="DE762" s="3"/>
      <c r="DF762" s="3"/>
      <c r="DG762" s="3"/>
      <c r="DH762" s="3"/>
      <c r="DI762" s="3"/>
      <c r="DJ762" s="3"/>
      <c r="DK762" s="3"/>
      <c r="DL762" s="3"/>
      <c r="DM762" s="3"/>
      <c r="DN762" s="3"/>
      <c r="DO762" s="3"/>
      <c r="DP762" s="3"/>
      <c r="DQ762" s="3"/>
      <c r="DR762" s="3"/>
      <c r="DS762" s="3"/>
      <c r="DT762" s="3"/>
      <c r="DU762" s="3"/>
      <c r="DV762" s="3"/>
      <c r="DW762" s="3"/>
      <c r="DX762" s="3"/>
      <c r="DY762" s="3"/>
      <c r="DZ762" s="3"/>
      <c r="EA762" s="3"/>
      <c r="EB762" s="3"/>
      <c r="EC762" s="3"/>
      <c r="ED762" s="2"/>
      <c r="EE762" s="133"/>
      <c r="EF762" s="133"/>
      <c r="EG762" s="133"/>
      <c r="EH762" s="133"/>
      <c r="EI762" s="133"/>
      <c r="EJ762" s="133"/>
      <c r="EK762" s="133"/>
      <c r="EL762" s="3"/>
      <c r="EM762" s="3"/>
      <c r="EN762" s="3"/>
      <c r="EO762" s="3"/>
      <c r="EP762" s="3"/>
      <c r="EQ762" s="3"/>
      <c r="ER762" s="3"/>
      <c r="ES762" s="3"/>
      <c r="ET762" s="3"/>
      <c r="EU762" s="3"/>
      <c r="EV762" s="3"/>
      <c r="EW762" s="3"/>
      <c r="EX762" s="3"/>
      <c r="EY762" s="3"/>
      <c r="EZ762" s="3"/>
      <c r="FA762" s="3"/>
      <c r="FB762" s="3"/>
      <c r="FC762" s="3"/>
      <c r="FD762" s="3"/>
      <c r="FE762" s="3"/>
      <c r="FF762" s="3"/>
      <c r="FG762" s="3"/>
      <c r="FH762" s="3"/>
      <c r="FI762" s="3"/>
      <c r="FJ762" s="3"/>
      <c r="FK762" s="3"/>
      <c r="FL762" s="3"/>
      <c r="FM762" s="3"/>
      <c r="FN762" s="3"/>
      <c r="FO762" s="3"/>
      <c r="FP762" s="3"/>
      <c r="FQ762" s="3"/>
      <c r="FR762" s="3"/>
      <c r="FS762" s="3"/>
      <c r="FT762" s="3"/>
      <c r="FU762" s="3"/>
      <c r="FV762" s="3"/>
      <c r="FW762" s="3"/>
      <c r="FX762" s="3"/>
      <c r="FY762" s="3"/>
      <c r="FZ762" s="3"/>
      <c r="GA762" s="3"/>
      <c r="GB762" s="3"/>
      <c r="GC762" s="3"/>
      <c r="GD762" s="3"/>
      <c r="GE762" s="3"/>
      <c r="GF762" s="3"/>
      <c r="GG762" s="3"/>
      <c r="GH762" s="3"/>
      <c r="GI762" s="3"/>
      <c r="GJ762" s="3"/>
      <c r="GK762" s="3"/>
      <c r="GL762" s="3"/>
      <c r="GM762" s="3"/>
      <c r="GN762" s="3"/>
      <c r="GO762" s="3"/>
      <c r="GP762" s="3"/>
      <c r="GQ762" s="3"/>
      <c r="GR762" s="3"/>
      <c r="GS762" s="3"/>
      <c r="GT762" s="3"/>
      <c r="GU762" s="3"/>
      <c r="GV762" s="3"/>
      <c r="GW762" s="3"/>
      <c r="GX762" s="3"/>
      <c r="GY762" s="3"/>
      <c r="GZ762" s="3"/>
      <c r="HA762" s="3"/>
      <c r="HB762" s="3"/>
      <c r="HC762" s="3"/>
      <c r="HD762" s="3"/>
      <c r="HE762" s="3"/>
      <c r="HF762" s="3"/>
      <c r="HG762" s="3"/>
      <c r="HH762" s="3"/>
      <c r="HI762" s="3"/>
      <c r="HJ762" s="3"/>
      <c r="HK762" s="133"/>
      <c r="HL762" s="133"/>
      <c r="HM762" s="133"/>
      <c r="HN762" s="133"/>
      <c r="HO762" s="133"/>
      <c r="HP762" s="133"/>
      <c r="HQ762" s="133"/>
      <c r="HR762" s="133"/>
      <c r="HS762" s="134"/>
      <c r="HT762" s="133"/>
      <c r="HU762" s="133"/>
      <c r="HV762" s="133"/>
      <c r="HW762" s="133"/>
      <c r="HX762" s="136"/>
      <c r="HY762" s="133"/>
      <c r="HZ762" s="133"/>
      <c r="IA762" s="133"/>
      <c r="IB762" s="133"/>
      <c r="IC762" s="133"/>
      <c r="ID762" s="133"/>
      <c r="IE762" s="133"/>
      <c r="IF762" s="133"/>
      <c r="IG762" s="133"/>
      <c r="IH762" s="133" t="s">
        <v>1465</v>
      </c>
      <c r="II762" s="137" t="s">
        <v>492</v>
      </c>
      <c r="IJ762" s="137"/>
      <c r="IK762" s="138"/>
      <c r="IL762" s="133"/>
      <c r="IM762" s="133"/>
      <c r="IN762" s="133"/>
      <c r="IQ762" s="133"/>
      <c r="IR762" s="133"/>
      <c r="IS762" s="133"/>
      <c r="IT762" s="133"/>
      <c r="IU762" s="133"/>
      <c r="IV762" s="133"/>
      <c r="IW762" s="133"/>
      <c r="IX762" s="133"/>
      <c r="IY762" s="133"/>
      <c r="IZ762" s="80"/>
      <c r="JA762" s="80"/>
      <c r="JB762" s="80"/>
      <c r="JC762" s="80"/>
      <c r="JD762" s="80"/>
      <c r="JE762" s="80"/>
      <c r="JF762" s="80"/>
      <c r="JG762" s="80"/>
      <c r="JH762" s="80"/>
      <c r="JI762" s="80"/>
      <c r="JJ762" s="80"/>
      <c r="JK762" s="80"/>
      <c r="JL762" s="139" t="s">
        <v>495</v>
      </c>
      <c r="JM762" s="140" t="s">
        <v>1466</v>
      </c>
      <c r="JN762" s="140" t="s">
        <v>1467</v>
      </c>
      <c r="JO762" s="140" t="s">
        <v>1467</v>
      </c>
      <c r="JR762" s="133"/>
      <c r="JS762" s="133"/>
      <c r="JT762" s="133"/>
      <c r="JU762" s="133"/>
      <c r="JV762" s="133"/>
      <c r="JW762" s="133"/>
      <c r="JX762" s="133"/>
      <c r="JY762" s="141"/>
      <c r="JZ762" s="141"/>
      <c r="KA762" s="134"/>
      <c r="KB762" s="133"/>
      <c r="KC762" s="134"/>
      <c r="KD762" s="133"/>
      <c r="KE762" s="133"/>
      <c r="KF762" s="133"/>
      <c r="KG762" s="134"/>
      <c r="KH762" s="134"/>
      <c r="KI762" s="137"/>
      <c r="KJ762" s="142"/>
      <c r="KK762" s="133"/>
      <c r="KL762" s="133"/>
      <c r="KM762" s="133"/>
      <c r="KN762" s="133"/>
      <c r="KO762" s="134"/>
      <c r="KP762" s="133"/>
      <c r="KQ762" s="137"/>
      <c r="KR762" s="142"/>
      <c r="KS762" s="133"/>
      <c r="KT762" s="133"/>
      <c r="KU762" s="143"/>
      <c r="KV762" s="142"/>
      <c r="KW762" s="133"/>
      <c r="KX762" s="133"/>
      <c r="KY762" s="133"/>
      <c r="KZ762" s="3"/>
      <c r="LA762" s="3"/>
      <c r="LB762" s="3"/>
      <c r="LC762" s="3"/>
      <c r="LD762" s="3"/>
      <c r="LE762" s="3"/>
      <c r="LF762" s="3"/>
      <c r="LG762" s="3"/>
      <c r="LH762" s="134"/>
      <c r="LI762" s="134"/>
      <c r="LJ762" s="134"/>
      <c r="LK762" s="134"/>
      <c r="LL762" s="134"/>
      <c r="LM762" s="134"/>
      <c r="LN762" s="134"/>
      <c r="LO762" s="134"/>
      <c r="LP762" s="134"/>
      <c r="LQ762" s="133"/>
      <c r="LR762" s="133"/>
      <c r="LS762" s="133"/>
      <c r="LT762" s="133"/>
      <c r="LU762" s="133"/>
      <c r="LV762" s="133"/>
      <c r="LW762" s="133"/>
      <c r="LX762" s="133"/>
      <c r="LY762" s="133"/>
      <c r="LZ762" s="80"/>
      <c r="MA762" s="80"/>
      <c r="MB762" s="80"/>
      <c r="MC762" s="80"/>
      <c r="MD762" s="80"/>
      <c r="ME762" s="144"/>
      <c r="MF762" s="144"/>
      <c r="MG762" s="144"/>
      <c r="MH762" s="2"/>
      <c r="MI762" s="133"/>
      <c r="MJ762" s="133"/>
      <c r="MK762" s="133"/>
      <c r="ML762" s="80"/>
      <c r="MM762" s="80"/>
      <c r="MN762" s="80"/>
      <c r="MO762" s="80"/>
      <c r="MP762" s="80"/>
      <c r="MQ762" s="80"/>
      <c r="MR762" s="80"/>
      <c r="MS762" s="80"/>
      <c r="MT762" s="133"/>
      <c r="MU762" s="133"/>
      <c r="MV762" s="133"/>
      <c r="MW762" s="133"/>
      <c r="MX762" s="133"/>
      <c r="MY762" s="133" t="s">
        <v>1468</v>
      </c>
      <c r="MZ762" s="80">
        <v>64</v>
      </c>
      <c r="NA762" s="133" t="s">
        <v>1488</v>
      </c>
      <c r="NB762" s="144" t="s">
        <v>1489</v>
      </c>
      <c r="NC762" s="144"/>
      <c r="ND762" s="144"/>
      <c r="NE762" s="144"/>
      <c r="NF762" s="144"/>
      <c r="NG762" s="144" t="s">
        <v>686</v>
      </c>
      <c r="NH762" s="78" t="s">
        <v>687</v>
      </c>
      <c r="NI762" s="133"/>
      <c r="NJ762" s="133" t="s">
        <v>1488</v>
      </c>
      <c r="NK762" s="133" t="s">
        <v>1490</v>
      </c>
      <c r="NL762" t="s">
        <v>689</v>
      </c>
      <c r="NM762" s="145" t="s">
        <v>1491</v>
      </c>
      <c r="NN762" s="133"/>
      <c r="NO762" s="133"/>
      <c r="NP762" s="133"/>
      <c r="NQ762" s="133"/>
      <c r="NR762" s="133"/>
      <c r="NS762" s="133"/>
      <c r="NT762" s="133"/>
      <c r="NU762" s="133" t="s">
        <v>536</v>
      </c>
      <c r="NV762" s="146" t="s">
        <v>518</v>
      </c>
      <c r="NW762" s="153">
        <v>2386.6999999999998</v>
      </c>
      <c r="NX762" s="146" t="s">
        <v>520</v>
      </c>
      <c r="NY762" s="146">
        <v>108</v>
      </c>
      <c r="NZ762" s="147"/>
      <c r="OA762" s="133"/>
      <c r="OB762" s="133">
        <v>4</v>
      </c>
      <c r="OC762" s="2"/>
      <c r="OD762" s="2"/>
      <c r="OG762" s="133"/>
      <c r="OH762" s="133"/>
      <c r="OI762" s="133"/>
      <c r="OJ762" s="133"/>
      <c r="OK762" s="133"/>
      <c r="OL762" s="133"/>
      <c r="OM762" s="133"/>
      <c r="ON762" s="133"/>
      <c r="OO762" s="133"/>
      <c r="OP762" s="133"/>
      <c r="OQ762" s="133"/>
      <c r="OR762" s="133"/>
      <c r="OS762" s="133"/>
      <c r="OT762" s="133"/>
      <c r="OU762" s="133" t="s">
        <v>1276</v>
      </c>
      <c r="OV762" s="133"/>
      <c r="OW762" s="133">
        <v>2007</v>
      </c>
      <c r="OX762" s="133"/>
      <c r="OY762" s="133"/>
      <c r="OZ762" s="133" t="s">
        <v>692</v>
      </c>
      <c r="PA762" s="133"/>
      <c r="PB762" t="s">
        <v>522</v>
      </c>
      <c r="PC762" s="50">
        <v>46134</v>
      </c>
      <c r="PD762" s="127"/>
    </row>
    <row r="763" spans="1:420" ht="15.75" thickBot="1">
      <c r="A763" t="s">
        <v>469</v>
      </c>
      <c r="B763" t="s">
        <v>1459</v>
      </c>
      <c r="C763" s="80" t="s">
        <v>667</v>
      </c>
      <c r="D763" s="132" t="s">
        <v>950</v>
      </c>
      <c r="E763" s="2" t="s">
        <v>1460</v>
      </c>
      <c r="F763" t="s">
        <v>1179</v>
      </c>
      <c r="G763" s="80" t="s">
        <v>475</v>
      </c>
      <c r="H763" s="132" t="s">
        <v>476</v>
      </c>
      <c r="I763">
        <v>-0.41666666699999999</v>
      </c>
      <c r="J763">
        <v>34.200000000000003</v>
      </c>
      <c r="K763" s="132">
        <v>100</v>
      </c>
      <c r="L763" s="2"/>
      <c r="M763" s="88"/>
      <c r="N763" s="2"/>
      <c r="O763" s="80"/>
      <c r="P763" s="2"/>
      <c r="Q763" s="2"/>
      <c r="R763" s="80"/>
      <c r="S763" s="80"/>
      <c r="T763" s="80"/>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c r="AV763" s="80" t="s">
        <v>1461</v>
      </c>
      <c r="AW763" s="80">
        <v>64</v>
      </c>
      <c r="AX763" s="80">
        <v>0.09</v>
      </c>
      <c r="AY763" s="80">
        <v>1</v>
      </c>
      <c r="AZ763" s="133" t="s">
        <v>1462</v>
      </c>
      <c r="BA763" s="133">
        <v>2007</v>
      </c>
      <c r="BB763" s="133">
        <v>2008</v>
      </c>
      <c r="BC763" s="133" t="s">
        <v>692</v>
      </c>
      <c r="BD763" s="2" t="s">
        <v>1473</v>
      </c>
      <c r="BE763" s="2" t="s">
        <v>536</v>
      </c>
      <c r="BF763" s="133" t="s">
        <v>484</v>
      </c>
      <c r="BG763" s="2" t="s">
        <v>1464</v>
      </c>
      <c r="BH763" s="133" t="s">
        <v>480</v>
      </c>
      <c r="BI763" s="134" t="s">
        <v>486</v>
      </c>
      <c r="BJ763" s="135">
        <v>55500</v>
      </c>
      <c r="BK763" s="2" t="s">
        <v>537</v>
      </c>
      <c r="BL763" t="s">
        <v>1474</v>
      </c>
      <c r="BM763" s="133" t="s">
        <v>480</v>
      </c>
      <c r="BN763" s="2" t="s">
        <v>486</v>
      </c>
      <c r="BO763" s="2">
        <v>55000</v>
      </c>
      <c r="BP763" s="2"/>
      <c r="BQ763" s="2"/>
      <c r="BR763" s="2"/>
      <c r="BS763" s="2"/>
      <c r="BT763" s="2"/>
      <c r="BU763" s="2"/>
      <c r="BV763" s="3"/>
      <c r="BW763" s="3"/>
      <c r="BX763" s="3"/>
      <c r="BY763" s="3"/>
      <c r="BZ763" s="3"/>
      <c r="CA763" s="3"/>
      <c r="CB763" s="3"/>
      <c r="CC763" s="3"/>
      <c r="CD763" s="3"/>
      <c r="CE763" s="3"/>
      <c r="CF763" s="3"/>
      <c r="CG763" s="3"/>
      <c r="CH763" s="3"/>
      <c r="CI763" s="3"/>
      <c r="CJ763" s="3"/>
      <c r="CK763" s="3"/>
      <c r="CL763" s="3"/>
      <c r="CM763" s="3"/>
      <c r="CN763" s="3"/>
      <c r="CO763" s="3"/>
      <c r="CP763" s="3"/>
      <c r="CQ763" s="3"/>
      <c r="CR763" s="3"/>
      <c r="CS763" s="3"/>
      <c r="CT763" s="3"/>
      <c r="CU763" s="3"/>
      <c r="CV763" s="3"/>
      <c r="CW763" s="3"/>
      <c r="CX763" s="3"/>
      <c r="CY763" s="3"/>
      <c r="CZ763" s="3"/>
      <c r="DA763" s="3"/>
      <c r="DB763" s="3"/>
      <c r="DC763" s="3"/>
      <c r="DD763" s="3"/>
      <c r="DE763" s="3"/>
      <c r="DF763" s="3"/>
      <c r="DG763" s="3"/>
      <c r="DH763" s="3"/>
      <c r="DI763" s="3"/>
      <c r="DJ763" s="3"/>
      <c r="DK763" s="3"/>
      <c r="DL763" s="3"/>
      <c r="DM763" s="3"/>
      <c r="DN763" s="3"/>
      <c r="DO763" s="3"/>
      <c r="DP763" s="3"/>
      <c r="DQ763" s="3"/>
      <c r="DR763" s="3"/>
      <c r="DS763" s="3"/>
      <c r="DT763" s="3"/>
      <c r="DU763" s="3"/>
      <c r="DV763" s="3"/>
      <c r="DW763" s="3"/>
      <c r="DX763" s="3"/>
      <c r="DY763" s="3"/>
      <c r="DZ763" s="3"/>
      <c r="EA763" s="3"/>
      <c r="EB763" s="3"/>
      <c r="EC763" s="3"/>
      <c r="ED763" s="2"/>
      <c r="EE763" s="2"/>
      <c r="EF763" s="2"/>
      <c r="EG763" s="2"/>
      <c r="EH763" s="2"/>
      <c r="EI763" s="2"/>
      <c r="EJ763" s="2"/>
      <c r="EK763" s="2"/>
      <c r="EL763" s="3"/>
      <c r="EM763" s="3"/>
      <c r="EN763" s="3"/>
      <c r="EO763" s="3"/>
      <c r="EP763" s="3"/>
      <c r="EQ763" s="3"/>
      <c r="ER763" s="3"/>
      <c r="ES763" s="3"/>
      <c r="ET763" s="3"/>
      <c r="EU763" s="3"/>
      <c r="EV763" s="3"/>
      <c r="EW763" s="3"/>
      <c r="EX763" s="3"/>
      <c r="EY763" s="3"/>
      <c r="EZ763" s="3"/>
      <c r="FA763" s="3"/>
      <c r="FB763" s="3"/>
      <c r="FC763" s="3"/>
      <c r="FD763" s="3"/>
      <c r="FE763" s="3"/>
      <c r="FF763" s="3"/>
      <c r="FG763" s="3"/>
      <c r="FH763" s="3"/>
      <c r="FI763" s="3"/>
      <c r="FJ763" s="3"/>
      <c r="FK763" s="3"/>
      <c r="FL763" s="3"/>
      <c r="FM763" s="3"/>
      <c r="FN763" s="3"/>
      <c r="FO763" s="3"/>
      <c r="FP763" s="3"/>
      <c r="FQ763" s="3"/>
      <c r="FR763" s="3"/>
      <c r="FS763" s="3"/>
      <c r="FT763" s="3"/>
      <c r="FU763" s="3"/>
      <c r="FV763" s="3"/>
      <c r="FW763" s="3"/>
      <c r="FX763" s="3"/>
      <c r="FY763" s="3"/>
      <c r="FZ763" s="3"/>
      <c r="GA763" s="3"/>
      <c r="GB763" s="3"/>
      <c r="GC763" s="3"/>
      <c r="GD763" s="3"/>
      <c r="GE763" s="3"/>
      <c r="GF763" s="3"/>
      <c r="GG763" s="3"/>
      <c r="GH763" s="3"/>
      <c r="GI763" s="3"/>
      <c r="GJ763" s="3"/>
      <c r="GK763" s="3"/>
      <c r="GL763" s="3"/>
      <c r="GM763" s="3"/>
      <c r="GN763" s="3"/>
      <c r="GO763" s="3"/>
      <c r="GP763" s="3"/>
      <c r="GQ763" s="3"/>
      <c r="GR763" s="3"/>
      <c r="GS763" s="3"/>
      <c r="GT763" s="3"/>
      <c r="GU763" s="3"/>
      <c r="GV763" s="3"/>
      <c r="GW763" s="3"/>
      <c r="GX763" s="3"/>
      <c r="GY763" s="3"/>
      <c r="GZ763" s="3"/>
      <c r="HA763" s="3"/>
      <c r="HB763" s="3"/>
      <c r="HC763" s="3"/>
      <c r="HD763" s="3"/>
      <c r="HE763" s="3"/>
      <c r="HF763" s="3"/>
      <c r="HG763" s="3"/>
      <c r="HH763" s="3"/>
      <c r="HI763" s="3"/>
      <c r="HJ763" s="3"/>
      <c r="HK763" s="2"/>
      <c r="HL763" s="2"/>
      <c r="HM763" s="2"/>
      <c r="HN763" s="2"/>
      <c r="HO763" s="2"/>
      <c r="HP763" s="2"/>
      <c r="HQ763" s="2"/>
      <c r="HR763" s="2"/>
      <c r="HS763" s="88"/>
      <c r="HT763" s="2"/>
      <c r="HU763" s="2"/>
      <c r="HV763" s="2"/>
      <c r="HW763" s="2"/>
      <c r="HX763" s="2"/>
      <c r="HY763" s="2"/>
      <c r="HZ763" s="2"/>
      <c r="IA763" s="2"/>
      <c r="IB763" s="2"/>
      <c r="IC763" s="2"/>
      <c r="ID763" s="2"/>
      <c r="IE763" s="2"/>
      <c r="IF763" s="2"/>
      <c r="IG763" s="2"/>
      <c r="IH763" s="133" t="s">
        <v>1465</v>
      </c>
      <c r="II763" s="75" t="s">
        <v>929</v>
      </c>
      <c r="IJ763" s="149" t="s">
        <v>983</v>
      </c>
      <c r="IK763" s="150" t="s">
        <v>543</v>
      </c>
      <c r="IL763" s="2">
        <v>2007</v>
      </c>
      <c r="IM763" s="2" t="s">
        <v>692</v>
      </c>
      <c r="IN763" s="2" t="s">
        <v>480</v>
      </c>
      <c r="IQ763" s="2"/>
      <c r="IR763" s="2"/>
      <c r="IS763" s="2"/>
      <c r="IT763" s="2"/>
      <c r="IU763" s="2"/>
      <c r="IV763" s="2"/>
      <c r="IW763" s="2"/>
      <c r="IX763" s="2"/>
      <c r="IY763" s="2"/>
      <c r="IZ763" s="2"/>
      <c r="JA763" s="2"/>
      <c r="JB763" s="2"/>
      <c r="JC763" s="2"/>
      <c r="JD763" s="2"/>
      <c r="JE763" s="2"/>
      <c r="JF763" s="2"/>
      <c r="JG763" s="2"/>
      <c r="JH763" s="2"/>
      <c r="JI763" s="2"/>
      <c r="JJ763" s="2"/>
      <c r="JK763" s="2"/>
      <c r="JL763" s="139" t="s">
        <v>495</v>
      </c>
      <c r="JM763" s="140" t="s">
        <v>1466</v>
      </c>
      <c r="JN763" s="140" t="s">
        <v>1467</v>
      </c>
      <c r="JO763" s="140" t="s">
        <v>1467</v>
      </c>
      <c r="JR763" s="2"/>
      <c r="JS763" s="2"/>
      <c r="JT763" s="2"/>
      <c r="JU763" s="2"/>
      <c r="JV763" s="2"/>
      <c r="JW763" s="2"/>
      <c r="JX763" s="2"/>
      <c r="JY763" s="141"/>
      <c r="JZ763" s="151"/>
      <c r="KA763" s="88"/>
      <c r="KB763" s="2"/>
      <c r="KC763" s="88"/>
      <c r="KD763" s="2"/>
      <c r="KE763" s="2"/>
      <c r="KF763" s="2"/>
      <c r="KG763" s="88"/>
      <c r="KH763" s="2"/>
      <c r="KI763" s="148"/>
      <c r="KJ763" s="152"/>
      <c r="KK763" s="2"/>
      <c r="KL763" s="2"/>
      <c r="KM763" s="2"/>
      <c r="KN763" s="2"/>
      <c r="KO763" s="88"/>
      <c r="KP763" s="2"/>
      <c r="KQ763" s="148"/>
      <c r="KR763" s="152"/>
      <c r="KS763" s="2"/>
      <c r="KT763" s="2"/>
      <c r="KU763" s="143"/>
      <c r="KV763" s="152"/>
      <c r="KW763" s="2"/>
      <c r="KX763" s="2"/>
      <c r="KY763" s="2"/>
      <c r="KZ763" s="61"/>
      <c r="LA763" s="62"/>
      <c r="LB763" s="62"/>
      <c r="LC763" s="3"/>
      <c r="LD763" s="3"/>
      <c r="LE763" s="3"/>
      <c r="LF763" s="3"/>
      <c r="LG763" s="3"/>
      <c r="LH763" s="88"/>
      <c r="LI763" s="88"/>
      <c r="LJ763" s="88"/>
      <c r="LK763" s="88"/>
      <c r="LL763" s="88"/>
      <c r="LM763" s="2"/>
      <c r="LN763" s="88"/>
      <c r="LO763" s="88"/>
      <c r="LP763" s="88"/>
      <c r="LQ763" s="2"/>
      <c r="LR763" s="2"/>
      <c r="LS763" s="2"/>
      <c r="LT763" s="2"/>
      <c r="LU763" s="2"/>
      <c r="LV763" s="2"/>
      <c r="LW763" s="2"/>
      <c r="LX763" s="2"/>
      <c r="LY763" s="2"/>
      <c r="LZ763" s="2"/>
      <c r="MA763" s="2"/>
      <c r="MB763" s="2"/>
      <c r="MC763" s="2"/>
      <c r="MD763" s="2"/>
      <c r="ME763" s="2"/>
      <c r="MF763" s="2"/>
      <c r="MG763" s="2"/>
      <c r="MI763" s="2"/>
      <c r="MJ763" s="2"/>
      <c r="MK763" s="2"/>
      <c r="ML763" s="2"/>
      <c r="MM763" s="2"/>
      <c r="MN763" s="2"/>
      <c r="MO763" s="2"/>
      <c r="MP763" s="2"/>
      <c r="MQ763" s="2"/>
      <c r="MR763" s="2"/>
      <c r="MS763" s="2"/>
      <c r="MT763" s="2"/>
      <c r="MU763" s="2"/>
      <c r="MV763" s="2"/>
      <c r="MW763" s="2"/>
      <c r="MX763" s="2"/>
      <c r="MY763" s="133" t="s">
        <v>1468</v>
      </c>
      <c r="MZ763" s="80">
        <v>64</v>
      </c>
      <c r="NA763" s="133" t="s">
        <v>1488</v>
      </c>
      <c r="NB763" s="144" t="s">
        <v>1489</v>
      </c>
      <c r="NC763" s="144"/>
      <c r="ND763" s="144"/>
      <c r="NE763" s="144"/>
      <c r="NF763" s="144"/>
      <c r="NG763" s="144" t="s">
        <v>686</v>
      </c>
      <c r="NH763" s="78" t="s">
        <v>687</v>
      </c>
      <c r="NI763" s="133"/>
      <c r="NJ763" s="133" t="s">
        <v>1488</v>
      </c>
      <c r="NK763" s="133" t="s">
        <v>1490</v>
      </c>
      <c r="NL763" t="s">
        <v>689</v>
      </c>
      <c r="NM763" s="145" t="s">
        <v>1491</v>
      </c>
      <c r="NN763" s="133"/>
      <c r="NO763" s="133"/>
      <c r="NP763" s="133"/>
      <c r="NQ763" s="133"/>
      <c r="NR763" s="133"/>
      <c r="NS763" s="133"/>
      <c r="NT763" s="133"/>
      <c r="NU763" s="133"/>
      <c r="NV763" s="146" t="s">
        <v>518</v>
      </c>
      <c r="NW763" s="153">
        <v>6.6</v>
      </c>
      <c r="NX763" s="146" t="s">
        <v>520</v>
      </c>
      <c r="NY763" s="153">
        <v>2</v>
      </c>
      <c r="NZ763" s="154"/>
      <c r="OA763" s="2"/>
      <c r="OB763" s="133">
        <v>4</v>
      </c>
      <c r="OC763" s="133"/>
      <c r="OD763" s="133"/>
      <c r="OG763" s="2"/>
      <c r="OH763" s="2"/>
      <c r="OI763" s="2"/>
      <c r="OJ763" s="2"/>
      <c r="OK763" s="2"/>
      <c r="OL763" s="2"/>
      <c r="OU763" s="133" t="s">
        <v>1276</v>
      </c>
      <c r="OV763" s="2"/>
      <c r="OW763" s="133">
        <v>2007</v>
      </c>
      <c r="OX763" s="133"/>
      <c r="OY763" s="133"/>
      <c r="OZ763" s="133" t="s">
        <v>692</v>
      </c>
      <c r="PA763" s="2"/>
      <c r="PB763" t="s">
        <v>522</v>
      </c>
      <c r="PC763" s="50">
        <v>46134</v>
      </c>
      <c r="PD763" s="127"/>
    </row>
    <row r="764" spans="1:420" ht="15.75" thickBot="1">
      <c r="A764" t="s">
        <v>469</v>
      </c>
      <c r="B764" t="s">
        <v>1459</v>
      </c>
      <c r="C764" s="80" t="s">
        <v>667</v>
      </c>
      <c r="D764" s="132" t="s">
        <v>950</v>
      </c>
      <c r="E764" s="2" t="s">
        <v>1460</v>
      </c>
      <c r="F764" t="s">
        <v>1179</v>
      </c>
      <c r="G764" s="80" t="s">
        <v>475</v>
      </c>
      <c r="H764" s="132" t="s">
        <v>476</v>
      </c>
      <c r="I764">
        <v>-0.41666666699999999</v>
      </c>
      <c r="J764">
        <v>34.200000000000003</v>
      </c>
      <c r="K764" s="132">
        <v>100</v>
      </c>
      <c r="L764" s="80"/>
      <c r="M764" s="132"/>
      <c r="N764" s="80"/>
      <c r="O764" s="80"/>
      <c r="P764" s="80"/>
      <c r="Q764" s="80"/>
      <c r="R764" s="80"/>
      <c r="S764" s="80"/>
      <c r="T764" s="80"/>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c r="AV764" s="80" t="s">
        <v>1461</v>
      </c>
      <c r="AW764" s="80">
        <v>64</v>
      </c>
      <c r="AX764" s="80">
        <v>0.09</v>
      </c>
      <c r="AY764" s="80">
        <v>1</v>
      </c>
      <c r="AZ764" s="133" t="s">
        <v>1462</v>
      </c>
      <c r="BA764" s="133">
        <v>2007</v>
      </c>
      <c r="BB764" s="133">
        <v>2008</v>
      </c>
      <c r="BC764" s="133" t="s">
        <v>709</v>
      </c>
      <c r="BD764" s="133" t="s">
        <v>1463</v>
      </c>
      <c r="BE764" s="133" t="s">
        <v>524</v>
      </c>
      <c r="BF764" s="133" t="s">
        <v>484</v>
      </c>
      <c r="BG764" s="133" t="s">
        <v>1464</v>
      </c>
      <c r="BH764" s="133" t="s">
        <v>480</v>
      </c>
      <c r="BI764" s="134" t="s">
        <v>486</v>
      </c>
      <c r="BJ764" s="135">
        <v>111000</v>
      </c>
      <c r="BK764" s="80"/>
      <c r="BL764" s="80"/>
      <c r="BM764" s="80"/>
      <c r="BN764" s="132"/>
      <c r="BO764" s="155"/>
      <c r="BP764" s="80"/>
      <c r="BQ764" s="80"/>
      <c r="BR764" s="80"/>
      <c r="BS764" s="80"/>
      <c r="BT764" s="80"/>
      <c r="BU764" s="80"/>
      <c r="BV764" s="3"/>
      <c r="BW764" s="3"/>
      <c r="BX764" s="3"/>
      <c r="BY764" s="3"/>
      <c r="BZ764" s="3"/>
      <c r="CA764" s="3"/>
      <c r="CB764" s="3"/>
      <c r="CC764" s="3"/>
      <c r="CD764" s="3"/>
      <c r="CE764" s="3"/>
      <c r="CF764" s="3"/>
      <c r="CG764" s="3"/>
      <c r="CH764" s="3"/>
      <c r="CI764" s="3"/>
      <c r="CJ764" s="3"/>
      <c r="CK764" s="3"/>
      <c r="CL764" s="3"/>
      <c r="CM764" s="3"/>
      <c r="CN764" s="3"/>
      <c r="CO764" s="3"/>
      <c r="CP764" s="3"/>
      <c r="CQ764" s="3"/>
      <c r="CR764" s="3"/>
      <c r="CS764" s="3"/>
      <c r="CT764" s="3"/>
      <c r="CU764" s="3"/>
      <c r="CV764" s="3"/>
      <c r="CW764" s="3"/>
      <c r="CX764" s="3"/>
      <c r="CY764" s="3"/>
      <c r="CZ764" s="3"/>
      <c r="DA764" s="3"/>
      <c r="DB764" s="3"/>
      <c r="DC764" s="3"/>
      <c r="DD764" s="3"/>
      <c r="DE764" s="3"/>
      <c r="DF764" s="3"/>
      <c r="DG764" s="3"/>
      <c r="DH764" s="3"/>
      <c r="DI764" s="3"/>
      <c r="DJ764" s="3"/>
      <c r="DK764" s="3"/>
      <c r="DL764" s="3"/>
      <c r="DM764" s="3"/>
      <c r="DN764" s="3"/>
      <c r="DO764" s="3"/>
      <c r="DP764" s="3"/>
      <c r="DQ764" s="3"/>
      <c r="DR764" s="3"/>
      <c r="DS764" s="3"/>
      <c r="DT764" s="3"/>
      <c r="DU764" s="3"/>
      <c r="DV764" s="3"/>
      <c r="DW764" s="3"/>
      <c r="DX764" s="3"/>
      <c r="DY764" s="3"/>
      <c r="DZ764" s="3"/>
      <c r="EA764" s="3"/>
      <c r="EB764" s="3"/>
      <c r="EC764" s="3"/>
      <c r="ED764" s="80"/>
      <c r="EE764" s="80"/>
      <c r="EF764" s="80"/>
      <c r="EG764" s="80"/>
      <c r="EH764" s="80"/>
      <c r="EI764" s="80"/>
      <c r="EJ764" s="80"/>
      <c r="EK764" s="80"/>
      <c r="EL764" s="3"/>
      <c r="EM764" s="3"/>
      <c r="EN764" s="3"/>
      <c r="EO764" s="3"/>
      <c r="EP764" s="3"/>
      <c r="EQ764" s="3"/>
      <c r="ER764" s="3"/>
      <c r="ES764" s="3"/>
      <c r="ET764" s="3"/>
      <c r="EU764" s="3"/>
      <c r="EV764" s="3"/>
      <c r="EW764" s="3"/>
      <c r="EX764" s="3"/>
      <c r="EY764" s="3"/>
      <c r="EZ764" s="3"/>
      <c r="FA764" s="3"/>
      <c r="FB764" s="3"/>
      <c r="FC764" s="3"/>
      <c r="FD764" s="3"/>
      <c r="FE764" s="3"/>
      <c r="FF764" s="3"/>
      <c r="FG764" s="3"/>
      <c r="FH764" s="3"/>
      <c r="FI764" s="3"/>
      <c r="FJ764" s="3"/>
      <c r="FK764" s="3"/>
      <c r="FL764" s="3"/>
      <c r="FM764" s="3"/>
      <c r="FN764" s="3"/>
      <c r="FO764" s="3"/>
      <c r="FP764" s="3"/>
      <c r="FQ764" s="3"/>
      <c r="FR764" s="3"/>
      <c r="FS764" s="3"/>
      <c r="FT764" s="3"/>
      <c r="FU764" s="3"/>
      <c r="FV764" s="3"/>
      <c r="FW764" s="3"/>
      <c r="FX764" s="3"/>
      <c r="FY764" s="3"/>
      <c r="FZ764" s="3"/>
      <c r="GA764" s="3"/>
      <c r="GB764" s="3"/>
      <c r="GC764" s="3"/>
      <c r="GD764" s="3"/>
      <c r="GE764" s="3"/>
      <c r="GF764" s="3"/>
      <c r="GG764" s="3"/>
      <c r="GH764" s="3"/>
      <c r="GI764" s="3"/>
      <c r="GJ764" s="3"/>
      <c r="GK764" s="3"/>
      <c r="GL764" s="3"/>
      <c r="GM764" s="3"/>
      <c r="GN764" s="3"/>
      <c r="GO764" s="3"/>
      <c r="GP764" s="3"/>
      <c r="GQ764" s="3"/>
      <c r="GR764" s="3"/>
      <c r="GS764" s="3"/>
      <c r="GT764" s="3"/>
      <c r="GU764" s="3"/>
      <c r="GV764" s="3"/>
      <c r="GW764" s="3"/>
      <c r="GX764" s="3"/>
      <c r="GY764" s="3"/>
      <c r="GZ764" s="3"/>
      <c r="HA764" s="3"/>
      <c r="HB764" s="3"/>
      <c r="HC764" s="3"/>
      <c r="HD764" s="3"/>
      <c r="HE764" s="3"/>
      <c r="HF764" s="3"/>
      <c r="HG764" s="3"/>
      <c r="HH764" s="3"/>
      <c r="HI764" s="3"/>
      <c r="HJ764" s="3"/>
      <c r="HK764" s="80"/>
      <c r="HL764" s="80"/>
      <c r="HM764" s="80"/>
      <c r="HN764" s="80"/>
      <c r="HO764" s="80"/>
      <c r="HP764" s="80"/>
      <c r="HQ764" s="80"/>
      <c r="HR764" s="80"/>
      <c r="HS764" s="132"/>
      <c r="HT764" s="80"/>
      <c r="HU764" s="80"/>
      <c r="HV764" s="80"/>
      <c r="HW764" s="80"/>
      <c r="HX764" s="80"/>
      <c r="HY764" s="80"/>
      <c r="HZ764" s="80"/>
      <c r="IA764" s="80"/>
      <c r="IB764" s="80"/>
      <c r="IC764" s="80"/>
      <c r="ID764" s="80"/>
      <c r="IE764" s="80"/>
      <c r="IF764" s="80"/>
      <c r="IG764" s="80"/>
      <c r="IH764" s="133" t="s">
        <v>1465</v>
      </c>
      <c r="II764" s="137" t="s">
        <v>492</v>
      </c>
      <c r="IJ764" s="156"/>
      <c r="IK764" s="157"/>
      <c r="IL764" s="80"/>
      <c r="IM764" s="80"/>
      <c r="IN764" s="132"/>
      <c r="IQ764" s="80"/>
      <c r="IR764" s="80"/>
      <c r="IS764" s="80"/>
      <c r="IT764" s="80"/>
      <c r="IU764" s="80"/>
      <c r="IV764" s="80"/>
      <c r="IW764" s="80"/>
      <c r="IX764" s="80"/>
      <c r="IY764" s="80"/>
      <c r="IZ764" s="80"/>
      <c r="JA764" s="80"/>
      <c r="JB764" s="80"/>
      <c r="JC764" s="80"/>
      <c r="JD764" s="80"/>
      <c r="JE764" s="80"/>
      <c r="JF764" s="80"/>
      <c r="JG764" s="80"/>
      <c r="JH764" s="80"/>
      <c r="JI764" s="80"/>
      <c r="JJ764" s="80"/>
      <c r="JK764" s="80"/>
      <c r="JL764" s="139" t="s">
        <v>495</v>
      </c>
      <c r="JM764" s="140" t="s">
        <v>1466</v>
      </c>
      <c r="JN764" s="140" t="s">
        <v>1467</v>
      </c>
      <c r="JO764" s="140" t="s">
        <v>1467</v>
      </c>
      <c r="JR764" s="80"/>
      <c r="JS764" s="80"/>
      <c r="JT764" s="80"/>
      <c r="JU764" s="80"/>
      <c r="JV764" s="80"/>
      <c r="JW764" s="80"/>
      <c r="JX764" s="80"/>
      <c r="JY764" s="141"/>
      <c r="JZ764" s="139"/>
      <c r="KA764" s="132"/>
      <c r="KB764" s="80"/>
      <c r="KC764" s="132"/>
      <c r="KD764" s="80"/>
      <c r="KE764" s="80"/>
      <c r="KF764" s="80"/>
      <c r="KG764" s="132"/>
      <c r="KH764" s="80"/>
      <c r="KI764" s="137"/>
      <c r="KJ764" s="158"/>
      <c r="KK764" s="80"/>
      <c r="KL764" s="80"/>
      <c r="KM764" s="80"/>
      <c r="KN764" s="80"/>
      <c r="KO764" s="132"/>
      <c r="KP764" s="80"/>
      <c r="KQ764" s="137"/>
      <c r="KR764" s="158"/>
      <c r="KS764" s="80"/>
      <c r="KT764" s="80"/>
      <c r="KU764" s="143"/>
      <c r="KV764" s="159"/>
      <c r="KW764" s="80"/>
      <c r="KX764" s="80"/>
      <c r="KY764" s="80"/>
      <c r="KZ764" s="3"/>
      <c r="LA764" s="3"/>
      <c r="LB764" s="3"/>
      <c r="LC764" s="3"/>
      <c r="LD764" s="3"/>
      <c r="LE764" s="3"/>
      <c r="LF764" s="3"/>
      <c r="LG764" s="3"/>
      <c r="LH764" s="132"/>
      <c r="LI764" s="132"/>
      <c r="LJ764" s="132"/>
      <c r="LK764" s="132"/>
      <c r="LL764" s="132"/>
      <c r="LM764" s="80"/>
      <c r="LN764" s="132"/>
      <c r="LO764" s="132"/>
      <c r="LP764" s="132"/>
      <c r="LQ764" s="80"/>
      <c r="LR764" s="80"/>
      <c r="LS764" s="80"/>
      <c r="LT764" s="80"/>
      <c r="LU764" s="80"/>
      <c r="LV764" s="80"/>
      <c r="LW764" s="80"/>
      <c r="LX764" s="80"/>
      <c r="LY764" s="80"/>
      <c r="LZ764" s="80"/>
      <c r="MA764" s="80"/>
      <c r="MB764" s="80"/>
      <c r="MC764" s="80"/>
      <c r="MD764" s="80"/>
      <c r="ME764" s="80"/>
      <c r="MF764" s="80"/>
      <c r="MG764" s="80"/>
      <c r="MH764" s="80"/>
      <c r="MI764" s="80"/>
      <c r="MJ764" s="80"/>
      <c r="MK764" s="80"/>
      <c r="ML764" s="80"/>
      <c r="MM764" s="80"/>
      <c r="MN764" s="80"/>
      <c r="MO764" s="80"/>
      <c r="MP764" s="80"/>
      <c r="MQ764" s="80"/>
      <c r="MR764" s="80"/>
      <c r="MS764" s="80"/>
      <c r="MT764" s="80"/>
      <c r="MU764" s="80"/>
      <c r="MV764" s="80"/>
      <c r="MW764" s="80"/>
      <c r="MX764" s="80"/>
      <c r="MY764" s="133" t="s">
        <v>1468</v>
      </c>
      <c r="MZ764" s="80">
        <v>64</v>
      </c>
      <c r="NA764" s="133" t="s">
        <v>1488</v>
      </c>
      <c r="NB764" s="144" t="s">
        <v>1489</v>
      </c>
      <c r="NC764" s="144"/>
      <c r="ND764" s="144"/>
      <c r="NE764" s="144"/>
      <c r="NF764" s="144"/>
      <c r="NG764" s="144" t="s">
        <v>686</v>
      </c>
      <c r="NH764" s="78" t="s">
        <v>687</v>
      </c>
      <c r="NI764" s="133"/>
      <c r="NJ764" s="133" t="s">
        <v>1488</v>
      </c>
      <c r="NK764" s="133" t="s">
        <v>1490</v>
      </c>
      <c r="NL764" t="s">
        <v>689</v>
      </c>
      <c r="NM764" s="145" t="s">
        <v>1491</v>
      </c>
      <c r="NN764" s="133"/>
      <c r="NO764" s="133"/>
      <c r="NP764" s="133"/>
      <c r="NQ764" s="133"/>
      <c r="NR764" s="133"/>
      <c r="NS764" s="133"/>
      <c r="NT764" s="133"/>
      <c r="NU764" s="133" t="s">
        <v>536</v>
      </c>
      <c r="NV764" s="146" t="s">
        <v>518</v>
      </c>
      <c r="NW764" s="153">
        <v>1932.7</v>
      </c>
      <c r="NX764" s="146" t="s">
        <v>520</v>
      </c>
      <c r="NY764" s="86">
        <v>121</v>
      </c>
      <c r="NZ764" s="160"/>
      <c r="OA764" s="80"/>
      <c r="OB764" s="133">
        <v>4</v>
      </c>
      <c r="OC764" s="2"/>
      <c r="OD764" s="2"/>
      <c r="OG764" s="80"/>
      <c r="OH764" s="80"/>
      <c r="OI764" s="80"/>
      <c r="OJ764" s="80"/>
      <c r="OK764" s="80"/>
      <c r="OL764" s="80"/>
      <c r="OM764" s="144"/>
      <c r="ON764" s="144"/>
      <c r="OO764" s="144"/>
      <c r="OP764" s="144"/>
      <c r="OQ764" s="144"/>
      <c r="OR764" s="144"/>
      <c r="OS764" s="144"/>
      <c r="OT764" s="144"/>
      <c r="OU764" s="133" t="s">
        <v>1276</v>
      </c>
      <c r="OV764" s="80"/>
      <c r="OW764" s="80">
        <v>2007</v>
      </c>
      <c r="OX764" s="80"/>
      <c r="OY764" s="80"/>
      <c r="OZ764" s="80" t="s">
        <v>709</v>
      </c>
      <c r="PA764" s="80"/>
      <c r="PB764" t="s">
        <v>522</v>
      </c>
      <c r="PC764" s="50">
        <v>46134</v>
      </c>
      <c r="PD764" s="127"/>
    </row>
    <row r="765" spans="1:420" ht="15.75" thickBot="1">
      <c r="A765" t="s">
        <v>469</v>
      </c>
      <c r="B765" t="s">
        <v>1459</v>
      </c>
      <c r="C765" s="80" t="s">
        <v>667</v>
      </c>
      <c r="D765" s="132" t="s">
        <v>950</v>
      </c>
      <c r="E765" s="2" t="s">
        <v>1460</v>
      </c>
      <c r="F765" t="s">
        <v>1179</v>
      </c>
      <c r="G765" s="80" t="s">
        <v>475</v>
      </c>
      <c r="H765" s="132" t="s">
        <v>476</v>
      </c>
      <c r="I765">
        <v>-0.41666666699999999</v>
      </c>
      <c r="J765">
        <v>34.200000000000003</v>
      </c>
      <c r="K765" s="132">
        <v>100</v>
      </c>
      <c r="L765" s="2"/>
      <c r="M765" s="88"/>
      <c r="N765" s="2"/>
      <c r="O765" s="80"/>
      <c r="P765" s="2"/>
      <c r="Q765" s="2"/>
      <c r="R765" s="80"/>
      <c r="S765" s="80"/>
      <c r="T765" s="80"/>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c r="AV765" s="80" t="s">
        <v>1461</v>
      </c>
      <c r="AW765" s="80">
        <v>64</v>
      </c>
      <c r="AX765" s="80">
        <v>0.09</v>
      </c>
      <c r="AY765" s="80">
        <v>1</v>
      </c>
      <c r="AZ765" s="133" t="s">
        <v>1462</v>
      </c>
      <c r="BA765" s="133">
        <v>2007</v>
      </c>
      <c r="BB765" s="133">
        <v>2008</v>
      </c>
      <c r="BC765" s="133" t="s">
        <v>709</v>
      </c>
      <c r="BD765" s="2" t="s">
        <v>1473</v>
      </c>
      <c r="BE765" s="2" t="s">
        <v>536</v>
      </c>
      <c r="BF765" s="133" t="s">
        <v>484</v>
      </c>
      <c r="BG765" s="2" t="s">
        <v>1464</v>
      </c>
      <c r="BH765" s="133" t="s">
        <v>480</v>
      </c>
      <c r="BI765" s="134" t="s">
        <v>486</v>
      </c>
      <c r="BJ765" s="135">
        <v>55500</v>
      </c>
      <c r="BK765" s="2" t="s">
        <v>537</v>
      </c>
      <c r="BL765" t="s">
        <v>1474</v>
      </c>
      <c r="BM765" s="133" t="s">
        <v>480</v>
      </c>
      <c r="BN765" s="2" t="s">
        <v>486</v>
      </c>
      <c r="BO765" s="2">
        <v>55000</v>
      </c>
      <c r="BP765" s="2"/>
      <c r="BQ765" s="2"/>
      <c r="BR765" s="2"/>
      <c r="BS765" s="2"/>
      <c r="BT765" s="2"/>
      <c r="BU765" s="2"/>
      <c r="BV765" s="3"/>
      <c r="BW765" s="3"/>
      <c r="BX765" s="3"/>
      <c r="BY765" s="3"/>
      <c r="BZ765" s="3"/>
      <c r="CA765" s="3"/>
      <c r="CB765" s="3"/>
      <c r="CC765" s="3"/>
      <c r="CD765" s="3"/>
      <c r="CE765" s="3"/>
      <c r="CF765" s="3"/>
      <c r="CG765" s="3"/>
      <c r="CH765" s="3"/>
      <c r="CI765" s="3"/>
      <c r="CJ765" s="3"/>
      <c r="CK765" s="3"/>
      <c r="CL765" s="3"/>
      <c r="CM765" s="3"/>
      <c r="CN765" s="3"/>
      <c r="CO765" s="3"/>
      <c r="CP765" s="3"/>
      <c r="CQ765" s="3"/>
      <c r="CR765" s="3"/>
      <c r="CS765" s="3"/>
      <c r="CT765" s="3"/>
      <c r="CU765" s="3"/>
      <c r="CV765" s="3"/>
      <c r="CW765" s="3"/>
      <c r="CX765" s="3"/>
      <c r="CY765" s="3"/>
      <c r="CZ765" s="3"/>
      <c r="DA765" s="3"/>
      <c r="DB765" s="3"/>
      <c r="DC765" s="3"/>
      <c r="DD765" s="3"/>
      <c r="DE765" s="3"/>
      <c r="DF765" s="3"/>
      <c r="DG765" s="3"/>
      <c r="DH765" s="3"/>
      <c r="DI765" s="3"/>
      <c r="DJ765" s="3"/>
      <c r="DK765" s="3"/>
      <c r="DL765" s="3"/>
      <c r="DM765" s="3"/>
      <c r="DN765" s="3"/>
      <c r="DO765" s="3"/>
      <c r="DP765" s="3"/>
      <c r="DQ765" s="3"/>
      <c r="DR765" s="3"/>
      <c r="DS765" s="3"/>
      <c r="DT765" s="3"/>
      <c r="DU765" s="3"/>
      <c r="DV765" s="3"/>
      <c r="DW765" s="3"/>
      <c r="DX765" s="3"/>
      <c r="DY765" s="3"/>
      <c r="DZ765" s="3"/>
      <c r="EA765" s="3"/>
      <c r="EB765" s="3"/>
      <c r="EC765" s="3"/>
      <c r="ED765" s="2"/>
      <c r="EE765" s="2"/>
      <c r="EF765" s="2"/>
      <c r="EG765" s="2"/>
      <c r="EH765" s="2"/>
      <c r="EI765" s="2"/>
      <c r="EJ765" s="2"/>
      <c r="EK765" s="2"/>
      <c r="EL765" s="3"/>
      <c r="EM765" s="3"/>
      <c r="EN765" s="3"/>
      <c r="EO765" s="3"/>
      <c r="EP765" s="3"/>
      <c r="EQ765" s="3"/>
      <c r="ER765" s="3"/>
      <c r="ES765" s="3"/>
      <c r="ET765" s="3"/>
      <c r="EU765" s="3"/>
      <c r="EV765" s="3"/>
      <c r="EW765" s="3"/>
      <c r="EX765" s="3"/>
      <c r="EY765" s="3"/>
      <c r="EZ765" s="3"/>
      <c r="FA765" s="3"/>
      <c r="FB765" s="3"/>
      <c r="FC765" s="3"/>
      <c r="FD765" s="3"/>
      <c r="FE765" s="3"/>
      <c r="FF765" s="3"/>
      <c r="FG765" s="3"/>
      <c r="FH765" s="3"/>
      <c r="FI765" s="3"/>
      <c r="FJ765" s="3"/>
      <c r="FK765" s="3"/>
      <c r="FL765" s="3"/>
      <c r="FM765" s="3"/>
      <c r="FN765" s="3"/>
      <c r="FO765" s="3"/>
      <c r="FP765" s="3"/>
      <c r="FQ765" s="3"/>
      <c r="FR765" s="3"/>
      <c r="FS765" s="3"/>
      <c r="FT765" s="3"/>
      <c r="FU765" s="3"/>
      <c r="FV765" s="3"/>
      <c r="FW765" s="3"/>
      <c r="FX765" s="3"/>
      <c r="FY765" s="3"/>
      <c r="FZ765" s="3"/>
      <c r="GA765" s="3"/>
      <c r="GB765" s="3"/>
      <c r="GC765" s="3"/>
      <c r="GD765" s="3"/>
      <c r="GE765" s="3"/>
      <c r="GF765" s="3"/>
      <c r="GG765" s="3"/>
      <c r="GH765" s="3"/>
      <c r="GI765" s="3"/>
      <c r="GJ765" s="3"/>
      <c r="GK765" s="3"/>
      <c r="GL765" s="3"/>
      <c r="GM765" s="3"/>
      <c r="GN765" s="3"/>
      <c r="GO765" s="3"/>
      <c r="GP765" s="3"/>
      <c r="GQ765" s="3"/>
      <c r="GR765" s="3"/>
      <c r="GS765" s="3"/>
      <c r="GT765" s="3"/>
      <c r="GU765" s="3"/>
      <c r="GV765" s="3"/>
      <c r="GW765" s="3"/>
      <c r="GX765" s="3"/>
      <c r="GY765" s="3"/>
      <c r="GZ765" s="3"/>
      <c r="HA765" s="3"/>
      <c r="HB765" s="3"/>
      <c r="HC765" s="3"/>
      <c r="HD765" s="3"/>
      <c r="HE765" s="3"/>
      <c r="HF765" s="3"/>
      <c r="HG765" s="3"/>
      <c r="HH765" s="3"/>
      <c r="HI765" s="3"/>
      <c r="HJ765" s="3"/>
      <c r="HK765" s="2"/>
      <c r="HL765" s="2"/>
      <c r="HM765" s="2"/>
      <c r="HN765" s="2"/>
      <c r="HO765" s="2"/>
      <c r="HP765" s="2"/>
      <c r="HQ765" s="2"/>
      <c r="HR765" s="2"/>
      <c r="HS765" s="88"/>
      <c r="HT765" s="2"/>
      <c r="HU765" s="2"/>
      <c r="HV765" s="2"/>
      <c r="HW765" s="2"/>
      <c r="HX765" s="2"/>
      <c r="HY765" s="2"/>
      <c r="HZ765" s="2"/>
      <c r="IA765" s="2"/>
      <c r="IB765" s="2"/>
      <c r="IC765" s="2"/>
      <c r="ID765" s="2"/>
      <c r="IE765" s="2"/>
      <c r="IF765" s="2"/>
      <c r="IG765" s="2"/>
      <c r="IH765" s="133" t="s">
        <v>1465</v>
      </c>
      <c r="II765" s="75" t="s">
        <v>929</v>
      </c>
      <c r="IJ765" s="149" t="s">
        <v>983</v>
      </c>
      <c r="IK765" s="150" t="s">
        <v>543</v>
      </c>
      <c r="IL765" s="2">
        <v>2007</v>
      </c>
      <c r="IM765" s="2" t="s">
        <v>692</v>
      </c>
      <c r="IN765" s="2" t="s">
        <v>480</v>
      </c>
      <c r="IQ765" s="2"/>
      <c r="IR765" s="2"/>
      <c r="IS765" s="2"/>
      <c r="IT765" s="2"/>
      <c r="IU765" s="2"/>
      <c r="IV765" s="2"/>
      <c r="IW765" s="2"/>
      <c r="IX765" s="2"/>
      <c r="IY765" s="2"/>
      <c r="IZ765" s="2"/>
      <c r="JA765" s="2"/>
      <c r="JB765" s="2"/>
      <c r="JC765" s="2"/>
      <c r="JD765" s="2"/>
      <c r="JE765" s="2"/>
      <c r="JF765" s="2"/>
      <c r="JG765" s="2"/>
      <c r="JH765" s="2"/>
      <c r="JI765" s="2"/>
      <c r="JJ765" s="2"/>
      <c r="JK765" s="2"/>
      <c r="JL765" s="139" t="s">
        <v>495</v>
      </c>
      <c r="JM765" s="140" t="s">
        <v>1466</v>
      </c>
      <c r="JN765" s="140" t="s">
        <v>1467</v>
      </c>
      <c r="JO765" s="140" t="s">
        <v>1467</v>
      </c>
      <c r="JR765" s="2"/>
      <c r="JS765" s="2"/>
      <c r="JT765" s="2"/>
      <c r="JU765" s="2"/>
      <c r="JV765" s="2"/>
      <c r="JW765" s="2"/>
      <c r="JX765" s="2"/>
      <c r="JY765" s="141"/>
      <c r="JZ765" s="151"/>
      <c r="KA765" s="88"/>
      <c r="KB765" s="2"/>
      <c r="KC765" s="88"/>
      <c r="KD765" s="2"/>
      <c r="KE765" s="2"/>
      <c r="KF765" s="2"/>
      <c r="KG765" s="88"/>
      <c r="KH765" s="2"/>
      <c r="KI765" s="148"/>
      <c r="KJ765" s="152"/>
      <c r="KK765" s="2"/>
      <c r="KL765" s="2"/>
      <c r="KM765" s="2"/>
      <c r="KN765" s="2"/>
      <c r="KO765" s="88"/>
      <c r="KP765" s="2"/>
      <c r="KQ765" s="148"/>
      <c r="KR765" s="152"/>
      <c r="KS765" s="2"/>
      <c r="KT765" s="2"/>
      <c r="KU765" s="143"/>
      <c r="KV765" s="161"/>
      <c r="KW765" s="2"/>
      <c r="KX765" s="2"/>
      <c r="KY765" s="2"/>
      <c r="KZ765" s="3"/>
      <c r="LA765" s="3"/>
      <c r="LB765" s="3"/>
      <c r="LC765" s="3"/>
      <c r="LD765" s="3"/>
      <c r="LE765" s="3"/>
      <c r="LF765" s="3"/>
      <c r="LG765" s="3"/>
      <c r="LH765" s="88"/>
      <c r="LI765" s="88"/>
      <c r="LJ765" s="88"/>
      <c r="LK765" s="88"/>
      <c r="LL765" s="88"/>
      <c r="LM765" s="2"/>
      <c r="LN765" s="88"/>
      <c r="LO765" s="88"/>
      <c r="LP765" s="88"/>
      <c r="LQ765" s="2"/>
      <c r="LR765" s="2"/>
      <c r="LS765" s="2"/>
      <c r="LT765" s="2"/>
      <c r="LU765" s="2"/>
      <c r="LV765" s="2"/>
      <c r="LW765" s="2"/>
      <c r="LX765" s="2"/>
      <c r="LY765" s="2"/>
      <c r="LZ765" s="2"/>
      <c r="MA765" s="2"/>
      <c r="MB765" s="2"/>
      <c r="MC765" s="2"/>
      <c r="MD765" s="2"/>
      <c r="ME765" s="2"/>
      <c r="MF765" s="2"/>
      <c r="MG765" s="2"/>
      <c r="MH765" s="2"/>
      <c r="MI765" s="2"/>
      <c r="MJ765" s="2"/>
      <c r="MK765" s="2"/>
      <c r="ML765" s="2"/>
      <c r="MM765" s="2"/>
      <c r="MN765" s="2"/>
      <c r="MO765" s="2"/>
      <c r="MP765" s="2"/>
      <c r="MQ765" s="2"/>
      <c r="MR765" s="2"/>
      <c r="MS765" s="2"/>
      <c r="MT765" s="2"/>
      <c r="MU765" s="2"/>
      <c r="MV765" s="2"/>
      <c r="MW765" s="2"/>
      <c r="MX765" s="2"/>
      <c r="MY765" s="133" t="s">
        <v>1468</v>
      </c>
      <c r="MZ765" s="80">
        <v>64</v>
      </c>
      <c r="NA765" s="133" t="s">
        <v>1488</v>
      </c>
      <c r="NB765" s="144" t="s">
        <v>1489</v>
      </c>
      <c r="NC765" s="144"/>
      <c r="ND765" s="144"/>
      <c r="NE765" s="144"/>
      <c r="NF765" s="144"/>
      <c r="NG765" s="144" t="s">
        <v>686</v>
      </c>
      <c r="NH765" s="78" t="s">
        <v>687</v>
      </c>
      <c r="NI765" s="133"/>
      <c r="NJ765" s="133" t="s">
        <v>1488</v>
      </c>
      <c r="NK765" s="133" t="s">
        <v>1490</v>
      </c>
      <c r="NL765" t="s">
        <v>689</v>
      </c>
      <c r="NM765" s="145" t="s">
        <v>1491</v>
      </c>
      <c r="NN765" s="133"/>
      <c r="NO765" s="133"/>
      <c r="NP765" s="133"/>
      <c r="NQ765" s="133"/>
      <c r="NR765" s="133"/>
      <c r="NS765" s="133"/>
      <c r="NT765" s="133"/>
      <c r="NU765" s="133"/>
      <c r="NV765" s="146" t="s">
        <v>518</v>
      </c>
      <c r="NW765" s="153">
        <v>10.1</v>
      </c>
      <c r="NX765" s="146" t="s">
        <v>520</v>
      </c>
      <c r="NY765" s="153">
        <v>3</v>
      </c>
      <c r="NZ765" s="154"/>
      <c r="OA765" s="2"/>
      <c r="OB765" s="133">
        <v>4</v>
      </c>
      <c r="OC765" s="80"/>
      <c r="OD765" s="80"/>
      <c r="OG765" s="2"/>
      <c r="OH765" s="2"/>
      <c r="OI765" s="2"/>
      <c r="OJ765" s="2"/>
      <c r="OK765" s="2"/>
      <c r="OL765" s="2"/>
      <c r="OU765" s="133" t="s">
        <v>1276</v>
      </c>
      <c r="OV765" s="2"/>
      <c r="OW765" s="2">
        <v>2007</v>
      </c>
      <c r="OX765" s="2"/>
      <c r="OY765" s="2"/>
      <c r="OZ765" s="2" t="s">
        <v>709</v>
      </c>
      <c r="PA765" s="2"/>
      <c r="PB765" t="s">
        <v>522</v>
      </c>
      <c r="PC765" s="50">
        <v>46134</v>
      </c>
      <c r="PD765" s="127"/>
    </row>
    <row r="766" spans="1:420" ht="15.75" thickBot="1">
      <c r="A766" t="s">
        <v>469</v>
      </c>
      <c r="B766" t="s">
        <v>1459</v>
      </c>
      <c r="C766" s="80" t="s">
        <v>667</v>
      </c>
      <c r="D766" s="132" t="s">
        <v>950</v>
      </c>
      <c r="E766" s="2" t="s">
        <v>1460</v>
      </c>
      <c r="F766" t="s">
        <v>1179</v>
      </c>
      <c r="G766" s="80" t="s">
        <v>475</v>
      </c>
      <c r="H766" s="132" t="s">
        <v>476</v>
      </c>
      <c r="I766">
        <v>-0.41666666699999999</v>
      </c>
      <c r="J766">
        <v>34.200000000000003</v>
      </c>
      <c r="K766" s="132">
        <v>100</v>
      </c>
      <c r="L766" s="80"/>
      <c r="M766" s="132"/>
      <c r="N766" s="80"/>
      <c r="O766" s="80"/>
      <c r="P766" s="80"/>
      <c r="Q766" s="80"/>
      <c r="R766" s="80"/>
      <c r="S766" s="80"/>
      <c r="T766" s="80"/>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c r="AV766" s="80" t="s">
        <v>1461</v>
      </c>
      <c r="AW766" s="80">
        <v>64</v>
      </c>
      <c r="AX766" s="80">
        <v>0.09</v>
      </c>
      <c r="AY766" s="80">
        <v>1</v>
      </c>
      <c r="AZ766" s="133" t="s">
        <v>1462</v>
      </c>
      <c r="BA766" s="133">
        <v>2007</v>
      </c>
      <c r="BB766" s="133">
        <v>2008</v>
      </c>
      <c r="BC766" s="133" t="s">
        <v>692</v>
      </c>
      <c r="BD766" s="133" t="s">
        <v>1463</v>
      </c>
      <c r="BE766" s="133" t="s">
        <v>524</v>
      </c>
      <c r="BF766" s="133" t="s">
        <v>484</v>
      </c>
      <c r="BG766" s="133" t="s">
        <v>1464</v>
      </c>
      <c r="BH766" s="133" t="s">
        <v>480</v>
      </c>
      <c r="BI766" s="134" t="s">
        <v>486</v>
      </c>
      <c r="BJ766" s="135">
        <v>111000</v>
      </c>
      <c r="BK766" s="80"/>
      <c r="BL766" s="80"/>
      <c r="BM766" s="80"/>
      <c r="BN766" s="132"/>
      <c r="BO766" s="155"/>
      <c r="BP766" s="80"/>
      <c r="BQ766" s="80"/>
      <c r="BR766" s="80"/>
      <c r="BS766" s="132"/>
      <c r="BT766" s="155"/>
      <c r="BU766" s="80"/>
      <c r="BV766" s="3"/>
      <c r="BW766" s="3"/>
      <c r="BX766" s="3"/>
      <c r="BY766" s="3"/>
      <c r="BZ766" s="3"/>
      <c r="CA766" s="3"/>
      <c r="CB766" s="3"/>
      <c r="CC766" s="3"/>
      <c r="CD766" s="3"/>
      <c r="CE766" s="3"/>
      <c r="CF766" s="3"/>
      <c r="CG766" s="3"/>
      <c r="CH766" s="3"/>
      <c r="CI766" s="3"/>
      <c r="CJ766" s="3"/>
      <c r="CK766" s="3"/>
      <c r="CL766" s="3"/>
      <c r="CM766" s="3"/>
      <c r="CN766" s="3"/>
      <c r="CO766" s="3"/>
      <c r="CP766" s="3"/>
      <c r="CQ766" s="3"/>
      <c r="CR766" s="3"/>
      <c r="CS766" s="3"/>
      <c r="CT766" s="3"/>
      <c r="CU766" s="3"/>
      <c r="CV766" s="3"/>
      <c r="CW766" s="3"/>
      <c r="CX766" s="3"/>
      <c r="CY766" s="3"/>
      <c r="CZ766" s="3"/>
      <c r="DA766" s="3"/>
      <c r="DB766" s="3"/>
      <c r="DC766" s="3"/>
      <c r="DD766" s="3"/>
      <c r="DE766" s="3"/>
      <c r="DF766" s="3"/>
      <c r="DG766" s="3"/>
      <c r="DH766" s="3"/>
      <c r="DI766" s="3"/>
      <c r="DJ766" s="3"/>
      <c r="DK766" s="3"/>
      <c r="DL766" s="3"/>
      <c r="DM766" s="3"/>
      <c r="DN766" s="3"/>
      <c r="DO766" s="3"/>
      <c r="DP766" s="3"/>
      <c r="DQ766" s="3"/>
      <c r="DR766" s="3"/>
      <c r="DS766" s="3"/>
      <c r="DT766" s="3"/>
      <c r="DU766" s="3"/>
      <c r="DV766" s="3"/>
      <c r="DW766" s="3"/>
      <c r="DX766" s="3"/>
      <c r="DY766" s="3"/>
      <c r="DZ766" s="3"/>
      <c r="EA766" s="3"/>
      <c r="EB766" s="3"/>
      <c r="EC766" s="3"/>
      <c r="ED766" s="80"/>
      <c r="EE766" s="80"/>
      <c r="EF766" s="80"/>
      <c r="EG766" s="80"/>
      <c r="EH766" s="80"/>
      <c r="EI766" s="80"/>
      <c r="EJ766" s="80"/>
      <c r="EK766" s="80"/>
      <c r="EL766" s="3"/>
      <c r="EM766" s="3"/>
      <c r="EN766" s="3"/>
      <c r="EO766" s="3"/>
      <c r="EP766" s="3"/>
      <c r="EQ766" s="3"/>
      <c r="ER766" s="3"/>
      <c r="ES766" s="3"/>
      <c r="ET766" s="3"/>
      <c r="EU766" s="3"/>
      <c r="EV766" s="3"/>
      <c r="EW766" s="3"/>
      <c r="EX766" s="3"/>
      <c r="EY766" s="3"/>
      <c r="EZ766" s="3"/>
      <c r="FA766" s="3"/>
      <c r="FB766" s="3"/>
      <c r="FC766" s="3"/>
      <c r="FD766" s="3"/>
      <c r="FE766" s="3"/>
      <c r="FF766" s="3"/>
      <c r="FG766" s="3"/>
      <c r="FH766" s="3"/>
      <c r="FI766" s="3"/>
      <c r="FJ766" s="3"/>
      <c r="FK766" s="3"/>
      <c r="FL766" s="3"/>
      <c r="FM766" s="3"/>
      <c r="FN766" s="3"/>
      <c r="FO766" s="3"/>
      <c r="FP766" s="3"/>
      <c r="FQ766" s="3"/>
      <c r="FR766" s="3"/>
      <c r="FS766" s="3"/>
      <c r="FT766" s="3"/>
      <c r="FU766" s="3"/>
      <c r="FV766" s="3"/>
      <c r="FW766" s="3"/>
      <c r="FX766" s="3"/>
      <c r="FY766" s="3"/>
      <c r="FZ766" s="3"/>
      <c r="GA766" s="3"/>
      <c r="GB766" s="3"/>
      <c r="GC766" s="3"/>
      <c r="GD766" s="3"/>
      <c r="GE766" s="3"/>
      <c r="GF766" s="3"/>
      <c r="GG766" s="3"/>
      <c r="GH766" s="3"/>
      <c r="GI766" s="3"/>
      <c r="GJ766" s="3"/>
      <c r="GK766" s="3"/>
      <c r="GL766" s="3"/>
      <c r="GM766" s="3"/>
      <c r="GN766" s="3"/>
      <c r="GO766" s="3"/>
      <c r="GP766" s="3"/>
      <c r="GQ766" s="3"/>
      <c r="GR766" s="3"/>
      <c r="GS766" s="3"/>
      <c r="GT766" s="3"/>
      <c r="GU766" s="3"/>
      <c r="GV766" s="3"/>
      <c r="GW766" s="3"/>
      <c r="GX766" s="3"/>
      <c r="GY766" s="3"/>
      <c r="GZ766" s="3"/>
      <c r="HA766" s="3"/>
      <c r="HB766" s="3"/>
      <c r="HC766" s="3"/>
      <c r="HD766" s="3"/>
      <c r="HE766" s="3"/>
      <c r="HF766" s="3"/>
      <c r="HG766" s="3"/>
      <c r="HH766" s="3"/>
      <c r="HI766" s="3"/>
      <c r="HJ766" s="3"/>
      <c r="HK766" s="80"/>
      <c r="HL766" s="80"/>
      <c r="HM766" s="80"/>
      <c r="HN766" s="80"/>
      <c r="HO766" s="80"/>
      <c r="HP766" s="80"/>
      <c r="HQ766" s="80"/>
      <c r="HR766" s="80"/>
      <c r="HS766" s="132"/>
      <c r="HT766" s="80"/>
      <c r="HU766" s="80"/>
      <c r="HV766" s="80"/>
      <c r="HW766" s="80"/>
      <c r="HX766" s="80"/>
      <c r="HY766" s="80"/>
      <c r="HZ766" s="80"/>
      <c r="IA766" s="80"/>
      <c r="IB766" s="80"/>
      <c r="IC766" s="80"/>
      <c r="ID766" s="80"/>
      <c r="IE766" s="80"/>
      <c r="IF766" s="80"/>
      <c r="IG766" s="80"/>
      <c r="IH766" s="133" t="s">
        <v>1465</v>
      </c>
      <c r="II766" s="137" t="s">
        <v>492</v>
      </c>
      <c r="IJ766" s="80"/>
      <c r="IK766" s="80"/>
      <c r="IL766" s="80"/>
      <c r="IM766" s="80"/>
      <c r="IN766" s="80"/>
      <c r="IQ766" s="80"/>
      <c r="IR766" s="80"/>
      <c r="IS766" s="80"/>
      <c r="IT766" s="80"/>
      <c r="IU766" s="80"/>
      <c r="IV766" s="80"/>
      <c r="IW766" s="132"/>
      <c r="IX766" s="80"/>
      <c r="IY766" s="80"/>
      <c r="IZ766" s="80"/>
      <c r="JA766" s="80"/>
      <c r="JB766" s="80"/>
      <c r="JC766" s="80"/>
      <c r="JD766" s="80"/>
      <c r="JE766" s="80"/>
      <c r="JF766" s="80"/>
      <c r="JG766" s="80"/>
      <c r="JH766" s="80"/>
      <c r="JI766" s="80"/>
      <c r="JJ766" s="80"/>
      <c r="JK766" s="80"/>
      <c r="JL766" s="139" t="s">
        <v>495</v>
      </c>
      <c r="JM766" s="140" t="s">
        <v>1466</v>
      </c>
      <c r="JN766" s="140" t="s">
        <v>1467</v>
      </c>
      <c r="JO766" s="140" t="s">
        <v>1467</v>
      </c>
      <c r="JR766" s="80"/>
      <c r="JS766" s="80"/>
      <c r="JT766" s="80"/>
      <c r="JU766" s="80"/>
      <c r="JV766" s="80"/>
      <c r="JW766" s="80"/>
      <c r="JX766" s="80"/>
      <c r="JY766" s="141"/>
      <c r="JZ766" s="139"/>
      <c r="KA766" s="132"/>
      <c r="KB766" s="80"/>
      <c r="KC766" s="132"/>
      <c r="KD766" s="80"/>
      <c r="KE766" s="80"/>
      <c r="KF766" s="80"/>
      <c r="KG766" s="132"/>
      <c r="KH766" s="80"/>
      <c r="KI766" s="137"/>
      <c r="KJ766" s="158"/>
      <c r="KK766" s="80"/>
      <c r="KL766" s="80"/>
      <c r="KM766" s="80"/>
      <c r="KN766" s="80"/>
      <c r="KO766" s="132"/>
      <c r="KP766" s="80"/>
      <c r="KQ766" s="162"/>
      <c r="KR766" s="139"/>
      <c r="KS766" s="80"/>
      <c r="KT766" s="80"/>
      <c r="KU766" s="143"/>
      <c r="KV766" s="158"/>
      <c r="KW766" s="80"/>
      <c r="KX766" s="80"/>
      <c r="KY766" s="80"/>
      <c r="KZ766" s="3"/>
      <c r="LA766" s="3"/>
      <c r="LB766" s="3"/>
      <c r="LC766" s="3"/>
      <c r="LD766" s="3"/>
      <c r="LE766" s="3"/>
      <c r="LF766" s="3"/>
      <c r="LG766" s="3"/>
      <c r="LH766" s="132"/>
      <c r="LI766" s="132"/>
      <c r="LJ766" s="132"/>
      <c r="LK766" s="132"/>
      <c r="LL766" s="132"/>
      <c r="LM766" s="80"/>
      <c r="LN766" s="132"/>
      <c r="LO766" s="132"/>
      <c r="LP766" s="132"/>
      <c r="LQ766" s="80"/>
      <c r="LR766" s="80"/>
      <c r="LS766" s="80"/>
      <c r="LT766" s="80"/>
      <c r="LU766" s="80"/>
      <c r="LV766" s="80"/>
      <c r="LW766" s="80"/>
      <c r="LX766" s="80"/>
      <c r="LY766" s="80"/>
      <c r="LZ766" s="80"/>
      <c r="MA766" s="80"/>
      <c r="MB766" s="80"/>
      <c r="MC766" s="80"/>
      <c r="MD766" s="80"/>
      <c r="ME766" s="80"/>
      <c r="MF766" s="80"/>
      <c r="MG766" s="80"/>
      <c r="MH766" s="80"/>
      <c r="MI766" s="80"/>
      <c r="MJ766" s="80"/>
      <c r="MK766" s="80"/>
      <c r="ML766" s="80"/>
      <c r="MM766" s="80"/>
      <c r="MN766" s="80"/>
      <c r="MO766" s="80"/>
      <c r="MP766" s="80"/>
      <c r="MQ766" s="80"/>
      <c r="MR766" s="80"/>
      <c r="MS766" s="80"/>
      <c r="MT766" s="80"/>
      <c r="MU766" s="80"/>
      <c r="MV766" s="80"/>
      <c r="MW766" s="80"/>
      <c r="MX766" s="80"/>
      <c r="MY766" s="133" t="s">
        <v>1468</v>
      </c>
      <c r="MZ766" s="80">
        <v>64</v>
      </c>
      <c r="NA766" s="133" t="s">
        <v>1488</v>
      </c>
      <c r="NB766" s="144" t="s">
        <v>1489</v>
      </c>
      <c r="NC766" s="144"/>
      <c r="ND766" s="144"/>
      <c r="NE766" s="144"/>
      <c r="NF766" s="144"/>
      <c r="NG766" s="144" t="s">
        <v>686</v>
      </c>
      <c r="NH766" s="78" t="s">
        <v>687</v>
      </c>
      <c r="NI766" s="133"/>
      <c r="NJ766" s="133" t="s">
        <v>1488</v>
      </c>
      <c r="NK766" s="133" t="s">
        <v>1490</v>
      </c>
      <c r="NL766" t="s">
        <v>689</v>
      </c>
      <c r="NM766" s="145" t="s">
        <v>1491</v>
      </c>
      <c r="NN766" s="133"/>
      <c r="NO766" s="133"/>
      <c r="NP766" s="133"/>
      <c r="NQ766" s="133"/>
      <c r="NR766" s="133"/>
      <c r="NS766" s="133"/>
      <c r="NT766" s="133"/>
      <c r="NU766" s="133" t="s">
        <v>536</v>
      </c>
      <c r="NV766" s="146" t="s">
        <v>518</v>
      </c>
      <c r="NW766" s="153">
        <v>283.5</v>
      </c>
      <c r="NX766" s="146" t="s">
        <v>520</v>
      </c>
      <c r="NY766" s="86">
        <v>12</v>
      </c>
      <c r="NZ766" s="160"/>
      <c r="OA766" s="80"/>
      <c r="OB766" s="133">
        <v>4</v>
      </c>
      <c r="OC766" s="2"/>
      <c r="OD766" s="2"/>
      <c r="OG766" s="80"/>
      <c r="OH766" s="80"/>
      <c r="OI766" s="80"/>
      <c r="OJ766" s="80"/>
      <c r="OK766" s="80"/>
      <c r="OL766" s="80"/>
      <c r="OM766" s="144"/>
      <c r="ON766" s="144"/>
      <c r="OO766" s="144"/>
      <c r="OP766" s="144"/>
      <c r="OQ766" s="144"/>
      <c r="OR766" s="144"/>
      <c r="OS766" s="144"/>
      <c r="OT766" s="144"/>
      <c r="OU766" s="133" t="s">
        <v>1276</v>
      </c>
      <c r="OV766" s="80"/>
      <c r="OW766" s="80">
        <v>2008</v>
      </c>
      <c r="OX766" s="80"/>
      <c r="OY766" s="80"/>
      <c r="OZ766" s="133" t="s">
        <v>692</v>
      </c>
      <c r="PA766" s="80"/>
      <c r="PB766" t="s">
        <v>522</v>
      </c>
      <c r="PC766" s="50">
        <v>46134</v>
      </c>
      <c r="PD766" s="127"/>
    </row>
    <row r="767" spans="1:420" ht="15.75" thickBot="1">
      <c r="A767" t="s">
        <v>469</v>
      </c>
      <c r="B767" t="s">
        <v>1459</v>
      </c>
      <c r="C767" s="80" t="s">
        <v>667</v>
      </c>
      <c r="D767" s="132" t="s">
        <v>950</v>
      </c>
      <c r="E767" s="2" t="s">
        <v>1460</v>
      </c>
      <c r="F767" t="s">
        <v>1179</v>
      </c>
      <c r="G767" s="80" t="s">
        <v>475</v>
      </c>
      <c r="H767" s="132" t="s">
        <v>476</v>
      </c>
      <c r="I767">
        <v>-0.41666666699999999</v>
      </c>
      <c r="J767">
        <v>34.200000000000003</v>
      </c>
      <c r="K767" s="132">
        <v>100</v>
      </c>
      <c r="L767" s="2"/>
      <c r="M767" s="88"/>
      <c r="N767" s="2"/>
      <c r="O767" s="80"/>
      <c r="P767" s="2"/>
      <c r="Q767" s="2"/>
      <c r="R767" s="80"/>
      <c r="S767" s="80"/>
      <c r="T767" s="80"/>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c r="AV767" s="80" t="s">
        <v>1461</v>
      </c>
      <c r="AW767" s="80">
        <v>64</v>
      </c>
      <c r="AX767" s="80">
        <v>0.09</v>
      </c>
      <c r="AY767" s="80">
        <v>1</v>
      </c>
      <c r="AZ767" s="133" t="s">
        <v>1462</v>
      </c>
      <c r="BA767" s="133">
        <v>2007</v>
      </c>
      <c r="BB767" s="133">
        <v>2008</v>
      </c>
      <c r="BC767" s="133" t="s">
        <v>692</v>
      </c>
      <c r="BD767" s="2" t="s">
        <v>1473</v>
      </c>
      <c r="BE767" s="2" t="s">
        <v>536</v>
      </c>
      <c r="BF767" s="133" t="s">
        <v>484</v>
      </c>
      <c r="BG767" s="2" t="s">
        <v>1464</v>
      </c>
      <c r="BH767" s="133" t="s">
        <v>480</v>
      </c>
      <c r="BI767" s="134" t="s">
        <v>486</v>
      </c>
      <c r="BJ767" s="135">
        <v>55500</v>
      </c>
      <c r="BK767" s="2" t="s">
        <v>537</v>
      </c>
      <c r="BL767" t="s">
        <v>1474</v>
      </c>
      <c r="BM767" s="133" t="s">
        <v>480</v>
      </c>
      <c r="BN767" s="2" t="s">
        <v>486</v>
      </c>
      <c r="BO767" s="2">
        <v>55000</v>
      </c>
      <c r="BP767" s="2"/>
      <c r="BQ767" s="2"/>
      <c r="BR767" s="2"/>
      <c r="BS767" s="88"/>
      <c r="BT767" s="2"/>
      <c r="BU767" s="2"/>
      <c r="BV767" s="3"/>
      <c r="BW767" s="3"/>
      <c r="BX767" s="3"/>
      <c r="BY767" s="3"/>
      <c r="BZ767" s="3"/>
      <c r="CA767" s="3"/>
      <c r="CB767" s="3"/>
      <c r="CC767" s="3"/>
      <c r="CD767" s="3"/>
      <c r="CE767" s="3"/>
      <c r="CF767" s="3"/>
      <c r="CG767" s="3"/>
      <c r="CH767" s="3"/>
      <c r="CI767" s="3"/>
      <c r="CJ767" s="3"/>
      <c r="CK767" s="3"/>
      <c r="CL767" s="3"/>
      <c r="CM767" s="3"/>
      <c r="CN767" s="3"/>
      <c r="CO767" s="3"/>
      <c r="CP767" s="3"/>
      <c r="CQ767" s="3"/>
      <c r="CR767" s="3"/>
      <c r="CS767" s="3"/>
      <c r="CT767" s="3"/>
      <c r="CU767" s="3"/>
      <c r="CV767" s="3"/>
      <c r="CW767" s="3"/>
      <c r="CX767" s="3"/>
      <c r="CY767" s="3"/>
      <c r="CZ767" s="3"/>
      <c r="DA767" s="3"/>
      <c r="DB767" s="3"/>
      <c r="DC767" s="3"/>
      <c r="DD767" s="3"/>
      <c r="DE767" s="3"/>
      <c r="DF767" s="3"/>
      <c r="DG767" s="3"/>
      <c r="DH767" s="3"/>
      <c r="DI767" s="3"/>
      <c r="DJ767" s="3"/>
      <c r="DK767" s="3"/>
      <c r="DL767" s="3"/>
      <c r="DM767" s="3"/>
      <c r="DN767" s="3"/>
      <c r="DO767" s="3"/>
      <c r="DP767" s="3"/>
      <c r="DQ767" s="3"/>
      <c r="DR767" s="3"/>
      <c r="DS767" s="3"/>
      <c r="DT767" s="3"/>
      <c r="DU767" s="3"/>
      <c r="DV767" s="3"/>
      <c r="DW767" s="3"/>
      <c r="DX767" s="3"/>
      <c r="DY767" s="3"/>
      <c r="DZ767" s="3"/>
      <c r="EA767" s="3"/>
      <c r="EB767" s="3"/>
      <c r="EC767" s="3"/>
      <c r="ED767" s="2"/>
      <c r="EE767" s="2"/>
      <c r="EF767" s="2"/>
      <c r="EG767" s="2"/>
      <c r="EH767" s="2"/>
      <c r="EI767" s="2"/>
      <c r="EJ767" s="2"/>
      <c r="EK767" s="2"/>
      <c r="EL767" s="3"/>
      <c r="EM767" s="3"/>
      <c r="EN767" s="3"/>
      <c r="EO767" s="3"/>
      <c r="EP767" s="3"/>
      <c r="EQ767" s="3"/>
      <c r="ER767" s="3"/>
      <c r="ES767" s="3"/>
      <c r="ET767" s="3"/>
      <c r="EU767" s="3"/>
      <c r="EV767" s="3"/>
      <c r="EW767" s="3"/>
      <c r="EX767" s="3"/>
      <c r="EY767" s="3"/>
      <c r="EZ767" s="3"/>
      <c r="FA767" s="3"/>
      <c r="FB767" s="3"/>
      <c r="FC767" s="3"/>
      <c r="FD767" s="3"/>
      <c r="FE767" s="3"/>
      <c r="FF767" s="3"/>
      <c r="FG767" s="3"/>
      <c r="FH767" s="3"/>
      <c r="FI767" s="3"/>
      <c r="FJ767" s="3"/>
      <c r="FK767" s="3"/>
      <c r="FL767" s="3"/>
      <c r="FM767" s="3"/>
      <c r="FN767" s="3"/>
      <c r="FO767" s="3"/>
      <c r="FP767" s="3"/>
      <c r="FQ767" s="3"/>
      <c r="FR767" s="3"/>
      <c r="FS767" s="3"/>
      <c r="FT767" s="3"/>
      <c r="FU767" s="3"/>
      <c r="FV767" s="3"/>
      <c r="FW767" s="3"/>
      <c r="FX767" s="3"/>
      <c r="FY767" s="3"/>
      <c r="FZ767" s="3"/>
      <c r="GA767" s="3"/>
      <c r="GB767" s="3"/>
      <c r="GC767" s="3"/>
      <c r="GD767" s="3"/>
      <c r="GE767" s="3"/>
      <c r="GF767" s="3"/>
      <c r="GG767" s="3"/>
      <c r="GH767" s="3"/>
      <c r="GI767" s="3"/>
      <c r="GJ767" s="3"/>
      <c r="GK767" s="3"/>
      <c r="GL767" s="3"/>
      <c r="GM767" s="3"/>
      <c r="GN767" s="3"/>
      <c r="GO767" s="3"/>
      <c r="GP767" s="3"/>
      <c r="GQ767" s="3"/>
      <c r="GR767" s="3"/>
      <c r="GS767" s="3"/>
      <c r="GT767" s="3"/>
      <c r="GU767" s="3"/>
      <c r="GV767" s="3"/>
      <c r="GW767" s="3"/>
      <c r="GX767" s="3"/>
      <c r="GY767" s="3"/>
      <c r="GZ767" s="3"/>
      <c r="HA767" s="3"/>
      <c r="HB767" s="3"/>
      <c r="HC767" s="3"/>
      <c r="HD767" s="3"/>
      <c r="HE767" s="3"/>
      <c r="HF767" s="3"/>
      <c r="HG767" s="3"/>
      <c r="HH767" s="3"/>
      <c r="HI767" s="3"/>
      <c r="HJ767" s="3"/>
      <c r="HK767" s="2"/>
      <c r="HL767" s="2"/>
      <c r="HM767" s="2"/>
      <c r="HN767" s="2"/>
      <c r="HO767" s="2"/>
      <c r="HP767" s="2"/>
      <c r="HQ767" s="2"/>
      <c r="HR767" s="2"/>
      <c r="HS767" s="88"/>
      <c r="HT767" s="2"/>
      <c r="HU767" s="2"/>
      <c r="HV767" s="2"/>
      <c r="HW767" s="2"/>
      <c r="HX767" s="2"/>
      <c r="HY767" s="2"/>
      <c r="HZ767" s="2"/>
      <c r="IA767" s="2"/>
      <c r="IB767" s="2"/>
      <c r="IC767" s="2"/>
      <c r="ID767" s="2"/>
      <c r="IE767" s="2"/>
      <c r="IF767" s="2"/>
      <c r="IG767" s="2"/>
      <c r="IH767" s="133" t="s">
        <v>1465</v>
      </c>
      <c r="II767" s="75" t="s">
        <v>929</v>
      </c>
      <c r="IJ767" s="149" t="s">
        <v>983</v>
      </c>
      <c r="IK767" s="150" t="s">
        <v>543</v>
      </c>
      <c r="IL767" s="2">
        <v>2007</v>
      </c>
      <c r="IM767" s="2" t="s">
        <v>692</v>
      </c>
      <c r="IN767" s="2" t="s">
        <v>480</v>
      </c>
      <c r="IQ767" s="2"/>
      <c r="IR767" s="2"/>
      <c r="IS767" s="2"/>
      <c r="IT767" s="2"/>
      <c r="IU767" s="2"/>
      <c r="IV767" s="2"/>
      <c r="IW767" s="88"/>
      <c r="IX767" s="2"/>
      <c r="IY767" s="2"/>
      <c r="IZ767" s="2"/>
      <c r="JA767" s="2"/>
      <c r="JB767" s="2"/>
      <c r="JC767" s="2"/>
      <c r="JD767" s="2"/>
      <c r="JE767" s="2"/>
      <c r="JF767" s="2"/>
      <c r="JG767" s="2"/>
      <c r="JH767" s="2"/>
      <c r="JI767" s="2"/>
      <c r="JJ767" s="2"/>
      <c r="JK767" s="2"/>
      <c r="JL767" s="139" t="s">
        <v>495</v>
      </c>
      <c r="JM767" s="140" t="s">
        <v>1466</v>
      </c>
      <c r="JN767" s="140" t="s">
        <v>1467</v>
      </c>
      <c r="JO767" s="140" t="s">
        <v>1467</v>
      </c>
      <c r="JR767" s="2"/>
      <c r="JS767" s="2"/>
      <c r="JT767" s="2"/>
      <c r="JU767" s="2"/>
      <c r="JV767" s="2"/>
      <c r="JW767" s="2"/>
      <c r="JX767" s="2"/>
      <c r="JY767" s="141"/>
      <c r="JZ767" s="151"/>
      <c r="KA767" s="88"/>
      <c r="KB767" s="2"/>
      <c r="KC767" s="88"/>
      <c r="KD767" s="2"/>
      <c r="KE767" s="2"/>
      <c r="KF767" s="2"/>
      <c r="KG767" s="88"/>
      <c r="KH767" s="2"/>
      <c r="KI767" s="148"/>
      <c r="KJ767" s="152"/>
      <c r="KK767" s="2"/>
      <c r="KL767" s="2"/>
      <c r="KM767" s="2"/>
      <c r="KN767" s="2"/>
      <c r="KO767" s="88"/>
      <c r="KP767" s="2"/>
      <c r="KQ767" s="162"/>
      <c r="KR767" s="151"/>
      <c r="KS767" s="2"/>
      <c r="KT767" s="2"/>
      <c r="KU767" s="143"/>
      <c r="KV767" s="152"/>
      <c r="KW767" s="2"/>
      <c r="KX767" s="2"/>
      <c r="KY767" s="2"/>
      <c r="KZ767" s="3"/>
      <c r="LA767" s="3"/>
      <c r="LB767" s="3"/>
      <c r="LC767" s="3"/>
      <c r="LD767" s="3"/>
      <c r="LE767" s="3"/>
      <c r="LF767" s="3"/>
      <c r="LG767" s="3"/>
      <c r="LH767" s="88"/>
      <c r="LI767" s="88"/>
      <c r="LJ767" s="88"/>
      <c r="LK767" s="88"/>
      <c r="LL767" s="88"/>
      <c r="LM767" s="2"/>
      <c r="LN767" s="88"/>
      <c r="LO767" s="88"/>
      <c r="LP767" s="88"/>
      <c r="LQ767" s="2"/>
      <c r="LR767" s="2"/>
      <c r="LS767" s="2"/>
      <c r="LT767" s="2"/>
      <c r="LU767" s="2"/>
      <c r="LV767" s="2"/>
      <c r="LW767" s="2"/>
      <c r="LX767" s="2"/>
      <c r="LY767" s="2"/>
      <c r="LZ767" s="2"/>
      <c r="MA767" s="2"/>
      <c r="MB767" s="2"/>
      <c r="MC767" s="2"/>
      <c r="MD767" s="2"/>
      <c r="ME767" s="2"/>
      <c r="MF767" s="2"/>
      <c r="MG767" s="2"/>
      <c r="MH767" s="2"/>
      <c r="MI767" s="2"/>
      <c r="MJ767" s="2"/>
      <c r="MK767" s="2"/>
      <c r="ML767" s="2"/>
      <c r="MM767" s="2"/>
      <c r="MN767" s="2"/>
      <c r="MO767" s="2"/>
      <c r="MP767" s="2"/>
      <c r="MQ767" s="2"/>
      <c r="MR767" s="2"/>
      <c r="MS767" s="2"/>
      <c r="MT767" s="2"/>
      <c r="MU767" s="2"/>
      <c r="MV767" s="2"/>
      <c r="MW767" s="2"/>
      <c r="MX767" s="2"/>
      <c r="MY767" s="133" t="s">
        <v>1468</v>
      </c>
      <c r="MZ767" s="80">
        <v>64</v>
      </c>
      <c r="NA767" s="133" t="s">
        <v>1488</v>
      </c>
      <c r="NB767" s="144" t="s">
        <v>1489</v>
      </c>
      <c r="NC767" s="144"/>
      <c r="ND767" s="144"/>
      <c r="NE767" s="144"/>
      <c r="NF767" s="144"/>
      <c r="NG767" s="144" t="s">
        <v>686</v>
      </c>
      <c r="NH767" s="78" t="s">
        <v>687</v>
      </c>
      <c r="NI767" s="133"/>
      <c r="NJ767" s="133" t="s">
        <v>1488</v>
      </c>
      <c r="NK767" s="133" t="s">
        <v>1490</v>
      </c>
      <c r="NL767" t="s">
        <v>689</v>
      </c>
      <c r="NM767" s="145" t="s">
        <v>1491</v>
      </c>
      <c r="NN767" s="133"/>
      <c r="NO767" s="133"/>
      <c r="NP767" s="133"/>
      <c r="NQ767" s="133"/>
      <c r="NR767" s="133"/>
      <c r="NS767" s="133"/>
      <c r="NT767" s="133"/>
      <c r="NU767" s="133"/>
      <c r="NV767" s="146" t="s">
        <v>518</v>
      </c>
      <c r="NW767" s="153">
        <v>11.7</v>
      </c>
      <c r="NX767" s="146" t="s">
        <v>520</v>
      </c>
      <c r="NY767" s="153">
        <v>3</v>
      </c>
      <c r="NZ767" s="154"/>
      <c r="OA767" s="2"/>
      <c r="OB767" s="133">
        <v>4</v>
      </c>
      <c r="OC767" s="80"/>
      <c r="OD767" s="80"/>
      <c r="OG767" s="2"/>
      <c r="OH767" s="2"/>
      <c r="OI767" s="2"/>
      <c r="OJ767" s="2"/>
      <c r="OK767" s="2"/>
      <c r="OL767" s="2"/>
      <c r="OU767" s="133" t="s">
        <v>1276</v>
      </c>
      <c r="OV767" s="2"/>
      <c r="OW767" s="2">
        <v>2008</v>
      </c>
      <c r="OX767" s="2"/>
      <c r="OY767" s="2"/>
      <c r="OZ767" s="133" t="s">
        <v>692</v>
      </c>
      <c r="PA767" s="2"/>
      <c r="PB767" t="s">
        <v>522</v>
      </c>
      <c r="PC767" s="50">
        <v>46134</v>
      </c>
      <c r="PD767" s="127"/>
    </row>
    <row r="768" spans="1:420" ht="15.75" thickBot="1">
      <c r="A768" t="s">
        <v>469</v>
      </c>
      <c r="B768" t="s">
        <v>1459</v>
      </c>
      <c r="C768" s="80" t="s">
        <v>667</v>
      </c>
      <c r="D768" s="132" t="s">
        <v>950</v>
      </c>
      <c r="E768" s="2" t="s">
        <v>1460</v>
      </c>
      <c r="F768" t="s">
        <v>1179</v>
      </c>
      <c r="G768" s="80" t="s">
        <v>475</v>
      </c>
      <c r="H768" s="132" t="s">
        <v>476</v>
      </c>
      <c r="I768">
        <v>-0.41666666699999999</v>
      </c>
      <c r="J768">
        <v>34.200000000000003</v>
      </c>
      <c r="K768" s="132">
        <v>100</v>
      </c>
      <c r="L768" s="80"/>
      <c r="M768" s="132"/>
      <c r="N768" s="80"/>
      <c r="O768" s="80"/>
      <c r="P768" s="80"/>
      <c r="Q768" s="80"/>
      <c r="R768" s="80"/>
      <c r="S768" s="80"/>
      <c r="T768" s="80"/>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c r="AV768" s="80" t="s">
        <v>1461</v>
      </c>
      <c r="AW768" s="80">
        <v>64</v>
      </c>
      <c r="AX768" s="80">
        <v>0.09</v>
      </c>
      <c r="AY768" s="80">
        <v>1</v>
      </c>
      <c r="AZ768" s="133" t="s">
        <v>1462</v>
      </c>
      <c r="BA768" s="133">
        <v>2007</v>
      </c>
      <c r="BB768" s="133">
        <v>2008</v>
      </c>
      <c r="BC768" s="133" t="s">
        <v>709</v>
      </c>
      <c r="BD768" s="133" t="s">
        <v>1463</v>
      </c>
      <c r="BE768" s="133" t="s">
        <v>524</v>
      </c>
      <c r="BF768" s="133" t="s">
        <v>484</v>
      </c>
      <c r="BG768" s="133" t="s">
        <v>1464</v>
      </c>
      <c r="BH768" s="133" t="s">
        <v>480</v>
      </c>
      <c r="BI768" s="134" t="s">
        <v>486</v>
      </c>
      <c r="BJ768" s="135">
        <v>111000</v>
      </c>
      <c r="BK768" s="80"/>
      <c r="BL768" s="80"/>
      <c r="BM768" s="80"/>
      <c r="BN768" s="132"/>
      <c r="BO768" s="155"/>
      <c r="BP768" s="80"/>
      <c r="BQ768" s="80"/>
      <c r="BR768" s="80"/>
      <c r="BS768" s="132"/>
      <c r="BT768" s="155"/>
      <c r="BU768" s="80"/>
      <c r="BV768" s="3"/>
      <c r="BW768" s="3"/>
      <c r="BX768" s="3"/>
      <c r="BY768" s="3"/>
      <c r="BZ768" s="3"/>
      <c r="CA768" s="3"/>
      <c r="CB768" s="3"/>
      <c r="CC768" s="3"/>
      <c r="CD768" s="3"/>
      <c r="CE768" s="3"/>
      <c r="CF768" s="3"/>
      <c r="CG768" s="3"/>
      <c r="CH768" s="3"/>
      <c r="CI768" s="3"/>
      <c r="CJ768" s="3"/>
      <c r="CK768" s="3"/>
      <c r="CL768" s="3"/>
      <c r="CM768" s="3"/>
      <c r="CN768" s="3"/>
      <c r="CO768" s="3"/>
      <c r="CP768" s="3"/>
      <c r="CQ768" s="3"/>
      <c r="CR768" s="3"/>
      <c r="CS768" s="3"/>
      <c r="CT768" s="3"/>
      <c r="CU768" s="3"/>
      <c r="CV768" s="3"/>
      <c r="CW768" s="3"/>
      <c r="CX768" s="3"/>
      <c r="CY768" s="3"/>
      <c r="CZ768" s="3"/>
      <c r="DA768" s="3"/>
      <c r="DB768" s="3"/>
      <c r="DC768" s="3"/>
      <c r="DD768" s="3"/>
      <c r="DE768" s="3"/>
      <c r="DF768" s="3"/>
      <c r="DG768" s="3"/>
      <c r="DH768" s="3"/>
      <c r="DI768" s="3"/>
      <c r="DJ768" s="3"/>
      <c r="DK768" s="3"/>
      <c r="DL768" s="3"/>
      <c r="DM768" s="3"/>
      <c r="DN768" s="3"/>
      <c r="DO768" s="3"/>
      <c r="DP768" s="3"/>
      <c r="DQ768" s="3"/>
      <c r="DR768" s="3"/>
      <c r="DS768" s="3"/>
      <c r="DT768" s="3"/>
      <c r="DU768" s="3"/>
      <c r="DV768" s="3"/>
      <c r="DW768" s="3"/>
      <c r="DX768" s="3"/>
      <c r="DY768" s="3"/>
      <c r="DZ768" s="3"/>
      <c r="EA768" s="3"/>
      <c r="EB768" s="3"/>
      <c r="EC768" s="3"/>
      <c r="ED768" s="80"/>
      <c r="EE768" s="80"/>
      <c r="EF768" s="80"/>
      <c r="EG768" s="80"/>
      <c r="EH768" s="80"/>
      <c r="EI768" s="80"/>
      <c r="EJ768" s="80"/>
      <c r="EK768" s="80"/>
      <c r="EL768" s="3"/>
      <c r="EM768" s="3"/>
      <c r="EN768" s="3"/>
      <c r="EO768" s="3"/>
      <c r="EP768" s="3"/>
      <c r="EQ768" s="3"/>
      <c r="ER768" s="3"/>
      <c r="ES768" s="3"/>
      <c r="ET768" s="3"/>
      <c r="EU768" s="3"/>
      <c r="EV768" s="3"/>
      <c r="EW768" s="3"/>
      <c r="EX768" s="3"/>
      <c r="EY768" s="3"/>
      <c r="EZ768" s="3"/>
      <c r="FA768" s="3"/>
      <c r="FB768" s="3"/>
      <c r="FC768" s="3"/>
      <c r="FD768" s="3"/>
      <c r="FE768" s="3"/>
      <c r="FF768" s="3"/>
      <c r="FG768" s="3"/>
      <c r="FH768" s="3"/>
      <c r="FI768" s="3"/>
      <c r="FJ768" s="3"/>
      <c r="FK768" s="3"/>
      <c r="FL768" s="3"/>
      <c r="FM768" s="3"/>
      <c r="FN768" s="3"/>
      <c r="FO768" s="3"/>
      <c r="FP768" s="3"/>
      <c r="FQ768" s="3"/>
      <c r="FR768" s="3"/>
      <c r="FS768" s="3"/>
      <c r="FT768" s="3"/>
      <c r="FU768" s="3"/>
      <c r="FV768" s="3"/>
      <c r="FW768" s="3"/>
      <c r="FX768" s="3"/>
      <c r="FY768" s="3"/>
      <c r="FZ768" s="3"/>
      <c r="GA768" s="3"/>
      <c r="GB768" s="3"/>
      <c r="GC768" s="3"/>
      <c r="GD768" s="3"/>
      <c r="GE768" s="3"/>
      <c r="GF768" s="3"/>
      <c r="GG768" s="3"/>
      <c r="GH768" s="3"/>
      <c r="GI768" s="3"/>
      <c r="GJ768" s="3"/>
      <c r="GK768" s="3"/>
      <c r="GL768" s="3"/>
      <c r="GM768" s="3"/>
      <c r="GN768" s="3"/>
      <c r="GO768" s="3"/>
      <c r="GP768" s="3"/>
      <c r="GQ768" s="3"/>
      <c r="GR768" s="3"/>
      <c r="GS768" s="3"/>
      <c r="GT768" s="3"/>
      <c r="GU768" s="3"/>
      <c r="GV768" s="3"/>
      <c r="GW768" s="3"/>
      <c r="GX768" s="3"/>
      <c r="GY768" s="3"/>
      <c r="GZ768" s="3"/>
      <c r="HA768" s="3"/>
      <c r="HB768" s="3"/>
      <c r="HC768" s="3"/>
      <c r="HD768" s="3"/>
      <c r="HE768" s="3"/>
      <c r="HF768" s="3"/>
      <c r="HG768" s="3"/>
      <c r="HH768" s="3"/>
      <c r="HI768" s="3"/>
      <c r="HJ768" s="3"/>
      <c r="HK768" s="80"/>
      <c r="HL768" s="80"/>
      <c r="HM768" s="80"/>
      <c r="HN768" s="80"/>
      <c r="HO768" s="80"/>
      <c r="HP768" s="80"/>
      <c r="HQ768" s="80"/>
      <c r="HR768" s="80"/>
      <c r="HS768" s="132"/>
      <c r="HT768" s="80"/>
      <c r="HU768" s="80"/>
      <c r="HV768" s="80"/>
      <c r="HW768" s="80"/>
      <c r="HX768" s="80"/>
      <c r="HY768" s="80"/>
      <c r="HZ768" s="80"/>
      <c r="IA768" s="80"/>
      <c r="IB768" s="80"/>
      <c r="IC768" s="80"/>
      <c r="ID768" s="80"/>
      <c r="IE768" s="80"/>
      <c r="IF768" s="80"/>
      <c r="IG768" s="80"/>
      <c r="IH768" s="133" t="s">
        <v>1465</v>
      </c>
      <c r="II768" s="137" t="s">
        <v>492</v>
      </c>
      <c r="IJ768" s="80"/>
      <c r="IK768" s="80"/>
      <c r="IL768" s="80"/>
      <c r="IM768" s="80"/>
      <c r="IN768" s="80"/>
      <c r="IQ768" s="80"/>
      <c r="IR768" s="80"/>
      <c r="IS768" s="80"/>
      <c r="IT768" s="80"/>
      <c r="IU768" s="80"/>
      <c r="IV768" s="80"/>
      <c r="IW768" s="132"/>
      <c r="IX768" s="80"/>
      <c r="IY768" s="80"/>
      <c r="IZ768" s="80"/>
      <c r="JA768" s="80"/>
      <c r="JB768" s="80"/>
      <c r="JC768" s="80"/>
      <c r="JD768" s="80"/>
      <c r="JE768" s="80"/>
      <c r="JF768" s="80"/>
      <c r="JG768" s="80"/>
      <c r="JH768" s="80"/>
      <c r="JI768" s="80"/>
      <c r="JJ768" s="80"/>
      <c r="JK768" s="80"/>
      <c r="JL768" s="139" t="s">
        <v>495</v>
      </c>
      <c r="JM768" s="140" t="s">
        <v>1466</v>
      </c>
      <c r="JN768" s="140" t="s">
        <v>1467</v>
      </c>
      <c r="JO768" s="140" t="s">
        <v>1467</v>
      </c>
      <c r="JR768" s="80"/>
      <c r="JS768" s="80"/>
      <c r="JT768" s="80"/>
      <c r="JU768" s="80"/>
      <c r="JV768" s="80"/>
      <c r="JW768" s="80"/>
      <c r="JX768" s="80"/>
      <c r="JY768" s="141"/>
      <c r="JZ768" s="139"/>
      <c r="KA768" s="132"/>
      <c r="KB768" s="80"/>
      <c r="KC768" s="132"/>
      <c r="KD768" s="80"/>
      <c r="KE768" s="80"/>
      <c r="KF768" s="80"/>
      <c r="KG768" s="132"/>
      <c r="KH768" s="80"/>
      <c r="KI768" s="137"/>
      <c r="KJ768" s="158"/>
      <c r="KK768" s="80"/>
      <c r="KL768" s="80"/>
      <c r="KM768" s="80"/>
      <c r="KN768" s="80"/>
      <c r="KO768" s="132"/>
      <c r="KP768" s="80"/>
      <c r="KQ768" s="162"/>
      <c r="KR768" s="139"/>
      <c r="KS768" s="80"/>
      <c r="KT768" s="80"/>
      <c r="KU768" s="143"/>
      <c r="KV768" s="158"/>
      <c r="KW768" s="80"/>
      <c r="KX768" s="80"/>
      <c r="KY768" s="80"/>
      <c r="KZ768" s="3"/>
      <c r="LA768" s="3"/>
      <c r="LB768" s="3"/>
      <c r="LC768" s="3"/>
      <c r="LD768" s="3"/>
      <c r="LE768" s="3"/>
      <c r="LF768" s="3"/>
      <c r="LG768" s="3"/>
      <c r="LH768" s="132"/>
      <c r="LI768" s="132"/>
      <c r="LJ768" s="132"/>
      <c r="LK768" s="132"/>
      <c r="LL768" s="132"/>
      <c r="LM768" s="80"/>
      <c r="LN768" s="132"/>
      <c r="LO768" s="132"/>
      <c r="LP768" s="132"/>
      <c r="LQ768" s="80"/>
      <c r="LR768" s="80"/>
      <c r="LS768" s="80"/>
      <c r="LT768" s="80"/>
      <c r="LU768" s="80"/>
      <c r="LV768" s="80"/>
      <c r="LW768" s="80"/>
      <c r="LX768" s="80"/>
      <c r="LY768" s="80"/>
      <c r="LZ768" s="80"/>
      <c r="MA768" s="80"/>
      <c r="MB768" s="80"/>
      <c r="MC768" s="80"/>
      <c r="MD768" s="80"/>
      <c r="ME768" s="80"/>
      <c r="MF768" s="80"/>
      <c r="MG768" s="80"/>
      <c r="MH768" s="80"/>
      <c r="MI768" s="80"/>
      <c r="MJ768" s="80"/>
      <c r="MK768" s="80"/>
      <c r="ML768" s="80"/>
      <c r="MM768" s="80"/>
      <c r="MN768" s="80"/>
      <c r="MO768" s="80"/>
      <c r="MP768" s="80"/>
      <c r="MQ768" s="80"/>
      <c r="MR768" s="80"/>
      <c r="MS768" s="80"/>
      <c r="MT768" s="80"/>
      <c r="MU768" s="80"/>
      <c r="MV768" s="80"/>
      <c r="MW768" s="80"/>
      <c r="MX768" s="80"/>
      <c r="MY768" s="133" t="s">
        <v>1468</v>
      </c>
      <c r="MZ768" s="80">
        <v>64</v>
      </c>
      <c r="NA768" s="133" t="s">
        <v>1488</v>
      </c>
      <c r="NB768" s="144" t="s">
        <v>1489</v>
      </c>
      <c r="NC768" s="144"/>
      <c r="ND768" s="144"/>
      <c r="NE768" s="144"/>
      <c r="NF768" s="144"/>
      <c r="NG768" s="144" t="s">
        <v>686</v>
      </c>
      <c r="NH768" s="78" t="s">
        <v>687</v>
      </c>
      <c r="NI768" s="133"/>
      <c r="NJ768" s="133" t="s">
        <v>1488</v>
      </c>
      <c r="NK768" s="133" t="s">
        <v>1490</v>
      </c>
      <c r="NL768" t="s">
        <v>689</v>
      </c>
      <c r="NM768" s="145" t="s">
        <v>1491</v>
      </c>
      <c r="NN768" s="133"/>
      <c r="NO768" s="133"/>
      <c r="NP768" s="133"/>
      <c r="NQ768" s="133"/>
      <c r="NR768" s="133"/>
      <c r="NS768" s="133"/>
      <c r="NT768" s="133"/>
      <c r="NU768" s="133" t="s">
        <v>536</v>
      </c>
      <c r="NV768" s="146" t="s">
        <v>518</v>
      </c>
      <c r="NW768" s="153">
        <v>175.2</v>
      </c>
      <c r="NX768" s="146" t="s">
        <v>520</v>
      </c>
      <c r="NY768" s="86">
        <v>22</v>
      </c>
      <c r="NZ768" s="160"/>
      <c r="OA768" s="80"/>
      <c r="OB768" s="133">
        <v>4</v>
      </c>
      <c r="OC768" s="2"/>
      <c r="OD768" s="2"/>
      <c r="OG768" s="80"/>
      <c r="OH768" s="80"/>
      <c r="OI768" s="80"/>
      <c r="OJ768" s="80"/>
      <c r="OK768" s="80"/>
      <c r="OL768" s="80"/>
      <c r="OM768" s="144"/>
      <c r="ON768" s="144"/>
      <c r="OO768" s="144"/>
      <c r="OP768" s="144"/>
      <c r="OQ768" s="144"/>
      <c r="OR768" s="144"/>
      <c r="OS768" s="144"/>
      <c r="OT768" s="144"/>
      <c r="OU768" s="133" t="s">
        <v>1276</v>
      </c>
      <c r="OV768" s="80"/>
      <c r="OW768" s="80">
        <v>2008</v>
      </c>
      <c r="OX768" s="80"/>
      <c r="OY768" s="80"/>
      <c r="OZ768" s="80" t="s">
        <v>709</v>
      </c>
      <c r="PA768" s="80"/>
      <c r="PB768" t="s">
        <v>522</v>
      </c>
      <c r="PC768" s="50">
        <v>46134</v>
      </c>
      <c r="PD768" s="127"/>
    </row>
    <row r="769" spans="1:420" ht="15.75" thickBot="1">
      <c r="A769" t="s">
        <v>469</v>
      </c>
      <c r="B769" t="s">
        <v>1459</v>
      </c>
      <c r="C769" s="80" t="s">
        <v>667</v>
      </c>
      <c r="D769" s="132" t="s">
        <v>950</v>
      </c>
      <c r="E769" s="2" t="s">
        <v>1460</v>
      </c>
      <c r="F769" t="s">
        <v>1179</v>
      </c>
      <c r="G769" s="80" t="s">
        <v>475</v>
      </c>
      <c r="H769" s="132" t="s">
        <v>476</v>
      </c>
      <c r="I769">
        <v>-0.41666666699999999</v>
      </c>
      <c r="J769">
        <v>34.200000000000003</v>
      </c>
      <c r="K769" s="132">
        <v>100</v>
      </c>
      <c r="L769" s="2"/>
      <c r="M769" s="88"/>
      <c r="N769" s="2"/>
      <c r="O769" s="80"/>
      <c r="P769" s="2"/>
      <c r="Q769" s="2"/>
      <c r="R769" s="80"/>
      <c r="S769" s="80"/>
      <c r="T769" s="80"/>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c r="AV769" s="80" t="s">
        <v>1461</v>
      </c>
      <c r="AW769" s="80">
        <v>64</v>
      </c>
      <c r="AX769" s="80">
        <v>0.09</v>
      </c>
      <c r="AY769" s="80">
        <v>1</v>
      </c>
      <c r="AZ769" s="133" t="s">
        <v>1462</v>
      </c>
      <c r="BA769" s="133">
        <v>2007</v>
      </c>
      <c r="BB769" s="133">
        <v>2008</v>
      </c>
      <c r="BC769" s="133" t="s">
        <v>709</v>
      </c>
      <c r="BD769" s="2" t="s">
        <v>1473</v>
      </c>
      <c r="BE769" s="2" t="s">
        <v>536</v>
      </c>
      <c r="BF769" s="133" t="s">
        <v>484</v>
      </c>
      <c r="BG769" s="2" t="s">
        <v>1464</v>
      </c>
      <c r="BH769" s="133" t="s">
        <v>480</v>
      </c>
      <c r="BI769" s="134" t="s">
        <v>486</v>
      </c>
      <c r="BJ769" s="135">
        <v>55500</v>
      </c>
      <c r="BK769" s="2" t="s">
        <v>537</v>
      </c>
      <c r="BL769" t="s">
        <v>1474</v>
      </c>
      <c r="BM769" s="133" t="s">
        <v>480</v>
      </c>
      <c r="BN769" s="2" t="s">
        <v>486</v>
      </c>
      <c r="BO769" s="2">
        <v>55000</v>
      </c>
      <c r="BP769" s="2"/>
      <c r="BQ769" s="2"/>
      <c r="BR769" s="2"/>
      <c r="BS769" s="88"/>
      <c r="BT769" s="2"/>
      <c r="BU769" s="2"/>
      <c r="BV769" s="3"/>
      <c r="BW769" s="3"/>
      <c r="BX769" s="3"/>
      <c r="BY769" s="3"/>
      <c r="BZ769" s="3"/>
      <c r="CA769" s="3"/>
      <c r="CB769" s="3"/>
      <c r="CC769" s="3"/>
      <c r="CD769" s="3"/>
      <c r="CE769" s="3"/>
      <c r="CF769" s="3"/>
      <c r="CG769" s="3"/>
      <c r="CH769" s="3"/>
      <c r="CI769" s="3"/>
      <c r="CJ769" s="3"/>
      <c r="CK769" s="3"/>
      <c r="CL769" s="3"/>
      <c r="CM769" s="3"/>
      <c r="CN769" s="3"/>
      <c r="CO769" s="3"/>
      <c r="CP769" s="3"/>
      <c r="CQ769" s="3"/>
      <c r="CR769" s="3"/>
      <c r="CS769" s="3"/>
      <c r="CT769" s="3"/>
      <c r="CU769" s="3"/>
      <c r="CV769" s="3"/>
      <c r="CW769" s="3"/>
      <c r="CX769" s="3"/>
      <c r="CY769" s="3"/>
      <c r="CZ769" s="3"/>
      <c r="DA769" s="3"/>
      <c r="DB769" s="3"/>
      <c r="DC769" s="3"/>
      <c r="DD769" s="3"/>
      <c r="DE769" s="3"/>
      <c r="DF769" s="3"/>
      <c r="DG769" s="3"/>
      <c r="DH769" s="3"/>
      <c r="DI769" s="3"/>
      <c r="DJ769" s="3"/>
      <c r="DK769" s="3"/>
      <c r="DL769" s="3"/>
      <c r="DM769" s="3"/>
      <c r="DN769" s="3"/>
      <c r="DO769" s="3"/>
      <c r="DP769" s="3"/>
      <c r="DQ769" s="3"/>
      <c r="DR769" s="3"/>
      <c r="DS769" s="3"/>
      <c r="DT769" s="3"/>
      <c r="DU769" s="3"/>
      <c r="DV769" s="3"/>
      <c r="DW769" s="3"/>
      <c r="DX769" s="3"/>
      <c r="DY769" s="3"/>
      <c r="DZ769" s="3"/>
      <c r="EA769" s="3"/>
      <c r="EB769" s="3"/>
      <c r="EC769" s="3"/>
      <c r="ED769" s="2"/>
      <c r="EE769" s="2"/>
      <c r="EF769" s="2"/>
      <c r="EG769" s="2"/>
      <c r="EH769" s="2"/>
      <c r="EI769" s="2"/>
      <c r="EJ769" s="2"/>
      <c r="EK769" s="2"/>
      <c r="EL769" s="3"/>
      <c r="EM769" s="3"/>
      <c r="EN769" s="3"/>
      <c r="EO769" s="3"/>
      <c r="EP769" s="3"/>
      <c r="EQ769" s="3"/>
      <c r="ER769" s="3"/>
      <c r="ES769" s="3"/>
      <c r="ET769" s="3"/>
      <c r="EU769" s="3"/>
      <c r="EV769" s="3"/>
      <c r="EW769" s="3"/>
      <c r="EX769" s="3"/>
      <c r="EY769" s="3"/>
      <c r="EZ769" s="3"/>
      <c r="FA769" s="3"/>
      <c r="FB769" s="3"/>
      <c r="FC769" s="3"/>
      <c r="FD769" s="3"/>
      <c r="FE769" s="3"/>
      <c r="FF769" s="3"/>
      <c r="FG769" s="3"/>
      <c r="FH769" s="3"/>
      <c r="FI769" s="3"/>
      <c r="FJ769" s="3"/>
      <c r="FK769" s="3"/>
      <c r="FL769" s="3"/>
      <c r="FM769" s="3"/>
      <c r="FN769" s="3"/>
      <c r="FO769" s="3"/>
      <c r="FP769" s="3"/>
      <c r="FQ769" s="3"/>
      <c r="FR769" s="3"/>
      <c r="FS769" s="3"/>
      <c r="FT769" s="3"/>
      <c r="FU769" s="3"/>
      <c r="FV769" s="3"/>
      <c r="FW769" s="3"/>
      <c r="FX769" s="3"/>
      <c r="FY769" s="3"/>
      <c r="FZ769" s="3"/>
      <c r="GA769" s="3"/>
      <c r="GB769" s="3"/>
      <c r="GC769" s="3"/>
      <c r="GD769" s="3"/>
      <c r="GE769" s="3"/>
      <c r="GF769" s="3"/>
      <c r="GG769" s="3"/>
      <c r="GH769" s="3"/>
      <c r="GI769" s="3"/>
      <c r="GJ769" s="3"/>
      <c r="GK769" s="3"/>
      <c r="GL769" s="3"/>
      <c r="GM769" s="3"/>
      <c r="GN769" s="3"/>
      <c r="GO769" s="3"/>
      <c r="GP769" s="3"/>
      <c r="GQ769" s="3"/>
      <c r="GR769" s="3"/>
      <c r="GS769" s="3"/>
      <c r="GT769" s="3"/>
      <c r="GU769" s="3"/>
      <c r="GV769" s="3"/>
      <c r="GW769" s="3"/>
      <c r="GX769" s="3"/>
      <c r="GY769" s="3"/>
      <c r="GZ769" s="3"/>
      <c r="HA769" s="3"/>
      <c r="HB769" s="3"/>
      <c r="HC769" s="3"/>
      <c r="HD769" s="3"/>
      <c r="HE769" s="3"/>
      <c r="HF769" s="3"/>
      <c r="HG769" s="3"/>
      <c r="HH769" s="3"/>
      <c r="HI769" s="3"/>
      <c r="HJ769" s="3"/>
      <c r="HK769" s="2"/>
      <c r="HL769" s="2"/>
      <c r="HM769" s="2"/>
      <c r="HN769" s="2"/>
      <c r="HO769" s="2"/>
      <c r="HP769" s="2"/>
      <c r="HQ769" s="2"/>
      <c r="HR769" s="2"/>
      <c r="HS769" s="88"/>
      <c r="HT769" s="2"/>
      <c r="HU769" s="2"/>
      <c r="HV769" s="2"/>
      <c r="HW769" s="2"/>
      <c r="HX769" s="2"/>
      <c r="HY769" s="2"/>
      <c r="HZ769" s="2"/>
      <c r="IA769" s="2"/>
      <c r="IB769" s="2"/>
      <c r="IC769" s="2"/>
      <c r="ID769" s="2"/>
      <c r="IE769" s="2"/>
      <c r="IF769" s="2"/>
      <c r="IG769" s="2"/>
      <c r="IH769" s="133" t="s">
        <v>1465</v>
      </c>
      <c r="II769" s="75" t="s">
        <v>929</v>
      </c>
      <c r="IJ769" s="149" t="s">
        <v>983</v>
      </c>
      <c r="IK769" s="150" t="s">
        <v>543</v>
      </c>
      <c r="IL769" s="2">
        <v>2007</v>
      </c>
      <c r="IM769" s="2" t="s">
        <v>692</v>
      </c>
      <c r="IN769" s="2" t="s">
        <v>480</v>
      </c>
      <c r="IQ769" s="2"/>
      <c r="IR769" s="2"/>
      <c r="IS769" s="2"/>
      <c r="IT769" s="2"/>
      <c r="IU769" s="2"/>
      <c r="IV769" s="2"/>
      <c r="IW769" s="88"/>
      <c r="IX769" s="2"/>
      <c r="IY769" s="2"/>
      <c r="IZ769" s="2"/>
      <c r="JA769" s="2"/>
      <c r="JB769" s="2"/>
      <c r="JC769" s="2"/>
      <c r="JD769" s="2"/>
      <c r="JE769" s="2"/>
      <c r="JF769" s="2"/>
      <c r="JG769" s="2"/>
      <c r="JH769" s="2"/>
      <c r="JI769" s="2"/>
      <c r="JJ769" s="2"/>
      <c r="JK769" s="2"/>
      <c r="JL769" s="139" t="s">
        <v>495</v>
      </c>
      <c r="JM769" s="140" t="s">
        <v>1466</v>
      </c>
      <c r="JN769" s="140" t="s">
        <v>1467</v>
      </c>
      <c r="JO769" s="140" t="s">
        <v>1467</v>
      </c>
      <c r="JR769" s="2"/>
      <c r="JS769" s="2"/>
      <c r="JT769" s="2"/>
      <c r="JU769" s="2"/>
      <c r="JV769" s="2"/>
      <c r="JW769" s="2"/>
      <c r="JX769" s="2"/>
      <c r="JY769" s="141"/>
      <c r="JZ769" s="151"/>
      <c r="KA769" s="88"/>
      <c r="KB769" s="2"/>
      <c r="KC769" s="88"/>
      <c r="KD769" s="2"/>
      <c r="KE769" s="2"/>
      <c r="KF769" s="2"/>
      <c r="KG769" s="88"/>
      <c r="KH769" s="2"/>
      <c r="KI769" s="148"/>
      <c r="KJ769" s="152"/>
      <c r="KK769" s="2"/>
      <c r="KL769" s="2"/>
      <c r="KM769" s="2"/>
      <c r="KN769" s="2"/>
      <c r="KO769" s="88"/>
      <c r="KP769" s="2"/>
      <c r="KQ769" s="162"/>
      <c r="KR769" s="151"/>
      <c r="KS769" s="2"/>
      <c r="KT769" s="2"/>
      <c r="KU769" s="143"/>
      <c r="KV769" s="152"/>
      <c r="KW769" s="2"/>
      <c r="KX769" s="2"/>
      <c r="KY769" s="2"/>
      <c r="KZ769" s="3"/>
      <c r="LA769" s="3"/>
      <c r="LB769" s="3"/>
      <c r="LC769" s="3"/>
      <c r="LD769" s="3"/>
      <c r="LE769" s="3"/>
      <c r="LF769" s="3"/>
      <c r="LG769" s="3"/>
      <c r="LH769" s="88"/>
      <c r="LI769" s="88"/>
      <c r="LJ769" s="88"/>
      <c r="LK769" s="88"/>
      <c r="LL769" s="88"/>
      <c r="LM769" s="2"/>
      <c r="LN769" s="88"/>
      <c r="LO769" s="88"/>
      <c r="LP769" s="88"/>
      <c r="LQ769" s="2"/>
      <c r="LR769" s="2"/>
      <c r="LS769" s="2"/>
      <c r="LT769" s="2"/>
      <c r="LU769" s="2"/>
      <c r="LV769" s="2"/>
      <c r="LW769" s="2"/>
      <c r="LX769" s="2"/>
      <c r="LY769" s="2"/>
      <c r="LZ769" s="2"/>
      <c r="MA769" s="2"/>
      <c r="MB769" s="2"/>
      <c r="MC769" s="2"/>
      <c r="MD769" s="2"/>
      <c r="ME769" s="2"/>
      <c r="MF769" s="2"/>
      <c r="MG769" s="2"/>
      <c r="MH769" s="2"/>
      <c r="MI769" s="2"/>
      <c r="MJ769" s="2"/>
      <c r="MK769" s="2"/>
      <c r="ML769" s="2"/>
      <c r="MM769" s="2"/>
      <c r="MN769" s="2"/>
      <c r="MO769" s="2"/>
      <c r="MP769" s="2"/>
      <c r="MQ769" s="2"/>
      <c r="MR769" s="2"/>
      <c r="MS769" s="2"/>
      <c r="MT769" s="2"/>
      <c r="MU769" s="2"/>
      <c r="MV769" s="2"/>
      <c r="MW769" s="2"/>
      <c r="MX769" s="2"/>
      <c r="MY769" s="133" t="s">
        <v>1468</v>
      </c>
      <c r="MZ769" s="80">
        <v>64</v>
      </c>
      <c r="NA769" s="133" t="s">
        <v>1488</v>
      </c>
      <c r="NB769" s="144" t="s">
        <v>1489</v>
      </c>
      <c r="NC769" s="144"/>
      <c r="ND769" s="144"/>
      <c r="NE769" s="144"/>
      <c r="NF769" s="144"/>
      <c r="NG769" s="144" t="s">
        <v>686</v>
      </c>
      <c r="NH769" s="78" t="s">
        <v>687</v>
      </c>
      <c r="NI769" s="133"/>
      <c r="NJ769" s="133" t="s">
        <v>1488</v>
      </c>
      <c r="NK769" s="133" t="s">
        <v>1490</v>
      </c>
      <c r="NL769" t="s">
        <v>689</v>
      </c>
      <c r="NM769" s="145" t="s">
        <v>1491</v>
      </c>
      <c r="NN769" s="133"/>
      <c r="NO769" s="133"/>
      <c r="NP769" s="133"/>
      <c r="NQ769" s="133"/>
      <c r="NR769" s="133"/>
      <c r="NS769" s="133"/>
      <c r="NT769" s="133"/>
      <c r="NU769" s="133"/>
      <c r="NV769" s="146" t="s">
        <v>518</v>
      </c>
      <c r="NW769" s="153">
        <v>5.5</v>
      </c>
      <c r="NX769" s="146" t="s">
        <v>520</v>
      </c>
      <c r="NY769" s="153">
        <v>2</v>
      </c>
      <c r="NZ769" s="154"/>
      <c r="OA769" s="2"/>
      <c r="OB769" s="133">
        <v>4</v>
      </c>
      <c r="OC769" s="80"/>
      <c r="OD769" s="80"/>
      <c r="OG769" s="2"/>
      <c r="OH769" s="2"/>
      <c r="OI769" s="2"/>
      <c r="OJ769" s="2"/>
      <c r="OK769" s="2"/>
      <c r="OL769" s="2"/>
      <c r="OU769" s="133" t="s">
        <v>1276</v>
      </c>
      <c r="OV769" s="2"/>
      <c r="OW769" s="2">
        <v>2008</v>
      </c>
      <c r="OX769" s="2"/>
      <c r="OY769" s="2"/>
      <c r="OZ769" s="2" t="s">
        <v>709</v>
      </c>
      <c r="PA769" s="2"/>
      <c r="PB769" t="s">
        <v>522</v>
      </c>
      <c r="PC769" s="50">
        <v>46134</v>
      </c>
      <c r="PD769" s="127"/>
    </row>
    <row r="770" spans="1:420" ht="15.75" thickBot="1">
      <c r="A770" t="s">
        <v>469</v>
      </c>
      <c r="B770" t="s">
        <v>1459</v>
      </c>
      <c r="C770" s="80" t="s">
        <v>667</v>
      </c>
      <c r="D770" s="132" t="s">
        <v>950</v>
      </c>
      <c r="E770" s="2" t="s">
        <v>1460</v>
      </c>
      <c r="F770" t="s">
        <v>1179</v>
      </c>
      <c r="G770" s="80" t="s">
        <v>475</v>
      </c>
      <c r="H770" s="132" t="s">
        <v>476</v>
      </c>
      <c r="I770">
        <v>-0.41666666699999999</v>
      </c>
      <c r="J770">
        <v>34.200000000000003</v>
      </c>
      <c r="K770" s="132">
        <v>100</v>
      </c>
      <c r="L770" s="80"/>
      <c r="M770" s="132"/>
      <c r="N770" s="80"/>
      <c r="O770" s="80"/>
      <c r="P770" s="80"/>
      <c r="Q770" s="80"/>
      <c r="R770" s="80"/>
      <c r="S770" s="80"/>
      <c r="T770" s="80"/>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c r="AV770" s="80" t="s">
        <v>1461</v>
      </c>
      <c r="AW770" s="80">
        <v>64</v>
      </c>
      <c r="AX770" s="80">
        <v>0.09</v>
      </c>
      <c r="AY770" s="80">
        <v>1</v>
      </c>
      <c r="AZ770" s="133" t="s">
        <v>1462</v>
      </c>
      <c r="BA770" s="133">
        <v>2007</v>
      </c>
      <c r="BB770" s="133">
        <v>2008</v>
      </c>
      <c r="BC770" s="133" t="s">
        <v>709</v>
      </c>
      <c r="BD770" s="133" t="s">
        <v>1463</v>
      </c>
      <c r="BE770" s="133" t="s">
        <v>524</v>
      </c>
      <c r="BF770" s="133" t="s">
        <v>484</v>
      </c>
      <c r="BG770" s="133" t="s">
        <v>1464</v>
      </c>
      <c r="BH770" s="133" t="s">
        <v>480</v>
      </c>
      <c r="BI770" s="134" t="s">
        <v>486</v>
      </c>
      <c r="BJ770" s="135">
        <v>111000</v>
      </c>
      <c r="BK770" s="80"/>
      <c r="BL770" s="80"/>
      <c r="BM770" s="80"/>
      <c r="BN770" s="132"/>
      <c r="BO770" s="155"/>
      <c r="BP770" s="80"/>
      <c r="BQ770" s="80"/>
      <c r="BR770" s="80"/>
      <c r="BS770" s="132"/>
      <c r="BT770" s="155"/>
      <c r="BU770" s="80"/>
      <c r="BV770" s="3"/>
      <c r="BW770" s="3"/>
      <c r="BX770" s="3"/>
      <c r="BY770" s="3"/>
      <c r="BZ770" s="3"/>
      <c r="CA770" s="3"/>
      <c r="CB770" s="3"/>
      <c r="CC770" s="3"/>
      <c r="CD770" s="3"/>
      <c r="CE770" s="3"/>
      <c r="CF770" s="3"/>
      <c r="CG770" s="3"/>
      <c r="CH770" s="3"/>
      <c r="CI770" s="3"/>
      <c r="CJ770" s="3"/>
      <c r="CK770" s="3"/>
      <c r="CL770" s="3"/>
      <c r="CM770" s="3"/>
      <c r="CN770" s="3"/>
      <c r="CO770" s="3"/>
      <c r="CP770" s="3"/>
      <c r="CQ770" s="3"/>
      <c r="CR770" s="3"/>
      <c r="CS770" s="3"/>
      <c r="CT770" s="3"/>
      <c r="CU770" s="3"/>
      <c r="CV770" s="3"/>
      <c r="CW770" s="3"/>
      <c r="CX770" s="3"/>
      <c r="CY770" s="3"/>
      <c r="CZ770" s="3"/>
      <c r="DA770" s="3"/>
      <c r="DB770" s="3"/>
      <c r="DC770" s="3"/>
      <c r="DD770" s="3"/>
      <c r="DE770" s="3"/>
      <c r="DF770" s="3"/>
      <c r="DG770" s="3"/>
      <c r="DH770" s="3"/>
      <c r="DI770" s="3"/>
      <c r="DJ770" s="3"/>
      <c r="DK770" s="3"/>
      <c r="DL770" s="3"/>
      <c r="DM770" s="3"/>
      <c r="DN770" s="3"/>
      <c r="DO770" s="3"/>
      <c r="DP770" s="3"/>
      <c r="DQ770" s="3"/>
      <c r="DR770" s="3"/>
      <c r="DS770" s="3"/>
      <c r="DT770" s="3"/>
      <c r="DU770" s="3"/>
      <c r="DV770" s="3"/>
      <c r="DW770" s="3"/>
      <c r="DX770" s="3"/>
      <c r="DY770" s="3"/>
      <c r="DZ770" s="3"/>
      <c r="EA770" s="3"/>
      <c r="EB770" s="3"/>
      <c r="EC770" s="3"/>
      <c r="ED770" s="80"/>
      <c r="EE770" s="80"/>
      <c r="EF770" s="80"/>
      <c r="EG770" s="80"/>
      <c r="EH770" s="80"/>
      <c r="EI770" s="80"/>
      <c r="EJ770" s="80"/>
      <c r="EK770" s="80"/>
      <c r="EL770" s="3"/>
      <c r="EM770" s="3"/>
      <c r="EN770" s="3"/>
      <c r="EO770" s="3"/>
      <c r="EP770" s="3"/>
      <c r="EQ770" s="3"/>
      <c r="ER770" s="3"/>
      <c r="ES770" s="3"/>
      <c r="ET770" s="3"/>
      <c r="EU770" s="3"/>
      <c r="EV770" s="3"/>
      <c r="EW770" s="3"/>
      <c r="EX770" s="3"/>
      <c r="EY770" s="3"/>
      <c r="EZ770" s="3"/>
      <c r="FA770" s="3"/>
      <c r="FB770" s="3"/>
      <c r="FC770" s="3"/>
      <c r="FD770" s="3"/>
      <c r="FE770" s="3"/>
      <c r="FF770" s="3"/>
      <c r="FG770" s="3"/>
      <c r="FH770" s="3"/>
      <c r="FI770" s="3"/>
      <c r="FJ770" s="3"/>
      <c r="FK770" s="3"/>
      <c r="FL770" s="3"/>
      <c r="FM770" s="3"/>
      <c r="FN770" s="3"/>
      <c r="FO770" s="3"/>
      <c r="FP770" s="3"/>
      <c r="FQ770" s="3"/>
      <c r="FR770" s="3"/>
      <c r="FS770" s="3"/>
      <c r="FT770" s="3"/>
      <c r="FU770" s="3"/>
      <c r="FV770" s="3"/>
      <c r="FW770" s="3"/>
      <c r="FX770" s="3"/>
      <c r="FY770" s="3"/>
      <c r="FZ770" s="3"/>
      <c r="GA770" s="3"/>
      <c r="GB770" s="3"/>
      <c r="GC770" s="3"/>
      <c r="GD770" s="3"/>
      <c r="GE770" s="3"/>
      <c r="GF770" s="3"/>
      <c r="GG770" s="3"/>
      <c r="GH770" s="3"/>
      <c r="GI770" s="3"/>
      <c r="GJ770" s="3"/>
      <c r="GK770" s="3"/>
      <c r="GL770" s="3"/>
      <c r="GM770" s="3"/>
      <c r="GN770" s="3"/>
      <c r="GO770" s="3"/>
      <c r="GP770" s="3"/>
      <c r="GQ770" s="3"/>
      <c r="GR770" s="3"/>
      <c r="GS770" s="3"/>
      <c r="GT770" s="3"/>
      <c r="GU770" s="3"/>
      <c r="GV770" s="3"/>
      <c r="GW770" s="3"/>
      <c r="GX770" s="3"/>
      <c r="GY770" s="3"/>
      <c r="GZ770" s="3"/>
      <c r="HA770" s="3"/>
      <c r="HB770" s="3"/>
      <c r="HC770" s="3"/>
      <c r="HD770" s="3"/>
      <c r="HE770" s="3"/>
      <c r="HF770" s="3"/>
      <c r="HG770" s="3"/>
      <c r="HH770" s="3"/>
      <c r="HI770" s="3"/>
      <c r="HJ770" s="3"/>
      <c r="HK770" s="80"/>
      <c r="HL770" s="80"/>
      <c r="HM770" s="80"/>
      <c r="HN770" s="80"/>
      <c r="HO770" s="80"/>
      <c r="HP770" s="80"/>
      <c r="HQ770" s="80"/>
      <c r="HR770" s="80"/>
      <c r="HS770" s="132"/>
      <c r="HT770" s="80"/>
      <c r="HU770" s="80"/>
      <c r="HV770" s="80"/>
      <c r="HW770" s="80"/>
      <c r="HX770" s="80"/>
      <c r="HY770" s="80"/>
      <c r="HZ770" s="80"/>
      <c r="IA770" s="80"/>
      <c r="IB770" s="80"/>
      <c r="IC770" s="80"/>
      <c r="ID770" s="80"/>
      <c r="IE770" s="80"/>
      <c r="IF770" s="80"/>
      <c r="IG770" s="80"/>
      <c r="IH770" s="133" t="s">
        <v>1465</v>
      </c>
      <c r="II770" s="137" t="s">
        <v>492</v>
      </c>
      <c r="IJ770" s="80"/>
      <c r="IK770" s="80"/>
      <c r="IL770" s="80"/>
      <c r="IM770" s="80"/>
      <c r="IN770" s="80"/>
      <c r="IQ770" s="80"/>
      <c r="IR770" s="80"/>
      <c r="IS770" s="80"/>
      <c r="IT770" s="80"/>
      <c r="IU770" s="80"/>
      <c r="IV770" s="80"/>
      <c r="IW770" s="132"/>
      <c r="IX770" s="80"/>
      <c r="IY770" s="80"/>
      <c r="IZ770" s="80"/>
      <c r="JA770" s="80"/>
      <c r="JB770" s="80"/>
      <c r="JC770" s="80"/>
      <c r="JD770" s="80"/>
      <c r="JE770" s="80"/>
      <c r="JF770" s="80"/>
      <c r="JG770" s="80"/>
      <c r="JH770" s="80"/>
      <c r="JI770" s="80"/>
      <c r="JJ770" s="80"/>
      <c r="JK770" s="80"/>
      <c r="JL770" s="139" t="s">
        <v>495</v>
      </c>
      <c r="JM770" s="140" t="s">
        <v>1466</v>
      </c>
      <c r="JN770" s="140" t="s">
        <v>1467</v>
      </c>
      <c r="JO770" s="140" t="s">
        <v>1467</v>
      </c>
      <c r="JR770" s="80"/>
      <c r="JS770" s="80"/>
      <c r="JT770" s="80"/>
      <c r="JU770" s="80"/>
      <c r="JV770" s="80"/>
      <c r="JW770" s="80"/>
      <c r="JX770" s="80"/>
      <c r="JY770" s="141"/>
      <c r="JZ770" s="139"/>
      <c r="KA770" s="132"/>
      <c r="KB770" s="80"/>
      <c r="KC770" s="132"/>
      <c r="KD770" s="80"/>
      <c r="KE770" s="80"/>
      <c r="KF770" s="80"/>
      <c r="KG770" s="132"/>
      <c r="KH770" s="80"/>
      <c r="KI770" s="137"/>
      <c r="KJ770" s="158"/>
      <c r="KK770" s="80"/>
      <c r="KL770" s="80"/>
      <c r="KM770" s="80"/>
      <c r="KN770" s="80"/>
      <c r="KO770" s="132"/>
      <c r="KP770" s="80"/>
      <c r="KQ770" s="162"/>
      <c r="KR770" s="139"/>
      <c r="KS770" s="80"/>
      <c r="KT770" s="80"/>
      <c r="KU770" s="143"/>
      <c r="KV770" s="158"/>
      <c r="KW770" s="80"/>
      <c r="KX770" s="80"/>
      <c r="KY770" s="80"/>
      <c r="KZ770" s="3"/>
      <c r="LA770" s="3"/>
      <c r="LB770" s="3"/>
      <c r="LC770" s="3"/>
      <c r="LD770" s="3"/>
      <c r="LE770" s="3"/>
      <c r="LF770" s="3"/>
      <c r="LG770" s="3"/>
      <c r="LH770" s="132"/>
      <c r="LI770" s="132"/>
      <c r="LJ770" s="132"/>
      <c r="LK770" s="132"/>
      <c r="LL770" s="132"/>
      <c r="LM770" s="80"/>
      <c r="LN770" s="132"/>
      <c r="LO770" s="132"/>
      <c r="LP770" s="132"/>
      <c r="LQ770" s="80"/>
      <c r="LR770" s="80"/>
      <c r="LS770" s="80"/>
      <c r="LT770" s="80"/>
      <c r="LU770" s="80"/>
      <c r="LV770" s="80"/>
      <c r="LW770" s="80"/>
      <c r="LX770" s="80"/>
      <c r="LY770" s="80"/>
      <c r="LZ770" s="80"/>
      <c r="MA770" s="80"/>
      <c r="MB770" s="80"/>
      <c r="MC770" s="80"/>
      <c r="MD770" s="80"/>
      <c r="ME770" s="80"/>
      <c r="MF770" s="80"/>
      <c r="MG770" s="80"/>
      <c r="MH770" s="80"/>
      <c r="MI770" s="80"/>
      <c r="MJ770" s="80"/>
      <c r="MK770" s="80"/>
      <c r="ML770" s="80"/>
      <c r="MM770" s="80"/>
      <c r="MN770" s="80"/>
      <c r="MO770" s="80"/>
      <c r="MP770" s="80"/>
      <c r="MQ770" s="80"/>
      <c r="MR770" s="80"/>
      <c r="MS770" s="80"/>
      <c r="MT770" s="80"/>
      <c r="MU770" s="80"/>
      <c r="MV770" s="80"/>
      <c r="MW770" s="80"/>
      <c r="MX770" s="80"/>
      <c r="MY770" s="133" t="s">
        <v>1468</v>
      </c>
      <c r="MZ770" s="80">
        <v>64</v>
      </c>
      <c r="NA770" s="133"/>
      <c r="NB770" s="144" t="s">
        <v>1479</v>
      </c>
      <c r="NC770" s="144" t="s">
        <v>1480</v>
      </c>
      <c r="ND770" s="144"/>
      <c r="NE770" s="144"/>
      <c r="NF770" s="144"/>
      <c r="NG770" s="144" t="s">
        <v>1489</v>
      </c>
      <c r="NH770" s="144"/>
      <c r="NI770" s="133"/>
      <c r="NJ770" s="133" t="s">
        <v>1492</v>
      </c>
      <c r="NK770" s="133"/>
      <c r="NL770" t="s">
        <v>1493</v>
      </c>
      <c r="NM770" s="145" t="s">
        <v>1494</v>
      </c>
      <c r="NN770" s="133"/>
      <c r="NO770" s="133"/>
      <c r="NP770" s="133"/>
      <c r="NQ770" s="133"/>
      <c r="NR770" s="133"/>
      <c r="NS770" s="133"/>
      <c r="NT770" s="133"/>
      <c r="NU770" s="133" t="s">
        <v>536</v>
      </c>
      <c r="NV770" s="146" t="s">
        <v>518</v>
      </c>
      <c r="NW770" s="153">
        <v>12.6</v>
      </c>
      <c r="NX770" s="146" t="s">
        <v>520</v>
      </c>
      <c r="NY770" s="86">
        <v>2</v>
      </c>
      <c r="NZ770" s="160"/>
      <c r="OA770" s="80"/>
      <c r="OB770" s="133">
        <v>4</v>
      </c>
      <c r="OC770" s="2"/>
      <c r="OD770" s="2"/>
      <c r="OG770" s="80"/>
      <c r="OH770" s="80"/>
      <c r="OI770" s="80"/>
      <c r="OJ770" s="80"/>
      <c r="OK770" s="80"/>
      <c r="OL770" s="80"/>
      <c r="OM770" s="144"/>
      <c r="ON770" s="144"/>
      <c r="OO770" s="144"/>
      <c r="OP770" s="144"/>
      <c r="OQ770" s="144"/>
      <c r="OR770" s="144"/>
      <c r="OS770" s="144"/>
      <c r="OT770" s="144"/>
      <c r="OU770" s="133" t="s">
        <v>1495</v>
      </c>
      <c r="OV770" s="80" t="s">
        <v>518</v>
      </c>
      <c r="OX770" s="80">
        <v>2007</v>
      </c>
      <c r="OY770" s="80">
        <v>2008</v>
      </c>
      <c r="OZ770" s="80"/>
      <c r="PA770" s="80"/>
      <c r="PB770" t="s">
        <v>522</v>
      </c>
      <c r="PC770" s="50">
        <v>46134</v>
      </c>
      <c r="PD770" s="127"/>
    </row>
    <row r="771" spans="1:420" ht="15.75" thickBot="1">
      <c r="A771" t="s">
        <v>469</v>
      </c>
      <c r="B771" t="s">
        <v>1459</v>
      </c>
      <c r="C771" s="80" t="s">
        <v>667</v>
      </c>
      <c r="D771" s="132" t="s">
        <v>950</v>
      </c>
      <c r="E771" s="2" t="s">
        <v>1460</v>
      </c>
      <c r="F771" t="s">
        <v>1179</v>
      </c>
      <c r="G771" s="80" t="s">
        <v>475</v>
      </c>
      <c r="H771" s="132" t="s">
        <v>476</v>
      </c>
      <c r="I771">
        <v>-0.41666666699999999</v>
      </c>
      <c r="J771">
        <v>34.200000000000003</v>
      </c>
      <c r="K771" s="132">
        <v>100</v>
      </c>
      <c r="L771" s="2"/>
      <c r="M771" s="88"/>
      <c r="N771" s="2"/>
      <c r="O771" s="80"/>
      <c r="P771" s="2"/>
      <c r="Q771" s="2"/>
      <c r="R771" s="80"/>
      <c r="S771" s="80"/>
      <c r="T771" s="80"/>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c r="AV771" s="80" t="s">
        <v>1461</v>
      </c>
      <c r="AW771" s="80">
        <v>64</v>
      </c>
      <c r="AX771" s="80">
        <v>0.09</v>
      </c>
      <c r="AY771" s="80">
        <v>1</v>
      </c>
      <c r="AZ771" s="133" t="s">
        <v>1462</v>
      </c>
      <c r="BA771" s="133">
        <v>2007</v>
      </c>
      <c r="BB771" s="133">
        <v>2008</v>
      </c>
      <c r="BC771" s="133" t="s">
        <v>709</v>
      </c>
      <c r="BD771" s="2" t="s">
        <v>1473</v>
      </c>
      <c r="BE771" s="2" t="s">
        <v>536</v>
      </c>
      <c r="BF771" s="133" t="s">
        <v>484</v>
      </c>
      <c r="BG771" s="2" t="s">
        <v>1464</v>
      </c>
      <c r="BH771" s="133" t="s">
        <v>480</v>
      </c>
      <c r="BI771" s="134" t="s">
        <v>486</v>
      </c>
      <c r="BJ771" s="135">
        <v>55500</v>
      </c>
      <c r="BK771" s="2" t="s">
        <v>537</v>
      </c>
      <c r="BL771" t="s">
        <v>1474</v>
      </c>
      <c r="BM771" s="133" t="s">
        <v>480</v>
      </c>
      <c r="BN771" s="2" t="s">
        <v>486</v>
      </c>
      <c r="BO771" s="2">
        <v>55000</v>
      </c>
      <c r="BP771" s="2"/>
      <c r="BQ771" s="2"/>
      <c r="BR771" s="2"/>
      <c r="BS771" s="88"/>
      <c r="BT771" s="2"/>
      <c r="BU771" s="2"/>
      <c r="BV771" s="3"/>
      <c r="BW771" s="3"/>
      <c r="BX771" s="3"/>
      <c r="BY771" s="3"/>
      <c r="BZ771" s="3"/>
      <c r="CA771" s="3"/>
      <c r="CB771" s="3"/>
      <c r="CC771" s="3"/>
      <c r="CD771" s="3"/>
      <c r="CE771" s="3"/>
      <c r="CF771" s="3"/>
      <c r="CG771" s="3"/>
      <c r="CH771" s="3"/>
      <c r="CI771" s="3"/>
      <c r="CJ771" s="3"/>
      <c r="CK771" s="3"/>
      <c r="CL771" s="3"/>
      <c r="CM771" s="3"/>
      <c r="CN771" s="3"/>
      <c r="CO771" s="3"/>
      <c r="CP771" s="3"/>
      <c r="CQ771" s="3"/>
      <c r="CR771" s="3"/>
      <c r="CS771" s="3"/>
      <c r="CT771" s="3"/>
      <c r="CU771" s="3"/>
      <c r="CV771" s="3"/>
      <c r="CW771" s="3"/>
      <c r="CX771" s="3"/>
      <c r="CY771" s="3"/>
      <c r="CZ771" s="3"/>
      <c r="DA771" s="3"/>
      <c r="DB771" s="3"/>
      <c r="DC771" s="3"/>
      <c r="DD771" s="3"/>
      <c r="DE771" s="3"/>
      <c r="DF771" s="3"/>
      <c r="DG771" s="3"/>
      <c r="DH771" s="3"/>
      <c r="DI771" s="3"/>
      <c r="DJ771" s="3"/>
      <c r="DK771" s="3"/>
      <c r="DL771" s="3"/>
      <c r="DM771" s="3"/>
      <c r="DN771" s="3"/>
      <c r="DO771" s="3"/>
      <c r="DP771" s="3"/>
      <c r="DQ771" s="3"/>
      <c r="DR771" s="3"/>
      <c r="DS771" s="3"/>
      <c r="DT771" s="3"/>
      <c r="DU771" s="3"/>
      <c r="DV771" s="3"/>
      <c r="DW771" s="3"/>
      <c r="DX771" s="3"/>
      <c r="DY771" s="3"/>
      <c r="DZ771" s="3"/>
      <c r="EA771" s="3"/>
      <c r="EB771" s="3"/>
      <c r="EC771" s="3"/>
      <c r="ED771" s="2"/>
      <c r="EE771" s="2"/>
      <c r="EF771" s="2"/>
      <c r="EG771" s="2"/>
      <c r="EH771" s="2"/>
      <c r="EI771" s="2"/>
      <c r="EJ771" s="2"/>
      <c r="EK771" s="2"/>
      <c r="EL771" s="3"/>
      <c r="EM771" s="3"/>
      <c r="EN771" s="3"/>
      <c r="EO771" s="3"/>
      <c r="EP771" s="3"/>
      <c r="EQ771" s="3"/>
      <c r="ER771" s="3"/>
      <c r="ES771" s="3"/>
      <c r="ET771" s="3"/>
      <c r="EU771" s="3"/>
      <c r="EV771" s="3"/>
      <c r="EW771" s="3"/>
      <c r="EX771" s="3"/>
      <c r="EY771" s="3"/>
      <c r="EZ771" s="3"/>
      <c r="FA771" s="3"/>
      <c r="FB771" s="3"/>
      <c r="FC771" s="3"/>
      <c r="FD771" s="3"/>
      <c r="FE771" s="3"/>
      <c r="FF771" s="3"/>
      <c r="FG771" s="3"/>
      <c r="FH771" s="3"/>
      <c r="FI771" s="3"/>
      <c r="FJ771" s="3"/>
      <c r="FK771" s="3"/>
      <c r="FL771" s="3"/>
      <c r="FM771" s="3"/>
      <c r="FN771" s="3"/>
      <c r="FO771" s="3"/>
      <c r="FP771" s="3"/>
      <c r="FQ771" s="3"/>
      <c r="FR771" s="3"/>
      <c r="FS771" s="3"/>
      <c r="FT771" s="3"/>
      <c r="FU771" s="3"/>
      <c r="FV771" s="3"/>
      <c r="FW771" s="3"/>
      <c r="FX771" s="3"/>
      <c r="FY771" s="3"/>
      <c r="FZ771" s="3"/>
      <c r="GA771" s="3"/>
      <c r="GB771" s="3"/>
      <c r="GC771" s="3"/>
      <c r="GD771" s="3"/>
      <c r="GE771" s="3"/>
      <c r="GF771" s="3"/>
      <c r="GG771" s="3"/>
      <c r="GH771" s="3"/>
      <c r="GI771" s="3"/>
      <c r="GJ771" s="3"/>
      <c r="GK771" s="3"/>
      <c r="GL771" s="3"/>
      <c r="GM771" s="3"/>
      <c r="GN771" s="3"/>
      <c r="GO771" s="3"/>
      <c r="GP771" s="3"/>
      <c r="GQ771" s="3"/>
      <c r="GR771" s="3"/>
      <c r="GS771" s="3"/>
      <c r="GT771" s="3"/>
      <c r="GU771" s="3"/>
      <c r="GV771" s="3"/>
      <c r="GW771" s="3"/>
      <c r="GX771" s="3"/>
      <c r="GY771" s="3"/>
      <c r="GZ771" s="3"/>
      <c r="HA771" s="3"/>
      <c r="HB771" s="3"/>
      <c r="HC771" s="3"/>
      <c r="HD771" s="3"/>
      <c r="HE771" s="3"/>
      <c r="HF771" s="3"/>
      <c r="HG771" s="3"/>
      <c r="HH771" s="3"/>
      <c r="HI771" s="3"/>
      <c r="HJ771" s="3"/>
      <c r="HK771" s="2"/>
      <c r="HL771" s="2"/>
      <c r="HM771" s="2"/>
      <c r="HN771" s="2"/>
      <c r="HO771" s="2"/>
      <c r="HP771" s="2"/>
      <c r="HQ771" s="2"/>
      <c r="HR771" s="2"/>
      <c r="HS771" s="88"/>
      <c r="HT771" s="2"/>
      <c r="HU771" s="2"/>
      <c r="HV771" s="2"/>
      <c r="HW771" s="2"/>
      <c r="HX771" s="2"/>
      <c r="HY771" s="2"/>
      <c r="HZ771" s="2"/>
      <c r="IA771" s="2"/>
      <c r="IB771" s="2"/>
      <c r="IC771" s="2"/>
      <c r="ID771" s="2"/>
      <c r="IE771" s="2"/>
      <c r="IF771" s="2"/>
      <c r="IG771" s="2"/>
      <c r="IH771" s="133" t="s">
        <v>1465</v>
      </c>
      <c r="II771" s="75" t="s">
        <v>929</v>
      </c>
      <c r="IJ771" s="149" t="s">
        <v>983</v>
      </c>
      <c r="IK771" s="150" t="s">
        <v>543</v>
      </c>
      <c r="IL771" s="2">
        <v>2007</v>
      </c>
      <c r="IM771" s="2" t="s">
        <v>692</v>
      </c>
      <c r="IN771" s="2" t="s">
        <v>480</v>
      </c>
      <c r="IQ771" s="2"/>
      <c r="IR771" s="2"/>
      <c r="IS771" s="2"/>
      <c r="IT771" s="2"/>
      <c r="IU771" s="2"/>
      <c r="IV771" s="2"/>
      <c r="IW771" s="88"/>
      <c r="IX771" s="2"/>
      <c r="IY771" s="2"/>
      <c r="IZ771" s="2"/>
      <c r="JA771" s="2"/>
      <c r="JB771" s="2"/>
      <c r="JC771" s="2"/>
      <c r="JD771" s="2"/>
      <c r="JE771" s="2"/>
      <c r="JF771" s="2"/>
      <c r="JG771" s="2"/>
      <c r="JH771" s="2"/>
      <c r="JI771" s="2"/>
      <c r="JJ771" s="2"/>
      <c r="JK771" s="2"/>
      <c r="JL771" s="139" t="s">
        <v>495</v>
      </c>
      <c r="JM771" s="140" t="s">
        <v>1466</v>
      </c>
      <c r="JN771" s="140" t="s">
        <v>1467</v>
      </c>
      <c r="JO771" s="140" t="s">
        <v>1467</v>
      </c>
      <c r="JR771" s="2"/>
      <c r="JS771" s="2"/>
      <c r="JT771" s="2"/>
      <c r="JU771" s="2"/>
      <c r="JV771" s="2"/>
      <c r="JW771" s="2"/>
      <c r="JX771" s="2"/>
      <c r="JY771" s="141"/>
      <c r="JZ771" s="151"/>
      <c r="KA771" s="88"/>
      <c r="KB771" s="2"/>
      <c r="KC771" s="88"/>
      <c r="KD771" s="2"/>
      <c r="KE771" s="2"/>
      <c r="KF771" s="2"/>
      <c r="KG771" s="88"/>
      <c r="KH771" s="2"/>
      <c r="KI771" s="148"/>
      <c r="KJ771" s="152"/>
      <c r="KK771" s="2"/>
      <c r="KL771" s="2"/>
      <c r="KM771" s="2"/>
      <c r="KN771" s="2"/>
      <c r="KO771" s="88"/>
      <c r="KP771" s="2"/>
      <c r="KQ771" s="162"/>
      <c r="KR771" s="151"/>
      <c r="KS771" s="2"/>
      <c r="KT771" s="2"/>
      <c r="KU771" s="143"/>
      <c r="KV771" s="152"/>
      <c r="KW771" s="2"/>
      <c r="KX771" s="2"/>
      <c r="KY771" s="2"/>
      <c r="KZ771" s="3"/>
      <c r="LA771" s="3"/>
      <c r="LB771" s="3"/>
      <c r="LC771" s="3"/>
      <c r="LD771" s="3"/>
      <c r="LE771" s="3"/>
      <c r="LF771" s="3"/>
      <c r="LG771" s="3"/>
      <c r="LH771" s="88"/>
      <c r="LI771" s="88"/>
      <c r="LJ771" s="88"/>
      <c r="LK771" s="88"/>
      <c r="LL771" s="88"/>
      <c r="LM771" s="2"/>
      <c r="LN771" s="88"/>
      <c r="LO771" s="88"/>
      <c r="LP771" s="88"/>
      <c r="LQ771" s="2"/>
      <c r="LR771" s="2"/>
      <c r="LS771" s="2"/>
      <c r="LT771" s="2"/>
      <c r="LU771" s="2"/>
      <c r="LV771" s="2"/>
      <c r="LW771" s="2"/>
      <c r="LX771" s="2"/>
      <c r="LY771" s="2"/>
      <c r="LZ771" s="2"/>
      <c r="MA771" s="2"/>
      <c r="MB771" s="2"/>
      <c r="MC771" s="2"/>
      <c r="MD771" s="2"/>
      <c r="ME771" s="2"/>
      <c r="MF771" s="2"/>
      <c r="MG771" s="2"/>
      <c r="MH771" s="2"/>
      <c r="MI771" s="2"/>
      <c r="MJ771" s="2"/>
      <c r="MK771" s="2"/>
      <c r="ML771" s="2"/>
      <c r="MM771" s="2"/>
      <c r="MN771" s="2"/>
      <c r="MO771" s="2"/>
      <c r="MP771" s="2"/>
      <c r="MQ771" s="2"/>
      <c r="MR771" s="2"/>
      <c r="MS771" s="2"/>
      <c r="MT771" s="2"/>
      <c r="MU771" s="2"/>
      <c r="MV771" s="2"/>
      <c r="MW771" s="2"/>
      <c r="MX771" s="2"/>
      <c r="MY771" s="133" t="s">
        <v>1468</v>
      </c>
      <c r="MZ771" s="80">
        <v>64</v>
      </c>
      <c r="NA771" s="133"/>
      <c r="NB771" s="144" t="s">
        <v>1479</v>
      </c>
      <c r="NC771" s="144" t="s">
        <v>1480</v>
      </c>
      <c r="ND771" s="144" t="s">
        <v>1482</v>
      </c>
      <c r="NE771" s="144"/>
      <c r="NF771" s="144"/>
      <c r="NG771" s="144" t="s">
        <v>1489</v>
      </c>
      <c r="NH771" s="144"/>
      <c r="NI771" s="133"/>
      <c r="NJ771" s="133" t="s">
        <v>1492</v>
      </c>
      <c r="NK771" s="133"/>
      <c r="NL771" t="s">
        <v>1493</v>
      </c>
      <c r="NM771" s="145" t="s">
        <v>1494</v>
      </c>
      <c r="NN771" s="133"/>
      <c r="NO771" s="133"/>
      <c r="NP771" s="133"/>
      <c r="NQ771" s="133"/>
      <c r="NR771" s="133"/>
      <c r="NS771" s="133"/>
      <c r="NT771" s="133"/>
      <c r="NU771" s="133"/>
      <c r="NV771" s="146" t="s">
        <v>518</v>
      </c>
      <c r="NW771" s="153">
        <v>5.9</v>
      </c>
      <c r="NX771" s="146" t="s">
        <v>520</v>
      </c>
      <c r="NY771" s="153">
        <v>1</v>
      </c>
      <c r="NZ771" s="154"/>
      <c r="OA771" s="2"/>
      <c r="OB771" s="133">
        <v>4</v>
      </c>
      <c r="OC771" s="80"/>
      <c r="OD771" s="80"/>
      <c r="OG771" s="2"/>
      <c r="OH771" s="2"/>
      <c r="OI771" s="2"/>
      <c r="OJ771" s="2"/>
      <c r="OK771" s="2"/>
      <c r="OL771" s="2"/>
      <c r="OU771" s="133" t="s">
        <v>1495</v>
      </c>
      <c r="OV771" s="80" t="s">
        <v>518</v>
      </c>
      <c r="OX771" s="80">
        <v>2007</v>
      </c>
      <c r="OY771" s="2">
        <v>2008</v>
      </c>
      <c r="OZ771" s="2"/>
      <c r="PA771" s="2"/>
      <c r="PB771" t="s">
        <v>522</v>
      </c>
      <c r="PC771" s="50">
        <v>46134</v>
      </c>
      <c r="PD771" s="127"/>
    </row>
    <row r="772" spans="1:420" ht="15.75" thickBot="1">
      <c r="A772" t="s">
        <v>469</v>
      </c>
      <c r="B772" t="s">
        <v>1496</v>
      </c>
      <c r="C772" t="s">
        <v>1252</v>
      </c>
      <c r="D772" t="s">
        <v>950</v>
      </c>
      <c r="E772" s="81" t="s">
        <v>1497</v>
      </c>
      <c r="F772" s="80" t="s">
        <v>1179</v>
      </c>
      <c r="G772" t="s">
        <v>475</v>
      </c>
      <c r="H772" t="s">
        <v>1079</v>
      </c>
      <c r="I772">
        <v>23.983876843571402</v>
      </c>
      <c r="J772">
        <v>90.402873983888597</v>
      </c>
      <c r="K772">
        <v>250</v>
      </c>
      <c r="AV772" t="s">
        <v>1498</v>
      </c>
      <c r="AW772">
        <f t="shared" ref="AW772:AW803" si="0">35*41</f>
        <v>1435</v>
      </c>
      <c r="AX772" t="s">
        <v>480</v>
      </c>
      <c r="AY772">
        <v>3</v>
      </c>
      <c r="AZ772" t="s">
        <v>1499</v>
      </c>
      <c r="BA772">
        <v>2009</v>
      </c>
      <c r="BB772">
        <v>2012</v>
      </c>
      <c r="BC772">
        <v>2009.2</v>
      </c>
      <c r="BD772" t="s">
        <v>1500</v>
      </c>
      <c r="BE772" t="s">
        <v>524</v>
      </c>
      <c r="BF772" t="s">
        <v>484</v>
      </c>
      <c r="BG772" t="s">
        <v>1501</v>
      </c>
      <c r="BH772" t="s">
        <v>1502</v>
      </c>
      <c r="BI772" t="s">
        <v>1503</v>
      </c>
      <c r="BJ772">
        <v>45</v>
      </c>
      <c r="BK772" t="s">
        <v>555</v>
      </c>
      <c r="BL772" t="s">
        <v>1501</v>
      </c>
      <c r="BM772" t="s">
        <v>1504</v>
      </c>
      <c r="BN772" t="s">
        <v>1503</v>
      </c>
      <c r="BO772">
        <v>49</v>
      </c>
      <c r="BP772" t="s">
        <v>555</v>
      </c>
      <c r="BQ772" t="s">
        <v>1501</v>
      </c>
      <c r="BR772" t="s">
        <v>1505</v>
      </c>
      <c r="BS772" t="s">
        <v>1503</v>
      </c>
      <c r="BT772">
        <v>49</v>
      </c>
      <c r="HK772" t="s">
        <v>1506</v>
      </c>
      <c r="HL772" t="s">
        <v>526</v>
      </c>
      <c r="HM772" t="s">
        <v>1507</v>
      </c>
      <c r="HO772" t="s">
        <v>480</v>
      </c>
      <c r="HP772">
        <v>12</v>
      </c>
      <c r="HQ772" t="s">
        <v>1508</v>
      </c>
      <c r="HS772" t="s">
        <v>1509</v>
      </c>
      <c r="HT772" s="50">
        <v>40202</v>
      </c>
      <c r="HU772" s="50"/>
      <c r="IO772" t="s">
        <v>1500</v>
      </c>
      <c r="IP772" s="46" t="s">
        <v>1510</v>
      </c>
      <c r="IS772">
        <v>2009</v>
      </c>
      <c r="IT772" t="s">
        <v>1511</v>
      </c>
      <c r="IU772" s="4" t="s">
        <v>1186</v>
      </c>
      <c r="JK772" s="2" t="s">
        <v>494</v>
      </c>
      <c r="JL772" t="s">
        <v>1512</v>
      </c>
      <c r="JM772" t="s">
        <v>1513</v>
      </c>
      <c r="JN772" t="s">
        <v>508</v>
      </c>
      <c r="JO772">
        <v>12</v>
      </c>
      <c r="JP772" t="s">
        <v>508</v>
      </c>
      <c r="JQ772">
        <f>51+69+35</f>
        <v>155</v>
      </c>
      <c r="JR772">
        <v>18</v>
      </c>
      <c r="JS772">
        <v>32</v>
      </c>
      <c r="KE772" t="s">
        <v>1514</v>
      </c>
      <c r="KF772" t="s">
        <v>1001</v>
      </c>
      <c r="KG772" t="s">
        <v>1515</v>
      </c>
      <c r="KH772">
        <v>3</v>
      </c>
      <c r="KI772" t="s">
        <v>1516</v>
      </c>
      <c r="KJ772" t="s">
        <v>530</v>
      </c>
      <c r="KN772" t="s">
        <v>545</v>
      </c>
      <c r="KO772" s="8" t="s">
        <v>1517</v>
      </c>
      <c r="KP772" t="s">
        <v>1518</v>
      </c>
      <c r="KQ772">
        <v>0.5</v>
      </c>
      <c r="KV772" t="s">
        <v>1519</v>
      </c>
      <c r="KW772" t="s">
        <v>1520</v>
      </c>
      <c r="LC772" t="s">
        <v>508</v>
      </c>
      <c r="LD772">
        <v>1500</v>
      </c>
      <c r="LL772" t="s">
        <v>1521</v>
      </c>
      <c r="LM772" t="s">
        <v>1522</v>
      </c>
      <c r="LN772">
        <v>7.5</v>
      </c>
      <c r="LT772" t="s">
        <v>1523</v>
      </c>
      <c r="LU772" t="s">
        <v>1524</v>
      </c>
      <c r="LY772" t="s">
        <v>1269</v>
      </c>
      <c r="LZ772">
        <v>2084</v>
      </c>
      <c r="MA772" t="s">
        <v>1525</v>
      </c>
      <c r="MG772" t="s">
        <v>1526</v>
      </c>
      <c r="MI772" s="50">
        <v>40292</v>
      </c>
      <c r="MY772" t="s">
        <v>1527</v>
      </c>
      <c r="MZ772">
        <v>1435</v>
      </c>
      <c r="NA772" t="s">
        <v>1528</v>
      </c>
      <c r="NB772" s="2" t="s">
        <v>1529</v>
      </c>
      <c r="ND772" s="2"/>
      <c r="NE772" s="2"/>
      <c r="NF772" s="2"/>
      <c r="NJ772" t="s">
        <v>1530</v>
      </c>
      <c r="NL772" s="132" t="s">
        <v>660</v>
      </c>
      <c r="NM772" s="184" t="s">
        <v>1531</v>
      </c>
      <c r="NU772" t="s">
        <v>1532</v>
      </c>
      <c r="NV772" t="s">
        <v>518</v>
      </c>
      <c r="NW772">
        <v>4.3</v>
      </c>
      <c r="NX772" t="s">
        <v>480</v>
      </c>
      <c r="NY772" t="s">
        <v>480</v>
      </c>
      <c r="OB772">
        <v>3</v>
      </c>
      <c r="OU772" t="s">
        <v>1533</v>
      </c>
      <c r="OV772" t="s">
        <v>518</v>
      </c>
      <c r="OX772">
        <v>2009</v>
      </c>
      <c r="OY772">
        <v>2010</v>
      </c>
      <c r="OZ772" t="s">
        <v>1511</v>
      </c>
      <c r="PA772" t="s">
        <v>1534</v>
      </c>
      <c r="PB772" t="s">
        <v>522</v>
      </c>
      <c r="PC772" s="50">
        <v>46136</v>
      </c>
      <c r="PD772" s="127"/>
    </row>
    <row r="773" spans="1:420" ht="15.75" thickBot="1">
      <c r="A773" t="s">
        <v>469</v>
      </c>
      <c r="B773" t="s">
        <v>1496</v>
      </c>
      <c r="C773" t="s">
        <v>1252</v>
      </c>
      <c r="D773" t="s">
        <v>950</v>
      </c>
      <c r="E773" s="81" t="s">
        <v>1497</v>
      </c>
      <c r="F773" s="80" t="s">
        <v>1179</v>
      </c>
      <c r="G773" t="s">
        <v>475</v>
      </c>
      <c r="H773" t="s">
        <v>1079</v>
      </c>
      <c r="I773">
        <v>23.983876843571402</v>
      </c>
      <c r="J773">
        <v>90.402873983888597</v>
      </c>
      <c r="K773">
        <v>250</v>
      </c>
      <c r="AV773" t="s">
        <v>1498</v>
      </c>
      <c r="AW773">
        <f t="shared" si="0"/>
        <v>1435</v>
      </c>
      <c r="AX773" t="s">
        <v>480</v>
      </c>
      <c r="AY773">
        <v>3</v>
      </c>
      <c r="AZ773" t="s">
        <v>1499</v>
      </c>
      <c r="BA773">
        <v>2009</v>
      </c>
      <c r="BB773">
        <v>2012</v>
      </c>
      <c r="BC773">
        <v>2009.2</v>
      </c>
      <c r="BD773" t="s">
        <v>1535</v>
      </c>
      <c r="BE773" t="s">
        <v>483</v>
      </c>
      <c r="BF773" t="s">
        <v>484</v>
      </c>
      <c r="BG773" t="s">
        <v>1501</v>
      </c>
      <c r="BH773" t="s">
        <v>1502</v>
      </c>
      <c r="BI773" t="s">
        <v>1503</v>
      </c>
      <c r="BJ773">
        <v>30</v>
      </c>
      <c r="BK773" t="s">
        <v>555</v>
      </c>
      <c r="BL773" t="s">
        <v>1501</v>
      </c>
      <c r="BM773" t="s">
        <v>1505</v>
      </c>
      <c r="BN773" t="s">
        <v>1503</v>
      </c>
      <c r="BO773">
        <v>35</v>
      </c>
      <c r="HK773" t="s">
        <v>1506</v>
      </c>
      <c r="HL773" t="s">
        <v>526</v>
      </c>
      <c r="HM773" t="s">
        <v>1507</v>
      </c>
      <c r="HO773" t="s">
        <v>480</v>
      </c>
      <c r="HP773">
        <v>12</v>
      </c>
      <c r="HQ773" t="s">
        <v>1508</v>
      </c>
      <c r="HS773" t="s">
        <v>1509</v>
      </c>
      <c r="HT773" s="50">
        <v>40192</v>
      </c>
      <c r="HU773" s="50"/>
      <c r="IO773" t="s">
        <v>1535</v>
      </c>
      <c r="IP773" s="46" t="s">
        <v>1510</v>
      </c>
      <c r="IS773">
        <v>2009</v>
      </c>
      <c r="IT773" t="s">
        <v>1511</v>
      </c>
      <c r="IU773" s="4" t="s">
        <v>1186</v>
      </c>
      <c r="JK773" s="2" t="s">
        <v>494</v>
      </c>
      <c r="JL773" s="151" t="s">
        <v>1512</v>
      </c>
      <c r="JM773" s="140" t="s">
        <v>1536</v>
      </c>
      <c r="JN773" t="s">
        <v>497</v>
      </c>
      <c r="JO773" t="s">
        <v>1537</v>
      </c>
      <c r="JP773" t="s">
        <v>508</v>
      </c>
      <c r="JQ773">
        <f>45+50+45+20</f>
        <v>160</v>
      </c>
      <c r="JR773">
        <v>20</v>
      </c>
      <c r="JS773">
        <v>65</v>
      </c>
      <c r="KE773" t="s">
        <v>1538</v>
      </c>
      <c r="KF773" t="s">
        <v>1001</v>
      </c>
      <c r="KG773" t="s">
        <v>1515</v>
      </c>
      <c r="KH773">
        <v>6</v>
      </c>
      <c r="KI773" t="s">
        <v>1516</v>
      </c>
      <c r="KJ773" t="s">
        <v>501</v>
      </c>
      <c r="KK773" s="8" t="s">
        <v>1539</v>
      </c>
      <c r="KL773" t="s">
        <v>1540</v>
      </c>
      <c r="KM773">
        <v>0.99</v>
      </c>
      <c r="KN773" t="s">
        <v>545</v>
      </c>
      <c r="KO773" t="s">
        <v>1541</v>
      </c>
      <c r="KP773" t="s">
        <v>1518</v>
      </c>
      <c r="KQ773">
        <f>0.556*2</f>
        <v>1.1120000000000001</v>
      </c>
      <c r="KV773" t="s">
        <v>1542</v>
      </c>
      <c r="KW773" t="s">
        <v>1520</v>
      </c>
      <c r="LC773" t="s">
        <v>508</v>
      </c>
      <c r="LD773">
        <v>2200</v>
      </c>
      <c r="LL773" t="s">
        <v>1521</v>
      </c>
      <c r="LM773" t="s">
        <v>1522</v>
      </c>
      <c r="LN773">
        <v>30</v>
      </c>
      <c r="LT773" t="s">
        <v>1543</v>
      </c>
      <c r="LU773" t="s">
        <v>1524</v>
      </c>
      <c r="LY773" t="s">
        <v>1269</v>
      </c>
      <c r="LZ773">
        <v>1789</v>
      </c>
      <c r="MA773" t="s">
        <v>1525</v>
      </c>
      <c r="MG773" t="s">
        <v>1526</v>
      </c>
      <c r="MI773" s="50">
        <v>40298</v>
      </c>
      <c r="MY773" t="s">
        <v>1527</v>
      </c>
      <c r="MZ773">
        <v>1435</v>
      </c>
      <c r="NA773" t="s">
        <v>1528</v>
      </c>
      <c r="NB773" s="2" t="s">
        <v>1529</v>
      </c>
      <c r="ND773" s="2"/>
      <c r="NE773" s="2"/>
      <c r="NF773" s="2"/>
      <c r="NJ773" t="s">
        <v>1530</v>
      </c>
      <c r="NL773" s="132" t="s">
        <v>660</v>
      </c>
      <c r="NM773" s="184" t="s">
        <v>1531</v>
      </c>
      <c r="NU773" t="s">
        <v>1532</v>
      </c>
      <c r="NV773" t="s">
        <v>518</v>
      </c>
      <c r="NW773">
        <v>5.0999999999999996</v>
      </c>
      <c r="NX773" t="s">
        <v>480</v>
      </c>
      <c r="NY773" t="s">
        <v>480</v>
      </c>
      <c r="OB773">
        <v>3</v>
      </c>
      <c r="OU773" t="s">
        <v>1533</v>
      </c>
      <c r="OV773" t="s">
        <v>518</v>
      </c>
      <c r="OX773">
        <v>2009</v>
      </c>
      <c r="OY773">
        <v>2010</v>
      </c>
      <c r="OZ773" t="s">
        <v>1511</v>
      </c>
      <c r="PA773" t="s">
        <v>1534</v>
      </c>
      <c r="PB773" t="s">
        <v>522</v>
      </c>
      <c r="PC773" s="50">
        <v>46136</v>
      </c>
      <c r="PD773" s="127"/>
    </row>
    <row r="774" spans="1:420" ht="15.75" thickBot="1">
      <c r="A774" t="s">
        <v>469</v>
      </c>
      <c r="B774" t="s">
        <v>1496</v>
      </c>
      <c r="C774" t="s">
        <v>1252</v>
      </c>
      <c r="D774" t="s">
        <v>950</v>
      </c>
      <c r="E774" s="81" t="s">
        <v>1497</v>
      </c>
      <c r="F774" s="80" t="s">
        <v>1179</v>
      </c>
      <c r="G774" t="s">
        <v>475</v>
      </c>
      <c r="H774" t="s">
        <v>1079</v>
      </c>
      <c r="I774">
        <v>23.983876843571402</v>
      </c>
      <c r="J774">
        <v>90.402873983888597</v>
      </c>
      <c r="K774">
        <v>250</v>
      </c>
      <c r="AV774" t="s">
        <v>1498</v>
      </c>
      <c r="AW774">
        <f t="shared" si="0"/>
        <v>1435</v>
      </c>
      <c r="AX774" t="s">
        <v>480</v>
      </c>
      <c r="AY774">
        <v>3</v>
      </c>
      <c r="AZ774" t="s">
        <v>1499</v>
      </c>
      <c r="BA774">
        <v>2009</v>
      </c>
      <c r="BB774">
        <v>2012</v>
      </c>
      <c r="BC774">
        <v>2009.2</v>
      </c>
      <c r="BD774" t="s">
        <v>1544</v>
      </c>
      <c r="BE774" t="s">
        <v>593</v>
      </c>
      <c r="BF774" t="s">
        <v>484</v>
      </c>
      <c r="BG774" t="s">
        <v>1501</v>
      </c>
      <c r="BH774" t="s">
        <v>1502</v>
      </c>
      <c r="BI774" t="s">
        <v>1503</v>
      </c>
      <c r="BJ774">
        <v>30</v>
      </c>
      <c r="BK774" t="s">
        <v>555</v>
      </c>
      <c r="BL774" t="s">
        <v>1501</v>
      </c>
      <c r="BM774" t="s">
        <v>1505</v>
      </c>
      <c r="BN774" t="s">
        <v>1503</v>
      </c>
      <c r="BO774">
        <v>19</v>
      </c>
      <c r="HK774" t="s">
        <v>1545</v>
      </c>
      <c r="HL774" t="s">
        <v>1546</v>
      </c>
      <c r="HM774" s="127" t="s">
        <v>480</v>
      </c>
      <c r="HN774" s="127" t="s">
        <v>480</v>
      </c>
      <c r="HO774" t="s">
        <v>480</v>
      </c>
      <c r="HP774">
        <v>4</v>
      </c>
      <c r="HQ774" t="s">
        <v>1547</v>
      </c>
      <c r="HS774" t="s">
        <v>1509</v>
      </c>
      <c r="HT774" s="50">
        <v>40192</v>
      </c>
      <c r="HU774" s="50"/>
      <c r="IO774" t="s">
        <v>1544</v>
      </c>
      <c r="IP774" s="46" t="s">
        <v>1510</v>
      </c>
      <c r="IS774">
        <v>2009</v>
      </c>
      <c r="IT774" t="s">
        <v>1511</v>
      </c>
      <c r="IU774" s="4" t="s">
        <v>1186</v>
      </c>
      <c r="JK774" s="2" t="s">
        <v>494</v>
      </c>
      <c r="JL774" t="s">
        <v>1512</v>
      </c>
      <c r="JM774" t="s">
        <v>1536</v>
      </c>
      <c r="JN774" t="s">
        <v>497</v>
      </c>
      <c r="JO774" t="s">
        <v>1537</v>
      </c>
      <c r="JP774" t="s">
        <v>508</v>
      </c>
      <c r="JQ774">
        <f>45+50+45+20</f>
        <v>160</v>
      </c>
      <c r="JR774">
        <v>20</v>
      </c>
      <c r="JS774">
        <v>65</v>
      </c>
      <c r="KE774" t="s">
        <v>1548</v>
      </c>
      <c r="KF774" t="s">
        <v>1001</v>
      </c>
      <c r="KG774" t="s">
        <v>1515</v>
      </c>
      <c r="KH774">
        <v>7</v>
      </c>
      <c r="KI774" t="s">
        <v>1516</v>
      </c>
      <c r="KJ774" t="s">
        <v>501</v>
      </c>
      <c r="KK774" s="8" t="s">
        <v>1539</v>
      </c>
      <c r="KL774" t="s">
        <v>1540</v>
      </c>
      <c r="KM774">
        <v>0.99</v>
      </c>
      <c r="KN774" t="s">
        <v>545</v>
      </c>
      <c r="KO774" t="s">
        <v>1541</v>
      </c>
      <c r="KP774" t="s">
        <v>1518</v>
      </c>
      <c r="KQ774">
        <f>0.556*2</f>
        <v>1.1120000000000001</v>
      </c>
      <c r="KV774" t="s">
        <v>1549</v>
      </c>
      <c r="KW774" t="s">
        <v>1520</v>
      </c>
      <c r="LC774" t="s">
        <v>508</v>
      </c>
      <c r="LD774">
        <v>2600</v>
      </c>
      <c r="LL774" t="s">
        <v>1521</v>
      </c>
      <c r="LM774" t="s">
        <v>1522</v>
      </c>
      <c r="LN774">
        <v>30</v>
      </c>
      <c r="LT774" t="s">
        <v>1550</v>
      </c>
      <c r="LU774" t="s">
        <v>1524</v>
      </c>
      <c r="LY774" t="s">
        <v>1269</v>
      </c>
      <c r="LZ774">
        <v>1898</v>
      </c>
      <c r="MA774" t="s">
        <v>1525</v>
      </c>
      <c r="MG774" t="s">
        <v>1526</v>
      </c>
      <c r="MI774" s="50">
        <v>40299</v>
      </c>
      <c r="MY774" t="s">
        <v>1527</v>
      </c>
      <c r="MZ774">
        <v>1435</v>
      </c>
      <c r="NA774" t="s">
        <v>1528</v>
      </c>
      <c r="NB774" s="2" t="s">
        <v>1529</v>
      </c>
      <c r="ND774" s="2"/>
      <c r="NE774" s="2"/>
      <c r="NF774" s="2"/>
      <c r="NJ774" t="s">
        <v>1530</v>
      </c>
      <c r="NL774" s="132" t="s">
        <v>660</v>
      </c>
      <c r="NM774" s="184" t="s">
        <v>1531</v>
      </c>
      <c r="NU774" t="s">
        <v>536</v>
      </c>
      <c r="NV774" t="s">
        <v>518</v>
      </c>
      <c r="NW774">
        <v>5</v>
      </c>
      <c r="NX774" t="s">
        <v>480</v>
      </c>
      <c r="NY774" t="s">
        <v>480</v>
      </c>
      <c r="OB774">
        <v>3</v>
      </c>
      <c r="OU774" t="s">
        <v>1533</v>
      </c>
      <c r="OV774" t="s">
        <v>518</v>
      </c>
      <c r="OX774">
        <v>2009</v>
      </c>
      <c r="OY774">
        <v>2010</v>
      </c>
      <c r="OZ774" t="s">
        <v>1511</v>
      </c>
      <c r="PA774" t="s">
        <v>1534</v>
      </c>
      <c r="PB774" t="s">
        <v>522</v>
      </c>
      <c r="PC774" s="50">
        <v>46136</v>
      </c>
      <c r="PD774" s="127"/>
    </row>
    <row r="775" spans="1:420" ht="15.75" thickBot="1">
      <c r="A775" t="s">
        <v>469</v>
      </c>
      <c r="B775" t="s">
        <v>1496</v>
      </c>
      <c r="C775" t="s">
        <v>1252</v>
      </c>
      <c r="D775" t="s">
        <v>950</v>
      </c>
      <c r="E775" s="81" t="s">
        <v>1497</v>
      </c>
      <c r="F775" s="80" t="s">
        <v>1179</v>
      </c>
      <c r="G775" t="s">
        <v>475</v>
      </c>
      <c r="H775" t="s">
        <v>1079</v>
      </c>
      <c r="I775">
        <v>23.983876843571402</v>
      </c>
      <c r="J775">
        <v>90.402873983888597</v>
      </c>
      <c r="K775">
        <v>250</v>
      </c>
      <c r="AV775" t="s">
        <v>1498</v>
      </c>
      <c r="AW775">
        <f t="shared" si="0"/>
        <v>1435</v>
      </c>
      <c r="AX775" t="s">
        <v>480</v>
      </c>
      <c r="AY775">
        <v>3</v>
      </c>
      <c r="AZ775" t="s">
        <v>1499</v>
      </c>
      <c r="BA775">
        <v>2009</v>
      </c>
      <c r="BB775">
        <v>2012</v>
      </c>
      <c r="BC775">
        <v>2009.2</v>
      </c>
      <c r="BD775" t="s">
        <v>1551</v>
      </c>
      <c r="BE775" t="s">
        <v>536</v>
      </c>
      <c r="BF775" t="s">
        <v>484</v>
      </c>
      <c r="BG775" t="s">
        <v>1278</v>
      </c>
      <c r="BH775" t="s">
        <v>1552</v>
      </c>
      <c r="BI775" t="s">
        <v>1503</v>
      </c>
      <c r="BJ775">
        <v>1614</v>
      </c>
      <c r="BK775" t="s">
        <v>555</v>
      </c>
      <c r="BL775" t="s">
        <v>485</v>
      </c>
      <c r="BM775" t="s">
        <v>1553</v>
      </c>
      <c r="BN775" t="s">
        <v>1503</v>
      </c>
      <c r="BO775">
        <v>20</v>
      </c>
      <c r="BP775" t="s">
        <v>555</v>
      </c>
      <c r="BQ775" t="s">
        <v>1290</v>
      </c>
      <c r="BR775" t="s">
        <v>1554</v>
      </c>
      <c r="BS775" t="s">
        <v>1503</v>
      </c>
      <c r="BT775">
        <v>30</v>
      </c>
      <c r="BU775" t="s">
        <v>555</v>
      </c>
      <c r="BV775" t="s">
        <v>1501</v>
      </c>
      <c r="BW775" t="s">
        <v>1555</v>
      </c>
      <c r="BX775" t="s">
        <v>1503</v>
      </c>
      <c r="BY775">
        <v>35</v>
      </c>
      <c r="BZ775" t="s">
        <v>555</v>
      </c>
      <c r="CA775" t="s">
        <v>1501</v>
      </c>
      <c r="CB775" t="s">
        <v>1556</v>
      </c>
      <c r="CC775" t="s">
        <v>1503</v>
      </c>
      <c r="CD775">
        <v>19</v>
      </c>
      <c r="HK775" t="s">
        <v>1557</v>
      </c>
      <c r="HL775" t="s">
        <v>1546</v>
      </c>
      <c r="HM775" s="127" t="s">
        <v>480</v>
      </c>
      <c r="HN775" s="127" t="s">
        <v>480</v>
      </c>
      <c r="HO775" t="s">
        <v>480</v>
      </c>
      <c r="HP775">
        <v>9</v>
      </c>
      <c r="HQ775" t="s">
        <v>1558</v>
      </c>
      <c r="HS775" t="s">
        <v>1509</v>
      </c>
      <c r="HT775" s="50">
        <v>40153</v>
      </c>
      <c r="IO775" t="s">
        <v>1551</v>
      </c>
      <c r="IP775" t="s">
        <v>1559</v>
      </c>
      <c r="IS775">
        <v>2009</v>
      </c>
      <c r="IT775" t="s">
        <v>1511</v>
      </c>
      <c r="IU775" s="4" t="s">
        <v>1186</v>
      </c>
      <c r="JK775" s="2" t="s">
        <v>494</v>
      </c>
      <c r="JL775" t="s">
        <v>1512</v>
      </c>
      <c r="JM775" t="s">
        <v>1560</v>
      </c>
      <c r="JN775" t="s">
        <v>961</v>
      </c>
      <c r="JO775" t="s">
        <v>1561</v>
      </c>
      <c r="JP775" t="s">
        <v>508</v>
      </c>
      <c r="JQ775">
        <f>80+80+38+38</f>
        <v>236</v>
      </c>
      <c r="JR775">
        <v>54</v>
      </c>
      <c r="JS775">
        <v>185</v>
      </c>
      <c r="KE775" t="s">
        <v>1562</v>
      </c>
      <c r="KF775" t="s">
        <v>1001</v>
      </c>
      <c r="KG775" t="s">
        <v>1515</v>
      </c>
      <c r="KH775">
        <v>4</v>
      </c>
      <c r="KI775" t="s">
        <v>1516</v>
      </c>
      <c r="KJ775" t="s">
        <v>530</v>
      </c>
      <c r="KN775" t="s">
        <v>545</v>
      </c>
      <c r="KO775" t="s">
        <v>1563</v>
      </c>
      <c r="KP775" t="s">
        <v>1518</v>
      </c>
      <c r="KQ775">
        <f>1.6*2</f>
        <v>3.2</v>
      </c>
      <c r="KV775" t="s">
        <v>1564</v>
      </c>
      <c r="KW775" t="s">
        <v>1520</v>
      </c>
      <c r="LC775" t="s">
        <v>508</v>
      </c>
      <c r="LD775">
        <v>4600</v>
      </c>
      <c r="LL775" t="s">
        <v>1521</v>
      </c>
      <c r="LM775" t="s">
        <v>1522</v>
      </c>
      <c r="LN775">
        <v>30</v>
      </c>
      <c r="LT775" t="s">
        <v>1565</v>
      </c>
      <c r="LU775" t="s">
        <v>1524</v>
      </c>
      <c r="LY775" t="s">
        <v>1269</v>
      </c>
      <c r="LZ775">
        <v>1426</v>
      </c>
      <c r="MA775" t="s">
        <v>1525</v>
      </c>
      <c r="MG775" t="s">
        <v>1566</v>
      </c>
      <c r="MI775" s="50">
        <v>40224</v>
      </c>
      <c r="MY775" t="s">
        <v>1527</v>
      </c>
      <c r="MZ775">
        <v>1435</v>
      </c>
      <c r="NA775" t="s">
        <v>1528</v>
      </c>
      <c r="NB775" s="2" t="s">
        <v>1529</v>
      </c>
      <c r="NE775" s="2"/>
      <c r="NF775" s="2"/>
      <c r="NJ775" t="s">
        <v>1530</v>
      </c>
      <c r="NL775" s="132" t="s">
        <v>660</v>
      </c>
      <c r="NM775" s="184" t="s">
        <v>1531</v>
      </c>
      <c r="NV775" t="s">
        <v>518</v>
      </c>
      <c r="NW775">
        <v>4.8</v>
      </c>
      <c r="NX775" t="s">
        <v>480</v>
      </c>
      <c r="NY775" t="s">
        <v>480</v>
      </c>
      <c r="OB775">
        <v>3</v>
      </c>
      <c r="OU775" t="s">
        <v>1533</v>
      </c>
      <c r="OV775" t="s">
        <v>518</v>
      </c>
      <c r="OX775">
        <v>2009</v>
      </c>
      <c r="OY775">
        <v>2010</v>
      </c>
      <c r="OZ775" t="s">
        <v>1511</v>
      </c>
      <c r="PA775" t="s">
        <v>1534</v>
      </c>
      <c r="PB775" t="s">
        <v>522</v>
      </c>
      <c r="PC775" s="50">
        <v>46136</v>
      </c>
      <c r="PD775" s="127"/>
    </row>
    <row r="776" spans="1:420" ht="15.75" thickBot="1">
      <c r="A776" t="s">
        <v>469</v>
      </c>
      <c r="B776" t="s">
        <v>1496</v>
      </c>
      <c r="C776" t="s">
        <v>1252</v>
      </c>
      <c r="D776" t="s">
        <v>950</v>
      </c>
      <c r="E776" s="81" t="s">
        <v>1497</v>
      </c>
      <c r="F776" s="80" t="s">
        <v>1179</v>
      </c>
      <c r="G776" t="s">
        <v>475</v>
      </c>
      <c r="H776" t="s">
        <v>1079</v>
      </c>
      <c r="I776">
        <v>23.983876843571402</v>
      </c>
      <c r="J776">
        <v>90.402873983888597</v>
      </c>
      <c r="K776">
        <v>250</v>
      </c>
      <c r="AV776" t="s">
        <v>1498</v>
      </c>
      <c r="AW776">
        <f t="shared" si="0"/>
        <v>1435</v>
      </c>
      <c r="AX776" t="s">
        <v>480</v>
      </c>
      <c r="AY776">
        <v>3</v>
      </c>
      <c r="AZ776" t="s">
        <v>1499</v>
      </c>
      <c r="BA776">
        <v>2009</v>
      </c>
      <c r="BB776">
        <v>2012</v>
      </c>
      <c r="BC776">
        <v>2009.2</v>
      </c>
      <c r="BD776" t="s">
        <v>1500</v>
      </c>
      <c r="BE776" t="s">
        <v>524</v>
      </c>
      <c r="BF776" t="s">
        <v>484</v>
      </c>
      <c r="BG776" t="s">
        <v>1501</v>
      </c>
      <c r="BH776" t="s">
        <v>1502</v>
      </c>
      <c r="BI776" t="s">
        <v>1503</v>
      </c>
      <c r="BJ776">
        <v>45</v>
      </c>
      <c r="BK776" t="s">
        <v>555</v>
      </c>
      <c r="BL776" t="s">
        <v>1501</v>
      </c>
      <c r="BM776" t="s">
        <v>1504</v>
      </c>
      <c r="BN776" t="s">
        <v>1503</v>
      </c>
      <c r="BO776">
        <v>49</v>
      </c>
      <c r="BP776" t="s">
        <v>555</v>
      </c>
      <c r="BQ776" t="s">
        <v>1501</v>
      </c>
      <c r="BR776" t="s">
        <v>1505</v>
      </c>
      <c r="BS776" t="s">
        <v>1503</v>
      </c>
      <c r="BT776">
        <v>49</v>
      </c>
      <c r="HK776" t="s">
        <v>1506</v>
      </c>
      <c r="HL776" t="s">
        <v>526</v>
      </c>
      <c r="HM776" t="s">
        <v>1507</v>
      </c>
      <c r="HO776" t="s">
        <v>480</v>
      </c>
      <c r="HP776">
        <v>12</v>
      </c>
      <c r="HQ776" t="s">
        <v>1508</v>
      </c>
      <c r="HS776" t="s">
        <v>1509</v>
      </c>
      <c r="HT776" s="50">
        <v>40202</v>
      </c>
      <c r="HU776" s="50"/>
      <c r="IO776" t="s">
        <v>1500</v>
      </c>
      <c r="IP776" s="46" t="s">
        <v>1510</v>
      </c>
      <c r="IS776">
        <v>2009</v>
      </c>
      <c r="IT776" t="s">
        <v>1511</v>
      </c>
      <c r="IU776" s="4" t="s">
        <v>1186</v>
      </c>
      <c r="JK776" t="s">
        <v>494</v>
      </c>
      <c r="JL776" t="s">
        <v>1512</v>
      </c>
      <c r="JM776" t="s">
        <v>1513</v>
      </c>
      <c r="JN776" t="s">
        <v>508</v>
      </c>
      <c r="JO776">
        <v>12</v>
      </c>
      <c r="JP776" t="s">
        <v>508</v>
      </c>
      <c r="JQ776">
        <f>51+69+35</f>
        <v>155</v>
      </c>
      <c r="JR776">
        <v>18</v>
      </c>
      <c r="JS776">
        <v>32</v>
      </c>
      <c r="KE776" t="s">
        <v>1514</v>
      </c>
      <c r="KF776" t="s">
        <v>1001</v>
      </c>
      <c r="KG776" t="s">
        <v>1515</v>
      </c>
      <c r="KH776">
        <v>3</v>
      </c>
      <c r="KI776" t="s">
        <v>1516</v>
      </c>
      <c r="KJ776" t="s">
        <v>530</v>
      </c>
      <c r="KN776" t="s">
        <v>545</v>
      </c>
      <c r="KO776" s="8" t="s">
        <v>1517</v>
      </c>
      <c r="KP776" t="s">
        <v>1518</v>
      </c>
      <c r="KQ776">
        <v>0.5</v>
      </c>
      <c r="KV776" t="s">
        <v>1519</v>
      </c>
      <c r="KW776" t="s">
        <v>1520</v>
      </c>
      <c r="LC776" t="s">
        <v>508</v>
      </c>
      <c r="LD776">
        <v>0</v>
      </c>
      <c r="LL776" t="s">
        <v>1521</v>
      </c>
      <c r="LM776" t="s">
        <v>1522</v>
      </c>
      <c r="LN776">
        <v>7.5</v>
      </c>
      <c r="LT776" t="s">
        <v>1523</v>
      </c>
      <c r="LU776" t="s">
        <v>1524</v>
      </c>
      <c r="LY776" t="s">
        <v>1269</v>
      </c>
      <c r="LZ776">
        <v>2172</v>
      </c>
      <c r="MA776" t="s">
        <v>1525</v>
      </c>
      <c r="MG776" t="s">
        <v>1526</v>
      </c>
      <c r="MI776" s="50">
        <v>40292</v>
      </c>
      <c r="MY776" t="s">
        <v>1527</v>
      </c>
      <c r="MZ776">
        <v>1435</v>
      </c>
      <c r="NA776" t="s">
        <v>1528</v>
      </c>
      <c r="NB776" s="2" t="s">
        <v>1529</v>
      </c>
      <c r="ND776" s="2"/>
      <c r="NE776" s="2"/>
      <c r="NF776" s="2"/>
      <c r="NJ776" t="s">
        <v>1530</v>
      </c>
      <c r="NL776" s="132" t="s">
        <v>660</v>
      </c>
      <c r="NM776" s="184" t="s">
        <v>1531</v>
      </c>
      <c r="NU776" t="s">
        <v>1532</v>
      </c>
      <c r="NV776" t="s">
        <v>518</v>
      </c>
      <c r="NW776">
        <v>3.5</v>
      </c>
      <c r="NX776" t="s">
        <v>480</v>
      </c>
      <c r="NY776" t="s">
        <v>480</v>
      </c>
      <c r="OB776">
        <v>3</v>
      </c>
      <c r="OU776" t="s">
        <v>1533</v>
      </c>
      <c r="OV776" t="s">
        <v>518</v>
      </c>
      <c r="OX776">
        <v>2010</v>
      </c>
      <c r="OY776">
        <v>2011</v>
      </c>
      <c r="OZ776" t="s">
        <v>1511</v>
      </c>
      <c r="PA776" t="s">
        <v>1534</v>
      </c>
      <c r="PB776" t="s">
        <v>522</v>
      </c>
      <c r="PC776" s="50">
        <v>46136</v>
      </c>
      <c r="PD776" s="127"/>
    </row>
    <row r="777" spans="1:420" ht="15.75" thickBot="1">
      <c r="A777" t="s">
        <v>469</v>
      </c>
      <c r="B777" t="s">
        <v>1496</v>
      </c>
      <c r="C777" t="s">
        <v>1252</v>
      </c>
      <c r="D777" t="s">
        <v>950</v>
      </c>
      <c r="E777" s="81" t="s">
        <v>1497</v>
      </c>
      <c r="F777" s="80" t="s">
        <v>1179</v>
      </c>
      <c r="G777" t="s">
        <v>475</v>
      </c>
      <c r="H777" t="s">
        <v>1079</v>
      </c>
      <c r="I777">
        <v>23.983876843571402</v>
      </c>
      <c r="J777">
        <v>90.402873983888597</v>
      </c>
      <c r="K777">
        <v>250</v>
      </c>
      <c r="AV777" t="s">
        <v>1498</v>
      </c>
      <c r="AW777">
        <f t="shared" si="0"/>
        <v>1435</v>
      </c>
      <c r="AX777" t="s">
        <v>480</v>
      </c>
      <c r="AY777">
        <v>3</v>
      </c>
      <c r="AZ777" t="s">
        <v>1499</v>
      </c>
      <c r="BA777">
        <v>2009</v>
      </c>
      <c r="BB777">
        <v>2012</v>
      </c>
      <c r="BC777">
        <v>2009.2</v>
      </c>
      <c r="BD777" t="s">
        <v>1535</v>
      </c>
      <c r="BE777" t="s">
        <v>483</v>
      </c>
      <c r="BF777" t="s">
        <v>484</v>
      </c>
      <c r="BG777" t="s">
        <v>1501</v>
      </c>
      <c r="BH777" t="s">
        <v>1502</v>
      </c>
      <c r="BI777" t="s">
        <v>1503</v>
      </c>
      <c r="BJ777">
        <v>30</v>
      </c>
      <c r="BK777" t="s">
        <v>555</v>
      </c>
      <c r="BL777" t="s">
        <v>1501</v>
      </c>
      <c r="BM777" t="s">
        <v>1505</v>
      </c>
      <c r="BN777" t="s">
        <v>1503</v>
      </c>
      <c r="BO777">
        <v>35</v>
      </c>
      <c r="HK777" t="s">
        <v>1506</v>
      </c>
      <c r="HL777" t="s">
        <v>526</v>
      </c>
      <c r="HM777" t="s">
        <v>1507</v>
      </c>
      <c r="HO777" t="s">
        <v>480</v>
      </c>
      <c r="HP777">
        <v>12</v>
      </c>
      <c r="HQ777" t="s">
        <v>1508</v>
      </c>
      <c r="HS777" t="s">
        <v>1509</v>
      </c>
      <c r="HT777" s="50">
        <v>40192</v>
      </c>
      <c r="HU777" s="50"/>
      <c r="IO777" t="s">
        <v>1535</v>
      </c>
      <c r="IP777" s="46" t="s">
        <v>1510</v>
      </c>
      <c r="IS777">
        <v>2009</v>
      </c>
      <c r="IT777" t="s">
        <v>1511</v>
      </c>
      <c r="IU777" s="4" t="s">
        <v>1186</v>
      </c>
      <c r="JK777" t="s">
        <v>494</v>
      </c>
      <c r="JL777" t="s">
        <v>1512</v>
      </c>
      <c r="JM777" t="s">
        <v>1536</v>
      </c>
      <c r="JN777" t="s">
        <v>497</v>
      </c>
      <c r="JO777" t="s">
        <v>1567</v>
      </c>
      <c r="JP777" t="s">
        <v>508</v>
      </c>
      <c r="JQ777">
        <f>42+63+65+16</f>
        <v>186</v>
      </c>
      <c r="JR777">
        <v>13</v>
      </c>
      <c r="JS777">
        <v>23</v>
      </c>
      <c r="KE777" t="s">
        <v>1538</v>
      </c>
      <c r="KF777" t="s">
        <v>1001</v>
      </c>
      <c r="KG777" t="s">
        <v>1515</v>
      </c>
      <c r="KH777">
        <v>6</v>
      </c>
      <c r="KI777" t="s">
        <v>1516</v>
      </c>
      <c r="KJ777" t="s">
        <v>501</v>
      </c>
      <c r="KK777" s="8" t="s">
        <v>1539</v>
      </c>
      <c r="KL777" t="s">
        <v>1540</v>
      </c>
      <c r="KM777">
        <v>0.99</v>
      </c>
      <c r="KN777" t="s">
        <v>545</v>
      </c>
      <c r="KO777" t="s">
        <v>1568</v>
      </c>
      <c r="KP777" t="s">
        <v>1518</v>
      </c>
      <c r="KQ777">
        <f>0.7*2</f>
        <v>1.4</v>
      </c>
      <c r="KV777" t="s">
        <v>1542</v>
      </c>
      <c r="KW777" t="s">
        <v>1520</v>
      </c>
      <c r="LC777" t="s">
        <v>508</v>
      </c>
      <c r="LD777">
        <v>1600</v>
      </c>
      <c r="LL777" t="s">
        <v>1521</v>
      </c>
      <c r="LM777" t="s">
        <v>1522</v>
      </c>
      <c r="LN777">
        <v>30</v>
      </c>
      <c r="LT777" t="s">
        <v>1543</v>
      </c>
      <c r="LU777" t="s">
        <v>1524</v>
      </c>
      <c r="LY777" t="s">
        <v>1269</v>
      </c>
      <c r="LZ777">
        <v>1946</v>
      </c>
      <c r="MA777" t="s">
        <v>1525</v>
      </c>
      <c r="MG777" t="s">
        <v>1526</v>
      </c>
      <c r="MI777" s="50">
        <v>40298</v>
      </c>
      <c r="MY777" t="s">
        <v>1527</v>
      </c>
      <c r="MZ777">
        <v>1435</v>
      </c>
      <c r="NA777" t="s">
        <v>1528</v>
      </c>
      <c r="NB777" s="2" t="s">
        <v>1529</v>
      </c>
      <c r="ND777" s="2"/>
      <c r="NE777" s="2"/>
      <c r="NF777" s="2"/>
      <c r="NJ777" t="s">
        <v>1530</v>
      </c>
      <c r="NL777" s="132" t="s">
        <v>660</v>
      </c>
      <c r="NM777" s="184" t="s">
        <v>1531</v>
      </c>
      <c r="NU777" t="s">
        <v>1532</v>
      </c>
      <c r="NV777" t="s">
        <v>518</v>
      </c>
      <c r="NW777">
        <v>5.2</v>
      </c>
      <c r="NX777" t="s">
        <v>480</v>
      </c>
      <c r="NY777" t="s">
        <v>480</v>
      </c>
      <c r="OB777">
        <v>3</v>
      </c>
      <c r="OU777" t="s">
        <v>1533</v>
      </c>
      <c r="OV777" t="s">
        <v>518</v>
      </c>
      <c r="OX777">
        <v>2010</v>
      </c>
      <c r="OY777">
        <v>2011</v>
      </c>
      <c r="OZ777" t="s">
        <v>1511</v>
      </c>
      <c r="PA777" t="s">
        <v>1534</v>
      </c>
      <c r="PB777" t="s">
        <v>522</v>
      </c>
      <c r="PC777" s="50">
        <v>46136</v>
      </c>
      <c r="PD777" s="127"/>
    </row>
    <row r="778" spans="1:420" ht="15.75" thickBot="1">
      <c r="A778" t="s">
        <v>469</v>
      </c>
      <c r="B778" t="s">
        <v>1496</v>
      </c>
      <c r="C778" t="s">
        <v>1252</v>
      </c>
      <c r="D778" t="s">
        <v>950</v>
      </c>
      <c r="E778" s="81" t="s">
        <v>1497</v>
      </c>
      <c r="F778" s="80" t="s">
        <v>1179</v>
      </c>
      <c r="G778" t="s">
        <v>475</v>
      </c>
      <c r="H778" t="s">
        <v>1079</v>
      </c>
      <c r="I778">
        <v>23.983876843571402</v>
      </c>
      <c r="J778">
        <v>90.402873983888597</v>
      </c>
      <c r="K778">
        <v>250</v>
      </c>
      <c r="AV778" t="s">
        <v>1498</v>
      </c>
      <c r="AW778">
        <f t="shared" si="0"/>
        <v>1435</v>
      </c>
      <c r="AX778" t="s">
        <v>480</v>
      </c>
      <c r="AY778">
        <v>3</v>
      </c>
      <c r="AZ778" t="s">
        <v>1499</v>
      </c>
      <c r="BA778">
        <v>2009</v>
      </c>
      <c r="BB778">
        <v>2012</v>
      </c>
      <c r="BC778">
        <v>2009.2</v>
      </c>
      <c r="BD778" t="s">
        <v>1544</v>
      </c>
      <c r="BE778" t="s">
        <v>593</v>
      </c>
      <c r="BF778" t="s">
        <v>484</v>
      </c>
      <c r="BG778" t="s">
        <v>1501</v>
      </c>
      <c r="BH778" t="s">
        <v>1502</v>
      </c>
      <c r="BI778" t="s">
        <v>1503</v>
      </c>
      <c r="BJ778">
        <v>30</v>
      </c>
      <c r="BK778" t="s">
        <v>555</v>
      </c>
      <c r="BL778" t="s">
        <v>1501</v>
      </c>
      <c r="BM778" t="s">
        <v>1505</v>
      </c>
      <c r="BN778" t="s">
        <v>1503</v>
      </c>
      <c r="BO778">
        <v>19</v>
      </c>
      <c r="HK778" t="s">
        <v>1545</v>
      </c>
      <c r="HL778" t="s">
        <v>1546</v>
      </c>
      <c r="HM778" s="127" t="s">
        <v>480</v>
      </c>
      <c r="HN778" s="127" t="s">
        <v>480</v>
      </c>
      <c r="HO778" t="s">
        <v>480</v>
      </c>
      <c r="HP778">
        <v>4</v>
      </c>
      <c r="HQ778" t="s">
        <v>1547</v>
      </c>
      <c r="HS778" t="s">
        <v>1509</v>
      </c>
      <c r="HT778" s="50">
        <v>40192</v>
      </c>
      <c r="HU778" s="50"/>
      <c r="IO778" t="s">
        <v>1544</v>
      </c>
      <c r="IP778" s="46" t="s">
        <v>1510</v>
      </c>
      <c r="IS778">
        <v>2009</v>
      </c>
      <c r="IT778" t="s">
        <v>1511</v>
      </c>
      <c r="IU778" s="4" t="s">
        <v>1186</v>
      </c>
      <c r="JK778" t="s">
        <v>494</v>
      </c>
      <c r="JL778" t="s">
        <v>1512</v>
      </c>
      <c r="JM778" t="s">
        <v>1536</v>
      </c>
      <c r="JN778" t="s">
        <v>497</v>
      </c>
      <c r="JO778" t="s">
        <v>1567</v>
      </c>
      <c r="JP778" t="s">
        <v>508</v>
      </c>
      <c r="JQ778">
        <f>42+63+65+16</f>
        <v>186</v>
      </c>
      <c r="JR778">
        <v>13</v>
      </c>
      <c r="JS778">
        <v>23</v>
      </c>
      <c r="KE778" t="s">
        <v>1548</v>
      </c>
      <c r="KF778" t="s">
        <v>1001</v>
      </c>
      <c r="KG778" t="s">
        <v>1515</v>
      </c>
      <c r="KH778">
        <v>7</v>
      </c>
      <c r="KI778" t="s">
        <v>1516</v>
      </c>
      <c r="KJ778" t="s">
        <v>501</v>
      </c>
      <c r="KK778" s="8" t="s">
        <v>1539</v>
      </c>
      <c r="KL778" t="s">
        <v>1540</v>
      </c>
      <c r="KM778">
        <v>0.99</v>
      </c>
      <c r="KN778" t="s">
        <v>545</v>
      </c>
      <c r="KO778" t="s">
        <v>1568</v>
      </c>
      <c r="KP778" t="s">
        <v>1518</v>
      </c>
      <c r="KQ778">
        <f>0.7*2</f>
        <v>1.4</v>
      </c>
      <c r="KV778" t="s">
        <v>1549</v>
      </c>
      <c r="KW778" t="s">
        <v>1520</v>
      </c>
      <c r="LC778" t="s">
        <v>508</v>
      </c>
      <c r="LD778">
        <v>1400</v>
      </c>
      <c r="LL778" t="s">
        <v>1521</v>
      </c>
      <c r="LM778" t="s">
        <v>1522</v>
      </c>
      <c r="LN778">
        <v>30</v>
      </c>
      <c r="LT778" t="s">
        <v>1550</v>
      </c>
      <c r="LU778" t="s">
        <v>1524</v>
      </c>
      <c r="LY778" t="s">
        <v>1269</v>
      </c>
      <c r="LZ778">
        <v>2001</v>
      </c>
      <c r="MA778" t="s">
        <v>1525</v>
      </c>
      <c r="MG778" t="s">
        <v>1526</v>
      </c>
      <c r="MI778" s="50">
        <v>40299</v>
      </c>
      <c r="MY778" t="s">
        <v>1527</v>
      </c>
      <c r="MZ778">
        <v>1435</v>
      </c>
      <c r="NA778" t="s">
        <v>1528</v>
      </c>
      <c r="NB778" s="2" t="s">
        <v>1529</v>
      </c>
      <c r="ND778" s="2"/>
      <c r="NE778" s="2"/>
      <c r="NF778" s="2"/>
      <c r="NJ778" t="s">
        <v>1530</v>
      </c>
      <c r="NL778" s="132" t="s">
        <v>660</v>
      </c>
      <c r="NM778" s="184" t="s">
        <v>1531</v>
      </c>
      <c r="NU778" t="s">
        <v>536</v>
      </c>
      <c r="NV778" t="s">
        <v>518</v>
      </c>
      <c r="NW778">
        <v>5.0999999999999996</v>
      </c>
      <c r="NX778" t="s">
        <v>480</v>
      </c>
      <c r="NY778" t="s">
        <v>480</v>
      </c>
      <c r="OB778">
        <v>3</v>
      </c>
      <c r="OU778" t="s">
        <v>1533</v>
      </c>
      <c r="OV778" t="s">
        <v>518</v>
      </c>
      <c r="OX778">
        <v>2010</v>
      </c>
      <c r="OY778">
        <v>2011</v>
      </c>
      <c r="OZ778" t="s">
        <v>1511</v>
      </c>
      <c r="PA778" t="s">
        <v>1534</v>
      </c>
      <c r="PB778" t="s">
        <v>522</v>
      </c>
      <c r="PC778" s="50">
        <v>46136</v>
      </c>
      <c r="PD778" s="127"/>
    </row>
    <row r="779" spans="1:420" ht="15.75" thickBot="1">
      <c r="A779" t="s">
        <v>469</v>
      </c>
      <c r="B779" t="s">
        <v>1496</v>
      </c>
      <c r="C779" t="s">
        <v>1252</v>
      </c>
      <c r="D779" t="s">
        <v>950</v>
      </c>
      <c r="E779" s="81" t="s">
        <v>1497</v>
      </c>
      <c r="F779" s="80" t="s">
        <v>1179</v>
      </c>
      <c r="G779" t="s">
        <v>475</v>
      </c>
      <c r="H779" t="s">
        <v>1079</v>
      </c>
      <c r="I779">
        <v>23.983876843571402</v>
      </c>
      <c r="J779">
        <v>90.402873983888597</v>
      </c>
      <c r="K779">
        <v>250</v>
      </c>
      <c r="AV779" t="s">
        <v>1498</v>
      </c>
      <c r="AW779">
        <f t="shared" si="0"/>
        <v>1435</v>
      </c>
      <c r="AX779" t="s">
        <v>480</v>
      </c>
      <c r="AY779">
        <v>3</v>
      </c>
      <c r="AZ779" t="s">
        <v>1499</v>
      </c>
      <c r="BA779">
        <v>2009</v>
      </c>
      <c r="BB779">
        <v>2012</v>
      </c>
      <c r="BC779">
        <v>2009.2</v>
      </c>
      <c r="BD779" t="s">
        <v>1551</v>
      </c>
      <c r="BE779" t="s">
        <v>536</v>
      </c>
      <c r="BF779" t="s">
        <v>484</v>
      </c>
      <c r="BG779" t="s">
        <v>1278</v>
      </c>
      <c r="BH779" t="s">
        <v>1552</v>
      </c>
      <c r="BI779" t="s">
        <v>1503</v>
      </c>
      <c r="BJ779">
        <v>1614</v>
      </c>
      <c r="BK779" t="s">
        <v>555</v>
      </c>
      <c r="BL779" t="s">
        <v>485</v>
      </c>
      <c r="BM779" t="s">
        <v>1553</v>
      </c>
      <c r="BN779" t="s">
        <v>1503</v>
      </c>
      <c r="BO779">
        <v>20</v>
      </c>
      <c r="BP779" t="s">
        <v>555</v>
      </c>
      <c r="BQ779" t="s">
        <v>1290</v>
      </c>
      <c r="BR779" t="s">
        <v>1554</v>
      </c>
      <c r="BS779" t="s">
        <v>1503</v>
      </c>
      <c r="BT779">
        <v>30</v>
      </c>
      <c r="BU779" t="s">
        <v>555</v>
      </c>
      <c r="BV779" t="s">
        <v>1501</v>
      </c>
      <c r="BW779" t="s">
        <v>1555</v>
      </c>
      <c r="BX779" t="s">
        <v>1503</v>
      </c>
      <c r="BY779">
        <v>35</v>
      </c>
      <c r="BZ779" t="s">
        <v>555</v>
      </c>
      <c r="CA779" t="s">
        <v>1501</v>
      </c>
      <c r="CB779" t="s">
        <v>1556</v>
      </c>
      <c r="CC779" t="s">
        <v>1503</v>
      </c>
      <c r="CD779">
        <v>19</v>
      </c>
      <c r="HK779" t="s">
        <v>1557</v>
      </c>
      <c r="HL779" t="s">
        <v>1546</v>
      </c>
      <c r="HM779" s="127" t="s">
        <v>480</v>
      </c>
      <c r="HN779" s="127" t="s">
        <v>480</v>
      </c>
      <c r="HO779" t="s">
        <v>480</v>
      </c>
      <c r="HP779">
        <v>9</v>
      </c>
      <c r="HQ779" t="s">
        <v>1558</v>
      </c>
      <c r="HS779" t="s">
        <v>1509</v>
      </c>
      <c r="HT779" s="50">
        <v>40153</v>
      </c>
      <c r="IO779" t="s">
        <v>1551</v>
      </c>
      <c r="IP779" t="s">
        <v>1559</v>
      </c>
      <c r="IS779">
        <v>2009</v>
      </c>
      <c r="IT779" t="s">
        <v>1511</v>
      </c>
      <c r="IU779" s="4" t="s">
        <v>1186</v>
      </c>
      <c r="JK779" t="s">
        <v>494</v>
      </c>
      <c r="JL779" t="s">
        <v>1512</v>
      </c>
      <c r="JM779" t="s">
        <v>1560</v>
      </c>
      <c r="JN779" t="s">
        <v>961</v>
      </c>
      <c r="JO779" t="s">
        <v>1561</v>
      </c>
      <c r="JP779" t="s">
        <v>508</v>
      </c>
      <c r="JQ779">
        <f>80+80+38+38</f>
        <v>236</v>
      </c>
      <c r="JR779">
        <v>54</v>
      </c>
      <c r="JS779">
        <v>185</v>
      </c>
      <c r="KE779" t="s">
        <v>1562</v>
      </c>
      <c r="KF779" t="s">
        <v>1001</v>
      </c>
      <c r="KG779" t="s">
        <v>1515</v>
      </c>
      <c r="KH779">
        <v>4</v>
      </c>
      <c r="KI779" t="s">
        <v>1516</v>
      </c>
      <c r="KJ779" t="s">
        <v>530</v>
      </c>
      <c r="KN779" t="s">
        <v>545</v>
      </c>
      <c r="KO779" t="s">
        <v>1563</v>
      </c>
      <c r="KP779" s="8" t="s">
        <v>1518</v>
      </c>
      <c r="KQ779">
        <v>1.6</v>
      </c>
      <c r="KS779" s="8"/>
      <c r="KV779" t="s">
        <v>1564</v>
      </c>
      <c r="KW779" t="s">
        <v>1520</v>
      </c>
      <c r="LC779" t="s">
        <v>508</v>
      </c>
      <c r="LD779">
        <v>1600</v>
      </c>
      <c r="LL779" t="s">
        <v>1521</v>
      </c>
      <c r="LM779" t="s">
        <v>1522</v>
      </c>
      <c r="LN779">
        <v>30</v>
      </c>
      <c r="LT779" t="s">
        <v>1565</v>
      </c>
      <c r="LU779" t="s">
        <v>1524</v>
      </c>
      <c r="LY779" t="s">
        <v>1269</v>
      </c>
      <c r="LZ779">
        <v>1186</v>
      </c>
      <c r="MA779" t="s">
        <v>1525</v>
      </c>
      <c r="MG779" t="s">
        <v>1566</v>
      </c>
      <c r="MI779" s="50">
        <v>40224</v>
      </c>
      <c r="MY779" t="s">
        <v>1527</v>
      </c>
      <c r="MZ779">
        <v>1435</v>
      </c>
      <c r="NA779" t="s">
        <v>1528</v>
      </c>
      <c r="NB779" s="2" t="s">
        <v>1529</v>
      </c>
      <c r="ND779" s="2"/>
      <c r="NE779" s="2"/>
      <c r="NF779" s="2"/>
      <c r="NJ779" t="s">
        <v>1530</v>
      </c>
      <c r="NL779" s="132" t="s">
        <v>660</v>
      </c>
      <c r="NM779" s="184" t="s">
        <v>1531</v>
      </c>
      <c r="NV779" t="s">
        <v>518</v>
      </c>
      <c r="NW779">
        <v>4.5</v>
      </c>
      <c r="NX779" t="s">
        <v>480</v>
      </c>
      <c r="NY779" t="s">
        <v>480</v>
      </c>
      <c r="OB779">
        <v>3</v>
      </c>
      <c r="OU779" t="s">
        <v>1533</v>
      </c>
      <c r="OV779" t="s">
        <v>518</v>
      </c>
      <c r="OX779">
        <v>2010</v>
      </c>
      <c r="OY779">
        <v>2011</v>
      </c>
      <c r="OZ779" t="s">
        <v>1511</v>
      </c>
      <c r="PA779" t="s">
        <v>1534</v>
      </c>
      <c r="PB779" t="s">
        <v>522</v>
      </c>
      <c r="PC779" s="50">
        <v>46136</v>
      </c>
      <c r="PD779" s="127"/>
    </row>
    <row r="780" spans="1:420" ht="15.75" thickBot="1">
      <c r="A780" t="s">
        <v>469</v>
      </c>
      <c r="B780" t="s">
        <v>1496</v>
      </c>
      <c r="C780" t="s">
        <v>1252</v>
      </c>
      <c r="D780" t="s">
        <v>950</v>
      </c>
      <c r="E780" s="81" t="s">
        <v>1497</v>
      </c>
      <c r="F780" s="80" t="s">
        <v>1179</v>
      </c>
      <c r="G780" t="s">
        <v>475</v>
      </c>
      <c r="H780" t="s">
        <v>1079</v>
      </c>
      <c r="I780">
        <v>23.983876843571402</v>
      </c>
      <c r="J780">
        <v>90.402873983888597</v>
      </c>
      <c r="K780">
        <v>250</v>
      </c>
      <c r="AV780" t="s">
        <v>1498</v>
      </c>
      <c r="AW780">
        <f t="shared" si="0"/>
        <v>1435</v>
      </c>
      <c r="AX780" t="s">
        <v>480</v>
      </c>
      <c r="AY780">
        <v>3</v>
      </c>
      <c r="AZ780" t="s">
        <v>1499</v>
      </c>
      <c r="BA780">
        <v>2009</v>
      </c>
      <c r="BB780">
        <v>2012</v>
      </c>
      <c r="BC780">
        <v>2009.2</v>
      </c>
      <c r="BD780" t="s">
        <v>1500</v>
      </c>
      <c r="BE780" t="s">
        <v>524</v>
      </c>
      <c r="BF780" t="s">
        <v>484</v>
      </c>
      <c r="BG780" t="s">
        <v>1501</v>
      </c>
      <c r="BH780" t="s">
        <v>1502</v>
      </c>
      <c r="BI780" t="s">
        <v>1503</v>
      </c>
      <c r="BJ780">
        <v>45</v>
      </c>
      <c r="BK780" t="s">
        <v>555</v>
      </c>
      <c r="BL780" t="s">
        <v>1501</v>
      </c>
      <c r="BM780" t="s">
        <v>1504</v>
      </c>
      <c r="BN780" t="s">
        <v>1503</v>
      </c>
      <c r="BO780">
        <v>49</v>
      </c>
      <c r="BP780" t="s">
        <v>555</v>
      </c>
      <c r="BQ780" t="s">
        <v>1501</v>
      </c>
      <c r="BR780" t="s">
        <v>1505</v>
      </c>
      <c r="BS780" t="s">
        <v>1503</v>
      </c>
      <c r="BT780">
        <v>49</v>
      </c>
      <c r="HK780" t="s">
        <v>1506</v>
      </c>
      <c r="HL780" t="s">
        <v>526</v>
      </c>
      <c r="HM780" t="s">
        <v>1507</v>
      </c>
      <c r="HO780" t="s">
        <v>480</v>
      </c>
      <c r="HP780">
        <v>12</v>
      </c>
      <c r="HQ780" t="s">
        <v>1508</v>
      </c>
      <c r="HS780" t="s">
        <v>1509</v>
      </c>
      <c r="HT780" s="50">
        <v>40202</v>
      </c>
      <c r="HU780" s="50"/>
      <c r="IO780" t="s">
        <v>1500</v>
      </c>
      <c r="IP780" s="46" t="s">
        <v>1510</v>
      </c>
      <c r="IS780">
        <v>2009</v>
      </c>
      <c r="IT780" t="s">
        <v>1511</v>
      </c>
      <c r="IU780" s="4" t="s">
        <v>1186</v>
      </c>
      <c r="JK780" t="s">
        <v>494</v>
      </c>
      <c r="JL780" t="s">
        <v>1512</v>
      </c>
      <c r="JM780" t="s">
        <v>1513</v>
      </c>
      <c r="JN780" t="s">
        <v>508</v>
      </c>
      <c r="JO780">
        <v>12</v>
      </c>
      <c r="JP780" t="s">
        <v>508</v>
      </c>
      <c r="JQ780">
        <v>51</v>
      </c>
      <c r="JR780">
        <v>18</v>
      </c>
      <c r="JS780">
        <f>32+69+35</f>
        <v>136</v>
      </c>
      <c r="KE780" t="s">
        <v>1514</v>
      </c>
      <c r="KF780" t="s">
        <v>1001</v>
      </c>
      <c r="KG780" t="s">
        <v>1515</v>
      </c>
      <c r="KH780">
        <v>3</v>
      </c>
      <c r="KI780" t="s">
        <v>1516</v>
      </c>
      <c r="KJ780" t="s">
        <v>530</v>
      </c>
      <c r="KN780" t="s">
        <v>545</v>
      </c>
      <c r="KO780" t="s">
        <v>1568</v>
      </c>
      <c r="KP780" t="s">
        <v>1518</v>
      </c>
      <c r="KQ780">
        <v>0.7</v>
      </c>
      <c r="KV780" t="s">
        <v>1519</v>
      </c>
      <c r="KW780" t="s">
        <v>1520</v>
      </c>
      <c r="LC780" t="s">
        <v>508</v>
      </c>
      <c r="LD780">
        <v>1600</v>
      </c>
      <c r="LL780" t="s">
        <v>1521</v>
      </c>
      <c r="LM780" t="s">
        <v>1522</v>
      </c>
      <c r="LN780">
        <v>7.5</v>
      </c>
      <c r="LT780" t="s">
        <v>1523</v>
      </c>
      <c r="LU780" t="s">
        <v>1524</v>
      </c>
      <c r="LY780" t="s">
        <v>1269</v>
      </c>
      <c r="LZ780">
        <v>1450</v>
      </c>
      <c r="MA780" t="s">
        <v>1525</v>
      </c>
      <c r="MG780" t="s">
        <v>1526</v>
      </c>
      <c r="MI780" s="50">
        <v>40292</v>
      </c>
      <c r="MY780" t="s">
        <v>1527</v>
      </c>
      <c r="MZ780">
        <v>1435</v>
      </c>
      <c r="NA780" t="s">
        <v>1528</v>
      </c>
      <c r="NB780" s="2" t="s">
        <v>1529</v>
      </c>
      <c r="ND780" s="2"/>
      <c r="NE780" s="2"/>
      <c r="NF780" s="2"/>
      <c r="NJ780" t="s">
        <v>1530</v>
      </c>
      <c r="NL780" s="132" t="s">
        <v>660</v>
      </c>
      <c r="NM780" s="184" t="s">
        <v>1531</v>
      </c>
      <c r="NU780" t="s">
        <v>1532</v>
      </c>
      <c r="NV780" t="s">
        <v>518</v>
      </c>
      <c r="NW780">
        <v>3.6</v>
      </c>
      <c r="NX780" t="s">
        <v>480</v>
      </c>
      <c r="NY780" t="s">
        <v>480</v>
      </c>
      <c r="OB780">
        <v>3</v>
      </c>
      <c r="OU780" t="s">
        <v>1533</v>
      </c>
      <c r="OV780" t="s">
        <v>518</v>
      </c>
      <c r="OX780">
        <v>2011</v>
      </c>
      <c r="OY780">
        <v>2012</v>
      </c>
      <c r="OZ780" t="s">
        <v>1511</v>
      </c>
      <c r="PA780" t="s">
        <v>1534</v>
      </c>
      <c r="PB780" t="s">
        <v>522</v>
      </c>
      <c r="PC780" s="50">
        <v>46136</v>
      </c>
      <c r="PD780" s="127"/>
    </row>
    <row r="781" spans="1:420" ht="15.75" thickBot="1">
      <c r="A781" t="s">
        <v>469</v>
      </c>
      <c r="B781" t="s">
        <v>1496</v>
      </c>
      <c r="C781" t="s">
        <v>1252</v>
      </c>
      <c r="D781" t="s">
        <v>950</v>
      </c>
      <c r="E781" s="81" t="s">
        <v>1497</v>
      </c>
      <c r="F781" s="80" t="s">
        <v>1179</v>
      </c>
      <c r="G781" t="s">
        <v>475</v>
      </c>
      <c r="H781" t="s">
        <v>1079</v>
      </c>
      <c r="I781">
        <v>23.983876843571402</v>
      </c>
      <c r="J781">
        <v>90.402873983888597</v>
      </c>
      <c r="K781">
        <v>250</v>
      </c>
      <c r="AV781" t="s">
        <v>1498</v>
      </c>
      <c r="AW781">
        <f t="shared" si="0"/>
        <v>1435</v>
      </c>
      <c r="AX781" t="s">
        <v>480</v>
      </c>
      <c r="AY781">
        <v>3</v>
      </c>
      <c r="AZ781" t="s">
        <v>1499</v>
      </c>
      <c r="BA781">
        <v>2009</v>
      </c>
      <c r="BB781">
        <v>2012</v>
      </c>
      <c r="BC781">
        <v>2009.2</v>
      </c>
      <c r="BD781" t="s">
        <v>1535</v>
      </c>
      <c r="BE781" t="s">
        <v>483</v>
      </c>
      <c r="BF781" t="s">
        <v>484</v>
      </c>
      <c r="BG781" t="s">
        <v>1501</v>
      </c>
      <c r="BH781" t="s">
        <v>1502</v>
      </c>
      <c r="BI781" t="s">
        <v>1503</v>
      </c>
      <c r="BJ781">
        <v>30</v>
      </c>
      <c r="BK781" t="s">
        <v>555</v>
      </c>
      <c r="BL781" t="s">
        <v>1501</v>
      </c>
      <c r="BM781" t="s">
        <v>1505</v>
      </c>
      <c r="BN781" t="s">
        <v>1503</v>
      </c>
      <c r="BO781">
        <v>35</v>
      </c>
      <c r="HK781" t="s">
        <v>1506</v>
      </c>
      <c r="HL781" t="s">
        <v>526</v>
      </c>
      <c r="HM781" t="s">
        <v>1507</v>
      </c>
      <c r="HO781" t="s">
        <v>480</v>
      </c>
      <c r="HP781">
        <v>12</v>
      </c>
      <c r="HQ781" t="s">
        <v>1508</v>
      </c>
      <c r="HS781" t="s">
        <v>1509</v>
      </c>
      <c r="HT781" s="50">
        <v>40192</v>
      </c>
      <c r="HU781" s="50"/>
      <c r="IO781" t="s">
        <v>1535</v>
      </c>
      <c r="IP781" s="46" t="s">
        <v>1510</v>
      </c>
      <c r="IS781">
        <v>2009</v>
      </c>
      <c r="IT781" t="s">
        <v>1511</v>
      </c>
      <c r="IU781" s="4" t="s">
        <v>1186</v>
      </c>
      <c r="JK781" t="s">
        <v>494</v>
      </c>
      <c r="JL781" t="s">
        <v>1512</v>
      </c>
      <c r="JM781" t="s">
        <v>1536</v>
      </c>
      <c r="JN781" t="s">
        <v>497</v>
      </c>
      <c r="JO781" t="s">
        <v>1567</v>
      </c>
      <c r="JP781" t="s">
        <v>508</v>
      </c>
      <c r="JQ781">
        <v>44</v>
      </c>
      <c r="JR781">
        <v>13</v>
      </c>
      <c r="JS781">
        <f>23+59+59+16</f>
        <v>157</v>
      </c>
      <c r="KE781" t="s">
        <v>1538</v>
      </c>
      <c r="KF781" t="s">
        <v>1001</v>
      </c>
      <c r="KG781" t="s">
        <v>1515</v>
      </c>
      <c r="KH781">
        <v>6</v>
      </c>
      <c r="KI781" t="s">
        <v>1516</v>
      </c>
      <c r="KJ781" t="s">
        <v>501</v>
      </c>
      <c r="KK781" s="8" t="s">
        <v>1539</v>
      </c>
      <c r="KL781" t="s">
        <v>1540</v>
      </c>
      <c r="KM781">
        <v>0.99</v>
      </c>
      <c r="KN781" t="s">
        <v>545</v>
      </c>
      <c r="KO781" t="s">
        <v>1568</v>
      </c>
      <c r="KP781" t="s">
        <v>1518</v>
      </c>
      <c r="KQ781">
        <v>0.7</v>
      </c>
      <c r="KV781" t="s">
        <v>1542</v>
      </c>
      <c r="KW781" t="s">
        <v>1520</v>
      </c>
      <c r="LC781" t="s">
        <v>508</v>
      </c>
      <c r="LD781">
        <v>2000</v>
      </c>
      <c r="LL781" t="s">
        <v>1521</v>
      </c>
      <c r="LM781" t="s">
        <v>1522</v>
      </c>
      <c r="LN781">
        <v>30</v>
      </c>
      <c r="LT781" t="s">
        <v>1543</v>
      </c>
      <c r="LU781" t="s">
        <v>1524</v>
      </c>
      <c r="LY781" t="s">
        <v>1269</v>
      </c>
      <c r="LZ781">
        <v>1481</v>
      </c>
      <c r="MA781" t="s">
        <v>1525</v>
      </c>
      <c r="MG781" t="s">
        <v>1526</v>
      </c>
      <c r="MI781" s="50">
        <v>40298</v>
      </c>
      <c r="MY781" t="s">
        <v>1527</v>
      </c>
      <c r="MZ781">
        <v>1435</v>
      </c>
      <c r="NA781" t="s">
        <v>1528</v>
      </c>
      <c r="NB781" s="2" t="s">
        <v>1529</v>
      </c>
      <c r="ND781" s="2"/>
      <c r="NE781" s="2"/>
      <c r="NF781" s="2"/>
      <c r="NJ781" t="s">
        <v>1530</v>
      </c>
      <c r="NL781" s="132" t="s">
        <v>660</v>
      </c>
      <c r="NM781" s="184" t="s">
        <v>1531</v>
      </c>
      <c r="NU781" t="s">
        <v>1532</v>
      </c>
      <c r="NV781" t="s">
        <v>518</v>
      </c>
      <c r="NW781">
        <v>5.3</v>
      </c>
      <c r="NX781" t="s">
        <v>480</v>
      </c>
      <c r="NY781" t="s">
        <v>480</v>
      </c>
      <c r="OB781">
        <v>3</v>
      </c>
      <c r="OU781" t="s">
        <v>1533</v>
      </c>
      <c r="OV781" t="s">
        <v>518</v>
      </c>
      <c r="OX781">
        <v>2011</v>
      </c>
      <c r="OY781">
        <v>2012</v>
      </c>
      <c r="OZ781" t="s">
        <v>1511</v>
      </c>
      <c r="PA781" t="s">
        <v>1534</v>
      </c>
      <c r="PB781" t="s">
        <v>522</v>
      </c>
      <c r="PC781" s="50">
        <v>46136</v>
      </c>
      <c r="PD781" s="127"/>
    </row>
    <row r="782" spans="1:420" ht="15.75" thickBot="1">
      <c r="A782" t="s">
        <v>469</v>
      </c>
      <c r="B782" t="s">
        <v>1496</v>
      </c>
      <c r="C782" t="s">
        <v>1252</v>
      </c>
      <c r="D782" t="s">
        <v>950</v>
      </c>
      <c r="E782" s="81" t="s">
        <v>1497</v>
      </c>
      <c r="F782" s="80" t="s">
        <v>1179</v>
      </c>
      <c r="G782" t="s">
        <v>475</v>
      </c>
      <c r="H782" t="s">
        <v>1079</v>
      </c>
      <c r="I782">
        <v>23.983876843571402</v>
      </c>
      <c r="J782">
        <v>90.402873983888597</v>
      </c>
      <c r="K782">
        <v>250</v>
      </c>
      <c r="AV782" t="s">
        <v>1498</v>
      </c>
      <c r="AW782">
        <f t="shared" si="0"/>
        <v>1435</v>
      </c>
      <c r="AX782" t="s">
        <v>480</v>
      </c>
      <c r="AY782">
        <v>3</v>
      </c>
      <c r="AZ782" t="s">
        <v>1499</v>
      </c>
      <c r="BA782">
        <v>2009</v>
      </c>
      <c r="BB782">
        <v>2012</v>
      </c>
      <c r="BC782">
        <v>2009.2</v>
      </c>
      <c r="BD782" t="s">
        <v>1544</v>
      </c>
      <c r="BE782" t="s">
        <v>593</v>
      </c>
      <c r="BF782" t="s">
        <v>484</v>
      </c>
      <c r="BG782" t="s">
        <v>1501</v>
      </c>
      <c r="BH782" t="s">
        <v>1502</v>
      </c>
      <c r="BI782" t="s">
        <v>1503</v>
      </c>
      <c r="BJ782">
        <v>30</v>
      </c>
      <c r="BK782" t="s">
        <v>555</v>
      </c>
      <c r="BL782" t="s">
        <v>1501</v>
      </c>
      <c r="BM782" t="s">
        <v>1505</v>
      </c>
      <c r="BN782" t="s">
        <v>1503</v>
      </c>
      <c r="BO782">
        <v>19</v>
      </c>
      <c r="HK782" t="s">
        <v>1545</v>
      </c>
      <c r="HL782" t="s">
        <v>1546</v>
      </c>
      <c r="HM782" s="127" t="s">
        <v>480</v>
      </c>
      <c r="HN782" s="127" t="s">
        <v>480</v>
      </c>
      <c r="HO782" t="s">
        <v>480</v>
      </c>
      <c r="HP782">
        <v>4</v>
      </c>
      <c r="HQ782" t="s">
        <v>1547</v>
      </c>
      <c r="HS782" t="s">
        <v>1509</v>
      </c>
      <c r="HT782" s="50">
        <v>40192</v>
      </c>
      <c r="HU782" s="50"/>
      <c r="IO782" t="s">
        <v>1544</v>
      </c>
      <c r="IP782" s="46" t="s">
        <v>1510</v>
      </c>
      <c r="IS782">
        <v>2009</v>
      </c>
      <c r="IT782" t="s">
        <v>1511</v>
      </c>
      <c r="IU782" s="4" t="s">
        <v>1186</v>
      </c>
      <c r="JK782" t="s">
        <v>494</v>
      </c>
      <c r="JL782" t="s">
        <v>1512</v>
      </c>
      <c r="JM782" t="s">
        <v>1536</v>
      </c>
      <c r="JN782" t="s">
        <v>497</v>
      </c>
      <c r="JO782" t="s">
        <v>1567</v>
      </c>
      <c r="JP782" t="s">
        <v>508</v>
      </c>
      <c r="JQ782">
        <v>44</v>
      </c>
      <c r="JR782">
        <v>13</v>
      </c>
      <c r="JS782">
        <f>23+59+59+16</f>
        <v>157</v>
      </c>
      <c r="KE782" t="s">
        <v>1548</v>
      </c>
      <c r="KF782" t="s">
        <v>1001</v>
      </c>
      <c r="KG782" t="s">
        <v>1515</v>
      </c>
      <c r="KH782">
        <v>7</v>
      </c>
      <c r="KI782" t="s">
        <v>1516</v>
      </c>
      <c r="KJ782" t="s">
        <v>501</v>
      </c>
      <c r="KK782" s="8" t="s">
        <v>1539</v>
      </c>
      <c r="KL782" t="s">
        <v>1540</v>
      </c>
      <c r="KM782">
        <v>0.99</v>
      </c>
      <c r="KN782" t="s">
        <v>545</v>
      </c>
      <c r="KO782" t="s">
        <v>1568</v>
      </c>
      <c r="KP782" t="s">
        <v>1518</v>
      </c>
      <c r="KQ782">
        <v>0.7</v>
      </c>
      <c r="KV782" t="s">
        <v>1549</v>
      </c>
      <c r="KW782" t="s">
        <v>1520</v>
      </c>
      <c r="LC782" t="s">
        <v>508</v>
      </c>
      <c r="LD782">
        <v>1900</v>
      </c>
      <c r="LL782" t="s">
        <v>1521</v>
      </c>
      <c r="LM782" t="s">
        <v>1522</v>
      </c>
      <c r="LN782">
        <v>30</v>
      </c>
      <c r="LT782" t="s">
        <v>1550</v>
      </c>
      <c r="LU782" t="s">
        <v>1524</v>
      </c>
      <c r="LY782" t="s">
        <v>1269</v>
      </c>
      <c r="LZ782">
        <v>1530</v>
      </c>
      <c r="MA782" t="s">
        <v>1525</v>
      </c>
      <c r="MG782" t="s">
        <v>1526</v>
      </c>
      <c r="MI782" s="50">
        <v>40299</v>
      </c>
      <c r="MY782" t="s">
        <v>1527</v>
      </c>
      <c r="MZ782">
        <v>1435</v>
      </c>
      <c r="NA782" t="s">
        <v>1528</v>
      </c>
      <c r="NB782" s="2" t="s">
        <v>1529</v>
      </c>
      <c r="ND782" s="2"/>
      <c r="NE782" s="2"/>
      <c r="NF782" s="2"/>
      <c r="NJ782" t="s">
        <v>1530</v>
      </c>
      <c r="NL782" s="132" t="s">
        <v>660</v>
      </c>
      <c r="NM782" s="184" t="s">
        <v>1531</v>
      </c>
      <c r="NU782" t="s">
        <v>536</v>
      </c>
      <c r="NV782" t="s">
        <v>518</v>
      </c>
      <c r="NW782">
        <v>4.9000000000000004</v>
      </c>
      <c r="NX782" t="s">
        <v>480</v>
      </c>
      <c r="NY782" t="s">
        <v>480</v>
      </c>
      <c r="OB782">
        <v>3</v>
      </c>
      <c r="OU782" t="s">
        <v>1533</v>
      </c>
      <c r="OV782" t="s">
        <v>518</v>
      </c>
      <c r="OX782">
        <v>2011</v>
      </c>
      <c r="OY782">
        <v>2012</v>
      </c>
      <c r="OZ782" t="s">
        <v>1511</v>
      </c>
      <c r="PA782" t="s">
        <v>1534</v>
      </c>
      <c r="PB782" t="s">
        <v>522</v>
      </c>
      <c r="PC782" s="50">
        <v>46136</v>
      </c>
      <c r="PD782" s="127"/>
    </row>
    <row r="783" spans="1:420" ht="15.75" thickBot="1">
      <c r="A783" t="s">
        <v>469</v>
      </c>
      <c r="B783" t="s">
        <v>1496</v>
      </c>
      <c r="C783" t="s">
        <v>1252</v>
      </c>
      <c r="D783" t="s">
        <v>950</v>
      </c>
      <c r="E783" s="81" t="s">
        <v>1497</v>
      </c>
      <c r="F783" s="80" t="s">
        <v>1179</v>
      </c>
      <c r="G783" t="s">
        <v>475</v>
      </c>
      <c r="H783" t="s">
        <v>1079</v>
      </c>
      <c r="I783">
        <v>23.983876843571402</v>
      </c>
      <c r="J783">
        <v>90.402873983888597</v>
      </c>
      <c r="K783">
        <v>250</v>
      </c>
      <c r="AV783" t="s">
        <v>1498</v>
      </c>
      <c r="AW783">
        <f t="shared" si="0"/>
        <v>1435</v>
      </c>
      <c r="AX783" t="s">
        <v>480</v>
      </c>
      <c r="AY783">
        <v>3</v>
      </c>
      <c r="AZ783" t="s">
        <v>1499</v>
      </c>
      <c r="BA783">
        <v>2009</v>
      </c>
      <c r="BB783">
        <v>2012</v>
      </c>
      <c r="BC783">
        <v>2009.2</v>
      </c>
      <c r="BD783" t="s">
        <v>1551</v>
      </c>
      <c r="BE783" t="s">
        <v>536</v>
      </c>
      <c r="BF783" t="s">
        <v>484</v>
      </c>
      <c r="BG783" t="s">
        <v>1278</v>
      </c>
      <c r="BH783" t="s">
        <v>1552</v>
      </c>
      <c r="BI783" t="s">
        <v>1503</v>
      </c>
      <c r="BJ783">
        <v>1614</v>
      </c>
      <c r="BK783" t="s">
        <v>555</v>
      </c>
      <c r="BL783" t="s">
        <v>485</v>
      </c>
      <c r="BM783" t="s">
        <v>1553</v>
      </c>
      <c r="BN783" t="s">
        <v>1503</v>
      </c>
      <c r="BO783">
        <v>20</v>
      </c>
      <c r="BP783" t="s">
        <v>555</v>
      </c>
      <c r="BQ783" t="s">
        <v>1290</v>
      </c>
      <c r="BR783" t="s">
        <v>1554</v>
      </c>
      <c r="BS783" t="s">
        <v>1503</v>
      </c>
      <c r="BT783">
        <v>30</v>
      </c>
      <c r="BU783" t="s">
        <v>555</v>
      </c>
      <c r="BV783" t="s">
        <v>1501</v>
      </c>
      <c r="BW783" t="s">
        <v>1555</v>
      </c>
      <c r="BX783" t="s">
        <v>1503</v>
      </c>
      <c r="BY783">
        <v>35</v>
      </c>
      <c r="BZ783" t="s">
        <v>555</v>
      </c>
      <c r="CA783" t="s">
        <v>1501</v>
      </c>
      <c r="CB783" t="s">
        <v>1556</v>
      </c>
      <c r="CC783" t="s">
        <v>1503</v>
      </c>
      <c r="CD783">
        <v>19</v>
      </c>
      <c r="HK783" t="s">
        <v>1557</v>
      </c>
      <c r="HL783" t="s">
        <v>1546</v>
      </c>
      <c r="HM783" s="127" t="s">
        <v>480</v>
      </c>
      <c r="HN783" s="127" t="s">
        <v>480</v>
      </c>
      <c r="HO783" t="s">
        <v>480</v>
      </c>
      <c r="HP783">
        <v>9</v>
      </c>
      <c r="HQ783" t="s">
        <v>1558</v>
      </c>
      <c r="HS783" t="s">
        <v>1509</v>
      </c>
      <c r="HT783" s="50">
        <v>40153</v>
      </c>
      <c r="IO783" t="s">
        <v>1551</v>
      </c>
      <c r="IP783" t="s">
        <v>1559</v>
      </c>
      <c r="IS783">
        <v>2009</v>
      </c>
      <c r="IT783" t="s">
        <v>1511</v>
      </c>
      <c r="IU783" s="4" t="s">
        <v>1186</v>
      </c>
      <c r="JK783" t="s">
        <v>494</v>
      </c>
      <c r="JL783" t="s">
        <v>1512</v>
      </c>
      <c r="JM783" t="s">
        <v>1560</v>
      </c>
      <c r="JN783" t="s">
        <v>961</v>
      </c>
      <c r="JO783" t="s">
        <v>1569</v>
      </c>
      <c r="JP783" t="s">
        <v>508</v>
      </c>
      <c r="JQ783">
        <v>58</v>
      </c>
      <c r="JR783">
        <v>32</v>
      </c>
      <c r="JS783">
        <v>127</v>
      </c>
      <c r="KE783" t="s">
        <v>1562</v>
      </c>
      <c r="KF783" t="s">
        <v>1001</v>
      </c>
      <c r="KG783" t="s">
        <v>1515</v>
      </c>
      <c r="KH783">
        <v>4</v>
      </c>
      <c r="KI783" t="s">
        <v>1516</v>
      </c>
      <c r="KJ783" t="s">
        <v>530</v>
      </c>
      <c r="KN783" t="s">
        <v>545</v>
      </c>
      <c r="KO783" t="s">
        <v>1563</v>
      </c>
      <c r="KP783" t="s">
        <v>1518</v>
      </c>
      <c r="KQ783">
        <f>1.6*2</f>
        <v>3.2</v>
      </c>
      <c r="KR783" t="s">
        <v>545</v>
      </c>
      <c r="KS783" t="s">
        <v>1570</v>
      </c>
      <c r="KT783" t="s">
        <v>503</v>
      </c>
      <c r="KU783">
        <v>1.47</v>
      </c>
      <c r="KV783" t="s">
        <v>1564</v>
      </c>
      <c r="KW783" t="s">
        <v>1520</v>
      </c>
      <c r="LC783" t="s">
        <v>508</v>
      </c>
      <c r="LD783">
        <v>1600</v>
      </c>
      <c r="LL783" t="s">
        <v>1521</v>
      </c>
      <c r="LM783" t="s">
        <v>1522</v>
      </c>
      <c r="LN783">
        <v>30</v>
      </c>
      <c r="LT783" t="s">
        <v>1565</v>
      </c>
      <c r="LU783" t="s">
        <v>1524</v>
      </c>
      <c r="LY783" t="s">
        <v>1269</v>
      </c>
      <c r="LZ783">
        <v>805</v>
      </c>
      <c r="MA783" t="s">
        <v>1525</v>
      </c>
      <c r="MG783" t="s">
        <v>1566</v>
      </c>
      <c r="MI783" s="50">
        <v>40224</v>
      </c>
      <c r="MY783" t="s">
        <v>1527</v>
      </c>
      <c r="MZ783">
        <v>1435</v>
      </c>
      <c r="NA783" t="s">
        <v>1528</v>
      </c>
      <c r="NB783" s="2" t="s">
        <v>1529</v>
      </c>
      <c r="NE783" s="2"/>
      <c r="NF783" s="2"/>
      <c r="NJ783" t="s">
        <v>1530</v>
      </c>
      <c r="NL783" s="132" t="s">
        <v>660</v>
      </c>
      <c r="NM783" s="184" t="s">
        <v>1531</v>
      </c>
      <c r="NV783" t="s">
        <v>518</v>
      </c>
      <c r="NW783">
        <v>4.8</v>
      </c>
      <c r="NX783" t="s">
        <v>480</v>
      </c>
      <c r="NY783" t="s">
        <v>480</v>
      </c>
      <c r="OB783">
        <v>3</v>
      </c>
      <c r="OU783" t="s">
        <v>1533</v>
      </c>
      <c r="OV783" t="s">
        <v>518</v>
      </c>
      <c r="OX783">
        <v>2011</v>
      </c>
      <c r="OY783">
        <v>2012</v>
      </c>
      <c r="OZ783" t="s">
        <v>1511</v>
      </c>
      <c r="PA783" t="s">
        <v>1534</v>
      </c>
      <c r="PB783" t="s">
        <v>522</v>
      </c>
      <c r="PC783" s="50">
        <v>46136</v>
      </c>
      <c r="PD783" s="127"/>
    </row>
    <row r="784" spans="1:420" ht="15.75" thickBot="1">
      <c r="A784" t="s">
        <v>469</v>
      </c>
      <c r="B784" t="s">
        <v>1496</v>
      </c>
      <c r="C784" t="s">
        <v>1252</v>
      </c>
      <c r="D784" t="s">
        <v>950</v>
      </c>
      <c r="E784" s="81" t="s">
        <v>1497</v>
      </c>
      <c r="F784" s="80" t="s">
        <v>1179</v>
      </c>
      <c r="G784" t="s">
        <v>475</v>
      </c>
      <c r="H784" t="s">
        <v>1079</v>
      </c>
      <c r="I784">
        <v>23.983876843571402</v>
      </c>
      <c r="J784">
        <v>90.402873983888597</v>
      </c>
      <c r="K784">
        <v>250</v>
      </c>
      <c r="AV784" t="s">
        <v>1498</v>
      </c>
      <c r="AW784">
        <f t="shared" si="0"/>
        <v>1435</v>
      </c>
      <c r="AX784" t="s">
        <v>480</v>
      </c>
      <c r="AY784">
        <v>3</v>
      </c>
      <c r="AZ784" t="s">
        <v>1499</v>
      </c>
      <c r="BA784">
        <v>2009</v>
      </c>
      <c r="BB784">
        <v>2012</v>
      </c>
      <c r="BC784">
        <v>2009.2</v>
      </c>
      <c r="BD784" t="s">
        <v>1500</v>
      </c>
      <c r="BE784" t="s">
        <v>524</v>
      </c>
      <c r="BF784" t="s">
        <v>484</v>
      </c>
      <c r="BG784" t="s">
        <v>1501</v>
      </c>
      <c r="BH784" t="s">
        <v>1502</v>
      </c>
      <c r="BI784" t="s">
        <v>1503</v>
      </c>
      <c r="BJ784">
        <v>45</v>
      </c>
      <c r="BK784" t="s">
        <v>555</v>
      </c>
      <c r="BL784" t="s">
        <v>1501</v>
      </c>
      <c r="BM784" t="s">
        <v>1504</v>
      </c>
      <c r="BN784" t="s">
        <v>1503</v>
      </c>
      <c r="BO784">
        <v>49</v>
      </c>
      <c r="BP784" t="s">
        <v>555</v>
      </c>
      <c r="BQ784" t="s">
        <v>1501</v>
      </c>
      <c r="BR784" t="s">
        <v>1505</v>
      </c>
      <c r="BS784" t="s">
        <v>1503</v>
      </c>
      <c r="BT784">
        <v>49</v>
      </c>
      <c r="HK784" t="s">
        <v>1506</v>
      </c>
      <c r="HL784" t="s">
        <v>526</v>
      </c>
      <c r="HM784" t="s">
        <v>1507</v>
      </c>
      <c r="HO784" t="s">
        <v>480</v>
      </c>
      <c r="HP784">
        <v>12</v>
      </c>
      <c r="HQ784" t="s">
        <v>1508</v>
      </c>
      <c r="HS784" t="s">
        <v>1509</v>
      </c>
      <c r="HT784" s="50">
        <v>40202</v>
      </c>
      <c r="HU784" s="50"/>
      <c r="IO784" t="s">
        <v>1500</v>
      </c>
      <c r="IP784" s="46" t="s">
        <v>1510</v>
      </c>
      <c r="IS784">
        <v>2009</v>
      </c>
      <c r="IT784" t="s">
        <v>1511</v>
      </c>
      <c r="IU784" s="4" t="s">
        <v>1186</v>
      </c>
      <c r="JK784" s="2" t="s">
        <v>494</v>
      </c>
      <c r="JL784" t="s">
        <v>495</v>
      </c>
      <c r="JM784" t="s">
        <v>1513</v>
      </c>
      <c r="JN784" t="s">
        <v>508</v>
      </c>
      <c r="JO784">
        <v>12</v>
      </c>
      <c r="JP784" t="s">
        <v>508</v>
      </c>
      <c r="JQ784">
        <v>155</v>
      </c>
      <c r="JR784">
        <v>18</v>
      </c>
      <c r="JS784">
        <v>32</v>
      </c>
      <c r="KE784" t="s">
        <v>1514</v>
      </c>
      <c r="KF784" t="s">
        <v>1001</v>
      </c>
      <c r="KG784" t="s">
        <v>1515</v>
      </c>
      <c r="KH784">
        <v>3</v>
      </c>
      <c r="KI784" t="s">
        <v>1516</v>
      </c>
      <c r="KJ784" t="s">
        <v>530</v>
      </c>
      <c r="KN784" t="s">
        <v>545</v>
      </c>
      <c r="KO784" s="8" t="s">
        <v>1517</v>
      </c>
      <c r="KP784" t="s">
        <v>1518</v>
      </c>
      <c r="KQ784">
        <v>0.5</v>
      </c>
      <c r="KV784" t="s">
        <v>1519</v>
      </c>
      <c r="KW784" t="s">
        <v>1520</v>
      </c>
      <c r="LC784" t="s">
        <v>508</v>
      </c>
      <c r="LD784">
        <v>1500</v>
      </c>
      <c r="LL784" t="s">
        <v>1521</v>
      </c>
      <c r="LM784" t="s">
        <v>1522</v>
      </c>
      <c r="LN784">
        <v>7.5</v>
      </c>
      <c r="LT784" t="s">
        <v>1523</v>
      </c>
      <c r="LU784" t="s">
        <v>1524</v>
      </c>
      <c r="LY784" t="s">
        <v>1269</v>
      </c>
      <c r="LZ784">
        <v>2084</v>
      </c>
      <c r="MA784" t="s">
        <v>1525</v>
      </c>
      <c r="MG784" t="s">
        <v>1526</v>
      </c>
      <c r="MI784" s="50">
        <v>40292</v>
      </c>
      <c r="MY784" t="s">
        <v>1527</v>
      </c>
      <c r="MZ784">
        <v>1435</v>
      </c>
      <c r="NA784" t="s">
        <v>1571</v>
      </c>
      <c r="NB784" s="2" t="s">
        <v>1529</v>
      </c>
      <c r="NC784" s="2" t="s">
        <v>1529</v>
      </c>
      <c r="ND784" s="2"/>
      <c r="NE784" s="2"/>
      <c r="NJ784" t="s">
        <v>1572</v>
      </c>
      <c r="NK784" t="s">
        <v>1573</v>
      </c>
      <c r="NL784" s="132" t="s">
        <v>1312</v>
      </c>
      <c r="NM784" s="184" t="s">
        <v>1313</v>
      </c>
      <c r="NU784" t="s">
        <v>1532</v>
      </c>
      <c r="NV784" t="s">
        <v>518</v>
      </c>
      <c r="NW784">
        <v>0.5</v>
      </c>
      <c r="NX784" t="s">
        <v>480</v>
      </c>
      <c r="OB784">
        <v>3</v>
      </c>
      <c r="OU784" t="s">
        <v>1574</v>
      </c>
      <c r="OV784" t="s">
        <v>518</v>
      </c>
      <c r="OX784">
        <v>2009</v>
      </c>
      <c r="OY784">
        <v>2010</v>
      </c>
      <c r="OZ784" t="s">
        <v>1511</v>
      </c>
      <c r="PA784" t="s">
        <v>1534</v>
      </c>
      <c r="PB784" t="s">
        <v>522</v>
      </c>
      <c r="PC784" s="50">
        <v>46136</v>
      </c>
      <c r="PD784" s="127"/>
    </row>
    <row r="785" spans="1:420" ht="15.75" thickBot="1">
      <c r="A785" t="s">
        <v>469</v>
      </c>
      <c r="B785" t="s">
        <v>1496</v>
      </c>
      <c r="C785" t="s">
        <v>1252</v>
      </c>
      <c r="D785" t="s">
        <v>950</v>
      </c>
      <c r="E785" s="81" t="s">
        <v>1497</v>
      </c>
      <c r="F785" s="80" t="s">
        <v>1179</v>
      </c>
      <c r="G785" t="s">
        <v>475</v>
      </c>
      <c r="H785" t="s">
        <v>1079</v>
      </c>
      <c r="I785">
        <v>23.983876843571402</v>
      </c>
      <c r="J785">
        <v>90.402873983888597</v>
      </c>
      <c r="K785">
        <v>250</v>
      </c>
      <c r="AV785" t="s">
        <v>1498</v>
      </c>
      <c r="AW785">
        <f t="shared" si="0"/>
        <v>1435</v>
      </c>
      <c r="AX785" t="s">
        <v>480</v>
      </c>
      <c r="AY785">
        <v>3</v>
      </c>
      <c r="AZ785" t="s">
        <v>1499</v>
      </c>
      <c r="BA785">
        <v>2009</v>
      </c>
      <c r="BB785">
        <v>2012</v>
      </c>
      <c r="BC785">
        <v>2009.2</v>
      </c>
      <c r="BD785" t="s">
        <v>1535</v>
      </c>
      <c r="BE785" t="s">
        <v>483</v>
      </c>
      <c r="BF785" t="s">
        <v>484</v>
      </c>
      <c r="BG785" t="s">
        <v>1501</v>
      </c>
      <c r="BH785" t="s">
        <v>1502</v>
      </c>
      <c r="BI785" t="s">
        <v>1503</v>
      </c>
      <c r="BJ785">
        <v>30</v>
      </c>
      <c r="BK785" t="s">
        <v>555</v>
      </c>
      <c r="BL785" t="s">
        <v>1501</v>
      </c>
      <c r="BM785" t="s">
        <v>1505</v>
      </c>
      <c r="BN785" t="s">
        <v>1503</v>
      </c>
      <c r="BO785">
        <v>35</v>
      </c>
      <c r="HK785" t="s">
        <v>1506</v>
      </c>
      <c r="HL785" t="s">
        <v>526</v>
      </c>
      <c r="HM785" t="s">
        <v>1507</v>
      </c>
      <c r="HO785" t="s">
        <v>480</v>
      </c>
      <c r="HP785">
        <v>12</v>
      </c>
      <c r="HQ785" t="s">
        <v>1508</v>
      </c>
      <c r="HS785" t="s">
        <v>1509</v>
      </c>
      <c r="HT785" s="50">
        <v>40192</v>
      </c>
      <c r="HU785" s="50"/>
      <c r="IO785" t="s">
        <v>1535</v>
      </c>
      <c r="IP785" s="46" t="s">
        <v>1510</v>
      </c>
      <c r="IS785">
        <v>2009</v>
      </c>
      <c r="IT785" t="s">
        <v>1511</v>
      </c>
      <c r="IU785" s="4" t="s">
        <v>1186</v>
      </c>
      <c r="JK785" s="2" t="s">
        <v>494</v>
      </c>
      <c r="JL785" s="151" t="s">
        <v>1512</v>
      </c>
      <c r="JM785" s="140" t="s">
        <v>1536</v>
      </c>
      <c r="JN785" t="s">
        <v>497</v>
      </c>
      <c r="JO785" t="s">
        <v>1537</v>
      </c>
      <c r="JP785" t="s">
        <v>508</v>
      </c>
      <c r="JQ785">
        <f>45+50+45+20</f>
        <v>160</v>
      </c>
      <c r="JR785">
        <v>20</v>
      </c>
      <c r="JS785">
        <v>65</v>
      </c>
      <c r="KE785" t="s">
        <v>1538</v>
      </c>
      <c r="KF785" t="s">
        <v>1001</v>
      </c>
      <c r="KG785" t="s">
        <v>1515</v>
      </c>
      <c r="KH785">
        <v>6</v>
      </c>
      <c r="KI785" t="s">
        <v>1516</v>
      </c>
      <c r="KJ785" t="s">
        <v>501</v>
      </c>
      <c r="KK785" s="8" t="s">
        <v>1539</v>
      </c>
      <c r="KL785" t="s">
        <v>1540</v>
      </c>
      <c r="KM785">
        <v>0.99</v>
      </c>
      <c r="KN785" t="s">
        <v>545</v>
      </c>
      <c r="KO785" t="s">
        <v>1541</v>
      </c>
      <c r="KP785" t="s">
        <v>1518</v>
      </c>
      <c r="KQ785">
        <f>0.556*2</f>
        <v>1.1120000000000001</v>
      </c>
      <c r="KV785" t="s">
        <v>1542</v>
      </c>
      <c r="KW785" t="s">
        <v>1520</v>
      </c>
      <c r="LC785" t="s">
        <v>508</v>
      </c>
      <c r="LD785">
        <v>2200</v>
      </c>
      <c r="LL785" t="s">
        <v>1521</v>
      </c>
      <c r="LM785" t="s">
        <v>1522</v>
      </c>
      <c r="LN785">
        <v>30</v>
      </c>
      <c r="LT785" t="s">
        <v>1543</v>
      </c>
      <c r="LU785" t="s">
        <v>1524</v>
      </c>
      <c r="LY785" t="s">
        <v>1269</v>
      </c>
      <c r="LZ785">
        <v>1789</v>
      </c>
      <c r="MA785" t="s">
        <v>1525</v>
      </c>
      <c r="MG785" t="s">
        <v>1526</v>
      </c>
      <c r="MI785" s="50">
        <v>40298</v>
      </c>
      <c r="MY785" t="s">
        <v>1527</v>
      </c>
      <c r="MZ785">
        <v>1435</v>
      </c>
      <c r="NA785" t="s">
        <v>1571</v>
      </c>
      <c r="NB785" s="2" t="s">
        <v>1529</v>
      </c>
      <c r="NC785" s="2" t="s">
        <v>1529</v>
      </c>
      <c r="ND785" s="2"/>
      <c r="NE785" s="2"/>
      <c r="NJ785" t="s">
        <v>1572</v>
      </c>
      <c r="NK785" t="s">
        <v>1573</v>
      </c>
      <c r="NL785" s="132" t="s">
        <v>1312</v>
      </c>
      <c r="NM785" s="184" t="s">
        <v>1313</v>
      </c>
      <c r="NU785" t="s">
        <v>1532</v>
      </c>
      <c r="NV785" t="s">
        <v>518</v>
      </c>
      <c r="NW785">
        <v>0.7</v>
      </c>
      <c r="NX785" t="s">
        <v>480</v>
      </c>
      <c r="OB785">
        <v>3</v>
      </c>
      <c r="OU785" t="s">
        <v>1574</v>
      </c>
      <c r="OV785" t="s">
        <v>518</v>
      </c>
      <c r="OX785">
        <v>2009</v>
      </c>
      <c r="OY785">
        <v>2010</v>
      </c>
      <c r="OZ785" t="s">
        <v>1511</v>
      </c>
      <c r="PA785" t="s">
        <v>1534</v>
      </c>
      <c r="PB785" t="s">
        <v>522</v>
      </c>
      <c r="PC785" s="50">
        <v>46136</v>
      </c>
      <c r="PD785" s="127"/>
    </row>
    <row r="786" spans="1:420" ht="15.75" thickBot="1">
      <c r="A786" t="s">
        <v>469</v>
      </c>
      <c r="B786" t="s">
        <v>1496</v>
      </c>
      <c r="C786" t="s">
        <v>1252</v>
      </c>
      <c r="D786" t="s">
        <v>950</v>
      </c>
      <c r="E786" s="81" t="s">
        <v>1497</v>
      </c>
      <c r="F786" s="80" t="s">
        <v>1179</v>
      </c>
      <c r="G786" t="s">
        <v>475</v>
      </c>
      <c r="H786" t="s">
        <v>1079</v>
      </c>
      <c r="I786">
        <v>23.983876843571402</v>
      </c>
      <c r="J786">
        <v>90.402873983888597</v>
      </c>
      <c r="K786">
        <v>250</v>
      </c>
      <c r="AV786" t="s">
        <v>1498</v>
      </c>
      <c r="AW786">
        <f t="shared" si="0"/>
        <v>1435</v>
      </c>
      <c r="AX786" t="s">
        <v>480</v>
      </c>
      <c r="AY786">
        <v>3</v>
      </c>
      <c r="AZ786" t="s">
        <v>1499</v>
      </c>
      <c r="BA786">
        <v>2009</v>
      </c>
      <c r="BB786">
        <v>2012</v>
      </c>
      <c r="BC786">
        <v>2009.2</v>
      </c>
      <c r="BD786" t="s">
        <v>1544</v>
      </c>
      <c r="BE786" t="s">
        <v>593</v>
      </c>
      <c r="BF786" t="s">
        <v>484</v>
      </c>
      <c r="BG786" t="s">
        <v>1501</v>
      </c>
      <c r="BH786" t="s">
        <v>1502</v>
      </c>
      <c r="BI786" t="s">
        <v>1503</v>
      </c>
      <c r="BJ786">
        <v>30</v>
      </c>
      <c r="BK786" t="s">
        <v>555</v>
      </c>
      <c r="BL786" t="s">
        <v>1501</v>
      </c>
      <c r="BM786" t="s">
        <v>1505</v>
      </c>
      <c r="BN786" t="s">
        <v>1503</v>
      </c>
      <c r="BO786">
        <v>19</v>
      </c>
      <c r="HK786" t="s">
        <v>1545</v>
      </c>
      <c r="HL786" t="s">
        <v>1546</v>
      </c>
      <c r="HM786" s="127" t="s">
        <v>480</v>
      </c>
      <c r="HN786" s="127" t="s">
        <v>480</v>
      </c>
      <c r="HO786" t="s">
        <v>480</v>
      </c>
      <c r="HP786">
        <v>4</v>
      </c>
      <c r="HQ786" t="s">
        <v>1547</v>
      </c>
      <c r="HS786" t="s">
        <v>1509</v>
      </c>
      <c r="HT786" s="50">
        <v>40192</v>
      </c>
      <c r="HU786" s="50"/>
      <c r="IO786" t="s">
        <v>1544</v>
      </c>
      <c r="IP786" s="46" t="s">
        <v>1510</v>
      </c>
      <c r="IS786">
        <v>2009</v>
      </c>
      <c r="IT786" t="s">
        <v>1511</v>
      </c>
      <c r="IU786" s="4" t="s">
        <v>1186</v>
      </c>
      <c r="JK786" s="2" t="s">
        <v>494</v>
      </c>
      <c r="JL786" t="s">
        <v>1512</v>
      </c>
      <c r="JM786" t="s">
        <v>1536</v>
      </c>
      <c r="JN786" t="s">
        <v>497</v>
      </c>
      <c r="JO786" t="s">
        <v>1537</v>
      </c>
      <c r="JP786" t="s">
        <v>508</v>
      </c>
      <c r="JQ786">
        <f>45+50+45+20</f>
        <v>160</v>
      </c>
      <c r="JR786">
        <v>20</v>
      </c>
      <c r="JS786">
        <v>65</v>
      </c>
      <c r="KE786" t="s">
        <v>1548</v>
      </c>
      <c r="KF786" t="s">
        <v>1001</v>
      </c>
      <c r="KG786" t="s">
        <v>1515</v>
      </c>
      <c r="KH786">
        <v>7</v>
      </c>
      <c r="KI786" t="s">
        <v>1516</v>
      </c>
      <c r="KJ786" t="s">
        <v>501</v>
      </c>
      <c r="KK786" s="8" t="s">
        <v>1539</v>
      </c>
      <c r="KL786" t="s">
        <v>1540</v>
      </c>
      <c r="KM786">
        <v>0.99</v>
      </c>
      <c r="KN786" t="s">
        <v>545</v>
      </c>
      <c r="KO786" t="s">
        <v>1541</v>
      </c>
      <c r="KP786" t="s">
        <v>1518</v>
      </c>
      <c r="KQ786">
        <f>0.556*2</f>
        <v>1.1120000000000001</v>
      </c>
      <c r="KV786" t="s">
        <v>1549</v>
      </c>
      <c r="KW786" t="s">
        <v>1520</v>
      </c>
      <c r="LC786" t="s">
        <v>508</v>
      </c>
      <c r="LD786">
        <v>2600</v>
      </c>
      <c r="LL786" t="s">
        <v>1521</v>
      </c>
      <c r="LM786" t="s">
        <v>1522</v>
      </c>
      <c r="LN786">
        <v>30</v>
      </c>
      <c r="LT786" t="s">
        <v>1550</v>
      </c>
      <c r="LU786" t="s">
        <v>1524</v>
      </c>
      <c r="LY786" t="s">
        <v>1269</v>
      </c>
      <c r="LZ786">
        <v>1898</v>
      </c>
      <c r="MA786" t="s">
        <v>1525</v>
      </c>
      <c r="MG786" t="s">
        <v>1526</v>
      </c>
      <c r="MI786" s="50">
        <v>40299</v>
      </c>
      <c r="MY786" t="s">
        <v>1527</v>
      </c>
      <c r="MZ786">
        <v>1435</v>
      </c>
      <c r="NA786" t="s">
        <v>1571</v>
      </c>
      <c r="NB786" s="2" t="s">
        <v>1529</v>
      </c>
      <c r="NC786" s="2" t="s">
        <v>1529</v>
      </c>
      <c r="ND786" s="2"/>
      <c r="NE786" s="2"/>
      <c r="NJ786" t="s">
        <v>1572</v>
      </c>
      <c r="NK786" t="s">
        <v>1573</v>
      </c>
      <c r="NL786" s="132" t="s">
        <v>1312</v>
      </c>
      <c r="NM786" s="184" t="s">
        <v>1313</v>
      </c>
      <c r="NU786" t="s">
        <v>536</v>
      </c>
      <c r="NV786" t="s">
        <v>518</v>
      </c>
      <c r="NW786">
        <v>0.6</v>
      </c>
      <c r="NX786" t="s">
        <v>480</v>
      </c>
      <c r="OB786">
        <v>3</v>
      </c>
      <c r="OU786" t="s">
        <v>1574</v>
      </c>
      <c r="OV786" t="s">
        <v>518</v>
      </c>
      <c r="OX786">
        <v>2009</v>
      </c>
      <c r="OY786">
        <v>2010</v>
      </c>
      <c r="OZ786" t="s">
        <v>1511</v>
      </c>
      <c r="PA786" t="s">
        <v>1534</v>
      </c>
      <c r="PB786" t="s">
        <v>522</v>
      </c>
      <c r="PC786" s="50">
        <v>46136</v>
      </c>
      <c r="PD786" s="127"/>
    </row>
    <row r="787" spans="1:420" ht="15.75" thickBot="1">
      <c r="A787" t="s">
        <v>469</v>
      </c>
      <c r="B787" t="s">
        <v>1496</v>
      </c>
      <c r="C787" t="s">
        <v>1252</v>
      </c>
      <c r="D787" t="s">
        <v>950</v>
      </c>
      <c r="E787" s="81" t="s">
        <v>1497</v>
      </c>
      <c r="F787" s="80" t="s">
        <v>1179</v>
      </c>
      <c r="G787" t="s">
        <v>475</v>
      </c>
      <c r="H787" t="s">
        <v>1079</v>
      </c>
      <c r="I787">
        <v>23.983876843571402</v>
      </c>
      <c r="J787">
        <v>90.402873983888597</v>
      </c>
      <c r="K787">
        <v>250</v>
      </c>
      <c r="AV787" t="s">
        <v>1498</v>
      </c>
      <c r="AW787">
        <f t="shared" si="0"/>
        <v>1435</v>
      </c>
      <c r="AX787" t="s">
        <v>480</v>
      </c>
      <c r="AY787">
        <v>3</v>
      </c>
      <c r="AZ787" t="s">
        <v>1499</v>
      </c>
      <c r="BA787">
        <v>2009</v>
      </c>
      <c r="BB787">
        <v>2012</v>
      </c>
      <c r="BC787">
        <v>2009.2</v>
      </c>
      <c r="BD787" t="s">
        <v>1551</v>
      </c>
      <c r="BE787" t="s">
        <v>536</v>
      </c>
      <c r="BF787" t="s">
        <v>484</v>
      </c>
      <c r="BG787" t="s">
        <v>1278</v>
      </c>
      <c r="BH787" t="s">
        <v>1552</v>
      </c>
      <c r="BI787" t="s">
        <v>1503</v>
      </c>
      <c r="BJ787">
        <v>1614</v>
      </c>
      <c r="BK787" t="s">
        <v>555</v>
      </c>
      <c r="BL787" t="s">
        <v>485</v>
      </c>
      <c r="BM787" t="s">
        <v>1553</v>
      </c>
      <c r="BN787" t="s">
        <v>1503</v>
      </c>
      <c r="BO787">
        <v>20</v>
      </c>
      <c r="BP787" t="s">
        <v>555</v>
      </c>
      <c r="BQ787" t="s">
        <v>1290</v>
      </c>
      <c r="BR787" t="s">
        <v>1554</v>
      </c>
      <c r="BS787" t="s">
        <v>1503</v>
      </c>
      <c r="BT787">
        <v>30</v>
      </c>
      <c r="BU787" t="s">
        <v>555</v>
      </c>
      <c r="BV787" t="s">
        <v>1501</v>
      </c>
      <c r="BW787" t="s">
        <v>1555</v>
      </c>
      <c r="BX787" t="s">
        <v>1503</v>
      </c>
      <c r="BY787">
        <v>35</v>
      </c>
      <c r="BZ787" t="s">
        <v>555</v>
      </c>
      <c r="CA787" t="s">
        <v>1501</v>
      </c>
      <c r="CB787" t="s">
        <v>1556</v>
      </c>
      <c r="CC787" t="s">
        <v>1503</v>
      </c>
      <c r="CD787">
        <v>19</v>
      </c>
      <c r="HK787" t="s">
        <v>1557</v>
      </c>
      <c r="HL787" t="s">
        <v>1546</v>
      </c>
      <c r="HM787" s="127" t="s">
        <v>480</v>
      </c>
      <c r="HN787" s="127" t="s">
        <v>480</v>
      </c>
      <c r="HO787" t="s">
        <v>480</v>
      </c>
      <c r="HP787">
        <v>9</v>
      </c>
      <c r="HQ787" t="s">
        <v>1558</v>
      </c>
      <c r="HS787" t="s">
        <v>1509</v>
      </c>
      <c r="HT787" s="50">
        <v>40153</v>
      </c>
      <c r="IO787" t="s">
        <v>1551</v>
      </c>
      <c r="IP787" t="s">
        <v>1559</v>
      </c>
      <c r="IS787">
        <v>2009</v>
      </c>
      <c r="IT787" t="s">
        <v>1511</v>
      </c>
      <c r="IU787" s="4" t="s">
        <v>1186</v>
      </c>
      <c r="JK787" s="2" t="s">
        <v>494</v>
      </c>
      <c r="JL787" t="s">
        <v>1512</v>
      </c>
      <c r="JM787" t="s">
        <v>1560</v>
      </c>
      <c r="JN787" t="s">
        <v>961</v>
      </c>
      <c r="JO787" t="s">
        <v>1561</v>
      </c>
      <c r="JP787" t="s">
        <v>508</v>
      </c>
      <c r="JQ787">
        <f>80+80+38+38</f>
        <v>236</v>
      </c>
      <c r="JR787">
        <v>54</v>
      </c>
      <c r="JS787">
        <v>185</v>
      </c>
      <c r="KE787" t="s">
        <v>1562</v>
      </c>
      <c r="KF787" t="s">
        <v>1001</v>
      </c>
      <c r="KG787" t="s">
        <v>1515</v>
      </c>
      <c r="KH787">
        <v>4</v>
      </c>
      <c r="KI787" t="s">
        <v>1516</v>
      </c>
      <c r="KJ787" t="s">
        <v>530</v>
      </c>
      <c r="KN787" t="s">
        <v>545</v>
      </c>
      <c r="KO787" t="s">
        <v>1563</v>
      </c>
      <c r="KP787" t="s">
        <v>1518</v>
      </c>
      <c r="KQ787">
        <f>1.6*2</f>
        <v>3.2</v>
      </c>
      <c r="KV787" t="s">
        <v>1564</v>
      </c>
      <c r="KW787" t="s">
        <v>1520</v>
      </c>
      <c r="LC787" t="s">
        <v>508</v>
      </c>
      <c r="LD787">
        <v>4600</v>
      </c>
      <c r="LL787" t="s">
        <v>1521</v>
      </c>
      <c r="LM787" t="s">
        <v>1522</v>
      </c>
      <c r="LN787">
        <v>30</v>
      </c>
      <c r="LT787" t="s">
        <v>1565</v>
      </c>
      <c r="LU787" t="s">
        <v>1524</v>
      </c>
      <c r="LY787" t="s">
        <v>1269</v>
      </c>
      <c r="LZ787">
        <v>1426</v>
      </c>
      <c r="MA787" t="s">
        <v>1525</v>
      </c>
      <c r="MG787" t="s">
        <v>1566</v>
      </c>
      <c r="MI787" s="50">
        <v>40224</v>
      </c>
      <c r="MY787" t="s">
        <v>1527</v>
      </c>
      <c r="MZ787">
        <v>1435</v>
      </c>
      <c r="NA787" t="s">
        <v>1575</v>
      </c>
      <c r="NB787" s="2"/>
      <c r="NC787" s="2" t="s">
        <v>1529</v>
      </c>
      <c r="ND787" t="s">
        <v>1278</v>
      </c>
      <c r="NE787" s="2" t="s">
        <v>548</v>
      </c>
      <c r="NJ787" t="s">
        <v>1572</v>
      </c>
      <c r="NK787" t="s">
        <v>1573</v>
      </c>
      <c r="NL787" s="132" t="s">
        <v>1312</v>
      </c>
      <c r="NM787" s="184" t="s">
        <v>1313</v>
      </c>
      <c r="NV787" t="s">
        <v>518</v>
      </c>
      <c r="NW787">
        <v>1.4</v>
      </c>
      <c r="NX787" t="s">
        <v>480</v>
      </c>
      <c r="OB787">
        <v>3</v>
      </c>
      <c r="OU787" t="s">
        <v>1574</v>
      </c>
      <c r="OV787" t="s">
        <v>518</v>
      </c>
      <c r="OX787">
        <v>2009</v>
      </c>
      <c r="OY787">
        <v>2010</v>
      </c>
      <c r="OZ787" t="s">
        <v>1511</v>
      </c>
      <c r="PA787" t="s">
        <v>1534</v>
      </c>
      <c r="PB787" t="s">
        <v>522</v>
      </c>
      <c r="PC787" s="50">
        <v>46136</v>
      </c>
      <c r="PD787" s="127"/>
    </row>
    <row r="788" spans="1:420" ht="15.75" thickBot="1">
      <c r="A788" t="s">
        <v>469</v>
      </c>
      <c r="B788" t="s">
        <v>1496</v>
      </c>
      <c r="C788" t="s">
        <v>1252</v>
      </c>
      <c r="D788" t="s">
        <v>950</v>
      </c>
      <c r="E788" s="81" t="s">
        <v>1497</v>
      </c>
      <c r="F788" s="80" t="s">
        <v>1179</v>
      </c>
      <c r="G788" t="s">
        <v>475</v>
      </c>
      <c r="H788" t="s">
        <v>1079</v>
      </c>
      <c r="I788">
        <v>23.983876843571402</v>
      </c>
      <c r="J788">
        <v>90.402873983888597</v>
      </c>
      <c r="K788">
        <v>250</v>
      </c>
      <c r="AV788" t="s">
        <v>1498</v>
      </c>
      <c r="AW788">
        <f t="shared" si="0"/>
        <v>1435</v>
      </c>
      <c r="AX788" t="s">
        <v>480</v>
      </c>
      <c r="AY788">
        <v>3</v>
      </c>
      <c r="AZ788" t="s">
        <v>1499</v>
      </c>
      <c r="BA788">
        <v>2009</v>
      </c>
      <c r="BB788">
        <v>2012</v>
      </c>
      <c r="BC788">
        <v>2009.2</v>
      </c>
      <c r="BD788" t="s">
        <v>1500</v>
      </c>
      <c r="BE788" t="s">
        <v>524</v>
      </c>
      <c r="BF788" t="s">
        <v>484</v>
      </c>
      <c r="BG788" t="s">
        <v>1501</v>
      </c>
      <c r="BH788" t="s">
        <v>1502</v>
      </c>
      <c r="BI788" t="s">
        <v>1503</v>
      </c>
      <c r="BJ788">
        <v>45</v>
      </c>
      <c r="BK788" t="s">
        <v>555</v>
      </c>
      <c r="BL788" t="s">
        <v>1501</v>
      </c>
      <c r="BM788" t="s">
        <v>1504</v>
      </c>
      <c r="BN788" t="s">
        <v>1503</v>
      </c>
      <c r="BO788">
        <v>49</v>
      </c>
      <c r="BP788" t="s">
        <v>555</v>
      </c>
      <c r="BQ788" t="s">
        <v>1501</v>
      </c>
      <c r="BR788" t="s">
        <v>1505</v>
      </c>
      <c r="BS788" t="s">
        <v>1503</v>
      </c>
      <c r="BT788">
        <v>49</v>
      </c>
      <c r="HK788" t="s">
        <v>1506</v>
      </c>
      <c r="HL788" t="s">
        <v>526</v>
      </c>
      <c r="HM788" t="s">
        <v>1507</v>
      </c>
      <c r="HO788" t="s">
        <v>480</v>
      </c>
      <c r="HP788">
        <v>12</v>
      </c>
      <c r="HQ788" t="s">
        <v>1508</v>
      </c>
      <c r="HS788" t="s">
        <v>1509</v>
      </c>
      <c r="HT788" s="50">
        <v>40202</v>
      </c>
      <c r="HU788" s="50"/>
      <c r="IO788" t="s">
        <v>1500</v>
      </c>
      <c r="IP788" s="46" t="s">
        <v>1510</v>
      </c>
      <c r="IS788">
        <v>2009</v>
      </c>
      <c r="IT788" t="s">
        <v>1511</v>
      </c>
      <c r="IU788" s="4" t="s">
        <v>1186</v>
      </c>
      <c r="JK788" t="s">
        <v>494</v>
      </c>
      <c r="JL788" t="s">
        <v>1512</v>
      </c>
      <c r="JM788" t="s">
        <v>1513</v>
      </c>
      <c r="JN788" t="s">
        <v>508</v>
      </c>
      <c r="JO788">
        <v>12</v>
      </c>
      <c r="JP788" t="s">
        <v>508</v>
      </c>
      <c r="JQ788">
        <f>51+69+35</f>
        <v>155</v>
      </c>
      <c r="JR788">
        <v>18</v>
      </c>
      <c r="JS788">
        <v>32</v>
      </c>
      <c r="KE788" t="s">
        <v>1514</v>
      </c>
      <c r="KF788" t="s">
        <v>1001</v>
      </c>
      <c r="KG788" t="s">
        <v>1515</v>
      </c>
      <c r="KH788">
        <v>3</v>
      </c>
      <c r="KI788" t="s">
        <v>1516</v>
      </c>
      <c r="KJ788" t="s">
        <v>530</v>
      </c>
      <c r="KN788" t="s">
        <v>545</v>
      </c>
      <c r="KO788" s="8" t="s">
        <v>1517</v>
      </c>
      <c r="KP788" t="s">
        <v>1518</v>
      </c>
      <c r="KQ788">
        <v>0.5</v>
      </c>
      <c r="KV788" t="s">
        <v>1519</v>
      </c>
      <c r="KW788" t="s">
        <v>1520</v>
      </c>
      <c r="LC788" t="s">
        <v>508</v>
      </c>
      <c r="LD788">
        <v>0</v>
      </c>
      <c r="LL788" t="s">
        <v>1521</v>
      </c>
      <c r="LM788" t="s">
        <v>1522</v>
      </c>
      <c r="LN788">
        <v>7.5</v>
      </c>
      <c r="LT788" t="s">
        <v>1523</v>
      </c>
      <c r="LU788" t="s">
        <v>1524</v>
      </c>
      <c r="LY788" t="s">
        <v>1269</v>
      </c>
      <c r="LZ788">
        <v>2172</v>
      </c>
      <c r="MA788" t="s">
        <v>1525</v>
      </c>
      <c r="MG788" t="s">
        <v>1526</v>
      </c>
      <c r="MI788" s="50">
        <v>40292</v>
      </c>
      <c r="MY788" t="s">
        <v>1527</v>
      </c>
      <c r="MZ788">
        <v>1435</v>
      </c>
      <c r="NA788" t="s">
        <v>1571</v>
      </c>
      <c r="NB788" s="2" t="s">
        <v>1529</v>
      </c>
      <c r="NC788" s="2" t="s">
        <v>1529</v>
      </c>
      <c r="ND788" s="2"/>
      <c r="NE788" s="2"/>
      <c r="NJ788" t="s">
        <v>1572</v>
      </c>
      <c r="NK788" t="s">
        <v>1573</v>
      </c>
      <c r="NL788" s="132" t="s">
        <v>1312</v>
      </c>
      <c r="NM788" s="184" t="s">
        <v>1313</v>
      </c>
      <c r="NU788" t="s">
        <v>1532</v>
      </c>
      <c r="NV788" t="s">
        <v>518</v>
      </c>
      <c r="NW788">
        <v>0.4</v>
      </c>
      <c r="NX788" t="s">
        <v>480</v>
      </c>
      <c r="OB788">
        <v>3</v>
      </c>
      <c r="OU788" t="s">
        <v>1574</v>
      </c>
      <c r="OV788" t="s">
        <v>518</v>
      </c>
      <c r="OX788">
        <v>2010</v>
      </c>
      <c r="OY788">
        <v>2011</v>
      </c>
      <c r="OZ788" t="s">
        <v>1511</v>
      </c>
      <c r="PA788" t="s">
        <v>1534</v>
      </c>
      <c r="PB788" t="s">
        <v>522</v>
      </c>
      <c r="PC788" s="50">
        <v>46136</v>
      </c>
      <c r="PD788" s="127"/>
    </row>
    <row r="789" spans="1:420" ht="15.75" thickBot="1">
      <c r="A789" t="s">
        <v>469</v>
      </c>
      <c r="B789" t="s">
        <v>1496</v>
      </c>
      <c r="C789" t="s">
        <v>1252</v>
      </c>
      <c r="D789" t="s">
        <v>950</v>
      </c>
      <c r="E789" s="81" t="s">
        <v>1497</v>
      </c>
      <c r="F789" s="80" t="s">
        <v>1179</v>
      </c>
      <c r="G789" t="s">
        <v>475</v>
      </c>
      <c r="H789" t="s">
        <v>1079</v>
      </c>
      <c r="I789">
        <v>23.983876843571402</v>
      </c>
      <c r="J789">
        <v>90.402873983888597</v>
      </c>
      <c r="K789">
        <v>250</v>
      </c>
      <c r="AV789" t="s">
        <v>1498</v>
      </c>
      <c r="AW789">
        <f t="shared" si="0"/>
        <v>1435</v>
      </c>
      <c r="AX789" t="s">
        <v>480</v>
      </c>
      <c r="AY789">
        <v>3</v>
      </c>
      <c r="AZ789" t="s">
        <v>1499</v>
      </c>
      <c r="BA789">
        <v>2009</v>
      </c>
      <c r="BB789">
        <v>2012</v>
      </c>
      <c r="BC789">
        <v>2009.2</v>
      </c>
      <c r="BD789" t="s">
        <v>1535</v>
      </c>
      <c r="BE789" t="s">
        <v>483</v>
      </c>
      <c r="BF789" t="s">
        <v>484</v>
      </c>
      <c r="BG789" t="s">
        <v>1501</v>
      </c>
      <c r="BH789" t="s">
        <v>1502</v>
      </c>
      <c r="BI789" t="s">
        <v>1503</v>
      </c>
      <c r="BJ789">
        <v>30</v>
      </c>
      <c r="BK789" t="s">
        <v>555</v>
      </c>
      <c r="BL789" t="s">
        <v>1501</v>
      </c>
      <c r="BM789" t="s">
        <v>1505</v>
      </c>
      <c r="BN789" t="s">
        <v>1503</v>
      </c>
      <c r="BO789">
        <v>35</v>
      </c>
      <c r="HK789" t="s">
        <v>1506</v>
      </c>
      <c r="HL789" t="s">
        <v>526</v>
      </c>
      <c r="HM789" t="s">
        <v>1507</v>
      </c>
      <c r="HO789" t="s">
        <v>480</v>
      </c>
      <c r="HP789">
        <v>12</v>
      </c>
      <c r="HQ789" t="s">
        <v>1508</v>
      </c>
      <c r="HS789" t="s">
        <v>1509</v>
      </c>
      <c r="HT789" s="50">
        <v>40192</v>
      </c>
      <c r="HU789" s="50"/>
      <c r="IO789" t="s">
        <v>1535</v>
      </c>
      <c r="IP789" s="46" t="s">
        <v>1510</v>
      </c>
      <c r="IS789">
        <v>2009</v>
      </c>
      <c r="IT789" t="s">
        <v>1511</v>
      </c>
      <c r="IU789" s="4" t="s">
        <v>1186</v>
      </c>
      <c r="JK789" t="s">
        <v>494</v>
      </c>
      <c r="JL789" t="s">
        <v>1512</v>
      </c>
      <c r="JM789" t="s">
        <v>1536</v>
      </c>
      <c r="JN789" t="s">
        <v>497</v>
      </c>
      <c r="JO789" t="s">
        <v>1567</v>
      </c>
      <c r="JP789" t="s">
        <v>508</v>
      </c>
      <c r="JQ789">
        <f>42+63+65+16</f>
        <v>186</v>
      </c>
      <c r="JR789">
        <v>13</v>
      </c>
      <c r="JS789">
        <v>23</v>
      </c>
      <c r="KE789" t="s">
        <v>1538</v>
      </c>
      <c r="KF789" t="s">
        <v>1001</v>
      </c>
      <c r="KG789" t="s">
        <v>1515</v>
      </c>
      <c r="KH789">
        <v>6</v>
      </c>
      <c r="KI789" t="s">
        <v>1516</v>
      </c>
      <c r="KJ789" t="s">
        <v>501</v>
      </c>
      <c r="KK789" s="8" t="s">
        <v>1539</v>
      </c>
      <c r="KL789" t="s">
        <v>1540</v>
      </c>
      <c r="KM789">
        <v>0.99</v>
      </c>
      <c r="KN789" t="s">
        <v>545</v>
      </c>
      <c r="KO789" t="s">
        <v>1568</v>
      </c>
      <c r="KP789" t="s">
        <v>1518</v>
      </c>
      <c r="KQ789">
        <f t="shared" ref="KQ789:KQ790" si="1">0.7*2</f>
        <v>1.4</v>
      </c>
      <c r="KV789" t="s">
        <v>1542</v>
      </c>
      <c r="KW789" t="s">
        <v>1520</v>
      </c>
      <c r="LC789" t="s">
        <v>508</v>
      </c>
      <c r="LD789">
        <v>1600</v>
      </c>
      <c r="LL789" t="s">
        <v>1521</v>
      </c>
      <c r="LM789" t="s">
        <v>1522</v>
      </c>
      <c r="LN789">
        <v>30</v>
      </c>
      <c r="LT789" t="s">
        <v>1543</v>
      </c>
      <c r="LU789" t="s">
        <v>1524</v>
      </c>
      <c r="LY789" t="s">
        <v>1269</v>
      </c>
      <c r="LZ789">
        <v>1946</v>
      </c>
      <c r="MA789" t="s">
        <v>1525</v>
      </c>
      <c r="MG789" t="s">
        <v>1526</v>
      </c>
      <c r="MI789" s="50">
        <v>40298</v>
      </c>
      <c r="MY789" t="s">
        <v>1527</v>
      </c>
      <c r="MZ789">
        <v>1435</v>
      </c>
      <c r="NA789" t="s">
        <v>1571</v>
      </c>
      <c r="NB789" s="2" t="s">
        <v>1529</v>
      </c>
      <c r="NC789" s="2" t="s">
        <v>1529</v>
      </c>
      <c r="ND789" s="2"/>
      <c r="NE789" s="2"/>
      <c r="NJ789" t="s">
        <v>1572</v>
      </c>
      <c r="NK789" t="s">
        <v>1573</v>
      </c>
      <c r="NL789" s="132" t="s">
        <v>1312</v>
      </c>
      <c r="NM789" s="184" t="s">
        <v>1313</v>
      </c>
      <c r="NU789" t="s">
        <v>1532</v>
      </c>
      <c r="NV789" t="s">
        <v>518</v>
      </c>
      <c r="NW789">
        <v>0.6</v>
      </c>
      <c r="NX789" t="s">
        <v>480</v>
      </c>
      <c r="OB789">
        <v>3</v>
      </c>
      <c r="OU789" t="s">
        <v>1574</v>
      </c>
      <c r="OV789" t="s">
        <v>518</v>
      </c>
      <c r="OX789">
        <v>2010</v>
      </c>
      <c r="OY789">
        <v>2011</v>
      </c>
      <c r="OZ789" t="s">
        <v>1511</v>
      </c>
      <c r="PA789" t="s">
        <v>1534</v>
      </c>
      <c r="PB789" t="s">
        <v>522</v>
      </c>
      <c r="PC789" s="50">
        <v>46136</v>
      </c>
      <c r="PD789" s="127"/>
    </row>
    <row r="790" spans="1:420" ht="15.75" thickBot="1">
      <c r="A790" t="s">
        <v>469</v>
      </c>
      <c r="B790" t="s">
        <v>1496</v>
      </c>
      <c r="C790" t="s">
        <v>1252</v>
      </c>
      <c r="D790" t="s">
        <v>950</v>
      </c>
      <c r="E790" s="81" t="s">
        <v>1497</v>
      </c>
      <c r="F790" s="80" t="s">
        <v>1179</v>
      </c>
      <c r="G790" t="s">
        <v>475</v>
      </c>
      <c r="H790" t="s">
        <v>1079</v>
      </c>
      <c r="I790">
        <v>23.983876843571402</v>
      </c>
      <c r="J790">
        <v>90.402873983888597</v>
      </c>
      <c r="K790">
        <v>250</v>
      </c>
      <c r="AV790" t="s">
        <v>1498</v>
      </c>
      <c r="AW790">
        <f t="shared" si="0"/>
        <v>1435</v>
      </c>
      <c r="AX790" t="s">
        <v>480</v>
      </c>
      <c r="AY790">
        <v>3</v>
      </c>
      <c r="AZ790" t="s">
        <v>1499</v>
      </c>
      <c r="BA790">
        <v>2009</v>
      </c>
      <c r="BB790">
        <v>2012</v>
      </c>
      <c r="BC790">
        <v>2009.2</v>
      </c>
      <c r="BD790" t="s">
        <v>1544</v>
      </c>
      <c r="BE790" t="s">
        <v>593</v>
      </c>
      <c r="BF790" t="s">
        <v>484</v>
      </c>
      <c r="BG790" t="s">
        <v>1501</v>
      </c>
      <c r="BH790" t="s">
        <v>1502</v>
      </c>
      <c r="BI790" t="s">
        <v>1503</v>
      </c>
      <c r="BJ790">
        <v>30</v>
      </c>
      <c r="BK790" t="s">
        <v>555</v>
      </c>
      <c r="BL790" t="s">
        <v>1501</v>
      </c>
      <c r="BM790" t="s">
        <v>1505</v>
      </c>
      <c r="BN790" t="s">
        <v>1503</v>
      </c>
      <c r="BO790">
        <v>19</v>
      </c>
      <c r="HK790" t="s">
        <v>1545</v>
      </c>
      <c r="HL790" t="s">
        <v>1546</v>
      </c>
      <c r="HM790" s="127" t="s">
        <v>480</v>
      </c>
      <c r="HN790" s="127" t="s">
        <v>480</v>
      </c>
      <c r="HO790" t="s">
        <v>480</v>
      </c>
      <c r="HP790">
        <v>4</v>
      </c>
      <c r="HQ790" t="s">
        <v>1547</v>
      </c>
      <c r="HS790" t="s">
        <v>1509</v>
      </c>
      <c r="HT790" s="50">
        <v>40192</v>
      </c>
      <c r="HU790" s="50"/>
      <c r="IO790" t="s">
        <v>1544</v>
      </c>
      <c r="IP790" s="46" t="s">
        <v>1510</v>
      </c>
      <c r="IS790">
        <v>2009</v>
      </c>
      <c r="IT790" t="s">
        <v>1511</v>
      </c>
      <c r="IU790" s="4" t="s">
        <v>1186</v>
      </c>
      <c r="JK790" t="s">
        <v>494</v>
      </c>
      <c r="JL790" t="s">
        <v>1512</v>
      </c>
      <c r="JM790" t="s">
        <v>1536</v>
      </c>
      <c r="JN790" t="s">
        <v>497</v>
      </c>
      <c r="JO790" t="s">
        <v>1567</v>
      </c>
      <c r="JP790" t="s">
        <v>508</v>
      </c>
      <c r="JQ790">
        <f>42+63+65+16</f>
        <v>186</v>
      </c>
      <c r="JR790">
        <v>13</v>
      </c>
      <c r="JS790">
        <v>23</v>
      </c>
      <c r="KE790" t="s">
        <v>1548</v>
      </c>
      <c r="KF790" t="s">
        <v>1001</v>
      </c>
      <c r="KG790" t="s">
        <v>1515</v>
      </c>
      <c r="KH790">
        <v>7</v>
      </c>
      <c r="KI790" t="s">
        <v>1516</v>
      </c>
      <c r="KJ790" t="s">
        <v>501</v>
      </c>
      <c r="KK790" s="8" t="s">
        <v>1539</v>
      </c>
      <c r="KL790" t="s">
        <v>1540</v>
      </c>
      <c r="KM790">
        <v>0.99</v>
      </c>
      <c r="KN790" t="s">
        <v>545</v>
      </c>
      <c r="KO790" t="s">
        <v>1568</v>
      </c>
      <c r="KP790" t="s">
        <v>1518</v>
      </c>
      <c r="KQ790">
        <f t="shared" si="1"/>
        <v>1.4</v>
      </c>
      <c r="KV790" t="s">
        <v>1549</v>
      </c>
      <c r="KW790" t="s">
        <v>1520</v>
      </c>
      <c r="LC790" t="s">
        <v>508</v>
      </c>
      <c r="LD790">
        <v>1400</v>
      </c>
      <c r="LL790" t="s">
        <v>1521</v>
      </c>
      <c r="LM790" t="s">
        <v>1522</v>
      </c>
      <c r="LN790">
        <v>30</v>
      </c>
      <c r="LT790" t="s">
        <v>1550</v>
      </c>
      <c r="LU790" t="s">
        <v>1524</v>
      </c>
      <c r="LY790" t="s">
        <v>1269</v>
      </c>
      <c r="LZ790">
        <v>2001</v>
      </c>
      <c r="MA790" t="s">
        <v>1525</v>
      </c>
      <c r="MG790" t="s">
        <v>1526</v>
      </c>
      <c r="MI790" s="50">
        <v>40299</v>
      </c>
      <c r="MY790" t="s">
        <v>1527</v>
      </c>
      <c r="MZ790">
        <v>1435</v>
      </c>
      <c r="NA790" t="s">
        <v>1571</v>
      </c>
      <c r="NB790" s="2" t="s">
        <v>1529</v>
      </c>
      <c r="NC790" s="2" t="s">
        <v>1529</v>
      </c>
      <c r="ND790" s="2"/>
      <c r="NE790" s="2"/>
      <c r="NJ790" t="s">
        <v>1572</v>
      </c>
      <c r="NK790" t="s">
        <v>1573</v>
      </c>
      <c r="NL790" s="132" t="s">
        <v>1312</v>
      </c>
      <c r="NM790" s="184" t="s">
        <v>1313</v>
      </c>
      <c r="NU790" t="s">
        <v>536</v>
      </c>
      <c r="NV790" t="s">
        <v>518</v>
      </c>
      <c r="NW790">
        <v>0.5</v>
      </c>
      <c r="NX790" t="s">
        <v>480</v>
      </c>
      <c r="OB790">
        <v>3</v>
      </c>
      <c r="OU790" t="s">
        <v>1574</v>
      </c>
      <c r="OV790" t="s">
        <v>518</v>
      </c>
      <c r="OX790">
        <v>2010</v>
      </c>
      <c r="OY790">
        <v>2011</v>
      </c>
      <c r="OZ790" t="s">
        <v>1511</v>
      </c>
      <c r="PA790" t="s">
        <v>1534</v>
      </c>
      <c r="PB790" t="s">
        <v>522</v>
      </c>
      <c r="PC790" s="50">
        <v>46136</v>
      </c>
      <c r="PD790" s="127"/>
    </row>
    <row r="791" spans="1:420" ht="15.75" thickBot="1">
      <c r="A791" t="s">
        <v>469</v>
      </c>
      <c r="B791" t="s">
        <v>1496</v>
      </c>
      <c r="C791" t="s">
        <v>1252</v>
      </c>
      <c r="D791" t="s">
        <v>950</v>
      </c>
      <c r="E791" s="81" t="s">
        <v>1497</v>
      </c>
      <c r="F791" s="80" t="s">
        <v>1179</v>
      </c>
      <c r="G791" t="s">
        <v>475</v>
      </c>
      <c r="H791" t="s">
        <v>1079</v>
      </c>
      <c r="I791">
        <v>23.983876843571402</v>
      </c>
      <c r="J791">
        <v>90.402873983888597</v>
      </c>
      <c r="K791">
        <v>250</v>
      </c>
      <c r="AV791" t="s">
        <v>1498</v>
      </c>
      <c r="AW791">
        <f t="shared" si="0"/>
        <v>1435</v>
      </c>
      <c r="AX791" t="s">
        <v>480</v>
      </c>
      <c r="AY791">
        <v>3</v>
      </c>
      <c r="AZ791" t="s">
        <v>1499</v>
      </c>
      <c r="BA791">
        <v>2009</v>
      </c>
      <c r="BB791">
        <v>2012</v>
      </c>
      <c r="BC791">
        <v>2009.2</v>
      </c>
      <c r="BD791" t="s">
        <v>1551</v>
      </c>
      <c r="BE791" t="s">
        <v>536</v>
      </c>
      <c r="BF791" t="s">
        <v>484</v>
      </c>
      <c r="BG791" t="s">
        <v>1278</v>
      </c>
      <c r="BH791" t="s">
        <v>1552</v>
      </c>
      <c r="BI791" t="s">
        <v>1503</v>
      </c>
      <c r="BJ791">
        <v>1614</v>
      </c>
      <c r="BK791" t="s">
        <v>555</v>
      </c>
      <c r="BL791" t="s">
        <v>485</v>
      </c>
      <c r="BM791" t="s">
        <v>1553</v>
      </c>
      <c r="BN791" t="s">
        <v>1503</v>
      </c>
      <c r="BO791">
        <v>20</v>
      </c>
      <c r="BP791" t="s">
        <v>555</v>
      </c>
      <c r="BQ791" t="s">
        <v>1290</v>
      </c>
      <c r="BR791" t="s">
        <v>1554</v>
      </c>
      <c r="BS791" t="s">
        <v>1503</v>
      </c>
      <c r="BT791">
        <v>30</v>
      </c>
      <c r="BU791" t="s">
        <v>555</v>
      </c>
      <c r="BV791" t="s">
        <v>1501</v>
      </c>
      <c r="BW791" t="s">
        <v>1555</v>
      </c>
      <c r="BX791" t="s">
        <v>1503</v>
      </c>
      <c r="BY791">
        <v>35</v>
      </c>
      <c r="BZ791" t="s">
        <v>555</v>
      </c>
      <c r="CA791" t="s">
        <v>1501</v>
      </c>
      <c r="CB791" t="s">
        <v>1556</v>
      </c>
      <c r="CC791" t="s">
        <v>1503</v>
      </c>
      <c r="CD791">
        <v>19</v>
      </c>
      <c r="HK791" t="s">
        <v>1557</v>
      </c>
      <c r="HL791" t="s">
        <v>1546</v>
      </c>
      <c r="HM791" s="127" t="s">
        <v>480</v>
      </c>
      <c r="HN791" s="127" t="s">
        <v>480</v>
      </c>
      <c r="HO791" t="s">
        <v>480</v>
      </c>
      <c r="HP791">
        <v>9</v>
      </c>
      <c r="HQ791" t="s">
        <v>1558</v>
      </c>
      <c r="HS791" t="s">
        <v>1509</v>
      </c>
      <c r="HT791" s="50">
        <v>40153</v>
      </c>
      <c r="IO791" t="s">
        <v>1551</v>
      </c>
      <c r="IP791" t="s">
        <v>1559</v>
      </c>
      <c r="IS791">
        <v>2009</v>
      </c>
      <c r="IT791" t="s">
        <v>1511</v>
      </c>
      <c r="IU791" s="4" t="s">
        <v>1186</v>
      </c>
      <c r="JK791" t="s">
        <v>494</v>
      </c>
      <c r="JL791" t="s">
        <v>1512</v>
      </c>
      <c r="JM791" t="s">
        <v>1560</v>
      </c>
      <c r="JN791" t="s">
        <v>961</v>
      </c>
      <c r="JO791" t="s">
        <v>1561</v>
      </c>
      <c r="JP791" t="s">
        <v>508</v>
      </c>
      <c r="JQ791">
        <f>80+80+38+38</f>
        <v>236</v>
      </c>
      <c r="JR791">
        <v>54</v>
      </c>
      <c r="JS791">
        <v>185</v>
      </c>
      <c r="KE791" t="s">
        <v>1562</v>
      </c>
      <c r="KF791" t="s">
        <v>1001</v>
      </c>
      <c r="KG791" t="s">
        <v>1515</v>
      </c>
      <c r="KH791">
        <v>4</v>
      </c>
      <c r="KI791" t="s">
        <v>1516</v>
      </c>
      <c r="KJ791" t="s">
        <v>530</v>
      </c>
      <c r="KN791" t="s">
        <v>545</v>
      </c>
      <c r="KO791" t="s">
        <v>1563</v>
      </c>
      <c r="KP791" s="8" t="s">
        <v>1518</v>
      </c>
      <c r="KQ791">
        <v>1.6</v>
      </c>
      <c r="KS791" s="8"/>
      <c r="KV791" t="s">
        <v>1564</v>
      </c>
      <c r="KW791" t="s">
        <v>1520</v>
      </c>
      <c r="LC791" t="s">
        <v>508</v>
      </c>
      <c r="LD791">
        <v>1600</v>
      </c>
      <c r="LL791" t="s">
        <v>1521</v>
      </c>
      <c r="LM791" t="s">
        <v>1522</v>
      </c>
      <c r="LN791">
        <v>30</v>
      </c>
      <c r="LT791" t="s">
        <v>1565</v>
      </c>
      <c r="LU791" t="s">
        <v>1524</v>
      </c>
      <c r="LY791" t="s">
        <v>1269</v>
      </c>
      <c r="LZ791">
        <v>1186</v>
      </c>
      <c r="MA791" t="s">
        <v>1525</v>
      </c>
      <c r="MG791" t="s">
        <v>1566</v>
      </c>
      <c r="MI791" s="50">
        <v>40224</v>
      </c>
      <c r="MY791" t="s">
        <v>1527</v>
      </c>
      <c r="MZ791">
        <v>1435</v>
      </c>
      <c r="NA791" t="s">
        <v>1575</v>
      </c>
      <c r="NB791" s="2"/>
      <c r="NC791" s="2" t="s">
        <v>1529</v>
      </c>
      <c r="ND791" s="2"/>
      <c r="NE791" s="2"/>
      <c r="NJ791" t="s">
        <v>1572</v>
      </c>
      <c r="NK791" t="s">
        <v>1573</v>
      </c>
      <c r="NL791" s="132" t="s">
        <v>1312</v>
      </c>
      <c r="NM791" s="184" t="s">
        <v>1313</v>
      </c>
      <c r="NV791" t="s">
        <v>518</v>
      </c>
      <c r="NW791">
        <v>1</v>
      </c>
      <c r="NX791" t="s">
        <v>480</v>
      </c>
      <c r="OB791">
        <v>3</v>
      </c>
      <c r="OU791" t="s">
        <v>1574</v>
      </c>
      <c r="OV791" t="s">
        <v>518</v>
      </c>
      <c r="OX791">
        <v>2010</v>
      </c>
      <c r="OY791">
        <v>2011</v>
      </c>
      <c r="OZ791" t="s">
        <v>1511</v>
      </c>
      <c r="PA791" t="s">
        <v>1534</v>
      </c>
      <c r="PB791" t="s">
        <v>522</v>
      </c>
      <c r="PC791" s="50">
        <v>46136</v>
      </c>
      <c r="PD791" s="127"/>
    </row>
    <row r="792" spans="1:420" ht="15.75" thickBot="1">
      <c r="A792" t="s">
        <v>469</v>
      </c>
      <c r="B792" t="s">
        <v>1496</v>
      </c>
      <c r="C792" t="s">
        <v>1252</v>
      </c>
      <c r="D792" t="s">
        <v>950</v>
      </c>
      <c r="E792" s="81" t="s">
        <v>1497</v>
      </c>
      <c r="F792" s="80" t="s">
        <v>1179</v>
      </c>
      <c r="G792" t="s">
        <v>475</v>
      </c>
      <c r="H792" t="s">
        <v>1079</v>
      </c>
      <c r="I792">
        <v>23.983876843571402</v>
      </c>
      <c r="J792">
        <v>90.402873983888597</v>
      </c>
      <c r="K792">
        <v>250</v>
      </c>
      <c r="AV792" t="s">
        <v>1498</v>
      </c>
      <c r="AW792">
        <f t="shared" si="0"/>
        <v>1435</v>
      </c>
      <c r="AX792" t="s">
        <v>480</v>
      </c>
      <c r="AY792">
        <v>3</v>
      </c>
      <c r="AZ792" t="s">
        <v>1499</v>
      </c>
      <c r="BA792">
        <v>2009</v>
      </c>
      <c r="BB792">
        <v>2012</v>
      </c>
      <c r="BC792">
        <v>2009.2</v>
      </c>
      <c r="BD792" t="s">
        <v>1500</v>
      </c>
      <c r="BE792" t="s">
        <v>524</v>
      </c>
      <c r="BF792" t="s">
        <v>484</v>
      </c>
      <c r="BG792" t="s">
        <v>1501</v>
      </c>
      <c r="BH792" t="s">
        <v>1502</v>
      </c>
      <c r="BI792" t="s">
        <v>1503</v>
      </c>
      <c r="BJ792">
        <v>45</v>
      </c>
      <c r="BK792" t="s">
        <v>555</v>
      </c>
      <c r="BL792" t="s">
        <v>1501</v>
      </c>
      <c r="BM792" t="s">
        <v>1504</v>
      </c>
      <c r="BN792" t="s">
        <v>1503</v>
      </c>
      <c r="BO792">
        <v>49</v>
      </c>
      <c r="BP792" t="s">
        <v>555</v>
      </c>
      <c r="BQ792" t="s">
        <v>1501</v>
      </c>
      <c r="BR792" t="s">
        <v>1505</v>
      </c>
      <c r="BS792" t="s">
        <v>1503</v>
      </c>
      <c r="BT792">
        <v>49</v>
      </c>
      <c r="HK792" t="s">
        <v>1506</v>
      </c>
      <c r="HL792" t="s">
        <v>526</v>
      </c>
      <c r="HM792" t="s">
        <v>1507</v>
      </c>
      <c r="HO792" t="s">
        <v>480</v>
      </c>
      <c r="HP792">
        <v>12</v>
      </c>
      <c r="HQ792" t="s">
        <v>1508</v>
      </c>
      <c r="HS792" t="s">
        <v>1509</v>
      </c>
      <c r="HT792" s="50">
        <v>40202</v>
      </c>
      <c r="HU792" s="50"/>
      <c r="IO792" t="s">
        <v>1500</v>
      </c>
      <c r="IP792" s="46" t="s">
        <v>1510</v>
      </c>
      <c r="IS792">
        <v>2009</v>
      </c>
      <c r="IT792" t="s">
        <v>1511</v>
      </c>
      <c r="IU792" s="4" t="s">
        <v>1186</v>
      </c>
      <c r="JK792" t="s">
        <v>494</v>
      </c>
      <c r="JL792" t="s">
        <v>1512</v>
      </c>
      <c r="JM792" t="s">
        <v>1513</v>
      </c>
      <c r="JN792" t="s">
        <v>508</v>
      </c>
      <c r="JO792">
        <v>12</v>
      </c>
      <c r="JP792" t="s">
        <v>508</v>
      </c>
      <c r="JQ792">
        <v>51</v>
      </c>
      <c r="JR792">
        <v>18</v>
      </c>
      <c r="JS792">
        <f>32+69+35</f>
        <v>136</v>
      </c>
      <c r="KE792" t="s">
        <v>1514</v>
      </c>
      <c r="KF792" t="s">
        <v>1001</v>
      </c>
      <c r="KG792" t="s">
        <v>1515</v>
      </c>
      <c r="KH792">
        <v>3</v>
      </c>
      <c r="KI792" t="s">
        <v>1516</v>
      </c>
      <c r="KJ792" t="s">
        <v>530</v>
      </c>
      <c r="KN792" t="s">
        <v>545</v>
      </c>
      <c r="KO792" t="s">
        <v>1568</v>
      </c>
      <c r="KP792" t="s">
        <v>1518</v>
      </c>
      <c r="KQ792">
        <v>0.7</v>
      </c>
      <c r="KV792" t="s">
        <v>1519</v>
      </c>
      <c r="KW792" t="s">
        <v>1520</v>
      </c>
      <c r="LC792" t="s">
        <v>508</v>
      </c>
      <c r="LD792">
        <v>1600</v>
      </c>
      <c r="LL792" t="s">
        <v>1521</v>
      </c>
      <c r="LM792" t="s">
        <v>1522</v>
      </c>
      <c r="LN792">
        <v>7.5</v>
      </c>
      <c r="LT792" t="s">
        <v>1523</v>
      </c>
      <c r="LU792" t="s">
        <v>1524</v>
      </c>
      <c r="LY792" t="s">
        <v>1269</v>
      </c>
      <c r="LZ792">
        <v>1450</v>
      </c>
      <c r="MA792" t="s">
        <v>1525</v>
      </c>
      <c r="MG792" t="s">
        <v>1526</v>
      </c>
      <c r="MI792" s="50">
        <v>40292</v>
      </c>
      <c r="MY792" t="s">
        <v>1527</v>
      </c>
      <c r="MZ792">
        <v>1435</v>
      </c>
      <c r="NA792" t="s">
        <v>1571</v>
      </c>
      <c r="NB792" s="2" t="s">
        <v>1529</v>
      </c>
      <c r="NC792" s="2" t="s">
        <v>1529</v>
      </c>
      <c r="ND792" s="2"/>
      <c r="NE792" s="2"/>
      <c r="NJ792" t="s">
        <v>1572</v>
      </c>
      <c r="NK792" t="s">
        <v>1573</v>
      </c>
      <c r="NL792" s="132" t="s">
        <v>1312</v>
      </c>
      <c r="NM792" s="184" t="s">
        <v>1313</v>
      </c>
      <c r="NU792" t="s">
        <v>1532</v>
      </c>
      <c r="NV792" t="s">
        <v>518</v>
      </c>
      <c r="NW792">
        <v>0.6</v>
      </c>
      <c r="NX792" t="s">
        <v>480</v>
      </c>
      <c r="OB792">
        <v>3</v>
      </c>
      <c r="OU792" t="s">
        <v>1574</v>
      </c>
      <c r="OV792" t="s">
        <v>518</v>
      </c>
      <c r="OX792">
        <v>2011</v>
      </c>
      <c r="OY792">
        <v>2012</v>
      </c>
      <c r="OZ792" t="s">
        <v>1511</v>
      </c>
      <c r="PA792" t="s">
        <v>1534</v>
      </c>
      <c r="PB792" t="s">
        <v>522</v>
      </c>
      <c r="PC792" s="50">
        <v>46136</v>
      </c>
      <c r="PD792" s="127"/>
    </row>
    <row r="793" spans="1:420" ht="15.75" thickBot="1">
      <c r="A793" t="s">
        <v>469</v>
      </c>
      <c r="B793" t="s">
        <v>1496</v>
      </c>
      <c r="C793" t="s">
        <v>1252</v>
      </c>
      <c r="D793" t="s">
        <v>950</v>
      </c>
      <c r="E793" s="81" t="s">
        <v>1497</v>
      </c>
      <c r="F793" s="80" t="s">
        <v>1179</v>
      </c>
      <c r="G793" t="s">
        <v>475</v>
      </c>
      <c r="H793" t="s">
        <v>1079</v>
      </c>
      <c r="I793">
        <v>23.983876843571402</v>
      </c>
      <c r="J793">
        <v>90.402873983888597</v>
      </c>
      <c r="K793">
        <v>250</v>
      </c>
      <c r="AV793" t="s">
        <v>1498</v>
      </c>
      <c r="AW793">
        <f t="shared" si="0"/>
        <v>1435</v>
      </c>
      <c r="AX793" t="s">
        <v>480</v>
      </c>
      <c r="AY793">
        <v>3</v>
      </c>
      <c r="AZ793" t="s">
        <v>1499</v>
      </c>
      <c r="BA793">
        <v>2009</v>
      </c>
      <c r="BB793">
        <v>2012</v>
      </c>
      <c r="BC793">
        <v>2009.2</v>
      </c>
      <c r="BD793" t="s">
        <v>1535</v>
      </c>
      <c r="BE793" t="s">
        <v>483</v>
      </c>
      <c r="BF793" t="s">
        <v>484</v>
      </c>
      <c r="BG793" t="s">
        <v>1501</v>
      </c>
      <c r="BH793" t="s">
        <v>1502</v>
      </c>
      <c r="BI793" t="s">
        <v>1503</v>
      </c>
      <c r="BJ793">
        <v>30</v>
      </c>
      <c r="BK793" t="s">
        <v>555</v>
      </c>
      <c r="BL793" t="s">
        <v>1501</v>
      </c>
      <c r="BM793" t="s">
        <v>1505</v>
      </c>
      <c r="BN793" t="s">
        <v>1503</v>
      </c>
      <c r="BO793">
        <v>35</v>
      </c>
      <c r="HK793" t="s">
        <v>1506</v>
      </c>
      <c r="HL793" t="s">
        <v>526</v>
      </c>
      <c r="HM793" t="s">
        <v>1507</v>
      </c>
      <c r="HO793" t="s">
        <v>480</v>
      </c>
      <c r="HP793">
        <v>12</v>
      </c>
      <c r="HQ793" t="s">
        <v>1508</v>
      </c>
      <c r="HS793" t="s">
        <v>1509</v>
      </c>
      <c r="HT793" s="50">
        <v>40192</v>
      </c>
      <c r="HU793" s="50"/>
      <c r="IO793" t="s">
        <v>1535</v>
      </c>
      <c r="IP793" s="46" t="s">
        <v>1510</v>
      </c>
      <c r="IS793">
        <v>2009</v>
      </c>
      <c r="IT793" t="s">
        <v>1511</v>
      </c>
      <c r="IU793" s="4" t="s">
        <v>1186</v>
      </c>
      <c r="JK793" t="s">
        <v>494</v>
      </c>
      <c r="JL793" t="s">
        <v>1512</v>
      </c>
      <c r="JM793" t="s">
        <v>1536</v>
      </c>
      <c r="JN793" t="s">
        <v>497</v>
      </c>
      <c r="JO793" t="s">
        <v>1567</v>
      </c>
      <c r="JP793" t="s">
        <v>508</v>
      </c>
      <c r="JQ793">
        <v>44</v>
      </c>
      <c r="JR793">
        <v>13</v>
      </c>
      <c r="JS793">
        <f>23+59+59+16</f>
        <v>157</v>
      </c>
      <c r="KE793" t="s">
        <v>1538</v>
      </c>
      <c r="KF793" t="s">
        <v>1001</v>
      </c>
      <c r="KG793" t="s">
        <v>1515</v>
      </c>
      <c r="KH793">
        <v>6</v>
      </c>
      <c r="KI793" t="s">
        <v>1516</v>
      </c>
      <c r="KJ793" t="s">
        <v>501</v>
      </c>
      <c r="KK793" s="8" t="s">
        <v>1539</v>
      </c>
      <c r="KL793" t="s">
        <v>1540</v>
      </c>
      <c r="KM793">
        <v>0.99</v>
      </c>
      <c r="KN793" t="s">
        <v>545</v>
      </c>
      <c r="KO793" t="s">
        <v>1568</v>
      </c>
      <c r="KP793" t="s">
        <v>1518</v>
      </c>
      <c r="KQ793">
        <v>0.7</v>
      </c>
      <c r="KV793" t="s">
        <v>1542</v>
      </c>
      <c r="KW793" t="s">
        <v>1520</v>
      </c>
      <c r="LC793" t="s">
        <v>508</v>
      </c>
      <c r="LD793">
        <v>2000</v>
      </c>
      <c r="LL793" t="s">
        <v>1521</v>
      </c>
      <c r="LM793" t="s">
        <v>1522</v>
      </c>
      <c r="LN793">
        <v>30</v>
      </c>
      <c r="LT793" t="s">
        <v>1543</v>
      </c>
      <c r="LU793" t="s">
        <v>1524</v>
      </c>
      <c r="LY793" t="s">
        <v>1269</v>
      </c>
      <c r="LZ793">
        <v>1481</v>
      </c>
      <c r="MA793" t="s">
        <v>1525</v>
      </c>
      <c r="MG793" t="s">
        <v>1526</v>
      </c>
      <c r="MI793" s="50">
        <v>40298</v>
      </c>
      <c r="MY793" t="s">
        <v>1527</v>
      </c>
      <c r="MZ793">
        <v>1435</v>
      </c>
      <c r="NA793" t="s">
        <v>1571</v>
      </c>
      <c r="NB793" s="2" t="s">
        <v>1529</v>
      </c>
      <c r="NC793" s="2" t="s">
        <v>1529</v>
      </c>
      <c r="ND793" s="2"/>
      <c r="NE793" s="2"/>
      <c r="NJ793" t="s">
        <v>1572</v>
      </c>
      <c r="NK793" t="s">
        <v>1573</v>
      </c>
      <c r="NL793" s="132" t="s">
        <v>1312</v>
      </c>
      <c r="NM793" s="184" t="s">
        <v>1313</v>
      </c>
      <c r="NU793" t="s">
        <v>1532</v>
      </c>
      <c r="NV793" t="s">
        <v>518</v>
      </c>
      <c r="NW793">
        <v>0.7</v>
      </c>
      <c r="NX793" t="s">
        <v>480</v>
      </c>
      <c r="OB793">
        <v>3</v>
      </c>
      <c r="OU793" t="s">
        <v>1574</v>
      </c>
      <c r="OV793" t="s">
        <v>518</v>
      </c>
      <c r="OX793">
        <v>2011</v>
      </c>
      <c r="OY793">
        <v>2012</v>
      </c>
      <c r="OZ793" t="s">
        <v>1511</v>
      </c>
      <c r="PA793" t="s">
        <v>1534</v>
      </c>
      <c r="PB793" t="s">
        <v>522</v>
      </c>
      <c r="PC793" s="50">
        <v>46136</v>
      </c>
      <c r="PD793" s="127"/>
    </row>
    <row r="794" spans="1:420" ht="15.75" thickBot="1">
      <c r="A794" t="s">
        <v>469</v>
      </c>
      <c r="B794" t="s">
        <v>1496</v>
      </c>
      <c r="C794" t="s">
        <v>1252</v>
      </c>
      <c r="D794" t="s">
        <v>950</v>
      </c>
      <c r="E794" s="81" t="s">
        <v>1497</v>
      </c>
      <c r="F794" s="80" t="s">
        <v>1179</v>
      </c>
      <c r="G794" t="s">
        <v>475</v>
      </c>
      <c r="H794" t="s">
        <v>1079</v>
      </c>
      <c r="I794">
        <v>23.983876843571402</v>
      </c>
      <c r="J794">
        <v>90.402873983888597</v>
      </c>
      <c r="K794">
        <v>250</v>
      </c>
      <c r="AV794" t="s">
        <v>1498</v>
      </c>
      <c r="AW794">
        <f t="shared" si="0"/>
        <v>1435</v>
      </c>
      <c r="AX794" t="s">
        <v>480</v>
      </c>
      <c r="AY794">
        <v>3</v>
      </c>
      <c r="AZ794" t="s">
        <v>1499</v>
      </c>
      <c r="BA794">
        <v>2009</v>
      </c>
      <c r="BB794">
        <v>2012</v>
      </c>
      <c r="BC794">
        <v>2009.2</v>
      </c>
      <c r="BD794" t="s">
        <v>1544</v>
      </c>
      <c r="BE794" t="s">
        <v>593</v>
      </c>
      <c r="BF794" t="s">
        <v>484</v>
      </c>
      <c r="BG794" t="s">
        <v>1501</v>
      </c>
      <c r="BH794" t="s">
        <v>1502</v>
      </c>
      <c r="BI794" t="s">
        <v>1503</v>
      </c>
      <c r="BJ794">
        <v>30</v>
      </c>
      <c r="BK794" t="s">
        <v>555</v>
      </c>
      <c r="BL794" t="s">
        <v>1501</v>
      </c>
      <c r="BM794" t="s">
        <v>1505</v>
      </c>
      <c r="BN794" t="s">
        <v>1503</v>
      </c>
      <c r="BO794">
        <v>19</v>
      </c>
      <c r="HK794" t="s">
        <v>1545</v>
      </c>
      <c r="HL794" t="s">
        <v>1546</v>
      </c>
      <c r="HM794" s="127" t="s">
        <v>480</v>
      </c>
      <c r="HN794" s="127" t="s">
        <v>480</v>
      </c>
      <c r="HO794" t="s">
        <v>480</v>
      </c>
      <c r="HP794">
        <v>4</v>
      </c>
      <c r="HQ794" t="s">
        <v>1547</v>
      </c>
      <c r="HS794" t="s">
        <v>1509</v>
      </c>
      <c r="HT794" s="50">
        <v>40192</v>
      </c>
      <c r="HU794" s="50"/>
      <c r="IO794" t="s">
        <v>1544</v>
      </c>
      <c r="IP794" s="46" t="s">
        <v>1510</v>
      </c>
      <c r="IS794">
        <v>2009</v>
      </c>
      <c r="IT794" t="s">
        <v>1511</v>
      </c>
      <c r="IU794" s="4" t="s">
        <v>1186</v>
      </c>
      <c r="JK794" t="s">
        <v>494</v>
      </c>
      <c r="JL794" t="s">
        <v>1512</v>
      </c>
      <c r="JM794" t="s">
        <v>1536</v>
      </c>
      <c r="JN794" t="s">
        <v>497</v>
      </c>
      <c r="JO794" t="s">
        <v>1567</v>
      </c>
      <c r="JP794" t="s">
        <v>508</v>
      </c>
      <c r="JQ794">
        <v>44</v>
      </c>
      <c r="JR794">
        <v>13</v>
      </c>
      <c r="JS794">
        <f>23+59+59+16</f>
        <v>157</v>
      </c>
      <c r="KE794" t="s">
        <v>1548</v>
      </c>
      <c r="KF794" t="s">
        <v>1001</v>
      </c>
      <c r="KG794" t="s">
        <v>1515</v>
      </c>
      <c r="KH794">
        <v>7</v>
      </c>
      <c r="KI794" t="s">
        <v>1516</v>
      </c>
      <c r="KJ794" t="s">
        <v>501</v>
      </c>
      <c r="KK794" s="8" t="s">
        <v>1539</v>
      </c>
      <c r="KL794" t="s">
        <v>1540</v>
      </c>
      <c r="KM794">
        <v>0.99</v>
      </c>
      <c r="KN794" t="s">
        <v>545</v>
      </c>
      <c r="KO794" t="s">
        <v>1568</v>
      </c>
      <c r="KP794" t="s">
        <v>1518</v>
      </c>
      <c r="KQ794">
        <v>0.7</v>
      </c>
      <c r="KV794" t="s">
        <v>1549</v>
      </c>
      <c r="KW794" t="s">
        <v>1520</v>
      </c>
      <c r="LC794" t="s">
        <v>508</v>
      </c>
      <c r="LD794">
        <v>1900</v>
      </c>
      <c r="LL794" t="s">
        <v>1521</v>
      </c>
      <c r="LM794" t="s">
        <v>1522</v>
      </c>
      <c r="LN794">
        <v>30</v>
      </c>
      <c r="LT794" t="s">
        <v>1550</v>
      </c>
      <c r="LU794" t="s">
        <v>1524</v>
      </c>
      <c r="LY794" t="s">
        <v>1269</v>
      </c>
      <c r="LZ794">
        <v>1530</v>
      </c>
      <c r="MA794" t="s">
        <v>1525</v>
      </c>
      <c r="MG794" t="s">
        <v>1526</v>
      </c>
      <c r="MI794" s="50">
        <v>40299</v>
      </c>
      <c r="MY794" t="s">
        <v>1527</v>
      </c>
      <c r="MZ794">
        <v>1435</v>
      </c>
      <c r="NA794" t="s">
        <v>1571</v>
      </c>
      <c r="NB794" s="2" t="s">
        <v>1529</v>
      </c>
      <c r="NC794" s="2" t="s">
        <v>1529</v>
      </c>
      <c r="ND794" s="2"/>
      <c r="NE794" s="2"/>
      <c r="NJ794" t="s">
        <v>1572</v>
      </c>
      <c r="NK794" t="s">
        <v>1573</v>
      </c>
      <c r="NL794" s="132" t="s">
        <v>1312</v>
      </c>
      <c r="NM794" s="184" t="s">
        <v>1313</v>
      </c>
      <c r="NU794" t="s">
        <v>536</v>
      </c>
      <c r="NV794" t="s">
        <v>518</v>
      </c>
      <c r="NW794">
        <v>0.7</v>
      </c>
      <c r="NX794" t="s">
        <v>480</v>
      </c>
      <c r="OB794">
        <v>3</v>
      </c>
      <c r="OU794" t="s">
        <v>1574</v>
      </c>
      <c r="OV794" t="s">
        <v>518</v>
      </c>
      <c r="OX794">
        <v>2011</v>
      </c>
      <c r="OY794">
        <v>2012</v>
      </c>
      <c r="OZ794" t="s">
        <v>1511</v>
      </c>
      <c r="PA794" t="s">
        <v>1534</v>
      </c>
      <c r="PB794" t="s">
        <v>522</v>
      </c>
      <c r="PC794" s="50">
        <v>46136</v>
      </c>
      <c r="PD794" s="127"/>
    </row>
    <row r="795" spans="1:420" ht="15.75" thickBot="1">
      <c r="A795" t="s">
        <v>469</v>
      </c>
      <c r="B795" t="s">
        <v>1496</v>
      </c>
      <c r="C795" t="s">
        <v>1252</v>
      </c>
      <c r="D795" t="s">
        <v>950</v>
      </c>
      <c r="E795" s="81" t="s">
        <v>1497</v>
      </c>
      <c r="F795" s="80" t="s">
        <v>1179</v>
      </c>
      <c r="G795" t="s">
        <v>475</v>
      </c>
      <c r="H795" t="s">
        <v>1079</v>
      </c>
      <c r="I795">
        <v>23.983876843571402</v>
      </c>
      <c r="J795">
        <v>90.402873983888597</v>
      </c>
      <c r="K795">
        <v>250</v>
      </c>
      <c r="AV795" t="s">
        <v>1498</v>
      </c>
      <c r="AW795">
        <f t="shared" si="0"/>
        <v>1435</v>
      </c>
      <c r="AX795" t="s">
        <v>480</v>
      </c>
      <c r="AY795">
        <v>3</v>
      </c>
      <c r="AZ795" t="s">
        <v>1499</v>
      </c>
      <c r="BA795">
        <v>2009</v>
      </c>
      <c r="BB795">
        <v>2012</v>
      </c>
      <c r="BC795">
        <v>2009.2</v>
      </c>
      <c r="BD795" t="s">
        <v>1551</v>
      </c>
      <c r="BE795" t="s">
        <v>536</v>
      </c>
      <c r="BF795" t="s">
        <v>484</v>
      </c>
      <c r="BG795" t="s">
        <v>1278</v>
      </c>
      <c r="BH795" t="s">
        <v>1552</v>
      </c>
      <c r="BI795" t="s">
        <v>1503</v>
      </c>
      <c r="BJ795">
        <v>1614</v>
      </c>
      <c r="BK795" t="s">
        <v>555</v>
      </c>
      <c r="BL795" t="s">
        <v>485</v>
      </c>
      <c r="BM795" t="s">
        <v>1553</v>
      </c>
      <c r="BN795" t="s">
        <v>1503</v>
      </c>
      <c r="BO795">
        <v>20</v>
      </c>
      <c r="BP795" t="s">
        <v>555</v>
      </c>
      <c r="BQ795" t="s">
        <v>1290</v>
      </c>
      <c r="BR795" t="s">
        <v>1554</v>
      </c>
      <c r="BS795" t="s">
        <v>1503</v>
      </c>
      <c r="BT795">
        <v>30</v>
      </c>
      <c r="BU795" t="s">
        <v>555</v>
      </c>
      <c r="BV795" t="s">
        <v>1501</v>
      </c>
      <c r="BW795" t="s">
        <v>1555</v>
      </c>
      <c r="BX795" t="s">
        <v>1503</v>
      </c>
      <c r="BY795">
        <v>35</v>
      </c>
      <c r="BZ795" t="s">
        <v>555</v>
      </c>
      <c r="CA795" t="s">
        <v>1501</v>
      </c>
      <c r="CB795" t="s">
        <v>1556</v>
      </c>
      <c r="CC795" t="s">
        <v>1503</v>
      </c>
      <c r="CD795">
        <v>19</v>
      </c>
      <c r="HK795" t="s">
        <v>1557</v>
      </c>
      <c r="HL795" t="s">
        <v>1546</v>
      </c>
      <c r="HM795" s="127" t="s">
        <v>480</v>
      </c>
      <c r="HN795" s="127" t="s">
        <v>480</v>
      </c>
      <c r="HO795" t="s">
        <v>480</v>
      </c>
      <c r="HP795">
        <v>9</v>
      </c>
      <c r="HQ795" t="s">
        <v>1558</v>
      </c>
      <c r="HS795" t="s">
        <v>1509</v>
      </c>
      <c r="HT795" s="50">
        <v>40153</v>
      </c>
      <c r="IO795" t="s">
        <v>1551</v>
      </c>
      <c r="IP795" t="s">
        <v>1559</v>
      </c>
      <c r="IS795">
        <v>2009</v>
      </c>
      <c r="IT795" t="s">
        <v>1511</v>
      </c>
      <c r="IU795" s="4" t="s">
        <v>1186</v>
      </c>
      <c r="JK795" t="s">
        <v>494</v>
      </c>
      <c r="JL795" t="s">
        <v>1512</v>
      </c>
      <c r="JM795" t="s">
        <v>1560</v>
      </c>
      <c r="JN795" t="s">
        <v>961</v>
      </c>
      <c r="JO795" t="s">
        <v>1569</v>
      </c>
      <c r="JP795" t="s">
        <v>508</v>
      </c>
      <c r="JQ795">
        <v>58</v>
      </c>
      <c r="JR795">
        <v>32</v>
      </c>
      <c r="JS795">
        <v>127</v>
      </c>
      <c r="KE795" t="s">
        <v>1562</v>
      </c>
      <c r="KF795" t="s">
        <v>1001</v>
      </c>
      <c r="KG795" t="s">
        <v>1515</v>
      </c>
      <c r="KH795">
        <v>4</v>
      </c>
      <c r="KI795" t="s">
        <v>1516</v>
      </c>
      <c r="KJ795" t="s">
        <v>530</v>
      </c>
      <c r="KN795" t="s">
        <v>545</v>
      </c>
      <c r="KO795" t="s">
        <v>1563</v>
      </c>
      <c r="KP795" t="s">
        <v>1518</v>
      </c>
      <c r="KQ795">
        <f>1.6*2</f>
        <v>3.2</v>
      </c>
      <c r="KR795" t="s">
        <v>545</v>
      </c>
      <c r="KS795" t="s">
        <v>1570</v>
      </c>
      <c r="KT795" t="s">
        <v>503</v>
      </c>
      <c r="KU795">
        <v>1.47</v>
      </c>
      <c r="KV795" t="s">
        <v>1564</v>
      </c>
      <c r="KW795" t="s">
        <v>1520</v>
      </c>
      <c r="LC795" t="s">
        <v>508</v>
      </c>
      <c r="LD795">
        <v>1600</v>
      </c>
      <c r="LL795" t="s">
        <v>1521</v>
      </c>
      <c r="LM795" t="s">
        <v>1522</v>
      </c>
      <c r="LN795">
        <v>30</v>
      </c>
      <c r="LT795" t="s">
        <v>1565</v>
      </c>
      <c r="LU795" t="s">
        <v>1524</v>
      </c>
      <c r="LY795" t="s">
        <v>1269</v>
      </c>
      <c r="LZ795">
        <v>805</v>
      </c>
      <c r="MA795" t="s">
        <v>1525</v>
      </c>
      <c r="MG795" t="s">
        <v>1566</v>
      </c>
      <c r="MI795" s="50">
        <v>40224</v>
      </c>
      <c r="MY795" t="s">
        <v>1527</v>
      </c>
      <c r="MZ795">
        <v>1435</v>
      </c>
      <c r="NA795" t="s">
        <v>1575</v>
      </c>
      <c r="NB795" s="2"/>
      <c r="NC795" s="2" t="s">
        <v>1529</v>
      </c>
      <c r="ND795" t="s">
        <v>1278</v>
      </c>
      <c r="NE795" s="2" t="s">
        <v>1290</v>
      </c>
      <c r="NJ795" t="s">
        <v>1572</v>
      </c>
      <c r="NK795" t="s">
        <v>1573</v>
      </c>
      <c r="NL795" s="132" t="s">
        <v>1312</v>
      </c>
      <c r="NM795" s="184" t="s">
        <v>1313</v>
      </c>
      <c r="NV795" t="s">
        <v>518</v>
      </c>
      <c r="NW795">
        <v>1.9</v>
      </c>
      <c r="NX795" t="s">
        <v>480</v>
      </c>
      <c r="OB795">
        <v>3</v>
      </c>
      <c r="OU795" t="s">
        <v>1574</v>
      </c>
      <c r="OV795" t="s">
        <v>518</v>
      </c>
      <c r="OX795">
        <v>2011</v>
      </c>
      <c r="OY795">
        <v>2012</v>
      </c>
      <c r="OZ795" t="s">
        <v>1511</v>
      </c>
      <c r="PA795" t="s">
        <v>1534</v>
      </c>
      <c r="PB795" t="s">
        <v>522</v>
      </c>
      <c r="PC795" s="50">
        <v>46136</v>
      </c>
      <c r="PD795" s="127"/>
    </row>
    <row r="796" spans="1:420" ht="15.75" thickBot="1">
      <c r="A796" t="s">
        <v>469</v>
      </c>
      <c r="B796" t="s">
        <v>1496</v>
      </c>
      <c r="C796" t="s">
        <v>1252</v>
      </c>
      <c r="D796" t="s">
        <v>950</v>
      </c>
      <c r="E796" s="81" t="s">
        <v>1497</v>
      </c>
      <c r="F796" s="80" t="s">
        <v>1179</v>
      </c>
      <c r="G796" t="s">
        <v>475</v>
      </c>
      <c r="H796" t="s">
        <v>1079</v>
      </c>
      <c r="I796">
        <v>23.983876843571402</v>
      </c>
      <c r="J796">
        <v>90.402873983888597</v>
      </c>
      <c r="K796">
        <v>250</v>
      </c>
      <c r="AV796" t="s">
        <v>1498</v>
      </c>
      <c r="AW796">
        <f t="shared" si="0"/>
        <v>1435</v>
      </c>
      <c r="AX796" t="s">
        <v>480</v>
      </c>
      <c r="AY796">
        <v>3</v>
      </c>
      <c r="AZ796" t="s">
        <v>1499</v>
      </c>
      <c r="BA796">
        <v>2009</v>
      </c>
      <c r="BB796">
        <v>2012</v>
      </c>
      <c r="BC796">
        <v>2009.2</v>
      </c>
      <c r="BD796" t="s">
        <v>1500</v>
      </c>
      <c r="BE796" t="s">
        <v>524</v>
      </c>
      <c r="BF796" t="s">
        <v>484</v>
      </c>
      <c r="BG796" t="s">
        <v>1501</v>
      </c>
      <c r="BH796" t="s">
        <v>1502</v>
      </c>
      <c r="BI796" t="s">
        <v>1503</v>
      </c>
      <c r="BJ796">
        <v>45</v>
      </c>
      <c r="BK796" t="s">
        <v>555</v>
      </c>
      <c r="BL796" t="s">
        <v>1501</v>
      </c>
      <c r="BM796" t="s">
        <v>1504</v>
      </c>
      <c r="BN796" t="s">
        <v>1503</v>
      </c>
      <c r="BO796">
        <v>49</v>
      </c>
      <c r="BP796" t="s">
        <v>555</v>
      </c>
      <c r="BQ796" t="s">
        <v>1501</v>
      </c>
      <c r="BR796" t="s">
        <v>1505</v>
      </c>
      <c r="BS796" t="s">
        <v>1503</v>
      </c>
      <c r="BT796">
        <v>49</v>
      </c>
      <c r="HK796" t="s">
        <v>1506</v>
      </c>
      <c r="HL796" t="s">
        <v>526</v>
      </c>
      <c r="HM796" t="s">
        <v>1507</v>
      </c>
      <c r="HO796" t="s">
        <v>480</v>
      </c>
      <c r="HP796">
        <v>12</v>
      </c>
      <c r="HQ796" t="s">
        <v>1508</v>
      </c>
      <c r="HS796" t="s">
        <v>1509</v>
      </c>
      <c r="HT796" s="50">
        <v>40202</v>
      </c>
      <c r="HU796" s="50"/>
      <c r="IO796" t="s">
        <v>1500</v>
      </c>
      <c r="IP796" s="46" t="s">
        <v>1510</v>
      </c>
      <c r="IS796">
        <v>2009</v>
      </c>
      <c r="IT796" t="s">
        <v>1511</v>
      </c>
      <c r="IU796" s="4" t="s">
        <v>1186</v>
      </c>
      <c r="JK796" s="2" t="s">
        <v>494</v>
      </c>
      <c r="JL796" t="s">
        <v>495</v>
      </c>
      <c r="JM796" t="s">
        <v>1513</v>
      </c>
      <c r="JN796" t="s">
        <v>508</v>
      </c>
      <c r="JO796">
        <v>12</v>
      </c>
      <c r="JP796" t="s">
        <v>508</v>
      </c>
      <c r="JQ796">
        <v>155</v>
      </c>
      <c r="JR796">
        <v>18</v>
      </c>
      <c r="JS796">
        <v>32</v>
      </c>
      <c r="KE796" t="s">
        <v>1514</v>
      </c>
      <c r="KF796" t="s">
        <v>1001</v>
      </c>
      <c r="KG796" t="s">
        <v>1515</v>
      </c>
      <c r="KH796">
        <v>3</v>
      </c>
      <c r="KI796" t="s">
        <v>1516</v>
      </c>
      <c r="KJ796" t="s">
        <v>530</v>
      </c>
      <c r="KN796" t="s">
        <v>545</v>
      </c>
      <c r="KO796" s="8" t="s">
        <v>1517</v>
      </c>
      <c r="KP796" t="s">
        <v>1518</v>
      </c>
      <c r="KQ796">
        <v>0.5</v>
      </c>
      <c r="KV796" t="s">
        <v>1519</v>
      </c>
      <c r="KW796" t="s">
        <v>1520</v>
      </c>
      <c r="LC796" t="s">
        <v>508</v>
      </c>
      <c r="LD796">
        <v>1500</v>
      </c>
      <c r="LL796" t="s">
        <v>1521</v>
      </c>
      <c r="LM796" t="s">
        <v>1522</v>
      </c>
      <c r="LN796">
        <v>7.5</v>
      </c>
      <c r="LT796" t="s">
        <v>1523</v>
      </c>
      <c r="LU796" t="s">
        <v>1524</v>
      </c>
      <c r="LY796" t="s">
        <v>1269</v>
      </c>
      <c r="LZ796">
        <v>2084</v>
      </c>
      <c r="MA796" t="s">
        <v>1525</v>
      </c>
      <c r="MG796" t="s">
        <v>1526</v>
      </c>
      <c r="MI796" s="50">
        <v>40292</v>
      </c>
      <c r="MY796" t="s">
        <v>1527</v>
      </c>
      <c r="MZ796">
        <v>1435</v>
      </c>
      <c r="NI796" t="s">
        <v>1576</v>
      </c>
      <c r="NJ796" t="s">
        <v>1577</v>
      </c>
      <c r="NK796" t="s">
        <v>1578</v>
      </c>
      <c r="NL796" t="s">
        <v>944</v>
      </c>
      <c r="NM796" t="s">
        <v>516</v>
      </c>
      <c r="NU796" t="s">
        <v>1532</v>
      </c>
      <c r="NV796" t="s">
        <v>518</v>
      </c>
      <c r="NW796">
        <v>1916</v>
      </c>
      <c r="NX796" t="s">
        <v>480</v>
      </c>
      <c r="OB796">
        <v>3</v>
      </c>
      <c r="OU796" t="s">
        <v>1579</v>
      </c>
      <c r="OV796" t="s">
        <v>518</v>
      </c>
      <c r="OX796">
        <v>2009</v>
      </c>
      <c r="OY796">
        <v>2010</v>
      </c>
      <c r="OZ796" t="s">
        <v>1511</v>
      </c>
      <c r="PA796" t="s">
        <v>1534</v>
      </c>
      <c r="PB796" t="s">
        <v>522</v>
      </c>
      <c r="PC796" s="50">
        <v>46136</v>
      </c>
      <c r="PD796" s="127"/>
    </row>
    <row r="797" spans="1:420" ht="15.75" thickBot="1">
      <c r="A797" t="s">
        <v>469</v>
      </c>
      <c r="B797" t="s">
        <v>1496</v>
      </c>
      <c r="C797" t="s">
        <v>1252</v>
      </c>
      <c r="D797" t="s">
        <v>950</v>
      </c>
      <c r="E797" s="81" t="s">
        <v>1497</v>
      </c>
      <c r="F797" s="80" t="s">
        <v>1179</v>
      </c>
      <c r="G797" t="s">
        <v>475</v>
      </c>
      <c r="H797" t="s">
        <v>1079</v>
      </c>
      <c r="I797">
        <v>23.983876843571402</v>
      </c>
      <c r="J797">
        <v>90.402873983888597</v>
      </c>
      <c r="K797">
        <v>250</v>
      </c>
      <c r="AV797" t="s">
        <v>1498</v>
      </c>
      <c r="AW797">
        <f t="shared" si="0"/>
        <v>1435</v>
      </c>
      <c r="AX797" t="s">
        <v>480</v>
      </c>
      <c r="AY797">
        <v>3</v>
      </c>
      <c r="AZ797" t="s">
        <v>1499</v>
      </c>
      <c r="BA797">
        <v>2009</v>
      </c>
      <c r="BB797">
        <v>2012</v>
      </c>
      <c r="BC797">
        <v>2009.2</v>
      </c>
      <c r="BD797" t="s">
        <v>1535</v>
      </c>
      <c r="BE797" t="s">
        <v>483</v>
      </c>
      <c r="BF797" t="s">
        <v>484</v>
      </c>
      <c r="BG797" t="s">
        <v>1501</v>
      </c>
      <c r="BH797" t="s">
        <v>1502</v>
      </c>
      <c r="BI797" t="s">
        <v>1503</v>
      </c>
      <c r="BJ797">
        <v>30</v>
      </c>
      <c r="BK797" t="s">
        <v>555</v>
      </c>
      <c r="BL797" t="s">
        <v>1501</v>
      </c>
      <c r="BM797" t="s">
        <v>1505</v>
      </c>
      <c r="BN797" t="s">
        <v>1503</v>
      </c>
      <c r="BO797">
        <v>35</v>
      </c>
      <c r="HK797" t="s">
        <v>1506</v>
      </c>
      <c r="HL797" t="s">
        <v>526</v>
      </c>
      <c r="HM797" t="s">
        <v>1507</v>
      </c>
      <c r="HO797" t="s">
        <v>480</v>
      </c>
      <c r="HP797">
        <v>12</v>
      </c>
      <c r="HQ797" t="s">
        <v>1508</v>
      </c>
      <c r="HS797" t="s">
        <v>1509</v>
      </c>
      <c r="HT797" s="50">
        <v>40192</v>
      </c>
      <c r="HU797" s="50"/>
      <c r="IO797" t="s">
        <v>1535</v>
      </c>
      <c r="IP797" s="46" t="s">
        <v>1510</v>
      </c>
      <c r="IS797">
        <v>2009</v>
      </c>
      <c r="IT797" t="s">
        <v>1511</v>
      </c>
      <c r="IU797" s="4" t="s">
        <v>1186</v>
      </c>
      <c r="JK797" s="2" t="s">
        <v>494</v>
      </c>
      <c r="JL797" s="151" t="s">
        <v>1512</v>
      </c>
      <c r="JM797" s="140" t="s">
        <v>1536</v>
      </c>
      <c r="JN797" t="s">
        <v>497</v>
      </c>
      <c r="JO797" t="s">
        <v>1537</v>
      </c>
      <c r="JP797" t="s">
        <v>508</v>
      </c>
      <c r="JQ797">
        <f>45+50+45+20</f>
        <v>160</v>
      </c>
      <c r="JR797">
        <v>20</v>
      </c>
      <c r="JS797">
        <v>65</v>
      </c>
      <c r="KE797" t="s">
        <v>1538</v>
      </c>
      <c r="KF797" t="s">
        <v>1001</v>
      </c>
      <c r="KG797" t="s">
        <v>1515</v>
      </c>
      <c r="KH797">
        <v>6</v>
      </c>
      <c r="KI797" t="s">
        <v>1516</v>
      </c>
      <c r="KJ797" t="s">
        <v>501</v>
      </c>
      <c r="KK797" s="8" t="s">
        <v>1539</v>
      </c>
      <c r="KL797" t="s">
        <v>1540</v>
      </c>
      <c r="KM797">
        <v>0.99</v>
      </c>
      <c r="KN797" t="s">
        <v>545</v>
      </c>
      <c r="KO797" t="s">
        <v>1541</v>
      </c>
      <c r="KP797" t="s">
        <v>1518</v>
      </c>
      <c r="KQ797">
        <f>0.556*2</f>
        <v>1.1120000000000001</v>
      </c>
      <c r="KV797" t="s">
        <v>1542</v>
      </c>
      <c r="KW797" t="s">
        <v>1520</v>
      </c>
      <c r="LC797" t="s">
        <v>508</v>
      </c>
      <c r="LD797">
        <v>2200</v>
      </c>
      <c r="LL797" t="s">
        <v>1521</v>
      </c>
      <c r="LM797" t="s">
        <v>1522</v>
      </c>
      <c r="LN797">
        <v>30</v>
      </c>
      <c r="LT797" t="s">
        <v>1543</v>
      </c>
      <c r="LU797" t="s">
        <v>1524</v>
      </c>
      <c r="LY797" t="s">
        <v>1269</v>
      </c>
      <c r="LZ797">
        <v>1789</v>
      </c>
      <c r="MA797" t="s">
        <v>1525</v>
      </c>
      <c r="MG797" t="s">
        <v>1526</v>
      </c>
      <c r="MI797" s="50">
        <v>40298</v>
      </c>
      <c r="MY797" t="s">
        <v>1527</v>
      </c>
      <c r="MZ797">
        <v>1435</v>
      </c>
      <c r="NI797" t="s">
        <v>1576</v>
      </c>
      <c r="NJ797" t="s">
        <v>1577</v>
      </c>
      <c r="NK797" t="s">
        <v>1578</v>
      </c>
      <c r="NL797" t="s">
        <v>944</v>
      </c>
      <c r="NM797" t="s">
        <v>516</v>
      </c>
      <c r="NU797" t="s">
        <v>1532</v>
      </c>
      <c r="NV797" t="s">
        <v>518</v>
      </c>
      <c r="NW797">
        <v>1964</v>
      </c>
      <c r="NX797" t="s">
        <v>480</v>
      </c>
      <c r="OB797">
        <v>3</v>
      </c>
      <c r="OU797" t="s">
        <v>1579</v>
      </c>
      <c r="OV797" t="s">
        <v>518</v>
      </c>
      <c r="OX797">
        <v>2009</v>
      </c>
      <c r="OY797">
        <v>2010</v>
      </c>
      <c r="OZ797" t="s">
        <v>1511</v>
      </c>
      <c r="PA797" t="s">
        <v>1534</v>
      </c>
      <c r="PB797" t="s">
        <v>522</v>
      </c>
      <c r="PC797" s="50">
        <v>46136</v>
      </c>
      <c r="PD797" s="127"/>
    </row>
    <row r="798" spans="1:420" ht="15.75" thickBot="1">
      <c r="A798" t="s">
        <v>469</v>
      </c>
      <c r="B798" t="s">
        <v>1496</v>
      </c>
      <c r="C798" t="s">
        <v>1252</v>
      </c>
      <c r="D798" t="s">
        <v>950</v>
      </c>
      <c r="E798" s="81" t="s">
        <v>1497</v>
      </c>
      <c r="F798" s="80" t="s">
        <v>1179</v>
      </c>
      <c r="G798" t="s">
        <v>475</v>
      </c>
      <c r="H798" t="s">
        <v>1079</v>
      </c>
      <c r="I798">
        <v>23.983876843571402</v>
      </c>
      <c r="J798">
        <v>90.402873983888597</v>
      </c>
      <c r="K798">
        <v>250</v>
      </c>
      <c r="AV798" t="s">
        <v>1498</v>
      </c>
      <c r="AW798">
        <f t="shared" si="0"/>
        <v>1435</v>
      </c>
      <c r="AX798" t="s">
        <v>480</v>
      </c>
      <c r="AY798">
        <v>3</v>
      </c>
      <c r="AZ798" t="s">
        <v>1499</v>
      </c>
      <c r="BA798">
        <v>2009</v>
      </c>
      <c r="BB798">
        <v>2012</v>
      </c>
      <c r="BC798">
        <v>2009.2</v>
      </c>
      <c r="BD798" t="s">
        <v>1544</v>
      </c>
      <c r="BE798" t="s">
        <v>593</v>
      </c>
      <c r="BF798" t="s">
        <v>484</v>
      </c>
      <c r="BG798" t="s">
        <v>1501</v>
      </c>
      <c r="BH798" t="s">
        <v>1502</v>
      </c>
      <c r="BI798" t="s">
        <v>1503</v>
      </c>
      <c r="BJ798">
        <v>30</v>
      </c>
      <c r="BK798" t="s">
        <v>555</v>
      </c>
      <c r="BL798" t="s">
        <v>1501</v>
      </c>
      <c r="BM798" t="s">
        <v>1505</v>
      </c>
      <c r="BN798" t="s">
        <v>1503</v>
      </c>
      <c r="BO798">
        <v>19</v>
      </c>
      <c r="HK798" t="s">
        <v>1545</v>
      </c>
      <c r="HL798" t="s">
        <v>1546</v>
      </c>
      <c r="HM798" s="127" t="s">
        <v>480</v>
      </c>
      <c r="HN798" s="127" t="s">
        <v>480</v>
      </c>
      <c r="HO798" t="s">
        <v>480</v>
      </c>
      <c r="HP798">
        <v>4</v>
      </c>
      <c r="HQ798" t="s">
        <v>1547</v>
      </c>
      <c r="HS798" t="s">
        <v>1509</v>
      </c>
      <c r="HT798" s="50">
        <v>40192</v>
      </c>
      <c r="HU798" s="50"/>
      <c r="IO798" t="s">
        <v>1544</v>
      </c>
      <c r="IP798" s="46" t="s">
        <v>1510</v>
      </c>
      <c r="IS798">
        <v>2009</v>
      </c>
      <c r="IT798" t="s">
        <v>1511</v>
      </c>
      <c r="IU798" s="4" t="s">
        <v>1186</v>
      </c>
      <c r="JK798" s="2" t="s">
        <v>494</v>
      </c>
      <c r="JL798" t="s">
        <v>1512</v>
      </c>
      <c r="JM798" t="s">
        <v>1536</v>
      </c>
      <c r="JN798" t="s">
        <v>497</v>
      </c>
      <c r="JO798" t="s">
        <v>1537</v>
      </c>
      <c r="JP798" t="s">
        <v>508</v>
      </c>
      <c r="JQ798">
        <f>45+50+45+20</f>
        <v>160</v>
      </c>
      <c r="JR798">
        <v>20</v>
      </c>
      <c r="JS798">
        <v>65</v>
      </c>
      <c r="KE798" t="s">
        <v>1548</v>
      </c>
      <c r="KF798" t="s">
        <v>1001</v>
      </c>
      <c r="KG798" t="s">
        <v>1515</v>
      </c>
      <c r="KH798">
        <v>7</v>
      </c>
      <c r="KI798" t="s">
        <v>1516</v>
      </c>
      <c r="KJ798" t="s">
        <v>501</v>
      </c>
      <c r="KK798" s="8" t="s">
        <v>1539</v>
      </c>
      <c r="KL798" t="s">
        <v>1540</v>
      </c>
      <c r="KM798">
        <v>0.99</v>
      </c>
      <c r="KN798" t="s">
        <v>545</v>
      </c>
      <c r="KO798" t="s">
        <v>1541</v>
      </c>
      <c r="KP798" t="s">
        <v>1518</v>
      </c>
      <c r="KQ798">
        <f>0.556*2</f>
        <v>1.1120000000000001</v>
      </c>
      <c r="KV798" t="s">
        <v>1549</v>
      </c>
      <c r="KW798" t="s">
        <v>1520</v>
      </c>
      <c r="LC798" t="s">
        <v>508</v>
      </c>
      <c r="LD798">
        <v>2600</v>
      </c>
      <c r="LL798" t="s">
        <v>1521</v>
      </c>
      <c r="LM798" t="s">
        <v>1522</v>
      </c>
      <c r="LN798">
        <v>30</v>
      </c>
      <c r="LT798" t="s">
        <v>1550</v>
      </c>
      <c r="LU798" t="s">
        <v>1524</v>
      </c>
      <c r="LY798" t="s">
        <v>1269</v>
      </c>
      <c r="LZ798">
        <v>1898</v>
      </c>
      <c r="MA798" t="s">
        <v>1525</v>
      </c>
      <c r="MG798" t="s">
        <v>1526</v>
      </c>
      <c r="MI798" s="50">
        <v>40299</v>
      </c>
      <c r="MY798" t="s">
        <v>1527</v>
      </c>
      <c r="MZ798">
        <v>1435</v>
      </c>
      <c r="NI798" t="s">
        <v>1576</v>
      </c>
      <c r="NJ798" t="s">
        <v>1577</v>
      </c>
      <c r="NK798" t="s">
        <v>1578</v>
      </c>
      <c r="NL798" t="s">
        <v>944</v>
      </c>
      <c r="NM798" t="s">
        <v>516</v>
      </c>
      <c r="NU798" t="s">
        <v>536</v>
      </c>
      <c r="NV798" t="s">
        <v>518</v>
      </c>
      <c r="NW798">
        <v>1896</v>
      </c>
      <c r="NX798" t="s">
        <v>480</v>
      </c>
      <c r="OB798">
        <v>3</v>
      </c>
      <c r="OU798" t="s">
        <v>1579</v>
      </c>
      <c r="OV798" t="s">
        <v>518</v>
      </c>
      <c r="OX798">
        <v>2009</v>
      </c>
      <c r="OY798">
        <v>2010</v>
      </c>
      <c r="OZ798" t="s">
        <v>1511</v>
      </c>
      <c r="PA798" t="s">
        <v>1534</v>
      </c>
      <c r="PB798" t="s">
        <v>522</v>
      </c>
      <c r="PC798" s="50">
        <v>46136</v>
      </c>
      <c r="PD798" s="127"/>
    </row>
    <row r="799" spans="1:420" ht="15.75" thickBot="1">
      <c r="A799" t="s">
        <v>469</v>
      </c>
      <c r="B799" t="s">
        <v>1496</v>
      </c>
      <c r="C799" t="s">
        <v>1252</v>
      </c>
      <c r="D799" t="s">
        <v>950</v>
      </c>
      <c r="E799" s="81" t="s">
        <v>1497</v>
      </c>
      <c r="F799" s="80" t="s">
        <v>1179</v>
      </c>
      <c r="G799" t="s">
        <v>475</v>
      </c>
      <c r="H799" t="s">
        <v>1079</v>
      </c>
      <c r="I799">
        <v>23.983876843571402</v>
      </c>
      <c r="J799">
        <v>90.402873983888597</v>
      </c>
      <c r="K799">
        <v>250</v>
      </c>
      <c r="AV799" t="s">
        <v>1498</v>
      </c>
      <c r="AW799">
        <f t="shared" si="0"/>
        <v>1435</v>
      </c>
      <c r="AX799" t="s">
        <v>480</v>
      </c>
      <c r="AY799">
        <v>3</v>
      </c>
      <c r="AZ799" t="s">
        <v>1499</v>
      </c>
      <c r="BA799">
        <v>2009</v>
      </c>
      <c r="BB799">
        <v>2012</v>
      </c>
      <c r="BC799">
        <v>2009.2</v>
      </c>
      <c r="BD799" t="s">
        <v>1551</v>
      </c>
      <c r="BE799" t="s">
        <v>536</v>
      </c>
      <c r="BF799" t="s">
        <v>484</v>
      </c>
      <c r="BG799" t="s">
        <v>1278</v>
      </c>
      <c r="BH799" t="s">
        <v>1552</v>
      </c>
      <c r="BI799" t="s">
        <v>1503</v>
      </c>
      <c r="BJ799">
        <v>1614</v>
      </c>
      <c r="BK799" t="s">
        <v>555</v>
      </c>
      <c r="BL799" t="s">
        <v>485</v>
      </c>
      <c r="BM799" t="s">
        <v>1553</v>
      </c>
      <c r="BN799" t="s">
        <v>1503</v>
      </c>
      <c r="BO799">
        <v>20</v>
      </c>
      <c r="BP799" t="s">
        <v>555</v>
      </c>
      <c r="BQ799" t="s">
        <v>1290</v>
      </c>
      <c r="BR799" t="s">
        <v>1554</v>
      </c>
      <c r="BS799" t="s">
        <v>1503</v>
      </c>
      <c r="BT799">
        <v>30</v>
      </c>
      <c r="BU799" t="s">
        <v>555</v>
      </c>
      <c r="BV799" t="s">
        <v>1501</v>
      </c>
      <c r="BW799" t="s">
        <v>1555</v>
      </c>
      <c r="BX799" t="s">
        <v>1503</v>
      </c>
      <c r="BY799">
        <v>35</v>
      </c>
      <c r="BZ799" t="s">
        <v>555</v>
      </c>
      <c r="CA799" t="s">
        <v>1501</v>
      </c>
      <c r="CB799" t="s">
        <v>1556</v>
      </c>
      <c r="CC799" t="s">
        <v>1503</v>
      </c>
      <c r="CD799">
        <v>19</v>
      </c>
      <c r="HK799" t="s">
        <v>1557</v>
      </c>
      <c r="HL799" t="s">
        <v>1546</v>
      </c>
      <c r="HM799" s="127" t="s">
        <v>480</v>
      </c>
      <c r="HN799" s="127" t="s">
        <v>480</v>
      </c>
      <c r="HO799" t="s">
        <v>480</v>
      </c>
      <c r="HP799">
        <v>9</v>
      </c>
      <c r="HQ799" t="s">
        <v>1558</v>
      </c>
      <c r="HS799" t="s">
        <v>1509</v>
      </c>
      <c r="HT799" s="50">
        <v>40153</v>
      </c>
      <c r="IO799" t="s">
        <v>1551</v>
      </c>
      <c r="IP799" t="s">
        <v>1559</v>
      </c>
      <c r="IS799">
        <v>2009</v>
      </c>
      <c r="IT799" t="s">
        <v>1511</v>
      </c>
      <c r="IU799" s="4" t="s">
        <v>1186</v>
      </c>
      <c r="JK799" s="2" t="s">
        <v>494</v>
      </c>
      <c r="JL799" t="s">
        <v>1512</v>
      </c>
      <c r="JM799" t="s">
        <v>1560</v>
      </c>
      <c r="JN799" t="s">
        <v>961</v>
      </c>
      <c r="JO799" t="s">
        <v>1561</v>
      </c>
      <c r="JP799" t="s">
        <v>508</v>
      </c>
      <c r="JQ799">
        <f>80+80+38+38</f>
        <v>236</v>
      </c>
      <c r="JR799">
        <v>54</v>
      </c>
      <c r="JS799">
        <v>185</v>
      </c>
      <c r="KE799" t="s">
        <v>1562</v>
      </c>
      <c r="KF799" t="s">
        <v>1001</v>
      </c>
      <c r="KG799" t="s">
        <v>1515</v>
      </c>
      <c r="KH799">
        <v>4</v>
      </c>
      <c r="KI799" t="s">
        <v>1516</v>
      </c>
      <c r="KJ799" t="s">
        <v>530</v>
      </c>
      <c r="KN799" t="s">
        <v>545</v>
      </c>
      <c r="KO799" t="s">
        <v>1563</v>
      </c>
      <c r="KP799" t="s">
        <v>1518</v>
      </c>
      <c r="KQ799">
        <f>1.6*2</f>
        <v>3.2</v>
      </c>
      <c r="KV799" t="s">
        <v>1564</v>
      </c>
      <c r="KW799" t="s">
        <v>1520</v>
      </c>
      <c r="LC799" t="s">
        <v>508</v>
      </c>
      <c r="LD799">
        <v>4600</v>
      </c>
      <c r="LL799" t="s">
        <v>1521</v>
      </c>
      <c r="LM799" t="s">
        <v>1522</v>
      </c>
      <c r="LN799">
        <v>30</v>
      </c>
      <c r="LT799" t="s">
        <v>1565</v>
      </c>
      <c r="LU799" t="s">
        <v>1524</v>
      </c>
      <c r="LY799" t="s">
        <v>1269</v>
      </c>
      <c r="LZ799">
        <v>1426</v>
      </c>
      <c r="MA799" t="s">
        <v>1525</v>
      </c>
      <c r="MG799" t="s">
        <v>1566</v>
      </c>
      <c r="MI799" s="50">
        <v>40224</v>
      </c>
      <c r="MY799" t="s">
        <v>1527</v>
      </c>
      <c r="MZ799">
        <v>1435</v>
      </c>
      <c r="NI799" t="s">
        <v>1576</v>
      </c>
      <c r="NJ799" t="s">
        <v>1577</v>
      </c>
      <c r="NK799" t="s">
        <v>1578</v>
      </c>
      <c r="NL799" t="s">
        <v>944</v>
      </c>
      <c r="NM799" t="s">
        <v>516</v>
      </c>
      <c r="NV799" t="s">
        <v>518</v>
      </c>
      <c r="NW799">
        <v>4059</v>
      </c>
      <c r="NX799" t="s">
        <v>480</v>
      </c>
      <c r="OB799">
        <v>3</v>
      </c>
      <c r="OU799" t="s">
        <v>1579</v>
      </c>
      <c r="OV799" t="s">
        <v>518</v>
      </c>
      <c r="OX799">
        <v>2009</v>
      </c>
      <c r="OY799">
        <v>2010</v>
      </c>
      <c r="OZ799" t="s">
        <v>1511</v>
      </c>
      <c r="PA799" t="s">
        <v>1534</v>
      </c>
      <c r="PB799" t="s">
        <v>522</v>
      </c>
      <c r="PC799" s="50">
        <v>46136</v>
      </c>
      <c r="PD799" s="127"/>
    </row>
    <row r="800" spans="1:420" ht="15.75" thickBot="1">
      <c r="A800" t="s">
        <v>469</v>
      </c>
      <c r="B800" t="s">
        <v>1496</v>
      </c>
      <c r="C800" t="s">
        <v>1252</v>
      </c>
      <c r="D800" t="s">
        <v>950</v>
      </c>
      <c r="E800" s="81" t="s">
        <v>1497</v>
      </c>
      <c r="F800" s="80" t="s">
        <v>1179</v>
      </c>
      <c r="G800" t="s">
        <v>475</v>
      </c>
      <c r="H800" t="s">
        <v>1079</v>
      </c>
      <c r="I800">
        <v>23.983876843571402</v>
      </c>
      <c r="J800">
        <v>90.402873983888597</v>
      </c>
      <c r="K800">
        <v>250</v>
      </c>
      <c r="AV800" t="s">
        <v>1498</v>
      </c>
      <c r="AW800">
        <f t="shared" si="0"/>
        <v>1435</v>
      </c>
      <c r="AX800" t="s">
        <v>480</v>
      </c>
      <c r="AY800">
        <v>3</v>
      </c>
      <c r="AZ800" t="s">
        <v>1499</v>
      </c>
      <c r="BA800">
        <v>2009</v>
      </c>
      <c r="BB800">
        <v>2012</v>
      </c>
      <c r="BC800">
        <v>2009.2</v>
      </c>
      <c r="BD800" t="s">
        <v>1500</v>
      </c>
      <c r="BE800" t="s">
        <v>524</v>
      </c>
      <c r="BF800" t="s">
        <v>484</v>
      </c>
      <c r="BG800" t="s">
        <v>1501</v>
      </c>
      <c r="BH800" t="s">
        <v>1502</v>
      </c>
      <c r="BI800" t="s">
        <v>1503</v>
      </c>
      <c r="BJ800">
        <v>45</v>
      </c>
      <c r="BK800" t="s">
        <v>555</v>
      </c>
      <c r="BL800" t="s">
        <v>1501</v>
      </c>
      <c r="BM800" t="s">
        <v>1504</v>
      </c>
      <c r="BN800" t="s">
        <v>1503</v>
      </c>
      <c r="BO800">
        <v>49</v>
      </c>
      <c r="BP800" t="s">
        <v>555</v>
      </c>
      <c r="BQ800" t="s">
        <v>1501</v>
      </c>
      <c r="BR800" t="s">
        <v>1505</v>
      </c>
      <c r="BS800" t="s">
        <v>1503</v>
      </c>
      <c r="BT800">
        <v>49</v>
      </c>
      <c r="HK800" t="s">
        <v>1506</v>
      </c>
      <c r="HL800" t="s">
        <v>526</v>
      </c>
      <c r="HM800" t="s">
        <v>1507</v>
      </c>
      <c r="HO800" t="s">
        <v>480</v>
      </c>
      <c r="HP800">
        <v>12</v>
      </c>
      <c r="HQ800" t="s">
        <v>1508</v>
      </c>
      <c r="HS800" t="s">
        <v>1509</v>
      </c>
      <c r="HT800" s="50">
        <v>40202</v>
      </c>
      <c r="HU800" s="50"/>
      <c r="IO800" t="s">
        <v>1500</v>
      </c>
      <c r="IP800" s="46" t="s">
        <v>1510</v>
      </c>
      <c r="IS800">
        <v>2009</v>
      </c>
      <c r="IT800" t="s">
        <v>1511</v>
      </c>
      <c r="IU800" s="4" t="s">
        <v>1186</v>
      </c>
      <c r="JK800" t="s">
        <v>494</v>
      </c>
      <c r="JL800" t="s">
        <v>1512</v>
      </c>
      <c r="JM800" t="s">
        <v>1513</v>
      </c>
      <c r="JN800" t="s">
        <v>508</v>
      </c>
      <c r="JO800">
        <v>12</v>
      </c>
      <c r="JP800" t="s">
        <v>508</v>
      </c>
      <c r="JQ800">
        <f>51+69+35</f>
        <v>155</v>
      </c>
      <c r="JR800">
        <v>18</v>
      </c>
      <c r="JS800">
        <v>32</v>
      </c>
      <c r="KE800" t="s">
        <v>1514</v>
      </c>
      <c r="KF800" t="s">
        <v>1001</v>
      </c>
      <c r="KG800" t="s">
        <v>1515</v>
      </c>
      <c r="KH800">
        <v>3</v>
      </c>
      <c r="KI800" t="s">
        <v>1516</v>
      </c>
      <c r="KJ800" t="s">
        <v>530</v>
      </c>
      <c r="KN800" t="s">
        <v>545</v>
      </c>
      <c r="KO800" s="8" t="s">
        <v>1517</v>
      </c>
      <c r="KP800" t="s">
        <v>1518</v>
      </c>
      <c r="KQ800">
        <v>0.5</v>
      </c>
      <c r="KV800" t="s">
        <v>1519</v>
      </c>
      <c r="KW800" t="s">
        <v>1520</v>
      </c>
      <c r="LC800" t="s">
        <v>508</v>
      </c>
      <c r="LD800">
        <v>0</v>
      </c>
      <c r="LL800" t="s">
        <v>1521</v>
      </c>
      <c r="LM800" t="s">
        <v>1522</v>
      </c>
      <c r="LN800">
        <v>7.5</v>
      </c>
      <c r="LT800" t="s">
        <v>1523</v>
      </c>
      <c r="LU800" t="s">
        <v>1524</v>
      </c>
      <c r="LY800" t="s">
        <v>1269</v>
      </c>
      <c r="LZ800">
        <v>2172</v>
      </c>
      <c r="MA800" t="s">
        <v>1525</v>
      </c>
      <c r="MG800" t="s">
        <v>1526</v>
      </c>
      <c r="MI800" s="50">
        <v>40292</v>
      </c>
      <c r="MY800" t="s">
        <v>1527</v>
      </c>
      <c r="MZ800">
        <v>1435</v>
      </c>
      <c r="NI800" t="s">
        <v>1576</v>
      </c>
      <c r="NJ800" t="s">
        <v>1577</v>
      </c>
      <c r="NK800" t="s">
        <v>1578</v>
      </c>
      <c r="NL800" t="s">
        <v>944</v>
      </c>
      <c r="NM800" t="s">
        <v>516</v>
      </c>
      <c r="NU800" t="s">
        <v>1532</v>
      </c>
      <c r="NV800" t="s">
        <v>518</v>
      </c>
      <c r="NW800">
        <v>1782</v>
      </c>
      <c r="NX800" t="s">
        <v>480</v>
      </c>
      <c r="OB800">
        <v>3</v>
      </c>
      <c r="OU800" t="s">
        <v>1579</v>
      </c>
      <c r="OV800" t="s">
        <v>518</v>
      </c>
      <c r="OX800">
        <v>2010</v>
      </c>
      <c r="OY800">
        <v>2011</v>
      </c>
      <c r="OZ800" t="s">
        <v>1511</v>
      </c>
      <c r="PA800" t="s">
        <v>1534</v>
      </c>
      <c r="PB800" t="s">
        <v>522</v>
      </c>
      <c r="PC800" s="50">
        <v>46136</v>
      </c>
      <c r="PD800" s="127"/>
    </row>
    <row r="801" spans="1:420" ht="15.75" thickBot="1">
      <c r="A801" t="s">
        <v>469</v>
      </c>
      <c r="B801" t="s">
        <v>1496</v>
      </c>
      <c r="C801" t="s">
        <v>1252</v>
      </c>
      <c r="D801" t="s">
        <v>950</v>
      </c>
      <c r="E801" s="81" t="s">
        <v>1497</v>
      </c>
      <c r="F801" s="80" t="s">
        <v>1179</v>
      </c>
      <c r="G801" t="s">
        <v>475</v>
      </c>
      <c r="H801" t="s">
        <v>1079</v>
      </c>
      <c r="I801">
        <v>23.983876843571402</v>
      </c>
      <c r="J801">
        <v>90.402873983888597</v>
      </c>
      <c r="K801">
        <v>250</v>
      </c>
      <c r="AV801" t="s">
        <v>1498</v>
      </c>
      <c r="AW801">
        <f t="shared" si="0"/>
        <v>1435</v>
      </c>
      <c r="AX801" t="s">
        <v>480</v>
      </c>
      <c r="AY801">
        <v>3</v>
      </c>
      <c r="AZ801" t="s">
        <v>1499</v>
      </c>
      <c r="BA801">
        <v>2009</v>
      </c>
      <c r="BB801">
        <v>2012</v>
      </c>
      <c r="BC801">
        <v>2009.2</v>
      </c>
      <c r="BD801" t="s">
        <v>1535</v>
      </c>
      <c r="BE801" t="s">
        <v>483</v>
      </c>
      <c r="BF801" t="s">
        <v>484</v>
      </c>
      <c r="BG801" t="s">
        <v>1501</v>
      </c>
      <c r="BH801" t="s">
        <v>1502</v>
      </c>
      <c r="BI801" t="s">
        <v>1503</v>
      </c>
      <c r="BJ801">
        <v>30</v>
      </c>
      <c r="BK801" t="s">
        <v>555</v>
      </c>
      <c r="BL801" t="s">
        <v>1501</v>
      </c>
      <c r="BM801" t="s">
        <v>1505</v>
      </c>
      <c r="BN801" t="s">
        <v>1503</v>
      </c>
      <c r="BO801">
        <v>35</v>
      </c>
      <c r="HK801" t="s">
        <v>1506</v>
      </c>
      <c r="HL801" t="s">
        <v>526</v>
      </c>
      <c r="HM801" t="s">
        <v>1507</v>
      </c>
      <c r="HO801" t="s">
        <v>480</v>
      </c>
      <c r="HP801">
        <v>12</v>
      </c>
      <c r="HQ801" t="s">
        <v>1508</v>
      </c>
      <c r="HS801" t="s">
        <v>1509</v>
      </c>
      <c r="HT801" s="50">
        <v>40192</v>
      </c>
      <c r="HU801" s="50"/>
      <c r="IO801" t="s">
        <v>1535</v>
      </c>
      <c r="IP801" s="46" t="s">
        <v>1510</v>
      </c>
      <c r="IS801">
        <v>2009</v>
      </c>
      <c r="IT801" t="s">
        <v>1511</v>
      </c>
      <c r="IU801" s="4" t="s">
        <v>1186</v>
      </c>
      <c r="JK801" t="s">
        <v>494</v>
      </c>
      <c r="JL801" t="s">
        <v>1512</v>
      </c>
      <c r="JM801" t="s">
        <v>1536</v>
      </c>
      <c r="JN801" t="s">
        <v>497</v>
      </c>
      <c r="JO801" t="s">
        <v>1567</v>
      </c>
      <c r="JP801" t="s">
        <v>508</v>
      </c>
      <c r="JQ801">
        <f>42+63+65+16</f>
        <v>186</v>
      </c>
      <c r="JR801">
        <v>13</v>
      </c>
      <c r="JS801">
        <v>23</v>
      </c>
      <c r="KE801" t="s">
        <v>1538</v>
      </c>
      <c r="KF801" t="s">
        <v>1001</v>
      </c>
      <c r="KG801" t="s">
        <v>1515</v>
      </c>
      <c r="KH801">
        <v>6</v>
      </c>
      <c r="KI801" t="s">
        <v>1516</v>
      </c>
      <c r="KJ801" t="s">
        <v>501</v>
      </c>
      <c r="KK801" s="8" t="s">
        <v>1539</v>
      </c>
      <c r="KL801" t="s">
        <v>1540</v>
      </c>
      <c r="KM801">
        <v>0.99</v>
      </c>
      <c r="KN801" t="s">
        <v>545</v>
      </c>
      <c r="KO801" t="s">
        <v>1568</v>
      </c>
      <c r="KP801" t="s">
        <v>1518</v>
      </c>
      <c r="KQ801">
        <f t="shared" ref="KQ801:KQ802" si="2">0.7*2</f>
        <v>1.4</v>
      </c>
      <c r="KV801" t="s">
        <v>1542</v>
      </c>
      <c r="KW801" t="s">
        <v>1520</v>
      </c>
      <c r="LC801" t="s">
        <v>508</v>
      </c>
      <c r="LD801">
        <v>1600</v>
      </c>
      <c r="LL801" t="s">
        <v>1521</v>
      </c>
      <c r="LM801" t="s">
        <v>1522</v>
      </c>
      <c r="LN801">
        <v>30</v>
      </c>
      <c r="LT801" t="s">
        <v>1543</v>
      </c>
      <c r="LU801" t="s">
        <v>1524</v>
      </c>
      <c r="LY801" t="s">
        <v>1269</v>
      </c>
      <c r="LZ801">
        <v>1946</v>
      </c>
      <c r="MA801" t="s">
        <v>1525</v>
      </c>
      <c r="MG801" t="s">
        <v>1526</v>
      </c>
      <c r="MI801" s="50">
        <v>40298</v>
      </c>
      <c r="MY801" t="s">
        <v>1527</v>
      </c>
      <c r="MZ801">
        <v>1435</v>
      </c>
      <c r="NI801" t="s">
        <v>1576</v>
      </c>
      <c r="NJ801" t="s">
        <v>1577</v>
      </c>
      <c r="NK801" t="s">
        <v>1578</v>
      </c>
      <c r="NL801" t="s">
        <v>944</v>
      </c>
      <c r="NM801" t="s">
        <v>516</v>
      </c>
      <c r="NU801" t="s">
        <v>1532</v>
      </c>
      <c r="NV801" t="s">
        <v>518</v>
      </c>
      <c r="NW801">
        <v>1900</v>
      </c>
      <c r="NX801" t="s">
        <v>480</v>
      </c>
      <c r="OB801">
        <v>3</v>
      </c>
      <c r="OU801" t="s">
        <v>1579</v>
      </c>
      <c r="OV801" t="s">
        <v>518</v>
      </c>
      <c r="OX801">
        <v>2010</v>
      </c>
      <c r="OY801">
        <v>2011</v>
      </c>
      <c r="OZ801" t="s">
        <v>1511</v>
      </c>
      <c r="PA801" t="s">
        <v>1534</v>
      </c>
      <c r="PB801" t="s">
        <v>522</v>
      </c>
      <c r="PC801" s="50">
        <v>46136</v>
      </c>
      <c r="PD801" s="127"/>
    </row>
    <row r="802" spans="1:420" ht="15.75" thickBot="1">
      <c r="A802" t="s">
        <v>469</v>
      </c>
      <c r="B802" t="s">
        <v>1496</v>
      </c>
      <c r="C802" t="s">
        <v>1252</v>
      </c>
      <c r="D802" t="s">
        <v>950</v>
      </c>
      <c r="E802" s="81" t="s">
        <v>1497</v>
      </c>
      <c r="F802" s="80" t="s">
        <v>1179</v>
      </c>
      <c r="G802" t="s">
        <v>475</v>
      </c>
      <c r="H802" t="s">
        <v>1079</v>
      </c>
      <c r="I802">
        <v>23.983876843571402</v>
      </c>
      <c r="J802">
        <v>90.402873983888597</v>
      </c>
      <c r="K802">
        <v>250</v>
      </c>
      <c r="AV802" t="s">
        <v>1498</v>
      </c>
      <c r="AW802">
        <f t="shared" si="0"/>
        <v>1435</v>
      </c>
      <c r="AX802" t="s">
        <v>480</v>
      </c>
      <c r="AY802">
        <v>3</v>
      </c>
      <c r="AZ802" t="s">
        <v>1499</v>
      </c>
      <c r="BA802">
        <v>2009</v>
      </c>
      <c r="BB802">
        <v>2012</v>
      </c>
      <c r="BC802">
        <v>2009.2</v>
      </c>
      <c r="BD802" t="s">
        <v>1544</v>
      </c>
      <c r="BE802" t="s">
        <v>593</v>
      </c>
      <c r="BF802" t="s">
        <v>484</v>
      </c>
      <c r="BG802" t="s">
        <v>1501</v>
      </c>
      <c r="BH802" t="s">
        <v>1502</v>
      </c>
      <c r="BI802" t="s">
        <v>1503</v>
      </c>
      <c r="BJ802">
        <v>30</v>
      </c>
      <c r="BK802" t="s">
        <v>555</v>
      </c>
      <c r="BL802" t="s">
        <v>1501</v>
      </c>
      <c r="BM802" t="s">
        <v>1505</v>
      </c>
      <c r="BN802" t="s">
        <v>1503</v>
      </c>
      <c r="BO802">
        <v>19</v>
      </c>
      <c r="HK802" t="s">
        <v>1545</v>
      </c>
      <c r="HL802" t="s">
        <v>1546</v>
      </c>
      <c r="HM802" s="127" t="s">
        <v>480</v>
      </c>
      <c r="HN802" s="127" t="s">
        <v>480</v>
      </c>
      <c r="HO802" t="s">
        <v>480</v>
      </c>
      <c r="HP802">
        <v>4</v>
      </c>
      <c r="HQ802" t="s">
        <v>1547</v>
      </c>
      <c r="HS802" t="s">
        <v>1509</v>
      </c>
      <c r="HT802" s="50">
        <v>40192</v>
      </c>
      <c r="HU802" s="50"/>
      <c r="IO802" t="s">
        <v>1544</v>
      </c>
      <c r="IP802" s="46" t="s">
        <v>1510</v>
      </c>
      <c r="IS802">
        <v>2009</v>
      </c>
      <c r="IT802" t="s">
        <v>1511</v>
      </c>
      <c r="IU802" s="4" t="s">
        <v>1186</v>
      </c>
      <c r="JK802" t="s">
        <v>494</v>
      </c>
      <c r="JL802" t="s">
        <v>1512</v>
      </c>
      <c r="JM802" t="s">
        <v>1536</v>
      </c>
      <c r="JN802" t="s">
        <v>497</v>
      </c>
      <c r="JO802" t="s">
        <v>1567</v>
      </c>
      <c r="JP802" t="s">
        <v>508</v>
      </c>
      <c r="JQ802">
        <f>42+63+65+16</f>
        <v>186</v>
      </c>
      <c r="JR802">
        <v>13</v>
      </c>
      <c r="JS802">
        <v>23</v>
      </c>
      <c r="KE802" t="s">
        <v>1548</v>
      </c>
      <c r="KF802" t="s">
        <v>1001</v>
      </c>
      <c r="KG802" t="s">
        <v>1515</v>
      </c>
      <c r="KH802">
        <v>7</v>
      </c>
      <c r="KI802" t="s">
        <v>1516</v>
      </c>
      <c r="KJ802" t="s">
        <v>501</v>
      </c>
      <c r="KK802" s="8" t="s">
        <v>1539</v>
      </c>
      <c r="KL802" t="s">
        <v>1540</v>
      </c>
      <c r="KM802">
        <v>0.99</v>
      </c>
      <c r="KN802" t="s">
        <v>545</v>
      </c>
      <c r="KO802" t="s">
        <v>1568</v>
      </c>
      <c r="KP802" t="s">
        <v>1518</v>
      </c>
      <c r="KQ802">
        <f t="shared" si="2"/>
        <v>1.4</v>
      </c>
      <c r="KV802" t="s">
        <v>1549</v>
      </c>
      <c r="KW802" t="s">
        <v>1520</v>
      </c>
      <c r="LC802" t="s">
        <v>508</v>
      </c>
      <c r="LD802">
        <v>1400</v>
      </c>
      <c r="LL802" t="s">
        <v>1521</v>
      </c>
      <c r="LM802" t="s">
        <v>1522</v>
      </c>
      <c r="LN802">
        <v>30</v>
      </c>
      <c r="LT802" t="s">
        <v>1550</v>
      </c>
      <c r="LU802" t="s">
        <v>1524</v>
      </c>
      <c r="LY802" t="s">
        <v>1269</v>
      </c>
      <c r="LZ802">
        <v>2001</v>
      </c>
      <c r="MA802" t="s">
        <v>1525</v>
      </c>
      <c r="MG802" t="s">
        <v>1526</v>
      </c>
      <c r="MI802" s="50">
        <v>40299</v>
      </c>
      <c r="MY802" t="s">
        <v>1527</v>
      </c>
      <c r="MZ802">
        <v>1435</v>
      </c>
      <c r="NI802" t="s">
        <v>1576</v>
      </c>
      <c r="NJ802" t="s">
        <v>1577</v>
      </c>
      <c r="NK802" t="s">
        <v>1578</v>
      </c>
      <c r="NL802" t="s">
        <v>944</v>
      </c>
      <c r="NM802" t="s">
        <v>516</v>
      </c>
      <c r="NU802" t="s">
        <v>536</v>
      </c>
      <c r="NV802" t="s">
        <v>518</v>
      </c>
      <c r="NW802">
        <v>1735</v>
      </c>
      <c r="NX802" t="s">
        <v>480</v>
      </c>
      <c r="OB802">
        <v>3</v>
      </c>
      <c r="OU802" t="s">
        <v>1579</v>
      </c>
      <c r="OV802" t="s">
        <v>518</v>
      </c>
      <c r="OX802">
        <v>2010</v>
      </c>
      <c r="OY802">
        <v>2011</v>
      </c>
      <c r="OZ802" t="s">
        <v>1511</v>
      </c>
      <c r="PA802" t="s">
        <v>1534</v>
      </c>
      <c r="PB802" t="s">
        <v>522</v>
      </c>
      <c r="PC802" s="50">
        <v>46136</v>
      </c>
      <c r="PD802" s="127"/>
    </row>
    <row r="803" spans="1:420" ht="15.75" thickBot="1">
      <c r="A803" t="s">
        <v>469</v>
      </c>
      <c r="B803" t="s">
        <v>1496</v>
      </c>
      <c r="C803" t="s">
        <v>1252</v>
      </c>
      <c r="D803" t="s">
        <v>950</v>
      </c>
      <c r="E803" s="81" t="s">
        <v>1497</v>
      </c>
      <c r="F803" s="80" t="s">
        <v>1179</v>
      </c>
      <c r="G803" t="s">
        <v>475</v>
      </c>
      <c r="H803" t="s">
        <v>1079</v>
      </c>
      <c r="I803">
        <v>23.983876843571402</v>
      </c>
      <c r="J803">
        <v>90.402873983888597</v>
      </c>
      <c r="K803">
        <v>250</v>
      </c>
      <c r="AV803" t="s">
        <v>1498</v>
      </c>
      <c r="AW803">
        <f t="shared" si="0"/>
        <v>1435</v>
      </c>
      <c r="AX803" t="s">
        <v>480</v>
      </c>
      <c r="AY803">
        <v>3</v>
      </c>
      <c r="AZ803" t="s">
        <v>1499</v>
      </c>
      <c r="BA803">
        <v>2009</v>
      </c>
      <c r="BB803">
        <v>2012</v>
      </c>
      <c r="BC803">
        <v>2009.2</v>
      </c>
      <c r="BD803" t="s">
        <v>1551</v>
      </c>
      <c r="BE803" t="s">
        <v>536</v>
      </c>
      <c r="BF803" t="s">
        <v>484</v>
      </c>
      <c r="BG803" t="s">
        <v>1278</v>
      </c>
      <c r="BH803" t="s">
        <v>1552</v>
      </c>
      <c r="BI803" t="s">
        <v>1503</v>
      </c>
      <c r="BJ803">
        <v>1614</v>
      </c>
      <c r="BK803" t="s">
        <v>555</v>
      </c>
      <c r="BL803" t="s">
        <v>485</v>
      </c>
      <c r="BM803" t="s">
        <v>1553</v>
      </c>
      <c r="BN803" t="s">
        <v>1503</v>
      </c>
      <c r="BO803">
        <v>20</v>
      </c>
      <c r="BP803" t="s">
        <v>555</v>
      </c>
      <c r="BQ803" t="s">
        <v>1290</v>
      </c>
      <c r="BR803" t="s">
        <v>1554</v>
      </c>
      <c r="BS803" t="s">
        <v>1503</v>
      </c>
      <c r="BT803">
        <v>30</v>
      </c>
      <c r="BU803" t="s">
        <v>555</v>
      </c>
      <c r="BV803" t="s">
        <v>1501</v>
      </c>
      <c r="BW803" t="s">
        <v>1555</v>
      </c>
      <c r="BX803" t="s">
        <v>1503</v>
      </c>
      <c r="BY803">
        <v>35</v>
      </c>
      <c r="BZ803" t="s">
        <v>555</v>
      </c>
      <c r="CA803" t="s">
        <v>1501</v>
      </c>
      <c r="CB803" t="s">
        <v>1556</v>
      </c>
      <c r="CC803" t="s">
        <v>1503</v>
      </c>
      <c r="CD803">
        <v>19</v>
      </c>
      <c r="HK803" t="s">
        <v>1557</v>
      </c>
      <c r="HL803" t="s">
        <v>1546</v>
      </c>
      <c r="HM803" s="127" t="s">
        <v>480</v>
      </c>
      <c r="HN803" s="127" t="s">
        <v>480</v>
      </c>
      <c r="HO803" t="s">
        <v>480</v>
      </c>
      <c r="HP803">
        <v>9</v>
      </c>
      <c r="HQ803" t="s">
        <v>1558</v>
      </c>
      <c r="HS803" t="s">
        <v>1509</v>
      </c>
      <c r="HT803" s="50">
        <v>40153</v>
      </c>
      <c r="IO803" t="s">
        <v>1551</v>
      </c>
      <c r="IP803" t="s">
        <v>1559</v>
      </c>
      <c r="IS803">
        <v>2009</v>
      </c>
      <c r="IT803" t="s">
        <v>1511</v>
      </c>
      <c r="IU803" s="4" t="s">
        <v>1186</v>
      </c>
      <c r="JK803" t="s">
        <v>494</v>
      </c>
      <c r="JL803" t="s">
        <v>1512</v>
      </c>
      <c r="JM803" t="s">
        <v>1560</v>
      </c>
      <c r="JN803" t="s">
        <v>961</v>
      </c>
      <c r="JO803" t="s">
        <v>1561</v>
      </c>
      <c r="JP803" t="s">
        <v>508</v>
      </c>
      <c r="JQ803">
        <f>80+80+38+38</f>
        <v>236</v>
      </c>
      <c r="JR803">
        <v>54</v>
      </c>
      <c r="JS803">
        <v>185</v>
      </c>
      <c r="KE803" t="s">
        <v>1562</v>
      </c>
      <c r="KF803" t="s">
        <v>1001</v>
      </c>
      <c r="KG803" t="s">
        <v>1515</v>
      </c>
      <c r="KH803">
        <v>4</v>
      </c>
      <c r="KI803" t="s">
        <v>1516</v>
      </c>
      <c r="KJ803" t="s">
        <v>530</v>
      </c>
      <c r="KN803" t="s">
        <v>545</v>
      </c>
      <c r="KO803" t="s">
        <v>1563</v>
      </c>
      <c r="KP803" s="8" t="s">
        <v>1518</v>
      </c>
      <c r="KQ803">
        <v>1.6</v>
      </c>
      <c r="KS803" s="8"/>
      <c r="KV803" t="s">
        <v>1564</v>
      </c>
      <c r="KW803" t="s">
        <v>1520</v>
      </c>
      <c r="LC803" t="s">
        <v>508</v>
      </c>
      <c r="LD803">
        <v>1600</v>
      </c>
      <c r="LL803" t="s">
        <v>1521</v>
      </c>
      <c r="LM803" t="s">
        <v>1522</v>
      </c>
      <c r="LN803">
        <v>30</v>
      </c>
      <c r="LT803" t="s">
        <v>1565</v>
      </c>
      <c r="LU803" t="s">
        <v>1524</v>
      </c>
      <c r="LY803" t="s">
        <v>1269</v>
      </c>
      <c r="LZ803">
        <v>1186</v>
      </c>
      <c r="MA803" t="s">
        <v>1525</v>
      </c>
      <c r="MG803" t="s">
        <v>1566</v>
      </c>
      <c r="MI803" s="50">
        <v>40224</v>
      </c>
      <c r="MY803" t="s">
        <v>1527</v>
      </c>
      <c r="MZ803">
        <v>1435</v>
      </c>
      <c r="NI803" t="s">
        <v>1576</v>
      </c>
      <c r="NJ803" t="s">
        <v>1577</v>
      </c>
      <c r="NK803" t="s">
        <v>1578</v>
      </c>
      <c r="NL803" t="s">
        <v>944</v>
      </c>
      <c r="NM803" t="s">
        <v>516</v>
      </c>
      <c r="NV803" t="s">
        <v>518</v>
      </c>
      <c r="NW803">
        <v>3140</v>
      </c>
      <c r="NX803" t="s">
        <v>480</v>
      </c>
      <c r="OB803">
        <v>3</v>
      </c>
      <c r="OU803" t="s">
        <v>1579</v>
      </c>
      <c r="OV803" t="s">
        <v>518</v>
      </c>
      <c r="OX803">
        <v>2010</v>
      </c>
      <c r="OY803">
        <v>2011</v>
      </c>
      <c r="OZ803" t="s">
        <v>1511</v>
      </c>
      <c r="PA803" t="s">
        <v>1534</v>
      </c>
      <c r="PB803" t="s">
        <v>522</v>
      </c>
      <c r="PC803" s="50">
        <v>46136</v>
      </c>
      <c r="PD803" s="127"/>
    </row>
    <row r="804" spans="1:420" ht="15.75" thickBot="1">
      <c r="A804" t="s">
        <v>469</v>
      </c>
      <c r="B804" t="s">
        <v>1496</v>
      </c>
      <c r="C804" t="s">
        <v>1252</v>
      </c>
      <c r="D804" t="s">
        <v>950</v>
      </c>
      <c r="E804" s="81" t="s">
        <v>1497</v>
      </c>
      <c r="F804" s="80" t="s">
        <v>1179</v>
      </c>
      <c r="G804" t="s">
        <v>475</v>
      </c>
      <c r="H804" t="s">
        <v>1079</v>
      </c>
      <c r="I804">
        <v>23.983876843571402</v>
      </c>
      <c r="J804">
        <v>90.402873983888597</v>
      </c>
      <c r="K804">
        <v>250</v>
      </c>
      <c r="AV804" t="s">
        <v>1498</v>
      </c>
      <c r="AW804">
        <f t="shared" ref="AW804:AW835" si="3">35*41</f>
        <v>1435</v>
      </c>
      <c r="AX804" t="s">
        <v>480</v>
      </c>
      <c r="AY804">
        <v>3</v>
      </c>
      <c r="AZ804" t="s">
        <v>1499</v>
      </c>
      <c r="BA804">
        <v>2009</v>
      </c>
      <c r="BB804">
        <v>2012</v>
      </c>
      <c r="BC804">
        <v>2009.2</v>
      </c>
      <c r="BD804" t="s">
        <v>1500</v>
      </c>
      <c r="BE804" t="s">
        <v>524</v>
      </c>
      <c r="BF804" t="s">
        <v>484</v>
      </c>
      <c r="BG804" t="s">
        <v>1501</v>
      </c>
      <c r="BH804" t="s">
        <v>1502</v>
      </c>
      <c r="BI804" t="s">
        <v>1503</v>
      </c>
      <c r="BJ804">
        <v>45</v>
      </c>
      <c r="BK804" t="s">
        <v>555</v>
      </c>
      <c r="BL804" t="s">
        <v>1501</v>
      </c>
      <c r="BM804" t="s">
        <v>1504</v>
      </c>
      <c r="BN804" t="s">
        <v>1503</v>
      </c>
      <c r="BO804">
        <v>49</v>
      </c>
      <c r="BP804" t="s">
        <v>555</v>
      </c>
      <c r="BQ804" t="s">
        <v>1501</v>
      </c>
      <c r="BR804" t="s">
        <v>1505</v>
      </c>
      <c r="BS804" t="s">
        <v>1503</v>
      </c>
      <c r="BT804">
        <v>49</v>
      </c>
      <c r="HK804" t="s">
        <v>1506</v>
      </c>
      <c r="HL804" t="s">
        <v>526</v>
      </c>
      <c r="HM804" t="s">
        <v>1507</v>
      </c>
      <c r="HO804" t="s">
        <v>480</v>
      </c>
      <c r="HP804">
        <v>12</v>
      </c>
      <c r="HQ804" t="s">
        <v>1508</v>
      </c>
      <c r="HS804" t="s">
        <v>1509</v>
      </c>
      <c r="HT804" s="50">
        <v>40202</v>
      </c>
      <c r="HU804" s="50"/>
      <c r="IO804" t="s">
        <v>1500</v>
      </c>
      <c r="IP804" s="46" t="s">
        <v>1510</v>
      </c>
      <c r="IS804">
        <v>2009</v>
      </c>
      <c r="IT804" t="s">
        <v>1511</v>
      </c>
      <c r="IU804" s="4" t="s">
        <v>1186</v>
      </c>
      <c r="JK804" t="s">
        <v>494</v>
      </c>
      <c r="JL804" t="s">
        <v>1512</v>
      </c>
      <c r="JM804" t="s">
        <v>1513</v>
      </c>
      <c r="JN804" t="s">
        <v>508</v>
      </c>
      <c r="JO804">
        <v>12</v>
      </c>
      <c r="JP804" t="s">
        <v>508</v>
      </c>
      <c r="JQ804">
        <v>51</v>
      </c>
      <c r="JR804">
        <v>18</v>
      </c>
      <c r="JS804">
        <f>32+69+35</f>
        <v>136</v>
      </c>
      <c r="KE804" t="s">
        <v>1514</v>
      </c>
      <c r="KF804" t="s">
        <v>1001</v>
      </c>
      <c r="KG804" t="s">
        <v>1515</v>
      </c>
      <c r="KH804">
        <v>3</v>
      </c>
      <c r="KI804" t="s">
        <v>1516</v>
      </c>
      <c r="KJ804" t="s">
        <v>530</v>
      </c>
      <c r="KN804" t="s">
        <v>545</v>
      </c>
      <c r="KO804" t="s">
        <v>1568</v>
      </c>
      <c r="KP804" t="s">
        <v>1518</v>
      </c>
      <c r="KQ804">
        <v>0.7</v>
      </c>
      <c r="KV804" t="s">
        <v>1519</v>
      </c>
      <c r="KW804" t="s">
        <v>1520</v>
      </c>
      <c r="LC804" t="s">
        <v>508</v>
      </c>
      <c r="LD804">
        <v>1600</v>
      </c>
      <c r="LL804" t="s">
        <v>1521</v>
      </c>
      <c r="LM804" t="s">
        <v>1522</v>
      </c>
      <c r="LN804">
        <v>7.5</v>
      </c>
      <c r="LT804" t="s">
        <v>1523</v>
      </c>
      <c r="LU804" t="s">
        <v>1524</v>
      </c>
      <c r="LY804" t="s">
        <v>1269</v>
      </c>
      <c r="LZ804">
        <v>1450</v>
      </c>
      <c r="MA804" t="s">
        <v>1525</v>
      </c>
      <c r="MG804" t="s">
        <v>1526</v>
      </c>
      <c r="MI804" s="50">
        <v>40292</v>
      </c>
      <c r="MY804" t="s">
        <v>1527</v>
      </c>
      <c r="MZ804">
        <v>1435</v>
      </c>
      <c r="NI804" t="s">
        <v>1576</v>
      </c>
      <c r="NJ804" t="s">
        <v>1577</v>
      </c>
      <c r="NK804" t="s">
        <v>1578</v>
      </c>
      <c r="NL804" t="s">
        <v>944</v>
      </c>
      <c r="NM804" t="s">
        <v>516</v>
      </c>
      <c r="NU804" t="s">
        <v>1532</v>
      </c>
      <c r="NV804" t="s">
        <v>518</v>
      </c>
      <c r="NW804">
        <v>1608</v>
      </c>
      <c r="NX804" t="s">
        <v>480</v>
      </c>
      <c r="OB804">
        <v>3</v>
      </c>
      <c r="OU804" t="s">
        <v>1579</v>
      </c>
      <c r="OV804" t="s">
        <v>518</v>
      </c>
      <c r="OX804">
        <v>2011</v>
      </c>
      <c r="OY804">
        <v>2012</v>
      </c>
      <c r="OZ804" t="s">
        <v>1511</v>
      </c>
      <c r="PA804" t="s">
        <v>1534</v>
      </c>
      <c r="PB804" t="s">
        <v>522</v>
      </c>
      <c r="PC804" s="50">
        <v>46136</v>
      </c>
      <c r="PD804" s="127"/>
    </row>
    <row r="805" spans="1:420" ht="15.75" thickBot="1">
      <c r="A805" t="s">
        <v>469</v>
      </c>
      <c r="B805" t="s">
        <v>1496</v>
      </c>
      <c r="C805" t="s">
        <v>1252</v>
      </c>
      <c r="D805" t="s">
        <v>950</v>
      </c>
      <c r="E805" s="81" t="s">
        <v>1497</v>
      </c>
      <c r="F805" s="80" t="s">
        <v>1179</v>
      </c>
      <c r="G805" t="s">
        <v>475</v>
      </c>
      <c r="H805" t="s">
        <v>1079</v>
      </c>
      <c r="I805">
        <v>23.983876843571402</v>
      </c>
      <c r="J805">
        <v>90.402873983888597</v>
      </c>
      <c r="K805">
        <v>250</v>
      </c>
      <c r="AV805" t="s">
        <v>1498</v>
      </c>
      <c r="AW805">
        <f t="shared" si="3"/>
        <v>1435</v>
      </c>
      <c r="AX805" t="s">
        <v>480</v>
      </c>
      <c r="AY805">
        <v>3</v>
      </c>
      <c r="AZ805" t="s">
        <v>1499</v>
      </c>
      <c r="BA805">
        <v>2009</v>
      </c>
      <c r="BB805">
        <v>2012</v>
      </c>
      <c r="BC805">
        <v>2009.2</v>
      </c>
      <c r="BD805" t="s">
        <v>1535</v>
      </c>
      <c r="BE805" t="s">
        <v>483</v>
      </c>
      <c r="BF805" t="s">
        <v>484</v>
      </c>
      <c r="BG805" t="s">
        <v>1501</v>
      </c>
      <c r="BH805" t="s">
        <v>1502</v>
      </c>
      <c r="BI805" t="s">
        <v>1503</v>
      </c>
      <c r="BJ805">
        <v>30</v>
      </c>
      <c r="BK805" t="s">
        <v>555</v>
      </c>
      <c r="BL805" t="s">
        <v>1501</v>
      </c>
      <c r="BM805" t="s">
        <v>1505</v>
      </c>
      <c r="BN805" t="s">
        <v>1503</v>
      </c>
      <c r="BO805">
        <v>35</v>
      </c>
      <c r="HK805" t="s">
        <v>1506</v>
      </c>
      <c r="HL805" t="s">
        <v>526</v>
      </c>
      <c r="HM805" t="s">
        <v>1507</v>
      </c>
      <c r="HO805" t="s">
        <v>480</v>
      </c>
      <c r="HP805">
        <v>12</v>
      </c>
      <c r="HQ805" t="s">
        <v>1508</v>
      </c>
      <c r="HS805" t="s">
        <v>1509</v>
      </c>
      <c r="HT805" s="50">
        <v>40192</v>
      </c>
      <c r="HU805" s="50"/>
      <c r="IO805" t="s">
        <v>1535</v>
      </c>
      <c r="IP805" s="46" t="s">
        <v>1510</v>
      </c>
      <c r="IS805">
        <v>2009</v>
      </c>
      <c r="IT805" t="s">
        <v>1511</v>
      </c>
      <c r="IU805" s="4" t="s">
        <v>1186</v>
      </c>
      <c r="JK805" t="s">
        <v>494</v>
      </c>
      <c r="JL805" t="s">
        <v>1512</v>
      </c>
      <c r="JM805" t="s">
        <v>1536</v>
      </c>
      <c r="JN805" t="s">
        <v>497</v>
      </c>
      <c r="JO805" t="s">
        <v>1567</v>
      </c>
      <c r="JP805" t="s">
        <v>508</v>
      </c>
      <c r="JQ805">
        <v>44</v>
      </c>
      <c r="JR805">
        <v>13</v>
      </c>
      <c r="JS805">
        <f>23+59+59+16</f>
        <v>157</v>
      </c>
      <c r="KE805" t="s">
        <v>1538</v>
      </c>
      <c r="KF805" t="s">
        <v>1001</v>
      </c>
      <c r="KG805" t="s">
        <v>1515</v>
      </c>
      <c r="KH805">
        <v>6</v>
      </c>
      <c r="KI805" t="s">
        <v>1516</v>
      </c>
      <c r="KJ805" t="s">
        <v>501</v>
      </c>
      <c r="KK805" s="8" t="s">
        <v>1539</v>
      </c>
      <c r="KL805" t="s">
        <v>1540</v>
      </c>
      <c r="KM805">
        <v>0.99</v>
      </c>
      <c r="KN805" t="s">
        <v>545</v>
      </c>
      <c r="KO805" t="s">
        <v>1568</v>
      </c>
      <c r="KP805" t="s">
        <v>1518</v>
      </c>
      <c r="KQ805">
        <v>0.7</v>
      </c>
      <c r="KV805" t="s">
        <v>1542</v>
      </c>
      <c r="KW805" t="s">
        <v>1520</v>
      </c>
      <c r="LC805" t="s">
        <v>508</v>
      </c>
      <c r="LD805">
        <v>2000</v>
      </c>
      <c r="LL805" t="s">
        <v>1521</v>
      </c>
      <c r="LM805" t="s">
        <v>1522</v>
      </c>
      <c r="LN805">
        <v>30</v>
      </c>
      <c r="LT805" t="s">
        <v>1543</v>
      </c>
      <c r="LU805" t="s">
        <v>1524</v>
      </c>
      <c r="LY805" t="s">
        <v>1269</v>
      </c>
      <c r="LZ805">
        <v>1481</v>
      </c>
      <c r="MA805" t="s">
        <v>1525</v>
      </c>
      <c r="MG805" t="s">
        <v>1526</v>
      </c>
      <c r="MI805" s="50">
        <v>40298</v>
      </c>
      <c r="MY805" t="s">
        <v>1527</v>
      </c>
      <c r="MZ805">
        <v>1435</v>
      </c>
      <c r="NI805" t="s">
        <v>1576</v>
      </c>
      <c r="NJ805" t="s">
        <v>1577</v>
      </c>
      <c r="NK805" t="s">
        <v>1578</v>
      </c>
      <c r="NL805" t="s">
        <v>944</v>
      </c>
      <c r="NM805" t="s">
        <v>516</v>
      </c>
      <c r="NU805" t="s">
        <v>1532</v>
      </c>
      <c r="NV805" t="s">
        <v>518</v>
      </c>
      <c r="NW805">
        <v>1900</v>
      </c>
      <c r="NX805" t="s">
        <v>480</v>
      </c>
      <c r="OB805">
        <v>3</v>
      </c>
      <c r="OU805" t="s">
        <v>1579</v>
      </c>
      <c r="OV805" t="s">
        <v>518</v>
      </c>
      <c r="OX805">
        <v>2011</v>
      </c>
      <c r="OY805">
        <v>2012</v>
      </c>
      <c r="OZ805" t="s">
        <v>1511</v>
      </c>
      <c r="PA805" t="s">
        <v>1534</v>
      </c>
      <c r="PB805" t="s">
        <v>522</v>
      </c>
      <c r="PC805" s="50">
        <v>46136</v>
      </c>
      <c r="PD805" s="127"/>
    </row>
    <row r="806" spans="1:420" ht="15.75" thickBot="1">
      <c r="A806" t="s">
        <v>469</v>
      </c>
      <c r="B806" t="s">
        <v>1496</v>
      </c>
      <c r="C806" t="s">
        <v>1252</v>
      </c>
      <c r="D806" t="s">
        <v>950</v>
      </c>
      <c r="E806" s="81" t="s">
        <v>1497</v>
      </c>
      <c r="F806" s="80" t="s">
        <v>1179</v>
      </c>
      <c r="G806" t="s">
        <v>475</v>
      </c>
      <c r="H806" t="s">
        <v>1079</v>
      </c>
      <c r="I806">
        <v>23.983876843571402</v>
      </c>
      <c r="J806">
        <v>90.402873983888597</v>
      </c>
      <c r="K806">
        <v>250</v>
      </c>
      <c r="AV806" t="s">
        <v>1498</v>
      </c>
      <c r="AW806">
        <f t="shared" si="3"/>
        <v>1435</v>
      </c>
      <c r="AX806" t="s">
        <v>480</v>
      </c>
      <c r="AY806">
        <v>3</v>
      </c>
      <c r="AZ806" t="s">
        <v>1499</v>
      </c>
      <c r="BA806">
        <v>2009</v>
      </c>
      <c r="BB806">
        <v>2012</v>
      </c>
      <c r="BC806">
        <v>2009.2</v>
      </c>
      <c r="BD806" t="s">
        <v>1544</v>
      </c>
      <c r="BE806" t="s">
        <v>593</v>
      </c>
      <c r="BF806" t="s">
        <v>484</v>
      </c>
      <c r="BG806" t="s">
        <v>1501</v>
      </c>
      <c r="BH806" t="s">
        <v>1502</v>
      </c>
      <c r="BI806" t="s">
        <v>1503</v>
      </c>
      <c r="BJ806">
        <v>30</v>
      </c>
      <c r="BK806" t="s">
        <v>555</v>
      </c>
      <c r="BL806" t="s">
        <v>1501</v>
      </c>
      <c r="BM806" t="s">
        <v>1505</v>
      </c>
      <c r="BN806" t="s">
        <v>1503</v>
      </c>
      <c r="BO806">
        <v>19</v>
      </c>
      <c r="HK806" t="s">
        <v>1545</v>
      </c>
      <c r="HL806" t="s">
        <v>1546</v>
      </c>
      <c r="HM806" s="127" t="s">
        <v>480</v>
      </c>
      <c r="HN806" s="127" t="s">
        <v>480</v>
      </c>
      <c r="HO806" t="s">
        <v>480</v>
      </c>
      <c r="HP806">
        <v>4</v>
      </c>
      <c r="HQ806" t="s">
        <v>1547</v>
      </c>
      <c r="HS806" t="s">
        <v>1509</v>
      </c>
      <c r="HT806" s="50">
        <v>40192</v>
      </c>
      <c r="HU806" s="50"/>
      <c r="IO806" t="s">
        <v>1544</v>
      </c>
      <c r="IP806" s="46" t="s">
        <v>1510</v>
      </c>
      <c r="IS806">
        <v>2009</v>
      </c>
      <c r="IT806" t="s">
        <v>1511</v>
      </c>
      <c r="IU806" s="4" t="s">
        <v>1186</v>
      </c>
      <c r="JK806" t="s">
        <v>494</v>
      </c>
      <c r="JL806" t="s">
        <v>1512</v>
      </c>
      <c r="JM806" t="s">
        <v>1536</v>
      </c>
      <c r="JN806" t="s">
        <v>497</v>
      </c>
      <c r="JO806" t="s">
        <v>1567</v>
      </c>
      <c r="JP806" t="s">
        <v>508</v>
      </c>
      <c r="JQ806">
        <v>44</v>
      </c>
      <c r="JR806">
        <v>13</v>
      </c>
      <c r="JS806">
        <f>23+59+59+16</f>
        <v>157</v>
      </c>
      <c r="KE806" t="s">
        <v>1548</v>
      </c>
      <c r="KF806" t="s">
        <v>1001</v>
      </c>
      <c r="KG806" t="s">
        <v>1515</v>
      </c>
      <c r="KH806">
        <v>7</v>
      </c>
      <c r="KI806" t="s">
        <v>1516</v>
      </c>
      <c r="KJ806" t="s">
        <v>501</v>
      </c>
      <c r="KK806" s="8" t="s">
        <v>1539</v>
      </c>
      <c r="KL806" t="s">
        <v>1540</v>
      </c>
      <c r="KM806">
        <v>0.99</v>
      </c>
      <c r="KN806" t="s">
        <v>545</v>
      </c>
      <c r="KO806" t="s">
        <v>1568</v>
      </c>
      <c r="KP806" t="s">
        <v>1518</v>
      </c>
      <c r="KQ806">
        <v>0.7</v>
      </c>
      <c r="KV806" t="s">
        <v>1549</v>
      </c>
      <c r="KW806" t="s">
        <v>1520</v>
      </c>
      <c r="LC806" t="s">
        <v>508</v>
      </c>
      <c r="LD806">
        <v>1900</v>
      </c>
      <c r="LL806" t="s">
        <v>1521</v>
      </c>
      <c r="LM806" t="s">
        <v>1522</v>
      </c>
      <c r="LN806">
        <v>30</v>
      </c>
      <c r="LT806" t="s">
        <v>1550</v>
      </c>
      <c r="LU806" t="s">
        <v>1524</v>
      </c>
      <c r="LY806" t="s">
        <v>1269</v>
      </c>
      <c r="LZ806">
        <v>1530</v>
      </c>
      <c r="MA806" t="s">
        <v>1525</v>
      </c>
      <c r="MG806" t="s">
        <v>1526</v>
      </c>
      <c r="MI806" s="50">
        <v>40299</v>
      </c>
      <c r="MY806" t="s">
        <v>1527</v>
      </c>
      <c r="MZ806">
        <v>1435</v>
      </c>
      <c r="NI806" t="s">
        <v>1576</v>
      </c>
      <c r="NJ806" t="s">
        <v>1577</v>
      </c>
      <c r="NK806" t="s">
        <v>1578</v>
      </c>
      <c r="NL806" t="s">
        <v>944</v>
      </c>
      <c r="NM806" t="s">
        <v>516</v>
      </c>
      <c r="NU806" t="s">
        <v>536</v>
      </c>
      <c r="NV806" t="s">
        <v>518</v>
      </c>
      <c r="NW806">
        <v>1656</v>
      </c>
      <c r="NX806" t="s">
        <v>480</v>
      </c>
      <c r="OB806">
        <v>3</v>
      </c>
      <c r="OU806" t="s">
        <v>1579</v>
      </c>
      <c r="OV806" t="s">
        <v>518</v>
      </c>
      <c r="OX806">
        <v>2011</v>
      </c>
      <c r="OY806">
        <v>2012</v>
      </c>
      <c r="OZ806" t="s">
        <v>1511</v>
      </c>
      <c r="PA806" t="s">
        <v>1534</v>
      </c>
      <c r="PB806" t="s">
        <v>522</v>
      </c>
      <c r="PC806" s="50">
        <v>46136</v>
      </c>
      <c r="PD806" s="127"/>
    </row>
    <row r="807" spans="1:420" ht="15.75" thickBot="1">
      <c r="A807" t="s">
        <v>469</v>
      </c>
      <c r="B807" t="s">
        <v>1496</v>
      </c>
      <c r="C807" t="s">
        <v>1252</v>
      </c>
      <c r="D807" t="s">
        <v>950</v>
      </c>
      <c r="E807" s="81" t="s">
        <v>1497</v>
      </c>
      <c r="F807" s="80" t="s">
        <v>1179</v>
      </c>
      <c r="G807" t="s">
        <v>475</v>
      </c>
      <c r="H807" t="s">
        <v>1079</v>
      </c>
      <c r="I807">
        <v>23.983876843571402</v>
      </c>
      <c r="J807">
        <v>90.402873983888597</v>
      </c>
      <c r="K807">
        <v>250</v>
      </c>
      <c r="AV807" t="s">
        <v>1498</v>
      </c>
      <c r="AW807">
        <f t="shared" si="3"/>
        <v>1435</v>
      </c>
      <c r="AX807" t="s">
        <v>480</v>
      </c>
      <c r="AY807">
        <v>3</v>
      </c>
      <c r="AZ807" t="s">
        <v>1499</v>
      </c>
      <c r="BA807">
        <v>2009</v>
      </c>
      <c r="BB807">
        <v>2012</v>
      </c>
      <c r="BC807">
        <v>2009.2</v>
      </c>
      <c r="BD807" t="s">
        <v>1551</v>
      </c>
      <c r="BE807" t="s">
        <v>536</v>
      </c>
      <c r="BF807" t="s">
        <v>484</v>
      </c>
      <c r="BG807" t="s">
        <v>1278</v>
      </c>
      <c r="BH807" t="s">
        <v>1552</v>
      </c>
      <c r="BI807" t="s">
        <v>1503</v>
      </c>
      <c r="BJ807">
        <v>1614</v>
      </c>
      <c r="BK807" t="s">
        <v>555</v>
      </c>
      <c r="BL807" t="s">
        <v>485</v>
      </c>
      <c r="BM807" t="s">
        <v>1553</v>
      </c>
      <c r="BN807" t="s">
        <v>1503</v>
      </c>
      <c r="BO807">
        <v>20</v>
      </c>
      <c r="BP807" t="s">
        <v>555</v>
      </c>
      <c r="BQ807" t="s">
        <v>1290</v>
      </c>
      <c r="BR807" t="s">
        <v>1554</v>
      </c>
      <c r="BS807" t="s">
        <v>1503</v>
      </c>
      <c r="BT807">
        <v>30</v>
      </c>
      <c r="BU807" t="s">
        <v>555</v>
      </c>
      <c r="BV807" t="s">
        <v>1501</v>
      </c>
      <c r="BW807" t="s">
        <v>1555</v>
      </c>
      <c r="BX807" t="s">
        <v>1503</v>
      </c>
      <c r="BY807">
        <v>35</v>
      </c>
      <c r="BZ807" t="s">
        <v>555</v>
      </c>
      <c r="CA807" t="s">
        <v>1501</v>
      </c>
      <c r="CB807" t="s">
        <v>1556</v>
      </c>
      <c r="CC807" t="s">
        <v>1503</v>
      </c>
      <c r="CD807">
        <v>19</v>
      </c>
      <c r="HK807" t="s">
        <v>1557</v>
      </c>
      <c r="HL807" t="s">
        <v>1546</v>
      </c>
      <c r="HM807" s="127" t="s">
        <v>480</v>
      </c>
      <c r="HN807" s="127" t="s">
        <v>480</v>
      </c>
      <c r="HO807" t="s">
        <v>480</v>
      </c>
      <c r="HP807">
        <v>9</v>
      </c>
      <c r="HQ807" t="s">
        <v>1558</v>
      </c>
      <c r="HS807" t="s">
        <v>1509</v>
      </c>
      <c r="HT807" s="50">
        <v>40153</v>
      </c>
      <c r="IO807" t="s">
        <v>1551</v>
      </c>
      <c r="IP807" t="s">
        <v>1559</v>
      </c>
      <c r="IS807">
        <v>2009</v>
      </c>
      <c r="IT807" t="s">
        <v>1511</v>
      </c>
      <c r="IU807" s="4" t="s">
        <v>1186</v>
      </c>
      <c r="JK807" t="s">
        <v>494</v>
      </c>
      <c r="JL807" t="s">
        <v>1512</v>
      </c>
      <c r="JM807" t="s">
        <v>1560</v>
      </c>
      <c r="JN807" t="s">
        <v>961</v>
      </c>
      <c r="JO807" t="s">
        <v>1569</v>
      </c>
      <c r="JP807" t="s">
        <v>508</v>
      </c>
      <c r="JQ807">
        <v>58</v>
      </c>
      <c r="JR807">
        <v>32</v>
      </c>
      <c r="JS807">
        <v>127</v>
      </c>
      <c r="KE807" t="s">
        <v>1562</v>
      </c>
      <c r="KF807" t="s">
        <v>1001</v>
      </c>
      <c r="KG807" t="s">
        <v>1515</v>
      </c>
      <c r="KH807">
        <v>4</v>
      </c>
      <c r="KI807" t="s">
        <v>1516</v>
      </c>
      <c r="KJ807" t="s">
        <v>530</v>
      </c>
      <c r="KN807" t="s">
        <v>545</v>
      </c>
      <c r="KO807" t="s">
        <v>1563</v>
      </c>
      <c r="KP807" t="s">
        <v>1518</v>
      </c>
      <c r="KQ807">
        <f>1.6*2</f>
        <v>3.2</v>
      </c>
      <c r="KR807" t="s">
        <v>545</v>
      </c>
      <c r="KS807" t="s">
        <v>1570</v>
      </c>
      <c r="KT807" t="s">
        <v>503</v>
      </c>
      <c r="KU807">
        <v>1.47</v>
      </c>
      <c r="KV807" t="s">
        <v>1564</v>
      </c>
      <c r="KW807" t="s">
        <v>1520</v>
      </c>
      <c r="LC807" t="s">
        <v>508</v>
      </c>
      <c r="LD807">
        <v>1600</v>
      </c>
      <c r="LL807" t="s">
        <v>1521</v>
      </c>
      <c r="LM807" t="s">
        <v>1522</v>
      </c>
      <c r="LN807">
        <v>30</v>
      </c>
      <c r="LT807" t="s">
        <v>1565</v>
      </c>
      <c r="LU807" t="s">
        <v>1524</v>
      </c>
      <c r="LY807" t="s">
        <v>1269</v>
      </c>
      <c r="LZ807">
        <v>805</v>
      </c>
      <c r="MA807" t="s">
        <v>1525</v>
      </c>
      <c r="MG807" t="s">
        <v>1566</v>
      </c>
      <c r="MI807" s="50">
        <v>40224</v>
      </c>
      <c r="MY807" t="s">
        <v>1527</v>
      </c>
      <c r="MZ807">
        <v>1435</v>
      </c>
      <c r="NI807" t="s">
        <v>1576</v>
      </c>
      <c r="NJ807" t="s">
        <v>1577</v>
      </c>
      <c r="NK807" t="s">
        <v>1578</v>
      </c>
      <c r="NL807" t="s">
        <v>944</v>
      </c>
      <c r="NM807" t="s">
        <v>516</v>
      </c>
      <c r="NV807" t="s">
        <v>518</v>
      </c>
      <c r="NW807">
        <v>3068</v>
      </c>
      <c r="NX807" t="s">
        <v>480</v>
      </c>
      <c r="OB807">
        <v>3</v>
      </c>
      <c r="OU807" t="s">
        <v>1579</v>
      </c>
      <c r="OV807" t="s">
        <v>518</v>
      </c>
      <c r="OX807">
        <v>2011</v>
      </c>
      <c r="OY807">
        <v>2012</v>
      </c>
      <c r="OZ807" t="s">
        <v>1511</v>
      </c>
      <c r="PA807" t="s">
        <v>1534</v>
      </c>
      <c r="PB807" t="s">
        <v>522</v>
      </c>
      <c r="PC807" s="50">
        <v>46136</v>
      </c>
      <c r="PD807" s="127"/>
    </row>
    <row r="808" spans="1:420" ht="15.75" thickBot="1">
      <c r="A808" t="s">
        <v>469</v>
      </c>
      <c r="B808" t="s">
        <v>1496</v>
      </c>
      <c r="C808" t="s">
        <v>1252</v>
      </c>
      <c r="D808" t="s">
        <v>950</v>
      </c>
      <c r="E808" s="81" t="s">
        <v>1497</v>
      </c>
      <c r="F808" s="80" t="s">
        <v>1179</v>
      </c>
      <c r="G808" t="s">
        <v>475</v>
      </c>
      <c r="H808" t="s">
        <v>1079</v>
      </c>
      <c r="I808">
        <v>23.983876843571402</v>
      </c>
      <c r="J808">
        <v>90.402873983888597</v>
      </c>
      <c r="K808">
        <v>250</v>
      </c>
      <c r="AV808" t="s">
        <v>1498</v>
      </c>
      <c r="AW808">
        <f t="shared" si="3"/>
        <v>1435</v>
      </c>
      <c r="AX808" t="s">
        <v>480</v>
      </c>
      <c r="AY808">
        <v>3</v>
      </c>
      <c r="AZ808" t="s">
        <v>1499</v>
      </c>
      <c r="BA808">
        <v>2009</v>
      </c>
      <c r="BB808">
        <v>2012</v>
      </c>
      <c r="BC808">
        <v>2009.2</v>
      </c>
      <c r="BD808" t="s">
        <v>1500</v>
      </c>
      <c r="BE808" t="s">
        <v>524</v>
      </c>
      <c r="BF808" t="s">
        <v>484</v>
      </c>
      <c r="BG808" t="s">
        <v>1501</v>
      </c>
      <c r="BH808" t="s">
        <v>1502</v>
      </c>
      <c r="BI808" t="s">
        <v>1503</v>
      </c>
      <c r="BJ808">
        <v>45</v>
      </c>
      <c r="BK808" t="s">
        <v>555</v>
      </c>
      <c r="BL808" t="s">
        <v>1501</v>
      </c>
      <c r="BM808" t="s">
        <v>1504</v>
      </c>
      <c r="BN808" t="s">
        <v>1503</v>
      </c>
      <c r="BO808">
        <v>49</v>
      </c>
      <c r="BP808" t="s">
        <v>555</v>
      </c>
      <c r="BQ808" t="s">
        <v>1501</v>
      </c>
      <c r="BR808" t="s">
        <v>1505</v>
      </c>
      <c r="BS808" t="s">
        <v>1503</v>
      </c>
      <c r="BT808">
        <v>49</v>
      </c>
      <c r="HK808" t="s">
        <v>1506</v>
      </c>
      <c r="HL808" t="s">
        <v>526</v>
      </c>
      <c r="HM808" t="s">
        <v>1507</v>
      </c>
      <c r="HO808" t="s">
        <v>480</v>
      </c>
      <c r="HP808">
        <v>12</v>
      </c>
      <c r="HQ808" t="s">
        <v>1508</v>
      </c>
      <c r="HS808" t="s">
        <v>1509</v>
      </c>
      <c r="HT808" s="50">
        <v>40202</v>
      </c>
      <c r="HU808" s="50"/>
      <c r="IO808" t="s">
        <v>1500</v>
      </c>
      <c r="IP808" s="46" t="s">
        <v>1510</v>
      </c>
      <c r="IS808">
        <v>2009</v>
      </c>
      <c r="IT808" t="s">
        <v>1511</v>
      </c>
      <c r="IU808" s="4" t="s">
        <v>1186</v>
      </c>
      <c r="JK808" s="2" t="s">
        <v>494</v>
      </c>
      <c r="JL808" t="s">
        <v>495</v>
      </c>
      <c r="JM808" t="s">
        <v>1513</v>
      </c>
      <c r="JN808" t="s">
        <v>508</v>
      </c>
      <c r="JO808">
        <v>12</v>
      </c>
      <c r="JP808" t="s">
        <v>508</v>
      </c>
      <c r="JQ808">
        <v>155</v>
      </c>
      <c r="JR808">
        <v>18</v>
      </c>
      <c r="JS808">
        <v>32</v>
      </c>
      <c r="KE808" t="s">
        <v>1514</v>
      </c>
      <c r="KF808" t="s">
        <v>1001</v>
      </c>
      <c r="KG808" t="s">
        <v>1515</v>
      </c>
      <c r="KH808">
        <v>3</v>
      </c>
      <c r="KI808" t="s">
        <v>1516</v>
      </c>
      <c r="KJ808" t="s">
        <v>530</v>
      </c>
      <c r="KN808" t="s">
        <v>545</v>
      </c>
      <c r="KO808" s="8" t="s">
        <v>1517</v>
      </c>
      <c r="KP808" t="s">
        <v>1518</v>
      </c>
      <c r="KQ808">
        <v>0.5</v>
      </c>
      <c r="KV808" t="s">
        <v>1519</v>
      </c>
      <c r="KW808" t="s">
        <v>1520</v>
      </c>
      <c r="LC808" t="s">
        <v>508</v>
      </c>
      <c r="LD808">
        <v>1500</v>
      </c>
      <c r="LL808" t="s">
        <v>1521</v>
      </c>
      <c r="LM808" t="s">
        <v>1522</v>
      </c>
      <c r="LN808">
        <v>7.5</v>
      </c>
      <c r="LT808" t="s">
        <v>1523</v>
      </c>
      <c r="LU808" t="s">
        <v>1524</v>
      </c>
      <c r="LY808" t="s">
        <v>1269</v>
      </c>
      <c r="LZ808">
        <v>2084</v>
      </c>
      <c r="MA808" t="s">
        <v>1525</v>
      </c>
      <c r="MG808" t="s">
        <v>1526</v>
      </c>
      <c r="MI808" s="50">
        <v>40292</v>
      </c>
      <c r="MY808" t="s">
        <v>1527</v>
      </c>
      <c r="MZ808">
        <v>1435</v>
      </c>
      <c r="NA808" t="s">
        <v>1571</v>
      </c>
      <c r="NB808" s="2" t="s">
        <v>1529</v>
      </c>
      <c r="NC808" s="2" t="s">
        <v>1529</v>
      </c>
      <c r="ND808" s="2"/>
      <c r="NE808" s="2"/>
      <c r="NJ808" t="s">
        <v>1580</v>
      </c>
      <c r="NK808" t="s">
        <v>1581</v>
      </c>
      <c r="NL808" t="s">
        <v>946</v>
      </c>
      <c r="NM808" t="s">
        <v>516</v>
      </c>
      <c r="NU808" t="s">
        <v>1532</v>
      </c>
      <c r="NV808" t="s">
        <v>518</v>
      </c>
      <c r="NW808">
        <v>2312</v>
      </c>
      <c r="NX808" t="s">
        <v>480</v>
      </c>
      <c r="OB808">
        <v>3</v>
      </c>
      <c r="OU808" t="s">
        <v>1582</v>
      </c>
      <c r="OV808" t="s">
        <v>518</v>
      </c>
      <c r="OX808">
        <v>2009</v>
      </c>
      <c r="OY808">
        <v>2010</v>
      </c>
      <c r="OZ808" t="s">
        <v>1511</v>
      </c>
      <c r="PA808" t="s">
        <v>1534</v>
      </c>
      <c r="PB808" t="s">
        <v>522</v>
      </c>
      <c r="PC808" s="50">
        <v>46136</v>
      </c>
      <c r="PD808" s="127"/>
    </row>
    <row r="809" spans="1:420" ht="15.75" thickBot="1">
      <c r="A809" t="s">
        <v>469</v>
      </c>
      <c r="B809" t="s">
        <v>1496</v>
      </c>
      <c r="C809" t="s">
        <v>1252</v>
      </c>
      <c r="D809" t="s">
        <v>950</v>
      </c>
      <c r="E809" s="81" t="s">
        <v>1497</v>
      </c>
      <c r="F809" s="80" t="s">
        <v>1179</v>
      </c>
      <c r="G809" t="s">
        <v>475</v>
      </c>
      <c r="H809" t="s">
        <v>1079</v>
      </c>
      <c r="I809">
        <v>23.983876843571402</v>
      </c>
      <c r="J809">
        <v>90.402873983888597</v>
      </c>
      <c r="K809">
        <v>250</v>
      </c>
      <c r="AV809" t="s">
        <v>1498</v>
      </c>
      <c r="AW809">
        <f t="shared" si="3"/>
        <v>1435</v>
      </c>
      <c r="AX809" t="s">
        <v>480</v>
      </c>
      <c r="AY809">
        <v>3</v>
      </c>
      <c r="AZ809" t="s">
        <v>1499</v>
      </c>
      <c r="BA809">
        <v>2009</v>
      </c>
      <c r="BB809">
        <v>2012</v>
      </c>
      <c r="BC809">
        <v>2009.2</v>
      </c>
      <c r="BD809" t="s">
        <v>1535</v>
      </c>
      <c r="BE809" t="s">
        <v>483</v>
      </c>
      <c r="BF809" t="s">
        <v>484</v>
      </c>
      <c r="BG809" t="s">
        <v>1501</v>
      </c>
      <c r="BH809" t="s">
        <v>1502</v>
      </c>
      <c r="BI809" t="s">
        <v>1503</v>
      </c>
      <c r="BJ809">
        <v>30</v>
      </c>
      <c r="BK809" t="s">
        <v>555</v>
      </c>
      <c r="BL809" t="s">
        <v>1501</v>
      </c>
      <c r="BM809" t="s">
        <v>1505</v>
      </c>
      <c r="BN809" t="s">
        <v>1503</v>
      </c>
      <c r="BO809">
        <v>35</v>
      </c>
      <c r="HK809" t="s">
        <v>1506</v>
      </c>
      <c r="HL809" t="s">
        <v>526</v>
      </c>
      <c r="HM809" t="s">
        <v>1507</v>
      </c>
      <c r="HO809" t="s">
        <v>480</v>
      </c>
      <c r="HP809">
        <v>12</v>
      </c>
      <c r="HQ809" t="s">
        <v>1508</v>
      </c>
      <c r="HS809" t="s">
        <v>1509</v>
      </c>
      <c r="HT809" s="50">
        <v>40192</v>
      </c>
      <c r="HU809" s="50"/>
      <c r="IO809" t="s">
        <v>1535</v>
      </c>
      <c r="IP809" s="46" t="s">
        <v>1510</v>
      </c>
      <c r="IS809">
        <v>2009</v>
      </c>
      <c r="IT809" t="s">
        <v>1511</v>
      </c>
      <c r="IU809" s="4" t="s">
        <v>1186</v>
      </c>
      <c r="JK809" s="2" t="s">
        <v>494</v>
      </c>
      <c r="JL809" s="151" t="s">
        <v>1512</v>
      </c>
      <c r="JM809" s="140" t="s">
        <v>1536</v>
      </c>
      <c r="JN809" t="s">
        <v>497</v>
      </c>
      <c r="JO809" t="s">
        <v>1537</v>
      </c>
      <c r="JP809" t="s">
        <v>508</v>
      </c>
      <c r="JQ809">
        <f>45+50+45+20</f>
        <v>160</v>
      </c>
      <c r="JR809">
        <v>20</v>
      </c>
      <c r="JS809">
        <v>65</v>
      </c>
      <c r="KE809" t="s">
        <v>1538</v>
      </c>
      <c r="KF809" t="s">
        <v>1001</v>
      </c>
      <c r="KG809" t="s">
        <v>1515</v>
      </c>
      <c r="KH809">
        <v>6</v>
      </c>
      <c r="KI809" t="s">
        <v>1516</v>
      </c>
      <c r="KJ809" t="s">
        <v>501</v>
      </c>
      <c r="KK809" s="8" t="s">
        <v>1539</v>
      </c>
      <c r="KL809" t="s">
        <v>1540</v>
      </c>
      <c r="KM809">
        <v>0.99</v>
      </c>
      <c r="KN809" t="s">
        <v>545</v>
      </c>
      <c r="KO809" t="s">
        <v>1541</v>
      </c>
      <c r="KP809" t="s">
        <v>1518</v>
      </c>
      <c r="KQ809">
        <f>0.556*2</f>
        <v>1.1120000000000001</v>
      </c>
      <c r="KV809" t="s">
        <v>1542</v>
      </c>
      <c r="KW809" t="s">
        <v>1520</v>
      </c>
      <c r="LC809" t="s">
        <v>508</v>
      </c>
      <c r="LD809">
        <v>2200</v>
      </c>
      <c r="LL809" t="s">
        <v>1521</v>
      </c>
      <c r="LM809" t="s">
        <v>1522</v>
      </c>
      <c r="LN809">
        <v>30</v>
      </c>
      <c r="LT809" t="s">
        <v>1543</v>
      </c>
      <c r="LU809" t="s">
        <v>1524</v>
      </c>
      <c r="LY809" t="s">
        <v>1269</v>
      </c>
      <c r="LZ809">
        <v>1789</v>
      </c>
      <c r="MA809" t="s">
        <v>1525</v>
      </c>
      <c r="MG809" t="s">
        <v>1526</v>
      </c>
      <c r="MI809" s="50">
        <v>40298</v>
      </c>
      <c r="MY809" t="s">
        <v>1527</v>
      </c>
      <c r="MZ809">
        <v>1435</v>
      </c>
      <c r="NA809" t="s">
        <v>1571</v>
      </c>
      <c r="NB809" s="2" t="s">
        <v>1529</v>
      </c>
      <c r="NC809" s="2" t="s">
        <v>1529</v>
      </c>
      <c r="ND809" s="2"/>
      <c r="NE809" s="2"/>
      <c r="NJ809" t="s">
        <v>1580</v>
      </c>
      <c r="NK809" t="s">
        <v>1581</v>
      </c>
      <c r="NL809" t="s">
        <v>946</v>
      </c>
      <c r="NM809" t="s">
        <v>516</v>
      </c>
      <c r="NU809" t="s">
        <v>1532</v>
      </c>
      <c r="NV809" t="s">
        <v>518</v>
      </c>
      <c r="NW809">
        <v>2929</v>
      </c>
      <c r="NX809" t="s">
        <v>480</v>
      </c>
      <c r="OB809">
        <v>3</v>
      </c>
      <c r="OU809" t="s">
        <v>1582</v>
      </c>
      <c r="OV809" t="s">
        <v>518</v>
      </c>
      <c r="OX809">
        <v>2009</v>
      </c>
      <c r="OY809">
        <v>2010</v>
      </c>
      <c r="OZ809" t="s">
        <v>1511</v>
      </c>
      <c r="PA809" t="s">
        <v>1534</v>
      </c>
      <c r="PB809" t="s">
        <v>522</v>
      </c>
      <c r="PC809" s="50">
        <v>46136</v>
      </c>
      <c r="PD809" s="127"/>
    </row>
    <row r="810" spans="1:420" ht="15.75" thickBot="1">
      <c r="A810" t="s">
        <v>469</v>
      </c>
      <c r="B810" t="s">
        <v>1496</v>
      </c>
      <c r="C810" t="s">
        <v>1252</v>
      </c>
      <c r="D810" t="s">
        <v>950</v>
      </c>
      <c r="E810" s="81" t="s">
        <v>1497</v>
      </c>
      <c r="F810" s="80" t="s">
        <v>1179</v>
      </c>
      <c r="G810" t="s">
        <v>475</v>
      </c>
      <c r="H810" t="s">
        <v>1079</v>
      </c>
      <c r="I810">
        <v>23.983876843571402</v>
      </c>
      <c r="J810">
        <v>90.402873983888597</v>
      </c>
      <c r="K810">
        <v>250</v>
      </c>
      <c r="AV810" t="s">
        <v>1498</v>
      </c>
      <c r="AW810">
        <f t="shared" si="3"/>
        <v>1435</v>
      </c>
      <c r="AX810" t="s">
        <v>480</v>
      </c>
      <c r="AY810">
        <v>3</v>
      </c>
      <c r="AZ810" t="s">
        <v>1499</v>
      </c>
      <c r="BA810">
        <v>2009</v>
      </c>
      <c r="BB810">
        <v>2012</v>
      </c>
      <c r="BC810">
        <v>2009.2</v>
      </c>
      <c r="BD810" t="s">
        <v>1544</v>
      </c>
      <c r="BE810" t="s">
        <v>593</v>
      </c>
      <c r="BF810" t="s">
        <v>484</v>
      </c>
      <c r="BG810" t="s">
        <v>1501</v>
      </c>
      <c r="BH810" t="s">
        <v>1502</v>
      </c>
      <c r="BI810" t="s">
        <v>1503</v>
      </c>
      <c r="BJ810">
        <v>30</v>
      </c>
      <c r="BK810" t="s">
        <v>555</v>
      </c>
      <c r="BL810" t="s">
        <v>1501</v>
      </c>
      <c r="BM810" t="s">
        <v>1505</v>
      </c>
      <c r="BN810" t="s">
        <v>1503</v>
      </c>
      <c r="BO810">
        <v>19</v>
      </c>
      <c r="HK810" t="s">
        <v>1545</v>
      </c>
      <c r="HL810" t="s">
        <v>1546</v>
      </c>
      <c r="HM810" s="127" t="s">
        <v>480</v>
      </c>
      <c r="HN810" s="127" t="s">
        <v>480</v>
      </c>
      <c r="HO810" t="s">
        <v>480</v>
      </c>
      <c r="HP810">
        <v>4</v>
      </c>
      <c r="HQ810" t="s">
        <v>1547</v>
      </c>
      <c r="HS810" t="s">
        <v>1509</v>
      </c>
      <c r="HT810" s="50">
        <v>40192</v>
      </c>
      <c r="HU810" s="50"/>
      <c r="IO810" t="s">
        <v>1544</v>
      </c>
      <c r="IP810" s="46" t="s">
        <v>1510</v>
      </c>
      <c r="IS810">
        <v>2009</v>
      </c>
      <c r="IT810" t="s">
        <v>1511</v>
      </c>
      <c r="IU810" s="4" t="s">
        <v>1186</v>
      </c>
      <c r="JK810" s="2" t="s">
        <v>494</v>
      </c>
      <c r="JL810" t="s">
        <v>1512</v>
      </c>
      <c r="JM810" t="s">
        <v>1536</v>
      </c>
      <c r="JN810" t="s">
        <v>497</v>
      </c>
      <c r="JO810" t="s">
        <v>1537</v>
      </c>
      <c r="JP810" t="s">
        <v>508</v>
      </c>
      <c r="JQ810">
        <f>45+50+45+20</f>
        <v>160</v>
      </c>
      <c r="JR810">
        <v>20</v>
      </c>
      <c r="JS810">
        <v>65</v>
      </c>
      <c r="KE810" t="s">
        <v>1548</v>
      </c>
      <c r="KF810" t="s">
        <v>1001</v>
      </c>
      <c r="KG810" t="s">
        <v>1515</v>
      </c>
      <c r="KH810">
        <v>7</v>
      </c>
      <c r="KI810" t="s">
        <v>1516</v>
      </c>
      <c r="KJ810" t="s">
        <v>501</v>
      </c>
      <c r="KK810" s="8" t="s">
        <v>1539</v>
      </c>
      <c r="KL810" t="s">
        <v>1540</v>
      </c>
      <c r="KM810">
        <v>0.99</v>
      </c>
      <c r="KN810" t="s">
        <v>545</v>
      </c>
      <c r="KO810" t="s">
        <v>1541</v>
      </c>
      <c r="KP810" t="s">
        <v>1518</v>
      </c>
      <c r="KQ810">
        <f>0.556*2</f>
        <v>1.1120000000000001</v>
      </c>
      <c r="KV810" t="s">
        <v>1549</v>
      </c>
      <c r="KW810" t="s">
        <v>1520</v>
      </c>
      <c r="LC810" t="s">
        <v>508</v>
      </c>
      <c r="LD810">
        <v>2600</v>
      </c>
      <c r="LL810" t="s">
        <v>1521</v>
      </c>
      <c r="LM810" t="s">
        <v>1522</v>
      </c>
      <c r="LN810">
        <v>30</v>
      </c>
      <c r="LT810" t="s">
        <v>1550</v>
      </c>
      <c r="LU810" t="s">
        <v>1524</v>
      </c>
      <c r="LY810" t="s">
        <v>1269</v>
      </c>
      <c r="LZ810">
        <v>1898</v>
      </c>
      <c r="MA810" t="s">
        <v>1525</v>
      </c>
      <c r="MG810" t="s">
        <v>1526</v>
      </c>
      <c r="MI810" s="50">
        <v>40299</v>
      </c>
      <c r="MY810" t="s">
        <v>1527</v>
      </c>
      <c r="MZ810">
        <v>1435</v>
      </c>
      <c r="NA810" t="s">
        <v>1571</v>
      </c>
      <c r="NB810" s="2" t="s">
        <v>1529</v>
      </c>
      <c r="NC810" s="2" t="s">
        <v>1529</v>
      </c>
      <c r="ND810" s="2"/>
      <c r="NE810" s="2"/>
      <c r="NJ810" t="s">
        <v>1580</v>
      </c>
      <c r="NK810" t="s">
        <v>1581</v>
      </c>
      <c r="NL810" t="s">
        <v>946</v>
      </c>
      <c r="NM810" t="s">
        <v>516</v>
      </c>
      <c r="NU810" t="s">
        <v>536</v>
      </c>
      <c r="NV810" t="s">
        <v>518</v>
      </c>
      <c r="NW810">
        <v>2892</v>
      </c>
      <c r="NX810" t="s">
        <v>480</v>
      </c>
      <c r="OB810">
        <v>3</v>
      </c>
      <c r="OU810" t="s">
        <v>1582</v>
      </c>
      <c r="OV810" t="s">
        <v>518</v>
      </c>
      <c r="OX810">
        <v>2009</v>
      </c>
      <c r="OY810">
        <v>2010</v>
      </c>
      <c r="OZ810" t="s">
        <v>1511</v>
      </c>
      <c r="PA810" t="s">
        <v>1534</v>
      </c>
      <c r="PB810" t="s">
        <v>522</v>
      </c>
      <c r="PC810" s="50">
        <v>46136</v>
      </c>
      <c r="PD810" s="127"/>
    </row>
    <row r="811" spans="1:420" ht="15.75" thickBot="1">
      <c r="A811" t="s">
        <v>469</v>
      </c>
      <c r="B811" t="s">
        <v>1496</v>
      </c>
      <c r="C811" t="s">
        <v>1252</v>
      </c>
      <c r="D811" t="s">
        <v>950</v>
      </c>
      <c r="E811" s="81" t="s">
        <v>1497</v>
      </c>
      <c r="F811" s="80" t="s">
        <v>1179</v>
      </c>
      <c r="G811" t="s">
        <v>475</v>
      </c>
      <c r="H811" t="s">
        <v>1079</v>
      </c>
      <c r="I811">
        <v>23.983876843571402</v>
      </c>
      <c r="J811">
        <v>90.402873983888597</v>
      </c>
      <c r="K811">
        <v>250</v>
      </c>
      <c r="AV811" t="s">
        <v>1498</v>
      </c>
      <c r="AW811">
        <f t="shared" si="3"/>
        <v>1435</v>
      </c>
      <c r="AX811" t="s">
        <v>480</v>
      </c>
      <c r="AY811">
        <v>3</v>
      </c>
      <c r="AZ811" t="s">
        <v>1499</v>
      </c>
      <c r="BA811">
        <v>2009</v>
      </c>
      <c r="BB811">
        <v>2012</v>
      </c>
      <c r="BC811">
        <v>2009.2</v>
      </c>
      <c r="BD811" t="s">
        <v>1551</v>
      </c>
      <c r="BE811" t="s">
        <v>536</v>
      </c>
      <c r="BF811" t="s">
        <v>484</v>
      </c>
      <c r="BG811" t="s">
        <v>1278</v>
      </c>
      <c r="BH811" t="s">
        <v>1552</v>
      </c>
      <c r="BI811" t="s">
        <v>1503</v>
      </c>
      <c r="BJ811">
        <v>1614</v>
      </c>
      <c r="BK811" t="s">
        <v>555</v>
      </c>
      <c r="BL811" t="s">
        <v>485</v>
      </c>
      <c r="BM811" t="s">
        <v>1553</v>
      </c>
      <c r="BN811" t="s">
        <v>1503</v>
      </c>
      <c r="BO811">
        <v>20</v>
      </c>
      <c r="BP811" t="s">
        <v>555</v>
      </c>
      <c r="BQ811" t="s">
        <v>1290</v>
      </c>
      <c r="BR811" t="s">
        <v>1554</v>
      </c>
      <c r="BS811" t="s">
        <v>1503</v>
      </c>
      <c r="BT811">
        <v>30</v>
      </c>
      <c r="BU811" t="s">
        <v>555</v>
      </c>
      <c r="BV811" t="s">
        <v>1501</v>
      </c>
      <c r="BW811" t="s">
        <v>1555</v>
      </c>
      <c r="BX811" t="s">
        <v>1503</v>
      </c>
      <c r="BY811">
        <v>35</v>
      </c>
      <c r="BZ811" t="s">
        <v>555</v>
      </c>
      <c r="CA811" t="s">
        <v>1501</v>
      </c>
      <c r="CB811" t="s">
        <v>1556</v>
      </c>
      <c r="CC811" t="s">
        <v>1503</v>
      </c>
      <c r="CD811">
        <v>19</v>
      </c>
      <c r="HK811" t="s">
        <v>1557</v>
      </c>
      <c r="HL811" t="s">
        <v>1546</v>
      </c>
      <c r="HM811" s="127" t="s">
        <v>480</v>
      </c>
      <c r="HN811" s="127" t="s">
        <v>480</v>
      </c>
      <c r="HO811" t="s">
        <v>480</v>
      </c>
      <c r="HP811">
        <v>9</v>
      </c>
      <c r="HQ811" t="s">
        <v>1558</v>
      </c>
      <c r="HS811" t="s">
        <v>1509</v>
      </c>
      <c r="HT811" s="50">
        <v>40153</v>
      </c>
      <c r="IO811" t="s">
        <v>1551</v>
      </c>
      <c r="IP811" t="s">
        <v>1559</v>
      </c>
      <c r="IS811">
        <v>2009</v>
      </c>
      <c r="IT811" t="s">
        <v>1511</v>
      </c>
      <c r="IU811" s="4" t="s">
        <v>1186</v>
      </c>
      <c r="JK811" s="2" t="s">
        <v>494</v>
      </c>
      <c r="JL811" t="s">
        <v>1512</v>
      </c>
      <c r="JM811" t="s">
        <v>1560</v>
      </c>
      <c r="JN811" t="s">
        <v>961</v>
      </c>
      <c r="JO811" t="s">
        <v>1561</v>
      </c>
      <c r="JP811" t="s">
        <v>508</v>
      </c>
      <c r="JQ811">
        <f>80+80+38+38</f>
        <v>236</v>
      </c>
      <c r="JR811">
        <v>54</v>
      </c>
      <c r="JS811">
        <v>185</v>
      </c>
      <c r="KE811" t="s">
        <v>1562</v>
      </c>
      <c r="KF811" t="s">
        <v>1001</v>
      </c>
      <c r="KG811" t="s">
        <v>1515</v>
      </c>
      <c r="KH811">
        <v>4</v>
      </c>
      <c r="KI811" t="s">
        <v>1516</v>
      </c>
      <c r="KJ811" t="s">
        <v>530</v>
      </c>
      <c r="KN811" t="s">
        <v>545</v>
      </c>
      <c r="KO811" t="s">
        <v>1563</v>
      </c>
      <c r="KP811" t="s">
        <v>1518</v>
      </c>
      <c r="KQ811">
        <f>1.6*2</f>
        <v>3.2</v>
      </c>
      <c r="KV811" t="s">
        <v>1564</v>
      </c>
      <c r="KW811" t="s">
        <v>1520</v>
      </c>
      <c r="LC811" t="s">
        <v>508</v>
      </c>
      <c r="LD811">
        <v>4600</v>
      </c>
      <c r="LL811" t="s">
        <v>1521</v>
      </c>
      <c r="LM811" t="s">
        <v>1522</v>
      </c>
      <c r="LN811">
        <v>30</v>
      </c>
      <c r="LT811" t="s">
        <v>1565</v>
      </c>
      <c r="LU811" t="s">
        <v>1524</v>
      </c>
      <c r="LY811" t="s">
        <v>1269</v>
      </c>
      <c r="LZ811">
        <v>1426</v>
      </c>
      <c r="MA811" t="s">
        <v>1525</v>
      </c>
      <c r="MG811" t="s">
        <v>1566</v>
      </c>
      <c r="MI811" s="50">
        <v>40224</v>
      </c>
      <c r="MY811" t="s">
        <v>1527</v>
      </c>
      <c r="MZ811">
        <v>1435</v>
      </c>
      <c r="NA811" t="s">
        <v>1575</v>
      </c>
      <c r="NB811" s="2"/>
      <c r="NC811" s="2" t="s">
        <v>1529</v>
      </c>
      <c r="ND811" t="s">
        <v>1278</v>
      </c>
      <c r="NE811" s="2" t="s">
        <v>548</v>
      </c>
      <c r="NJ811" t="s">
        <v>1580</v>
      </c>
      <c r="NK811" t="s">
        <v>1581</v>
      </c>
      <c r="NL811" t="s">
        <v>946</v>
      </c>
      <c r="NM811" t="s">
        <v>516</v>
      </c>
      <c r="NV811" t="s">
        <v>518</v>
      </c>
      <c r="NW811">
        <v>5545</v>
      </c>
      <c r="NX811" t="s">
        <v>480</v>
      </c>
      <c r="OB811">
        <v>3</v>
      </c>
      <c r="OU811" t="s">
        <v>1582</v>
      </c>
      <c r="OV811" t="s">
        <v>518</v>
      </c>
      <c r="OX811">
        <v>2009</v>
      </c>
      <c r="OY811">
        <v>2010</v>
      </c>
      <c r="OZ811" t="s">
        <v>1511</v>
      </c>
      <c r="PA811" t="s">
        <v>1534</v>
      </c>
      <c r="PB811" t="s">
        <v>522</v>
      </c>
      <c r="PC811" s="50">
        <v>46136</v>
      </c>
      <c r="PD811" s="127"/>
    </row>
    <row r="812" spans="1:420" ht="15.75" thickBot="1">
      <c r="A812" t="s">
        <v>469</v>
      </c>
      <c r="B812" t="s">
        <v>1496</v>
      </c>
      <c r="C812" t="s">
        <v>1252</v>
      </c>
      <c r="D812" t="s">
        <v>950</v>
      </c>
      <c r="E812" s="81" t="s">
        <v>1497</v>
      </c>
      <c r="F812" s="80" t="s">
        <v>1179</v>
      </c>
      <c r="G812" t="s">
        <v>475</v>
      </c>
      <c r="H812" t="s">
        <v>1079</v>
      </c>
      <c r="I812">
        <v>23.983876843571402</v>
      </c>
      <c r="J812">
        <v>90.402873983888597</v>
      </c>
      <c r="K812">
        <v>250</v>
      </c>
      <c r="AV812" t="s">
        <v>1498</v>
      </c>
      <c r="AW812">
        <f t="shared" si="3"/>
        <v>1435</v>
      </c>
      <c r="AX812" t="s">
        <v>480</v>
      </c>
      <c r="AY812">
        <v>3</v>
      </c>
      <c r="AZ812" t="s">
        <v>1499</v>
      </c>
      <c r="BA812">
        <v>2009</v>
      </c>
      <c r="BB812">
        <v>2012</v>
      </c>
      <c r="BC812">
        <v>2009.2</v>
      </c>
      <c r="BD812" t="s">
        <v>1500</v>
      </c>
      <c r="BE812" t="s">
        <v>524</v>
      </c>
      <c r="BF812" t="s">
        <v>484</v>
      </c>
      <c r="BG812" t="s">
        <v>1501</v>
      </c>
      <c r="BH812" t="s">
        <v>1502</v>
      </c>
      <c r="BI812" t="s">
        <v>1503</v>
      </c>
      <c r="BJ812">
        <v>45</v>
      </c>
      <c r="BK812" t="s">
        <v>555</v>
      </c>
      <c r="BL812" t="s">
        <v>1501</v>
      </c>
      <c r="BM812" t="s">
        <v>1504</v>
      </c>
      <c r="BN812" t="s">
        <v>1503</v>
      </c>
      <c r="BO812">
        <v>49</v>
      </c>
      <c r="BP812" t="s">
        <v>555</v>
      </c>
      <c r="BQ812" t="s">
        <v>1501</v>
      </c>
      <c r="BR812" t="s">
        <v>1505</v>
      </c>
      <c r="BS812" t="s">
        <v>1503</v>
      </c>
      <c r="BT812">
        <v>49</v>
      </c>
      <c r="HK812" t="s">
        <v>1506</v>
      </c>
      <c r="HL812" t="s">
        <v>526</v>
      </c>
      <c r="HM812" t="s">
        <v>1507</v>
      </c>
      <c r="HO812" t="s">
        <v>480</v>
      </c>
      <c r="HP812">
        <v>12</v>
      </c>
      <c r="HQ812" t="s">
        <v>1508</v>
      </c>
      <c r="HS812" t="s">
        <v>1509</v>
      </c>
      <c r="HT812" s="50">
        <v>40202</v>
      </c>
      <c r="HU812" s="50"/>
      <c r="IO812" t="s">
        <v>1500</v>
      </c>
      <c r="IP812" s="46" t="s">
        <v>1510</v>
      </c>
      <c r="IS812">
        <v>2009</v>
      </c>
      <c r="IT812" t="s">
        <v>1511</v>
      </c>
      <c r="IU812" s="4" t="s">
        <v>1186</v>
      </c>
      <c r="JK812" t="s">
        <v>494</v>
      </c>
      <c r="JL812" t="s">
        <v>1512</v>
      </c>
      <c r="JM812" t="s">
        <v>1513</v>
      </c>
      <c r="JN812" t="s">
        <v>508</v>
      </c>
      <c r="JO812">
        <v>12</v>
      </c>
      <c r="JP812" t="s">
        <v>508</v>
      </c>
      <c r="JQ812">
        <f>51+69+35</f>
        <v>155</v>
      </c>
      <c r="JR812">
        <v>18</v>
      </c>
      <c r="JS812">
        <v>32</v>
      </c>
      <c r="KE812" t="s">
        <v>1514</v>
      </c>
      <c r="KF812" t="s">
        <v>1001</v>
      </c>
      <c r="KG812" t="s">
        <v>1515</v>
      </c>
      <c r="KH812">
        <v>3</v>
      </c>
      <c r="KI812" t="s">
        <v>1516</v>
      </c>
      <c r="KJ812" t="s">
        <v>530</v>
      </c>
      <c r="KN812" t="s">
        <v>545</v>
      </c>
      <c r="KO812" s="8" t="s">
        <v>1517</v>
      </c>
      <c r="KP812" t="s">
        <v>1518</v>
      </c>
      <c r="KQ812">
        <v>0.5</v>
      </c>
      <c r="KV812" t="s">
        <v>1519</v>
      </c>
      <c r="KW812" t="s">
        <v>1520</v>
      </c>
      <c r="LC812" t="s">
        <v>508</v>
      </c>
      <c r="LD812">
        <v>0</v>
      </c>
      <c r="LL812" t="s">
        <v>1521</v>
      </c>
      <c r="LM812" t="s">
        <v>1522</v>
      </c>
      <c r="LN812">
        <v>7.5</v>
      </c>
      <c r="LT812" t="s">
        <v>1523</v>
      </c>
      <c r="LU812" t="s">
        <v>1524</v>
      </c>
      <c r="LY812" t="s">
        <v>1269</v>
      </c>
      <c r="LZ812">
        <v>2172</v>
      </c>
      <c r="MA812" t="s">
        <v>1525</v>
      </c>
      <c r="MG812" t="s">
        <v>1526</v>
      </c>
      <c r="MI812" s="50">
        <v>40292</v>
      </c>
      <c r="MY812" t="s">
        <v>1527</v>
      </c>
      <c r="MZ812">
        <v>1435</v>
      </c>
      <c r="NA812" t="s">
        <v>1571</v>
      </c>
      <c r="NB812" s="2" t="s">
        <v>1529</v>
      </c>
      <c r="NC812" s="2" t="s">
        <v>1529</v>
      </c>
      <c r="ND812" s="2"/>
      <c r="NE812" s="2"/>
      <c r="NJ812" t="s">
        <v>1580</v>
      </c>
      <c r="NK812" t="s">
        <v>1581</v>
      </c>
      <c r="NL812" t="s">
        <v>946</v>
      </c>
      <c r="NM812" t="s">
        <v>516</v>
      </c>
      <c r="NU812" t="s">
        <v>1532</v>
      </c>
      <c r="NV812" t="s">
        <v>518</v>
      </c>
      <c r="NW812">
        <v>2128</v>
      </c>
      <c r="NX812" t="s">
        <v>480</v>
      </c>
      <c r="OB812">
        <v>3</v>
      </c>
      <c r="OU812" t="s">
        <v>1582</v>
      </c>
      <c r="OV812" t="s">
        <v>518</v>
      </c>
      <c r="OX812">
        <v>2010</v>
      </c>
      <c r="OY812">
        <v>2011</v>
      </c>
      <c r="OZ812" t="s">
        <v>1511</v>
      </c>
      <c r="PA812" t="s">
        <v>1534</v>
      </c>
      <c r="PB812" t="s">
        <v>522</v>
      </c>
      <c r="PC812" s="50">
        <v>46136</v>
      </c>
      <c r="PD812" s="127"/>
    </row>
    <row r="813" spans="1:420" ht="15.75" thickBot="1">
      <c r="A813" t="s">
        <v>469</v>
      </c>
      <c r="B813" t="s">
        <v>1496</v>
      </c>
      <c r="C813" t="s">
        <v>1252</v>
      </c>
      <c r="D813" t="s">
        <v>950</v>
      </c>
      <c r="E813" s="81" t="s">
        <v>1497</v>
      </c>
      <c r="F813" s="80" t="s">
        <v>1179</v>
      </c>
      <c r="G813" t="s">
        <v>475</v>
      </c>
      <c r="H813" t="s">
        <v>1079</v>
      </c>
      <c r="I813">
        <v>23.983876843571402</v>
      </c>
      <c r="J813">
        <v>90.402873983888597</v>
      </c>
      <c r="K813">
        <v>250</v>
      </c>
      <c r="AV813" t="s">
        <v>1498</v>
      </c>
      <c r="AW813">
        <f t="shared" si="3"/>
        <v>1435</v>
      </c>
      <c r="AX813" t="s">
        <v>480</v>
      </c>
      <c r="AY813">
        <v>3</v>
      </c>
      <c r="AZ813" t="s">
        <v>1499</v>
      </c>
      <c r="BA813">
        <v>2009</v>
      </c>
      <c r="BB813">
        <v>2012</v>
      </c>
      <c r="BC813">
        <v>2009.2</v>
      </c>
      <c r="BD813" t="s">
        <v>1535</v>
      </c>
      <c r="BE813" t="s">
        <v>483</v>
      </c>
      <c r="BF813" t="s">
        <v>484</v>
      </c>
      <c r="BG813" t="s">
        <v>1501</v>
      </c>
      <c r="BH813" t="s">
        <v>1502</v>
      </c>
      <c r="BI813" t="s">
        <v>1503</v>
      </c>
      <c r="BJ813">
        <v>30</v>
      </c>
      <c r="BK813" t="s">
        <v>555</v>
      </c>
      <c r="BL813" t="s">
        <v>1501</v>
      </c>
      <c r="BM813" t="s">
        <v>1505</v>
      </c>
      <c r="BN813" t="s">
        <v>1503</v>
      </c>
      <c r="BO813">
        <v>35</v>
      </c>
      <c r="HK813" t="s">
        <v>1506</v>
      </c>
      <c r="HL813" t="s">
        <v>526</v>
      </c>
      <c r="HM813" t="s">
        <v>1507</v>
      </c>
      <c r="HO813" t="s">
        <v>480</v>
      </c>
      <c r="HP813">
        <v>12</v>
      </c>
      <c r="HQ813" t="s">
        <v>1508</v>
      </c>
      <c r="HS813" t="s">
        <v>1509</v>
      </c>
      <c r="HT813" s="50">
        <v>40192</v>
      </c>
      <c r="HU813" s="50"/>
      <c r="IO813" t="s">
        <v>1535</v>
      </c>
      <c r="IP813" s="46" t="s">
        <v>1510</v>
      </c>
      <c r="IS813">
        <v>2009</v>
      </c>
      <c r="IT813" t="s">
        <v>1511</v>
      </c>
      <c r="IU813" s="4" t="s">
        <v>1186</v>
      </c>
      <c r="JK813" t="s">
        <v>494</v>
      </c>
      <c r="JL813" t="s">
        <v>1512</v>
      </c>
      <c r="JM813" t="s">
        <v>1536</v>
      </c>
      <c r="JN813" t="s">
        <v>497</v>
      </c>
      <c r="JO813" t="s">
        <v>1567</v>
      </c>
      <c r="JP813" t="s">
        <v>508</v>
      </c>
      <c r="JQ813">
        <f>42+63+65+16</f>
        <v>186</v>
      </c>
      <c r="JR813">
        <v>13</v>
      </c>
      <c r="JS813">
        <v>23</v>
      </c>
      <c r="KE813" t="s">
        <v>1538</v>
      </c>
      <c r="KF813" t="s">
        <v>1001</v>
      </c>
      <c r="KG813" t="s">
        <v>1515</v>
      </c>
      <c r="KH813">
        <v>6</v>
      </c>
      <c r="KI813" t="s">
        <v>1516</v>
      </c>
      <c r="KJ813" t="s">
        <v>501</v>
      </c>
      <c r="KK813" s="8" t="s">
        <v>1539</v>
      </c>
      <c r="KL813" t="s">
        <v>1540</v>
      </c>
      <c r="KM813">
        <v>0.99</v>
      </c>
      <c r="KN813" t="s">
        <v>545</v>
      </c>
      <c r="KO813" t="s">
        <v>1568</v>
      </c>
      <c r="KP813" t="s">
        <v>1518</v>
      </c>
      <c r="KQ813">
        <f t="shared" ref="KQ813:KQ814" si="4">0.7*2</f>
        <v>1.4</v>
      </c>
      <c r="KV813" t="s">
        <v>1542</v>
      </c>
      <c r="KW813" t="s">
        <v>1520</v>
      </c>
      <c r="LC813" t="s">
        <v>508</v>
      </c>
      <c r="LD813">
        <v>1600</v>
      </c>
      <c r="LL813" t="s">
        <v>1521</v>
      </c>
      <c r="LM813" t="s">
        <v>1522</v>
      </c>
      <c r="LN813">
        <v>30</v>
      </c>
      <c r="LT813" t="s">
        <v>1543</v>
      </c>
      <c r="LU813" t="s">
        <v>1524</v>
      </c>
      <c r="LY813" t="s">
        <v>1269</v>
      </c>
      <c r="LZ813">
        <v>1946</v>
      </c>
      <c r="MA813" t="s">
        <v>1525</v>
      </c>
      <c r="MG813" t="s">
        <v>1526</v>
      </c>
      <c r="MI813" s="50">
        <v>40298</v>
      </c>
      <c r="MY813" t="s">
        <v>1527</v>
      </c>
      <c r="MZ813">
        <v>1435</v>
      </c>
      <c r="NA813" t="s">
        <v>1571</v>
      </c>
      <c r="NB813" s="2" t="s">
        <v>1529</v>
      </c>
      <c r="NC813" s="2" t="s">
        <v>1529</v>
      </c>
      <c r="ND813" s="2"/>
      <c r="NE813" s="2"/>
      <c r="NJ813" t="s">
        <v>1580</v>
      </c>
      <c r="NK813" t="s">
        <v>1581</v>
      </c>
      <c r="NL813" t="s">
        <v>946</v>
      </c>
      <c r="NM813" t="s">
        <v>516</v>
      </c>
      <c r="NU813" t="s">
        <v>1532</v>
      </c>
      <c r="NV813" t="s">
        <v>518</v>
      </c>
      <c r="NW813">
        <v>2833</v>
      </c>
      <c r="NX813" t="s">
        <v>480</v>
      </c>
      <c r="OB813">
        <v>3</v>
      </c>
      <c r="OU813" t="s">
        <v>1582</v>
      </c>
      <c r="OV813" t="s">
        <v>518</v>
      </c>
      <c r="OX813">
        <v>2010</v>
      </c>
      <c r="OY813">
        <v>2011</v>
      </c>
      <c r="OZ813" t="s">
        <v>1511</v>
      </c>
      <c r="PA813" t="s">
        <v>1534</v>
      </c>
      <c r="PB813" t="s">
        <v>522</v>
      </c>
      <c r="PC813" s="50">
        <v>46136</v>
      </c>
      <c r="PD813" s="127"/>
    </row>
    <row r="814" spans="1:420" ht="15.75" thickBot="1">
      <c r="A814" t="s">
        <v>469</v>
      </c>
      <c r="B814" t="s">
        <v>1496</v>
      </c>
      <c r="C814" t="s">
        <v>1252</v>
      </c>
      <c r="D814" t="s">
        <v>950</v>
      </c>
      <c r="E814" s="81" t="s">
        <v>1497</v>
      </c>
      <c r="F814" s="80" t="s">
        <v>1179</v>
      </c>
      <c r="G814" t="s">
        <v>475</v>
      </c>
      <c r="H814" t="s">
        <v>1079</v>
      </c>
      <c r="I814">
        <v>23.983876843571402</v>
      </c>
      <c r="J814">
        <v>90.402873983888597</v>
      </c>
      <c r="K814">
        <v>250</v>
      </c>
      <c r="AV814" t="s">
        <v>1498</v>
      </c>
      <c r="AW814">
        <f t="shared" si="3"/>
        <v>1435</v>
      </c>
      <c r="AX814" t="s">
        <v>480</v>
      </c>
      <c r="AY814">
        <v>3</v>
      </c>
      <c r="AZ814" t="s">
        <v>1499</v>
      </c>
      <c r="BA814">
        <v>2009</v>
      </c>
      <c r="BB814">
        <v>2012</v>
      </c>
      <c r="BC814">
        <v>2009.2</v>
      </c>
      <c r="BD814" t="s">
        <v>1544</v>
      </c>
      <c r="BE814" t="s">
        <v>593</v>
      </c>
      <c r="BF814" t="s">
        <v>484</v>
      </c>
      <c r="BG814" t="s">
        <v>1501</v>
      </c>
      <c r="BH814" t="s">
        <v>1502</v>
      </c>
      <c r="BI814" t="s">
        <v>1503</v>
      </c>
      <c r="BJ814">
        <v>30</v>
      </c>
      <c r="BK814" t="s">
        <v>555</v>
      </c>
      <c r="BL814" t="s">
        <v>1501</v>
      </c>
      <c r="BM814" t="s">
        <v>1505</v>
      </c>
      <c r="BN814" t="s">
        <v>1503</v>
      </c>
      <c r="BO814">
        <v>19</v>
      </c>
      <c r="HK814" t="s">
        <v>1545</v>
      </c>
      <c r="HL814" t="s">
        <v>1546</v>
      </c>
      <c r="HM814" s="127" t="s">
        <v>480</v>
      </c>
      <c r="HN814" s="127" t="s">
        <v>480</v>
      </c>
      <c r="HO814" t="s">
        <v>480</v>
      </c>
      <c r="HP814">
        <v>4</v>
      </c>
      <c r="HQ814" t="s">
        <v>1547</v>
      </c>
      <c r="HS814" t="s">
        <v>1509</v>
      </c>
      <c r="HT814" s="50">
        <v>40192</v>
      </c>
      <c r="HU814" s="50"/>
      <c r="IO814" t="s">
        <v>1544</v>
      </c>
      <c r="IP814" s="46" t="s">
        <v>1510</v>
      </c>
      <c r="IS814">
        <v>2009</v>
      </c>
      <c r="IT814" t="s">
        <v>1511</v>
      </c>
      <c r="IU814" s="4" t="s">
        <v>1186</v>
      </c>
      <c r="JK814" t="s">
        <v>494</v>
      </c>
      <c r="JL814" t="s">
        <v>1512</v>
      </c>
      <c r="JM814" t="s">
        <v>1536</v>
      </c>
      <c r="JN814" t="s">
        <v>497</v>
      </c>
      <c r="JO814" t="s">
        <v>1567</v>
      </c>
      <c r="JP814" t="s">
        <v>508</v>
      </c>
      <c r="JQ814">
        <f>42+63+65+16</f>
        <v>186</v>
      </c>
      <c r="JR814">
        <v>13</v>
      </c>
      <c r="JS814">
        <v>23</v>
      </c>
      <c r="KE814" t="s">
        <v>1548</v>
      </c>
      <c r="KF814" t="s">
        <v>1001</v>
      </c>
      <c r="KG814" t="s">
        <v>1515</v>
      </c>
      <c r="KH814">
        <v>7</v>
      </c>
      <c r="KI814" t="s">
        <v>1516</v>
      </c>
      <c r="KJ814" t="s">
        <v>501</v>
      </c>
      <c r="KK814" s="8" t="s">
        <v>1539</v>
      </c>
      <c r="KL814" t="s">
        <v>1540</v>
      </c>
      <c r="KM814">
        <v>0.99</v>
      </c>
      <c r="KN814" t="s">
        <v>545</v>
      </c>
      <c r="KO814" t="s">
        <v>1568</v>
      </c>
      <c r="KP814" t="s">
        <v>1518</v>
      </c>
      <c r="KQ814">
        <f t="shared" si="4"/>
        <v>1.4</v>
      </c>
      <c r="KV814" t="s">
        <v>1549</v>
      </c>
      <c r="KW814" t="s">
        <v>1520</v>
      </c>
      <c r="LC814" t="s">
        <v>508</v>
      </c>
      <c r="LD814">
        <v>1400</v>
      </c>
      <c r="LL814" t="s">
        <v>1521</v>
      </c>
      <c r="LM814" t="s">
        <v>1522</v>
      </c>
      <c r="LN814">
        <v>30</v>
      </c>
      <c r="LT814" t="s">
        <v>1550</v>
      </c>
      <c r="LU814" t="s">
        <v>1524</v>
      </c>
      <c r="LY814" t="s">
        <v>1269</v>
      </c>
      <c r="LZ814">
        <v>2001</v>
      </c>
      <c r="MA814" t="s">
        <v>1525</v>
      </c>
      <c r="MG814" t="s">
        <v>1526</v>
      </c>
      <c r="MI814" s="50">
        <v>40299</v>
      </c>
      <c r="MY814" t="s">
        <v>1527</v>
      </c>
      <c r="MZ814">
        <v>1435</v>
      </c>
      <c r="NA814" t="s">
        <v>1571</v>
      </c>
      <c r="NB814" s="2" t="s">
        <v>1529</v>
      </c>
      <c r="NC814" s="2" t="s">
        <v>1529</v>
      </c>
      <c r="ND814" s="2"/>
      <c r="NE814" s="2"/>
      <c r="NJ814" t="s">
        <v>1580</v>
      </c>
      <c r="NK814" t="s">
        <v>1581</v>
      </c>
      <c r="NL814" t="s">
        <v>946</v>
      </c>
      <c r="NM814" t="s">
        <v>516</v>
      </c>
      <c r="NU814" t="s">
        <v>536</v>
      </c>
      <c r="NV814" t="s">
        <v>518</v>
      </c>
      <c r="NW814">
        <v>2781</v>
      </c>
      <c r="NX814" t="s">
        <v>480</v>
      </c>
      <c r="OB814">
        <v>3</v>
      </c>
      <c r="OU814" t="s">
        <v>1582</v>
      </c>
      <c r="OV814" t="s">
        <v>518</v>
      </c>
      <c r="OX814">
        <v>2010</v>
      </c>
      <c r="OY814">
        <v>2011</v>
      </c>
      <c r="OZ814" t="s">
        <v>1511</v>
      </c>
      <c r="PA814" t="s">
        <v>1534</v>
      </c>
      <c r="PB814" t="s">
        <v>522</v>
      </c>
      <c r="PC814" s="50">
        <v>46136</v>
      </c>
      <c r="PD814" s="127"/>
    </row>
    <row r="815" spans="1:420" ht="15.75" thickBot="1">
      <c r="A815" t="s">
        <v>469</v>
      </c>
      <c r="B815" t="s">
        <v>1496</v>
      </c>
      <c r="C815" t="s">
        <v>1252</v>
      </c>
      <c r="D815" t="s">
        <v>950</v>
      </c>
      <c r="E815" s="81" t="s">
        <v>1497</v>
      </c>
      <c r="F815" s="80" t="s">
        <v>1179</v>
      </c>
      <c r="G815" t="s">
        <v>475</v>
      </c>
      <c r="H815" t="s">
        <v>1079</v>
      </c>
      <c r="I815">
        <v>23.983876843571402</v>
      </c>
      <c r="J815">
        <v>90.402873983888597</v>
      </c>
      <c r="K815">
        <v>250</v>
      </c>
      <c r="AV815" t="s">
        <v>1498</v>
      </c>
      <c r="AW815">
        <f t="shared" si="3"/>
        <v>1435</v>
      </c>
      <c r="AX815" t="s">
        <v>480</v>
      </c>
      <c r="AY815">
        <v>3</v>
      </c>
      <c r="AZ815" t="s">
        <v>1499</v>
      </c>
      <c r="BA815">
        <v>2009</v>
      </c>
      <c r="BB815">
        <v>2012</v>
      </c>
      <c r="BC815">
        <v>2009.2</v>
      </c>
      <c r="BD815" t="s">
        <v>1551</v>
      </c>
      <c r="BE815" t="s">
        <v>536</v>
      </c>
      <c r="BF815" t="s">
        <v>484</v>
      </c>
      <c r="BG815" t="s">
        <v>1278</v>
      </c>
      <c r="BH815" t="s">
        <v>1552</v>
      </c>
      <c r="BI815" t="s">
        <v>1503</v>
      </c>
      <c r="BJ815">
        <v>1614</v>
      </c>
      <c r="BK815" t="s">
        <v>555</v>
      </c>
      <c r="BL815" t="s">
        <v>485</v>
      </c>
      <c r="BM815" t="s">
        <v>1553</v>
      </c>
      <c r="BN815" t="s">
        <v>1503</v>
      </c>
      <c r="BO815">
        <v>20</v>
      </c>
      <c r="BP815" t="s">
        <v>555</v>
      </c>
      <c r="BQ815" t="s">
        <v>1290</v>
      </c>
      <c r="BR815" t="s">
        <v>1554</v>
      </c>
      <c r="BS815" t="s">
        <v>1503</v>
      </c>
      <c r="BT815">
        <v>30</v>
      </c>
      <c r="BU815" t="s">
        <v>555</v>
      </c>
      <c r="BV815" t="s">
        <v>1501</v>
      </c>
      <c r="BW815" t="s">
        <v>1555</v>
      </c>
      <c r="BX815" t="s">
        <v>1503</v>
      </c>
      <c r="BY815">
        <v>35</v>
      </c>
      <c r="BZ815" t="s">
        <v>555</v>
      </c>
      <c r="CA815" t="s">
        <v>1501</v>
      </c>
      <c r="CB815" t="s">
        <v>1556</v>
      </c>
      <c r="CC815" t="s">
        <v>1503</v>
      </c>
      <c r="CD815">
        <v>19</v>
      </c>
      <c r="HK815" t="s">
        <v>1557</v>
      </c>
      <c r="HL815" t="s">
        <v>1546</v>
      </c>
      <c r="HM815" s="127" t="s">
        <v>480</v>
      </c>
      <c r="HN815" s="127" t="s">
        <v>480</v>
      </c>
      <c r="HO815" t="s">
        <v>480</v>
      </c>
      <c r="HP815">
        <v>9</v>
      </c>
      <c r="HQ815" t="s">
        <v>1558</v>
      </c>
      <c r="HS815" t="s">
        <v>1509</v>
      </c>
      <c r="HT815" s="50">
        <v>40153</v>
      </c>
      <c r="IO815" t="s">
        <v>1551</v>
      </c>
      <c r="IP815" t="s">
        <v>1559</v>
      </c>
      <c r="IS815">
        <v>2009</v>
      </c>
      <c r="IT815" t="s">
        <v>1511</v>
      </c>
      <c r="IU815" s="4" t="s">
        <v>1186</v>
      </c>
      <c r="JK815" t="s">
        <v>494</v>
      </c>
      <c r="JL815" t="s">
        <v>1512</v>
      </c>
      <c r="JM815" t="s">
        <v>1560</v>
      </c>
      <c r="JN815" t="s">
        <v>961</v>
      </c>
      <c r="JO815" t="s">
        <v>1561</v>
      </c>
      <c r="JP815" t="s">
        <v>508</v>
      </c>
      <c r="JQ815">
        <f>80+80+38+38</f>
        <v>236</v>
      </c>
      <c r="JR815">
        <v>54</v>
      </c>
      <c r="JS815">
        <v>185</v>
      </c>
      <c r="KE815" t="s">
        <v>1562</v>
      </c>
      <c r="KF815" t="s">
        <v>1001</v>
      </c>
      <c r="KG815" t="s">
        <v>1515</v>
      </c>
      <c r="KH815">
        <v>4</v>
      </c>
      <c r="KI815" t="s">
        <v>1516</v>
      </c>
      <c r="KJ815" t="s">
        <v>530</v>
      </c>
      <c r="KN815" t="s">
        <v>545</v>
      </c>
      <c r="KO815" t="s">
        <v>1563</v>
      </c>
      <c r="KP815" s="8" t="s">
        <v>1518</v>
      </c>
      <c r="KQ815">
        <v>1.6</v>
      </c>
      <c r="KS815" s="8"/>
      <c r="KV815" t="s">
        <v>1564</v>
      </c>
      <c r="KW815" t="s">
        <v>1520</v>
      </c>
      <c r="LC815" t="s">
        <v>508</v>
      </c>
      <c r="LD815">
        <v>1600</v>
      </c>
      <c r="LL815" t="s">
        <v>1521</v>
      </c>
      <c r="LM815" t="s">
        <v>1522</v>
      </c>
      <c r="LN815">
        <v>30</v>
      </c>
      <c r="LT815" t="s">
        <v>1565</v>
      </c>
      <c r="LU815" t="s">
        <v>1524</v>
      </c>
      <c r="LY815" t="s">
        <v>1269</v>
      </c>
      <c r="LZ815">
        <v>1186</v>
      </c>
      <c r="MA815" t="s">
        <v>1525</v>
      </c>
      <c r="MG815" t="s">
        <v>1566</v>
      </c>
      <c r="MI815" s="50">
        <v>40224</v>
      </c>
      <c r="MY815" t="s">
        <v>1527</v>
      </c>
      <c r="MZ815">
        <v>1435</v>
      </c>
      <c r="NA815" t="s">
        <v>1575</v>
      </c>
      <c r="NB815" s="2"/>
      <c r="NC815" s="2" t="s">
        <v>1529</v>
      </c>
      <c r="ND815" s="2"/>
      <c r="NE815" s="2"/>
      <c r="NJ815" t="s">
        <v>1580</v>
      </c>
      <c r="NK815" t="s">
        <v>1581</v>
      </c>
      <c r="NL815" t="s">
        <v>946</v>
      </c>
      <c r="NM815" t="s">
        <v>516</v>
      </c>
      <c r="NV815" t="s">
        <v>518</v>
      </c>
      <c r="NW815">
        <v>3871</v>
      </c>
      <c r="NX815" t="s">
        <v>480</v>
      </c>
      <c r="OB815">
        <v>3</v>
      </c>
      <c r="OU815" t="s">
        <v>1582</v>
      </c>
      <c r="OV815" t="s">
        <v>518</v>
      </c>
      <c r="OX815">
        <v>2010</v>
      </c>
      <c r="OY815">
        <v>2011</v>
      </c>
      <c r="OZ815" t="s">
        <v>1511</v>
      </c>
      <c r="PA815" t="s">
        <v>1534</v>
      </c>
      <c r="PB815" t="s">
        <v>522</v>
      </c>
      <c r="PC815" s="50">
        <v>46136</v>
      </c>
      <c r="PD815" s="127"/>
    </row>
    <row r="816" spans="1:420" ht="15.75" thickBot="1">
      <c r="A816" t="s">
        <v>469</v>
      </c>
      <c r="B816" t="s">
        <v>1496</v>
      </c>
      <c r="C816" t="s">
        <v>1252</v>
      </c>
      <c r="D816" t="s">
        <v>950</v>
      </c>
      <c r="E816" s="81" t="s">
        <v>1497</v>
      </c>
      <c r="F816" s="80" t="s">
        <v>1179</v>
      </c>
      <c r="G816" t="s">
        <v>475</v>
      </c>
      <c r="H816" t="s">
        <v>1079</v>
      </c>
      <c r="I816">
        <v>23.983876843571402</v>
      </c>
      <c r="J816">
        <v>90.402873983888597</v>
      </c>
      <c r="K816">
        <v>250</v>
      </c>
      <c r="AV816" t="s">
        <v>1498</v>
      </c>
      <c r="AW816">
        <f t="shared" si="3"/>
        <v>1435</v>
      </c>
      <c r="AX816" t="s">
        <v>480</v>
      </c>
      <c r="AY816">
        <v>3</v>
      </c>
      <c r="AZ816" t="s">
        <v>1499</v>
      </c>
      <c r="BA816">
        <v>2009</v>
      </c>
      <c r="BB816">
        <v>2012</v>
      </c>
      <c r="BC816">
        <v>2009.2</v>
      </c>
      <c r="BD816" t="s">
        <v>1500</v>
      </c>
      <c r="BE816" t="s">
        <v>524</v>
      </c>
      <c r="BF816" t="s">
        <v>484</v>
      </c>
      <c r="BG816" t="s">
        <v>1501</v>
      </c>
      <c r="BH816" t="s">
        <v>1502</v>
      </c>
      <c r="BI816" t="s">
        <v>1503</v>
      </c>
      <c r="BJ816">
        <v>45</v>
      </c>
      <c r="BK816" t="s">
        <v>555</v>
      </c>
      <c r="BL816" t="s">
        <v>1501</v>
      </c>
      <c r="BM816" t="s">
        <v>1504</v>
      </c>
      <c r="BN816" t="s">
        <v>1503</v>
      </c>
      <c r="BO816">
        <v>49</v>
      </c>
      <c r="BP816" t="s">
        <v>555</v>
      </c>
      <c r="BQ816" t="s">
        <v>1501</v>
      </c>
      <c r="BR816" t="s">
        <v>1505</v>
      </c>
      <c r="BS816" t="s">
        <v>1503</v>
      </c>
      <c r="BT816">
        <v>49</v>
      </c>
      <c r="HK816" t="s">
        <v>1506</v>
      </c>
      <c r="HL816" t="s">
        <v>526</v>
      </c>
      <c r="HM816" t="s">
        <v>1507</v>
      </c>
      <c r="HO816" t="s">
        <v>480</v>
      </c>
      <c r="HP816">
        <v>12</v>
      </c>
      <c r="HQ816" t="s">
        <v>1508</v>
      </c>
      <c r="HS816" t="s">
        <v>1509</v>
      </c>
      <c r="HT816" s="50">
        <v>40202</v>
      </c>
      <c r="HU816" s="50"/>
      <c r="IO816" t="s">
        <v>1500</v>
      </c>
      <c r="IP816" s="46" t="s">
        <v>1510</v>
      </c>
      <c r="IS816">
        <v>2009</v>
      </c>
      <c r="IT816" t="s">
        <v>1511</v>
      </c>
      <c r="IU816" s="4" t="s">
        <v>1186</v>
      </c>
      <c r="JK816" t="s">
        <v>494</v>
      </c>
      <c r="JL816" t="s">
        <v>1512</v>
      </c>
      <c r="JM816" t="s">
        <v>1513</v>
      </c>
      <c r="JN816" t="s">
        <v>508</v>
      </c>
      <c r="JO816">
        <v>12</v>
      </c>
      <c r="JP816" t="s">
        <v>508</v>
      </c>
      <c r="JQ816">
        <v>51</v>
      </c>
      <c r="JR816">
        <v>18</v>
      </c>
      <c r="JS816">
        <f>32+69+35</f>
        <v>136</v>
      </c>
      <c r="KE816" t="s">
        <v>1514</v>
      </c>
      <c r="KF816" t="s">
        <v>1001</v>
      </c>
      <c r="KG816" t="s">
        <v>1515</v>
      </c>
      <c r="KH816">
        <v>3</v>
      </c>
      <c r="KI816" t="s">
        <v>1516</v>
      </c>
      <c r="KJ816" t="s">
        <v>530</v>
      </c>
      <c r="KN816" t="s">
        <v>545</v>
      </c>
      <c r="KO816" t="s">
        <v>1568</v>
      </c>
      <c r="KP816" t="s">
        <v>1518</v>
      </c>
      <c r="KQ816">
        <v>0.7</v>
      </c>
      <c r="KV816" t="s">
        <v>1519</v>
      </c>
      <c r="KW816" t="s">
        <v>1520</v>
      </c>
      <c r="LC816" t="s">
        <v>508</v>
      </c>
      <c r="LD816">
        <v>1600</v>
      </c>
      <c r="LL816" t="s">
        <v>1521</v>
      </c>
      <c r="LM816" t="s">
        <v>1522</v>
      </c>
      <c r="LN816">
        <v>7.5</v>
      </c>
      <c r="LT816" t="s">
        <v>1523</v>
      </c>
      <c r="LU816" t="s">
        <v>1524</v>
      </c>
      <c r="LY816" t="s">
        <v>1269</v>
      </c>
      <c r="LZ816">
        <v>1450</v>
      </c>
      <c r="MA816" t="s">
        <v>1525</v>
      </c>
      <c r="MG816" t="s">
        <v>1526</v>
      </c>
      <c r="MI816" s="50">
        <v>40292</v>
      </c>
      <c r="MY816" t="s">
        <v>1527</v>
      </c>
      <c r="MZ816">
        <v>1435</v>
      </c>
      <c r="NA816" t="s">
        <v>1571</v>
      </c>
      <c r="NB816" s="2" t="s">
        <v>1529</v>
      </c>
      <c r="NC816" s="2" t="s">
        <v>1529</v>
      </c>
      <c r="ND816" s="2"/>
      <c r="NE816" s="2"/>
      <c r="NJ816" t="s">
        <v>1580</v>
      </c>
      <c r="NK816" t="s">
        <v>1581</v>
      </c>
      <c r="NL816" t="s">
        <v>946</v>
      </c>
      <c r="NM816" t="s">
        <v>516</v>
      </c>
      <c r="NU816" t="s">
        <v>1532</v>
      </c>
      <c r="NV816" t="s">
        <v>518</v>
      </c>
      <c r="NW816">
        <v>1882</v>
      </c>
      <c r="NX816" t="s">
        <v>480</v>
      </c>
      <c r="OB816">
        <v>3</v>
      </c>
      <c r="OU816" t="s">
        <v>1582</v>
      </c>
      <c r="OV816" t="s">
        <v>518</v>
      </c>
      <c r="OX816">
        <v>2011</v>
      </c>
      <c r="OY816">
        <v>2012</v>
      </c>
      <c r="OZ816" t="s">
        <v>1511</v>
      </c>
      <c r="PA816" t="s">
        <v>1534</v>
      </c>
      <c r="PB816" t="s">
        <v>522</v>
      </c>
      <c r="PC816" s="50">
        <v>46136</v>
      </c>
      <c r="PD816" s="127"/>
    </row>
    <row r="817" spans="1:420" ht="15.75" thickBot="1">
      <c r="A817" t="s">
        <v>469</v>
      </c>
      <c r="B817" t="s">
        <v>1496</v>
      </c>
      <c r="C817" t="s">
        <v>1252</v>
      </c>
      <c r="D817" t="s">
        <v>950</v>
      </c>
      <c r="E817" s="81" t="s">
        <v>1497</v>
      </c>
      <c r="F817" s="80" t="s">
        <v>1179</v>
      </c>
      <c r="G817" t="s">
        <v>475</v>
      </c>
      <c r="H817" t="s">
        <v>1079</v>
      </c>
      <c r="I817">
        <v>23.983876843571402</v>
      </c>
      <c r="J817">
        <v>90.402873983888597</v>
      </c>
      <c r="K817">
        <v>250</v>
      </c>
      <c r="AV817" t="s">
        <v>1498</v>
      </c>
      <c r="AW817">
        <f t="shared" si="3"/>
        <v>1435</v>
      </c>
      <c r="AX817" t="s">
        <v>480</v>
      </c>
      <c r="AY817">
        <v>3</v>
      </c>
      <c r="AZ817" t="s">
        <v>1499</v>
      </c>
      <c r="BA817">
        <v>2009</v>
      </c>
      <c r="BB817">
        <v>2012</v>
      </c>
      <c r="BC817">
        <v>2009.2</v>
      </c>
      <c r="BD817" t="s">
        <v>1535</v>
      </c>
      <c r="BE817" t="s">
        <v>483</v>
      </c>
      <c r="BF817" t="s">
        <v>484</v>
      </c>
      <c r="BG817" t="s">
        <v>1501</v>
      </c>
      <c r="BH817" t="s">
        <v>1502</v>
      </c>
      <c r="BI817" t="s">
        <v>1503</v>
      </c>
      <c r="BJ817">
        <v>30</v>
      </c>
      <c r="BK817" t="s">
        <v>555</v>
      </c>
      <c r="BL817" t="s">
        <v>1501</v>
      </c>
      <c r="BM817" t="s">
        <v>1505</v>
      </c>
      <c r="BN817" t="s">
        <v>1503</v>
      </c>
      <c r="BO817">
        <v>35</v>
      </c>
      <c r="HK817" t="s">
        <v>1506</v>
      </c>
      <c r="HL817" t="s">
        <v>526</v>
      </c>
      <c r="HM817" t="s">
        <v>1507</v>
      </c>
      <c r="HO817" t="s">
        <v>480</v>
      </c>
      <c r="HP817">
        <v>12</v>
      </c>
      <c r="HQ817" t="s">
        <v>1508</v>
      </c>
      <c r="HS817" t="s">
        <v>1509</v>
      </c>
      <c r="HT817" s="50">
        <v>40192</v>
      </c>
      <c r="HU817" s="50"/>
      <c r="IO817" t="s">
        <v>1535</v>
      </c>
      <c r="IP817" s="46" t="s">
        <v>1510</v>
      </c>
      <c r="IS817">
        <v>2009</v>
      </c>
      <c r="IT817" t="s">
        <v>1511</v>
      </c>
      <c r="IU817" s="4" t="s">
        <v>1186</v>
      </c>
      <c r="JK817" t="s">
        <v>494</v>
      </c>
      <c r="JL817" t="s">
        <v>1512</v>
      </c>
      <c r="JM817" t="s">
        <v>1536</v>
      </c>
      <c r="JN817" t="s">
        <v>497</v>
      </c>
      <c r="JO817" t="s">
        <v>1567</v>
      </c>
      <c r="JP817" t="s">
        <v>508</v>
      </c>
      <c r="JQ817">
        <v>44</v>
      </c>
      <c r="JR817">
        <v>13</v>
      </c>
      <c r="JS817">
        <f>23+59+59+16</f>
        <v>157</v>
      </c>
      <c r="KE817" t="s">
        <v>1538</v>
      </c>
      <c r="KF817" t="s">
        <v>1001</v>
      </c>
      <c r="KG817" t="s">
        <v>1515</v>
      </c>
      <c r="KH817">
        <v>6</v>
      </c>
      <c r="KI817" t="s">
        <v>1516</v>
      </c>
      <c r="KJ817" t="s">
        <v>501</v>
      </c>
      <c r="KK817" s="8" t="s">
        <v>1539</v>
      </c>
      <c r="KL817" t="s">
        <v>1540</v>
      </c>
      <c r="KM817">
        <v>0.99</v>
      </c>
      <c r="KN817" t="s">
        <v>545</v>
      </c>
      <c r="KO817" t="s">
        <v>1568</v>
      </c>
      <c r="KP817" t="s">
        <v>1518</v>
      </c>
      <c r="KQ817">
        <v>0.7</v>
      </c>
      <c r="KV817" t="s">
        <v>1542</v>
      </c>
      <c r="KW817" t="s">
        <v>1520</v>
      </c>
      <c r="LC817" t="s">
        <v>508</v>
      </c>
      <c r="LD817">
        <v>2000</v>
      </c>
      <c r="LL817" t="s">
        <v>1521</v>
      </c>
      <c r="LM817" t="s">
        <v>1522</v>
      </c>
      <c r="LN817">
        <v>30</v>
      </c>
      <c r="LT817" t="s">
        <v>1543</v>
      </c>
      <c r="LU817" t="s">
        <v>1524</v>
      </c>
      <c r="LY817" t="s">
        <v>1269</v>
      </c>
      <c r="LZ817">
        <v>1481</v>
      </c>
      <c r="MA817" t="s">
        <v>1525</v>
      </c>
      <c r="MG817" t="s">
        <v>1526</v>
      </c>
      <c r="MI817" s="50">
        <v>40298</v>
      </c>
      <c r="MY817" t="s">
        <v>1527</v>
      </c>
      <c r="MZ817">
        <v>1435</v>
      </c>
      <c r="NA817" t="s">
        <v>1571</v>
      </c>
      <c r="NB817" s="2" t="s">
        <v>1529</v>
      </c>
      <c r="NC817" s="2" t="s">
        <v>1529</v>
      </c>
      <c r="ND817" s="2"/>
      <c r="NE817" s="2"/>
      <c r="NJ817" t="s">
        <v>1580</v>
      </c>
      <c r="NK817" t="s">
        <v>1581</v>
      </c>
      <c r="NL817" t="s">
        <v>946</v>
      </c>
      <c r="NM817" t="s">
        <v>516</v>
      </c>
      <c r="NU817" t="s">
        <v>1532</v>
      </c>
      <c r="NV817" t="s">
        <v>518</v>
      </c>
      <c r="NW817">
        <v>2407</v>
      </c>
      <c r="NX817" t="s">
        <v>480</v>
      </c>
      <c r="OB817">
        <v>3</v>
      </c>
      <c r="OU817" t="s">
        <v>1582</v>
      </c>
      <c r="OV817" t="s">
        <v>518</v>
      </c>
      <c r="OX817">
        <v>2011</v>
      </c>
      <c r="OY817">
        <v>2012</v>
      </c>
      <c r="OZ817" t="s">
        <v>1511</v>
      </c>
      <c r="PA817" t="s">
        <v>1534</v>
      </c>
      <c r="PB817" t="s">
        <v>522</v>
      </c>
      <c r="PC817" s="50">
        <v>46136</v>
      </c>
      <c r="PD817" s="127"/>
    </row>
    <row r="818" spans="1:420" ht="15.75" thickBot="1">
      <c r="A818" t="s">
        <v>469</v>
      </c>
      <c r="B818" t="s">
        <v>1496</v>
      </c>
      <c r="C818" t="s">
        <v>1252</v>
      </c>
      <c r="D818" t="s">
        <v>950</v>
      </c>
      <c r="E818" s="81" t="s">
        <v>1497</v>
      </c>
      <c r="F818" s="80" t="s">
        <v>1179</v>
      </c>
      <c r="G818" t="s">
        <v>475</v>
      </c>
      <c r="H818" t="s">
        <v>1079</v>
      </c>
      <c r="I818">
        <v>23.983876843571402</v>
      </c>
      <c r="J818">
        <v>90.402873983888597</v>
      </c>
      <c r="K818">
        <v>250</v>
      </c>
      <c r="AV818" t="s">
        <v>1498</v>
      </c>
      <c r="AW818">
        <f t="shared" si="3"/>
        <v>1435</v>
      </c>
      <c r="AX818" t="s">
        <v>480</v>
      </c>
      <c r="AY818">
        <v>3</v>
      </c>
      <c r="AZ818" t="s">
        <v>1499</v>
      </c>
      <c r="BA818">
        <v>2009</v>
      </c>
      <c r="BB818">
        <v>2012</v>
      </c>
      <c r="BC818">
        <v>2009.2</v>
      </c>
      <c r="BD818" t="s">
        <v>1544</v>
      </c>
      <c r="BE818" t="s">
        <v>593</v>
      </c>
      <c r="BF818" t="s">
        <v>484</v>
      </c>
      <c r="BG818" t="s">
        <v>1501</v>
      </c>
      <c r="BH818" t="s">
        <v>1502</v>
      </c>
      <c r="BI818" t="s">
        <v>1503</v>
      </c>
      <c r="BJ818">
        <v>30</v>
      </c>
      <c r="BK818" t="s">
        <v>555</v>
      </c>
      <c r="BL818" t="s">
        <v>1501</v>
      </c>
      <c r="BM818" t="s">
        <v>1505</v>
      </c>
      <c r="BN818" t="s">
        <v>1503</v>
      </c>
      <c r="BO818">
        <v>19</v>
      </c>
      <c r="HK818" t="s">
        <v>1545</v>
      </c>
      <c r="HL818" t="s">
        <v>1546</v>
      </c>
      <c r="HM818" s="127" t="s">
        <v>480</v>
      </c>
      <c r="HN818" s="127" t="s">
        <v>480</v>
      </c>
      <c r="HO818" t="s">
        <v>480</v>
      </c>
      <c r="HP818">
        <v>4</v>
      </c>
      <c r="HQ818" t="s">
        <v>1547</v>
      </c>
      <c r="HS818" t="s">
        <v>1509</v>
      </c>
      <c r="HT818" s="50">
        <v>40192</v>
      </c>
      <c r="HU818" s="50"/>
      <c r="IO818" t="s">
        <v>1544</v>
      </c>
      <c r="IP818" s="46" t="s">
        <v>1510</v>
      </c>
      <c r="IS818">
        <v>2009</v>
      </c>
      <c r="IT818" t="s">
        <v>1511</v>
      </c>
      <c r="IU818" s="4" t="s">
        <v>1186</v>
      </c>
      <c r="JK818" t="s">
        <v>494</v>
      </c>
      <c r="JL818" t="s">
        <v>1512</v>
      </c>
      <c r="JM818" t="s">
        <v>1536</v>
      </c>
      <c r="JN818" t="s">
        <v>497</v>
      </c>
      <c r="JO818" t="s">
        <v>1567</v>
      </c>
      <c r="JP818" t="s">
        <v>508</v>
      </c>
      <c r="JQ818">
        <v>44</v>
      </c>
      <c r="JR818">
        <v>13</v>
      </c>
      <c r="JS818">
        <f>23+59+59+16</f>
        <v>157</v>
      </c>
      <c r="KE818" t="s">
        <v>1548</v>
      </c>
      <c r="KF818" t="s">
        <v>1001</v>
      </c>
      <c r="KG818" t="s">
        <v>1515</v>
      </c>
      <c r="KH818">
        <v>7</v>
      </c>
      <c r="KI818" t="s">
        <v>1516</v>
      </c>
      <c r="KJ818" t="s">
        <v>501</v>
      </c>
      <c r="KK818" s="8" t="s">
        <v>1539</v>
      </c>
      <c r="KL818" t="s">
        <v>1540</v>
      </c>
      <c r="KM818">
        <v>0.99</v>
      </c>
      <c r="KN818" t="s">
        <v>545</v>
      </c>
      <c r="KO818" t="s">
        <v>1568</v>
      </c>
      <c r="KP818" t="s">
        <v>1518</v>
      </c>
      <c r="KQ818">
        <v>0.7</v>
      </c>
      <c r="KV818" t="s">
        <v>1549</v>
      </c>
      <c r="KW818" t="s">
        <v>1520</v>
      </c>
      <c r="LC818" t="s">
        <v>508</v>
      </c>
      <c r="LD818">
        <v>1900</v>
      </c>
      <c r="LL818" t="s">
        <v>1521</v>
      </c>
      <c r="LM818" t="s">
        <v>1522</v>
      </c>
      <c r="LN818">
        <v>30</v>
      </c>
      <c r="LT818" t="s">
        <v>1550</v>
      </c>
      <c r="LU818" t="s">
        <v>1524</v>
      </c>
      <c r="LY818" t="s">
        <v>1269</v>
      </c>
      <c r="LZ818">
        <v>1530</v>
      </c>
      <c r="MA818" t="s">
        <v>1525</v>
      </c>
      <c r="MG818" t="s">
        <v>1526</v>
      </c>
      <c r="MI818" s="50">
        <v>40299</v>
      </c>
      <c r="MY818" t="s">
        <v>1527</v>
      </c>
      <c r="MZ818">
        <v>1435</v>
      </c>
      <c r="NA818" t="s">
        <v>1571</v>
      </c>
      <c r="NB818" s="2" t="s">
        <v>1529</v>
      </c>
      <c r="NC818" s="2" t="s">
        <v>1529</v>
      </c>
      <c r="ND818" s="2"/>
      <c r="NE818" s="2"/>
      <c r="NJ818" t="s">
        <v>1580</v>
      </c>
      <c r="NK818" t="s">
        <v>1581</v>
      </c>
      <c r="NL818" t="s">
        <v>946</v>
      </c>
      <c r="NM818" t="s">
        <v>516</v>
      </c>
      <c r="NU818" t="s">
        <v>536</v>
      </c>
      <c r="NV818" t="s">
        <v>518</v>
      </c>
      <c r="NW818">
        <v>2314</v>
      </c>
      <c r="NX818" t="s">
        <v>480</v>
      </c>
      <c r="OB818">
        <v>3</v>
      </c>
      <c r="OU818" t="s">
        <v>1582</v>
      </c>
      <c r="OV818" t="s">
        <v>518</v>
      </c>
      <c r="OX818">
        <v>2011</v>
      </c>
      <c r="OY818">
        <v>2012</v>
      </c>
      <c r="OZ818" t="s">
        <v>1511</v>
      </c>
      <c r="PA818" t="s">
        <v>1534</v>
      </c>
      <c r="PB818" t="s">
        <v>522</v>
      </c>
      <c r="PC818" s="50">
        <v>46136</v>
      </c>
      <c r="PD818" s="127"/>
    </row>
    <row r="819" spans="1:420" ht="15.75" thickBot="1">
      <c r="A819" t="s">
        <v>469</v>
      </c>
      <c r="B819" t="s">
        <v>1496</v>
      </c>
      <c r="C819" t="s">
        <v>1252</v>
      </c>
      <c r="D819" t="s">
        <v>950</v>
      </c>
      <c r="E819" s="81" t="s">
        <v>1497</v>
      </c>
      <c r="F819" s="80" t="s">
        <v>1179</v>
      </c>
      <c r="G819" t="s">
        <v>475</v>
      </c>
      <c r="H819" t="s">
        <v>1079</v>
      </c>
      <c r="I819">
        <v>23.983876843571402</v>
      </c>
      <c r="J819">
        <v>90.402873983888597</v>
      </c>
      <c r="K819">
        <v>250</v>
      </c>
      <c r="AV819" t="s">
        <v>1498</v>
      </c>
      <c r="AW819">
        <f t="shared" si="3"/>
        <v>1435</v>
      </c>
      <c r="AX819" t="s">
        <v>480</v>
      </c>
      <c r="AY819">
        <v>3</v>
      </c>
      <c r="AZ819" t="s">
        <v>1499</v>
      </c>
      <c r="BA819">
        <v>2009</v>
      </c>
      <c r="BB819">
        <v>2012</v>
      </c>
      <c r="BC819">
        <v>2009.2</v>
      </c>
      <c r="BD819" t="s">
        <v>1551</v>
      </c>
      <c r="BE819" t="s">
        <v>536</v>
      </c>
      <c r="BF819" t="s">
        <v>484</v>
      </c>
      <c r="BG819" t="s">
        <v>1278</v>
      </c>
      <c r="BH819" t="s">
        <v>1552</v>
      </c>
      <c r="BI819" t="s">
        <v>1503</v>
      </c>
      <c r="BJ819">
        <v>1614</v>
      </c>
      <c r="BK819" t="s">
        <v>555</v>
      </c>
      <c r="BL819" t="s">
        <v>485</v>
      </c>
      <c r="BM819" t="s">
        <v>1553</v>
      </c>
      <c r="BN819" t="s">
        <v>1503</v>
      </c>
      <c r="BO819">
        <v>20</v>
      </c>
      <c r="BP819" t="s">
        <v>555</v>
      </c>
      <c r="BQ819" t="s">
        <v>1290</v>
      </c>
      <c r="BR819" t="s">
        <v>1554</v>
      </c>
      <c r="BS819" t="s">
        <v>1503</v>
      </c>
      <c r="BT819">
        <v>30</v>
      </c>
      <c r="BU819" t="s">
        <v>555</v>
      </c>
      <c r="BV819" t="s">
        <v>1501</v>
      </c>
      <c r="BW819" t="s">
        <v>1555</v>
      </c>
      <c r="BX819" t="s">
        <v>1503</v>
      </c>
      <c r="BY819">
        <v>35</v>
      </c>
      <c r="BZ819" t="s">
        <v>555</v>
      </c>
      <c r="CA819" t="s">
        <v>1501</v>
      </c>
      <c r="CB819" t="s">
        <v>1556</v>
      </c>
      <c r="CC819" t="s">
        <v>1503</v>
      </c>
      <c r="CD819">
        <v>19</v>
      </c>
      <c r="HK819" t="s">
        <v>1557</v>
      </c>
      <c r="HL819" t="s">
        <v>1546</v>
      </c>
      <c r="HM819" s="127" t="s">
        <v>480</v>
      </c>
      <c r="HN819" s="127" t="s">
        <v>480</v>
      </c>
      <c r="HO819" t="s">
        <v>480</v>
      </c>
      <c r="HP819">
        <v>9</v>
      </c>
      <c r="HQ819" t="s">
        <v>1558</v>
      </c>
      <c r="HS819" t="s">
        <v>1509</v>
      </c>
      <c r="HT819" s="50">
        <v>40153</v>
      </c>
      <c r="IO819" t="s">
        <v>1551</v>
      </c>
      <c r="IP819" t="s">
        <v>1559</v>
      </c>
      <c r="IS819">
        <v>2009</v>
      </c>
      <c r="IT819" t="s">
        <v>1511</v>
      </c>
      <c r="IU819" s="4" t="s">
        <v>1186</v>
      </c>
      <c r="JK819" t="s">
        <v>494</v>
      </c>
      <c r="JL819" t="s">
        <v>1512</v>
      </c>
      <c r="JM819" t="s">
        <v>1560</v>
      </c>
      <c r="JN819" t="s">
        <v>961</v>
      </c>
      <c r="JO819" t="s">
        <v>1569</v>
      </c>
      <c r="JP819" t="s">
        <v>508</v>
      </c>
      <c r="JQ819">
        <v>58</v>
      </c>
      <c r="JR819">
        <v>32</v>
      </c>
      <c r="JS819">
        <v>127</v>
      </c>
      <c r="KE819" t="s">
        <v>1562</v>
      </c>
      <c r="KF819" t="s">
        <v>1001</v>
      </c>
      <c r="KG819" t="s">
        <v>1515</v>
      </c>
      <c r="KH819">
        <v>4</v>
      </c>
      <c r="KI819" t="s">
        <v>1516</v>
      </c>
      <c r="KJ819" t="s">
        <v>530</v>
      </c>
      <c r="KN819" t="s">
        <v>545</v>
      </c>
      <c r="KO819" t="s">
        <v>1563</v>
      </c>
      <c r="KP819" t="s">
        <v>1518</v>
      </c>
      <c r="KQ819">
        <f>1.6*2</f>
        <v>3.2</v>
      </c>
      <c r="KR819" t="s">
        <v>545</v>
      </c>
      <c r="KS819" t="s">
        <v>1570</v>
      </c>
      <c r="KT819" t="s">
        <v>503</v>
      </c>
      <c r="KU819">
        <v>1.47</v>
      </c>
      <c r="KV819" t="s">
        <v>1564</v>
      </c>
      <c r="KW819" t="s">
        <v>1520</v>
      </c>
      <c r="LC819" t="s">
        <v>508</v>
      </c>
      <c r="LD819">
        <v>1600</v>
      </c>
      <c r="LL819" t="s">
        <v>1521</v>
      </c>
      <c r="LM819" t="s">
        <v>1522</v>
      </c>
      <c r="LN819">
        <v>30</v>
      </c>
      <c r="LT819" t="s">
        <v>1565</v>
      </c>
      <c r="LU819" t="s">
        <v>1524</v>
      </c>
      <c r="LY819" t="s">
        <v>1269</v>
      </c>
      <c r="LZ819">
        <v>805</v>
      </c>
      <c r="MA819" t="s">
        <v>1525</v>
      </c>
      <c r="MG819" t="s">
        <v>1566</v>
      </c>
      <c r="MI819" s="50">
        <v>40224</v>
      </c>
      <c r="MY819" t="s">
        <v>1527</v>
      </c>
      <c r="MZ819">
        <v>1435</v>
      </c>
      <c r="NA819" t="s">
        <v>1575</v>
      </c>
      <c r="NB819" s="2"/>
      <c r="NC819" s="2" t="s">
        <v>1529</v>
      </c>
      <c r="ND819" t="s">
        <v>1278</v>
      </c>
      <c r="NE819" s="2" t="s">
        <v>1290</v>
      </c>
      <c r="NJ819" t="s">
        <v>1580</v>
      </c>
      <c r="NK819" t="s">
        <v>1581</v>
      </c>
      <c r="NL819" t="s">
        <v>946</v>
      </c>
      <c r="NM819" t="s">
        <v>516</v>
      </c>
      <c r="NV819" t="s">
        <v>518</v>
      </c>
      <c r="NW819">
        <v>3766</v>
      </c>
      <c r="NX819" t="s">
        <v>480</v>
      </c>
      <c r="OB819">
        <v>3</v>
      </c>
      <c r="OU819" t="s">
        <v>1582</v>
      </c>
      <c r="OV819" t="s">
        <v>518</v>
      </c>
      <c r="OX819">
        <v>2011</v>
      </c>
      <c r="OY819">
        <v>2012</v>
      </c>
      <c r="OZ819" t="s">
        <v>1511</v>
      </c>
      <c r="PA819" t="s">
        <v>1534</v>
      </c>
      <c r="PB819" t="s">
        <v>522</v>
      </c>
      <c r="PC819" s="50">
        <v>46136</v>
      </c>
      <c r="PD819" s="127"/>
    </row>
    <row r="820" spans="1:420" ht="15.75" thickBot="1">
      <c r="A820" t="s">
        <v>469</v>
      </c>
      <c r="B820" t="s">
        <v>1496</v>
      </c>
      <c r="C820" t="s">
        <v>1252</v>
      </c>
      <c r="D820" t="s">
        <v>950</v>
      </c>
      <c r="E820" s="81" t="s">
        <v>1497</v>
      </c>
      <c r="F820" s="80" t="s">
        <v>1179</v>
      </c>
      <c r="G820" t="s">
        <v>475</v>
      </c>
      <c r="H820" t="s">
        <v>1079</v>
      </c>
      <c r="I820">
        <v>23.983876843571402</v>
      </c>
      <c r="J820">
        <v>90.402873983888597</v>
      </c>
      <c r="K820">
        <v>250</v>
      </c>
      <c r="AV820" t="s">
        <v>1498</v>
      </c>
      <c r="AW820">
        <f t="shared" si="3"/>
        <v>1435</v>
      </c>
      <c r="AX820" t="s">
        <v>480</v>
      </c>
      <c r="AY820">
        <v>3</v>
      </c>
      <c r="AZ820" t="s">
        <v>1499</v>
      </c>
      <c r="BA820">
        <v>2009</v>
      </c>
      <c r="BB820">
        <v>2012</v>
      </c>
      <c r="BC820">
        <v>2009.2</v>
      </c>
      <c r="BD820" t="s">
        <v>1500</v>
      </c>
      <c r="BE820" t="s">
        <v>524</v>
      </c>
      <c r="BF820" t="s">
        <v>484</v>
      </c>
      <c r="BG820" t="s">
        <v>1501</v>
      </c>
      <c r="BH820" t="s">
        <v>1502</v>
      </c>
      <c r="BI820" t="s">
        <v>1503</v>
      </c>
      <c r="BJ820">
        <v>45</v>
      </c>
      <c r="BK820" t="s">
        <v>555</v>
      </c>
      <c r="BL820" t="s">
        <v>1501</v>
      </c>
      <c r="BM820" t="s">
        <v>1504</v>
      </c>
      <c r="BN820" t="s">
        <v>1503</v>
      </c>
      <c r="BO820">
        <v>49</v>
      </c>
      <c r="BP820" t="s">
        <v>555</v>
      </c>
      <c r="BQ820" t="s">
        <v>1501</v>
      </c>
      <c r="BR820" t="s">
        <v>1505</v>
      </c>
      <c r="BS820" t="s">
        <v>1503</v>
      </c>
      <c r="BT820">
        <v>49</v>
      </c>
      <c r="HK820" t="s">
        <v>1506</v>
      </c>
      <c r="HL820" t="s">
        <v>526</v>
      </c>
      <c r="HM820" t="s">
        <v>1507</v>
      </c>
      <c r="HO820" t="s">
        <v>480</v>
      </c>
      <c r="HP820">
        <v>12</v>
      </c>
      <c r="HQ820" t="s">
        <v>1508</v>
      </c>
      <c r="HS820" t="s">
        <v>1509</v>
      </c>
      <c r="HT820" s="50">
        <v>40202</v>
      </c>
      <c r="HU820" s="50"/>
      <c r="IO820" t="s">
        <v>1500</v>
      </c>
      <c r="IP820" s="46" t="s">
        <v>1510</v>
      </c>
      <c r="IS820">
        <v>2009</v>
      </c>
      <c r="IT820" t="s">
        <v>1511</v>
      </c>
      <c r="IU820" s="4" t="s">
        <v>1186</v>
      </c>
      <c r="JK820" s="2" t="s">
        <v>494</v>
      </c>
      <c r="JL820" t="s">
        <v>495</v>
      </c>
      <c r="JM820" t="s">
        <v>1513</v>
      </c>
      <c r="JN820" t="s">
        <v>508</v>
      </c>
      <c r="JO820">
        <v>12</v>
      </c>
      <c r="JP820" t="s">
        <v>508</v>
      </c>
      <c r="JQ820">
        <v>155</v>
      </c>
      <c r="JR820">
        <v>18</v>
      </c>
      <c r="JS820">
        <v>32</v>
      </c>
      <c r="KE820" t="s">
        <v>1514</v>
      </c>
      <c r="KF820" t="s">
        <v>1001</v>
      </c>
      <c r="KG820" t="s">
        <v>1515</v>
      </c>
      <c r="KH820">
        <v>3</v>
      </c>
      <c r="KI820" t="s">
        <v>1516</v>
      </c>
      <c r="KJ820" t="s">
        <v>530</v>
      </c>
      <c r="KN820" t="s">
        <v>545</v>
      </c>
      <c r="KO820" s="8" t="s">
        <v>1517</v>
      </c>
      <c r="KP820" t="s">
        <v>1518</v>
      </c>
      <c r="KQ820">
        <v>0.5</v>
      </c>
      <c r="KV820" t="s">
        <v>1519</v>
      </c>
      <c r="KW820" t="s">
        <v>1520</v>
      </c>
      <c r="LC820" t="s">
        <v>508</v>
      </c>
      <c r="LD820">
        <v>1500</v>
      </c>
      <c r="LL820" t="s">
        <v>1521</v>
      </c>
      <c r="LM820" t="s">
        <v>1522</v>
      </c>
      <c r="LN820">
        <v>7.5</v>
      </c>
      <c r="LT820" t="s">
        <v>1523</v>
      </c>
      <c r="LU820" t="s">
        <v>1524</v>
      </c>
      <c r="LY820" t="s">
        <v>1269</v>
      </c>
      <c r="LZ820">
        <v>2084</v>
      </c>
      <c r="MA820" t="s">
        <v>1525</v>
      </c>
      <c r="MG820" t="s">
        <v>1526</v>
      </c>
      <c r="MI820" s="50">
        <v>40292</v>
      </c>
      <c r="MY820" t="s">
        <v>1527</v>
      </c>
      <c r="MZ820">
        <v>1435</v>
      </c>
      <c r="NA820" t="s">
        <v>1571</v>
      </c>
      <c r="NB820" s="2" t="s">
        <v>1529</v>
      </c>
      <c r="NC820" s="2" t="s">
        <v>1529</v>
      </c>
      <c r="ND820" s="2"/>
      <c r="NE820" s="2"/>
      <c r="NJ820" t="s">
        <v>1583</v>
      </c>
      <c r="NK820" t="s">
        <v>1584</v>
      </c>
      <c r="NL820" t="s">
        <v>515</v>
      </c>
      <c r="NM820" t="s">
        <v>516</v>
      </c>
      <c r="NU820" t="s">
        <v>1532</v>
      </c>
      <c r="NV820" t="s">
        <v>518</v>
      </c>
      <c r="NW820">
        <v>396</v>
      </c>
      <c r="NX820" t="s">
        <v>480</v>
      </c>
      <c r="OB820">
        <v>3</v>
      </c>
      <c r="OU820" t="s">
        <v>1582</v>
      </c>
      <c r="OV820" t="s">
        <v>518</v>
      </c>
      <c r="OX820">
        <v>2009</v>
      </c>
      <c r="OY820">
        <v>2010</v>
      </c>
      <c r="OZ820" t="s">
        <v>1511</v>
      </c>
      <c r="PA820" t="s">
        <v>1534</v>
      </c>
      <c r="PB820" t="s">
        <v>522</v>
      </c>
      <c r="PC820" s="50">
        <v>46136</v>
      </c>
      <c r="PD820" s="127"/>
    </row>
    <row r="821" spans="1:420" ht="15.75" thickBot="1">
      <c r="A821" t="s">
        <v>469</v>
      </c>
      <c r="B821" t="s">
        <v>1496</v>
      </c>
      <c r="C821" t="s">
        <v>1252</v>
      </c>
      <c r="D821" t="s">
        <v>950</v>
      </c>
      <c r="E821" s="81" t="s">
        <v>1497</v>
      </c>
      <c r="F821" s="80" t="s">
        <v>1179</v>
      </c>
      <c r="G821" t="s">
        <v>475</v>
      </c>
      <c r="H821" t="s">
        <v>1079</v>
      </c>
      <c r="I821">
        <v>23.983876843571402</v>
      </c>
      <c r="J821">
        <v>90.402873983888597</v>
      </c>
      <c r="K821">
        <v>250</v>
      </c>
      <c r="AV821" t="s">
        <v>1498</v>
      </c>
      <c r="AW821">
        <f t="shared" si="3"/>
        <v>1435</v>
      </c>
      <c r="AX821" t="s">
        <v>480</v>
      </c>
      <c r="AY821">
        <v>3</v>
      </c>
      <c r="AZ821" t="s">
        <v>1499</v>
      </c>
      <c r="BA821">
        <v>2009</v>
      </c>
      <c r="BB821">
        <v>2012</v>
      </c>
      <c r="BC821">
        <v>2009.2</v>
      </c>
      <c r="BD821" t="s">
        <v>1535</v>
      </c>
      <c r="BE821" t="s">
        <v>483</v>
      </c>
      <c r="BF821" t="s">
        <v>484</v>
      </c>
      <c r="BG821" t="s">
        <v>1501</v>
      </c>
      <c r="BH821" t="s">
        <v>1502</v>
      </c>
      <c r="BI821" t="s">
        <v>1503</v>
      </c>
      <c r="BJ821">
        <v>30</v>
      </c>
      <c r="BK821" t="s">
        <v>555</v>
      </c>
      <c r="BL821" t="s">
        <v>1501</v>
      </c>
      <c r="BM821" t="s">
        <v>1505</v>
      </c>
      <c r="BN821" t="s">
        <v>1503</v>
      </c>
      <c r="BO821">
        <v>35</v>
      </c>
      <c r="HK821" t="s">
        <v>1506</v>
      </c>
      <c r="HL821" t="s">
        <v>526</v>
      </c>
      <c r="HM821" t="s">
        <v>1507</v>
      </c>
      <c r="HO821" t="s">
        <v>480</v>
      </c>
      <c r="HP821">
        <v>12</v>
      </c>
      <c r="HQ821" t="s">
        <v>1508</v>
      </c>
      <c r="HS821" t="s">
        <v>1509</v>
      </c>
      <c r="HT821" s="50">
        <v>40192</v>
      </c>
      <c r="HU821" s="50"/>
      <c r="IO821" t="s">
        <v>1535</v>
      </c>
      <c r="IP821" s="46" t="s">
        <v>1510</v>
      </c>
      <c r="IS821">
        <v>2009</v>
      </c>
      <c r="IT821" t="s">
        <v>1511</v>
      </c>
      <c r="IU821" s="4" t="s">
        <v>1186</v>
      </c>
      <c r="JK821" s="2" t="s">
        <v>494</v>
      </c>
      <c r="JL821" s="151" t="s">
        <v>1512</v>
      </c>
      <c r="JM821" s="140" t="s">
        <v>1536</v>
      </c>
      <c r="JN821" t="s">
        <v>497</v>
      </c>
      <c r="JO821" t="s">
        <v>1537</v>
      </c>
      <c r="JP821" t="s">
        <v>508</v>
      </c>
      <c r="JQ821">
        <f>45+50+45+20</f>
        <v>160</v>
      </c>
      <c r="JR821">
        <v>20</v>
      </c>
      <c r="JS821">
        <v>65</v>
      </c>
      <c r="KE821" t="s">
        <v>1538</v>
      </c>
      <c r="KF821" t="s">
        <v>1001</v>
      </c>
      <c r="KG821" t="s">
        <v>1515</v>
      </c>
      <c r="KH821">
        <v>6</v>
      </c>
      <c r="KI821" t="s">
        <v>1516</v>
      </c>
      <c r="KJ821" t="s">
        <v>501</v>
      </c>
      <c r="KK821" s="8" t="s">
        <v>1539</v>
      </c>
      <c r="KL821" t="s">
        <v>1540</v>
      </c>
      <c r="KM821">
        <v>0.99</v>
      </c>
      <c r="KN821" t="s">
        <v>545</v>
      </c>
      <c r="KO821" t="s">
        <v>1541</v>
      </c>
      <c r="KP821" t="s">
        <v>1518</v>
      </c>
      <c r="KQ821">
        <f>0.556*2</f>
        <v>1.1120000000000001</v>
      </c>
      <c r="KV821" t="s">
        <v>1542</v>
      </c>
      <c r="KW821" t="s">
        <v>1520</v>
      </c>
      <c r="LC821" t="s">
        <v>508</v>
      </c>
      <c r="LD821">
        <v>2200</v>
      </c>
      <c r="LL821" t="s">
        <v>1521</v>
      </c>
      <c r="LM821" t="s">
        <v>1522</v>
      </c>
      <c r="LN821">
        <v>30</v>
      </c>
      <c r="LT821" t="s">
        <v>1543</v>
      </c>
      <c r="LU821" t="s">
        <v>1524</v>
      </c>
      <c r="LY821" t="s">
        <v>1269</v>
      </c>
      <c r="LZ821">
        <v>1789</v>
      </c>
      <c r="MA821" t="s">
        <v>1525</v>
      </c>
      <c r="MG821" t="s">
        <v>1526</v>
      </c>
      <c r="MI821" s="50">
        <v>40298</v>
      </c>
      <c r="MY821" t="s">
        <v>1527</v>
      </c>
      <c r="MZ821">
        <v>1435</v>
      </c>
      <c r="NA821" t="s">
        <v>1571</v>
      </c>
      <c r="NB821" s="2" t="s">
        <v>1529</v>
      </c>
      <c r="NC821" s="2" t="s">
        <v>1529</v>
      </c>
      <c r="ND821" s="2"/>
      <c r="NE821" s="2"/>
      <c r="NJ821" t="s">
        <v>1583</v>
      </c>
      <c r="NK821" t="s">
        <v>1584</v>
      </c>
      <c r="NL821" t="s">
        <v>515</v>
      </c>
      <c r="NM821" t="s">
        <v>516</v>
      </c>
      <c r="NU821" t="s">
        <v>1532</v>
      </c>
      <c r="NV821" t="s">
        <v>518</v>
      </c>
      <c r="NW821">
        <v>966</v>
      </c>
      <c r="NX821" t="s">
        <v>480</v>
      </c>
      <c r="OB821">
        <v>3</v>
      </c>
      <c r="OU821" t="s">
        <v>1582</v>
      </c>
      <c r="OV821" t="s">
        <v>518</v>
      </c>
      <c r="OX821">
        <v>2009</v>
      </c>
      <c r="OY821">
        <v>2010</v>
      </c>
      <c r="OZ821" t="s">
        <v>1511</v>
      </c>
      <c r="PA821" t="s">
        <v>1534</v>
      </c>
      <c r="PB821" t="s">
        <v>522</v>
      </c>
      <c r="PC821" s="50">
        <v>46136</v>
      </c>
      <c r="PD821" s="127"/>
    </row>
    <row r="822" spans="1:420" ht="15.75" thickBot="1">
      <c r="A822" t="s">
        <v>469</v>
      </c>
      <c r="B822" t="s">
        <v>1496</v>
      </c>
      <c r="C822" t="s">
        <v>1252</v>
      </c>
      <c r="D822" t="s">
        <v>950</v>
      </c>
      <c r="E822" s="81" t="s">
        <v>1497</v>
      </c>
      <c r="F822" s="80" t="s">
        <v>1179</v>
      </c>
      <c r="G822" t="s">
        <v>475</v>
      </c>
      <c r="H822" t="s">
        <v>1079</v>
      </c>
      <c r="I822">
        <v>23.983876843571402</v>
      </c>
      <c r="J822">
        <v>90.402873983888597</v>
      </c>
      <c r="K822">
        <v>250</v>
      </c>
      <c r="AV822" t="s">
        <v>1498</v>
      </c>
      <c r="AW822">
        <f t="shared" si="3"/>
        <v>1435</v>
      </c>
      <c r="AX822" t="s">
        <v>480</v>
      </c>
      <c r="AY822">
        <v>3</v>
      </c>
      <c r="AZ822" t="s">
        <v>1499</v>
      </c>
      <c r="BA822">
        <v>2009</v>
      </c>
      <c r="BB822">
        <v>2012</v>
      </c>
      <c r="BC822">
        <v>2009.2</v>
      </c>
      <c r="BD822" t="s">
        <v>1544</v>
      </c>
      <c r="BE822" t="s">
        <v>593</v>
      </c>
      <c r="BF822" t="s">
        <v>484</v>
      </c>
      <c r="BG822" t="s">
        <v>1501</v>
      </c>
      <c r="BH822" t="s">
        <v>1502</v>
      </c>
      <c r="BI822" t="s">
        <v>1503</v>
      </c>
      <c r="BJ822">
        <v>30</v>
      </c>
      <c r="BK822" t="s">
        <v>555</v>
      </c>
      <c r="BL822" t="s">
        <v>1501</v>
      </c>
      <c r="BM822" t="s">
        <v>1505</v>
      </c>
      <c r="BN822" t="s">
        <v>1503</v>
      </c>
      <c r="BO822">
        <v>19</v>
      </c>
      <c r="HK822" t="s">
        <v>1545</v>
      </c>
      <c r="HL822" t="s">
        <v>1546</v>
      </c>
      <c r="HM822" s="127" t="s">
        <v>480</v>
      </c>
      <c r="HN822" s="127" t="s">
        <v>480</v>
      </c>
      <c r="HO822" t="s">
        <v>480</v>
      </c>
      <c r="HP822">
        <v>4</v>
      </c>
      <c r="HQ822" t="s">
        <v>1547</v>
      </c>
      <c r="HS822" t="s">
        <v>1509</v>
      </c>
      <c r="HT822" s="50">
        <v>40192</v>
      </c>
      <c r="HU822" s="50"/>
      <c r="IO822" t="s">
        <v>1544</v>
      </c>
      <c r="IP822" s="46" t="s">
        <v>1510</v>
      </c>
      <c r="IS822">
        <v>2009</v>
      </c>
      <c r="IT822" t="s">
        <v>1511</v>
      </c>
      <c r="IU822" s="4" t="s">
        <v>1186</v>
      </c>
      <c r="JK822" s="2" t="s">
        <v>494</v>
      </c>
      <c r="JL822" t="s">
        <v>1512</v>
      </c>
      <c r="JM822" t="s">
        <v>1536</v>
      </c>
      <c r="JN822" t="s">
        <v>497</v>
      </c>
      <c r="JO822" t="s">
        <v>1537</v>
      </c>
      <c r="JP822" t="s">
        <v>508</v>
      </c>
      <c r="JQ822">
        <f>45+50+45+20</f>
        <v>160</v>
      </c>
      <c r="JR822">
        <v>20</v>
      </c>
      <c r="JS822">
        <v>65</v>
      </c>
      <c r="KE822" t="s">
        <v>1548</v>
      </c>
      <c r="KF822" t="s">
        <v>1001</v>
      </c>
      <c r="KG822" t="s">
        <v>1515</v>
      </c>
      <c r="KH822">
        <v>7</v>
      </c>
      <c r="KI822" t="s">
        <v>1516</v>
      </c>
      <c r="KJ822" t="s">
        <v>501</v>
      </c>
      <c r="KK822" s="8" t="s">
        <v>1539</v>
      </c>
      <c r="KL822" t="s">
        <v>1540</v>
      </c>
      <c r="KM822">
        <v>0.99</v>
      </c>
      <c r="KN822" t="s">
        <v>545</v>
      </c>
      <c r="KO822" t="s">
        <v>1541</v>
      </c>
      <c r="KP822" t="s">
        <v>1518</v>
      </c>
      <c r="KQ822">
        <f>0.556*2</f>
        <v>1.1120000000000001</v>
      </c>
      <c r="KV822" t="s">
        <v>1549</v>
      </c>
      <c r="KW822" t="s">
        <v>1520</v>
      </c>
      <c r="LC822" t="s">
        <v>508</v>
      </c>
      <c r="LD822">
        <v>2600</v>
      </c>
      <c r="LL822" t="s">
        <v>1521</v>
      </c>
      <c r="LM822" t="s">
        <v>1522</v>
      </c>
      <c r="LN822">
        <v>30</v>
      </c>
      <c r="LT822" t="s">
        <v>1550</v>
      </c>
      <c r="LU822" t="s">
        <v>1524</v>
      </c>
      <c r="LY822" t="s">
        <v>1269</v>
      </c>
      <c r="LZ822">
        <v>1898</v>
      </c>
      <c r="MA822" t="s">
        <v>1525</v>
      </c>
      <c r="MG822" t="s">
        <v>1526</v>
      </c>
      <c r="MI822" s="50">
        <v>40299</v>
      </c>
      <c r="MY822" t="s">
        <v>1527</v>
      </c>
      <c r="MZ822">
        <v>1435</v>
      </c>
      <c r="NA822" t="s">
        <v>1571</v>
      </c>
      <c r="NB822" s="2" t="s">
        <v>1529</v>
      </c>
      <c r="NC822" s="2" t="s">
        <v>1529</v>
      </c>
      <c r="ND822" s="2"/>
      <c r="NE822" s="2"/>
      <c r="NJ822" t="s">
        <v>1583</v>
      </c>
      <c r="NK822" t="s">
        <v>1584</v>
      </c>
      <c r="NL822" t="s">
        <v>515</v>
      </c>
      <c r="NM822" t="s">
        <v>516</v>
      </c>
      <c r="NU822" t="s">
        <v>536</v>
      </c>
      <c r="NV822" t="s">
        <v>518</v>
      </c>
      <c r="NW822">
        <v>996</v>
      </c>
      <c r="NX822" t="s">
        <v>480</v>
      </c>
      <c r="OB822">
        <v>3</v>
      </c>
      <c r="OU822" t="s">
        <v>1582</v>
      </c>
      <c r="OV822" t="s">
        <v>518</v>
      </c>
      <c r="OX822">
        <v>2009</v>
      </c>
      <c r="OY822">
        <v>2010</v>
      </c>
      <c r="OZ822" t="s">
        <v>1511</v>
      </c>
      <c r="PA822" t="s">
        <v>1534</v>
      </c>
      <c r="PB822" t="s">
        <v>522</v>
      </c>
      <c r="PC822" s="50">
        <v>46136</v>
      </c>
      <c r="PD822" s="127"/>
    </row>
    <row r="823" spans="1:420" ht="15.75" thickBot="1">
      <c r="A823" t="s">
        <v>469</v>
      </c>
      <c r="B823" t="s">
        <v>1496</v>
      </c>
      <c r="C823" t="s">
        <v>1252</v>
      </c>
      <c r="D823" t="s">
        <v>950</v>
      </c>
      <c r="E823" s="81" t="s">
        <v>1497</v>
      </c>
      <c r="F823" s="80" t="s">
        <v>1179</v>
      </c>
      <c r="G823" t="s">
        <v>475</v>
      </c>
      <c r="H823" t="s">
        <v>1079</v>
      </c>
      <c r="I823">
        <v>23.983876843571402</v>
      </c>
      <c r="J823">
        <v>90.402873983888597</v>
      </c>
      <c r="K823">
        <v>250</v>
      </c>
      <c r="AV823" t="s">
        <v>1498</v>
      </c>
      <c r="AW823">
        <f t="shared" si="3"/>
        <v>1435</v>
      </c>
      <c r="AX823" t="s">
        <v>480</v>
      </c>
      <c r="AY823">
        <v>3</v>
      </c>
      <c r="AZ823" t="s">
        <v>1499</v>
      </c>
      <c r="BA823">
        <v>2009</v>
      </c>
      <c r="BB823">
        <v>2012</v>
      </c>
      <c r="BC823">
        <v>2009.2</v>
      </c>
      <c r="BD823" t="s">
        <v>1551</v>
      </c>
      <c r="BE823" t="s">
        <v>536</v>
      </c>
      <c r="BF823" t="s">
        <v>484</v>
      </c>
      <c r="BG823" t="s">
        <v>1278</v>
      </c>
      <c r="BH823" t="s">
        <v>1552</v>
      </c>
      <c r="BI823" t="s">
        <v>1503</v>
      </c>
      <c r="BJ823">
        <v>1614</v>
      </c>
      <c r="BK823" t="s">
        <v>555</v>
      </c>
      <c r="BL823" t="s">
        <v>485</v>
      </c>
      <c r="BM823" t="s">
        <v>1553</v>
      </c>
      <c r="BN823" t="s">
        <v>1503</v>
      </c>
      <c r="BO823">
        <v>20</v>
      </c>
      <c r="BP823" t="s">
        <v>555</v>
      </c>
      <c r="BQ823" t="s">
        <v>1290</v>
      </c>
      <c r="BR823" t="s">
        <v>1554</v>
      </c>
      <c r="BS823" t="s">
        <v>1503</v>
      </c>
      <c r="BT823">
        <v>30</v>
      </c>
      <c r="BU823" t="s">
        <v>555</v>
      </c>
      <c r="BV823" t="s">
        <v>1501</v>
      </c>
      <c r="BW823" t="s">
        <v>1555</v>
      </c>
      <c r="BX823" t="s">
        <v>1503</v>
      </c>
      <c r="BY823">
        <v>35</v>
      </c>
      <c r="BZ823" t="s">
        <v>555</v>
      </c>
      <c r="CA823" t="s">
        <v>1501</v>
      </c>
      <c r="CB823" t="s">
        <v>1556</v>
      </c>
      <c r="CC823" t="s">
        <v>1503</v>
      </c>
      <c r="CD823">
        <v>19</v>
      </c>
      <c r="HK823" t="s">
        <v>1557</v>
      </c>
      <c r="HL823" t="s">
        <v>1546</v>
      </c>
      <c r="HM823" s="127" t="s">
        <v>480</v>
      </c>
      <c r="HN823" s="127" t="s">
        <v>480</v>
      </c>
      <c r="HO823" t="s">
        <v>480</v>
      </c>
      <c r="HP823">
        <v>9</v>
      </c>
      <c r="HQ823" t="s">
        <v>1558</v>
      </c>
      <c r="HS823" t="s">
        <v>1509</v>
      </c>
      <c r="HT823" s="50">
        <v>40153</v>
      </c>
      <c r="IO823" t="s">
        <v>1551</v>
      </c>
      <c r="IP823" t="s">
        <v>1559</v>
      </c>
      <c r="IS823">
        <v>2009</v>
      </c>
      <c r="IT823" t="s">
        <v>1511</v>
      </c>
      <c r="IU823" s="4" t="s">
        <v>1186</v>
      </c>
      <c r="JK823" s="2" t="s">
        <v>494</v>
      </c>
      <c r="JL823" t="s">
        <v>1512</v>
      </c>
      <c r="JM823" t="s">
        <v>1560</v>
      </c>
      <c r="JN823" t="s">
        <v>961</v>
      </c>
      <c r="JO823" t="s">
        <v>1561</v>
      </c>
      <c r="JP823" t="s">
        <v>508</v>
      </c>
      <c r="JQ823">
        <f>80+80+38+38</f>
        <v>236</v>
      </c>
      <c r="JR823">
        <v>54</v>
      </c>
      <c r="JS823">
        <v>185</v>
      </c>
      <c r="KE823" t="s">
        <v>1562</v>
      </c>
      <c r="KF823" t="s">
        <v>1001</v>
      </c>
      <c r="KG823" t="s">
        <v>1515</v>
      </c>
      <c r="KH823">
        <v>4</v>
      </c>
      <c r="KI823" t="s">
        <v>1516</v>
      </c>
      <c r="KJ823" t="s">
        <v>530</v>
      </c>
      <c r="KN823" t="s">
        <v>545</v>
      </c>
      <c r="KO823" t="s">
        <v>1563</v>
      </c>
      <c r="KP823" t="s">
        <v>1518</v>
      </c>
      <c r="KQ823">
        <f>1.6*2</f>
        <v>3.2</v>
      </c>
      <c r="KV823" t="s">
        <v>1564</v>
      </c>
      <c r="KW823" t="s">
        <v>1520</v>
      </c>
      <c r="LC823" t="s">
        <v>508</v>
      </c>
      <c r="LD823">
        <v>4600</v>
      </c>
      <c r="LL823" t="s">
        <v>1521</v>
      </c>
      <c r="LM823" t="s">
        <v>1522</v>
      </c>
      <c r="LN823">
        <v>30</v>
      </c>
      <c r="LT823" t="s">
        <v>1565</v>
      </c>
      <c r="LU823" t="s">
        <v>1524</v>
      </c>
      <c r="LY823" t="s">
        <v>1269</v>
      </c>
      <c r="LZ823">
        <v>1426</v>
      </c>
      <c r="MA823" t="s">
        <v>1525</v>
      </c>
      <c r="MG823" t="s">
        <v>1566</v>
      </c>
      <c r="MI823" s="50">
        <v>40224</v>
      </c>
      <c r="MY823" t="s">
        <v>1527</v>
      </c>
      <c r="MZ823">
        <v>1435</v>
      </c>
      <c r="NA823" t="s">
        <v>1575</v>
      </c>
      <c r="NB823" s="2"/>
      <c r="NC823" s="2" t="s">
        <v>1529</v>
      </c>
      <c r="ND823" t="s">
        <v>1278</v>
      </c>
      <c r="NE823" s="2" t="s">
        <v>548</v>
      </c>
      <c r="NJ823" t="s">
        <v>1583</v>
      </c>
      <c r="NK823" t="s">
        <v>1584</v>
      </c>
      <c r="NL823" t="s">
        <v>515</v>
      </c>
      <c r="NM823" t="s">
        <v>516</v>
      </c>
      <c r="NV823" t="s">
        <v>518</v>
      </c>
      <c r="NW823">
        <v>1486</v>
      </c>
      <c r="NX823" t="s">
        <v>480</v>
      </c>
      <c r="OB823">
        <v>3</v>
      </c>
      <c r="OU823" t="s">
        <v>1582</v>
      </c>
      <c r="OV823" t="s">
        <v>518</v>
      </c>
      <c r="OX823">
        <v>2009</v>
      </c>
      <c r="OY823">
        <v>2010</v>
      </c>
      <c r="OZ823" t="s">
        <v>1511</v>
      </c>
      <c r="PA823" t="s">
        <v>1534</v>
      </c>
      <c r="PB823" t="s">
        <v>522</v>
      </c>
      <c r="PC823" s="50">
        <v>46136</v>
      </c>
      <c r="PD823" s="127"/>
    </row>
    <row r="824" spans="1:420" ht="15.75" thickBot="1">
      <c r="A824" t="s">
        <v>469</v>
      </c>
      <c r="B824" t="s">
        <v>1496</v>
      </c>
      <c r="C824" t="s">
        <v>1252</v>
      </c>
      <c r="D824" t="s">
        <v>950</v>
      </c>
      <c r="E824" s="81" t="s">
        <v>1497</v>
      </c>
      <c r="F824" s="80" t="s">
        <v>1179</v>
      </c>
      <c r="G824" t="s">
        <v>475</v>
      </c>
      <c r="H824" t="s">
        <v>1079</v>
      </c>
      <c r="I824">
        <v>23.983876843571402</v>
      </c>
      <c r="J824">
        <v>90.402873983888597</v>
      </c>
      <c r="K824">
        <v>250</v>
      </c>
      <c r="AV824" t="s">
        <v>1498</v>
      </c>
      <c r="AW824">
        <f t="shared" si="3"/>
        <v>1435</v>
      </c>
      <c r="AX824" t="s">
        <v>480</v>
      </c>
      <c r="AY824">
        <v>3</v>
      </c>
      <c r="AZ824" t="s">
        <v>1499</v>
      </c>
      <c r="BA824">
        <v>2009</v>
      </c>
      <c r="BB824">
        <v>2012</v>
      </c>
      <c r="BC824">
        <v>2009.2</v>
      </c>
      <c r="BD824" t="s">
        <v>1500</v>
      </c>
      <c r="BE824" t="s">
        <v>524</v>
      </c>
      <c r="BF824" t="s">
        <v>484</v>
      </c>
      <c r="BG824" t="s">
        <v>1501</v>
      </c>
      <c r="BH824" t="s">
        <v>1502</v>
      </c>
      <c r="BI824" t="s">
        <v>1503</v>
      </c>
      <c r="BJ824">
        <v>45</v>
      </c>
      <c r="BK824" t="s">
        <v>555</v>
      </c>
      <c r="BL824" t="s">
        <v>1501</v>
      </c>
      <c r="BM824" t="s">
        <v>1504</v>
      </c>
      <c r="BN824" t="s">
        <v>1503</v>
      </c>
      <c r="BO824">
        <v>49</v>
      </c>
      <c r="BP824" t="s">
        <v>555</v>
      </c>
      <c r="BQ824" t="s">
        <v>1501</v>
      </c>
      <c r="BR824" t="s">
        <v>1505</v>
      </c>
      <c r="BS824" t="s">
        <v>1503</v>
      </c>
      <c r="BT824">
        <v>49</v>
      </c>
      <c r="HK824" t="s">
        <v>1506</v>
      </c>
      <c r="HL824" t="s">
        <v>526</v>
      </c>
      <c r="HM824" t="s">
        <v>1507</v>
      </c>
      <c r="HO824" t="s">
        <v>480</v>
      </c>
      <c r="HP824">
        <v>12</v>
      </c>
      <c r="HQ824" t="s">
        <v>1508</v>
      </c>
      <c r="HS824" t="s">
        <v>1509</v>
      </c>
      <c r="HT824" s="50">
        <v>40202</v>
      </c>
      <c r="HU824" s="50"/>
      <c r="IO824" t="s">
        <v>1500</v>
      </c>
      <c r="IP824" s="46" t="s">
        <v>1510</v>
      </c>
      <c r="IS824">
        <v>2009</v>
      </c>
      <c r="IT824" t="s">
        <v>1511</v>
      </c>
      <c r="IU824" s="4" t="s">
        <v>1186</v>
      </c>
      <c r="JK824" t="s">
        <v>494</v>
      </c>
      <c r="JL824" t="s">
        <v>1512</v>
      </c>
      <c r="JM824" t="s">
        <v>1513</v>
      </c>
      <c r="JN824" t="s">
        <v>508</v>
      </c>
      <c r="JO824">
        <v>12</v>
      </c>
      <c r="JP824" t="s">
        <v>508</v>
      </c>
      <c r="JQ824">
        <f>51+69+35</f>
        <v>155</v>
      </c>
      <c r="JR824">
        <v>18</v>
      </c>
      <c r="JS824">
        <v>32</v>
      </c>
      <c r="KE824" t="s">
        <v>1514</v>
      </c>
      <c r="KF824" t="s">
        <v>1001</v>
      </c>
      <c r="KG824" t="s">
        <v>1515</v>
      </c>
      <c r="KH824">
        <v>3</v>
      </c>
      <c r="KI824" t="s">
        <v>1516</v>
      </c>
      <c r="KJ824" t="s">
        <v>530</v>
      </c>
      <c r="KN824" t="s">
        <v>545</v>
      </c>
      <c r="KO824" s="8" t="s">
        <v>1517</v>
      </c>
      <c r="KP824" t="s">
        <v>1518</v>
      </c>
      <c r="KQ824">
        <v>0.5</v>
      </c>
      <c r="KV824" t="s">
        <v>1519</v>
      </c>
      <c r="KW824" t="s">
        <v>1520</v>
      </c>
      <c r="LC824" t="s">
        <v>508</v>
      </c>
      <c r="LD824">
        <v>0</v>
      </c>
      <c r="LL824" t="s">
        <v>1521</v>
      </c>
      <c r="LM824" t="s">
        <v>1522</v>
      </c>
      <c r="LN824">
        <v>7.5</v>
      </c>
      <c r="LT824" t="s">
        <v>1523</v>
      </c>
      <c r="LU824" t="s">
        <v>1524</v>
      </c>
      <c r="LY824" t="s">
        <v>1269</v>
      </c>
      <c r="LZ824">
        <v>2172</v>
      </c>
      <c r="MA824" t="s">
        <v>1525</v>
      </c>
      <c r="MG824" t="s">
        <v>1526</v>
      </c>
      <c r="MI824" s="50">
        <v>40292</v>
      </c>
      <c r="MY824" t="s">
        <v>1527</v>
      </c>
      <c r="MZ824">
        <v>1435</v>
      </c>
      <c r="NA824" t="s">
        <v>1571</v>
      </c>
      <c r="NB824" s="2" t="s">
        <v>1529</v>
      </c>
      <c r="NC824" s="2" t="s">
        <v>1529</v>
      </c>
      <c r="ND824" s="2"/>
      <c r="NE824" s="2"/>
      <c r="NJ824" t="s">
        <v>1583</v>
      </c>
      <c r="NK824" t="s">
        <v>1584</v>
      </c>
      <c r="NL824" t="s">
        <v>515</v>
      </c>
      <c r="NM824" t="s">
        <v>516</v>
      </c>
      <c r="NU824" t="s">
        <v>1532</v>
      </c>
      <c r="NV824" t="s">
        <v>518</v>
      </c>
      <c r="NW824">
        <v>346</v>
      </c>
      <c r="NX824" t="s">
        <v>480</v>
      </c>
      <c r="OB824">
        <v>3</v>
      </c>
      <c r="OU824" t="s">
        <v>1582</v>
      </c>
      <c r="OV824" t="s">
        <v>518</v>
      </c>
      <c r="OX824">
        <v>2010</v>
      </c>
      <c r="OY824">
        <v>2011</v>
      </c>
      <c r="OZ824" t="s">
        <v>1511</v>
      </c>
      <c r="PA824" t="s">
        <v>1534</v>
      </c>
      <c r="PB824" t="s">
        <v>522</v>
      </c>
      <c r="PC824" s="50">
        <v>46136</v>
      </c>
      <c r="PD824" s="127"/>
    </row>
    <row r="825" spans="1:420" ht="15.75" thickBot="1">
      <c r="A825" t="s">
        <v>469</v>
      </c>
      <c r="B825" t="s">
        <v>1496</v>
      </c>
      <c r="C825" t="s">
        <v>1252</v>
      </c>
      <c r="D825" t="s">
        <v>950</v>
      </c>
      <c r="E825" s="81" t="s">
        <v>1497</v>
      </c>
      <c r="F825" s="80" t="s">
        <v>1179</v>
      </c>
      <c r="G825" t="s">
        <v>475</v>
      </c>
      <c r="H825" t="s">
        <v>1079</v>
      </c>
      <c r="I825">
        <v>23.983876843571402</v>
      </c>
      <c r="J825">
        <v>90.402873983888597</v>
      </c>
      <c r="K825">
        <v>250</v>
      </c>
      <c r="AV825" t="s">
        <v>1498</v>
      </c>
      <c r="AW825">
        <f t="shared" si="3"/>
        <v>1435</v>
      </c>
      <c r="AX825" t="s">
        <v>480</v>
      </c>
      <c r="AY825">
        <v>3</v>
      </c>
      <c r="AZ825" t="s">
        <v>1499</v>
      </c>
      <c r="BA825">
        <v>2009</v>
      </c>
      <c r="BB825">
        <v>2012</v>
      </c>
      <c r="BC825">
        <v>2009.2</v>
      </c>
      <c r="BD825" t="s">
        <v>1535</v>
      </c>
      <c r="BE825" t="s">
        <v>483</v>
      </c>
      <c r="BF825" t="s">
        <v>484</v>
      </c>
      <c r="BG825" t="s">
        <v>1501</v>
      </c>
      <c r="BH825" t="s">
        <v>1502</v>
      </c>
      <c r="BI825" t="s">
        <v>1503</v>
      </c>
      <c r="BJ825">
        <v>30</v>
      </c>
      <c r="BK825" t="s">
        <v>555</v>
      </c>
      <c r="BL825" t="s">
        <v>1501</v>
      </c>
      <c r="BM825" t="s">
        <v>1505</v>
      </c>
      <c r="BN825" t="s">
        <v>1503</v>
      </c>
      <c r="BO825">
        <v>35</v>
      </c>
      <c r="HK825" t="s">
        <v>1506</v>
      </c>
      <c r="HL825" t="s">
        <v>526</v>
      </c>
      <c r="HM825" t="s">
        <v>1507</v>
      </c>
      <c r="HO825" t="s">
        <v>480</v>
      </c>
      <c r="HP825">
        <v>12</v>
      </c>
      <c r="HQ825" t="s">
        <v>1508</v>
      </c>
      <c r="HS825" t="s">
        <v>1509</v>
      </c>
      <c r="HT825" s="50">
        <v>40192</v>
      </c>
      <c r="HU825" s="50"/>
      <c r="IO825" t="s">
        <v>1535</v>
      </c>
      <c r="IP825" s="46" t="s">
        <v>1510</v>
      </c>
      <c r="IS825">
        <v>2009</v>
      </c>
      <c r="IT825" t="s">
        <v>1511</v>
      </c>
      <c r="IU825" s="4" t="s">
        <v>1186</v>
      </c>
      <c r="JK825" t="s">
        <v>494</v>
      </c>
      <c r="JL825" t="s">
        <v>1512</v>
      </c>
      <c r="JM825" t="s">
        <v>1536</v>
      </c>
      <c r="JN825" t="s">
        <v>497</v>
      </c>
      <c r="JO825" t="s">
        <v>1567</v>
      </c>
      <c r="JP825" t="s">
        <v>508</v>
      </c>
      <c r="JQ825">
        <f>42+63+65+16</f>
        <v>186</v>
      </c>
      <c r="JR825">
        <v>13</v>
      </c>
      <c r="JS825">
        <v>23</v>
      </c>
      <c r="KE825" t="s">
        <v>1538</v>
      </c>
      <c r="KF825" t="s">
        <v>1001</v>
      </c>
      <c r="KG825" t="s">
        <v>1515</v>
      </c>
      <c r="KH825">
        <v>6</v>
      </c>
      <c r="KI825" t="s">
        <v>1516</v>
      </c>
      <c r="KJ825" t="s">
        <v>501</v>
      </c>
      <c r="KK825" s="8" t="s">
        <v>1539</v>
      </c>
      <c r="KL825" t="s">
        <v>1540</v>
      </c>
      <c r="KM825">
        <v>0.99</v>
      </c>
      <c r="KN825" t="s">
        <v>545</v>
      </c>
      <c r="KO825" t="s">
        <v>1568</v>
      </c>
      <c r="KP825" t="s">
        <v>1518</v>
      </c>
      <c r="KQ825">
        <f t="shared" ref="KQ825:KQ826" si="5">0.7*2</f>
        <v>1.4</v>
      </c>
      <c r="KV825" t="s">
        <v>1542</v>
      </c>
      <c r="KW825" t="s">
        <v>1520</v>
      </c>
      <c r="LC825" t="s">
        <v>508</v>
      </c>
      <c r="LD825">
        <v>1600</v>
      </c>
      <c r="LL825" t="s">
        <v>1521</v>
      </c>
      <c r="LM825" t="s">
        <v>1522</v>
      </c>
      <c r="LN825">
        <v>30</v>
      </c>
      <c r="LT825" t="s">
        <v>1543</v>
      </c>
      <c r="LU825" t="s">
        <v>1524</v>
      </c>
      <c r="LY825" t="s">
        <v>1269</v>
      </c>
      <c r="LZ825">
        <v>1946</v>
      </c>
      <c r="MA825" t="s">
        <v>1525</v>
      </c>
      <c r="MG825" t="s">
        <v>1526</v>
      </c>
      <c r="MI825" s="50">
        <v>40298</v>
      </c>
      <c r="MY825" t="s">
        <v>1527</v>
      </c>
      <c r="MZ825">
        <v>1435</v>
      </c>
      <c r="NA825" t="s">
        <v>1571</v>
      </c>
      <c r="NB825" s="2" t="s">
        <v>1529</v>
      </c>
      <c r="NC825" s="2" t="s">
        <v>1529</v>
      </c>
      <c r="ND825" s="2"/>
      <c r="NE825" s="2"/>
      <c r="NJ825" t="s">
        <v>1583</v>
      </c>
      <c r="NK825" t="s">
        <v>1584</v>
      </c>
      <c r="NL825" t="s">
        <v>515</v>
      </c>
      <c r="NM825" t="s">
        <v>516</v>
      </c>
      <c r="NU825" t="s">
        <v>1532</v>
      </c>
      <c r="NV825" t="s">
        <v>518</v>
      </c>
      <c r="NW825">
        <v>933</v>
      </c>
      <c r="NX825" t="s">
        <v>480</v>
      </c>
      <c r="OB825">
        <v>3</v>
      </c>
      <c r="OU825" t="s">
        <v>1582</v>
      </c>
      <c r="OV825" t="s">
        <v>518</v>
      </c>
      <c r="OX825">
        <v>2010</v>
      </c>
      <c r="OY825">
        <v>2011</v>
      </c>
      <c r="OZ825" t="s">
        <v>1511</v>
      </c>
      <c r="PA825" t="s">
        <v>1534</v>
      </c>
      <c r="PB825" t="s">
        <v>522</v>
      </c>
      <c r="PC825" s="50">
        <v>46136</v>
      </c>
      <c r="PD825" s="127"/>
    </row>
    <row r="826" spans="1:420" ht="15.75" thickBot="1">
      <c r="A826" t="s">
        <v>469</v>
      </c>
      <c r="B826" t="s">
        <v>1496</v>
      </c>
      <c r="C826" t="s">
        <v>1252</v>
      </c>
      <c r="D826" t="s">
        <v>950</v>
      </c>
      <c r="E826" s="81" t="s">
        <v>1497</v>
      </c>
      <c r="F826" s="80" t="s">
        <v>1179</v>
      </c>
      <c r="G826" t="s">
        <v>475</v>
      </c>
      <c r="H826" t="s">
        <v>1079</v>
      </c>
      <c r="I826">
        <v>23.983876843571402</v>
      </c>
      <c r="J826">
        <v>90.402873983888597</v>
      </c>
      <c r="K826">
        <v>250</v>
      </c>
      <c r="AV826" t="s">
        <v>1498</v>
      </c>
      <c r="AW826">
        <f t="shared" si="3"/>
        <v>1435</v>
      </c>
      <c r="AX826" t="s">
        <v>480</v>
      </c>
      <c r="AY826">
        <v>3</v>
      </c>
      <c r="AZ826" t="s">
        <v>1499</v>
      </c>
      <c r="BA826">
        <v>2009</v>
      </c>
      <c r="BB826">
        <v>2012</v>
      </c>
      <c r="BC826">
        <v>2009.2</v>
      </c>
      <c r="BD826" t="s">
        <v>1544</v>
      </c>
      <c r="BE826" t="s">
        <v>593</v>
      </c>
      <c r="BF826" t="s">
        <v>484</v>
      </c>
      <c r="BG826" t="s">
        <v>1501</v>
      </c>
      <c r="BH826" t="s">
        <v>1502</v>
      </c>
      <c r="BI826" t="s">
        <v>1503</v>
      </c>
      <c r="BJ826">
        <v>30</v>
      </c>
      <c r="BK826" t="s">
        <v>555</v>
      </c>
      <c r="BL826" t="s">
        <v>1501</v>
      </c>
      <c r="BM826" t="s">
        <v>1505</v>
      </c>
      <c r="BN826" t="s">
        <v>1503</v>
      </c>
      <c r="BO826">
        <v>19</v>
      </c>
      <c r="HK826" t="s">
        <v>1545</v>
      </c>
      <c r="HL826" t="s">
        <v>1546</v>
      </c>
      <c r="HM826" s="127" t="s">
        <v>480</v>
      </c>
      <c r="HN826" s="127" t="s">
        <v>480</v>
      </c>
      <c r="HO826" t="s">
        <v>480</v>
      </c>
      <c r="HP826">
        <v>4</v>
      </c>
      <c r="HQ826" t="s">
        <v>1547</v>
      </c>
      <c r="HS826" t="s">
        <v>1509</v>
      </c>
      <c r="HT826" s="50">
        <v>40192</v>
      </c>
      <c r="HU826" s="50"/>
      <c r="IO826" t="s">
        <v>1544</v>
      </c>
      <c r="IP826" s="46" t="s">
        <v>1510</v>
      </c>
      <c r="IS826">
        <v>2009</v>
      </c>
      <c r="IT826" t="s">
        <v>1511</v>
      </c>
      <c r="IU826" s="4" t="s">
        <v>1186</v>
      </c>
      <c r="JK826" t="s">
        <v>494</v>
      </c>
      <c r="JL826" t="s">
        <v>1512</v>
      </c>
      <c r="JM826" t="s">
        <v>1536</v>
      </c>
      <c r="JN826" t="s">
        <v>497</v>
      </c>
      <c r="JO826" t="s">
        <v>1567</v>
      </c>
      <c r="JP826" t="s">
        <v>508</v>
      </c>
      <c r="JQ826">
        <f>42+63+65+16</f>
        <v>186</v>
      </c>
      <c r="JR826">
        <v>13</v>
      </c>
      <c r="JS826">
        <v>23</v>
      </c>
      <c r="KE826" t="s">
        <v>1548</v>
      </c>
      <c r="KF826" t="s">
        <v>1001</v>
      </c>
      <c r="KG826" t="s">
        <v>1515</v>
      </c>
      <c r="KH826">
        <v>7</v>
      </c>
      <c r="KI826" t="s">
        <v>1516</v>
      </c>
      <c r="KJ826" t="s">
        <v>501</v>
      </c>
      <c r="KK826" s="8" t="s">
        <v>1539</v>
      </c>
      <c r="KL826" t="s">
        <v>1540</v>
      </c>
      <c r="KM826">
        <v>0.99</v>
      </c>
      <c r="KN826" t="s">
        <v>545</v>
      </c>
      <c r="KO826" t="s">
        <v>1568</v>
      </c>
      <c r="KP826" t="s">
        <v>1518</v>
      </c>
      <c r="KQ826">
        <f t="shared" si="5"/>
        <v>1.4</v>
      </c>
      <c r="KV826" t="s">
        <v>1549</v>
      </c>
      <c r="KW826" t="s">
        <v>1520</v>
      </c>
      <c r="LC826" t="s">
        <v>508</v>
      </c>
      <c r="LD826">
        <v>1400</v>
      </c>
      <c r="LL826" t="s">
        <v>1521</v>
      </c>
      <c r="LM826" t="s">
        <v>1522</v>
      </c>
      <c r="LN826">
        <v>30</v>
      </c>
      <c r="LT826" t="s">
        <v>1550</v>
      </c>
      <c r="LU826" t="s">
        <v>1524</v>
      </c>
      <c r="LY826" t="s">
        <v>1269</v>
      </c>
      <c r="LZ826">
        <v>2001</v>
      </c>
      <c r="MA826" t="s">
        <v>1525</v>
      </c>
      <c r="MG826" t="s">
        <v>1526</v>
      </c>
      <c r="MI826" s="50">
        <v>40299</v>
      </c>
      <c r="MY826" t="s">
        <v>1527</v>
      </c>
      <c r="MZ826">
        <v>1435</v>
      </c>
      <c r="NA826" t="s">
        <v>1571</v>
      </c>
      <c r="NB826" s="2" t="s">
        <v>1529</v>
      </c>
      <c r="NC826" s="2" t="s">
        <v>1529</v>
      </c>
      <c r="ND826" s="2"/>
      <c r="NE826" s="2"/>
      <c r="NJ826" t="s">
        <v>1583</v>
      </c>
      <c r="NK826" t="s">
        <v>1584</v>
      </c>
      <c r="NL826" t="s">
        <v>515</v>
      </c>
      <c r="NM826" t="s">
        <v>516</v>
      </c>
      <c r="NU826" t="s">
        <v>536</v>
      </c>
      <c r="NV826" t="s">
        <v>518</v>
      </c>
      <c r="NW826">
        <v>1046</v>
      </c>
      <c r="NX826" t="s">
        <v>480</v>
      </c>
      <c r="OB826">
        <v>3</v>
      </c>
      <c r="OU826" t="s">
        <v>1582</v>
      </c>
      <c r="OV826" t="s">
        <v>518</v>
      </c>
      <c r="OX826">
        <v>2010</v>
      </c>
      <c r="OY826">
        <v>2011</v>
      </c>
      <c r="OZ826" t="s">
        <v>1511</v>
      </c>
      <c r="PA826" t="s">
        <v>1534</v>
      </c>
      <c r="PB826" t="s">
        <v>522</v>
      </c>
      <c r="PC826" s="50">
        <v>46136</v>
      </c>
      <c r="PD826" s="127"/>
    </row>
    <row r="827" spans="1:420" ht="15.75" thickBot="1">
      <c r="A827" t="s">
        <v>469</v>
      </c>
      <c r="B827" t="s">
        <v>1496</v>
      </c>
      <c r="C827" t="s">
        <v>1252</v>
      </c>
      <c r="D827" t="s">
        <v>950</v>
      </c>
      <c r="E827" s="81" t="s">
        <v>1497</v>
      </c>
      <c r="F827" s="80" t="s">
        <v>1179</v>
      </c>
      <c r="G827" t="s">
        <v>475</v>
      </c>
      <c r="H827" t="s">
        <v>1079</v>
      </c>
      <c r="I827">
        <v>23.983876843571402</v>
      </c>
      <c r="J827">
        <v>90.402873983888597</v>
      </c>
      <c r="K827">
        <v>250</v>
      </c>
      <c r="AV827" t="s">
        <v>1498</v>
      </c>
      <c r="AW827">
        <f t="shared" si="3"/>
        <v>1435</v>
      </c>
      <c r="AX827" t="s">
        <v>480</v>
      </c>
      <c r="AY827">
        <v>3</v>
      </c>
      <c r="AZ827" t="s">
        <v>1499</v>
      </c>
      <c r="BA827">
        <v>2009</v>
      </c>
      <c r="BB827">
        <v>2012</v>
      </c>
      <c r="BC827">
        <v>2009.2</v>
      </c>
      <c r="BD827" t="s">
        <v>1551</v>
      </c>
      <c r="BE827" t="s">
        <v>536</v>
      </c>
      <c r="BF827" t="s">
        <v>484</v>
      </c>
      <c r="BG827" t="s">
        <v>1278</v>
      </c>
      <c r="BH827" t="s">
        <v>1552</v>
      </c>
      <c r="BI827" t="s">
        <v>1503</v>
      </c>
      <c r="BJ827">
        <v>1614</v>
      </c>
      <c r="BK827" t="s">
        <v>555</v>
      </c>
      <c r="BL827" t="s">
        <v>485</v>
      </c>
      <c r="BM827" t="s">
        <v>1553</v>
      </c>
      <c r="BN827" t="s">
        <v>1503</v>
      </c>
      <c r="BO827">
        <v>20</v>
      </c>
      <c r="BP827" t="s">
        <v>555</v>
      </c>
      <c r="BQ827" t="s">
        <v>1290</v>
      </c>
      <c r="BR827" t="s">
        <v>1554</v>
      </c>
      <c r="BS827" t="s">
        <v>1503</v>
      </c>
      <c r="BT827">
        <v>30</v>
      </c>
      <c r="BU827" t="s">
        <v>555</v>
      </c>
      <c r="BV827" t="s">
        <v>1501</v>
      </c>
      <c r="BW827" t="s">
        <v>1555</v>
      </c>
      <c r="BX827" t="s">
        <v>1503</v>
      </c>
      <c r="BY827">
        <v>35</v>
      </c>
      <c r="BZ827" t="s">
        <v>555</v>
      </c>
      <c r="CA827" t="s">
        <v>1501</v>
      </c>
      <c r="CB827" t="s">
        <v>1556</v>
      </c>
      <c r="CC827" t="s">
        <v>1503</v>
      </c>
      <c r="CD827">
        <v>19</v>
      </c>
      <c r="HK827" t="s">
        <v>1557</v>
      </c>
      <c r="HL827" t="s">
        <v>1546</v>
      </c>
      <c r="HM827" s="127" t="s">
        <v>480</v>
      </c>
      <c r="HN827" s="127" t="s">
        <v>480</v>
      </c>
      <c r="HO827" t="s">
        <v>480</v>
      </c>
      <c r="HP827">
        <v>9</v>
      </c>
      <c r="HQ827" t="s">
        <v>1558</v>
      </c>
      <c r="HS827" t="s">
        <v>1509</v>
      </c>
      <c r="HT827" s="50">
        <v>40153</v>
      </c>
      <c r="IO827" t="s">
        <v>1551</v>
      </c>
      <c r="IP827" t="s">
        <v>1559</v>
      </c>
      <c r="IS827">
        <v>2009</v>
      </c>
      <c r="IT827" t="s">
        <v>1511</v>
      </c>
      <c r="IU827" s="4" t="s">
        <v>1186</v>
      </c>
      <c r="JK827" t="s">
        <v>494</v>
      </c>
      <c r="JL827" t="s">
        <v>1512</v>
      </c>
      <c r="JM827" t="s">
        <v>1560</v>
      </c>
      <c r="JN827" t="s">
        <v>961</v>
      </c>
      <c r="JO827" t="s">
        <v>1561</v>
      </c>
      <c r="JP827" t="s">
        <v>508</v>
      </c>
      <c r="JQ827">
        <f>80+80+38+38</f>
        <v>236</v>
      </c>
      <c r="JR827">
        <v>54</v>
      </c>
      <c r="JS827">
        <v>185</v>
      </c>
      <c r="KE827" t="s">
        <v>1562</v>
      </c>
      <c r="KF827" t="s">
        <v>1001</v>
      </c>
      <c r="KG827" t="s">
        <v>1515</v>
      </c>
      <c r="KH827">
        <v>4</v>
      </c>
      <c r="KI827" t="s">
        <v>1516</v>
      </c>
      <c r="KJ827" t="s">
        <v>530</v>
      </c>
      <c r="KN827" t="s">
        <v>545</v>
      </c>
      <c r="KO827" t="s">
        <v>1563</v>
      </c>
      <c r="KP827" s="8" t="s">
        <v>1518</v>
      </c>
      <c r="KQ827">
        <v>1.6</v>
      </c>
      <c r="KS827" s="8"/>
      <c r="KV827" t="s">
        <v>1564</v>
      </c>
      <c r="KW827" t="s">
        <v>1520</v>
      </c>
      <c r="LC827" t="s">
        <v>508</v>
      </c>
      <c r="LD827">
        <v>1600</v>
      </c>
      <c r="LL827" t="s">
        <v>1521</v>
      </c>
      <c r="LM827" t="s">
        <v>1522</v>
      </c>
      <c r="LN827">
        <v>30</v>
      </c>
      <c r="LT827" t="s">
        <v>1565</v>
      </c>
      <c r="LU827" t="s">
        <v>1524</v>
      </c>
      <c r="LY827" t="s">
        <v>1269</v>
      </c>
      <c r="LZ827">
        <v>1186</v>
      </c>
      <c r="MA827" t="s">
        <v>1525</v>
      </c>
      <c r="MG827" t="s">
        <v>1566</v>
      </c>
      <c r="MI827" s="50">
        <v>40224</v>
      </c>
      <c r="MY827" t="s">
        <v>1527</v>
      </c>
      <c r="MZ827">
        <v>1435</v>
      </c>
      <c r="NA827" t="s">
        <v>1575</v>
      </c>
      <c r="NB827" s="2"/>
      <c r="NC827" s="2" t="s">
        <v>1529</v>
      </c>
      <c r="ND827" s="2"/>
      <c r="NE827" s="2"/>
      <c r="NJ827" t="s">
        <v>1583</v>
      </c>
      <c r="NK827" t="s">
        <v>1584</v>
      </c>
      <c r="NL827" t="s">
        <v>515</v>
      </c>
      <c r="NM827" t="s">
        <v>516</v>
      </c>
      <c r="NV827" t="s">
        <v>518</v>
      </c>
      <c r="NW827">
        <v>677</v>
      </c>
      <c r="NX827" t="s">
        <v>480</v>
      </c>
      <c r="OB827">
        <v>3</v>
      </c>
      <c r="OU827" t="s">
        <v>1582</v>
      </c>
      <c r="OV827" t="s">
        <v>518</v>
      </c>
      <c r="OX827">
        <v>2010</v>
      </c>
      <c r="OY827">
        <v>2011</v>
      </c>
      <c r="OZ827" t="s">
        <v>1511</v>
      </c>
      <c r="PA827" t="s">
        <v>1534</v>
      </c>
      <c r="PB827" t="s">
        <v>522</v>
      </c>
      <c r="PC827" s="50">
        <v>46136</v>
      </c>
      <c r="PD827" s="127"/>
    </row>
    <row r="828" spans="1:420" ht="15.75" thickBot="1">
      <c r="A828" t="s">
        <v>469</v>
      </c>
      <c r="B828" t="s">
        <v>1496</v>
      </c>
      <c r="C828" t="s">
        <v>1252</v>
      </c>
      <c r="D828" t="s">
        <v>950</v>
      </c>
      <c r="E828" s="81" t="s">
        <v>1497</v>
      </c>
      <c r="F828" s="80" t="s">
        <v>1179</v>
      </c>
      <c r="G828" t="s">
        <v>475</v>
      </c>
      <c r="H828" t="s">
        <v>1079</v>
      </c>
      <c r="I828">
        <v>23.983876843571402</v>
      </c>
      <c r="J828">
        <v>90.402873983888597</v>
      </c>
      <c r="K828">
        <v>250</v>
      </c>
      <c r="AV828" t="s">
        <v>1498</v>
      </c>
      <c r="AW828">
        <f t="shared" si="3"/>
        <v>1435</v>
      </c>
      <c r="AX828" t="s">
        <v>480</v>
      </c>
      <c r="AY828">
        <v>3</v>
      </c>
      <c r="AZ828" t="s">
        <v>1499</v>
      </c>
      <c r="BA828">
        <v>2009</v>
      </c>
      <c r="BB828">
        <v>2012</v>
      </c>
      <c r="BC828">
        <v>2009.2</v>
      </c>
      <c r="BD828" t="s">
        <v>1500</v>
      </c>
      <c r="BE828" t="s">
        <v>524</v>
      </c>
      <c r="BF828" t="s">
        <v>484</v>
      </c>
      <c r="BG828" t="s">
        <v>1501</v>
      </c>
      <c r="BH828" t="s">
        <v>1502</v>
      </c>
      <c r="BI828" t="s">
        <v>1503</v>
      </c>
      <c r="BJ828">
        <v>45</v>
      </c>
      <c r="BK828" t="s">
        <v>555</v>
      </c>
      <c r="BL828" t="s">
        <v>1501</v>
      </c>
      <c r="BM828" t="s">
        <v>1504</v>
      </c>
      <c r="BN828" t="s">
        <v>1503</v>
      </c>
      <c r="BO828">
        <v>49</v>
      </c>
      <c r="BP828" t="s">
        <v>555</v>
      </c>
      <c r="BQ828" t="s">
        <v>1501</v>
      </c>
      <c r="BR828" t="s">
        <v>1505</v>
      </c>
      <c r="BS828" t="s">
        <v>1503</v>
      </c>
      <c r="BT828">
        <v>49</v>
      </c>
      <c r="HK828" t="s">
        <v>1506</v>
      </c>
      <c r="HL828" t="s">
        <v>526</v>
      </c>
      <c r="HM828" t="s">
        <v>1507</v>
      </c>
      <c r="HO828" t="s">
        <v>480</v>
      </c>
      <c r="HP828">
        <v>12</v>
      </c>
      <c r="HQ828" t="s">
        <v>1508</v>
      </c>
      <c r="HS828" t="s">
        <v>1509</v>
      </c>
      <c r="HT828" s="50">
        <v>40202</v>
      </c>
      <c r="HU828" s="50"/>
      <c r="IO828" t="s">
        <v>1500</v>
      </c>
      <c r="IP828" s="46" t="s">
        <v>1510</v>
      </c>
      <c r="IS828">
        <v>2009</v>
      </c>
      <c r="IT828" t="s">
        <v>1511</v>
      </c>
      <c r="IU828" s="4" t="s">
        <v>1186</v>
      </c>
      <c r="JK828" t="s">
        <v>494</v>
      </c>
      <c r="JL828" t="s">
        <v>1512</v>
      </c>
      <c r="JM828" t="s">
        <v>1513</v>
      </c>
      <c r="JN828" t="s">
        <v>508</v>
      </c>
      <c r="JO828">
        <v>12</v>
      </c>
      <c r="JP828" t="s">
        <v>508</v>
      </c>
      <c r="JQ828">
        <v>51</v>
      </c>
      <c r="JR828">
        <v>18</v>
      </c>
      <c r="JS828">
        <f>32+69+35</f>
        <v>136</v>
      </c>
      <c r="KE828" t="s">
        <v>1514</v>
      </c>
      <c r="KF828" t="s">
        <v>1001</v>
      </c>
      <c r="KG828" t="s">
        <v>1515</v>
      </c>
      <c r="KH828">
        <v>3</v>
      </c>
      <c r="KI828" t="s">
        <v>1516</v>
      </c>
      <c r="KJ828" t="s">
        <v>530</v>
      </c>
      <c r="KN828" t="s">
        <v>545</v>
      </c>
      <c r="KO828" t="s">
        <v>1568</v>
      </c>
      <c r="KP828" t="s">
        <v>1518</v>
      </c>
      <c r="KQ828">
        <v>0.7</v>
      </c>
      <c r="KV828" t="s">
        <v>1519</v>
      </c>
      <c r="KW828" t="s">
        <v>1520</v>
      </c>
      <c r="LC828" t="s">
        <v>508</v>
      </c>
      <c r="LD828">
        <v>1600</v>
      </c>
      <c r="LL828" t="s">
        <v>1521</v>
      </c>
      <c r="LM828" t="s">
        <v>1522</v>
      </c>
      <c r="LN828">
        <v>7.5</v>
      </c>
      <c r="LT828" t="s">
        <v>1523</v>
      </c>
      <c r="LU828" t="s">
        <v>1524</v>
      </c>
      <c r="LY828" t="s">
        <v>1269</v>
      </c>
      <c r="LZ828">
        <v>1450</v>
      </c>
      <c r="MA828" t="s">
        <v>1525</v>
      </c>
      <c r="MG828" t="s">
        <v>1526</v>
      </c>
      <c r="MI828" s="50">
        <v>40292</v>
      </c>
      <c r="MY828" t="s">
        <v>1527</v>
      </c>
      <c r="MZ828">
        <v>1435</v>
      </c>
      <c r="NA828" t="s">
        <v>1571</v>
      </c>
      <c r="NB828" s="2" t="s">
        <v>1529</v>
      </c>
      <c r="NC828" s="2" t="s">
        <v>1529</v>
      </c>
      <c r="ND828" s="2"/>
      <c r="NE828" s="2"/>
      <c r="NJ828" t="s">
        <v>1583</v>
      </c>
      <c r="NK828" t="s">
        <v>1584</v>
      </c>
      <c r="NL828" t="s">
        <v>515</v>
      </c>
      <c r="NM828" t="s">
        <v>516</v>
      </c>
      <c r="NU828" t="s">
        <v>1532</v>
      </c>
      <c r="NV828" t="s">
        <v>518</v>
      </c>
      <c r="NW828">
        <v>274</v>
      </c>
      <c r="NX828" t="s">
        <v>480</v>
      </c>
      <c r="OB828">
        <v>3</v>
      </c>
      <c r="OU828" t="s">
        <v>1582</v>
      </c>
      <c r="OV828" t="s">
        <v>518</v>
      </c>
      <c r="OX828">
        <v>2011</v>
      </c>
      <c r="OY828">
        <v>2012</v>
      </c>
      <c r="OZ828" t="s">
        <v>1511</v>
      </c>
      <c r="PA828" t="s">
        <v>1534</v>
      </c>
      <c r="PB828" t="s">
        <v>522</v>
      </c>
      <c r="PC828" s="50">
        <v>46136</v>
      </c>
      <c r="PD828" s="127"/>
    </row>
    <row r="829" spans="1:420" ht="15.75" thickBot="1">
      <c r="A829" t="s">
        <v>469</v>
      </c>
      <c r="B829" t="s">
        <v>1496</v>
      </c>
      <c r="C829" t="s">
        <v>1252</v>
      </c>
      <c r="D829" t="s">
        <v>950</v>
      </c>
      <c r="E829" s="81" t="s">
        <v>1497</v>
      </c>
      <c r="F829" s="80" t="s">
        <v>1179</v>
      </c>
      <c r="G829" t="s">
        <v>475</v>
      </c>
      <c r="H829" t="s">
        <v>1079</v>
      </c>
      <c r="I829">
        <v>23.983876843571402</v>
      </c>
      <c r="J829">
        <v>90.402873983888597</v>
      </c>
      <c r="K829">
        <v>250</v>
      </c>
      <c r="AV829" t="s">
        <v>1498</v>
      </c>
      <c r="AW829">
        <f t="shared" si="3"/>
        <v>1435</v>
      </c>
      <c r="AX829" t="s">
        <v>480</v>
      </c>
      <c r="AY829">
        <v>3</v>
      </c>
      <c r="AZ829" t="s">
        <v>1499</v>
      </c>
      <c r="BA829">
        <v>2009</v>
      </c>
      <c r="BB829">
        <v>2012</v>
      </c>
      <c r="BC829">
        <v>2009.2</v>
      </c>
      <c r="BD829" t="s">
        <v>1535</v>
      </c>
      <c r="BE829" t="s">
        <v>483</v>
      </c>
      <c r="BF829" t="s">
        <v>484</v>
      </c>
      <c r="BG829" t="s">
        <v>1501</v>
      </c>
      <c r="BH829" t="s">
        <v>1502</v>
      </c>
      <c r="BI829" t="s">
        <v>1503</v>
      </c>
      <c r="BJ829">
        <v>30</v>
      </c>
      <c r="BK829" t="s">
        <v>555</v>
      </c>
      <c r="BL829" t="s">
        <v>1501</v>
      </c>
      <c r="BM829" t="s">
        <v>1505</v>
      </c>
      <c r="BN829" t="s">
        <v>1503</v>
      </c>
      <c r="BO829">
        <v>35</v>
      </c>
      <c r="HK829" t="s">
        <v>1506</v>
      </c>
      <c r="HL829" t="s">
        <v>526</v>
      </c>
      <c r="HM829" t="s">
        <v>1507</v>
      </c>
      <c r="HO829" t="s">
        <v>480</v>
      </c>
      <c r="HP829">
        <v>12</v>
      </c>
      <c r="HQ829" t="s">
        <v>1508</v>
      </c>
      <c r="HS829" t="s">
        <v>1509</v>
      </c>
      <c r="HT829" s="50">
        <v>40192</v>
      </c>
      <c r="HU829" s="50"/>
      <c r="IO829" t="s">
        <v>1535</v>
      </c>
      <c r="IP829" s="46" t="s">
        <v>1510</v>
      </c>
      <c r="IS829">
        <v>2009</v>
      </c>
      <c r="IT829" t="s">
        <v>1511</v>
      </c>
      <c r="IU829" s="4" t="s">
        <v>1186</v>
      </c>
      <c r="JK829" t="s">
        <v>494</v>
      </c>
      <c r="JL829" t="s">
        <v>1512</v>
      </c>
      <c r="JM829" t="s">
        <v>1536</v>
      </c>
      <c r="JN829" t="s">
        <v>497</v>
      </c>
      <c r="JO829" t="s">
        <v>1567</v>
      </c>
      <c r="JP829" t="s">
        <v>508</v>
      </c>
      <c r="JQ829">
        <v>44</v>
      </c>
      <c r="JR829">
        <v>13</v>
      </c>
      <c r="JS829">
        <f>23+59+59+16</f>
        <v>157</v>
      </c>
      <c r="KE829" t="s">
        <v>1538</v>
      </c>
      <c r="KF829" t="s">
        <v>1001</v>
      </c>
      <c r="KG829" t="s">
        <v>1515</v>
      </c>
      <c r="KH829">
        <v>6</v>
      </c>
      <c r="KI829" t="s">
        <v>1516</v>
      </c>
      <c r="KJ829" t="s">
        <v>501</v>
      </c>
      <c r="KK829" s="8" t="s">
        <v>1539</v>
      </c>
      <c r="KL829" t="s">
        <v>1540</v>
      </c>
      <c r="KM829">
        <v>0.99</v>
      </c>
      <c r="KN829" t="s">
        <v>545</v>
      </c>
      <c r="KO829" t="s">
        <v>1568</v>
      </c>
      <c r="KP829" t="s">
        <v>1518</v>
      </c>
      <c r="KQ829">
        <v>0.7</v>
      </c>
      <c r="KV829" t="s">
        <v>1542</v>
      </c>
      <c r="KW829" t="s">
        <v>1520</v>
      </c>
      <c r="LC829" t="s">
        <v>508</v>
      </c>
      <c r="LD829">
        <v>2000</v>
      </c>
      <c r="LL829" t="s">
        <v>1521</v>
      </c>
      <c r="LM829" t="s">
        <v>1522</v>
      </c>
      <c r="LN829">
        <v>30</v>
      </c>
      <c r="LT829" t="s">
        <v>1543</v>
      </c>
      <c r="LU829" t="s">
        <v>1524</v>
      </c>
      <c r="LY829" t="s">
        <v>1269</v>
      </c>
      <c r="LZ829">
        <v>1481</v>
      </c>
      <c r="MA829" t="s">
        <v>1525</v>
      </c>
      <c r="MG829" t="s">
        <v>1526</v>
      </c>
      <c r="MI829" s="50">
        <v>40298</v>
      </c>
      <c r="MY829" t="s">
        <v>1527</v>
      </c>
      <c r="MZ829">
        <v>1435</v>
      </c>
      <c r="NA829" t="s">
        <v>1571</v>
      </c>
      <c r="NB829" s="2" t="s">
        <v>1529</v>
      </c>
      <c r="NC829" s="2" t="s">
        <v>1529</v>
      </c>
      <c r="ND829" s="2"/>
      <c r="NE829" s="2"/>
      <c r="NJ829" t="s">
        <v>1583</v>
      </c>
      <c r="NK829" t="s">
        <v>1584</v>
      </c>
      <c r="NL829" t="s">
        <v>515</v>
      </c>
      <c r="NM829" t="s">
        <v>516</v>
      </c>
      <c r="NU829" t="s">
        <v>1532</v>
      </c>
      <c r="NV829" t="s">
        <v>518</v>
      </c>
      <c r="NW829">
        <v>507</v>
      </c>
      <c r="NX829" t="s">
        <v>480</v>
      </c>
      <c r="OB829">
        <v>3</v>
      </c>
      <c r="OU829" t="s">
        <v>1582</v>
      </c>
      <c r="OV829" t="s">
        <v>518</v>
      </c>
      <c r="OX829">
        <v>2011</v>
      </c>
      <c r="OY829">
        <v>2012</v>
      </c>
      <c r="OZ829" t="s">
        <v>1511</v>
      </c>
      <c r="PA829" t="s">
        <v>1534</v>
      </c>
      <c r="PB829" t="s">
        <v>522</v>
      </c>
      <c r="PC829" s="50">
        <v>46136</v>
      </c>
      <c r="PD829" s="127"/>
    </row>
    <row r="830" spans="1:420" ht="15.75" thickBot="1">
      <c r="A830" t="s">
        <v>469</v>
      </c>
      <c r="B830" t="s">
        <v>1496</v>
      </c>
      <c r="C830" t="s">
        <v>1252</v>
      </c>
      <c r="D830" t="s">
        <v>950</v>
      </c>
      <c r="E830" s="81" t="s">
        <v>1497</v>
      </c>
      <c r="F830" s="80" t="s">
        <v>1179</v>
      </c>
      <c r="G830" t="s">
        <v>475</v>
      </c>
      <c r="H830" t="s">
        <v>1079</v>
      </c>
      <c r="I830">
        <v>23.983876843571402</v>
      </c>
      <c r="J830">
        <v>90.402873983888597</v>
      </c>
      <c r="K830">
        <v>250</v>
      </c>
      <c r="AV830" t="s">
        <v>1498</v>
      </c>
      <c r="AW830">
        <f t="shared" si="3"/>
        <v>1435</v>
      </c>
      <c r="AX830" t="s">
        <v>480</v>
      </c>
      <c r="AY830">
        <v>3</v>
      </c>
      <c r="AZ830" t="s">
        <v>1499</v>
      </c>
      <c r="BA830">
        <v>2009</v>
      </c>
      <c r="BB830">
        <v>2012</v>
      </c>
      <c r="BC830">
        <v>2009.2</v>
      </c>
      <c r="BD830" t="s">
        <v>1544</v>
      </c>
      <c r="BE830" t="s">
        <v>593</v>
      </c>
      <c r="BF830" t="s">
        <v>484</v>
      </c>
      <c r="BG830" t="s">
        <v>1501</v>
      </c>
      <c r="BH830" t="s">
        <v>1502</v>
      </c>
      <c r="BI830" t="s">
        <v>1503</v>
      </c>
      <c r="BJ830">
        <v>30</v>
      </c>
      <c r="BK830" t="s">
        <v>555</v>
      </c>
      <c r="BL830" t="s">
        <v>1501</v>
      </c>
      <c r="BM830" t="s">
        <v>1505</v>
      </c>
      <c r="BN830" t="s">
        <v>1503</v>
      </c>
      <c r="BO830">
        <v>19</v>
      </c>
      <c r="HK830" t="s">
        <v>1545</v>
      </c>
      <c r="HL830" t="s">
        <v>1546</v>
      </c>
      <c r="HM830" s="127" t="s">
        <v>480</v>
      </c>
      <c r="HN830" s="127" t="s">
        <v>480</v>
      </c>
      <c r="HO830" t="s">
        <v>480</v>
      </c>
      <c r="HP830">
        <v>4</v>
      </c>
      <c r="HQ830" t="s">
        <v>1547</v>
      </c>
      <c r="HS830" t="s">
        <v>1509</v>
      </c>
      <c r="HT830" s="50">
        <v>40192</v>
      </c>
      <c r="HU830" s="50"/>
      <c r="IO830" t="s">
        <v>1544</v>
      </c>
      <c r="IP830" s="46" t="s">
        <v>1510</v>
      </c>
      <c r="IS830">
        <v>2009</v>
      </c>
      <c r="IT830" t="s">
        <v>1511</v>
      </c>
      <c r="IU830" s="4" t="s">
        <v>1186</v>
      </c>
      <c r="JK830" t="s">
        <v>494</v>
      </c>
      <c r="JL830" t="s">
        <v>1512</v>
      </c>
      <c r="JM830" t="s">
        <v>1536</v>
      </c>
      <c r="JN830" t="s">
        <v>497</v>
      </c>
      <c r="JO830" t="s">
        <v>1567</v>
      </c>
      <c r="JP830" t="s">
        <v>508</v>
      </c>
      <c r="JQ830">
        <v>44</v>
      </c>
      <c r="JR830">
        <v>13</v>
      </c>
      <c r="JS830">
        <f>23+59+59+16</f>
        <v>157</v>
      </c>
      <c r="KE830" t="s">
        <v>1548</v>
      </c>
      <c r="KF830" t="s">
        <v>1001</v>
      </c>
      <c r="KG830" t="s">
        <v>1515</v>
      </c>
      <c r="KH830">
        <v>7</v>
      </c>
      <c r="KI830" t="s">
        <v>1516</v>
      </c>
      <c r="KJ830" t="s">
        <v>501</v>
      </c>
      <c r="KK830" s="8" t="s">
        <v>1539</v>
      </c>
      <c r="KL830" t="s">
        <v>1540</v>
      </c>
      <c r="KM830">
        <v>0.99</v>
      </c>
      <c r="KN830" t="s">
        <v>545</v>
      </c>
      <c r="KO830" t="s">
        <v>1568</v>
      </c>
      <c r="KP830" t="s">
        <v>1518</v>
      </c>
      <c r="KQ830">
        <v>0.7</v>
      </c>
      <c r="KV830" t="s">
        <v>1549</v>
      </c>
      <c r="KW830" t="s">
        <v>1520</v>
      </c>
      <c r="LC830" t="s">
        <v>508</v>
      </c>
      <c r="LD830">
        <v>1900</v>
      </c>
      <c r="LL830" t="s">
        <v>1521</v>
      </c>
      <c r="LM830" t="s">
        <v>1522</v>
      </c>
      <c r="LN830">
        <v>30</v>
      </c>
      <c r="LT830" t="s">
        <v>1550</v>
      </c>
      <c r="LU830" t="s">
        <v>1524</v>
      </c>
      <c r="LY830" t="s">
        <v>1269</v>
      </c>
      <c r="LZ830">
        <v>1530</v>
      </c>
      <c r="MA830" t="s">
        <v>1525</v>
      </c>
      <c r="MG830" t="s">
        <v>1526</v>
      </c>
      <c r="MI830" s="50">
        <v>40299</v>
      </c>
      <c r="MY830" t="s">
        <v>1527</v>
      </c>
      <c r="MZ830">
        <v>1435</v>
      </c>
      <c r="NA830" t="s">
        <v>1571</v>
      </c>
      <c r="NB830" s="2" t="s">
        <v>1529</v>
      </c>
      <c r="NC830" s="2" t="s">
        <v>1529</v>
      </c>
      <c r="ND830" s="2"/>
      <c r="NE830" s="2"/>
      <c r="NJ830" t="s">
        <v>1583</v>
      </c>
      <c r="NK830" t="s">
        <v>1584</v>
      </c>
      <c r="NL830" t="s">
        <v>515</v>
      </c>
      <c r="NM830" t="s">
        <v>516</v>
      </c>
      <c r="NU830" t="s">
        <v>536</v>
      </c>
      <c r="NV830" t="s">
        <v>518</v>
      </c>
      <c r="NW830">
        <v>658</v>
      </c>
      <c r="NX830" t="s">
        <v>480</v>
      </c>
      <c r="OB830">
        <v>3</v>
      </c>
      <c r="OU830" t="s">
        <v>1582</v>
      </c>
      <c r="OV830" t="s">
        <v>518</v>
      </c>
      <c r="OX830">
        <v>2011</v>
      </c>
      <c r="OY830">
        <v>2012</v>
      </c>
      <c r="OZ830" t="s">
        <v>1511</v>
      </c>
      <c r="PA830" t="s">
        <v>1534</v>
      </c>
      <c r="PB830" t="s">
        <v>522</v>
      </c>
      <c r="PC830" s="50">
        <v>46136</v>
      </c>
      <c r="PD830" s="127"/>
    </row>
    <row r="831" spans="1:420" ht="15.75" thickBot="1">
      <c r="A831" t="s">
        <v>469</v>
      </c>
      <c r="B831" t="s">
        <v>1496</v>
      </c>
      <c r="C831" t="s">
        <v>1252</v>
      </c>
      <c r="D831" t="s">
        <v>950</v>
      </c>
      <c r="E831" s="81" t="s">
        <v>1497</v>
      </c>
      <c r="F831" s="80" t="s">
        <v>1179</v>
      </c>
      <c r="G831" t="s">
        <v>475</v>
      </c>
      <c r="H831" t="s">
        <v>1079</v>
      </c>
      <c r="I831">
        <v>23.983876843571402</v>
      </c>
      <c r="J831">
        <v>90.402873983888597</v>
      </c>
      <c r="K831">
        <v>250</v>
      </c>
      <c r="AV831" t="s">
        <v>1498</v>
      </c>
      <c r="AW831">
        <f t="shared" si="3"/>
        <v>1435</v>
      </c>
      <c r="AX831" t="s">
        <v>480</v>
      </c>
      <c r="AY831">
        <v>3</v>
      </c>
      <c r="AZ831" t="s">
        <v>1499</v>
      </c>
      <c r="BA831">
        <v>2009</v>
      </c>
      <c r="BB831">
        <v>2012</v>
      </c>
      <c r="BC831">
        <v>2009.2</v>
      </c>
      <c r="BD831" t="s">
        <v>1551</v>
      </c>
      <c r="BE831" t="s">
        <v>536</v>
      </c>
      <c r="BF831" t="s">
        <v>484</v>
      </c>
      <c r="BG831" t="s">
        <v>1278</v>
      </c>
      <c r="BH831" t="s">
        <v>1552</v>
      </c>
      <c r="BI831" t="s">
        <v>1503</v>
      </c>
      <c r="BJ831">
        <v>1614</v>
      </c>
      <c r="BK831" t="s">
        <v>555</v>
      </c>
      <c r="BL831" t="s">
        <v>485</v>
      </c>
      <c r="BM831" t="s">
        <v>1553</v>
      </c>
      <c r="BN831" t="s">
        <v>1503</v>
      </c>
      <c r="BO831">
        <v>20</v>
      </c>
      <c r="BP831" t="s">
        <v>555</v>
      </c>
      <c r="BQ831" t="s">
        <v>1290</v>
      </c>
      <c r="BR831" t="s">
        <v>1554</v>
      </c>
      <c r="BS831" t="s">
        <v>1503</v>
      </c>
      <c r="BT831">
        <v>30</v>
      </c>
      <c r="BU831" t="s">
        <v>555</v>
      </c>
      <c r="BV831" t="s">
        <v>1501</v>
      </c>
      <c r="BW831" t="s">
        <v>1555</v>
      </c>
      <c r="BX831" t="s">
        <v>1503</v>
      </c>
      <c r="BY831">
        <v>35</v>
      </c>
      <c r="BZ831" t="s">
        <v>555</v>
      </c>
      <c r="CA831" t="s">
        <v>1501</v>
      </c>
      <c r="CB831" t="s">
        <v>1556</v>
      </c>
      <c r="CC831" t="s">
        <v>1503</v>
      </c>
      <c r="CD831">
        <v>19</v>
      </c>
      <c r="HK831" t="s">
        <v>1557</v>
      </c>
      <c r="HL831" t="s">
        <v>1546</v>
      </c>
      <c r="HM831" s="127" t="s">
        <v>480</v>
      </c>
      <c r="HN831" s="127" t="s">
        <v>480</v>
      </c>
      <c r="HO831" t="s">
        <v>480</v>
      </c>
      <c r="HP831">
        <v>9</v>
      </c>
      <c r="HQ831" t="s">
        <v>1558</v>
      </c>
      <c r="HS831" t="s">
        <v>1509</v>
      </c>
      <c r="HT831" s="50">
        <v>40153</v>
      </c>
      <c r="IO831" t="s">
        <v>1551</v>
      </c>
      <c r="IP831" t="s">
        <v>1559</v>
      </c>
      <c r="IS831">
        <v>2009</v>
      </c>
      <c r="IT831" t="s">
        <v>1511</v>
      </c>
      <c r="IU831" s="4" t="s">
        <v>1186</v>
      </c>
      <c r="JK831" t="s">
        <v>494</v>
      </c>
      <c r="JL831" t="s">
        <v>1512</v>
      </c>
      <c r="JM831" t="s">
        <v>1560</v>
      </c>
      <c r="JN831" t="s">
        <v>961</v>
      </c>
      <c r="JO831" t="s">
        <v>1569</v>
      </c>
      <c r="JP831" t="s">
        <v>508</v>
      </c>
      <c r="JQ831">
        <v>58</v>
      </c>
      <c r="JR831">
        <v>32</v>
      </c>
      <c r="JS831">
        <v>127</v>
      </c>
      <c r="KE831" t="s">
        <v>1562</v>
      </c>
      <c r="KF831" t="s">
        <v>1001</v>
      </c>
      <c r="KG831" t="s">
        <v>1515</v>
      </c>
      <c r="KH831">
        <v>4</v>
      </c>
      <c r="KI831" t="s">
        <v>1516</v>
      </c>
      <c r="KJ831" t="s">
        <v>530</v>
      </c>
      <c r="KN831" t="s">
        <v>545</v>
      </c>
      <c r="KO831" t="s">
        <v>1563</v>
      </c>
      <c r="KP831" t="s">
        <v>1518</v>
      </c>
      <c r="KQ831">
        <f>1.6*2</f>
        <v>3.2</v>
      </c>
      <c r="KR831" t="s">
        <v>545</v>
      </c>
      <c r="KS831" t="s">
        <v>1570</v>
      </c>
      <c r="KT831" t="s">
        <v>503</v>
      </c>
      <c r="KU831">
        <v>1.47</v>
      </c>
      <c r="KV831" t="s">
        <v>1564</v>
      </c>
      <c r="KW831" t="s">
        <v>1520</v>
      </c>
      <c r="LC831" t="s">
        <v>508</v>
      </c>
      <c r="LD831">
        <v>1600</v>
      </c>
      <c r="LL831" t="s">
        <v>1521</v>
      </c>
      <c r="LM831" t="s">
        <v>1522</v>
      </c>
      <c r="LN831">
        <v>30</v>
      </c>
      <c r="LT831" t="s">
        <v>1565</v>
      </c>
      <c r="LU831" t="s">
        <v>1524</v>
      </c>
      <c r="LY831" t="s">
        <v>1269</v>
      </c>
      <c r="LZ831">
        <v>805</v>
      </c>
      <c r="MA831" t="s">
        <v>1525</v>
      </c>
      <c r="MG831" t="s">
        <v>1566</v>
      </c>
      <c r="MI831" s="50">
        <v>40224</v>
      </c>
      <c r="MY831" t="s">
        <v>1527</v>
      </c>
      <c r="MZ831">
        <v>1435</v>
      </c>
      <c r="NA831" t="s">
        <v>1575</v>
      </c>
      <c r="NB831" s="2"/>
      <c r="NC831" s="2" t="s">
        <v>1529</v>
      </c>
      <c r="ND831" t="s">
        <v>1278</v>
      </c>
      <c r="NE831" s="2" t="s">
        <v>1290</v>
      </c>
      <c r="NJ831" t="s">
        <v>1583</v>
      </c>
      <c r="NK831" t="s">
        <v>1584</v>
      </c>
      <c r="NL831" t="s">
        <v>515</v>
      </c>
      <c r="NM831" t="s">
        <v>516</v>
      </c>
      <c r="NV831" t="s">
        <v>518</v>
      </c>
      <c r="NW831">
        <v>699</v>
      </c>
      <c r="NX831" t="s">
        <v>480</v>
      </c>
      <c r="OB831">
        <v>3</v>
      </c>
      <c r="OU831" t="s">
        <v>1582</v>
      </c>
      <c r="OV831" t="s">
        <v>518</v>
      </c>
      <c r="OX831">
        <v>2011</v>
      </c>
      <c r="OY831">
        <v>2012</v>
      </c>
      <c r="OZ831" t="s">
        <v>1511</v>
      </c>
      <c r="PA831" t="s">
        <v>1534</v>
      </c>
      <c r="PB831" t="s">
        <v>522</v>
      </c>
      <c r="PC831" s="50">
        <v>46136</v>
      </c>
      <c r="PD831" s="127"/>
    </row>
    <row r="832" spans="1:420" ht="15.75" thickBot="1">
      <c r="A832" t="s">
        <v>469</v>
      </c>
      <c r="B832" t="s">
        <v>1496</v>
      </c>
      <c r="C832" t="s">
        <v>1252</v>
      </c>
      <c r="D832" t="s">
        <v>950</v>
      </c>
      <c r="E832" s="81" t="s">
        <v>1497</v>
      </c>
      <c r="F832" s="80" t="s">
        <v>1179</v>
      </c>
      <c r="G832" t="s">
        <v>475</v>
      </c>
      <c r="H832" t="s">
        <v>1079</v>
      </c>
      <c r="I832">
        <v>23.983876843571402</v>
      </c>
      <c r="J832">
        <v>90.402873983888597</v>
      </c>
      <c r="K832">
        <v>250</v>
      </c>
      <c r="AV832" t="s">
        <v>1498</v>
      </c>
      <c r="AW832">
        <f t="shared" si="3"/>
        <v>1435</v>
      </c>
      <c r="AX832" t="s">
        <v>480</v>
      </c>
      <c r="AY832">
        <v>3</v>
      </c>
      <c r="AZ832" t="s">
        <v>1499</v>
      </c>
      <c r="BA832">
        <v>2009</v>
      </c>
      <c r="BB832">
        <v>2012</v>
      </c>
      <c r="BC832">
        <v>2009.2</v>
      </c>
      <c r="BD832" t="s">
        <v>1500</v>
      </c>
      <c r="BE832" t="s">
        <v>524</v>
      </c>
      <c r="BF832" t="s">
        <v>484</v>
      </c>
      <c r="BG832" t="s">
        <v>1501</v>
      </c>
      <c r="BH832" t="s">
        <v>1502</v>
      </c>
      <c r="BI832" t="s">
        <v>1503</v>
      </c>
      <c r="BJ832">
        <v>45</v>
      </c>
      <c r="BK832" t="s">
        <v>555</v>
      </c>
      <c r="BL832" t="s">
        <v>1501</v>
      </c>
      <c r="BM832" t="s">
        <v>1504</v>
      </c>
      <c r="BN832" t="s">
        <v>1503</v>
      </c>
      <c r="BO832">
        <v>49</v>
      </c>
      <c r="BP832" t="s">
        <v>555</v>
      </c>
      <c r="BQ832" t="s">
        <v>1501</v>
      </c>
      <c r="BR832" t="s">
        <v>1505</v>
      </c>
      <c r="BS832" t="s">
        <v>1503</v>
      </c>
      <c r="BT832">
        <v>49</v>
      </c>
      <c r="HK832" t="s">
        <v>1506</v>
      </c>
      <c r="HL832" t="s">
        <v>526</v>
      </c>
      <c r="HM832" t="s">
        <v>1507</v>
      </c>
      <c r="HO832" t="s">
        <v>480</v>
      </c>
      <c r="HP832">
        <v>12</v>
      </c>
      <c r="HQ832" t="s">
        <v>1508</v>
      </c>
      <c r="HS832" t="s">
        <v>1509</v>
      </c>
      <c r="HT832" s="50">
        <v>40202</v>
      </c>
      <c r="HU832" s="50"/>
      <c r="IO832" t="s">
        <v>1500</v>
      </c>
      <c r="IP832" s="46" t="s">
        <v>1510</v>
      </c>
      <c r="IS832">
        <v>2009</v>
      </c>
      <c r="IT832" t="s">
        <v>1511</v>
      </c>
      <c r="IU832" s="4" t="s">
        <v>1186</v>
      </c>
      <c r="JK832" s="2" t="s">
        <v>494</v>
      </c>
      <c r="JL832" t="s">
        <v>495</v>
      </c>
      <c r="JM832" t="s">
        <v>1513</v>
      </c>
      <c r="JN832" t="s">
        <v>508</v>
      </c>
      <c r="JO832">
        <v>12</v>
      </c>
      <c r="JP832" t="s">
        <v>508</v>
      </c>
      <c r="JQ832">
        <v>155</v>
      </c>
      <c r="JR832">
        <v>18</v>
      </c>
      <c r="JS832">
        <v>32</v>
      </c>
      <c r="KE832" t="s">
        <v>1514</v>
      </c>
      <c r="KF832" t="s">
        <v>1001</v>
      </c>
      <c r="KG832" t="s">
        <v>1515</v>
      </c>
      <c r="KH832">
        <v>3</v>
      </c>
      <c r="KI832" t="s">
        <v>1516</v>
      </c>
      <c r="KJ832" t="s">
        <v>530</v>
      </c>
      <c r="KN832" t="s">
        <v>545</v>
      </c>
      <c r="KO832" s="8" t="s">
        <v>1517</v>
      </c>
      <c r="KP832" t="s">
        <v>1518</v>
      </c>
      <c r="KQ832">
        <v>0.5</v>
      </c>
      <c r="KV832" t="s">
        <v>1519</v>
      </c>
      <c r="KW832" t="s">
        <v>1520</v>
      </c>
      <c r="LC832" t="s">
        <v>508</v>
      </c>
      <c r="LD832">
        <v>1500</v>
      </c>
      <c r="LL832" t="s">
        <v>1521</v>
      </c>
      <c r="LM832" t="s">
        <v>1522</v>
      </c>
      <c r="LN832">
        <v>7.5</v>
      </c>
      <c r="LT832" t="s">
        <v>1523</v>
      </c>
      <c r="LU832" t="s">
        <v>1524</v>
      </c>
      <c r="LY832" t="s">
        <v>1269</v>
      </c>
      <c r="LZ832">
        <v>2084</v>
      </c>
      <c r="MA832" t="s">
        <v>1525</v>
      </c>
      <c r="MG832" t="s">
        <v>1526</v>
      </c>
      <c r="MI832" s="50">
        <v>40292</v>
      </c>
      <c r="MY832" t="s">
        <v>1527</v>
      </c>
      <c r="MZ832">
        <v>1435</v>
      </c>
      <c r="NA832" t="s">
        <v>1571</v>
      </c>
      <c r="NB832" s="2" t="s">
        <v>1529</v>
      </c>
      <c r="NC832" s="2" t="s">
        <v>1529</v>
      </c>
      <c r="ND832" s="2"/>
      <c r="NE832" s="2"/>
      <c r="NJ832" t="s">
        <v>1585</v>
      </c>
      <c r="NK832" t="s">
        <v>1586</v>
      </c>
      <c r="NL832" s="4" t="s">
        <v>1069</v>
      </c>
      <c r="NU832" t="s">
        <v>1532</v>
      </c>
      <c r="NV832" t="s">
        <v>518</v>
      </c>
      <c r="NW832">
        <v>1.2</v>
      </c>
      <c r="NX832" t="s">
        <v>480</v>
      </c>
      <c r="OB832">
        <v>3</v>
      </c>
      <c r="OU832" t="s">
        <v>1582</v>
      </c>
      <c r="OV832" t="s">
        <v>518</v>
      </c>
      <c r="OX832">
        <v>2009</v>
      </c>
      <c r="OY832">
        <v>2010</v>
      </c>
      <c r="OZ832" t="s">
        <v>1511</v>
      </c>
      <c r="PA832" t="s">
        <v>1534</v>
      </c>
      <c r="PB832" t="s">
        <v>522</v>
      </c>
      <c r="PC832" s="50">
        <v>46136</v>
      </c>
      <c r="PD832" s="127"/>
    </row>
    <row r="833" spans="1:420" ht="15.75" thickBot="1">
      <c r="A833" t="s">
        <v>469</v>
      </c>
      <c r="B833" t="s">
        <v>1496</v>
      </c>
      <c r="C833" t="s">
        <v>1252</v>
      </c>
      <c r="D833" t="s">
        <v>950</v>
      </c>
      <c r="E833" s="81" t="s">
        <v>1497</v>
      </c>
      <c r="F833" s="80" t="s">
        <v>1179</v>
      </c>
      <c r="G833" t="s">
        <v>475</v>
      </c>
      <c r="H833" t="s">
        <v>1079</v>
      </c>
      <c r="I833">
        <v>23.983876843571402</v>
      </c>
      <c r="J833">
        <v>90.402873983888597</v>
      </c>
      <c r="K833">
        <v>250</v>
      </c>
      <c r="AV833" t="s">
        <v>1498</v>
      </c>
      <c r="AW833">
        <f t="shared" si="3"/>
        <v>1435</v>
      </c>
      <c r="AX833" t="s">
        <v>480</v>
      </c>
      <c r="AY833">
        <v>3</v>
      </c>
      <c r="AZ833" t="s">
        <v>1499</v>
      </c>
      <c r="BA833">
        <v>2009</v>
      </c>
      <c r="BB833">
        <v>2012</v>
      </c>
      <c r="BC833">
        <v>2009.2</v>
      </c>
      <c r="BD833" t="s">
        <v>1535</v>
      </c>
      <c r="BE833" t="s">
        <v>483</v>
      </c>
      <c r="BF833" t="s">
        <v>484</v>
      </c>
      <c r="BG833" t="s">
        <v>1501</v>
      </c>
      <c r="BH833" t="s">
        <v>1502</v>
      </c>
      <c r="BI833" t="s">
        <v>1503</v>
      </c>
      <c r="BJ833">
        <v>30</v>
      </c>
      <c r="BK833" t="s">
        <v>555</v>
      </c>
      <c r="BL833" t="s">
        <v>1501</v>
      </c>
      <c r="BM833" t="s">
        <v>1505</v>
      </c>
      <c r="BN833" t="s">
        <v>1503</v>
      </c>
      <c r="BO833">
        <v>35</v>
      </c>
      <c r="HK833" t="s">
        <v>1506</v>
      </c>
      <c r="HL833" t="s">
        <v>526</v>
      </c>
      <c r="HM833" t="s">
        <v>1507</v>
      </c>
      <c r="HO833" t="s">
        <v>480</v>
      </c>
      <c r="HP833">
        <v>12</v>
      </c>
      <c r="HQ833" t="s">
        <v>1508</v>
      </c>
      <c r="HS833" t="s">
        <v>1509</v>
      </c>
      <c r="HT833" s="50">
        <v>40192</v>
      </c>
      <c r="HU833" s="50"/>
      <c r="IO833" t="s">
        <v>1535</v>
      </c>
      <c r="IP833" s="46" t="s">
        <v>1510</v>
      </c>
      <c r="IS833">
        <v>2009</v>
      </c>
      <c r="IT833" t="s">
        <v>1511</v>
      </c>
      <c r="IU833" s="4" t="s">
        <v>1186</v>
      </c>
      <c r="JK833" s="2" t="s">
        <v>494</v>
      </c>
      <c r="JL833" s="151" t="s">
        <v>1512</v>
      </c>
      <c r="JM833" s="140" t="s">
        <v>1536</v>
      </c>
      <c r="JN833" t="s">
        <v>497</v>
      </c>
      <c r="JO833" t="s">
        <v>1537</v>
      </c>
      <c r="JP833" t="s">
        <v>508</v>
      </c>
      <c r="JQ833">
        <f>45+50+45+20</f>
        <v>160</v>
      </c>
      <c r="JR833">
        <v>20</v>
      </c>
      <c r="JS833">
        <v>65</v>
      </c>
      <c r="KE833" t="s">
        <v>1538</v>
      </c>
      <c r="KF833" t="s">
        <v>1001</v>
      </c>
      <c r="KG833" t="s">
        <v>1515</v>
      </c>
      <c r="KH833">
        <v>6</v>
      </c>
      <c r="KI833" t="s">
        <v>1516</v>
      </c>
      <c r="KJ833" t="s">
        <v>501</v>
      </c>
      <c r="KK833" s="8" t="s">
        <v>1539</v>
      </c>
      <c r="KL833" t="s">
        <v>1540</v>
      </c>
      <c r="KM833">
        <v>0.99</v>
      </c>
      <c r="KN833" t="s">
        <v>545</v>
      </c>
      <c r="KO833" t="s">
        <v>1541</v>
      </c>
      <c r="KP833" t="s">
        <v>1518</v>
      </c>
      <c r="KQ833">
        <f>0.556*2</f>
        <v>1.1120000000000001</v>
      </c>
      <c r="KV833" t="s">
        <v>1542</v>
      </c>
      <c r="KW833" t="s">
        <v>1520</v>
      </c>
      <c r="LC833" t="s">
        <v>508</v>
      </c>
      <c r="LD833">
        <v>2200</v>
      </c>
      <c r="LL833" t="s">
        <v>1521</v>
      </c>
      <c r="LM833" t="s">
        <v>1522</v>
      </c>
      <c r="LN833">
        <v>30</v>
      </c>
      <c r="LT833" t="s">
        <v>1543</v>
      </c>
      <c r="LU833" t="s">
        <v>1524</v>
      </c>
      <c r="LY833" t="s">
        <v>1269</v>
      </c>
      <c r="LZ833">
        <v>1789</v>
      </c>
      <c r="MA833" t="s">
        <v>1525</v>
      </c>
      <c r="MG833" t="s">
        <v>1526</v>
      </c>
      <c r="MI833" s="50">
        <v>40298</v>
      </c>
      <c r="MY833" t="s">
        <v>1527</v>
      </c>
      <c r="MZ833">
        <v>1435</v>
      </c>
      <c r="NA833" t="s">
        <v>1571</v>
      </c>
      <c r="NB833" s="2" t="s">
        <v>1529</v>
      </c>
      <c r="NC833" s="2" t="s">
        <v>1529</v>
      </c>
      <c r="ND833" s="2"/>
      <c r="NE833" s="2"/>
      <c r="NJ833" t="s">
        <v>1585</v>
      </c>
      <c r="NK833" t="s">
        <v>1586</v>
      </c>
      <c r="NL833" s="4" t="s">
        <v>1069</v>
      </c>
      <c r="NU833" t="s">
        <v>1532</v>
      </c>
      <c r="NV833" t="s">
        <v>518</v>
      </c>
      <c r="NW833">
        <v>1.5</v>
      </c>
      <c r="NX833" t="s">
        <v>480</v>
      </c>
      <c r="OB833">
        <v>3</v>
      </c>
      <c r="OU833" t="s">
        <v>1582</v>
      </c>
      <c r="OV833" t="s">
        <v>518</v>
      </c>
      <c r="OX833">
        <v>2009</v>
      </c>
      <c r="OY833">
        <v>2010</v>
      </c>
      <c r="OZ833" t="s">
        <v>1511</v>
      </c>
      <c r="PA833" t="s">
        <v>1534</v>
      </c>
      <c r="PB833" t="s">
        <v>522</v>
      </c>
      <c r="PC833" s="50">
        <v>46136</v>
      </c>
      <c r="PD833" s="127"/>
    </row>
    <row r="834" spans="1:420" ht="15.75" thickBot="1">
      <c r="A834" t="s">
        <v>469</v>
      </c>
      <c r="B834" t="s">
        <v>1496</v>
      </c>
      <c r="C834" t="s">
        <v>1252</v>
      </c>
      <c r="D834" t="s">
        <v>950</v>
      </c>
      <c r="E834" s="81" t="s">
        <v>1497</v>
      </c>
      <c r="F834" s="80" t="s">
        <v>1179</v>
      </c>
      <c r="G834" t="s">
        <v>475</v>
      </c>
      <c r="H834" t="s">
        <v>1079</v>
      </c>
      <c r="I834">
        <v>23.983876843571402</v>
      </c>
      <c r="J834">
        <v>90.402873983888597</v>
      </c>
      <c r="K834">
        <v>250</v>
      </c>
      <c r="AV834" t="s">
        <v>1498</v>
      </c>
      <c r="AW834">
        <f t="shared" si="3"/>
        <v>1435</v>
      </c>
      <c r="AX834" t="s">
        <v>480</v>
      </c>
      <c r="AY834">
        <v>3</v>
      </c>
      <c r="AZ834" t="s">
        <v>1499</v>
      </c>
      <c r="BA834">
        <v>2009</v>
      </c>
      <c r="BB834">
        <v>2012</v>
      </c>
      <c r="BC834">
        <v>2009.2</v>
      </c>
      <c r="BD834" t="s">
        <v>1544</v>
      </c>
      <c r="BE834" t="s">
        <v>593</v>
      </c>
      <c r="BF834" t="s">
        <v>484</v>
      </c>
      <c r="BG834" t="s">
        <v>1501</v>
      </c>
      <c r="BH834" t="s">
        <v>1502</v>
      </c>
      <c r="BI834" t="s">
        <v>1503</v>
      </c>
      <c r="BJ834">
        <v>30</v>
      </c>
      <c r="BK834" t="s">
        <v>555</v>
      </c>
      <c r="BL834" t="s">
        <v>1501</v>
      </c>
      <c r="BM834" t="s">
        <v>1505</v>
      </c>
      <c r="BN834" t="s">
        <v>1503</v>
      </c>
      <c r="BO834">
        <v>19</v>
      </c>
      <c r="HK834" t="s">
        <v>1545</v>
      </c>
      <c r="HL834" t="s">
        <v>1546</v>
      </c>
      <c r="HM834" s="127" t="s">
        <v>480</v>
      </c>
      <c r="HN834" s="127" t="s">
        <v>480</v>
      </c>
      <c r="HO834" t="s">
        <v>480</v>
      </c>
      <c r="HP834">
        <v>4</v>
      </c>
      <c r="HQ834" t="s">
        <v>1547</v>
      </c>
      <c r="HS834" t="s">
        <v>1509</v>
      </c>
      <c r="HT834" s="50">
        <v>40192</v>
      </c>
      <c r="HU834" s="50"/>
      <c r="IO834" t="s">
        <v>1544</v>
      </c>
      <c r="IP834" s="46" t="s">
        <v>1510</v>
      </c>
      <c r="IS834">
        <v>2009</v>
      </c>
      <c r="IT834" t="s">
        <v>1511</v>
      </c>
      <c r="IU834" s="4" t="s">
        <v>1186</v>
      </c>
      <c r="JK834" s="2" t="s">
        <v>494</v>
      </c>
      <c r="JL834" t="s">
        <v>1512</v>
      </c>
      <c r="JM834" t="s">
        <v>1536</v>
      </c>
      <c r="JN834" t="s">
        <v>497</v>
      </c>
      <c r="JO834" t="s">
        <v>1537</v>
      </c>
      <c r="JP834" t="s">
        <v>508</v>
      </c>
      <c r="JQ834">
        <f>45+50+45+20</f>
        <v>160</v>
      </c>
      <c r="JR834">
        <v>20</v>
      </c>
      <c r="JS834">
        <v>65</v>
      </c>
      <c r="KE834" t="s">
        <v>1548</v>
      </c>
      <c r="KF834" t="s">
        <v>1001</v>
      </c>
      <c r="KG834" t="s">
        <v>1515</v>
      </c>
      <c r="KH834">
        <v>7</v>
      </c>
      <c r="KI834" t="s">
        <v>1516</v>
      </c>
      <c r="KJ834" t="s">
        <v>501</v>
      </c>
      <c r="KK834" s="8" t="s">
        <v>1539</v>
      </c>
      <c r="KL834" t="s">
        <v>1540</v>
      </c>
      <c r="KM834">
        <v>0.99</v>
      </c>
      <c r="KN834" t="s">
        <v>545</v>
      </c>
      <c r="KO834" t="s">
        <v>1541</v>
      </c>
      <c r="KP834" t="s">
        <v>1518</v>
      </c>
      <c r="KQ834">
        <f>0.556*2</f>
        <v>1.1120000000000001</v>
      </c>
      <c r="KV834" t="s">
        <v>1549</v>
      </c>
      <c r="KW834" t="s">
        <v>1520</v>
      </c>
      <c r="LC834" t="s">
        <v>508</v>
      </c>
      <c r="LD834">
        <v>2600</v>
      </c>
      <c r="LL834" t="s">
        <v>1521</v>
      </c>
      <c r="LM834" t="s">
        <v>1522</v>
      </c>
      <c r="LN834">
        <v>30</v>
      </c>
      <c r="LT834" t="s">
        <v>1550</v>
      </c>
      <c r="LU834" t="s">
        <v>1524</v>
      </c>
      <c r="LY834" t="s">
        <v>1269</v>
      </c>
      <c r="LZ834">
        <v>1898</v>
      </c>
      <c r="MA834" t="s">
        <v>1525</v>
      </c>
      <c r="MG834" t="s">
        <v>1526</v>
      </c>
      <c r="MI834" s="50">
        <v>40299</v>
      </c>
      <c r="MY834" t="s">
        <v>1527</v>
      </c>
      <c r="MZ834">
        <v>1435</v>
      </c>
      <c r="NA834" t="s">
        <v>1571</v>
      </c>
      <c r="NB834" s="2" t="s">
        <v>1529</v>
      </c>
      <c r="NC834" s="2" t="s">
        <v>1529</v>
      </c>
      <c r="ND834" s="2"/>
      <c r="NE834" s="2"/>
      <c r="NJ834" t="s">
        <v>1585</v>
      </c>
      <c r="NK834" t="s">
        <v>1586</v>
      </c>
      <c r="NL834" s="4" t="s">
        <v>1069</v>
      </c>
      <c r="NU834" t="s">
        <v>536</v>
      </c>
      <c r="NV834" t="s">
        <v>518</v>
      </c>
      <c r="NW834">
        <v>1.5</v>
      </c>
      <c r="NX834" t="s">
        <v>480</v>
      </c>
      <c r="OB834">
        <v>3</v>
      </c>
      <c r="OU834" t="s">
        <v>1582</v>
      </c>
      <c r="OV834" t="s">
        <v>518</v>
      </c>
      <c r="OX834">
        <v>2009</v>
      </c>
      <c r="OY834">
        <v>2010</v>
      </c>
      <c r="OZ834" t="s">
        <v>1511</v>
      </c>
      <c r="PA834" t="s">
        <v>1534</v>
      </c>
      <c r="PB834" t="s">
        <v>522</v>
      </c>
      <c r="PC834" s="50">
        <v>46136</v>
      </c>
      <c r="PD834" s="127"/>
    </row>
    <row r="835" spans="1:420" ht="15.75" thickBot="1">
      <c r="A835" t="s">
        <v>469</v>
      </c>
      <c r="B835" t="s">
        <v>1496</v>
      </c>
      <c r="C835" t="s">
        <v>1252</v>
      </c>
      <c r="D835" t="s">
        <v>950</v>
      </c>
      <c r="E835" s="81" t="s">
        <v>1497</v>
      </c>
      <c r="F835" s="80" t="s">
        <v>1179</v>
      </c>
      <c r="G835" t="s">
        <v>475</v>
      </c>
      <c r="H835" t="s">
        <v>1079</v>
      </c>
      <c r="I835">
        <v>23.983876843571402</v>
      </c>
      <c r="J835">
        <v>90.402873983888597</v>
      </c>
      <c r="K835">
        <v>250</v>
      </c>
      <c r="AV835" t="s">
        <v>1498</v>
      </c>
      <c r="AW835">
        <f t="shared" si="3"/>
        <v>1435</v>
      </c>
      <c r="AX835" t="s">
        <v>480</v>
      </c>
      <c r="AY835">
        <v>3</v>
      </c>
      <c r="AZ835" t="s">
        <v>1499</v>
      </c>
      <c r="BA835">
        <v>2009</v>
      </c>
      <c r="BB835">
        <v>2012</v>
      </c>
      <c r="BC835">
        <v>2009.2</v>
      </c>
      <c r="BD835" t="s">
        <v>1551</v>
      </c>
      <c r="BE835" t="s">
        <v>536</v>
      </c>
      <c r="BF835" t="s">
        <v>484</v>
      </c>
      <c r="BG835" t="s">
        <v>1278</v>
      </c>
      <c r="BH835" t="s">
        <v>1552</v>
      </c>
      <c r="BI835" t="s">
        <v>1503</v>
      </c>
      <c r="BJ835">
        <v>1614</v>
      </c>
      <c r="BK835" t="s">
        <v>555</v>
      </c>
      <c r="BL835" t="s">
        <v>485</v>
      </c>
      <c r="BM835" t="s">
        <v>1553</v>
      </c>
      <c r="BN835" t="s">
        <v>1503</v>
      </c>
      <c r="BO835">
        <v>20</v>
      </c>
      <c r="BP835" t="s">
        <v>555</v>
      </c>
      <c r="BQ835" t="s">
        <v>1290</v>
      </c>
      <c r="BR835" t="s">
        <v>1554</v>
      </c>
      <c r="BS835" t="s">
        <v>1503</v>
      </c>
      <c r="BT835">
        <v>30</v>
      </c>
      <c r="BU835" t="s">
        <v>555</v>
      </c>
      <c r="BV835" t="s">
        <v>1501</v>
      </c>
      <c r="BW835" t="s">
        <v>1555</v>
      </c>
      <c r="BX835" t="s">
        <v>1503</v>
      </c>
      <c r="BY835">
        <v>35</v>
      </c>
      <c r="BZ835" t="s">
        <v>555</v>
      </c>
      <c r="CA835" t="s">
        <v>1501</v>
      </c>
      <c r="CB835" t="s">
        <v>1556</v>
      </c>
      <c r="CC835" t="s">
        <v>1503</v>
      </c>
      <c r="CD835">
        <v>19</v>
      </c>
      <c r="HK835" t="s">
        <v>1557</v>
      </c>
      <c r="HL835" t="s">
        <v>1546</v>
      </c>
      <c r="HM835" s="127" t="s">
        <v>480</v>
      </c>
      <c r="HN835" s="127" t="s">
        <v>480</v>
      </c>
      <c r="HO835" t="s">
        <v>480</v>
      </c>
      <c r="HP835">
        <v>9</v>
      </c>
      <c r="HQ835" t="s">
        <v>1558</v>
      </c>
      <c r="HS835" t="s">
        <v>1509</v>
      </c>
      <c r="HT835" s="50">
        <v>40153</v>
      </c>
      <c r="IO835" t="s">
        <v>1551</v>
      </c>
      <c r="IP835" t="s">
        <v>1559</v>
      </c>
      <c r="IS835">
        <v>2009</v>
      </c>
      <c r="IT835" t="s">
        <v>1511</v>
      </c>
      <c r="IU835" s="4" t="s">
        <v>1186</v>
      </c>
      <c r="JK835" s="2" t="s">
        <v>494</v>
      </c>
      <c r="JL835" t="s">
        <v>1512</v>
      </c>
      <c r="JM835" t="s">
        <v>1560</v>
      </c>
      <c r="JN835" t="s">
        <v>961</v>
      </c>
      <c r="JO835" t="s">
        <v>1561</v>
      </c>
      <c r="JP835" t="s">
        <v>508</v>
      </c>
      <c r="JQ835">
        <f>80+80+38+38</f>
        <v>236</v>
      </c>
      <c r="JR835">
        <v>54</v>
      </c>
      <c r="JS835">
        <v>185</v>
      </c>
      <c r="KE835" t="s">
        <v>1562</v>
      </c>
      <c r="KF835" t="s">
        <v>1001</v>
      </c>
      <c r="KG835" t="s">
        <v>1515</v>
      </c>
      <c r="KH835">
        <v>4</v>
      </c>
      <c r="KI835" t="s">
        <v>1516</v>
      </c>
      <c r="KJ835" t="s">
        <v>530</v>
      </c>
      <c r="KN835" t="s">
        <v>545</v>
      </c>
      <c r="KO835" t="s">
        <v>1563</v>
      </c>
      <c r="KP835" t="s">
        <v>1518</v>
      </c>
      <c r="KQ835">
        <f>1.6*2</f>
        <v>3.2</v>
      </c>
      <c r="KV835" t="s">
        <v>1564</v>
      </c>
      <c r="KW835" t="s">
        <v>1520</v>
      </c>
      <c r="LC835" t="s">
        <v>508</v>
      </c>
      <c r="LD835">
        <v>4600</v>
      </c>
      <c r="LL835" t="s">
        <v>1521</v>
      </c>
      <c r="LM835" t="s">
        <v>1522</v>
      </c>
      <c r="LN835">
        <v>30</v>
      </c>
      <c r="LT835" t="s">
        <v>1565</v>
      </c>
      <c r="LU835" t="s">
        <v>1524</v>
      </c>
      <c r="LY835" t="s">
        <v>1269</v>
      </c>
      <c r="LZ835">
        <v>1426</v>
      </c>
      <c r="MA835" t="s">
        <v>1525</v>
      </c>
      <c r="MG835" t="s">
        <v>1566</v>
      </c>
      <c r="MI835" s="50">
        <v>40224</v>
      </c>
      <c r="MY835" t="s">
        <v>1527</v>
      </c>
      <c r="MZ835">
        <v>1435</v>
      </c>
      <c r="NA835" t="s">
        <v>1575</v>
      </c>
      <c r="NB835" s="2"/>
      <c r="NC835" s="2" t="s">
        <v>1529</v>
      </c>
      <c r="ND835" t="s">
        <v>1278</v>
      </c>
      <c r="NE835" s="2" t="s">
        <v>548</v>
      </c>
      <c r="NJ835" t="s">
        <v>1585</v>
      </c>
      <c r="NK835" t="s">
        <v>1586</v>
      </c>
      <c r="NL835" s="4" t="s">
        <v>1069</v>
      </c>
      <c r="NV835" t="s">
        <v>518</v>
      </c>
      <c r="NW835">
        <v>1.4</v>
      </c>
      <c r="NX835" t="s">
        <v>480</v>
      </c>
      <c r="OB835">
        <v>3</v>
      </c>
      <c r="OU835" t="s">
        <v>1582</v>
      </c>
      <c r="OV835" t="s">
        <v>518</v>
      </c>
      <c r="OX835">
        <v>2009</v>
      </c>
      <c r="OY835">
        <v>2010</v>
      </c>
      <c r="OZ835" t="s">
        <v>1511</v>
      </c>
      <c r="PA835" t="s">
        <v>1534</v>
      </c>
      <c r="PB835" t="s">
        <v>522</v>
      </c>
      <c r="PC835" s="50">
        <v>46136</v>
      </c>
      <c r="PD835" s="127"/>
    </row>
    <row r="836" spans="1:420" ht="15.75" thickBot="1">
      <c r="A836" t="s">
        <v>469</v>
      </c>
      <c r="B836" t="s">
        <v>1496</v>
      </c>
      <c r="C836" t="s">
        <v>1252</v>
      </c>
      <c r="D836" t="s">
        <v>950</v>
      </c>
      <c r="E836" s="81" t="s">
        <v>1497</v>
      </c>
      <c r="F836" s="80" t="s">
        <v>1179</v>
      </c>
      <c r="G836" t="s">
        <v>475</v>
      </c>
      <c r="H836" t="s">
        <v>1079</v>
      </c>
      <c r="I836">
        <v>23.983876843571402</v>
      </c>
      <c r="J836">
        <v>90.402873983888597</v>
      </c>
      <c r="K836">
        <v>250</v>
      </c>
      <c r="AV836" t="s">
        <v>1498</v>
      </c>
      <c r="AW836">
        <f t="shared" ref="AW836:AW855" si="6">35*41</f>
        <v>1435</v>
      </c>
      <c r="AX836" t="s">
        <v>480</v>
      </c>
      <c r="AY836">
        <v>3</v>
      </c>
      <c r="AZ836" t="s">
        <v>1499</v>
      </c>
      <c r="BA836">
        <v>2009</v>
      </c>
      <c r="BB836">
        <v>2012</v>
      </c>
      <c r="BC836">
        <v>2009.2</v>
      </c>
      <c r="BD836" t="s">
        <v>1500</v>
      </c>
      <c r="BE836" t="s">
        <v>524</v>
      </c>
      <c r="BF836" t="s">
        <v>484</v>
      </c>
      <c r="BG836" t="s">
        <v>1501</v>
      </c>
      <c r="BH836" t="s">
        <v>1502</v>
      </c>
      <c r="BI836" t="s">
        <v>1503</v>
      </c>
      <c r="BJ836">
        <v>45</v>
      </c>
      <c r="BK836" t="s">
        <v>555</v>
      </c>
      <c r="BL836" t="s">
        <v>1501</v>
      </c>
      <c r="BM836" t="s">
        <v>1504</v>
      </c>
      <c r="BN836" t="s">
        <v>1503</v>
      </c>
      <c r="BO836">
        <v>49</v>
      </c>
      <c r="BP836" t="s">
        <v>555</v>
      </c>
      <c r="BQ836" t="s">
        <v>1501</v>
      </c>
      <c r="BR836" t="s">
        <v>1505</v>
      </c>
      <c r="BS836" t="s">
        <v>1503</v>
      </c>
      <c r="BT836">
        <v>49</v>
      </c>
      <c r="HK836" t="s">
        <v>1506</v>
      </c>
      <c r="HL836" t="s">
        <v>526</v>
      </c>
      <c r="HM836" t="s">
        <v>1507</v>
      </c>
      <c r="HO836" t="s">
        <v>480</v>
      </c>
      <c r="HP836">
        <v>12</v>
      </c>
      <c r="HQ836" t="s">
        <v>1508</v>
      </c>
      <c r="HS836" t="s">
        <v>1509</v>
      </c>
      <c r="HT836" s="50">
        <v>40202</v>
      </c>
      <c r="HU836" s="50"/>
      <c r="IO836" t="s">
        <v>1500</v>
      </c>
      <c r="IP836" s="46" t="s">
        <v>1510</v>
      </c>
      <c r="IS836">
        <v>2009</v>
      </c>
      <c r="IT836" t="s">
        <v>1511</v>
      </c>
      <c r="IU836" s="4" t="s">
        <v>1186</v>
      </c>
      <c r="JK836" t="s">
        <v>494</v>
      </c>
      <c r="JL836" t="s">
        <v>1512</v>
      </c>
      <c r="JM836" t="s">
        <v>1513</v>
      </c>
      <c r="JN836" t="s">
        <v>508</v>
      </c>
      <c r="JO836">
        <v>12</v>
      </c>
      <c r="JP836" t="s">
        <v>508</v>
      </c>
      <c r="JQ836">
        <f>51+69+35</f>
        <v>155</v>
      </c>
      <c r="JR836">
        <v>18</v>
      </c>
      <c r="JS836">
        <v>32</v>
      </c>
      <c r="KE836" t="s">
        <v>1514</v>
      </c>
      <c r="KF836" t="s">
        <v>1001</v>
      </c>
      <c r="KG836" t="s">
        <v>1515</v>
      </c>
      <c r="KH836">
        <v>3</v>
      </c>
      <c r="KI836" t="s">
        <v>1516</v>
      </c>
      <c r="KJ836" t="s">
        <v>530</v>
      </c>
      <c r="KN836" t="s">
        <v>545</v>
      </c>
      <c r="KO836" s="8" t="s">
        <v>1517</v>
      </c>
      <c r="KP836" t="s">
        <v>1518</v>
      </c>
      <c r="KQ836">
        <v>0.5</v>
      </c>
      <c r="KV836" t="s">
        <v>1519</v>
      </c>
      <c r="KW836" t="s">
        <v>1520</v>
      </c>
      <c r="LC836" t="s">
        <v>508</v>
      </c>
      <c r="LD836">
        <v>0</v>
      </c>
      <c r="LL836" t="s">
        <v>1521</v>
      </c>
      <c r="LM836" t="s">
        <v>1522</v>
      </c>
      <c r="LN836">
        <v>7.5</v>
      </c>
      <c r="LT836" t="s">
        <v>1523</v>
      </c>
      <c r="LU836" t="s">
        <v>1524</v>
      </c>
      <c r="LY836" t="s">
        <v>1269</v>
      </c>
      <c r="LZ836">
        <v>2172</v>
      </c>
      <c r="MA836" t="s">
        <v>1525</v>
      </c>
      <c r="MG836" t="s">
        <v>1526</v>
      </c>
      <c r="MI836" s="50">
        <v>40292</v>
      </c>
      <c r="MY836" t="s">
        <v>1527</v>
      </c>
      <c r="MZ836">
        <v>1435</v>
      </c>
      <c r="NA836" t="s">
        <v>1571</v>
      </c>
      <c r="NB836" s="2" t="s">
        <v>1529</v>
      </c>
      <c r="NC836" s="2" t="s">
        <v>1529</v>
      </c>
      <c r="ND836" s="2"/>
      <c r="NE836" s="2"/>
      <c r="NJ836" t="s">
        <v>1585</v>
      </c>
      <c r="NK836" t="s">
        <v>1586</v>
      </c>
      <c r="NL836" s="4" t="s">
        <v>1069</v>
      </c>
      <c r="NU836" t="s">
        <v>1532</v>
      </c>
      <c r="NV836" t="s">
        <v>518</v>
      </c>
      <c r="NW836">
        <v>1.2</v>
      </c>
      <c r="NX836" t="s">
        <v>480</v>
      </c>
      <c r="OB836">
        <v>3</v>
      </c>
      <c r="OU836" t="s">
        <v>1582</v>
      </c>
      <c r="OV836" t="s">
        <v>518</v>
      </c>
      <c r="OX836">
        <v>2010</v>
      </c>
      <c r="OY836">
        <v>2011</v>
      </c>
      <c r="OZ836" t="s">
        <v>1511</v>
      </c>
      <c r="PA836" t="s">
        <v>1534</v>
      </c>
      <c r="PB836" t="s">
        <v>522</v>
      </c>
      <c r="PC836" s="50">
        <v>46136</v>
      </c>
      <c r="PD836" s="127"/>
    </row>
    <row r="837" spans="1:420" ht="15.75" thickBot="1">
      <c r="A837" t="s">
        <v>469</v>
      </c>
      <c r="B837" t="s">
        <v>1496</v>
      </c>
      <c r="C837" t="s">
        <v>1252</v>
      </c>
      <c r="D837" t="s">
        <v>950</v>
      </c>
      <c r="E837" s="81" t="s">
        <v>1497</v>
      </c>
      <c r="F837" s="80" t="s">
        <v>1179</v>
      </c>
      <c r="G837" t="s">
        <v>475</v>
      </c>
      <c r="H837" t="s">
        <v>1079</v>
      </c>
      <c r="I837">
        <v>23.983876843571402</v>
      </c>
      <c r="J837">
        <v>90.402873983888597</v>
      </c>
      <c r="K837">
        <v>250</v>
      </c>
      <c r="AV837" t="s">
        <v>1498</v>
      </c>
      <c r="AW837">
        <f t="shared" si="6"/>
        <v>1435</v>
      </c>
      <c r="AX837" t="s">
        <v>480</v>
      </c>
      <c r="AY837">
        <v>3</v>
      </c>
      <c r="AZ837" t="s">
        <v>1499</v>
      </c>
      <c r="BA837">
        <v>2009</v>
      </c>
      <c r="BB837">
        <v>2012</v>
      </c>
      <c r="BC837">
        <v>2009.2</v>
      </c>
      <c r="BD837" t="s">
        <v>1535</v>
      </c>
      <c r="BE837" t="s">
        <v>483</v>
      </c>
      <c r="BF837" t="s">
        <v>484</v>
      </c>
      <c r="BG837" t="s">
        <v>1501</v>
      </c>
      <c r="BH837" t="s">
        <v>1502</v>
      </c>
      <c r="BI837" t="s">
        <v>1503</v>
      </c>
      <c r="BJ837">
        <v>30</v>
      </c>
      <c r="BK837" t="s">
        <v>555</v>
      </c>
      <c r="BL837" t="s">
        <v>1501</v>
      </c>
      <c r="BM837" t="s">
        <v>1505</v>
      </c>
      <c r="BN837" t="s">
        <v>1503</v>
      </c>
      <c r="BO837">
        <v>35</v>
      </c>
      <c r="HK837" t="s">
        <v>1506</v>
      </c>
      <c r="HL837" t="s">
        <v>526</v>
      </c>
      <c r="HM837" t="s">
        <v>1507</v>
      </c>
      <c r="HO837" t="s">
        <v>480</v>
      </c>
      <c r="HP837">
        <v>12</v>
      </c>
      <c r="HQ837" t="s">
        <v>1508</v>
      </c>
      <c r="HS837" t="s">
        <v>1509</v>
      </c>
      <c r="HT837" s="50">
        <v>40192</v>
      </c>
      <c r="HU837" s="50"/>
      <c r="IO837" t="s">
        <v>1535</v>
      </c>
      <c r="IP837" s="46" t="s">
        <v>1510</v>
      </c>
      <c r="IS837">
        <v>2009</v>
      </c>
      <c r="IT837" t="s">
        <v>1511</v>
      </c>
      <c r="IU837" s="4" t="s">
        <v>1186</v>
      </c>
      <c r="JK837" t="s">
        <v>494</v>
      </c>
      <c r="JL837" t="s">
        <v>1512</v>
      </c>
      <c r="JM837" t="s">
        <v>1536</v>
      </c>
      <c r="JN837" t="s">
        <v>497</v>
      </c>
      <c r="JO837" t="s">
        <v>1567</v>
      </c>
      <c r="JP837" t="s">
        <v>508</v>
      </c>
      <c r="JQ837">
        <f>42+63+65+16</f>
        <v>186</v>
      </c>
      <c r="JR837">
        <v>13</v>
      </c>
      <c r="JS837">
        <v>23</v>
      </c>
      <c r="KE837" t="s">
        <v>1538</v>
      </c>
      <c r="KF837" t="s">
        <v>1001</v>
      </c>
      <c r="KG837" t="s">
        <v>1515</v>
      </c>
      <c r="KH837">
        <v>6</v>
      </c>
      <c r="KI837" t="s">
        <v>1516</v>
      </c>
      <c r="KJ837" t="s">
        <v>501</v>
      </c>
      <c r="KK837" s="8" t="s">
        <v>1539</v>
      </c>
      <c r="KL837" t="s">
        <v>1540</v>
      </c>
      <c r="KM837">
        <v>0.99</v>
      </c>
      <c r="KN837" t="s">
        <v>545</v>
      </c>
      <c r="KO837" t="s">
        <v>1568</v>
      </c>
      <c r="KP837" t="s">
        <v>1518</v>
      </c>
      <c r="KQ837">
        <f t="shared" ref="KQ837:KQ838" si="7">0.7*2</f>
        <v>1.4</v>
      </c>
      <c r="KV837" t="s">
        <v>1542</v>
      </c>
      <c r="KW837" t="s">
        <v>1520</v>
      </c>
      <c r="LC837" t="s">
        <v>508</v>
      </c>
      <c r="LD837">
        <v>1600</v>
      </c>
      <c r="LL837" t="s">
        <v>1521</v>
      </c>
      <c r="LM837" t="s">
        <v>1522</v>
      </c>
      <c r="LN837">
        <v>30</v>
      </c>
      <c r="LT837" t="s">
        <v>1543</v>
      </c>
      <c r="LU837" t="s">
        <v>1524</v>
      </c>
      <c r="LY837" t="s">
        <v>1269</v>
      </c>
      <c r="LZ837">
        <v>1946</v>
      </c>
      <c r="MA837" t="s">
        <v>1525</v>
      </c>
      <c r="MG837" t="s">
        <v>1526</v>
      </c>
      <c r="MI837" s="50">
        <v>40298</v>
      </c>
      <c r="MY837" t="s">
        <v>1527</v>
      </c>
      <c r="MZ837">
        <v>1435</v>
      </c>
      <c r="NA837" t="s">
        <v>1571</v>
      </c>
      <c r="NB837" s="2" t="s">
        <v>1529</v>
      </c>
      <c r="NC837" s="2" t="s">
        <v>1529</v>
      </c>
      <c r="ND837" s="2"/>
      <c r="NE837" s="2"/>
      <c r="NJ837" t="s">
        <v>1585</v>
      </c>
      <c r="NK837" t="s">
        <v>1586</v>
      </c>
      <c r="NL837" s="4" t="s">
        <v>1069</v>
      </c>
      <c r="NU837" t="s">
        <v>1532</v>
      </c>
      <c r="NV837" t="s">
        <v>518</v>
      </c>
      <c r="NW837">
        <v>1.5</v>
      </c>
      <c r="NX837" t="s">
        <v>480</v>
      </c>
      <c r="OB837">
        <v>3</v>
      </c>
      <c r="OU837" t="s">
        <v>1582</v>
      </c>
      <c r="OV837" t="s">
        <v>518</v>
      </c>
      <c r="OX837">
        <v>2010</v>
      </c>
      <c r="OY837">
        <v>2011</v>
      </c>
      <c r="OZ837" t="s">
        <v>1511</v>
      </c>
      <c r="PA837" t="s">
        <v>1534</v>
      </c>
      <c r="PB837" t="s">
        <v>522</v>
      </c>
      <c r="PC837" s="50">
        <v>46136</v>
      </c>
      <c r="PD837" s="127"/>
    </row>
    <row r="838" spans="1:420" ht="15.75" thickBot="1">
      <c r="A838" t="s">
        <v>469</v>
      </c>
      <c r="B838" t="s">
        <v>1496</v>
      </c>
      <c r="C838" t="s">
        <v>1252</v>
      </c>
      <c r="D838" t="s">
        <v>950</v>
      </c>
      <c r="E838" s="81" t="s">
        <v>1497</v>
      </c>
      <c r="F838" s="80" t="s">
        <v>1179</v>
      </c>
      <c r="G838" t="s">
        <v>475</v>
      </c>
      <c r="H838" t="s">
        <v>1079</v>
      </c>
      <c r="I838">
        <v>23.983876843571402</v>
      </c>
      <c r="J838">
        <v>90.402873983888597</v>
      </c>
      <c r="K838">
        <v>250</v>
      </c>
      <c r="AV838" t="s">
        <v>1498</v>
      </c>
      <c r="AW838">
        <f t="shared" si="6"/>
        <v>1435</v>
      </c>
      <c r="AX838" t="s">
        <v>480</v>
      </c>
      <c r="AY838">
        <v>3</v>
      </c>
      <c r="AZ838" t="s">
        <v>1499</v>
      </c>
      <c r="BA838">
        <v>2009</v>
      </c>
      <c r="BB838">
        <v>2012</v>
      </c>
      <c r="BC838">
        <v>2009.2</v>
      </c>
      <c r="BD838" t="s">
        <v>1544</v>
      </c>
      <c r="BE838" t="s">
        <v>593</v>
      </c>
      <c r="BF838" t="s">
        <v>484</v>
      </c>
      <c r="BG838" t="s">
        <v>1501</v>
      </c>
      <c r="BH838" t="s">
        <v>1502</v>
      </c>
      <c r="BI838" t="s">
        <v>1503</v>
      </c>
      <c r="BJ838">
        <v>30</v>
      </c>
      <c r="BK838" t="s">
        <v>555</v>
      </c>
      <c r="BL838" t="s">
        <v>1501</v>
      </c>
      <c r="BM838" t="s">
        <v>1505</v>
      </c>
      <c r="BN838" t="s">
        <v>1503</v>
      </c>
      <c r="BO838">
        <v>19</v>
      </c>
      <c r="HK838" t="s">
        <v>1545</v>
      </c>
      <c r="HL838" t="s">
        <v>1546</v>
      </c>
      <c r="HM838" s="127" t="s">
        <v>480</v>
      </c>
      <c r="HN838" s="127" t="s">
        <v>480</v>
      </c>
      <c r="HO838" t="s">
        <v>480</v>
      </c>
      <c r="HP838">
        <v>4</v>
      </c>
      <c r="HQ838" t="s">
        <v>1547</v>
      </c>
      <c r="HS838" t="s">
        <v>1509</v>
      </c>
      <c r="HT838" s="50">
        <v>40192</v>
      </c>
      <c r="HU838" s="50"/>
      <c r="IO838" t="s">
        <v>1544</v>
      </c>
      <c r="IP838" s="46" t="s">
        <v>1510</v>
      </c>
      <c r="IS838">
        <v>2009</v>
      </c>
      <c r="IT838" t="s">
        <v>1511</v>
      </c>
      <c r="IU838" s="4" t="s">
        <v>1186</v>
      </c>
      <c r="JK838" t="s">
        <v>494</v>
      </c>
      <c r="JL838" t="s">
        <v>1512</v>
      </c>
      <c r="JM838" t="s">
        <v>1536</v>
      </c>
      <c r="JN838" t="s">
        <v>497</v>
      </c>
      <c r="JO838" t="s">
        <v>1567</v>
      </c>
      <c r="JP838" t="s">
        <v>508</v>
      </c>
      <c r="JQ838">
        <f>42+63+65+16</f>
        <v>186</v>
      </c>
      <c r="JR838">
        <v>13</v>
      </c>
      <c r="JS838">
        <v>23</v>
      </c>
      <c r="KE838" t="s">
        <v>1548</v>
      </c>
      <c r="KF838" t="s">
        <v>1001</v>
      </c>
      <c r="KG838" t="s">
        <v>1515</v>
      </c>
      <c r="KH838">
        <v>7</v>
      </c>
      <c r="KI838" t="s">
        <v>1516</v>
      </c>
      <c r="KJ838" t="s">
        <v>501</v>
      </c>
      <c r="KK838" s="8" t="s">
        <v>1539</v>
      </c>
      <c r="KL838" t="s">
        <v>1540</v>
      </c>
      <c r="KM838">
        <v>0.99</v>
      </c>
      <c r="KN838" t="s">
        <v>545</v>
      </c>
      <c r="KO838" t="s">
        <v>1568</v>
      </c>
      <c r="KP838" t="s">
        <v>1518</v>
      </c>
      <c r="KQ838">
        <f t="shared" si="7"/>
        <v>1.4</v>
      </c>
      <c r="KV838" t="s">
        <v>1549</v>
      </c>
      <c r="KW838" t="s">
        <v>1520</v>
      </c>
      <c r="LC838" t="s">
        <v>508</v>
      </c>
      <c r="LD838">
        <v>1400</v>
      </c>
      <c r="LL838" t="s">
        <v>1521</v>
      </c>
      <c r="LM838" t="s">
        <v>1522</v>
      </c>
      <c r="LN838">
        <v>30</v>
      </c>
      <c r="LT838" t="s">
        <v>1550</v>
      </c>
      <c r="LU838" t="s">
        <v>1524</v>
      </c>
      <c r="LY838" t="s">
        <v>1269</v>
      </c>
      <c r="LZ838">
        <v>2001</v>
      </c>
      <c r="MA838" t="s">
        <v>1525</v>
      </c>
      <c r="MG838" t="s">
        <v>1526</v>
      </c>
      <c r="MI838" s="50">
        <v>40299</v>
      </c>
      <c r="MY838" t="s">
        <v>1527</v>
      </c>
      <c r="MZ838">
        <v>1435</v>
      </c>
      <c r="NA838" t="s">
        <v>1571</v>
      </c>
      <c r="NB838" s="2" t="s">
        <v>1529</v>
      </c>
      <c r="NC838" s="2" t="s">
        <v>1529</v>
      </c>
      <c r="ND838" s="2"/>
      <c r="NE838" s="2"/>
      <c r="NJ838" t="s">
        <v>1585</v>
      </c>
      <c r="NK838" t="s">
        <v>1586</v>
      </c>
      <c r="NL838" s="4" t="s">
        <v>1069</v>
      </c>
      <c r="NU838" t="s">
        <v>536</v>
      </c>
      <c r="NV838" t="s">
        <v>518</v>
      </c>
      <c r="NW838">
        <v>1.6</v>
      </c>
      <c r="NX838" t="s">
        <v>480</v>
      </c>
      <c r="OB838">
        <v>3</v>
      </c>
      <c r="OU838" t="s">
        <v>1582</v>
      </c>
      <c r="OV838" t="s">
        <v>518</v>
      </c>
      <c r="OX838">
        <v>2010</v>
      </c>
      <c r="OY838">
        <v>2011</v>
      </c>
      <c r="OZ838" t="s">
        <v>1511</v>
      </c>
      <c r="PA838" t="s">
        <v>1534</v>
      </c>
      <c r="PB838" t="s">
        <v>522</v>
      </c>
      <c r="PC838" s="50">
        <v>46136</v>
      </c>
      <c r="PD838" s="127"/>
    </row>
    <row r="839" spans="1:420" ht="15.75" thickBot="1">
      <c r="A839" t="s">
        <v>469</v>
      </c>
      <c r="B839" t="s">
        <v>1496</v>
      </c>
      <c r="C839" t="s">
        <v>1252</v>
      </c>
      <c r="D839" t="s">
        <v>950</v>
      </c>
      <c r="E839" s="81" t="s">
        <v>1497</v>
      </c>
      <c r="F839" s="80" t="s">
        <v>1179</v>
      </c>
      <c r="G839" t="s">
        <v>475</v>
      </c>
      <c r="H839" t="s">
        <v>1079</v>
      </c>
      <c r="I839">
        <v>23.983876843571402</v>
      </c>
      <c r="J839">
        <v>90.402873983888597</v>
      </c>
      <c r="K839">
        <v>250</v>
      </c>
      <c r="AV839" t="s">
        <v>1498</v>
      </c>
      <c r="AW839">
        <f t="shared" si="6"/>
        <v>1435</v>
      </c>
      <c r="AX839" t="s">
        <v>480</v>
      </c>
      <c r="AY839">
        <v>3</v>
      </c>
      <c r="AZ839" t="s">
        <v>1499</v>
      </c>
      <c r="BA839">
        <v>2009</v>
      </c>
      <c r="BB839">
        <v>2012</v>
      </c>
      <c r="BC839">
        <v>2009.2</v>
      </c>
      <c r="BD839" t="s">
        <v>1551</v>
      </c>
      <c r="BE839" t="s">
        <v>536</v>
      </c>
      <c r="BF839" t="s">
        <v>484</v>
      </c>
      <c r="BG839" t="s">
        <v>1278</v>
      </c>
      <c r="BH839" t="s">
        <v>1552</v>
      </c>
      <c r="BI839" t="s">
        <v>1503</v>
      </c>
      <c r="BJ839">
        <v>1614</v>
      </c>
      <c r="BK839" t="s">
        <v>555</v>
      </c>
      <c r="BL839" t="s">
        <v>485</v>
      </c>
      <c r="BM839" t="s">
        <v>1553</v>
      </c>
      <c r="BN839" t="s">
        <v>1503</v>
      </c>
      <c r="BO839">
        <v>20</v>
      </c>
      <c r="BP839" t="s">
        <v>555</v>
      </c>
      <c r="BQ839" t="s">
        <v>1290</v>
      </c>
      <c r="BR839" t="s">
        <v>1554</v>
      </c>
      <c r="BS839" t="s">
        <v>1503</v>
      </c>
      <c r="BT839">
        <v>30</v>
      </c>
      <c r="BU839" t="s">
        <v>555</v>
      </c>
      <c r="BV839" t="s">
        <v>1501</v>
      </c>
      <c r="BW839" t="s">
        <v>1555</v>
      </c>
      <c r="BX839" t="s">
        <v>1503</v>
      </c>
      <c r="BY839">
        <v>35</v>
      </c>
      <c r="BZ839" t="s">
        <v>555</v>
      </c>
      <c r="CA839" t="s">
        <v>1501</v>
      </c>
      <c r="CB839" t="s">
        <v>1556</v>
      </c>
      <c r="CC839" t="s">
        <v>1503</v>
      </c>
      <c r="CD839">
        <v>19</v>
      </c>
      <c r="HK839" t="s">
        <v>1557</v>
      </c>
      <c r="HL839" t="s">
        <v>1546</v>
      </c>
      <c r="HM839" s="127" t="s">
        <v>480</v>
      </c>
      <c r="HN839" s="127" t="s">
        <v>480</v>
      </c>
      <c r="HO839" t="s">
        <v>480</v>
      </c>
      <c r="HP839">
        <v>9</v>
      </c>
      <c r="HQ839" t="s">
        <v>1558</v>
      </c>
      <c r="HS839" t="s">
        <v>1509</v>
      </c>
      <c r="HT839" s="50">
        <v>40153</v>
      </c>
      <c r="IO839" t="s">
        <v>1551</v>
      </c>
      <c r="IP839" t="s">
        <v>1559</v>
      </c>
      <c r="IS839">
        <v>2009</v>
      </c>
      <c r="IT839" t="s">
        <v>1511</v>
      </c>
      <c r="IU839" s="4" t="s">
        <v>1186</v>
      </c>
      <c r="JK839" t="s">
        <v>494</v>
      </c>
      <c r="JL839" t="s">
        <v>1512</v>
      </c>
      <c r="JM839" t="s">
        <v>1560</v>
      </c>
      <c r="JN839" t="s">
        <v>961</v>
      </c>
      <c r="JO839" t="s">
        <v>1561</v>
      </c>
      <c r="JP839" t="s">
        <v>508</v>
      </c>
      <c r="JQ839">
        <f>80+80+38+38</f>
        <v>236</v>
      </c>
      <c r="JR839">
        <v>54</v>
      </c>
      <c r="JS839">
        <v>185</v>
      </c>
      <c r="KE839" t="s">
        <v>1562</v>
      </c>
      <c r="KF839" t="s">
        <v>1001</v>
      </c>
      <c r="KG839" t="s">
        <v>1515</v>
      </c>
      <c r="KH839">
        <v>4</v>
      </c>
      <c r="KI839" t="s">
        <v>1516</v>
      </c>
      <c r="KJ839" t="s">
        <v>530</v>
      </c>
      <c r="KN839" t="s">
        <v>545</v>
      </c>
      <c r="KO839" t="s">
        <v>1563</v>
      </c>
      <c r="KP839" s="8" t="s">
        <v>1518</v>
      </c>
      <c r="KQ839">
        <v>1.6</v>
      </c>
      <c r="KS839" s="8"/>
      <c r="KV839" t="s">
        <v>1564</v>
      </c>
      <c r="KW839" t="s">
        <v>1520</v>
      </c>
      <c r="LC839" t="s">
        <v>508</v>
      </c>
      <c r="LD839">
        <v>1600</v>
      </c>
      <c r="LL839" t="s">
        <v>1521</v>
      </c>
      <c r="LM839" t="s">
        <v>1522</v>
      </c>
      <c r="LN839">
        <v>30</v>
      </c>
      <c r="LT839" t="s">
        <v>1565</v>
      </c>
      <c r="LU839" t="s">
        <v>1524</v>
      </c>
      <c r="LY839" t="s">
        <v>1269</v>
      </c>
      <c r="LZ839">
        <v>1186</v>
      </c>
      <c r="MA839" t="s">
        <v>1525</v>
      </c>
      <c r="MG839" t="s">
        <v>1566</v>
      </c>
      <c r="MI839" s="50">
        <v>40224</v>
      </c>
      <c r="MY839" t="s">
        <v>1527</v>
      </c>
      <c r="MZ839">
        <v>1435</v>
      </c>
      <c r="NA839" t="s">
        <v>1575</v>
      </c>
      <c r="NB839" s="2"/>
      <c r="NC839" s="2" t="s">
        <v>1529</v>
      </c>
      <c r="ND839" s="2"/>
      <c r="NE839" s="2"/>
      <c r="NJ839" t="s">
        <v>1585</v>
      </c>
      <c r="NK839" t="s">
        <v>1586</v>
      </c>
      <c r="NL839" s="4" t="s">
        <v>1069</v>
      </c>
      <c r="NV839" t="s">
        <v>518</v>
      </c>
      <c r="NW839">
        <v>1.2</v>
      </c>
      <c r="NX839" t="s">
        <v>480</v>
      </c>
      <c r="OB839">
        <v>3</v>
      </c>
      <c r="OU839" t="s">
        <v>1582</v>
      </c>
      <c r="OV839" t="s">
        <v>518</v>
      </c>
      <c r="OX839">
        <v>2010</v>
      </c>
      <c r="OY839">
        <v>2011</v>
      </c>
      <c r="OZ839" t="s">
        <v>1511</v>
      </c>
      <c r="PA839" t="s">
        <v>1534</v>
      </c>
      <c r="PB839" t="s">
        <v>522</v>
      </c>
      <c r="PC839" s="50">
        <v>46136</v>
      </c>
      <c r="PD839" s="127"/>
    </row>
    <row r="840" spans="1:420" ht="15.75" thickBot="1">
      <c r="A840" t="s">
        <v>469</v>
      </c>
      <c r="B840" t="s">
        <v>1496</v>
      </c>
      <c r="C840" t="s">
        <v>1252</v>
      </c>
      <c r="D840" t="s">
        <v>950</v>
      </c>
      <c r="E840" s="81" t="s">
        <v>1497</v>
      </c>
      <c r="F840" s="80" t="s">
        <v>1179</v>
      </c>
      <c r="G840" t="s">
        <v>475</v>
      </c>
      <c r="H840" t="s">
        <v>1079</v>
      </c>
      <c r="I840">
        <v>23.983876843571402</v>
      </c>
      <c r="J840">
        <v>90.402873983888597</v>
      </c>
      <c r="K840">
        <v>250</v>
      </c>
      <c r="AV840" t="s">
        <v>1498</v>
      </c>
      <c r="AW840">
        <f t="shared" si="6"/>
        <v>1435</v>
      </c>
      <c r="AX840" t="s">
        <v>480</v>
      </c>
      <c r="AY840">
        <v>3</v>
      </c>
      <c r="AZ840" t="s">
        <v>1499</v>
      </c>
      <c r="BA840">
        <v>2009</v>
      </c>
      <c r="BB840">
        <v>2012</v>
      </c>
      <c r="BC840">
        <v>2009.2</v>
      </c>
      <c r="BD840" t="s">
        <v>1500</v>
      </c>
      <c r="BE840" t="s">
        <v>524</v>
      </c>
      <c r="BF840" t="s">
        <v>484</v>
      </c>
      <c r="BG840" t="s">
        <v>1501</v>
      </c>
      <c r="BH840" t="s">
        <v>1502</v>
      </c>
      <c r="BI840" t="s">
        <v>1503</v>
      </c>
      <c r="BJ840">
        <v>45</v>
      </c>
      <c r="BK840" t="s">
        <v>555</v>
      </c>
      <c r="BL840" t="s">
        <v>1501</v>
      </c>
      <c r="BM840" t="s">
        <v>1504</v>
      </c>
      <c r="BN840" t="s">
        <v>1503</v>
      </c>
      <c r="BO840">
        <v>49</v>
      </c>
      <c r="BP840" t="s">
        <v>555</v>
      </c>
      <c r="BQ840" t="s">
        <v>1501</v>
      </c>
      <c r="BR840" t="s">
        <v>1505</v>
      </c>
      <c r="BS840" t="s">
        <v>1503</v>
      </c>
      <c r="BT840">
        <v>49</v>
      </c>
      <c r="HK840" t="s">
        <v>1506</v>
      </c>
      <c r="HL840" t="s">
        <v>526</v>
      </c>
      <c r="HM840" t="s">
        <v>1507</v>
      </c>
      <c r="HO840" t="s">
        <v>480</v>
      </c>
      <c r="HP840">
        <v>12</v>
      </c>
      <c r="HQ840" t="s">
        <v>1508</v>
      </c>
      <c r="HS840" t="s">
        <v>1509</v>
      </c>
      <c r="HT840" s="50">
        <v>40202</v>
      </c>
      <c r="HU840" s="50"/>
      <c r="IO840" t="s">
        <v>1500</v>
      </c>
      <c r="IP840" s="46" t="s">
        <v>1510</v>
      </c>
      <c r="IS840">
        <v>2009</v>
      </c>
      <c r="IT840" t="s">
        <v>1511</v>
      </c>
      <c r="IU840" s="4" t="s">
        <v>1186</v>
      </c>
      <c r="JK840" t="s">
        <v>494</v>
      </c>
      <c r="JL840" t="s">
        <v>1512</v>
      </c>
      <c r="JM840" t="s">
        <v>1513</v>
      </c>
      <c r="JN840" t="s">
        <v>508</v>
      </c>
      <c r="JO840">
        <v>12</v>
      </c>
      <c r="JP840" t="s">
        <v>508</v>
      </c>
      <c r="JQ840">
        <v>51</v>
      </c>
      <c r="JR840">
        <v>18</v>
      </c>
      <c r="JS840">
        <f>32+69+35</f>
        <v>136</v>
      </c>
      <c r="KE840" t="s">
        <v>1514</v>
      </c>
      <c r="KF840" t="s">
        <v>1001</v>
      </c>
      <c r="KG840" t="s">
        <v>1515</v>
      </c>
      <c r="KH840">
        <v>3</v>
      </c>
      <c r="KI840" t="s">
        <v>1516</v>
      </c>
      <c r="KJ840" t="s">
        <v>530</v>
      </c>
      <c r="KN840" t="s">
        <v>545</v>
      </c>
      <c r="KO840" t="s">
        <v>1568</v>
      </c>
      <c r="KP840" t="s">
        <v>1518</v>
      </c>
      <c r="KQ840">
        <v>0.7</v>
      </c>
      <c r="KV840" t="s">
        <v>1519</v>
      </c>
      <c r="KW840" t="s">
        <v>1520</v>
      </c>
      <c r="LC840" t="s">
        <v>508</v>
      </c>
      <c r="LD840">
        <v>1600</v>
      </c>
      <c r="LL840" t="s">
        <v>1521</v>
      </c>
      <c r="LM840" t="s">
        <v>1522</v>
      </c>
      <c r="LN840">
        <v>7.5</v>
      </c>
      <c r="LT840" t="s">
        <v>1523</v>
      </c>
      <c r="LU840" t="s">
        <v>1524</v>
      </c>
      <c r="LY840" t="s">
        <v>1269</v>
      </c>
      <c r="LZ840">
        <v>1450</v>
      </c>
      <c r="MA840" t="s">
        <v>1525</v>
      </c>
      <c r="MG840" t="s">
        <v>1526</v>
      </c>
      <c r="MI840" s="50">
        <v>40292</v>
      </c>
      <c r="MY840" t="s">
        <v>1527</v>
      </c>
      <c r="MZ840">
        <v>1435</v>
      </c>
      <c r="NA840" t="s">
        <v>1571</v>
      </c>
      <c r="NB840" s="2" t="s">
        <v>1529</v>
      </c>
      <c r="NC840" s="2" t="s">
        <v>1529</v>
      </c>
      <c r="ND840" s="2"/>
      <c r="NE840" s="2"/>
      <c r="NJ840" t="s">
        <v>1585</v>
      </c>
      <c r="NK840" t="s">
        <v>1586</v>
      </c>
      <c r="NL840" s="4" t="s">
        <v>1069</v>
      </c>
      <c r="NU840" t="s">
        <v>1532</v>
      </c>
      <c r="NV840" t="s">
        <v>518</v>
      </c>
      <c r="NW840">
        <v>1.2</v>
      </c>
      <c r="NX840" t="s">
        <v>480</v>
      </c>
      <c r="OB840">
        <v>3</v>
      </c>
      <c r="OU840" t="s">
        <v>1582</v>
      </c>
      <c r="OV840" t="s">
        <v>518</v>
      </c>
      <c r="OX840">
        <v>2011</v>
      </c>
      <c r="OY840">
        <v>2012</v>
      </c>
      <c r="OZ840" t="s">
        <v>1511</v>
      </c>
      <c r="PA840" t="s">
        <v>1534</v>
      </c>
      <c r="PB840" t="s">
        <v>522</v>
      </c>
      <c r="PC840" s="50">
        <v>46136</v>
      </c>
      <c r="PD840" s="127"/>
    </row>
    <row r="841" spans="1:420" ht="15.75" thickBot="1">
      <c r="A841" t="s">
        <v>469</v>
      </c>
      <c r="B841" t="s">
        <v>1496</v>
      </c>
      <c r="C841" t="s">
        <v>1252</v>
      </c>
      <c r="D841" t="s">
        <v>950</v>
      </c>
      <c r="E841" s="81" t="s">
        <v>1497</v>
      </c>
      <c r="F841" s="80" t="s">
        <v>1179</v>
      </c>
      <c r="G841" t="s">
        <v>475</v>
      </c>
      <c r="H841" t="s">
        <v>1079</v>
      </c>
      <c r="I841">
        <v>23.983876843571402</v>
      </c>
      <c r="J841">
        <v>90.402873983888597</v>
      </c>
      <c r="K841">
        <v>250</v>
      </c>
      <c r="AV841" t="s">
        <v>1498</v>
      </c>
      <c r="AW841">
        <f t="shared" si="6"/>
        <v>1435</v>
      </c>
      <c r="AX841" t="s">
        <v>480</v>
      </c>
      <c r="AY841">
        <v>3</v>
      </c>
      <c r="AZ841" t="s">
        <v>1499</v>
      </c>
      <c r="BA841">
        <v>2009</v>
      </c>
      <c r="BB841">
        <v>2012</v>
      </c>
      <c r="BC841">
        <v>2009.2</v>
      </c>
      <c r="BD841" t="s">
        <v>1535</v>
      </c>
      <c r="BE841" t="s">
        <v>483</v>
      </c>
      <c r="BF841" t="s">
        <v>484</v>
      </c>
      <c r="BG841" t="s">
        <v>1501</v>
      </c>
      <c r="BH841" t="s">
        <v>1502</v>
      </c>
      <c r="BI841" t="s">
        <v>1503</v>
      </c>
      <c r="BJ841">
        <v>30</v>
      </c>
      <c r="BK841" t="s">
        <v>555</v>
      </c>
      <c r="BL841" t="s">
        <v>1501</v>
      </c>
      <c r="BM841" t="s">
        <v>1505</v>
      </c>
      <c r="BN841" t="s">
        <v>1503</v>
      </c>
      <c r="BO841">
        <v>35</v>
      </c>
      <c r="HK841" t="s">
        <v>1506</v>
      </c>
      <c r="HL841" t="s">
        <v>526</v>
      </c>
      <c r="HM841" t="s">
        <v>1507</v>
      </c>
      <c r="HO841" t="s">
        <v>480</v>
      </c>
      <c r="HP841">
        <v>12</v>
      </c>
      <c r="HQ841" t="s">
        <v>1508</v>
      </c>
      <c r="HS841" t="s">
        <v>1509</v>
      </c>
      <c r="HT841" s="50">
        <v>40192</v>
      </c>
      <c r="HU841" s="50"/>
      <c r="IO841" t="s">
        <v>1535</v>
      </c>
      <c r="IP841" s="46" t="s">
        <v>1510</v>
      </c>
      <c r="IS841">
        <v>2009</v>
      </c>
      <c r="IT841" t="s">
        <v>1511</v>
      </c>
      <c r="IU841" s="4" t="s">
        <v>1186</v>
      </c>
      <c r="JK841" t="s">
        <v>494</v>
      </c>
      <c r="JL841" t="s">
        <v>1512</v>
      </c>
      <c r="JM841" t="s">
        <v>1536</v>
      </c>
      <c r="JN841" t="s">
        <v>497</v>
      </c>
      <c r="JO841" t="s">
        <v>1567</v>
      </c>
      <c r="JP841" t="s">
        <v>508</v>
      </c>
      <c r="JQ841">
        <v>44</v>
      </c>
      <c r="JR841">
        <v>13</v>
      </c>
      <c r="JS841">
        <f>23+59+59+16</f>
        <v>157</v>
      </c>
      <c r="KE841" t="s">
        <v>1538</v>
      </c>
      <c r="KF841" t="s">
        <v>1001</v>
      </c>
      <c r="KG841" t="s">
        <v>1515</v>
      </c>
      <c r="KH841">
        <v>6</v>
      </c>
      <c r="KI841" t="s">
        <v>1516</v>
      </c>
      <c r="KJ841" t="s">
        <v>501</v>
      </c>
      <c r="KK841" s="8" t="s">
        <v>1539</v>
      </c>
      <c r="KL841" t="s">
        <v>1540</v>
      </c>
      <c r="KM841">
        <v>0.99</v>
      </c>
      <c r="KN841" t="s">
        <v>545</v>
      </c>
      <c r="KO841" t="s">
        <v>1568</v>
      </c>
      <c r="KP841" t="s">
        <v>1518</v>
      </c>
      <c r="KQ841">
        <v>0.7</v>
      </c>
      <c r="KV841" t="s">
        <v>1542</v>
      </c>
      <c r="KW841" t="s">
        <v>1520</v>
      </c>
      <c r="LC841" t="s">
        <v>508</v>
      </c>
      <c r="LD841">
        <v>2000</v>
      </c>
      <c r="LL841" t="s">
        <v>1521</v>
      </c>
      <c r="LM841" t="s">
        <v>1522</v>
      </c>
      <c r="LN841">
        <v>30</v>
      </c>
      <c r="LT841" t="s">
        <v>1543</v>
      </c>
      <c r="LU841" t="s">
        <v>1524</v>
      </c>
      <c r="LY841" t="s">
        <v>1269</v>
      </c>
      <c r="LZ841">
        <v>1481</v>
      </c>
      <c r="MA841" t="s">
        <v>1525</v>
      </c>
      <c r="MG841" t="s">
        <v>1526</v>
      </c>
      <c r="MI841" s="50">
        <v>40298</v>
      </c>
      <c r="MY841" t="s">
        <v>1527</v>
      </c>
      <c r="MZ841">
        <v>1435</v>
      </c>
      <c r="NA841" t="s">
        <v>1571</v>
      </c>
      <c r="NB841" s="2" t="s">
        <v>1529</v>
      </c>
      <c r="NC841" s="2" t="s">
        <v>1529</v>
      </c>
      <c r="ND841" s="2"/>
      <c r="NE841" s="2"/>
      <c r="NJ841" t="s">
        <v>1585</v>
      </c>
      <c r="NK841" t="s">
        <v>1586</v>
      </c>
      <c r="NL841" s="4" t="s">
        <v>1069</v>
      </c>
      <c r="NU841" t="s">
        <v>1532</v>
      </c>
      <c r="NV841" t="s">
        <v>518</v>
      </c>
      <c r="NW841">
        <v>1.3</v>
      </c>
      <c r="NX841" t="s">
        <v>480</v>
      </c>
      <c r="OB841">
        <v>3</v>
      </c>
      <c r="OU841" t="s">
        <v>1582</v>
      </c>
      <c r="OV841" t="s">
        <v>518</v>
      </c>
      <c r="OX841">
        <v>2011</v>
      </c>
      <c r="OY841">
        <v>2012</v>
      </c>
      <c r="OZ841" t="s">
        <v>1511</v>
      </c>
      <c r="PA841" t="s">
        <v>1534</v>
      </c>
      <c r="PB841" t="s">
        <v>522</v>
      </c>
      <c r="PC841" s="50">
        <v>46136</v>
      </c>
      <c r="PD841" s="127"/>
    </row>
    <row r="842" spans="1:420" ht="15.75" thickBot="1">
      <c r="A842" t="s">
        <v>469</v>
      </c>
      <c r="B842" t="s">
        <v>1496</v>
      </c>
      <c r="C842" t="s">
        <v>1252</v>
      </c>
      <c r="D842" t="s">
        <v>950</v>
      </c>
      <c r="E842" s="81" t="s">
        <v>1497</v>
      </c>
      <c r="F842" s="80" t="s">
        <v>1179</v>
      </c>
      <c r="G842" t="s">
        <v>475</v>
      </c>
      <c r="H842" t="s">
        <v>1079</v>
      </c>
      <c r="I842">
        <v>23.983876843571402</v>
      </c>
      <c r="J842">
        <v>90.402873983888597</v>
      </c>
      <c r="K842">
        <v>250</v>
      </c>
      <c r="AV842" t="s">
        <v>1498</v>
      </c>
      <c r="AW842">
        <f t="shared" si="6"/>
        <v>1435</v>
      </c>
      <c r="AX842" t="s">
        <v>480</v>
      </c>
      <c r="AY842">
        <v>3</v>
      </c>
      <c r="AZ842" t="s">
        <v>1499</v>
      </c>
      <c r="BA842">
        <v>2009</v>
      </c>
      <c r="BB842">
        <v>2012</v>
      </c>
      <c r="BC842">
        <v>2009.2</v>
      </c>
      <c r="BD842" t="s">
        <v>1544</v>
      </c>
      <c r="BE842" t="s">
        <v>593</v>
      </c>
      <c r="BF842" t="s">
        <v>484</v>
      </c>
      <c r="BG842" t="s">
        <v>1501</v>
      </c>
      <c r="BH842" t="s">
        <v>1502</v>
      </c>
      <c r="BI842" t="s">
        <v>1503</v>
      </c>
      <c r="BJ842">
        <v>30</v>
      </c>
      <c r="BK842" t="s">
        <v>555</v>
      </c>
      <c r="BL842" t="s">
        <v>1501</v>
      </c>
      <c r="BM842" t="s">
        <v>1505</v>
      </c>
      <c r="BN842" t="s">
        <v>1503</v>
      </c>
      <c r="BO842">
        <v>19</v>
      </c>
      <c r="HK842" t="s">
        <v>1545</v>
      </c>
      <c r="HL842" t="s">
        <v>1546</v>
      </c>
      <c r="HM842" s="127" t="s">
        <v>480</v>
      </c>
      <c r="HN842" s="127" t="s">
        <v>480</v>
      </c>
      <c r="HO842" t="s">
        <v>480</v>
      </c>
      <c r="HP842">
        <v>4</v>
      </c>
      <c r="HQ842" t="s">
        <v>1547</v>
      </c>
      <c r="HS842" t="s">
        <v>1509</v>
      </c>
      <c r="HT842" s="50">
        <v>40192</v>
      </c>
      <c r="HU842" s="50"/>
      <c r="IO842" t="s">
        <v>1544</v>
      </c>
      <c r="IP842" s="46" t="s">
        <v>1510</v>
      </c>
      <c r="IS842">
        <v>2009</v>
      </c>
      <c r="IT842" t="s">
        <v>1511</v>
      </c>
      <c r="IU842" s="4" t="s">
        <v>1186</v>
      </c>
      <c r="JK842" t="s">
        <v>494</v>
      </c>
      <c r="JL842" t="s">
        <v>1512</v>
      </c>
      <c r="JM842" t="s">
        <v>1536</v>
      </c>
      <c r="JN842" t="s">
        <v>497</v>
      </c>
      <c r="JO842" t="s">
        <v>1567</v>
      </c>
      <c r="JP842" t="s">
        <v>508</v>
      </c>
      <c r="JQ842">
        <v>44</v>
      </c>
      <c r="JR842">
        <v>13</v>
      </c>
      <c r="JS842">
        <f>23+59+59+16</f>
        <v>157</v>
      </c>
      <c r="KE842" t="s">
        <v>1548</v>
      </c>
      <c r="KF842" t="s">
        <v>1001</v>
      </c>
      <c r="KG842" t="s">
        <v>1515</v>
      </c>
      <c r="KH842">
        <v>7</v>
      </c>
      <c r="KI842" t="s">
        <v>1516</v>
      </c>
      <c r="KJ842" t="s">
        <v>501</v>
      </c>
      <c r="KK842" s="8" t="s">
        <v>1539</v>
      </c>
      <c r="KL842" t="s">
        <v>1540</v>
      </c>
      <c r="KM842">
        <v>0.99</v>
      </c>
      <c r="KN842" t="s">
        <v>545</v>
      </c>
      <c r="KO842" t="s">
        <v>1568</v>
      </c>
      <c r="KP842" t="s">
        <v>1518</v>
      </c>
      <c r="KQ842">
        <v>0.7</v>
      </c>
      <c r="KV842" t="s">
        <v>1549</v>
      </c>
      <c r="KW842" t="s">
        <v>1520</v>
      </c>
      <c r="LC842" t="s">
        <v>508</v>
      </c>
      <c r="LD842">
        <v>1900</v>
      </c>
      <c r="LL842" t="s">
        <v>1521</v>
      </c>
      <c r="LM842" t="s">
        <v>1522</v>
      </c>
      <c r="LN842">
        <v>30</v>
      </c>
      <c r="LT842" t="s">
        <v>1550</v>
      </c>
      <c r="LU842" t="s">
        <v>1524</v>
      </c>
      <c r="LY842" t="s">
        <v>1269</v>
      </c>
      <c r="LZ842">
        <v>1530</v>
      </c>
      <c r="MA842" t="s">
        <v>1525</v>
      </c>
      <c r="MG842" t="s">
        <v>1526</v>
      </c>
      <c r="MI842" s="50">
        <v>40299</v>
      </c>
      <c r="MY842" t="s">
        <v>1527</v>
      </c>
      <c r="MZ842">
        <v>1435</v>
      </c>
      <c r="NA842" t="s">
        <v>1571</v>
      </c>
      <c r="NB842" s="2" t="s">
        <v>1529</v>
      </c>
      <c r="NC842" s="2" t="s">
        <v>1529</v>
      </c>
      <c r="ND842" s="2"/>
      <c r="NE842" s="2"/>
      <c r="NJ842" t="s">
        <v>1585</v>
      </c>
      <c r="NK842" t="s">
        <v>1586</v>
      </c>
      <c r="NL842" s="4" t="s">
        <v>1069</v>
      </c>
      <c r="NU842" t="s">
        <v>536</v>
      </c>
      <c r="NV842" t="s">
        <v>518</v>
      </c>
      <c r="NW842">
        <v>1.4</v>
      </c>
      <c r="NX842" t="s">
        <v>480</v>
      </c>
      <c r="OB842">
        <v>3</v>
      </c>
      <c r="OU842" t="s">
        <v>1582</v>
      </c>
      <c r="OV842" t="s">
        <v>518</v>
      </c>
      <c r="OX842">
        <v>2011</v>
      </c>
      <c r="OY842">
        <v>2012</v>
      </c>
      <c r="OZ842" t="s">
        <v>1511</v>
      </c>
      <c r="PA842" t="s">
        <v>1534</v>
      </c>
      <c r="PB842" t="s">
        <v>522</v>
      </c>
      <c r="PC842" s="50">
        <v>46136</v>
      </c>
      <c r="PD842" s="127"/>
    </row>
    <row r="843" spans="1:420" ht="15.75" thickBot="1">
      <c r="A843" t="s">
        <v>469</v>
      </c>
      <c r="B843" t="s">
        <v>1496</v>
      </c>
      <c r="C843" t="s">
        <v>1252</v>
      </c>
      <c r="D843" t="s">
        <v>950</v>
      </c>
      <c r="E843" s="81" t="s">
        <v>1497</v>
      </c>
      <c r="F843" s="80" t="s">
        <v>1179</v>
      </c>
      <c r="G843" t="s">
        <v>475</v>
      </c>
      <c r="H843" t="s">
        <v>1079</v>
      </c>
      <c r="I843">
        <v>23.983876843571402</v>
      </c>
      <c r="J843">
        <v>90.402873983888597</v>
      </c>
      <c r="K843">
        <v>250</v>
      </c>
      <c r="AV843" t="s">
        <v>1498</v>
      </c>
      <c r="AW843">
        <f t="shared" si="6"/>
        <v>1435</v>
      </c>
      <c r="AX843" t="s">
        <v>480</v>
      </c>
      <c r="AY843">
        <v>3</v>
      </c>
      <c r="AZ843" t="s">
        <v>1499</v>
      </c>
      <c r="BA843">
        <v>2009</v>
      </c>
      <c r="BB843">
        <v>2012</v>
      </c>
      <c r="BC843">
        <v>2009.2</v>
      </c>
      <c r="BD843" t="s">
        <v>1551</v>
      </c>
      <c r="BE843" t="s">
        <v>536</v>
      </c>
      <c r="BF843" t="s">
        <v>484</v>
      </c>
      <c r="BG843" t="s">
        <v>1278</v>
      </c>
      <c r="BH843" t="s">
        <v>1552</v>
      </c>
      <c r="BI843" t="s">
        <v>1503</v>
      </c>
      <c r="BJ843">
        <v>1614</v>
      </c>
      <c r="BK843" t="s">
        <v>555</v>
      </c>
      <c r="BL843" t="s">
        <v>485</v>
      </c>
      <c r="BM843" t="s">
        <v>1553</v>
      </c>
      <c r="BN843" t="s">
        <v>1503</v>
      </c>
      <c r="BO843">
        <v>20</v>
      </c>
      <c r="BP843" t="s">
        <v>555</v>
      </c>
      <c r="BQ843" t="s">
        <v>1290</v>
      </c>
      <c r="BR843" t="s">
        <v>1554</v>
      </c>
      <c r="BS843" t="s">
        <v>1503</v>
      </c>
      <c r="BT843">
        <v>30</v>
      </c>
      <c r="BU843" t="s">
        <v>555</v>
      </c>
      <c r="BV843" t="s">
        <v>1501</v>
      </c>
      <c r="BW843" t="s">
        <v>1555</v>
      </c>
      <c r="BX843" t="s">
        <v>1503</v>
      </c>
      <c r="BY843">
        <v>35</v>
      </c>
      <c r="BZ843" t="s">
        <v>555</v>
      </c>
      <c r="CA843" t="s">
        <v>1501</v>
      </c>
      <c r="CB843" t="s">
        <v>1556</v>
      </c>
      <c r="CC843" t="s">
        <v>1503</v>
      </c>
      <c r="CD843">
        <v>19</v>
      </c>
      <c r="HK843" t="s">
        <v>1557</v>
      </c>
      <c r="HL843" t="s">
        <v>1546</v>
      </c>
      <c r="HM843" s="127" t="s">
        <v>480</v>
      </c>
      <c r="HN843" s="127" t="s">
        <v>480</v>
      </c>
      <c r="HO843" t="s">
        <v>480</v>
      </c>
      <c r="HP843">
        <v>9</v>
      </c>
      <c r="HQ843" t="s">
        <v>1558</v>
      </c>
      <c r="HS843" t="s">
        <v>1509</v>
      </c>
      <c r="HT843" s="50">
        <v>40153</v>
      </c>
      <c r="IO843" t="s">
        <v>1551</v>
      </c>
      <c r="IP843" t="s">
        <v>1559</v>
      </c>
      <c r="IS843">
        <v>2009</v>
      </c>
      <c r="IT843" t="s">
        <v>1511</v>
      </c>
      <c r="IU843" s="4" t="s">
        <v>1186</v>
      </c>
      <c r="JK843" t="s">
        <v>494</v>
      </c>
      <c r="JL843" t="s">
        <v>1512</v>
      </c>
      <c r="JM843" t="s">
        <v>1560</v>
      </c>
      <c r="JN843" t="s">
        <v>961</v>
      </c>
      <c r="JO843" t="s">
        <v>1569</v>
      </c>
      <c r="JP843" t="s">
        <v>508</v>
      </c>
      <c r="JQ843">
        <v>58</v>
      </c>
      <c r="JR843">
        <v>32</v>
      </c>
      <c r="JS843">
        <v>127</v>
      </c>
      <c r="KE843" t="s">
        <v>1562</v>
      </c>
      <c r="KF843" t="s">
        <v>1001</v>
      </c>
      <c r="KG843" t="s">
        <v>1515</v>
      </c>
      <c r="KH843">
        <v>4</v>
      </c>
      <c r="KI843" t="s">
        <v>1516</v>
      </c>
      <c r="KJ843" t="s">
        <v>530</v>
      </c>
      <c r="KN843" t="s">
        <v>545</v>
      </c>
      <c r="KO843" t="s">
        <v>1563</v>
      </c>
      <c r="KP843" t="s">
        <v>1518</v>
      </c>
      <c r="KQ843">
        <f>1.6*2</f>
        <v>3.2</v>
      </c>
      <c r="KR843" t="s">
        <v>545</v>
      </c>
      <c r="KS843" t="s">
        <v>1570</v>
      </c>
      <c r="KT843" t="s">
        <v>503</v>
      </c>
      <c r="KU843">
        <v>1.47</v>
      </c>
      <c r="KV843" t="s">
        <v>1564</v>
      </c>
      <c r="KW843" t="s">
        <v>1520</v>
      </c>
      <c r="LC843" t="s">
        <v>508</v>
      </c>
      <c r="LD843">
        <v>1600</v>
      </c>
      <c r="LL843" t="s">
        <v>1521</v>
      </c>
      <c r="LM843" t="s">
        <v>1522</v>
      </c>
      <c r="LN843">
        <v>30</v>
      </c>
      <c r="LT843" t="s">
        <v>1565</v>
      </c>
      <c r="LU843" t="s">
        <v>1524</v>
      </c>
      <c r="LY843" t="s">
        <v>1269</v>
      </c>
      <c r="LZ843">
        <v>805</v>
      </c>
      <c r="MA843" t="s">
        <v>1525</v>
      </c>
      <c r="MG843" t="s">
        <v>1566</v>
      </c>
      <c r="MI843" s="50">
        <v>40224</v>
      </c>
      <c r="MY843" t="s">
        <v>1527</v>
      </c>
      <c r="MZ843">
        <v>1435</v>
      </c>
      <c r="NA843" t="s">
        <v>1575</v>
      </c>
      <c r="NB843" s="2"/>
      <c r="NC843" s="2" t="s">
        <v>1529</v>
      </c>
      <c r="ND843" t="s">
        <v>1278</v>
      </c>
      <c r="NE843" s="2" t="s">
        <v>1290</v>
      </c>
      <c r="NJ843" t="s">
        <v>1585</v>
      </c>
      <c r="NK843" t="s">
        <v>1586</v>
      </c>
      <c r="NL843" s="4" t="s">
        <v>1069</v>
      </c>
      <c r="NV843" t="s">
        <v>518</v>
      </c>
      <c r="NW843">
        <v>1.2</v>
      </c>
      <c r="NX843" t="s">
        <v>480</v>
      </c>
      <c r="OB843">
        <v>3</v>
      </c>
      <c r="OU843" t="s">
        <v>1582</v>
      </c>
      <c r="OV843" t="s">
        <v>518</v>
      </c>
      <c r="OX843">
        <v>2011</v>
      </c>
      <c r="OY843">
        <v>2012</v>
      </c>
      <c r="OZ843" t="s">
        <v>1511</v>
      </c>
      <c r="PA843" t="s">
        <v>1534</v>
      </c>
      <c r="PB843" t="s">
        <v>522</v>
      </c>
      <c r="PC843" s="50">
        <v>46136</v>
      </c>
      <c r="PD843" s="127"/>
    </row>
    <row r="844" spans="1:420" ht="15.75" thickBot="1">
      <c r="A844" t="s">
        <v>469</v>
      </c>
      <c r="B844" t="s">
        <v>1496</v>
      </c>
      <c r="C844" t="s">
        <v>1252</v>
      </c>
      <c r="D844" t="s">
        <v>950</v>
      </c>
      <c r="E844" s="81" t="s">
        <v>1497</v>
      </c>
      <c r="F844" s="80" t="s">
        <v>1179</v>
      </c>
      <c r="G844" t="s">
        <v>475</v>
      </c>
      <c r="H844" t="s">
        <v>1079</v>
      </c>
      <c r="I844">
        <v>23.983876843571402</v>
      </c>
      <c r="J844">
        <v>90.402873983888597</v>
      </c>
      <c r="K844">
        <v>250</v>
      </c>
      <c r="AV844" t="s">
        <v>1498</v>
      </c>
      <c r="AW844">
        <f t="shared" si="6"/>
        <v>1435</v>
      </c>
      <c r="AX844" t="s">
        <v>480</v>
      </c>
      <c r="AY844">
        <v>3</v>
      </c>
      <c r="AZ844" t="s">
        <v>1499</v>
      </c>
      <c r="BA844">
        <v>2009</v>
      </c>
      <c r="BB844">
        <v>2012</v>
      </c>
      <c r="BC844">
        <v>2009.2</v>
      </c>
      <c r="BD844" t="s">
        <v>1500</v>
      </c>
      <c r="BE844" t="s">
        <v>524</v>
      </c>
      <c r="BF844" t="s">
        <v>484</v>
      </c>
      <c r="BG844" t="s">
        <v>1501</v>
      </c>
      <c r="BH844" t="s">
        <v>1502</v>
      </c>
      <c r="BI844" t="s">
        <v>1503</v>
      </c>
      <c r="BJ844">
        <v>45</v>
      </c>
      <c r="BK844" t="s">
        <v>555</v>
      </c>
      <c r="BL844" t="s">
        <v>1501</v>
      </c>
      <c r="BM844" t="s">
        <v>1504</v>
      </c>
      <c r="BN844" t="s">
        <v>1503</v>
      </c>
      <c r="BO844">
        <v>49</v>
      </c>
      <c r="BP844" t="s">
        <v>555</v>
      </c>
      <c r="BQ844" t="s">
        <v>1501</v>
      </c>
      <c r="BR844" t="s">
        <v>1505</v>
      </c>
      <c r="BS844" t="s">
        <v>1503</v>
      </c>
      <c r="BT844">
        <v>49</v>
      </c>
      <c r="HK844" t="s">
        <v>1506</v>
      </c>
      <c r="HL844" t="s">
        <v>526</v>
      </c>
      <c r="HM844" t="s">
        <v>1507</v>
      </c>
      <c r="HO844" t="s">
        <v>480</v>
      </c>
      <c r="HP844">
        <v>12</v>
      </c>
      <c r="HQ844" t="s">
        <v>1508</v>
      </c>
      <c r="HS844" t="s">
        <v>1509</v>
      </c>
      <c r="HT844" s="50">
        <v>40202</v>
      </c>
      <c r="HU844" s="50"/>
      <c r="IO844" t="s">
        <v>1500</v>
      </c>
      <c r="IP844" s="46" t="s">
        <v>1510</v>
      </c>
      <c r="IS844">
        <v>2009</v>
      </c>
      <c r="IT844" t="s">
        <v>1511</v>
      </c>
      <c r="IU844" s="4" t="s">
        <v>1186</v>
      </c>
      <c r="JK844" s="2" t="s">
        <v>494</v>
      </c>
      <c r="JL844" t="s">
        <v>495</v>
      </c>
      <c r="JM844" t="s">
        <v>1513</v>
      </c>
      <c r="JN844" t="s">
        <v>508</v>
      </c>
      <c r="JO844">
        <v>12</v>
      </c>
      <c r="JP844" t="s">
        <v>508</v>
      </c>
      <c r="JQ844">
        <v>155</v>
      </c>
      <c r="JR844">
        <v>18</v>
      </c>
      <c r="JS844">
        <v>32</v>
      </c>
      <c r="KE844" t="s">
        <v>1514</v>
      </c>
      <c r="KF844" t="s">
        <v>1001</v>
      </c>
      <c r="KG844" t="s">
        <v>1515</v>
      </c>
      <c r="KH844">
        <v>3</v>
      </c>
      <c r="KI844" t="s">
        <v>1516</v>
      </c>
      <c r="KJ844" t="s">
        <v>530</v>
      </c>
      <c r="KN844" t="s">
        <v>545</v>
      </c>
      <c r="KO844" s="8" t="s">
        <v>1517</v>
      </c>
      <c r="KP844" t="s">
        <v>1518</v>
      </c>
      <c r="KQ844">
        <v>0.5</v>
      </c>
      <c r="KV844" t="s">
        <v>1519</v>
      </c>
      <c r="KW844" t="s">
        <v>1520</v>
      </c>
      <c r="LC844" t="s">
        <v>508</v>
      </c>
      <c r="LD844">
        <v>1500</v>
      </c>
      <c r="LL844" t="s">
        <v>1521</v>
      </c>
      <c r="LM844" t="s">
        <v>1522</v>
      </c>
      <c r="LN844">
        <v>7.5</v>
      </c>
      <c r="LT844" t="s">
        <v>1523</v>
      </c>
      <c r="LU844" t="s">
        <v>1524</v>
      </c>
      <c r="LY844" t="s">
        <v>1269</v>
      </c>
      <c r="LZ844">
        <v>2084</v>
      </c>
      <c r="MA844" t="s">
        <v>1525</v>
      </c>
      <c r="MG844" t="s">
        <v>1526</v>
      </c>
      <c r="MI844" s="50">
        <v>40292</v>
      </c>
      <c r="MY844" t="s">
        <v>1527</v>
      </c>
      <c r="MZ844">
        <v>1435</v>
      </c>
      <c r="NA844" t="s">
        <v>1571</v>
      </c>
      <c r="NB844" s="2" t="s">
        <v>1529</v>
      </c>
      <c r="NC844" s="2" t="s">
        <v>1529</v>
      </c>
      <c r="ND844" s="2"/>
      <c r="NE844" s="2"/>
      <c r="NI844" t="s">
        <v>1576</v>
      </c>
      <c r="NJ844" t="s">
        <v>1587</v>
      </c>
      <c r="NK844" t="s">
        <v>1588</v>
      </c>
      <c r="NL844" s="4" t="s">
        <v>1316</v>
      </c>
      <c r="NM844" t="s">
        <v>1589</v>
      </c>
      <c r="NU844" t="s">
        <v>1532</v>
      </c>
      <c r="NV844" t="s">
        <v>518</v>
      </c>
      <c r="NW844">
        <v>5</v>
      </c>
      <c r="NX844" t="s">
        <v>480</v>
      </c>
      <c r="OB844">
        <v>3</v>
      </c>
      <c r="OU844" t="s">
        <v>1590</v>
      </c>
      <c r="OV844" t="s">
        <v>518</v>
      </c>
      <c r="OX844">
        <v>2009</v>
      </c>
      <c r="OY844">
        <v>2010</v>
      </c>
      <c r="OZ844" t="s">
        <v>1511</v>
      </c>
      <c r="PA844" t="s">
        <v>1534</v>
      </c>
      <c r="PB844" t="s">
        <v>522</v>
      </c>
      <c r="PC844" s="50">
        <v>46136</v>
      </c>
      <c r="PD844" s="127"/>
    </row>
    <row r="845" spans="1:420" ht="15.75" thickBot="1">
      <c r="A845" t="s">
        <v>469</v>
      </c>
      <c r="B845" t="s">
        <v>1496</v>
      </c>
      <c r="C845" t="s">
        <v>1252</v>
      </c>
      <c r="D845" t="s">
        <v>950</v>
      </c>
      <c r="E845" s="81" t="s">
        <v>1497</v>
      </c>
      <c r="F845" s="80" t="s">
        <v>1179</v>
      </c>
      <c r="G845" t="s">
        <v>475</v>
      </c>
      <c r="H845" t="s">
        <v>1079</v>
      </c>
      <c r="I845">
        <v>23.983876843571402</v>
      </c>
      <c r="J845">
        <v>90.402873983888597</v>
      </c>
      <c r="K845">
        <v>250</v>
      </c>
      <c r="AV845" t="s">
        <v>1498</v>
      </c>
      <c r="AW845">
        <f t="shared" si="6"/>
        <v>1435</v>
      </c>
      <c r="AX845" t="s">
        <v>480</v>
      </c>
      <c r="AY845">
        <v>3</v>
      </c>
      <c r="AZ845" t="s">
        <v>1499</v>
      </c>
      <c r="BA845">
        <v>2009</v>
      </c>
      <c r="BB845">
        <v>2012</v>
      </c>
      <c r="BC845">
        <v>2009.2</v>
      </c>
      <c r="BD845" t="s">
        <v>1535</v>
      </c>
      <c r="BE845" t="s">
        <v>483</v>
      </c>
      <c r="BF845" t="s">
        <v>484</v>
      </c>
      <c r="BG845" t="s">
        <v>1501</v>
      </c>
      <c r="BH845" t="s">
        <v>1502</v>
      </c>
      <c r="BI845" t="s">
        <v>1503</v>
      </c>
      <c r="BJ845">
        <v>30</v>
      </c>
      <c r="BK845" t="s">
        <v>555</v>
      </c>
      <c r="BL845" t="s">
        <v>1501</v>
      </c>
      <c r="BM845" t="s">
        <v>1505</v>
      </c>
      <c r="BN845" t="s">
        <v>1503</v>
      </c>
      <c r="BO845">
        <v>35</v>
      </c>
      <c r="HK845" t="s">
        <v>1506</v>
      </c>
      <c r="HL845" t="s">
        <v>526</v>
      </c>
      <c r="HM845" t="s">
        <v>1507</v>
      </c>
      <c r="HO845" t="s">
        <v>480</v>
      </c>
      <c r="HP845">
        <v>12</v>
      </c>
      <c r="HQ845" t="s">
        <v>1508</v>
      </c>
      <c r="HS845" t="s">
        <v>1509</v>
      </c>
      <c r="HT845" s="50">
        <v>40192</v>
      </c>
      <c r="HU845" s="50"/>
      <c r="IO845" t="s">
        <v>1535</v>
      </c>
      <c r="IP845" s="46" t="s">
        <v>1510</v>
      </c>
      <c r="IS845">
        <v>2009</v>
      </c>
      <c r="IT845" t="s">
        <v>1511</v>
      </c>
      <c r="IU845" s="4" t="s">
        <v>1186</v>
      </c>
      <c r="JK845" s="2" t="s">
        <v>494</v>
      </c>
      <c r="JL845" s="151" t="s">
        <v>1512</v>
      </c>
      <c r="JM845" s="140" t="s">
        <v>1536</v>
      </c>
      <c r="JN845" t="s">
        <v>497</v>
      </c>
      <c r="JO845" t="s">
        <v>1537</v>
      </c>
      <c r="JP845" t="s">
        <v>508</v>
      </c>
      <c r="JQ845">
        <f>45+50+45+20</f>
        <v>160</v>
      </c>
      <c r="JR845">
        <v>20</v>
      </c>
      <c r="JS845">
        <v>65</v>
      </c>
      <c r="KE845" t="s">
        <v>1538</v>
      </c>
      <c r="KF845" t="s">
        <v>1001</v>
      </c>
      <c r="KG845" t="s">
        <v>1515</v>
      </c>
      <c r="KH845">
        <v>6</v>
      </c>
      <c r="KI845" t="s">
        <v>1516</v>
      </c>
      <c r="KJ845" t="s">
        <v>501</v>
      </c>
      <c r="KK845" s="8" t="s">
        <v>1539</v>
      </c>
      <c r="KL845" t="s">
        <v>1540</v>
      </c>
      <c r="KM845">
        <v>0.99</v>
      </c>
      <c r="KN845" t="s">
        <v>545</v>
      </c>
      <c r="KO845" t="s">
        <v>1541</v>
      </c>
      <c r="KP845" t="s">
        <v>1518</v>
      </c>
      <c r="KQ845">
        <f>0.556*2</f>
        <v>1.1120000000000001</v>
      </c>
      <c r="KV845" t="s">
        <v>1542</v>
      </c>
      <c r="KW845" t="s">
        <v>1520</v>
      </c>
      <c r="LC845" t="s">
        <v>508</v>
      </c>
      <c r="LD845">
        <v>2200</v>
      </c>
      <c r="LL845" t="s">
        <v>1521</v>
      </c>
      <c r="LM845" t="s">
        <v>1522</v>
      </c>
      <c r="LN845">
        <v>30</v>
      </c>
      <c r="LT845" t="s">
        <v>1543</v>
      </c>
      <c r="LU845" t="s">
        <v>1524</v>
      </c>
      <c r="LY845" t="s">
        <v>1269</v>
      </c>
      <c r="LZ845">
        <v>1789</v>
      </c>
      <c r="MA845" t="s">
        <v>1525</v>
      </c>
      <c r="MG845" t="s">
        <v>1526</v>
      </c>
      <c r="MI845" s="50">
        <v>40298</v>
      </c>
      <c r="MY845" t="s">
        <v>1527</v>
      </c>
      <c r="MZ845">
        <v>1435</v>
      </c>
      <c r="NA845" t="s">
        <v>1571</v>
      </c>
      <c r="NB845" s="2" t="s">
        <v>1529</v>
      </c>
      <c r="NC845" s="2" t="s">
        <v>1529</v>
      </c>
      <c r="ND845" s="2"/>
      <c r="NE845" s="2"/>
      <c r="NI845" t="s">
        <v>1576</v>
      </c>
      <c r="NJ845" t="s">
        <v>1587</v>
      </c>
      <c r="NK845" t="s">
        <v>1588</v>
      </c>
      <c r="NL845" s="4" t="s">
        <v>1316</v>
      </c>
      <c r="NM845" t="s">
        <v>1589</v>
      </c>
      <c r="NU845" t="s">
        <v>1532</v>
      </c>
      <c r="NV845" t="s">
        <v>518</v>
      </c>
      <c r="NW845">
        <v>4.3</v>
      </c>
      <c r="NX845" t="s">
        <v>480</v>
      </c>
      <c r="OB845">
        <v>3</v>
      </c>
      <c r="OU845" t="s">
        <v>1590</v>
      </c>
      <c r="OV845" t="s">
        <v>518</v>
      </c>
      <c r="OX845">
        <v>2009</v>
      </c>
      <c r="OY845">
        <v>2010</v>
      </c>
      <c r="OZ845" t="s">
        <v>1511</v>
      </c>
      <c r="PA845" t="s">
        <v>1534</v>
      </c>
      <c r="PB845" t="s">
        <v>522</v>
      </c>
      <c r="PC845" s="50">
        <v>46136</v>
      </c>
      <c r="PD845" s="127"/>
    </row>
    <row r="846" spans="1:420" ht="15.75" thickBot="1">
      <c r="A846" t="s">
        <v>469</v>
      </c>
      <c r="B846" t="s">
        <v>1496</v>
      </c>
      <c r="C846" t="s">
        <v>1252</v>
      </c>
      <c r="D846" t="s">
        <v>950</v>
      </c>
      <c r="E846" s="81" t="s">
        <v>1497</v>
      </c>
      <c r="F846" s="80" t="s">
        <v>1179</v>
      </c>
      <c r="G846" t="s">
        <v>475</v>
      </c>
      <c r="H846" t="s">
        <v>1079</v>
      </c>
      <c r="I846">
        <v>23.983876843571402</v>
      </c>
      <c r="J846">
        <v>90.402873983888597</v>
      </c>
      <c r="K846">
        <v>250</v>
      </c>
      <c r="AV846" t="s">
        <v>1498</v>
      </c>
      <c r="AW846">
        <f t="shared" si="6"/>
        <v>1435</v>
      </c>
      <c r="AX846" t="s">
        <v>480</v>
      </c>
      <c r="AY846">
        <v>3</v>
      </c>
      <c r="AZ846" t="s">
        <v>1499</v>
      </c>
      <c r="BA846">
        <v>2009</v>
      </c>
      <c r="BB846">
        <v>2012</v>
      </c>
      <c r="BC846">
        <v>2009.2</v>
      </c>
      <c r="BD846" t="s">
        <v>1544</v>
      </c>
      <c r="BE846" t="s">
        <v>593</v>
      </c>
      <c r="BF846" t="s">
        <v>484</v>
      </c>
      <c r="BG846" t="s">
        <v>1501</v>
      </c>
      <c r="BH846" t="s">
        <v>1502</v>
      </c>
      <c r="BI846" t="s">
        <v>1503</v>
      </c>
      <c r="BJ846">
        <v>30</v>
      </c>
      <c r="BK846" t="s">
        <v>555</v>
      </c>
      <c r="BL846" t="s">
        <v>1501</v>
      </c>
      <c r="BM846" t="s">
        <v>1505</v>
      </c>
      <c r="BN846" t="s">
        <v>1503</v>
      </c>
      <c r="BO846">
        <v>19</v>
      </c>
      <c r="HK846" t="s">
        <v>1545</v>
      </c>
      <c r="HL846" t="s">
        <v>1546</v>
      </c>
      <c r="HM846" s="127" t="s">
        <v>480</v>
      </c>
      <c r="HN846" s="127" t="s">
        <v>480</v>
      </c>
      <c r="HO846" t="s">
        <v>480</v>
      </c>
      <c r="HP846">
        <v>4</v>
      </c>
      <c r="HQ846" t="s">
        <v>1547</v>
      </c>
      <c r="HS846" t="s">
        <v>1509</v>
      </c>
      <c r="HT846" s="50">
        <v>40192</v>
      </c>
      <c r="HU846" s="50"/>
      <c r="IO846" t="s">
        <v>1544</v>
      </c>
      <c r="IP846" s="46" t="s">
        <v>1510</v>
      </c>
      <c r="IS846">
        <v>2009</v>
      </c>
      <c r="IT846" t="s">
        <v>1511</v>
      </c>
      <c r="IU846" s="4" t="s">
        <v>1186</v>
      </c>
      <c r="JK846" s="2" t="s">
        <v>494</v>
      </c>
      <c r="JL846" t="s">
        <v>1512</v>
      </c>
      <c r="JM846" t="s">
        <v>1536</v>
      </c>
      <c r="JN846" t="s">
        <v>497</v>
      </c>
      <c r="JO846" t="s">
        <v>1537</v>
      </c>
      <c r="JP846" t="s">
        <v>508</v>
      </c>
      <c r="JQ846">
        <f>45+50+45+20</f>
        <v>160</v>
      </c>
      <c r="JR846">
        <v>20</v>
      </c>
      <c r="JS846">
        <v>65</v>
      </c>
      <c r="KE846" t="s">
        <v>1548</v>
      </c>
      <c r="KF846" t="s">
        <v>1001</v>
      </c>
      <c r="KG846" t="s">
        <v>1515</v>
      </c>
      <c r="KH846">
        <v>7</v>
      </c>
      <c r="KI846" t="s">
        <v>1516</v>
      </c>
      <c r="KJ846" t="s">
        <v>501</v>
      </c>
      <c r="KK846" s="8" t="s">
        <v>1539</v>
      </c>
      <c r="KL846" t="s">
        <v>1540</v>
      </c>
      <c r="KM846">
        <v>0.99</v>
      </c>
      <c r="KN846" t="s">
        <v>545</v>
      </c>
      <c r="KO846" t="s">
        <v>1541</v>
      </c>
      <c r="KP846" t="s">
        <v>1518</v>
      </c>
      <c r="KQ846">
        <f>0.556*2</f>
        <v>1.1120000000000001</v>
      </c>
      <c r="KV846" t="s">
        <v>1549</v>
      </c>
      <c r="KW846" t="s">
        <v>1520</v>
      </c>
      <c r="LC846" t="s">
        <v>508</v>
      </c>
      <c r="LD846">
        <v>2600</v>
      </c>
      <c r="LL846" t="s">
        <v>1521</v>
      </c>
      <c r="LM846" t="s">
        <v>1522</v>
      </c>
      <c r="LN846">
        <v>30</v>
      </c>
      <c r="LT846" t="s">
        <v>1550</v>
      </c>
      <c r="LU846" t="s">
        <v>1524</v>
      </c>
      <c r="LY846" t="s">
        <v>1269</v>
      </c>
      <c r="LZ846">
        <v>1898</v>
      </c>
      <c r="MA846" t="s">
        <v>1525</v>
      </c>
      <c r="MG846" t="s">
        <v>1526</v>
      </c>
      <c r="MI846" s="50">
        <v>40299</v>
      </c>
      <c r="MY846" t="s">
        <v>1527</v>
      </c>
      <c r="MZ846">
        <v>1435</v>
      </c>
      <c r="NA846" t="s">
        <v>1571</v>
      </c>
      <c r="NB846" s="2" t="s">
        <v>1529</v>
      </c>
      <c r="NC846" s="2" t="s">
        <v>1529</v>
      </c>
      <c r="ND846" s="2"/>
      <c r="NE846" s="2"/>
      <c r="NI846" t="s">
        <v>1576</v>
      </c>
      <c r="NJ846" t="s">
        <v>1587</v>
      </c>
      <c r="NK846" t="s">
        <v>1588</v>
      </c>
      <c r="NL846" s="4" t="s">
        <v>1316</v>
      </c>
      <c r="NM846" t="s">
        <v>1589</v>
      </c>
      <c r="NU846" t="s">
        <v>536</v>
      </c>
      <c r="NV846" t="s">
        <v>518</v>
      </c>
      <c r="NW846">
        <v>4.4000000000000004</v>
      </c>
      <c r="NX846" t="s">
        <v>480</v>
      </c>
      <c r="OB846">
        <v>3</v>
      </c>
      <c r="OU846" t="s">
        <v>1590</v>
      </c>
      <c r="OV846" t="s">
        <v>518</v>
      </c>
      <c r="OX846">
        <v>2009</v>
      </c>
      <c r="OY846">
        <v>2010</v>
      </c>
      <c r="OZ846" t="s">
        <v>1511</v>
      </c>
      <c r="PA846" t="s">
        <v>1534</v>
      </c>
      <c r="PB846" t="s">
        <v>522</v>
      </c>
      <c r="PC846" s="50">
        <v>46136</v>
      </c>
      <c r="PD846" s="127"/>
    </row>
    <row r="847" spans="1:420" ht="15.75" thickBot="1">
      <c r="A847" t="s">
        <v>469</v>
      </c>
      <c r="B847" t="s">
        <v>1496</v>
      </c>
      <c r="C847" t="s">
        <v>1252</v>
      </c>
      <c r="D847" t="s">
        <v>950</v>
      </c>
      <c r="E847" s="81" t="s">
        <v>1497</v>
      </c>
      <c r="F847" s="80" t="s">
        <v>1179</v>
      </c>
      <c r="G847" t="s">
        <v>475</v>
      </c>
      <c r="H847" t="s">
        <v>1079</v>
      </c>
      <c r="I847">
        <v>23.983876843571402</v>
      </c>
      <c r="J847">
        <v>90.402873983888597</v>
      </c>
      <c r="K847">
        <v>250</v>
      </c>
      <c r="AV847" t="s">
        <v>1498</v>
      </c>
      <c r="AW847">
        <f t="shared" si="6"/>
        <v>1435</v>
      </c>
      <c r="AX847" t="s">
        <v>480</v>
      </c>
      <c r="AY847">
        <v>3</v>
      </c>
      <c r="AZ847" t="s">
        <v>1499</v>
      </c>
      <c r="BA847">
        <v>2009</v>
      </c>
      <c r="BB847">
        <v>2012</v>
      </c>
      <c r="BC847">
        <v>2009.2</v>
      </c>
      <c r="BD847" t="s">
        <v>1551</v>
      </c>
      <c r="BE847" t="s">
        <v>536</v>
      </c>
      <c r="BF847" t="s">
        <v>484</v>
      </c>
      <c r="BG847" t="s">
        <v>1278</v>
      </c>
      <c r="BH847" t="s">
        <v>1552</v>
      </c>
      <c r="BI847" t="s">
        <v>1503</v>
      </c>
      <c r="BJ847">
        <v>1614</v>
      </c>
      <c r="BK847" t="s">
        <v>555</v>
      </c>
      <c r="BL847" t="s">
        <v>485</v>
      </c>
      <c r="BM847" t="s">
        <v>1553</v>
      </c>
      <c r="BN847" t="s">
        <v>1503</v>
      </c>
      <c r="BO847">
        <v>20</v>
      </c>
      <c r="BP847" t="s">
        <v>555</v>
      </c>
      <c r="BQ847" t="s">
        <v>1290</v>
      </c>
      <c r="BR847" t="s">
        <v>1554</v>
      </c>
      <c r="BS847" t="s">
        <v>1503</v>
      </c>
      <c r="BT847">
        <v>30</v>
      </c>
      <c r="BU847" t="s">
        <v>555</v>
      </c>
      <c r="BV847" t="s">
        <v>1501</v>
      </c>
      <c r="BW847" t="s">
        <v>1555</v>
      </c>
      <c r="BX847" t="s">
        <v>1503</v>
      </c>
      <c r="BY847">
        <v>35</v>
      </c>
      <c r="BZ847" t="s">
        <v>555</v>
      </c>
      <c r="CA847" t="s">
        <v>1501</v>
      </c>
      <c r="CB847" t="s">
        <v>1556</v>
      </c>
      <c r="CC847" t="s">
        <v>1503</v>
      </c>
      <c r="CD847">
        <v>19</v>
      </c>
      <c r="HK847" t="s">
        <v>1557</v>
      </c>
      <c r="HL847" t="s">
        <v>1546</v>
      </c>
      <c r="HM847" s="127" t="s">
        <v>480</v>
      </c>
      <c r="HN847" s="127" t="s">
        <v>480</v>
      </c>
      <c r="HO847" t="s">
        <v>480</v>
      </c>
      <c r="HP847">
        <v>9</v>
      </c>
      <c r="HQ847" t="s">
        <v>1558</v>
      </c>
      <c r="HS847" t="s">
        <v>1509</v>
      </c>
      <c r="HT847" s="50">
        <v>40153</v>
      </c>
      <c r="IO847" t="s">
        <v>1551</v>
      </c>
      <c r="IP847" t="s">
        <v>1559</v>
      </c>
      <c r="IS847">
        <v>2009</v>
      </c>
      <c r="IT847" t="s">
        <v>1511</v>
      </c>
      <c r="IU847" s="4" t="s">
        <v>1186</v>
      </c>
      <c r="JK847" s="2" t="s">
        <v>494</v>
      </c>
      <c r="JL847" t="s">
        <v>1512</v>
      </c>
      <c r="JM847" t="s">
        <v>1560</v>
      </c>
      <c r="JN847" t="s">
        <v>961</v>
      </c>
      <c r="JO847" t="s">
        <v>1561</v>
      </c>
      <c r="JP847" t="s">
        <v>508</v>
      </c>
      <c r="JQ847">
        <f>80+80+38+38</f>
        <v>236</v>
      </c>
      <c r="JR847">
        <v>54</v>
      </c>
      <c r="JS847">
        <v>185</v>
      </c>
      <c r="KE847" t="s">
        <v>1562</v>
      </c>
      <c r="KF847" t="s">
        <v>1001</v>
      </c>
      <c r="KG847" t="s">
        <v>1515</v>
      </c>
      <c r="KH847">
        <v>4</v>
      </c>
      <c r="KI847" t="s">
        <v>1516</v>
      </c>
      <c r="KJ847" t="s">
        <v>530</v>
      </c>
      <c r="KN847" t="s">
        <v>545</v>
      </c>
      <c r="KO847" t="s">
        <v>1563</v>
      </c>
      <c r="KP847" t="s">
        <v>1518</v>
      </c>
      <c r="KQ847">
        <f>1.6*2</f>
        <v>3.2</v>
      </c>
      <c r="KV847" t="s">
        <v>1564</v>
      </c>
      <c r="KW847" t="s">
        <v>1520</v>
      </c>
      <c r="LC847" t="s">
        <v>508</v>
      </c>
      <c r="LD847">
        <v>4600</v>
      </c>
      <c r="LL847" t="s">
        <v>1521</v>
      </c>
      <c r="LM847" t="s">
        <v>1522</v>
      </c>
      <c r="LN847">
        <v>30</v>
      </c>
      <c r="LT847" t="s">
        <v>1565</v>
      </c>
      <c r="LU847" t="s">
        <v>1524</v>
      </c>
      <c r="LY847" t="s">
        <v>1269</v>
      </c>
      <c r="LZ847">
        <v>1426</v>
      </c>
      <c r="MA847" t="s">
        <v>1525</v>
      </c>
      <c r="MG847" t="s">
        <v>1566</v>
      </c>
      <c r="MI847" s="50">
        <v>40224</v>
      </c>
      <c r="MY847" t="s">
        <v>1527</v>
      </c>
      <c r="MZ847">
        <v>1435</v>
      </c>
      <c r="NA847" t="s">
        <v>1575</v>
      </c>
      <c r="NB847" s="2"/>
      <c r="NC847" s="2" t="s">
        <v>1529</v>
      </c>
      <c r="ND847" t="s">
        <v>1278</v>
      </c>
      <c r="NE847" s="2" t="s">
        <v>548</v>
      </c>
      <c r="NI847" t="s">
        <v>1576</v>
      </c>
      <c r="NJ847" t="s">
        <v>1587</v>
      </c>
      <c r="NK847" t="s">
        <v>1588</v>
      </c>
      <c r="NL847" s="4" t="s">
        <v>1316</v>
      </c>
      <c r="NM847" t="s">
        <v>1589</v>
      </c>
      <c r="NV847" t="s">
        <v>518</v>
      </c>
      <c r="NW847">
        <v>1.7</v>
      </c>
      <c r="NX847" t="s">
        <v>480</v>
      </c>
      <c r="OB847">
        <v>3</v>
      </c>
      <c r="OU847" t="s">
        <v>1590</v>
      </c>
      <c r="OV847" t="s">
        <v>518</v>
      </c>
      <c r="OX847">
        <v>2009</v>
      </c>
      <c r="OY847">
        <v>2010</v>
      </c>
      <c r="OZ847" t="s">
        <v>1511</v>
      </c>
      <c r="PA847" t="s">
        <v>1534</v>
      </c>
      <c r="PB847" t="s">
        <v>522</v>
      </c>
      <c r="PC847" s="50">
        <v>46136</v>
      </c>
      <c r="PD847" s="127"/>
    </row>
    <row r="848" spans="1:420" ht="15.75" thickBot="1">
      <c r="A848" t="s">
        <v>469</v>
      </c>
      <c r="B848" t="s">
        <v>1496</v>
      </c>
      <c r="C848" t="s">
        <v>1252</v>
      </c>
      <c r="D848" t="s">
        <v>950</v>
      </c>
      <c r="E848" s="81" t="s">
        <v>1497</v>
      </c>
      <c r="F848" s="80" t="s">
        <v>1179</v>
      </c>
      <c r="G848" t="s">
        <v>475</v>
      </c>
      <c r="H848" t="s">
        <v>1079</v>
      </c>
      <c r="I848">
        <v>23.983876843571402</v>
      </c>
      <c r="J848">
        <v>90.402873983888597</v>
      </c>
      <c r="K848">
        <v>250</v>
      </c>
      <c r="AV848" t="s">
        <v>1498</v>
      </c>
      <c r="AW848">
        <f t="shared" si="6"/>
        <v>1435</v>
      </c>
      <c r="AX848" t="s">
        <v>480</v>
      </c>
      <c r="AY848">
        <v>3</v>
      </c>
      <c r="AZ848" t="s">
        <v>1499</v>
      </c>
      <c r="BA848">
        <v>2009</v>
      </c>
      <c r="BB848">
        <v>2012</v>
      </c>
      <c r="BC848">
        <v>2009.2</v>
      </c>
      <c r="BD848" t="s">
        <v>1500</v>
      </c>
      <c r="BE848" t="s">
        <v>524</v>
      </c>
      <c r="BF848" t="s">
        <v>484</v>
      </c>
      <c r="BG848" t="s">
        <v>1501</v>
      </c>
      <c r="BH848" t="s">
        <v>1502</v>
      </c>
      <c r="BI848" t="s">
        <v>1503</v>
      </c>
      <c r="BJ848">
        <v>45</v>
      </c>
      <c r="BK848" t="s">
        <v>555</v>
      </c>
      <c r="BL848" t="s">
        <v>1501</v>
      </c>
      <c r="BM848" t="s">
        <v>1504</v>
      </c>
      <c r="BN848" t="s">
        <v>1503</v>
      </c>
      <c r="BO848">
        <v>49</v>
      </c>
      <c r="BP848" t="s">
        <v>555</v>
      </c>
      <c r="BQ848" t="s">
        <v>1501</v>
      </c>
      <c r="BR848" t="s">
        <v>1505</v>
      </c>
      <c r="BS848" t="s">
        <v>1503</v>
      </c>
      <c r="BT848">
        <v>49</v>
      </c>
      <c r="HK848" t="s">
        <v>1506</v>
      </c>
      <c r="HL848" t="s">
        <v>526</v>
      </c>
      <c r="HM848" t="s">
        <v>1507</v>
      </c>
      <c r="HO848" t="s">
        <v>480</v>
      </c>
      <c r="HP848">
        <v>12</v>
      </c>
      <c r="HQ848" t="s">
        <v>1508</v>
      </c>
      <c r="HS848" t="s">
        <v>1509</v>
      </c>
      <c r="HT848" s="50">
        <v>40202</v>
      </c>
      <c r="HU848" s="50"/>
      <c r="IO848" t="s">
        <v>1500</v>
      </c>
      <c r="IP848" s="46" t="s">
        <v>1510</v>
      </c>
      <c r="IS848">
        <v>2009</v>
      </c>
      <c r="IT848" t="s">
        <v>1511</v>
      </c>
      <c r="IU848" s="4" t="s">
        <v>1186</v>
      </c>
      <c r="JK848" t="s">
        <v>494</v>
      </c>
      <c r="JL848" t="s">
        <v>1512</v>
      </c>
      <c r="JM848" t="s">
        <v>1513</v>
      </c>
      <c r="JN848" t="s">
        <v>508</v>
      </c>
      <c r="JO848">
        <v>12</v>
      </c>
      <c r="JP848" t="s">
        <v>508</v>
      </c>
      <c r="JQ848">
        <f>51+69+35</f>
        <v>155</v>
      </c>
      <c r="JR848">
        <v>18</v>
      </c>
      <c r="JS848">
        <v>32</v>
      </c>
      <c r="KE848" t="s">
        <v>1514</v>
      </c>
      <c r="KF848" t="s">
        <v>1001</v>
      </c>
      <c r="KG848" t="s">
        <v>1515</v>
      </c>
      <c r="KH848">
        <v>3</v>
      </c>
      <c r="KI848" t="s">
        <v>1516</v>
      </c>
      <c r="KJ848" t="s">
        <v>530</v>
      </c>
      <c r="KN848" t="s">
        <v>545</v>
      </c>
      <c r="KO848" s="8" t="s">
        <v>1517</v>
      </c>
      <c r="KP848" t="s">
        <v>1518</v>
      </c>
      <c r="KQ848">
        <v>0.5</v>
      </c>
      <c r="KV848" t="s">
        <v>1519</v>
      </c>
      <c r="KW848" t="s">
        <v>1520</v>
      </c>
      <c r="LC848" t="s">
        <v>508</v>
      </c>
      <c r="LD848">
        <v>0</v>
      </c>
      <c r="LL848" t="s">
        <v>1521</v>
      </c>
      <c r="LM848" t="s">
        <v>1522</v>
      </c>
      <c r="LN848">
        <v>7.5</v>
      </c>
      <c r="LT848" t="s">
        <v>1523</v>
      </c>
      <c r="LU848" t="s">
        <v>1524</v>
      </c>
      <c r="LY848" t="s">
        <v>1269</v>
      </c>
      <c r="LZ848">
        <v>2172</v>
      </c>
      <c r="MA848" t="s">
        <v>1525</v>
      </c>
      <c r="MG848" t="s">
        <v>1526</v>
      </c>
      <c r="MI848" s="50">
        <v>40292</v>
      </c>
      <c r="MY848" t="s">
        <v>1527</v>
      </c>
      <c r="MZ848">
        <v>1435</v>
      </c>
      <c r="NA848" t="s">
        <v>1571</v>
      </c>
      <c r="NB848" s="2" t="s">
        <v>1529</v>
      </c>
      <c r="NC848" s="2" t="s">
        <v>1529</v>
      </c>
      <c r="ND848" s="2"/>
      <c r="NE848" s="2"/>
      <c r="NI848" t="s">
        <v>1576</v>
      </c>
      <c r="NJ848" t="s">
        <v>1587</v>
      </c>
      <c r="NK848" t="s">
        <v>1588</v>
      </c>
      <c r="NL848" s="4" t="s">
        <v>1316</v>
      </c>
      <c r="NM848" t="s">
        <v>1589</v>
      </c>
      <c r="NU848" t="s">
        <v>1532</v>
      </c>
      <c r="NV848" t="s">
        <v>518</v>
      </c>
      <c r="NW848">
        <v>5.0999999999999996</v>
      </c>
      <c r="NX848" t="s">
        <v>480</v>
      </c>
      <c r="OB848">
        <v>3</v>
      </c>
      <c r="OU848" t="s">
        <v>1590</v>
      </c>
      <c r="OV848" t="s">
        <v>518</v>
      </c>
      <c r="OX848">
        <v>2010</v>
      </c>
      <c r="OY848">
        <v>2011</v>
      </c>
      <c r="OZ848" t="s">
        <v>1511</v>
      </c>
      <c r="PA848" t="s">
        <v>1534</v>
      </c>
      <c r="PB848" t="s">
        <v>522</v>
      </c>
      <c r="PC848" s="50">
        <v>46136</v>
      </c>
      <c r="PD848" s="127"/>
    </row>
    <row r="849" spans="1:420" ht="15.75" thickBot="1">
      <c r="A849" t="s">
        <v>469</v>
      </c>
      <c r="B849" t="s">
        <v>1496</v>
      </c>
      <c r="C849" t="s">
        <v>1252</v>
      </c>
      <c r="D849" t="s">
        <v>950</v>
      </c>
      <c r="E849" s="81" t="s">
        <v>1497</v>
      </c>
      <c r="F849" s="80" t="s">
        <v>1179</v>
      </c>
      <c r="G849" t="s">
        <v>475</v>
      </c>
      <c r="H849" t="s">
        <v>1079</v>
      </c>
      <c r="I849">
        <v>23.983876843571402</v>
      </c>
      <c r="J849">
        <v>90.402873983888597</v>
      </c>
      <c r="K849">
        <v>250</v>
      </c>
      <c r="AV849" t="s">
        <v>1498</v>
      </c>
      <c r="AW849">
        <f t="shared" si="6"/>
        <v>1435</v>
      </c>
      <c r="AX849" t="s">
        <v>480</v>
      </c>
      <c r="AY849">
        <v>3</v>
      </c>
      <c r="AZ849" t="s">
        <v>1499</v>
      </c>
      <c r="BA849">
        <v>2009</v>
      </c>
      <c r="BB849">
        <v>2012</v>
      </c>
      <c r="BC849">
        <v>2009.2</v>
      </c>
      <c r="BD849" t="s">
        <v>1535</v>
      </c>
      <c r="BE849" t="s">
        <v>483</v>
      </c>
      <c r="BF849" t="s">
        <v>484</v>
      </c>
      <c r="BG849" t="s">
        <v>1501</v>
      </c>
      <c r="BH849" t="s">
        <v>1502</v>
      </c>
      <c r="BI849" t="s">
        <v>1503</v>
      </c>
      <c r="BJ849">
        <v>30</v>
      </c>
      <c r="BK849" t="s">
        <v>555</v>
      </c>
      <c r="BL849" t="s">
        <v>1501</v>
      </c>
      <c r="BM849" t="s">
        <v>1505</v>
      </c>
      <c r="BN849" t="s">
        <v>1503</v>
      </c>
      <c r="BO849">
        <v>35</v>
      </c>
      <c r="HK849" t="s">
        <v>1506</v>
      </c>
      <c r="HL849" t="s">
        <v>526</v>
      </c>
      <c r="HM849" t="s">
        <v>1507</v>
      </c>
      <c r="HO849" t="s">
        <v>480</v>
      </c>
      <c r="HP849">
        <v>12</v>
      </c>
      <c r="HQ849" t="s">
        <v>1508</v>
      </c>
      <c r="HS849" t="s">
        <v>1509</v>
      </c>
      <c r="HT849" s="50">
        <v>40192</v>
      </c>
      <c r="HU849" s="50"/>
      <c r="IO849" t="s">
        <v>1535</v>
      </c>
      <c r="IP849" s="46" t="s">
        <v>1510</v>
      </c>
      <c r="IS849">
        <v>2009</v>
      </c>
      <c r="IT849" t="s">
        <v>1511</v>
      </c>
      <c r="IU849" s="4" t="s">
        <v>1186</v>
      </c>
      <c r="JK849" t="s">
        <v>494</v>
      </c>
      <c r="JL849" t="s">
        <v>1512</v>
      </c>
      <c r="JM849" t="s">
        <v>1536</v>
      </c>
      <c r="JN849" t="s">
        <v>497</v>
      </c>
      <c r="JO849" t="s">
        <v>1567</v>
      </c>
      <c r="JP849" t="s">
        <v>508</v>
      </c>
      <c r="JQ849">
        <f>42+63+65+16</f>
        <v>186</v>
      </c>
      <c r="JR849">
        <v>13</v>
      </c>
      <c r="JS849">
        <v>23</v>
      </c>
      <c r="KE849" t="s">
        <v>1538</v>
      </c>
      <c r="KF849" t="s">
        <v>1001</v>
      </c>
      <c r="KG849" t="s">
        <v>1515</v>
      </c>
      <c r="KH849">
        <v>6</v>
      </c>
      <c r="KI849" t="s">
        <v>1516</v>
      </c>
      <c r="KJ849" t="s">
        <v>501</v>
      </c>
      <c r="KK849" s="8" t="s">
        <v>1539</v>
      </c>
      <c r="KL849" t="s">
        <v>1540</v>
      </c>
      <c r="KM849">
        <v>0.99</v>
      </c>
      <c r="KN849" t="s">
        <v>545</v>
      </c>
      <c r="KO849" t="s">
        <v>1568</v>
      </c>
      <c r="KP849" t="s">
        <v>1518</v>
      </c>
      <c r="KQ849">
        <f t="shared" ref="KQ849:KQ850" si="8">0.7*2</f>
        <v>1.4</v>
      </c>
      <c r="KV849" t="s">
        <v>1542</v>
      </c>
      <c r="KW849" t="s">
        <v>1520</v>
      </c>
      <c r="LC849" t="s">
        <v>508</v>
      </c>
      <c r="LD849">
        <v>1600</v>
      </c>
      <c r="LL849" t="s">
        <v>1521</v>
      </c>
      <c r="LM849" t="s">
        <v>1522</v>
      </c>
      <c r="LN849">
        <v>30</v>
      </c>
      <c r="LT849" t="s">
        <v>1543</v>
      </c>
      <c r="LU849" t="s">
        <v>1524</v>
      </c>
      <c r="LY849" t="s">
        <v>1269</v>
      </c>
      <c r="LZ849">
        <v>1946</v>
      </c>
      <c r="MA849" t="s">
        <v>1525</v>
      </c>
      <c r="MG849" t="s">
        <v>1526</v>
      </c>
      <c r="MI849" s="50">
        <v>40298</v>
      </c>
      <c r="MY849" t="s">
        <v>1527</v>
      </c>
      <c r="MZ849">
        <v>1435</v>
      </c>
      <c r="NA849" t="s">
        <v>1571</v>
      </c>
      <c r="NB849" s="2" t="s">
        <v>1529</v>
      </c>
      <c r="NC849" s="2" t="s">
        <v>1529</v>
      </c>
      <c r="ND849" s="2"/>
      <c r="NE849" s="2"/>
      <c r="NI849" t="s">
        <v>1576</v>
      </c>
      <c r="NJ849" t="s">
        <v>1587</v>
      </c>
      <c r="NK849" t="s">
        <v>1588</v>
      </c>
      <c r="NL849" s="4" t="s">
        <v>1316</v>
      </c>
      <c r="NM849" t="s">
        <v>1589</v>
      </c>
      <c r="NU849" t="s">
        <v>1532</v>
      </c>
      <c r="NV849" t="s">
        <v>518</v>
      </c>
      <c r="NW849">
        <v>4.2</v>
      </c>
      <c r="NX849" t="s">
        <v>480</v>
      </c>
      <c r="OB849">
        <v>3</v>
      </c>
      <c r="OU849" t="s">
        <v>1590</v>
      </c>
      <c r="OV849" t="s">
        <v>518</v>
      </c>
      <c r="OX849">
        <v>2010</v>
      </c>
      <c r="OY849">
        <v>2011</v>
      </c>
      <c r="OZ849" t="s">
        <v>1511</v>
      </c>
      <c r="PA849" t="s">
        <v>1534</v>
      </c>
      <c r="PB849" t="s">
        <v>522</v>
      </c>
      <c r="PC849" s="50">
        <v>46136</v>
      </c>
      <c r="PD849" s="127"/>
    </row>
    <row r="850" spans="1:420" ht="15.75" thickBot="1">
      <c r="A850" t="s">
        <v>469</v>
      </c>
      <c r="B850" t="s">
        <v>1496</v>
      </c>
      <c r="C850" t="s">
        <v>1252</v>
      </c>
      <c r="D850" t="s">
        <v>950</v>
      </c>
      <c r="E850" s="81" t="s">
        <v>1497</v>
      </c>
      <c r="F850" s="80" t="s">
        <v>1179</v>
      </c>
      <c r="G850" t="s">
        <v>475</v>
      </c>
      <c r="H850" t="s">
        <v>1079</v>
      </c>
      <c r="I850">
        <v>23.983876843571402</v>
      </c>
      <c r="J850">
        <v>90.402873983888597</v>
      </c>
      <c r="K850">
        <v>250</v>
      </c>
      <c r="AV850" t="s">
        <v>1498</v>
      </c>
      <c r="AW850">
        <f t="shared" si="6"/>
        <v>1435</v>
      </c>
      <c r="AX850" t="s">
        <v>480</v>
      </c>
      <c r="AY850">
        <v>3</v>
      </c>
      <c r="AZ850" t="s">
        <v>1499</v>
      </c>
      <c r="BA850">
        <v>2009</v>
      </c>
      <c r="BB850">
        <v>2012</v>
      </c>
      <c r="BC850">
        <v>2009.2</v>
      </c>
      <c r="BD850" t="s">
        <v>1544</v>
      </c>
      <c r="BE850" t="s">
        <v>593</v>
      </c>
      <c r="BF850" t="s">
        <v>484</v>
      </c>
      <c r="BG850" t="s">
        <v>1501</v>
      </c>
      <c r="BH850" t="s">
        <v>1502</v>
      </c>
      <c r="BI850" t="s">
        <v>1503</v>
      </c>
      <c r="BJ850">
        <v>30</v>
      </c>
      <c r="BK850" t="s">
        <v>555</v>
      </c>
      <c r="BL850" t="s">
        <v>1501</v>
      </c>
      <c r="BM850" t="s">
        <v>1505</v>
      </c>
      <c r="BN850" t="s">
        <v>1503</v>
      </c>
      <c r="BO850">
        <v>19</v>
      </c>
      <c r="HK850" t="s">
        <v>1545</v>
      </c>
      <c r="HL850" t="s">
        <v>1546</v>
      </c>
      <c r="HM850" s="127" t="s">
        <v>480</v>
      </c>
      <c r="HN850" s="127" t="s">
        <v>480</v>
      </c>
      <c r="HO850" t="s">
        <v>480</v>
      </c>
      <c r="HP850">
        <v>4</v>
      </c>
      <c r="HQ850" t="s">
        <v>1547</v>
      </c>
      <c r="HS850" t="s">
        <v>1509</v>
      </c>
      <c r="HT850" s="50">
        <v>40192</v>
      </c>
      <c r="HU850" s="50"/>
      <c r="IO850" t="s">
        <v>1544</v>
      </c>
      <c r="IP850" s="46" t="s">
        <v>1510</v>
      </c>
      <c r="IS850">
        <v>2009</v>
      </c>
      <c r="IT850" t="s">
        <v>1511</v>
      </c>
      <c r="IU850" s="4" t="s">
        <v>1186</v>
      </c>
      <c r="JK850" t="s">
        <v>494</v>
      </c>
      <c r="JL850" t="s">
        <v>1512</v>
      </c>
      <c r="JM850" t="s">
        <v>1536</v>
      </c>
      <c r="JN850" t="s">
        <v>497</v>
      </c>
      <c r="JO850" t="s">
        <v>1567</v>
      </c>
      <c r="JP850" t="s">
        <v>508</v>
      </c>
      <c r="JQ850">
        <f>42+63+65+16</f>
        <v>186</v>
      </c>
      <c r="JR850">
        <v>13</v>
      </c>
      <c r="JS850">
        <v>23</v>
      </c>
      <c r="KE850" t="s">
        <v>1548</v>
      </c>
      <c r="KF850" t="s">
        <v>1001</v>
      </c>
      <c r="KG850" t="s">
        <v>1515</v>
      </c>
      <c r="KH850">
        <v>7</v>
      </c>
      <c r="KI850" t="s">
        <v>1516</v>
      </c>
      <c r="KJ850" t="s">
        <v>501</v>
      </c>
      <c r="KK850" s="8" t="s">
        <v>1539</v>
      </c>
      <c r="KL850" t="s">
        <v>1540</v>
      </c>
      <c r="KM850">
        <v>0.99</v>
      </c>
      <c r="KN850" t="s">
        <v>545</v>
      </c>
      <c r="KO850" t="s">
        <v>1568</v>
      </c>
      <c r="KP850" t="s">
        <v>1518</v>
      </c>
      <c r="KQ850">
        <f t="shared" si="8"/>
        <v>1.4</v>
      </c>
      <c r="KV850" t="s">
        <v>1549</v>
      </c>
      <c r="KW850" t="s">
        <v>1520</v>
      </c>
      <c r="LC850" t="s">
        <v>508</v>
      </c>
      <c r="LD850">
        <v>1400</v>
      </c>
      <c r="LL850" t="s">
        <v>1521</v>
      </c>
      <c r="LM850" t="s">
        <v>1522</v>
      </c>
      <c r="LN850">
        <v>30</v>
      </c>
      <c r="LT850" t="s">
        <v>1550</v>
      </c>
      <c r="LU850" t="s">
        <v>1524</v>
      </c>
      <c r="LY850" t="s">
        <v>1269</v>
      </c>
      <c r="LZ850">
        <v>2001</v>
      </c>
      <c r="MA850" t="s">
        <v>1525</v>
      </c>
      <c r="MG850" t="s">
        <v>1526</v>
      </c>
      <c r="MI850" s="50">
        <v>40299</v>
      </c>
      <c r="MY850" t="s">
        <v>1527</v>
      </c>
      <c r="MZ850">
        <v>1435</v>
      </c>
      <c r="NA850" t="s">
        <v>1571</v>
      </c>
      <c r="NB850" s="2" t="s">
        <v>1529</v>
      </c>
      <c r="NC850" s="2" t="s">
        <v>1529</v>
      </c>
      <c r="ND850" s="2"/>
      <c r="NE850" s="2"/>
      <c r="NI850" t="s">
        <v>1576</v>
      </c>
      <c r="NJ850" t="s">
        <v>1587</v>
      </c>
      <c r="NK850" t="s">
        <v>1588</v>
      </c>
      <c r="NL850" s="4" t="s">
        <v>1316</v>
      </c>
      <c r="NM850" t="s">
        <v>1589</v>
      </c>
      <c r="NU850" t="s">
        <v>536</v>
      </c>
      <c r="NV850" t="s">
        <v>518</v>
      </c>
      <c r="NW850">
        <v>4.5</v>
      </c>
      <c r="NX850" t="s">
        <v>480</v>
      </c>
      <c r="OB850">
        <v>3</v>
      </c>
      <c r="OU850" t="s">
        <v>1590</v>
      </c>
      <c r="OV850" t="s">
        <v>518</v>
      </c>
      <c r="OX850">
        <v>2010</v>
      </c>
      <c r="OY850">
        <v>2011</v>
      </c>
      <c r="OZ850" t="s">
        <v>1511</v>
      </c>
      <c r="PA850" t="s">
        <v>1534</v>
      </c>
      <c r="PB850" t="s">
        <v>522</v>
      </c>
      <c r="PC850" s="50">
        <v>46136</v>
      </c>
      <c r="PD850" s="127"/>
    </row>
    <row r="851" spans="1:420" ht="15.75" thickBot="1">
      <c r="A851" t="s">
        <v>469</v>
      </c>
      <c r="B851" t="s">
        <v>1496</v>
      </c>
      <c r="C851" t="s">
        <v>1252</v>
      </c>
      <c r="D851" t="s">
        <v>950</v>
      </c>
      <c r="E851" s="81" t="s">
        <v>1497</v>
      </c>
      <c r="F851" s="80" t="s">
        <v>1179</v>
      </c>
      <c r="G851" t="s">
        <v>475</v>
      </c>
      <c r="H851" t="s">
        <v>1079</v>
      </c>
      <c r="I851">
        <v>23.983876843571402</v>
      </c>
      <c r="J851">
        <v>90.402873983888597</v>
      </c>
      <c r="K851">
        <v>250</v>
      </c>
      <c r="AV851" t="s">
        <v>1498</v>
      </c>
      <c r="AW851">
        <f t="shared" si="6"/>
        <v>1435</v>
      </c>
      <c r="AX851" t="s">
        <v>480</v>
      </c>
      <c r="AY851">
        <v>3</v>
      </c>
      <c r="AZ851" t="s">
        <v>1499</v>
      </c>
      <c r="BA851">
        <v>2009</v>
      </c>
      <c r="BB851">
        <v>2012</v>
      </c>
      <c r="BC851">
        <v>2009.2</v>
      </c>
      <c r="BD851" t="s">
        <v>1551</v>
      </c>
      <c r="BE851" t="s">
        <v>536</v>
      </c>
      <c r="BF851" t="s">
        <v>484</v>
      </c>
      <c r="BG851" t="s">
        <v>1278</v>
      </c>
      <c r="BH851" t="s">
        <v>1552</v>
      </c>
      <c r="BI851" t="s">
        <v>1503</v>
      </c>
      <c r="BJ851">
        <v>1614</v>
      </c>
      <c r="BK851" t="s">
        <v>555</v>
      </c>
      <c r="BL851" t="s">
        <v>485</v>
      </c>
      <c r="BM851" t="s">
        <v>1553</v>
      </c>
      <c r="BN851" t="s">
        <v>1503</v>
      </c>
      <c r="BO851">
        <v>20</v>
      </c>
      <c r="BP851" t="s">
        <v>555</v>
      </c>
      <c r="BQ851" t="s">
        <v>1290</v>
      </c>
      <c r="BR851" t="s">
        <v>1554</v>
      </c>
      <c r="BS851" t="s">
        <v>1503</v>
      </c>
      <c r="BT851">
        <v>30</v>
      </c>
      <c r="BU851" t="s">
        <v>555</v>
      </c>
      <c r="BV851" t="s">
        <v>1501</v>
      </c>
      <c r="BW851" t="s">
        <v>1555</v>
      </c>
      <c r="BX851" t="s">
        <v>1503</v>
      </c>
      <c r="BY851">
        <v>35</v>
      </c>
      <c r="BZ851" t="s">
        <v>555</v>
      </c>
      <c r="CA851" t="s">
        <v>1501</v>
      </c>
      <c r="CB851" t="s">
        <v>1556</v>
      </c>
      <c r="CC851" t="s">
        <v>1503</v>
      </c>
      <c r="CD851">
        <v>19</v>
      </c>
      <c r="HK851" t="s">
        <v>1557</v>
      </c>
      <c r="HL851" t="s">
        <v>1546</v>
      </c>
      <c r="HM851" s="127" t="s">
        <v>480</v>
      </c>
      <c r="HN851" s="127" t="s">
        <v>480</v>
      </c>
      <c r="HO851" t="s">
        <v>480</v>
      </c>
      <c r="HP851">
        <v>9</v>
      </c>
      <c r="HQ851" t="s">
        <v>1558</v>
      </c>
      <c r="HS851" t="s">
        <v>1509</v>
      </c>
      <c r="HT851" s="50">
        <v>40153</v>
      </c>
      <c r="IO851" t="s">
        <v>1551</v>
      </c>
      <c r="IP851" t="s">
        <v>1559</v>
      </c>
      <c r="IS851">
        <v>2009</v>
      </c>
      <c r="IT851" t="s">
        <v>1511</v>
      </c>
      <c r="IU851" s="4" t="s">
        <v>1186</v>
      </c>
      <c r="JK851" t="s">
        <v>494</v>
      </c>
      <c r="JL851" t="s">
        <v>1512</v>
      </c>
      <c r="JM851" t="s">
        <v>1560</v>
      </c>
      <c r="JN851" t="s">
        <v>961</v>
      </c>
      <c r="JO851" t="s">
        <v>1561</v>
      </c>
      <c r="JP851" t="s">
        <v>508</v>
      </c>
      <c r="JQ851">
        <f>80+80+38+38</f>
        <v>236</v>
      </c>
      <c r="JR851">
        <v>54</v>
      </c>
      <c r="JS851">
        <v>185</v>
      </c>
      <c r="KE851" t="s">
        <v>1562</v>
      </c>
      <c r="KF851" t="s">
        <v>1001</v>
      </c>
      <c r="KG851" t="s">
        <v>1515</v>
      </c>
      <c r="KH851">
        <v>4</v>
      </c>
      <c r="KI851" t="s">
        <v>1516</v>
      </c>
      <c r="KJ851" t="s">
        <v>530</v>
      </c>
      <c r="KN851" t="s">
        <v>545</v>
      </c>
      <c r="KO851" t="s">
        <v>1563</v>
      </c>
      <c r="KP851" s="8" t="s">
        <v>1518</v>
      </c>
      <c r="KQ851">
        <v>1.6</v>
      </c>
      <c r="KS851" s="8"/>
      <c r="KV851" t="s">
        <v>1564</v>
      </c>
      <c r="KW851" t="s">
        <v>1520</v>
      </c>
      <c r="LC851" t="s">
        <v>508</v>
      </c>
      <c r="LD851">
        <v>1600</v>
      </c>
      <c r="LL851" t="s">
        <v>1521</v>
      </c>
      <c r="LM851" t="s">
        <v>1522</v>
      </c>
      <c r="LN851">
        <v>30</v>
      </c>
      <c r="LT851" t="s">
        <v>1565</v>
      </c>
      <c r="LU851" t="s">
        <v>1524</v>
      </c>
      <c r="LY851" t="s">
        <v>1269</v>
      </c>
      <c r="LZ851">
        <v>1186</v>
      </c>
      <c r="MA851" t="s">
        <v>1525</v>
      </c>
      <c r="MG851" t="s">
        <v>1566</v>
      </c>
      <c r="MI851" s="50">
        <v>40224</v>
      </c>
      <c r="MY851" t="s">
        <v>1527</v>
      </c>
      <c r="MZ851">
        <v>1435</v>
      </c>
      <c r="NA851" t="s">
        <v>1575</v>
      </c>
      <c r="NB851" s="2"/>
      <c r="NC851" s="2" t="s">
        <v>1529</v>
      </c>
      <c r="ND851" s="2"/>
      <c r="NE851" s="2"/>
      <c r="NI851" t="s">
        <v>1576</v>
      </c>
      <c r="NJ851" t="s">
        <v>1587</v>
      </c>
      <c r="NK851" t="s">
        <v>1588</v>
      </c>
      <c r="NL851" s="4" t="s">
        <v>1316</v>
      </c>
      <c r="NM851" t="s">
        <v>1589</v>
      </c>
      <c r="NV851" t="s">
        <v>518</v>
      </c>
      <c r="NW851">
        <v>2</v>
      </c>
      <c r="NX851" t="s">
        <v>480</v>
      </c>
      <c r="OB851">
        <v>3</v>
      </c>
      <c r="OU851" t="s">
        <v>1590</v>
      </c>
      <c r="OV851" t="s">
        <v>518</v>
      </c>
      <c r="OX851">
        <v>2010</v>
      </c>
      <c r="OY851">
        <v>2011</v>
      </c>
      <c r="OZ851" t="s">
        <v>1511</v>
      </c>
      <c r="PA851" t="s">
        <v>1534</v>
      </c>
      <c r="PB851" t="s">
        <v>522</v>
      </c>
      <c r="PC851" s="50">
        <v>46136</v>
      </c>
      <c r="PD851" s="127"/>
    </row>
    <row r="852" spans="1:420" ht="15.75" thickBot="1">
      <c r="A852" t="s">
        <v>469</v>
      </c>
      <c r="B852" t="s">
        <v>1496</v>
      </c>
      <c r="C852" t="s">
        <v>1252</v>
      </c>
      <c r="D852" t="s">
        <v>950</v>
      </c>
      <c r="E852" s="81" t="s">
        <v>1497</v>
      </c>
      <c r="F852" s="80" t="s">
        <v>1179</v>
      </c>
      <c r="G852" t="s">
        <v>475</v>
      </c>
      <c r="H852" t="s">
        <v>1079</v>
      </c>
      <c r="I852">
        <v>23.983876843571402</v>
      </c>
      <c r="J852">
        <v>90.402873983888597</v>
      </c>
      <c r="K852">
        <v>250</v>
      </c>
      <c r="AV852" t="s">
        <v>1498</v>
      </c>
      <c r="AW852">
        <f t="shared" si="6"/>
        <v>1435</v>
      </c>
      <c r="AX852" t="s">
        <v>480</v>
      </c>
      <c r="AY852">
        <v>3</v>
      </c>
      <c r="AZ852" t="s">
        <v>1499</v>
      </c>
      <c r="BA852">
        <v>2009</v>
      </c>
      <c r="BB852">
        <v>2012</v>
      </c>
      <c r="BC852">
        <v>2009.2</v>
      </c>
      <c r="BD852" t="s">
        <v>1500</v>
      </c>
      <c r="BE852" t="s">
        <v>524</v>
      </c>
      <c r="BF852" t="s">
        <v>484</v>
      </c>
      <c r="BG852" t="s">
        <v>1501</v>
      </c>
      <c r="BH852" t="s">
        <v>1502</v>
      </c>
      <c r="BI852" t="s">
        <v>1503</v>
      </c>
      <c r="BJ852">
        <v>45</v>
      </c>
      <c r="BK852" t="s">
        <v>555</v>
      </c>
      <c r="BL852" t="s">
        <v>1501</v>
      </c>
      <c r="BM852" t="s">
        <v>1504</v>
      </c>
      <c r="BN852" t="s">
        <v>1503</v>
      </c>
      <c r="BO852">
        <v>49</v>
      </c>
      <c r="BP852" t="s">
        <v>555</v>
      </c>
      <c r="BQ852" t="s">
        <v>1501</v>
      </c>
      <c r="BR852" t="s">
        <v>1505</v>
      </c>
      <c r="BS852" t="s">
        <v>1503</v>
      </c>
      <c r="BT852">
        <v>49</v>
      </c>
      <c r="HK852" t="s">
        <v>1506</v>
      </c>
      <c r="HL852" t="s">
        <v>526</v>
      </c>
      <c r="HM852" t="s">
        <v>1507</v>
      </c>
      <c r="HO852" t="s">
        <v>480</v>
      </c>
      <c r="HP852">
        <v>12</v>
      </c>
      <c r="HQ852" t="s">
        <v>1508</v>
      </c>
      <c r="HS852" t="s">
        <v>1509</v>
      </c>
      <c r="HT852" s="50">
        <v>40202</v>
      </c>
      <c r="HU852" s="50"/>
      <c r="IO852" t="s">
        <v>1500</v>
      </c>
      <c r="IP852" s="46" t="s">
        <v>1510</v>
      </c>
      <c r="IS852">
        <v>2009</v>
      </c>
      <c r="IT852" t="s">
        <v>1511</v>
      </c>
      <c r="IU852" s="4" t="s">
        <v>1186</v>
      </c>
      <c r="JK852" t="s">
        <v>494</v>
      </c>
      <c r="JL852" t="s">
        <v>1512</v>
      </c>
      <c r="JM852" t="s">
        <v>1513</v>
      </c>
      <c r="JN852" t="s">
        <v>508</v>
      </c>
      <c r="JO852">
        <v>12</v>
      </c>
      <c r="JP852" t="s">
        <v>508</v>
      </c>
      <c r="JQ852">
        <v>51</v>
      </c>
      <c r="JR852">
        <v>18</v>
      </c>
      <c r="JS852">
        <f>32+69+35</f>
        <v>136</v>
      </c>
      <c r="KE852" t="s">
        <v>1514</v>
      </c>
      <c r="KF852" t="s">
        <v>1001</v>
      </c>
      <c r="KG852" t="s">
        <v>1515</v>
      </c>
      <c r="KH852">
        <v>3</v>
      </c>
      <c r="KI852" t="s">
        <v>1516</v>
      </c>
      <c r="KJ852" t="s">
        <v>530</v>
      </c>
      <c r="KN852" t="s">
        <v>545</v>
      </c>
      <c r="KO852" t="s">
        <v>1568</v>
      </c>
      <c r="KP852" t="s">
        <v>1518</v>
      </c>
      <c r="KQ852">
        <v>0.7</v>
      </c>
      <c r="KV852" t="s">
        <v>1519</v>
      </c>
      <c r="KW852" t="s">
        <v>1520</v>
      </c>
      <c r="LC852" t="s">
        <v>508</v>
      </c>
      <c r="LD852">
        <v>1600</v>
      </c>
      <c r="LL852" t="s">
        <v>1521</v>
      </c>
      <c r="LM852" t="s">
        <v>1522</v>
      </c>
      <c r="LN852">
        <v>7.5</v>
      </c>
      <c r="LT852" t="s">
        <v>1523</v>
      </c>
      <c r="LU852" t="s">
        <v>1524</v>
      </c>
      <c r="LY852" t="s">
        <v>1269</v>
      </c>
      <c r="LZ852">
        <v>1450</v>
      </c>
      <c r="MA852" t="s">
        <v>1525</v>
      </c>
      <c r="MG852" t="s">
        <v>1526</v>
      </c>
      <c r="MI852" s="50">
        <v>40292</v>
      </c>
      <c r="MY852" t="s">
        <v>1527</v>
      </c>
      <c r="MZ852">
        <v>1435</v>
      </c>
      <c r="NA852" t="s">
        <v>1571</v>
      </c>
      <c r="NB852" s="2" t="s">
        <v>1529</v>
      </c>
      <c r="NC852" s="2" t="s">
        <v>1529</v>
      </c>
      <c r="ND852" s="2"/>
      <c r="NE852" s="2"/>
      <c r="NI852" t="s">
        <v>1576</v>
      </c>
      <c r="NJ852" t="s">
        <v>1587</v>
      </c>
      <c r="NK852" t="s">
        <v>1588</v>
      </c>
      <c r="NL852" s="4" t="s">
        <v>1316</v>
      </c>
      <c r="NM852" t="s">
        <v>1589</v>
      </c>
      <c r="NU852" t="s">
        <v>1532</v>
      </c>
      <c r="NV852" t="s">
        <v>518</v>
      </c>
      <c r="NW852">
        <v>4.3</v>
      </c>
      <c r="NX852" t="s">
        <v>480</v>
      </c>
      <c r="OB852">
        <v>3</v>
      </c>
      <c r="OU852" t="s">
        <v>1590</v>
      </c>
      <c r="OV852" t="s">
        <v>518</v>
      </c>
      <c r="OX852">
        <v>2011</v>
      </c>
      <c r="OY852">
        <v>2012</v>
      </c>
      <c r="OZ852" t="s">
        <v>1511</v>
      </c>
      <c r="PA852" t="s">
        <v>1534</v>
      </c>
      <c r="PB852" t="s">
        <v>522</v>
      </c>
      <c r="PC852" s="50">
        <v>46136</v>
      </c>
      <c r="PD852" s="127"/>
    </row>
    <row r="853" spans="1:420" ht="15.75" thickBot="1">
      <c r="A853" t="s">
        <v>469</v>
      </c>
      <c r="B853" t="s">
        <v>1496</v>
      </c>
      <c r="C853" t="s">
        <v>1252</v>
      </c>
      <c r="D853" t="s">
        <v>950</v>
      </c>
      <c r="E853" s="81" t="s">
        <v>1497</v>
      </c>
      <c r="F853" s="80" t="s">
        <v>1179</v>
      </c>
      <c r="G853" t="s">
        <v>475</v>
      </c>
      <c r="H853" t="s">
        <v>1079</v>
      </c>
      <c r="I853">
        <v>23.983876843571402</v>
      </c>
      <c r="J853">
        <v>90.402873983888597</v>
      </c>
      <c r="K853">
        <v>250</v>
      </c>
      <c r="AV853" t="s">
        <v>1498</v>
      </c>
      <c r="AW853">
        <f t="shared" si="6"/>
        <v>1435</v>
      </c>
      <c r="AX853" t="s">
        <v>480</v>
      </c>
      <c r="AY853">
        <v>3</v>
      </c>
      <c r="AZ853" t="s">
        <v>1499</v>
      </c>
      <c r="BA853">
        <v>2009</v>
      </c>
      <c r="BB853">
        <v>2012</v>
      </c>
      <c r="BC853">
        <v>2009.2</v>
      </c>
      <c r="BD853" t="s">
        <v>1535</v>
      </c>
      <c r="BE853" t="s">
        <v>483</v>
      </c>
      <c r="BF853" t="s">
        <v>484</v>
      </c>
      <c r="BG853" t="s">
        <v>1501</v>
      </c>
      <c r="BH853" t="s">
        <v>1502</v>
      </c>
      <c r="BI853" t="s">
        <v>1503</v>
      </c>
      <c r="BJ853">
        <v>30</v>
      </c>
      <c r="BK853" t="s">
        <v>555</v>
      </c>
      <c r="BL853" t="s">
        <v>1501</v>
      </c>
      <c r="BM853" t="s">
        <v>1505</v>
      </c>
      <c r="BN853" t="s">
        <v>1503</v>
      </c>
      <c r="BO853">
        <v>35</v>
      </c>
      <c r="HK853" t="s">
        <v>1506</v>
      </c>
      <c r="HL853" t="s">
        <v>526</v>
      </c>
      <c r="HM853" t="s">
        <v>1507</v>
      </c>
      <c r="HO853" t="s">
        <v>480</v>
      </c>
      <c r="HP853">
        <v>12</v>
      </c>
      <c r="HQ853" t="s">
        <v>1508</v>
      </c>
      <c r="HS853" t="s">
        <v>1509</v>
      </c>
      <c r="HT853" s="50">
        <v>40192</v>
      </c>
      <c r="HU853" s="50"/>
      <c r="IO853" t="s">
        <v>1535</v>
      </c>
      <c r="IP853" s="46" t="s">
        <v>1510</v>
      </c>
      <c r="IS853">
        <v>2009</v>
      </c>
      <c r="IT853" t="s">
        <v>1511</v>
      </c>
      <c r="IU853" s="4" t="s">
        <v>1186</v>
      </c>
      <c r="JK853" t="s">
        <v>494</v>
      </c>
      <c r="JL853" t="s">
        <v>1512</v>
      </c>
      <c r="JM853" t="s">
        <v>1536</v>
      </c>
      <c r="JN853" t="s">
        <v>497</v>
      </c>
      <c r="JO853" t="s">
        <v>1567</v>
      </c>
      <c r="JP853" t="s">
        <v>508</v>
      </c>
      <c r="JQ853">
        <v>44</v>
      </c>
      <c r="JR853">
        <v>13</v>
      </c>
      <c r="JS853">
        <f>23+59+59+16</f>
        <v>157</v>
      </c>
      <c r="KE853" t="s">
        <v>1538</v>
      </c>
      <c r="KF853" t="s">
        <v>1001</v>
      </c>
      <c r="KG853" t="s">
        <v>1515</v>
      </c>
      <c r="KH853">
        <v>6</v>
      </c>
      <c r="KI853" t="s">
        <v>1516</v>
      </c>
      <c r="KJ853" t="s">
        <v>501</v>
      </c>
      <c r="KK853" s="8" t="s">
        <v>1539</v>
      </c>
      <c r="KL853" t="s">
        <v>1540</v>
      </c>
      <c r="KM853">
        <v>0.99</v>
      </c>
      <c r="KN853" t="s">
        <v>545</v>
      </c>
      <c r="KO853" t="s">
        <v>1568</v>
      </c>
      <c r="KP853" t="s">
        <v>1518</v>
      </c>
      <c r="KQ853">
        <v>0.7</v>
      </c>
      <c r="KV853" t="s">
        <v>1542</v>
      </c>
      <c r="KW853" t="s">
        <v>1520</v>
      </c>
      <c r="LC853" t="s">
        <v>508</v>
      </c>
      <c r="LD853">
        <v>2000</v>
      </c>
      <c r="LL853" t="s">
        <v>1521</v>
      </c>
      <c r="LM853" t="s">
        <v>1522</v>
      </c>
      <c r="LN853">
        <v>30</v>
      </c>
      <c r="LT853" t="s">
        <v>1543</v>
      </c>
      <c r="LU853" t="s">
        <v>1524</v>
      </c>
      <c r="LY853" t="s">
        <v>1269</v>
      </c>
      <c r="LZ853">
        <v>1481</v>
      </c>
      <c r="MA853" t="s">
        <v>1525</v>
      </c>
      <c r="MG853" t="s">
        <v>1526</v>
      </c>
      <c r="MI853" s="50">
        <v>40298</v>
      </c>
      <c r="MY853" t="s">
        <v>1527</v>
      </c>
      <c r="MZ853">
        <v>1435</v>
      </c>
      <c r="NA853" t="s">
        <v>1571</v>
      </c>
      <c r="NB853" s="2" t="s">
        <v>1529</v>
      </c>
      <c r="NC853" s="2" t="s">
        <v>1529</v>
      </c>
      <c r="ND853" s="2"/>
      <c r="NE853" s="2"/>
      <c r="NI853" t="s">
        <v>1576</v>
      </c>
      <c r="NJ853" t="s">
        <v>1587</v>
      </c>
      <c r="NK853" t="s">
        <v>1588</v>
      </c>
      <c r="NL853" s="4" t="s">
        <v>1316</v>
      </c>
      <c r="NM853" t="s">
        <v>1589</v>
      </c>
      <c r="NU853" t="s">
        <v>1532</v>
      </c>
      <c r="NV853" t="s">
        <v>518</v>
      </c>
      <c r="NW853">
        <v>3.8</v>
      </c>
      <c r="NX853" t="s">
        <v>480</v>
      </c>
      <c r="OB853">
        <v>3</v>
      </c>
      <c r="OU853" t="s">
        <v>1590</v>
      </c>
      <c r="OV853" t="s">
        <v>518</v>
      </c>
      <c r="OX853">
        <v>2011</v>
      </c>
      <c r="OY853">
        <v>2012</v>
      </c>
      <c r="OZ853" t="s">
        <v>1511</v>
      </c>
      <c r="PA853" t="s">
        <v>1534</v>
      </c>
      <c r="PB853" t="s">
        <v>522</v>
      </c>
      <c r="PC853" s="50">
        <v>46136</v>
      </c>
      <c r="PD853" s="127"/>
    </row>
    <row r="854" spans="1:420" ht="15.75" thickBot="1">
      <c r="A854" t="s">
        <v>469</v>
      </c>
      <c r="B854" t="s">
        <v>1496</v>
      </c>
      <c r="C854" t="s">
        <v>1252</v>
      </c>
      <c r="D854" t="s">
        <v>950</v>
      </c>
      <c r="E854" s="81" t="s">
        <v>1497</v>
      </c>
      <c r="F854" s="80" t="s">
        <v>1179</v>
      </c>
      <c r="G854" t="s">
        <v>475</v>
      </c>
      <c r="H854" t="s">
        <v>1079</v>
      </c>
      <c r="I854">
        <v>23.983876843571402</v>
      </c>
      <c r="J854">
        <v>90.402873983888597</v>
      </c>
      <c r="K854">
        <v>250</v>
      </c>
      <c r="AV854" t="s">
        <v>1498</v>
      </c>
      <c r="AW854">
        <f t="shared" si="6"/>
        <v>1435</v>
      </c>
      <c r="AX854" t="s">
        <v>480</v>
      </c>
      <c r="AY854">
        <v>3</v>
      </c>
      <c r="AZ854" t="s">
        <v>1499</v>
      </c>
      <c r="BA854">
        <v>2009</v>
      </c>
      <c r="BB854">
        <v>2012</v>
      </c>
      <c r="BC854">
        <v>2009.2</v>
      </c>
      <c r="BD854" t="s">
        <v>1544</v>
      </c>
      <c r="BE854" t="s">
        <v>593</v>
      </c>
      <c r="BF854" t="s">
        <v>484</v>
      </c>
      <c r="BG854" t="s">
        <v>1501</v>
      </c>
      <c r="BH854" t="s">
        <v>1502</v>
      </c>
      <c r="BI854" t="s">
        <v>1503</v>
      </c>
      <c r="BJ854">
        <v>30</v>
      </c>
      <c r="BK854" t="s">
        <v>555</v>
      </c>
      <c r="BL854" t="s">
        <v>1501</v>
      </c>
      <c r="BM854" t="s">
        <v>1505</v>
      </c>
      <c r="BN854" t="s">
        <v>1503</v>
      </c>
      <c r="BO854">
        <v>19</v>
      </c>
      <c r="HK854" t="s">
        <v>1545</v>
      </c>
      <c r="HL854" t="s">
        <v>1546</v>
      </c>
      <c r="HM854" s="127" t="s">
        <v>480</v>
      </c>
      <c r="HN854" s="127" t="s">
        <v>480</v>
      </c>
      <c r="HO854" t="s">
        <v>480</v>
      </c>
      <c r="HP854">
        <v>4</v>
      </c>
      <c r="HQ854" t="s">
        <v>1547</v>
      </c>
      <c r="HS854" t="s">
        <v>1509</v>
      </c>
      <c r="HT854" s="50">
        <v>40192</v>
      </c>
      <c r="HU854" s="50"/>
      <c r="IO854" t="s">
        <v>1544</v>
      </c>
      <c r="IP854" s="46" t="s">
        <v>1510</v>
      </c>
      <c r="IS854">
        <v>2009</v>
      </c>
      <c r="IT854" t="s">
        <v>1511</v>
      </c>
      <c r="IU854" s="4" t="s">
        <v>1186</v>
      </c>
      <c r="JK854" t="s">
        <v>494</v>
      </c>
      <c r="JL854" t="s">
        <v>1512</v>
      </c>
      <c r="JM854" t="s">
        <v>1536</v>
      </c>
      <c r="JN854" t="s">
        <v>497</v>
      </c>
      <c r="JO854" t="s">
        <v>1567</v>
      </c>
      <c r="JP854" t="s">
        <v>508</v>
      </c>
      <c r="JQ854">
        <v>44</v>
      </c>
      <c r="JR854">
        <v>13</v>
      </c>
      <c r="JS854">
        <f>23+59+59+16</f>
        <v>157</v>
      </c>
      <c r="KE854" t="s">
        <v>1548</v>
      </c>
      <c r="KF854" t="s">
        <v>1001</v>
      </c>
      <c r="KG854" t="s">
        <v>1515</v>
      </c>
      <c r="KH854">
        <v>7</v>
      </c>
      <c r="KI854" t="s">
        <v>1516</v>
      </c>
      <c r="KJ854" t="s">
        <v>501</v>
      </c>
      <c r="KK854" s="8" t="s">
        <v>1539</v>
      </c>
      <c r="KL854" t="s">
        <v>1540</v>
      </c>
      <c r="KM854">
        <v>0.99</v>
      </c>
      <c r="KN854" t="s">
        <v>545</v>
      </c>
      <c r="KO854" t="s">
        <v>1568</v>
      </c>
      <c r="KP854" t="s">
        <v>1518</v>
      </c>
      <c r="KQ854">
        <v>0.7</v>
      </c>
      <c r="KV854" t="s">
        <v>1549</v>
      </c>
      <c r="KW854" t="s">
        <v>1520</v>
      </c>
      <c r="LC854" t="s">
        <v>508</v>
      </c>
      <c r="LD854">
        <v>1900</v>
      </c>
      <c r="LL854" t="s">
        <v>1521</v>
      </c>
      <c r="LM854" t="s">
        <v>1522</v>
      </c>
      <c r="LN854">
        <v>30</v>
      </c>
      <c r="LT854" t="s">
        <v>1550</v>
      </c>
      <c r="LU854" t="s">
        <v>1524</v>
      </c>
      <c r="LY854" t="s">
        <v>1269</v>
      </c>
      <c r="LZ854">
        <v>1530</v>
      </c>
      <c r="MA854" t="s">
        <v>1525</v>
      </c>
      <c r="MG854" t="s">
        <v>1526</v>
      </c>
      <c r="MI854" s="50">
        <v>40299</v>
      </c>
      <c r="MY854" t="s">
        <v>1527</v>
      </c>
      <c r="MZ854">
        <v>1435</v>
      </c>
      <c r="NA854" t="s">
        <v>1571</v>
      </c>
      <c r="NB854" s="2" t="s">
        <v>1529</v>
      </c>
      <c r="NC854" s="2" t="s">
        <v>1529</v>
      </c>
      <c r="ND854" s="2"/>
      <c r="NE854" s="2"/>
      <c r="NI854" t="s">
        <v>1576</v>
      </c>
      <c r="NJ854" t="s">
        <v>1587</v>
      </c>
      <c r="NK854" t="s">
        <v>1588</v>
      </c>
      <c r="NL854" s="4" t="s">
        <v>1316</v>
      </c>
      <c r="NM854" t="s">
        <v>1589</v>
      </c>
      <c r="NU854" t="s">
        <v>536</v>
      </c>
      <c r="NV854" t="s">
        <v>518</v>
      </c>
      <c r="NW854">
        <v>3.9</v>
      </c>
      <c r="NX854" t="s">
        <v>480</v>
      </c>
      <c r="OB854">
        <v>3</v>
      </c>
      <c r="OU854" t="s">
        <v>1590</v>
      </c>
      <c r="OV854" t="s">
        <v>518</v>
      </c>
      <c r="OX854">
        <v>2011</v>
      </c>
      <c r="OY854">
        <v>2012</v>
      </c>
      <c r="OZ854" t="s">
        <v>1511</v>
      </c>
      <c r="PA854" t="s">
        <v>1534</v>
      </c>
      <c r="PB854" t="s">
        <v>522</v>
      </c>
      <c r="PC854" s="50">
        <v>46136</v>
      </c>
      <c r="PD854" s="127"/>
    </row>
    <row r="855" spans="1:420" ht="15.75" thickBot="1">
      <c r="A855" t="s">
        <v>469</v>
      </c>
      <c r="B855" t="s">
        <v>1496</v>
      </c>
      <c r="C855" t="s">
        <v>1252</v>
      </c>
      <c r="D855" t="s">
        <v>950</v>
      </c>
      <c r="E855" s="81" t="s">
        <v>1497</v>
      </c>
      <c r="F855" s="80" t="s">
        <v>1179</v>
      </c>
      <c r="G855" t="s">
        <v>475</v>
      </c>
      <c r="H855" t="s">
        <v>1079</v>
      </c>
      <c r="I855">
        <v>23.983876843571402</v>
      </c>
      <c r="J855">
        <v>90.402873983888597</v>
      </c>
      <c r="K855">
        <v>250</v>
      </c>
      <c r="AV855" t="s">
        <v>1498</v>
      </c>
      <c r="AW855">
        <f t="shared" si="6"/>
        <v>1435</v>
      </c>
      <c r="AX855" t="s">
        <v>480</v>
      </c>
      <c r="AY855">
        <v>3</v>
      </c>
      <c r="AZ855" t="s">
        <v>1499</v>
      </c>
      <c r="BA855">
        <v>2009</v>
      </c>
      <c r="BB855">
        <v>2012</v>
      </c>
      <c r="BC855">
        <v>2009.2</v>
      </c>
      <c r="BD855" t="s">
        <v>1551</v>
      </c>
      <c r="BE855" t="s">
        <v>536</v>
      </c>
      <c r="BF855" t="s">
        <v>484</v>
      </c>
      <c r="BG855" t="s">
        <v>1278</v>
      </c>
      <c r="BH855" t="s">
        <v>1552</v>
      </c>
      <c r="BI855" t="s">
        <v>1503</v>
      </c>
      <c r="BJ855">
        <v>1614</v>
      </c>
      <c r="BK855" t="s">
        <v>555</v>
      </c>
      <c r="BL855" t="s">
        <v>485</v>
      </c>
      <c r="BM855" t="s">
        <v>1553</v>
      </c>
      <c r="BN855" t="s">
        <v>1503</v>
      </c>
      <c r="BO855">
        <v>20</v>
      </c>
      <c r="BP855" t="s">
        <v>555</v>
      </c>
      <c r="BQ855" t="s">
        <v>1290</v>
      </c>
      <c r="BR855" t="s">
        <v>1554</v>
      </c>
      <c r="BS855" t="s">
        <v>1503</v>
      </c>
      <c r="BT855">
        <v>30</v>
      </c>
      <c r="BU855" t="s">
        <v>555</v>
      </c>
      <c r="BV855" t="s">
        <v>1501</v>
      </c>
      <c r="BW855" t="s">
        <v>1555</v>
      </c>
      <c r="BX855" t="s">
        <v>1503</v>
      </c>
      <c r="BY855">
        <v>35</v>
      </c>
      <c r="BZ855" t="s">
        <v>555</v>
      </c>
      <c r="CA855" t="s">
        <v>1501</v>
      </c>
      <c r="CB855" t="s">
        <v>1556</v>
      </c>
      <c r="CC855" t="s">
        <v>1503</v>
      </c>
      <c r="CD855">
        <v>19</v>
      </c>
      <c r="HK855" t="s">
        <v>1557</v>
      </c>
      <c r="HL855" t="s">
        <v>1546</v>
      </c>
      <c r="HM855" s="127" t="s">
        <v>480</v>
      </c>
      <c r="HN855" s="127" t="s">
        <v>480</v>
      </c>
      <c r="HO855" t="s">
        <v>480</v>
      </c>
      <c r="HP855">
        <v>9</v>
      </c>
      <c r="HQ855" t="s">
        <v>1558</v>
      </c>
      <c r="HS855" t="s">
        <v>1509</v>
      </c>
      <c r="HT855" s="50">
        <v>40153</v>
      </c>
      <c r="IO855" t="s">
        <v>1551</v>
      </c>
      <c r="IP855" t="s">
        <v>1559</v>
      </c>
      <c r="IS855">
        <v>2009</v>
      </c>
      <c r="IT855" t="s">
        <v>1511</v>
      </c>
      <c r="IU855" s="4" t="s">
        <v>1186</v>
      </c>
      <c r="JK855" t="s">
        <v>494</v>
      </c>
      <c r="JL855" t="s">
        <v>1512</v>
      </c>
      <c r="JM855" t="s">
        <v>1560</v>
      </c>
      <c r="JN855" t="s">
        <v>961</v>
      </c>
      <c r="JO855" t="s">
        <v>1569</v>
      </c>
      <c r="JP855" t="s">
        <v>508</v>
      </c>
      <c r="JQ855">
        <v>58</v>
      </c>
      <c r="JR855">
        <v>32</v>
      </c>
      <c r="JS855">
        <v>127</v>
      </c>
      <c r="KE855" t="s">
        <v>1562</v>
      </c>
      <c r="KF855" t="s">
        <v>1001</v>
      </c>
      <c r="KG855" t="s">
        <v>1515</v>
      </c>
      <c r="KH855">
        <v>4</v>
      </c>
      <c r="KI855" t="s">
        <v>1516</v>
      </c>
      <c r="KJ855" t="s">
        <v>530</v>
      </c>
      <c r="KN855" t="s">
        <v>545</v>
      </c>
      <c r="KO855" t="s">
        <v>1563</v>
      </c>
      <c r="KP855" t="s">
        <v>1518</v>
      </c>
      <c r="KQ855">
        <f>1.6*2</f>
        <v>3.2</v>
      </c>
      <c r="KR855" t="s">
        <v>545</v>
      </c>
      <c r="KS855" t="s">
        <v>1570</v>
      </c>
      <c r="KT855" t="s">
        <v>503</v>
      </c>
      <c r="KU855">
        <v>1.47</v>
      </c>
      <c r="KV855" t="s">
        <v>1564</v>
      </c>
      <c r="KW855" t="s">
        <v>1520</v>
      </c>
      <c r="LC855" t="s">
        <v>508</v>
      </c>
      <c r="LD855">
        <v>1600</v>
      </c>
      <c r="LL855" t="s">
        <v>1521</v>
      </c>
      <c r="LM855" t="s">
        <v>1522</v>
      </c>
      <c r="LN855">
        <v>30</v>
      </c>
      <c r="LT855" t="s">
        <v>1565</v>
      </c>
      <c r="LU855" t="s">
        <v>1524</v>
      </c>
      <c r="LY855" t="s">
        <v>1269</v>
      </c>
      <c r="LZ855">
        <v>805</v>
      </c>
      <c r="MA855" t="s">
        <v>1525</v>
      </c>
      <c r="MG855" t="s">
        <v>1566</v>
      </c>
      <c r="MI855" s="50">
        <v>40224</v>
      </c>
      <c r="MY855" t="s">
        <v>1527</v>
      </c>
      <c r="MZ855">
        <v>1435</v>
      </c>
      <c r="NA855" t="s">
        <v>1575</v>
      </c>
      <c r="NB855" s="2"/>
      <c r="NC855" s="2" t="s">
        <v>1529</v>
      </c>
      <c r="ND855" t="s">
        <v>1278</v>
      </c>
      <c r="NE855" s="2" t="s">
        <v>1290</v>
      </c>
      <c r="NI855" t="s">
        <v>1576</v>
      </c>
      <c r="NK855" t="s">
        <v>1588</v>
      </c>
      <c r="NL855" s="4" t="s">
        <v>1316</v>
      </c>
      <c r="NM855" t="s">
        <v>1589</v>
      </c>
      <c r="NV855" t="s">
        <v>518</v>
      </c>
      <c r="NW855">
        <v>2.2000000000000002</v>
      </c>
      <c r="NX855" t="s">
        <v>480</v>
      </c>
      <c r="OB855">
        <v>3</v>
      </c>
      <c r="OU855" t="s">
        <v>1590</v>
      </c>
      <c r="OV855" t="s">
        <v>518</v>
      </c>
      <c r="OX855">
        <v>2011</v>
      </c>
      <c r="OY855">
        <v>2012</v>
      </c>
      <c r="OZ855" t="s">
        <v>1511</v>
      </c>
      <c r="PA855" t="s">
        <v>1534</v>
      </c>
      <c r="PB855" t="s">
        <v>522</v>
      </c>
      <c r="PC855" s="50">
        <v>46136</v>
      </c>
      <c r="PD855" s="127"/>
    </row>
    <row r="856" spans="1:420" ht="15.75" thickBot="1">
      <c r="A856" t="s">
        <v>469</v>
      </c>
      <c r="B856" t="s">
        <v>1591</v>
      </c>
      <c r="C856" t="s">
        <v>1592</v>
      </c>
      <c r="D856" t="s">
        <v>950</v>
      </c>
      <c r="E856" s="81" t="s">
        <v>1593</v>
      </c>
      <c r="F856" t="s">
        <v>1179</v>
      </c>
      <c r="G856" t="s">
        <v>475</v>
      </c>
      <c r="H856" t="s">
        <v>476</v>
      </c>
      <c r="I856">
        <v>7.8527777780000001</v>
      </c>
      <c r="J856">
        <v>-5.1111111109999996</v>
      </c>
      <c r="K856">
        <v>300</v>
      </c>
      <c r="AV856" t="s">
        <v>1594</v>
      </c>
      <c r="AW856">
        <v>136</v>
      </c>
      <c r="AX856" t="s">
        <v>480</v>
      </c>
      <c r="AY856">
        <v>4</v>
      </c>
      <c r="AZ856" t="s">
        <v>1595</v>
      </c>
      <c r="BA856">
        <v>2017</v>
      </c>
      <c r="BB856">
        <v>2020</v>
      </c>
      <c r="BD856" t="s">
        <v>1596</v>
      </c>
      <c r="BE856" t="s">
        <v>536</v>
      </c>
      <c r="BF856" t="s">
        <v>484</v>
      </c>
      <c r="BG856" t="s">
        <v>1501</v>
      </c>
      <c r="BH856" t="s">
        <v>1597</v>
      </c>
      <c r="BI856" t="s">
        <v>1598</v>
      </c>
      <c r="BJ856">
        <v>722000</v>
      </c>
      <c r="BK856" t="s">
        <v>537</v>
      </c>
      <c r="BL856" t="s">
        <v>1599</v>
      </c>
      <c r="BM856" t="s">
        <v>1600</v>
      </c>
      <c r="BN856" t="s">
        <v>1598</v>
      </c>
      <c r="BO856" s="9">
        <v>470000</v>
      </c>
      <c r="BP856" t="s">
        <v>555</v>
      </c>
      <c r="BQ856" t="s">
        <v>485</v>
      </c>
      <c r="BR856" t="s">
        <v>957</v>
      </c>
      <c r="BS856" t="s">
        <v>1598</v>
      </c>
      <c r="BT856" s="9">
        <v>55556</v>
      </c>
      <c r="BU856" t="s">
        <v>537</v>
      </c>
      <c r="BV856" t="s">
        <v>1599</v>
      </c>
      <c r="BW856" t="s">
        <v>1600</v>
      </c>
      <c r="BX856" t="s">
        <v>1598</v>
      </c>
      <c r="BY856" s="9">
        <v>470000</v>
      </c>
      <c r="HK856" t="s">
        <v>1601</v>
      </c>
      <c r="HL856" t="s">
        <v>488</v>
      </c>
      <c r="HT856" s="186">
        <v>42887</v>
      </c>
      <c r="IH856" t="s">
        <v>1596</v>
      </c>
      <c r="II856" s="75" t="s">
        <v>929</v>
      </c>
      <c r="IJ856" t="s">
        <v>542</v>
      </c>
      <c r="IK856" t="s">
        <v>543</v>
      </c>
      <c r="IL856">
        <v>2017</v>
      </c>
      <c r="IN856" t="s">
        <v>1602</v>
      </c>
      <c r="IO856" t="s">
        <v>1596</v>
      </c>
      <c r="IP856" t="s">
        <v>1259</v>
      </c>
      <c r="IQ856" s="75" t="s">
        <v>558</v>
      </c>
      <c r="IS856">
        <v>2018</v>
      </c>
      <c r="IU856" t="s">
        <v>1602</v>
      </c>
      <c r="JK856" t="s">
        <v>682</v>
      </c>
      <c r="KE856" t="s">
        <v>1603</v>
      </c>
      <c r="KF856" t="s">
        <v>1604</v>
      </c>
      <c r="KI856" t="s">
        <v>1601</v>
      </c>
      <c r="KJ856" t="s">
        <v>501</v>
      </c>
      <c r="KK856" t="s">
        <v>502</v>
      </c>
      <c r="KL856" t="s">
        <v>1605</v>
      </c>
      <c r="KM856">
        <f>+AVERAGE(360,720)</f>
        <v>540</v>
      </c>
      <c r="KN856" t="s">
        <v>501</v>
      </c>
      <c r="KO856" t="s">
        <v>1606</v>
      </c>
      <c r="KP856" t="s">
        <v>1605</v>
      </c>
      <c r="KQ856">
        <v>360</v>
      </c>
      <c r="KV856" t="s">
        <v>1607</v>
      </c>
      <c r="KW856" t="s">
        <v>1608</v>
      </c>
      <c r="LJ856" t="s">
        <v>1609</v>
      </c>
      <c r="MY856" t="s">
        <v>1594</v>
      </c>
      <c r="MZ856">
        <v>136</v>
      </c>
      <c r="NB856" t="s">
        <v>1529</v>
      </c>
      <c r="NC856" t="s">
        <v>548</v>
      </c>
      <c r="NI856" t="s">
        <v>1610</v>
      </c>
      <c r="NJ856" t="s">
        <v>1611</v>
      </c>
      <c r="NK856" t="s">
        <v>1612</v>
      </c>
      <c r="NL856" t="s">
        <v>515</v>
      </c>
      <c r="NM856" t="s">
        <v>1613</v>
      </c>
      <c r="NV856" t="s">
        <v>518</v>
      </c>
      <c r="NW856">
        <v>183021</v>
      </c>
      <c r="NX856" t="s">
        <v>480</v>
      </c>
      <c r="OB856">
        <v>3</v>
      </c>
      <c r="OU856" t="s">
        <v>1614</v>
      </c>
      <c r="OV856" t="s">
        <v>518</v>
      </c>
      <c r="OX856">
        <v>2017</v>
      </c>
      <c r="OY856">
        <v>2020</v>
      </c>
      <c r="PB856" t="s">
        <v>522</v>
      </c>
      <c r="PC856" s="50">
        <v>46136</v>
      </c>
    </row>
    <row r="857" spans="1:420" ht="15.75" thickBot="1">
      <c r="A857" t="s">
        <v>469</v>
      </c>
      <c r="B857" t="s">
        <v>1591</v>
      </c>
      <c r="C857" t="s">
        <v>1592</v>
      </c>
      <c r="D857" t="s">
        <v>950</v>
      </c>
      <c r="E857" s="81" t="s">
        <v>1593</v>
      </c>
      <c r="F857" t="s">
        <v>1179</v>
      </c>
      <c r="G857" t="s">
        <v>475</v>
      </c>
      <c r="H857" t="s">
        <v>476</v>
      </c>
      <c r="I857">
        <v>7.8527777780000001</v>
      </c>
      <c r="J857">
        <v>-5.1111111109999996</v>
      </c>
      <c r="K857">
        <v>300</v>
      </c>
      <c r="AV857" t="s">
        <v>1594</v>
      </c>
      <c r="AW857">
        <v>136</v>
      </c>
      <c r="AX857" t="s">
        <v>480</v>
      </c>
      <c r="AY857">
        <v>4</v>
      </c>
      <c r="AZ857" t="s">
        <v>1595</v>
      </c>
      <c r="BA857">
        <v>2017</v>
      </c>
      <c r="BB857">
        <v>2020</v>
      </c>
      <c r="BD857" t="s">
        <v>1615</v>
      </c>
      <c r="BE857" t="s">
        <v>566</v>
      </c>
      <c r="BF857" t="s">
        <v>484</v>
      </c>
      <c r="BG857" t="s">
        <v>1501</v>
      </c>
      <c r="BH857" t="s">
        <v>1597</v>
      </c>
      <c r="BI857" t="s">
        <v>1598</v>
      </c>
      <c r="BJ857">
        <v>722000</v>
      </c>
      <c r="BK857" t="s">
        <v>537</v>
      </c>
      <c r="BL857" t="s">
        <v>1599</v>
      </c>
      <c r="BM857" t="s">
        <v>1600</v>
      </c>
      <c r="BN857" t="s">
        <v>1598</v>
      </c>
      <c r="BO857" s="9">
        <v>470000</v>
      </c>
      <c r="BP857" t="s">
        <v>555</v>
      </c>
      <c r="BQ857" t="s">
        <v>1501</v>
      </c>
      <c r="BR857" t="s">
        <v>1597</v>
      </c>
      <c r="BS857" t="s">
        <v>1598</v>
      </c>
      <c r="BT857">
        <v>722000</v>
      </c>
      <c r="BU857" t="s">
        <v>537</v>
      </c>
      <c r="BV857" t="s">
        <v>1599</v>
      </c>
      <c r="BW857" t="s">
        <v>1600</v>
      </c>
      <c r="BX857" t="s">
        <v>1598</v>
      </c>
      <c r="BY857" s="9">
        <v>470000</v>
      </c>
      <c r="HK857" t="s">
        <v>1601</v>
      </c>
      <c r="HL857" t="s">
        <v>488</v>
      </c>
      <c r="HT857" s="186">
        <v>42887</v>
      </c>
      <c r="IH857" t="s">
        <v>1615</v>
      </c>
      <c r="II857" s="75" t="s">
        <v>929</v>
      </c>
      <c r="IJ857" t="s">
        <v>542</v>
      </c>
      <c r="IK857" t="s">
        <v>543</v>
      </c>
      <c r="IL857">
        <v>2017</v>
      </c>
      <c r="IN857" t="s">
        <v>1602</v>
      </c>
      <c r="IO857" t="s">
        <v>1615</v>
      </c>
      <c r="IP857" t="s">
        <v>1259</v>
      </c>
      <c r="IQ857" s="75" t="s">
        <v>558</v>
      </c>
      <c r="IS857">
        <v>2018</v>
      </c>
      <c r="IU857" t="s">
        <v>1602</v>
      </c>
      <c r="JK857" t="s">
        <v>682</v>
      </c>
      <c r="KE857" t="s">
        <v>1603</v>
      </c>
      <c r="KF857" t="s">
        <v>1604</v>
      </c>
      <c r="KI857" t="s">
        <v>1601</v>
      </c>
      <c r="KJ857" t="s">
        <v>501</v>
      </c>
      <c r="KK857" t="s">
        <v>502</v>
      </c>
      <c r="KL857" t="s">
        <v>1605</v>
      </c>
      <c r="KM857">
        <f t="shared" ref="KM857:KM859" si="9">+AVERAGE(360,720)</f>
        <v>540</v>
      </c>
      <c r="KN857" t="s">
        <v>501</v>
      </c>
      <c r="KO857" t="s">
        <v>1606</v>
      </c>
      <c r="KP857" t="s">
        <v>1605</v>
      </c>
      <c r="KQ857">
        <v>360</v>
      </c>
      <c r="KV857" t="s">
        <v>1607</v>
      </c>
      <c r="KW857" t="s">
        <v>1608</v>
      </c>
      <c r="LJ857" t="s">
        <v>1609</v>
      </c>
      <c r="MY857" t="s">
        <v>1594</v>
      </c>
      <c r="MZ857">
        <v>136</v>
      </c>
      <c r="NB857" t="s">
        <v>1529</v>
      </c>
      <c r="NI857" t="s">
        <v>1610</v>
      </c>
      <c r="NJ857" t="s">
        <v>1611</v>
      </c>
      <c r="NK857" t="s">
        <v>1612</v>
      </c>
      <c r="NL857" t="s">
        <v>515</v>
      </c>
      <c r="NM857" t="s">
        <v>1613</v>
      </c>
      <c r="NV857" t="s">
        <v>518</v>
      </c>
      <c r="NW857">
        <v>166828</v>
      </c>
      <c r="NX857" t="s">
        <v>480</v>
      </c>
      <c r="OB857">
        <v>3</v>
      </c>
      <c r="OU857" t="s">
        <v>1614</v>
      </c>
      <c r="OV857" t="s">
        <v>518</v>
      </c>
      <c r="OX857">
        <v>2017</v>
      </c>
      <c r="OY857">
        <v>2020</v>
      </c>
      <c r="PB857" t="s">
        <v>522</v>
      </c>
      <c r="PC857" s="50">
        <v>46136</v>
      </c>
    </row>
    <row r="858" spans="1:420" ht="15.75" thickBot="1">
      <c r="A858" t="s">
        <v>469</v>
      </c>
      <c r="B858" t="s">
        <v>1591</v>
      </c>
      <c r="C858" t="s">
        <v>1592</v>
      </c>
      <c r="D858" t="s">
        <v>950</v>
      </c>
      <c r="E858" s="81" t="s">
        <v>1593</v>
      </c>
      <c r="F858" t="s">
        <v>1179</v>
      </c>
      <c r="G858" t="s">
        <v>475</v>
      </c>
      <c r="H858" t="s">
        <v>476</v>
      </c>
      <c r="I858">
        <v>7.8527777780000001</v>
      </c>
      <c r="J858">
        <v>-5.1111111109999996</v>
      </c>
      <c r="K858">
        <v>300</v>
      </c>
      <c r="AV858" t="s">
        <v>1594</v>
      </c>
      <c r="AW858">
        <v>136</v>
      </c>
      <c r="AX858" t="s">
        <v>480</v>
      </c>
      <c r="AY858">
        <v>4</v>
      </c>
      <c r="AZ858" t="s">
        <v>1595</v>
      </c>
      <c r="BA858">
        <v>2017</v>
      </c>
      <c r="BB858">
        <v>2020</v>
      </c>
      <c r="BD858" t="s">
        <v>1616</v>
      </c>
      <c r="BE858" t="s">
        <v>572</v>
      </c>
      <c r="BF858" t="s">
        <v>484</v>
      </c>
      <c r="BG858" t="s">
        <v>1501</v>
      </c>
      <c r="BH858" t="s">
        <v>1597</v>
      </c>
      <c r="BI858" t="s">
        <v>1598</v>
      </c>
      <c r="BJ858">
        <v>722000</v>
      </c>
      <c r="BK858" t="s">
        <v>537</v>
      </c>
      <c r="BL858" t="s">
        <v>1599</v>
      </c>
      <c r="BM858" t="s">
        <v>1600</v>
      </c>
      <c r="BN858" t="s">
        <v>1598</v>
      </c>
      <c r="BO858" s="9">
        <v>470000</v>
      </c>
      <c r="BP858" t="s">
        <v>555</v>
      </c>
      <c r="BQ858" t="s">
        <v>1599</v>
      </c>
      <c r="BR858" t="s">
        <v>1600</v>
      </c>
      <c r="BS858" t="s">
        <v>1598</v>
      </c>
      <c r="BT858" s="9">
        <v>470000</v>
      </c>
      <c r="BU858" t="s">
        <v>555</v>
      </c>
      <c r="BV858" t="s">
        <v>1501</v>
      </c>
      <c r="BW858" t="s">
        <v>1597</v>
      </c>
      <c r="BX858" t="s">
        <v>1598</v>
      </c>
      <c r="BY858">
        <v>722000</v>
      </c>
      <c r="BZ858" t="s">
        <v>537</v>
      </c>
      <c r="CA858" t="s">
        <v>1599</v>
      </c>
      <c r="CB858" t="s">
        <v>1600</v>
      </c>
      <c r="CC858" t="s">
        <v>1598</v>
      </c>
      <c r="CD858" s="9">
        <v>470000</v>
      </c>
      <c r="HK858" t="s">
        <v>1601</v>
      </c>
      <c r="HL858" t="s">
        <v>488</v>
      </c>
      <c r="HT858" s="186">
        <v>42887</v>
      </c>
      <c r="IH858" t="s">
        <v>1616</v>
      </c>
      <c r="II858" s="75" t="s">
        <v>929</v>
      </c>
      <c r="IJ858" t="s">
        <v>542</v>
      </c>
      <c r="IK858" t="s">
        <v>543</v>
      </c>
      <c r="IL858">
        <v>2017</v>
      </c>
      <c r="IN858" t="s">
        <v>1602</v>
      </c>
      <c r="IO858" t="s">
        <v>1616</v>
      </c>
      <c r="IP858" t="s">
        <v>1259</v>
      </c>
      <c r="IQ858" s="75" t="s">
        <v>558</v>
      </c>
      <c r="IS858">
        <v>2018</v>
      </c>
      <c r="IU858" t="s">
        <v>1602</v>
      </c>
      <c r="JK858" t="s">
        <v>682</v>
      </c>
      <c r="KE858" t="s">
        <v>1603</v>
      </c>
      <c r="KF858" t="s">
        <v>1604</v>
      </c>
      <c r="KI858" t="s">
        <v>1601</v>
      </c>
      <c r="KJ858" t="s">
        <v>501</v>
      </c>
      <c r="KK858" t="s">
        <v>502</v>
      </c>
      <c r="KL858" t="s">
        <v>1605</v>
      </c>
      <c r="KM858">
        <f t="shared" si="9"/>
        <v>540</v>
      </c>
      <c r="KN858" t="s">
        <v>501</v>
      </c>
      <c r="KO858" t="s">
        <v>1606</v>
      </c>
      <c r="KP858" t="s">
        <v>1605</v>
      </c>
      <c r="KQ858">
        <v>360</v>
      </c>
      <c r="KV858" t="s">
        <v>1607</v>
      </c>
      <c r="KW858" t="s">
        <v>1608</v>
      </c>
      <c r="LJ858" t="s">
        <v>1609</v>
      </c>
      <c r="MY858" t="s">
        <v>1594</v>
      </c>
      <c r="MZ858">
        <v>136</v>
      </c>
      <c r="NB858" t="s">
        <v>1529</v>
      </c>
      <c r="NI858" t="s">
        <v>1610</v>
      </c>
      <c r="NJ858" t="s">
        <v>1611</v>
      </c>
      <c r="NK858" t="s">
        <v>1612</v>
      </c>
      <c r="NL858" t="s">
        <v>515</v>
      </c>
      <c r="NM858" t="s">
        <v>1613</v>
      </c>
      <c r="NV858" t="s">
        <v>518</v>
      </c>
      <c r="NW858">
        <v>149579</v>
      </c>
      <c r="NX858" t="s">
        <v>480</v>
      </c>
      <c r="OB858">
        <v>3</v>
      </c>
      <c r="OU858" t="s">
        <v>1614</v>
      </c>
      <c r="OV858" t="s">
        <v>518</v>
      </c>
      <c r="OX858">
        <v>2017</v>
      </c>
      <c r="OY858">
        <v>2020</v>
      </c>
      <c r="PB858" t="s">
        <v>522</v>
      </c>
      <c r="PC858" s="50">
        <v>46136</v>
      </c>
    </row>
    <row r="859" spans="1:420" ht="15.75" thickBot="1">
      <c r="A859" t="s">
        <v>469</v>
      </c>
      <c r="B859" t="s">
        <v>1591</v>
      </c>
      <c r="C859" t="s">
        <v>1592</v>
      </c>
      <c r="D859" t="s">
        <v>950</v>
      </c>
      <c r="E859" s="81" t="s">
        <v>1593</v>
      </c>
      <c r="F859" t="s">
        <v>1179</v>
      </c>
      <c r="G859" t="s">
        <v>475</v>
      </c>
      <c r="H859" t="s">
        <v>476</v>
      </c>
      <c r="I859">
        <v>7.8527777780000001</v>
      </c>
      <c r="J859">
        <v>-5.1111111109999996</v>
      </c>
      <c r="K859">
        <v>300</v>
      </c>
      <c r="AV859" t="s">
        <v>1594</v>
      </c>
      <c r="AW859">
        <v>136</v>
      </c>
      <c r="AX859" t="s">
        <v>480</v>
      </c>
      <c r="AY859">
        <v>4</v>
      </c>
      <c r="AZ859" t="s">
        <v>1595</v>
      </c>
      <c r="BA859">
        <v>2017</v>
      </c>
      <c r="BB859">
        <v>2020</v>
      </c>
      <c r="BD859" t="s">
        <v>1617</v>
      </c>
      <c r="BE859" t="s">
        <v>524</v>
      </c>
      <c r="BF859" t="s">
        <v>484</v>
      </c>
      <c r="BG859" t="s">
        <v>1501</v>
      </c>
      <c r="BH859" t="s">
        <v>1597</v>
      </c>
      <c r="BI859" t="s">
        <v>1598</v>
      </c>
      <c r="BJ859">
        <v>722000</v>
      </c>
      <c r="BK859" t="s">
        <v>555</v>
      </c>
      <c r="BL859" t="s">
        <v>485</v>
      </c>
      <c r="BM859" t="s">
        <v>957</v>
      </c>
      <c r="BN859" t="s">
        <v>1598</v>
      </c>
      <c r="BO859" s="9">
        <v>55556</v>
      </c>
      <c r="HK859" t="s">
        <v>1618</v>
      </c>
      <c r="HL859" t="s">
        <v>526</v>
      </c>
      <c r="HM859" t="s">
        <v>1619</v>
      </c>
      <c r="HP859">
        <v>3</v>
      </c>
      <c r="HT859" s="186">
        <v>42887</v>
      </c>
      <c r="IH859" t="s">
        <v>1617</v>
      </c>
      <c r="II859" t="s">
        <v>492</v>
      </c>
      <c r="IJ859" t="s">
        <v>542</v>
      </c>
      <c r="IK859" t="s">
        <v>543</v>
      </c>
      <c r="IL859">
        <v>2017</v>
      </c>
      <c r="IN859" t="s">
        <v>1620</v>
      </c>
      <c r="IO859" t="s">
        <v>1617</v>
      </c>
      <c r="IP859" t="s">
        <v>1259</v>
      </c>
      <c r="IQ859" t="s">
        <v>573</v>
      </c>
      <c r="IS859">
        <v>2018</v>
      </c>
      <c r="IU859" t="s">
        <v>1620</v>
      </c>
      <c r="JK859" t="s">
        <v>682</v>
      </c>
      <c r="KE859" t="s">
        <v>1603</v>
      </c>
      <c r="KF859" t="s">
        <v>1604</v>
      </c>
      <c r="KI859" t="s">
        <v>1618</v>
      </c>
      <c r="KJ859" t="s">
        <v>501</v>
      </c>
      <c r="KK859" t="s">
        <v>502</v>
      </c>
      <c r="KL859" t="s">
        <v>1605</v>
      </c>
      <c r="KM859">
        <f t="shared" si="9"/>
        <v>540</v>
      </c>
      <c r="KN859" t="s">
        <v>501</v>
      </c>
      <c r="KO859" t="s">
        <v>1606</v>
      </c>
      <c r="KP859" t="s">
        <v>1605</v>
      </c>
      <c r="KQ859">
        <v>360</v>
      </c>
      <c r="KV859" t="s">
        <v>1607</v>
      </c>
      <c r="KW859" t="s">
        <v>1608</v>
      </c>
      <c r="LJ859" t="s">
        <v>1609</v>
      </c>
      <c r="MY859" t="s">
        <v>1594</v>
      </c>
      <c r="MZ859">
        <v>136</v>
      </c>
      <c r="NB859" t="s">
        <v>1529</v>
      </c>
      <c r="NC859" t="s">
        <v>548</v>
      </c>
      <c r="NI859" t="s">
        <v>1610</v>
      </c>
      <c r="NJ859" t="s">
        <v>1611</v>
      </c>
      <c r="NK859" t="s">
        <v>1612</v>
      </c>
      <c r="NL859" t="s">
        <v>515</v>
      </c>
      <c r="NM859" t="s">
        <v>1613</v>
      </c>
      <c r="NU859" t="s">
        <v>1025</v>
      </c>
      <c r="NV859" t="s">
        <v>518</v>
      </c>
      <c r="NW859">
        <v>204922</v>
      </c>
      <c r="NX859" t="s">
        <v>480</v>
      </c>
      <c r="OB859">
        <v>3</v>
      </c>
      <c r="OU859" t="s">
        <v>1614</v>
      </c>
      <c r="OV859" t="s">
        <v>518</v>
      </c>
      <c r="OX859">
        <v>2017</v>
      </c>
      <c r="OY859">
        <v>2020</v>
      </c>
      <c r="PB859" t="s">
        <v>522</v>
      </c>
      <c r="PC859" s="50">
        <v>46136</v>
      </c>
    </row>
    <row r="860" spans="1:420" ht="15.75" thickBot="1">
      <c r="A860" t="s">
        <v>469</v>
      </c>
      <c r="B860" t="s">
        <v>1591</v>
      </c>
      <c r="C860" t="s">
        <v>1592</v>
      </c>
      <c r="D860" t="s">
        <v>950</v>
      </c>
      <c r="E860" s="81" t="s">
        <v>1593</v>
      </c>
      <c r="F860" t="s">
        <v>1179</v>
      </c>
      <c r="G860" t="s">
        <v>475</v>
      </c>
      <c r="H860" t="s">
        <v>476</v>
      </c>
      <c r="I860">
        <v>7.8527777780000001</v>
      </c>
      <c r="J860">
        <v>-5.1111111109999996</v>
      </c>
      <c r="K860">
        <v>300</v>
      </c>
      <c r="AV860" t="s">
        <v>1594</v>
      </c>
      <c r="AW860">
        <v>136</v>
      </c>
      <c r="AX860" t="s">
        <v>480</v>
      </c>
      <c r="AY860">
        <v>4</v>
      </c>
      <c r="AZ860" t="s">
        <v>1595</v>
      </c>
      <c r="BA860">
        <v>2017</v>
      </c>
      <c r="BB860">
        <v>2020</v>
      </c>
      <c r="BD860" t="s">
        <v>1621</v>
      </c>
      <c r="BE860" t="s">
        <v>553</v>
      </c>
      <c r="BF860" t="s">
        <v>484</v>
      </c>
      <c r="BG860" t="s">
        <v>485</v>
      </c>
      <c r="BH860" t="s">
        <v>957</v>
      </c>
      <c r="BI860" t="s">
        <v>1598</v>
      </c>
      <c r="BJ860" s="9">
        <v>55556</v>
      </c>
      <c r="BK860" t="s">
        <v>537</v>
      </c>
      <c r="BL860" t="s">
        <v>1405</v>
      </c>
      <c r="BM860" t="s">
        <v>1622</v>
      </c>
      <c r="BN860" t="s">
        <v>1598</v>
      </c>
      <c r="BO860">
        <v>55600</v>
      </c>
      <c r="BP860" t="s">
        <v>555</v>
      </c>
      <c r="BQ860" t="s">
        <v>1501</v>
      </c>
      <c r="BR860" t="s">
        <v>1597</v>
      </c>
      <c r="BS860" t="s">
        <v>1598</v>
      </c>
      <c r="BT860">
        <v>722000</v>
      </c>
      <c r="BU860" t="s">
        <v>537</v>
      </c>
      <c r="BV860" t="s">
        <v>927</v>
      </c>
      <c r="BW860" t="s">
        <v>480</v>
      </c>
      <c r="BX860" t="s">
        <v>480</v>
      </c>
      <c r="BY860" t="s">
        <v>480</v>
      </c>
      <c r="HK860" t="s">
        <v>1601</v>
      </c>
      <c r="HL860" t="s">
        <v>488</v>
      </c>
      <c r="HT860" s="186">
        <v>42887</v>
      </c>
      <c r="IH860" t="s">
        <v>1621</v>
      </c>
      <c r="II860" s="75" t="s">
        <v>929</v>
      </c>
      <c r="IJ860" t="s">
        <v>542</v>
      </c>
      <c r="IK860" t="s">
        <v>543</v>
      </c>
      <c r="IL860">
        <v>2017</v>
      </c>
      <c r="IN860" t="s">
        <v>1602</v>
      </c>
      <c r="IO860" t="s">
        <v>1621</v>
      </c>
      <c r="IP860" t="s">
        <v>1623</v>
      </c>
      <c r="IQ860" t="s">
        <v>558</v>
      </c>
      <c r="IS860">
        <v>2018</v>
      </c>
      <c r="IU860" t="s">
        <v>1602</v>
      </c>
      <c r="JK860" t="s">
        <v>682</v>
      </c>
      <c r="KE860" t="s">
        <v>1603</v>
      </c>
      <c r="KF860" t="s">
        <v>1604</v>
      </c>
      <c r="KI860" t="s">
        <v>1601</v>
      </c>
      <c r="KJ860" t="s">
        <v>501</v>
      </c>
      <c r="KK860" t="s">
        <v>1624</v>
      </c>
      <c r="KL860" t="s">
        <v>1605</v>
      </c>
      <c r="KM860">
        <v>1000</v>
      </c>
      <c r="KN860" t="s">
        <v>501</v>
      </c>
      <c r="KW860" t="s">
        <v>1520</v>
      </c>
      <c r="KX860" t="s">
        <v>1625</v>
      </c>
      <c r="LJ860" t="s">
        <v>1609</v>
      </c>
      <c r="MY860" t="s">
        <v>1594</v>
      </c>
      <c r="MZ860">
        <v>136</v>
      </c>
      <c r="NB860" t="s">
        <v>1529</v>
      </c>
      <c r="NC860" t="s">
        <v>548</v>
      </c>
      <c r="NI860" t="s">
        <v>1610</v>
      </c>
      <c r="NJ860" t="s">
        <v>1611</v>
      </c>
      <c r="NK860" t="s">
        <v>1612</v>
      </c>
      <c r="NL860" t="s">
        <v>515</v>
      </c>
      <c r="NM860" t="s">
        <v>1613</v>
      </c>
      <c r="NV860" t="s">
        <v>518</v>
      </c>
      <c r="NW860">
        <v>333273</v>
      </c>
      <c r="NX860" t="s">
        <v>480</v>
      </c>
      <c r="OB860">
        <v>3</v>
      </c>
      <c r="OU860" t="s">
        <v>1614</v>
      </c>
      <c r="OV860" t="s">
        <v>518</v>
      </c>
      <c r="OX860">
        <v>2017</v>
      </c>
      <c r="OY860">
        <v>2020</v>
      </c>
      <c r="PB860" t="s">
        <v>522</v>
      </c>
      <c r="PC860" s="50">
        <v>46136</v>
      </c>
    </row>
    <row r="861" spans="1:420" ht="15.75" thickBot="1">
      <c r="A861" t="s">
        <v>469</v>
      </c>
      <c r="B861" t="s">
        <v>1591</v>
      </c>
      <c r="C861" t="s">
        <v>1592</v>
      </c>
      <c r="D861" t="s">
        <v>950</v>
      </c>
      <c r="E861" s="81" t="s">
        <v>1593</v>
      </c>
      <c r="F861" t="s">
        <v>1179</v>
      </c>
      <c r="G861" t="s">
        <v>475</v>
      </c>
      <c r="H861" t="s">
        <v>476</v>
      </c>
      <c r="I861">
        <v>7.8527777780000001</v>
      </c>
      <c r="J861">
        <v>-5.1111111109999996</v>
      </c>
      <c r="K861">
        <v>300</v>
      </c>
      <c r="AV861" t="s">
        <v>1594</v>
      </c>
      <c r="AW861">
        <v>136</v>
      </c>
      <c r="AX861" t="s">
        <v>480</v>
      </c>
      <c r="AY861">
        <v>4</v>
      </c>
      <c r="AZ861" t="s">
        <v>1595</v>
      </c>
      <c r="BA861">
        <v>2017</v>
      </c>
      <c r="BB861">
        <v>2020</v>
      </c>
      <c r="BD861" t="s">
        <v>1626</v>
      </c>
      <c r="BE861" t="s">
        <v>607</v>
      </c>
      <c r="BF861" t="s">
        <v>484</v>
      </c>
      <c r="BG861" t="s">
        <v>485</v>
      </c>
      <c r="BH861" t="s">
        <v>957</v>
      </c>
      <c r="BI861" t="s">
        <v>1598</v>
      </c>
      <c r="BJ861" s="9">
        <v>55556</v>
      </c>
      <c r="BK861" t="s">
        <v>537</v>
      </c>
      <c r="BL861" t="s">
        <v>1627</v>
      </c>
      <c r="BM861" t="s">
        <v>957</v>
      </c>
      <c r="BN861" t="s">
        <v>1598</v>
      </c>
      <c r="BO861">
        <v>148000</v>
      </c>
      <c r="BP861" t="s">
        <v>555</v>
      </c>
      <c r="BQ861" t="s">
        <v>485</v>
      </c>
      <c r="BR861" t="s">
        <v>957</v>
      </c>
      <c r="BS861" t="s">
        <v>1598</v>
      </c>
      <c r="BT861" s="9">
        <v>55556</v>
      </c>
      <c r="BU861" t="s">
        <v>537</v>
      </c>
      <c r="BV861" t="s">
        <v>932</v>
      </c>
      <c r="BW861" t="s">
        <v>1628</v>
      </c>
      <c r="BX861" t="s">
        <v>1598</v>
      </c>
      <c r="BY861">
        <v>148000</v>
      </c>
      <c r="BZ861" t="s">
        <v>555</v>
      </c>
      <c r="CA861" t="s">
        <v>1501</v>
      </c>
      <c r="CB861" t="s">
        <v>1597</v>
      </c>
      <c r="CC861" t="s">
        <v>1598</v>
      </c>
      <c r="CD861">
        <v>722000</v>
      </c>
      <c r="HK861" t="s">
        <v>1601</v>
      </c>
      <c r="HL861" t="s">
        <v>488</v>
      </c>
      <c r="HT861" s="186">
        <v>42887</v>
      </c>
      <c r="IH861" t="s">
        <v>1626</v>
      </c>
      <c r="II861" s="75" t="s">
        <v>929</v>
      </c>
      <c r="IJ861" t="s">
        <v>542</v>
      </c>
      <c r="IK861" t="s">
        <v>543</v>
      </c>
      <c r="IL861">
        <v>2017</v>
      </c>
      <c r="IN861" t="s">
        <v>1602</v>
      </c>
      <c r="IO861" t="s">
        <v>1626</v>
      </c>
      <c r="IP861" t="s">
        <v>1623</v>
      </c>
      <c r="IQ861" t="s">
        <v>558</v>
      </c>
      <c r="IS861">
        <v>2018</v>
      </c>
      <c r="IU861" t="s">
        <v>1602</v>
      </c>
      <c r="JK861" t="s">
        <v>682</v>
      </c>
      <c r="KE861" t="s">
        <v>1603</v>
      </c>
      <c r="KF861" t="s">
        <v>1604</v>
      </c>
      <c r="KI861" t="s">
        <v>1601</v>
      </c>
      <c r="KJ861" t="s">
        <v>501</v>
      </c>
      <c r="KK861" t="s">
        <v>502</v>
      </c>
      <c r="KL861" t="s">
        <v>1605</v>
      </c>
      <c r="KM861">
        <v>540</v>
      </c>
      <c r="KN861" t="s">
        <v>501</v>
      </c>
      <c r="KO861" t="s">
        <v>1606</v>
      </c>
      <c r="KP861" t="s">
        <v>1605</v>
      </c>
      <c r="KQ861">
        <v>360</v>
      </c>
      <c r="KV861" t="s">
        <v>1607</v>
      </c>
      <c r="KW861" t="s">
        <v>1608</v>
      </c>
      <c r="LJ861" t="s">
        <v>1609</v>
      </c>
      <c r="MY861" t="s">
        <v>1594</v>
      </c>
      <c r="MZ861">
        <v>136</v>
      </c>
      <c r="NB861" t="s">
        <v>1529</v>
      </c>
      <c r="NC861" t="s">
        <v>548</v>
      </c>
      <c r="NI861" t="s">
        <v>1610</v>
      </c>
      <c r="NJ861" t="s">
        <v>1611</v>
      </c>
      <c r="NK861" t="s">
        <v>1612</v>
      </c>
      <c r="NL861" t="s">
        <v>515</v>
      </c>
      <c r="NM861" t="s">
        <v>1613</v>
      </c>
      <c r="NV861" t="s">
        <v>518</v>
      </c>
      <c r="NW861">
        <v>150526</v>
      </c>
      <c r="NX861" t="s">
        <v>480</v>
      </c>
      <c r="OB861">
        <v>3</v>
      </c>
      <c r="OU861" t="s">
        <v>1614</v>
      </c>
      <c r="OV861" t="s">
        <v>518</v>
      </c>
      <c r="OX861">
        <v>2017</v>
      </c>
      <c r="OY861">
        <v>2020</v>
      </c>
      <c r="PB861" t="s">
        <v>522</v>
      </c>
      <c r="PC861" s="50">
        <v>46136</v>
      </c>
    </row>
    <row r="862" spans="1:420" ht="15.75" thickBot="1">
      <c r="A862" t="s">
        <v>469</v>
      </c>
      <c r="B862" t="s">
        <v>1591</v>
      </c>
      <c r="C862" t="s">
        <v>1592</v>
      </c>
      <c r="D862" t="s">
        <v>950</v>
      </c>
      <c r="E862" s="81" t="s">
        <v>1593</v>
      </c>
      <c r="F862" t="s">
        <v>1179</v>
      </c>
      <c r="G862" t="s">
        <v>475</v>
      </c>
      <c r="H862" t="s">
        <v>476</v>
      </c>
      <c r="I862">
        <v>7.8527777780000001</v>
      </c>
      <c r="J862">
        <v>-5.1111111109999996</v>
      </c>
      <c r="K862">
        <v>300</v>
      </c>
      <c r="AV862" t="s">
        <v>1594</v>
      </c>
      <c r="AW862">
        <v>136</v>
      </c>
      <c r="AX862" t="s">
        <v>480</v>
      </c>
      <c r="AY862">
        <v>4</v>
      </c>
      <c r="AZ862" t="s">
        <v>1595</v>
      </c>
      <c r="BA862">
        <v>2017</v>
      </c>
      <c r="BB862">
        <v>2020</v>
      </c>
      <c r="BD862" t="s">
        <v>1629</v>
      </c>
      <c r="BE862" t="s">
        <v>611</v>
      </c>
      <c r="BF862" t="s">
        <v>484</v>
      </c>
      <c r="BG862" t="s">
        <v>1364</v>
      </c>
      <c r="BH862" t="s">
        <v>957</v>
      </c>
      <c r="BI862" t="s">
        <v>480</v>
      </c>
      <c r="BJ862" t="s">
        <v>480</v>
      </c>
      <c r="BK862" t="s">
        <v>537</v>
      </c>
      <c r="BL862" t="s">
        <v>1599</v>
      </c>
      <c r="BM862" t="s">
        <v>1600</v>
      </c>
      <c r="BN862" t="s">
        <v>1598</v>
      </c>
      <c r="BO862">
        <v>940000</v>
      </c>
      <c r="BP862" t="s">
        <v>555</v>
      </c>
      <c r="BQ862" t="s">
        <v>1364</v>
      </c>
      <c r="BR862" t="s">
        <v>957</v>
      </c>
      <c r="BS862" t="s">
        <v>480</v>
      </c>
      <c r="BT862" t="s">
        <v>480</v>
      </c>
      <c r="BU862" t="s">
        <v>537</v>
      </c>
      <c r="BV862" t="s">
        <v>1599</v>
      </c>
      <c r="BW862" t="s">
        <v>1600</v>
      </c>
      <c r="BX862" t="s">
        <v>1598</v>
      </c>
      <c r="BY862">
        <v>940000</v>
      </c>
      <c r="BZ862" t="s">
        <v>555</v>
      </c>
      <c r="CA862" t="s">
        <v>1501</v>
      </c>
      <c r="CB862" t="s">
        <v>1597</v>
      </c>
      <c r="CC862" t="s">
        <v>1598</v>
      </c>
      <c r="CD862">
        <v>722000</v>
      </c>
      <c r="CE862" t="s">
        <v>537</v>
      </c>
      <c r="CF862" t="s">
        <v>1599</v>
      </c>
      <c r="CG862" t="s">
        <v>1630</v>
      </c>
      <c r="CH862" t="s">
        <v>1598</v>
      </c>
      <c r="CI862">
        <v>940000</v>
      </c>
      <c r="HK862" t="s">
        <v>1601</v>
      </c>
      <c r="HL862" t="s">
        <v>488</v>
      </c>
      <c r="HT862" s="186">
        <v>42887</v>
      </c>
      <c r="IH862" t="s">
        <v>1629</v>
      </c>
      <c r="II862" s="75" t="s">
        <v>929</v>
      </c>
      <c r="IJ862" t="s">
        <v>542</v>
      </c>
      <c r="IK862" t="s">
        <v>543</v>
      </c>
      <c r="IL862">
        <v>2017</v>
      </c>
      <c r="IN862" t="s">
        <v>1602</v>
      </c>
      <c r="IO862" t="s">
        <v>1629</v>
      </c>
      <c r="IP862" t="s">
        <v>1259</v>
      </c>
      <c r="IQ862" s="75" t="s">
        <v>558</v>
      </c>
      <c r="IS862">
        <v>2018</v>
      </c>
      <c r="IU862" t="s">
        <v>1602</v>
      </c>
      <c r="JK862" t="s">
        <v>682</v>
      </c>
      <c r="KE862" t="s">
        <v>1603</v>
      </c>
      <c r="KF862" t="s">
        <v>1604</v>
      </c>
      <c r="KI862" t="s">
        <v>1601</v>
      </c>
      <c r="KJ862" t="s">
        <v>501</v>
      </c>
      <c r="KK862" t="s">
        <v>502</v>
      </c>
      <c r="KL862" t="s">
        <v>1605</v>
      </c>
      <c r="KM862">
        <v>540</v>
      </c>
      <c r="KN862" t="s">
        <v>501</v>
      </c>
      <c r="KO862" t="s">
        <v>1606</v>
      </c>
      <c r="KP862" t="s">
        <v>1605</v>
      </c>
      <c r="KQ862">
        <v>360</v>
      </c>
      <c r="KV862" t="s">
        <v>1607</v>
      </c>
      <c r="KW862" t="s">
        <v>1608</v>
      </c>
      <c r="LJ862" t="s">
        <v>1609</v>
      </c>
      <c r="MY862" t="s">
        <v>1594</v>
      </c>
      <c r="MZ862">
        <v>136</v>
      </c>
      <c r="NB862" t="s">
        <v>1529</v>
      </c>
      <c r="NC862" t="s">
        <v>1631</v>
      </c>
      <c r="NI862" t="s">
        <v>1610</v>
      </c>
      <c r="NJ862" t="s">
        <v>1611</v>
      </c>
      <c r="NK862" t="s">
        <v>1612</v>
      </c>
      <c r="NL862" t="s">
        <v>515</v>
      </c>
      <c r="NM862" t="s">
        <v>1613</v>
      </c>
      <c r="NV862" t="s">
        <v>518</v>
      </c>
      <c r="NW862">
        <v>1218677</v>
      </c>
      <c r="NX862" t="s">
        <v>480</v>
      </c>
      <c r="OB862">
        <v>3</v>
      </c>
      <c r="OU862" t="s">
        <v>1614</v>
      </c>
      <c r="OV862" t="s">
        <v>518</v>
      </c>
      <c r="OX862">
        <v>2017</v>
      </c>
      <c r="OY862">
        <v>2020</v>
      </c>
      <c r="PB862" t="s">
        <v>522</v>
      </c>
      <c r="PC862" s="50">
        <v>46136</v>
      </c>
    </row>
    <row r="863" spans="1:420" ht="15.75" thickBot="1">
      <c r="A863" t="s">
        <v>469</v>
      </c>
      <c r="B863" t="s">
        <v>1591</v>
      </c>
      <c r="C863" t="s">
        <v>1592</v>
      </c>
      <c r="D863" t="s">
        <v>950</v>
      </c>
      <c r="E863" s="81" t="s">
        <v>1593</v>
      </c>
      <c r="F863" t="s">
        <v>1179</v>
      </c>
      <c r="G863" t="s">
        <v>475</v>
      </c>
      <c r="H863" t="s">
        <v>476</v>
      </c>
      <c r="I863">
        <v>7.8527777780000001</v>
      </c>
      <c r="J863">
        <v>-5.1111111109999996</v>
      </c>
      <c r="K863">
        <v>300</v>
      </c>
      <c r="AV863" t="s">
        <v>1594</v>
      </c>
      <c r="AW863">
        <v>136</v>
      </c>
      <c r="AX863" t="s">
        <v>480</v>
      </c>
      <c r="AY863">
        <v>4</v>
      </c>
      <c r="AZ863" t="s">
        <v>1595</v>
      </c>
      <c r="BA863">
        <v>2017</v>
      </c>
      <c r="BB863">
        <v>2020</v>
      </c>
      <c r="BD863" t="s">
        <v>1596</v>
      </c>
      <c r="BF863" t="s">
        <v>484</v>
      </c>
      <c r="BG863" t="s">
        <v>1501</v>
      </c>
      <c r="BH863" t="s">
        <v>1597</v>
      </c>
      <c r="BI863" t="s">
        <v>1598</v>
      </c>
      <c r="BJ863">
        <v>722000</v>
      </c>
      <c r="BK863" t="s">
        <v>537</v>
      </c>
      <c r="BL863" t="s">
        <v>1599</v>
      </c>
      <c r="BM863" t="s">
        <v>1600</v>
      </c>
      <c r="BN863" t="s">
        <v>1598</v>
      </c>
      <c r="BO863" s="9">
        <v>470000</v>
      </c>
      <c r="BP863" t="s">
        <v>555</v>
      </c>
      <c r="BQ863" t="s">
        <v>485</v>
      </c>
      <c r="BR863" t="s">
        <v>957</v>
      </c>
      <c r="BS863" t="s">
        <v>1598</v>
      </c>
      <c r="BT863" s="9">
        <v>55556</v>
      </c>
      <c r="BU863" t="s">
        <v>537</v>
      </c>
      <c r="BV863" t="s">
        <v>1599</v>
      </c>
      <c r="BW863" t="s">
        <v>1600</v>
      </c>
      <c r="BX863" t="s">
        <v>1598</v>
      </c>
      <c r="BY863" s="9">
        <v>470000</v>
      </c>
      <c r="HK863" t="s">
        <v>1601</v>
      </c>
      <c r="HL863" t="s">
        <v>488</v>
      </c>
      <c r="HT863" s="186">
        <v>42887</v>
      </c>
      <c r="IH863" t="s">
        <v>1596</v>
      </c>
      <c r="II863" s="75" t="s">
        <v>929</v>
      </c>
      <c r="IJ863" t="s">
        <v>542</v>
      </c>
      <c r="IK863" t="s">
        <v>543</v>
      </c>
      <c r="IL863">
        <v>2017</v>
      </c>
      <c r="IN863" t="s">
        <v>1602</v>
      </c>
      <c r="IO863" t="s">
        <v>1596</v>
      </c>
      <c r="IP863" t="s">
        <v>1259</v>
      </c>
      <c r="IQ863" s="75" t="s">
        <v>558</v>
      </c>
      <c r="IS863">
        <v>2018</v>
      </c>
      <c r="IU863" t="s">
        <v>1602</v>
      </c>
      <c r="JK863" t="s">
        <v>682</v>
      </c>
      <c r="KE863" t="s">
        <v>1603</v>
      </c>
      <c r="KF863" t="s">
        <v>1604</v>
      </c>
      <c r="KI863" t="s">
        <v>1601</v>
      </c>
      <c r="KJ863" t="s">
        <v>501</v>
      </c>
      <c r="KK863" t="s">
        <v>502</v>
      </c>
      <c r="KL863" t="s">
        <v>1605</v>
      </c>
      <c r="KM863">
        <f>+AVERAGE(360,720)</f>
        <v>540</v>
      </c>
      <c r="KN863" t="s">
        <v>501</v>
      </c>
      <c r="KO863" t="s">
        <v>1606</v>
      </c>
      <c r="KP863" t="s">
        <v>1605</v>
      </c>
      <c r="KQ863">
        <v>360</v>
      </c>
      <c r="KV863" t="s">
        <v>1607</v>
      </c>
      <c r="KW863" t="s">
        <v>1608</v>
      </c>
      <c r="LJ863" t="s">
        <v>1609</v>
      </c>
      <c r="MY863" t="s">
        <v>1594</v>
      </c>
      <c r="MZ863">
        <v>136</v>
      </c>
      <c r="NB863" t="s">
        <v>1529</v>
      </c>
      <c r="NC863" t="s">
        <v>548</v>
      </c>
      <c r="NI863" t="s">
        <v>1610</v>
      </c>
      <c r="NJ863" s="187" t="s">
        <v>1632</v>
      </c>
      <c r="NK863" s="187" t="s">
        <v>1633</v>
      </c>
      <c r="NL863" s="4" t="s">
        <v>1634</v>
      </c>
      <c r="NM863" t="s">
        <v>1635</v>
      </c>
      <c r="NV863" t="s">
        <v>518</v>
      </c>
      <c r="NW863">
        <v>73</v>
      </c>
      <c r="NX863" t="s">
        <v>480</v>
      </c>
      <c r="OB863">
        <v>3</v>
      </c>
      <c r="OU863" t="s">
        <v>1614</v>
      </c>
      <c r="OV863" t="s">
        <v>518</v>
      </c>
      <c r="OX863">
        <v>2017</v>
      </c>
      <c r="OY863">
        <v>2020</v>
      </c>
      <c r="PB863" t="s">
        <v>522</v>
      </c>
      <c r="PC863" s="50">
        <v>46136</v>
      </c>
    </row>
    <row r="864" spans="1:420" ht="15.75" thickBot="1">
      <c r="A864" t="s">
        <v>469</v>
      </c>
      <c r="B864" t="s">
        <v>1591</v>
      </c>
      <c r="C864" t="s">
        <v>1592</v>
      </c>
      <c r="D864" t="s">
        <v>950</v>
      </c>
      <c r="E864" s="81" t="s">
        <v>1593</v>
      </c>
      <c r="F864" t="s">
        <v>1179</v>
      </c>
      <c r="G864" t="s">
        <v>475</v>
      </c>
      <c r="H864" t="s">
        <v>476</v>
      </c>
      <c r="I864">
        <v>7.8527777780000001</v>
      </c>
      <c r="J864">
        <v>-5.1111111109999996</v>
      </c>
      <c r="K864">
        <v>300</v>
      </c>
      <c r="AV864" t="s">
        <v>1594</v>
      </c>
      <c r="AW864">
        <v>136</v>
      </c>
      <c r="AX864" t="s">
        <v>480</v>
      </c>
      <c r="AY864">
        <v>4</v>
      </c>
      <c r="AZ864" t="s">
        <v>1595</v>
      </c>
      <c r="BA864">
        <v>2017</v>
      </c>
      <c r="BB864">
        <v>2020</v>
      </c>
      <c r="BD864" t="s">
        <v>1615</v>
      </c>
      <c r="BF864" t="s">
        <v>484</v>
      </c>
      <c r="BG864" t="s">
        <v>1501</v>
      </c>
      <c r="BH864" t="s">
        <v>1597</v>
      </c>
      <c r="BI864" t="s">
        <v>1598</v>
      </c>
      <c r="BJ864">
        <v>722000</v>
      </c>
      <c r="BK864" t="s">
        <v>537</v>
      </c>
      <c r="BL864" t="s">
        <v>1599</v>
      </c>
      <c r="BM864" t="s">
        <v>1600</v>
      </c>
      <c r="BN864" t="s">
        <v>1598</v>
      </c>
      <c r="BO864" s="9">
        <v>470000</v>
      </c>
      <c r="BP864" t="s">
        <v>555</v>
      </c>
      <c r="BQ864" t="s">
        <v>1501</v>
      </c>
      <c r="BR864" t="s">
        <v>1597</v>
      </c>
      <c r="BS864" t="s">
        <v>1598</v>
      </c>
      <c r="BT864">
        <v>722000</v>
      </c>
      <c r="BU864" t="s">
        <v>537</v>
      </c>
      <c r="BV864" t="s">
        <v>1599</v>
      </c>
      <c r="BW864" t="s">
        <v>1600</v>
      </c>
      <c r="BX864" t="s">
        <v>1598</v>
      </c>
      <c r="BY864" s="9">
        <v>470000</v>
      </c>
      <c r="HK864" t="s">
        <v>1601</v>
      </c>
      <c r="HL864" t="s">
        <v>488</v>
      </c>
      <c r="HT864" s="186">
        <v>42887</v>
      </c>
      <c r="IH864" t="s">
        <v>1615</v>
      </c>
      <c r="II864" s="75" t="s">
        <v>929</v>
      </c>
      <c r="IJ864" t="s">
        <v>542</v>
      </c>
      <c r="IK864" t="s">
        <v>543</v>
      </c>
      <c r="IL864">
        <v>2017</v>
      </c>
      <c r="IN864" t="s">
        <v>1602</v>
      </c>
      <c r="IO864" t="s">
        <v>1615</v>
      </c>
      <c r="IP864" t="s">
        <v>1259</v>
      </c>
      <c r="IQ864" s="75" t="s">
        <v>558</v>
      </c>
      <c r="IS864">
        <v>2018</v>
      </c>
      <c r="IU864" t="s">
        <v>1602</v>
      </c>
      <c r="JK864" t="s">
        <v>682</v>
      </c>
      <c r="KE864" t="s">
        <v>1603</v>
      </c>
      <c r="KF864" t="s">
        <v>1604</v>
      </c>
      <c r="KI864" t="s">
        <v>1601</v>
      </c>
      <c r="KJ864" t="s">
        <v>501</v>
      </c>
      <c r="KK864" t="s">
        <v>502</v>
      </c>
      <c r="KL864" t="s">
        <v>1605</v>
      </c>
      <c r="KM864">
        <f t="shared" ref="KM864:KM866" si="10">+AVERAGE(360,720)</f>
        <v>540</v>
      </c>
      <c r="KN864" t="s">
        <v>501</v>
      </c>
      <c r="KO864" t="s">
        <v>1606</v>
      </c>
      <c r="KP864" t="s">
        <v>1605</v>
      </c>
      <c r="KQ864">
        <v>360</v>
      </c>
      <c r="KV864" t="s">
        <v>1607</v>
      </c>
      <c r="KW864" t="s">
        <v>1608</v>
      </c>
      <c r="LJ864" t="s">
        <v>1609</v>
      </c>
      <c r="MY864" t="s">
        <v>1594</v>
      </c>
      <c r="MZ864">
        <v>136</v>
      </c>
      <c r="NB864" t="s">
        <v>1529</v>
      </c>
      <c r="NI864" t="s">
        <v>1610</v>
      </c>
      <c r="NJ864" s="187" t="s">
        <v>1632</v>
      </c>
      <c r="NK864" s="187" t="s">
        <v>1633</v>
      </c>
      <c r="NL864" s="4" t="s">
        <v>1634</v>
      </c>
      <c r="NM864" t="s">
        <v>1635</v>
      </c>
      <c r="NV864" t="s">
        <v>518</v>
      </c>
      <c r="NW864">
        <v>67</v>
      </c>
      <c r="NX864" t="s">
        <v>480</v>
      </c>
      <c r="OB864">
        <v>3</v>
      </c>
      <c r="OU864" t="s">
        <v>1614</v>
      </c>
      <c r="OV864" t="s">
        <v>518</v>
      </c>
      <c r="OX864">
        <v>2017</v>
      </c>
      <c r="OY864">
        <v>2020</v>
      </c>
      <c r="PB864" t="s">
        <v>522</v>
      </c>
      <c r="PC864" s="50">
        <v>46136</v>
      </c>
    </row>
    <row r="865" spans="1:419" ht="15.75" thickBot="1">
      <c r="A865" t="s">
        <v>469</v>
      </c>
      <c r="B865" t="s">
        <v>1591</v>
      </c>
      <c r="C865" t="s">
        <v>1592</v>
      </c>
      <c r="D865" t="s">
        <v>950</v>
      </c>
      <c r="E865" s="81" t="s">
        <v>1593</v>
      </c>
      <c r="F865" t="s">
        <v>1179</v>
      </c>
      <c r="G865" t="s">
        <v>475</v>
      </c>
      <c r="H865" t="s">
        <v>476</v>
      </c>
      <c r="I865">
        <v>7.8527777780000001</v>
      </c>
      <c r="J865">
        <v>-5.1111111109999996</v>
      </c>
      <c r="K865">
        <v>300</v>
      </c>
      <c r="AV865" t="s">
        <v>1594</v>
      </c>
      <c r="AW865">
        <v>136</v>
      </c>
      <c r="AX865" t="s">
        <v>480</v>
      </c>
      <c r="AY865">
        <v>4</v>
      </c>
      <c r="AZ865" t="s">
        <v>1595</v>
      </c>
      <c r="BA865">
        <v>2017</v>
      </c>
      <c r="BB865">
        <v>2020</v>
      </c>
      <c r="BD865" t="s">
        <v>1616</v>
      </c>
      <c r="BF865" t="s">
        <v>484</v>
      </c>
      <c r="BG865" t="s">
        <v>1501</v>
      </c>
      <c r="BH865" t="s">
        <v>1597</v>
      </c>
      <c r="BI865" t="s">
        <v>1598</v>
      </c>
      <c r="BJ865">
        <v>722000</v>
      </c>
      <c r="BK865" t="s">
        <v>537</v>
      </c>
      <c r="BL865" t="s">
        <v>1599</v>
      </c>
      <c r="BM865" t="s">
        <v>1600</v>
      </c>
      <c r="BN865" t="s">
        <v>1598</v>
      </c>
      <c r="BO865" s="9">
        <v>470000</v>
      </c>
      <c r="BP865" t="s">
        <v>555</v>
      </c>
      <c r="BQ865" t="s">
        <v>1599</v>
      </c>
      <c r="BR865" t="s">
        <v>1600</v>
      </c>
      <c r="BS865" t="s">
        <v>1598</v>
      </c>
      <c r="BT865" s="9">
        <v>470000</v>
      </c>
      <c r="BU865" t="s">
        <v>555</v>
      </c>
      <c r="BV865" t="s">
        <v>1501</v>
      </c>
      <c r="BW865" t="s">
        <v>1597</v>
      </c>
      <c r="BX865" t="s">
        <v>1598</v>
      </c>
      <c r="BY865">
        <v>722000</v>
      </c>
      <c r="BZ865" t="s">
        <v>537</v>
      </c>
      <c r="CA865" t="s">
        <v>1599</v>
      </c>
      <c r="CB865" t="s">
        <v>1600</v>
      </c>
      <c r="CC865" t="s">
        <v>1598</v>
      </c>
      <c r="CD865" s="9">
        <v>470000</v>
      </c>
      <c r="HK865" t="s">
        <v>1601</v>
      </c>
      <c r="HL865" t="s">
        <v>488</v>
      </c>
      <c r="HT865" s="186">
        <v>42887</v>
      </c>
      <c r="IH865" t="s">
        <v>1616</v>
      </c>
      <c r="II865" s="75" t="s">
        <v>929</v>
      </c>
      <c r="IJ865" t="s">
        <v>542</v>
      </c>
      <c r="IK865" t="s">
        <v>543</v>
      </c>
      <c r="IL865">
        <v>2017</v>
      </c>
      <c r="IN865" t="s">
        <v>1602</v>
      </c>
      <c r="IO865" t="s">
        <v>1616</v>
      </c>
      <c r="IP865" t="s">
        <v>1259</v>
      </c>
      <c r="IQ865" s="75" t="s">
        <v>558</v>
      </c>
      <c r="IS865">
        <v>2018</v>
      </c>
      <c r="IU865" t="s">
        <v>1602</v>
      </c>
      <c r="JK865" t="s">
        <v>682</v>
      </c>
      <c r="KE865" t="s">
        <v>1603</v>
      </c>
      <c r="KF865" t="s">
        <v>1604</v>
      </c>
      <c r="KI865" t="s">
        <v>1601</v>
      </c>
      <c r="KJ865" t="s">
        <v>501</v>
      </c>
      <c r="KK865" t="s">
        <v>502</v>
      </c>
      <c r="KL865" t="s">
        <v>1605</v>
      </c>
      <c r="KM865">
        <f t="shared" si="10"/>
        <v>540</v>
      </c>
      <c r="KN865" t="s">
        <v>501</v>
      </c>
      <c r="KO865" t="s">
        <v>1606</v>
      </c>
      <c r="KP865" t="s">
        <v>1605</v>
      </c>
      <c r="KQ865">
        <v>360</v>
      </c>
      <c r="KV865" t="s">
        <v>1607</v>
      </c>
      <c r="KW865" t="s">
        <v>1608</v>
      </c>
      <c r="LJ865" t="s">
        <v>1609</v>
      </c>
      <c r="MY865" t="s">
        <v>1594</v>
      </c>
      <c r="MZ865">
        <v>136</v>
      </c>
      <c r="NB865" t="s">
        <v>1529</v>
      </c>
      <c r="NI865" t="s">
        <v>1610</v>
      </c>
      <c r="NJ865" s="187" t="s">
        <v>1632</v>
      </c>
      <c r="NK865" s="187" t="s">
        <v>1633</v>
      </c>
      <c r="NL865" s="4" t="s">
        <v>1634</v>
      </c>
      <c r="NM865" t="s">
        <v>1635</v>
      </c>
      <c r="NV865" t="s">
        <v>518</v>
      </c>
      <c r="NW865">
        <v>60</v>
      </c>
      <c r="NX865" t="s">
        <v>480</v>
      </c>
      <c r="OB865">
        <v>3</v>
      </c>
      <c r="OU865" t="s">
        <v>1614</v>
      </c>
      <c r="OV865" t="s">
        <v>518</v>
      </c>
      <c r="OX865">
        <v>2017</v>
      </c>
      <c r="OY865">
        <v>2020</v>
      </c>
      <c r="PB865" t="s">
        <v>522</v>
      </c>
      <c r="PC865" s="50">
        <v>46136</v>
      </c>
    </row>
    <row r="866" spans="1:419" ht="15.75" thickBot="1">
      <c r="A866" t="s">
        <v>469</v>
      </c>
      <c r="B866" t="s">
        <v>1591</v>
      </c>
      <c r="C866" t="s">
        <v>1592</v>
      </c>
      <c r="D866" t="s">
        <v>950</v>
      </c>
      <c r="E866" s="81" t="s">
        <v>1593</v>
      </c>
      <c r="F866" t="s">
        <v>1179</v>
      </c>
      <c r="G866" t="s">
        <v>475</v>
      </c>
      <c r="H866" t="s">
        <v>476</v>
      </c>
      <c r="I866">
        <v>7.8527777780000001</v>
      </c>
      <c r="J866">
        <v>-5.1111111109999996</v>
      </c>
      <c r="K866">
        <v>300</v>
      </c>
      <c r="AV866" t="s">
        <v>1594</v>
      </c>
      <c r="AW866">
        <v>136</v>
      </c>
      <c r="AX866" t="s">
        <v>480</v>
      </c>
      <c r="AY866">
        <v>4</v>
      </c>
      <c r="AZ866" t="s">
        <v>1595</v>
      </c>
      <c r="BA866">
        <v>2017</v>
      </c>
      <c r="BB866">
        <v>2020</v>
      </c>
      <c r="BD866" t="s">
        <v>1617</v>
      </c>
      <c r="BF866" t="s">
        <v>484</v>
      </c>
      <c r="BG866" t="s">
        <v>1501</v>
      </c>
      <c r="BH866" t="s">
        <v>1597</v>
      </c>
      <c r="BI866" t="s">
        <v>1598</v>
      </c>
      <c r="BJ866">
        <v>722000</v>
      </c>
      <c r="BK866" t="s">
        <v>555</v>
      </c>
      <c r="BL866" t="s">
        <v>485</v>
      </c>
      <c r="BM866" t="s">
        <v>957</v>
      </c>
      <c r="BN866" t="s">
        <v>1598</v>
      </c>
      <c r="BO866" s="9">
        <v>55556</v>
      </c>
      <c r="HK866" t="s">
        <v>1618</v>
      </c>
      <c r="HL866" t="s">
        <v>526</v>
      </c>
      <c r="HM866" t="s">
        <v>1619</v>
      </c>
      <c r="HP866">
        <v>3</v>
      </c>
      <c r="HT866" s="186">
        <v>42887</v>
      </c>
      <c r="IH866" t="s">
        <v>1617</v>
      </c>
      <c r="II866" t="s">
        <v>492</v>
      </c>
      <c r="IJ866" t="s">
        <v>542</v>
      </c>
      <c r="IK866" t="s">
        <v>543</v>
      </c>
      <c r="IL866">
        <v>2017</v>
      </c>
      <c r="IN866" t="s">
        <v>1620</v>
      </c>
      <c r="IO866" t="s">
        <v>1617</v>
      </c>
      <c r="IP866" t="s">
        <v>1259</v>
      </c>
      <c r="IQ866" t="s">
        <v>573</v>
      </c>
      <c r="IS866">
        <v>2018</v>
      </c>
      <c r="IU866" t="s">
        <v>1620</v>
      </c>
      <c r="JK866" t="s">
        <v>682</v>
      </c>
      <c r="KE866" t="s">
        <v>1603</v>
      </c>
      <c r="KF866" t="s">
        <v>1604</v>
      </c>
      <c r="KI866" t="s">
        <v>1618</v>
      </c>
      <c r="KJ866" t="s">
        <v>501</v>
      </c>
      <c r="KK866" t="s">
        <v>502</v>
      </c>
      <c r="KL866" t="s">
        <v>1605</v>
      </c>
      <c r="KM866">
        <f t="shared" si="10"/>
        <v>540</v>
      </c>
      <c r="KN866" t="s">
        <v>501</v>
      </c>
      <c r="KO866" t="s">
        <v>1606</v>
      </c>
      <c r="KP866" t="s">
        <v>1605</v>
      </c>
      <c r="KQ866">
        <v>360</v>
      </c>
      <c r="KV866" t="s">
        <v>1607</v>
      </c>
      <c r="KW866" t="s">
        <v>1608</v>
      </c>
      <c r="LJ866" t="s">
        <v>1609</v>
      </c>
      <c r="MY866" t="s">
        <v>1594</v>
      </c>
      <c r="MZ866">
        <v>136</v>
      </c>
      <c r="NB866" t="s">
        <v>1529</v>
      </c>
      <c r="NC866" t="s">
        <v>548</v>
      </c>
      <c r="NI866" t="s">
        <v>1610</v>
      </c>
      <c r="NJ866" s="187" t="s">
        <v>1632</v>
      </c>
      <c r="NK866" s="187" t="s">
        <v>1633</v>
      </c>
      <c r="NL866" s="4" t="s">
        <v>1634</v>
      </c>
      <c r="NM866" t="s">
        <v>1635</v>
      </c>
      <c r="NV866" t="s">
        <v>518</v>
      </c>
      <c r="NW866">
        <v>82</v>
      </c>
      <c r="NX866" t="s">
        <v>480</v>
      </c>
      <c r="OB866">
        <v>3</v>
      </c>
      <c r="OU866" t="s">
        <v>1614</v>
      </c>
      <c r="OV866" t="s">
        <v>518</v>
      </c>
      <c r="OX866">
        <v>2017</v>
      </c>
      <c r="OY866">
        <v>2020</v>
      </c>
      <c r="PB866" t="s">
        <v>522</v>
      </c>
      <c r="PC866" s="50">
        <v>46136</v>
      </c>
    </row>
    <row r="867" spans="1:419" ht="15.75" thickBot="1">
      <c r="A867" t="s">
        <v>469</v>
      </c>
      <c r="B867" t="s">
        <v>1591</v>
      </c>
      <c r="C867" t="s">
        <v>1592</v>
      </c>
      <c r="D867" t="s">
        <v>950</v>
      </c>
      <c r="E867" s="81" t="s">
        <v>1593</v>
      </c>
      <c r="F867" t="s">
        <v>1179</v>
      </c>
      <c r="G867" t="s">
        <v>475</v>
      </c>
      <c r="H867" t="s">
        <v>476</v>
      </c>
      <c r="I867">
        <v>7.8527777780000001</v>
      </c>
      <c r="J867">
        <v>-5.1111111109999996</v>
      </c>
      <c r="K867">
        <v>300</v>
      </c>
      <c r="AV867" t="s">
        <v>1594</v>
      </c>
      <c r="AW867">
        <v>136</v>
      </c>
      <c r="AX867" t="s">
        <v>480</v>
      </c>
      <c r="AY867">
        <v>4</v>
      </c>
      <c r="AZ867" t="s">
        <v>1595</v>
      </c>
      <c r="BA867">
        <v>2017</v>
      </c>
      <c r="BB867">
        <v>2020</v>
      </c>
      <c r="BD867" t="s">
        <v>1621</v>
      </c>
      <c r="BF867" t="s">
        <v>484</v>
      </c>
      <c r="BG867" t="s">
        <v>485</v>
      </c>
      <c r="BH867" t="s">
        <v>957</v>
      </c>
      <c r="BI867" t="s">
        <v>1598</v>
      </c>
      <c r="BJ867" s="9">
        <v>55556</v>
      </c>
      <c r="BK867" t="s">
        <v>537</v>
      </c>
      <c r="BL867" t="s">
        <v>1405</v>
      </c>
      <c r="BM867" t="s">
        <v>1622</v>
      </c>
      <c r="BN867" t="s">
        <v>1598</v>
      </c>
      <c r="BO867">
        <v>55600</v>
      </c>
      <c r="BP867" t="s">
        <v>555</v>
      </c>
      <c r="BQ867" t="s">
        <v>1501</v>
      </c>
      <c r="BR867" t="s">
        <v>1597</v>
      </c>
      <c r="BS867" t="s">
        <v>1598</v>
      </c>
      <c r="BT867">
        <v>722000</v>
      </c>
      <c r="BU867" t="s">
        <v>537</v>
      </c>
      <c r="BV867" t="s">
        <v>927</v>
      </c>
      <c r="BW867" t="s">
        <v>480</v>
      </c>
      <c r="BX867" t="s">
        <v>480</v>
      </c>
      <c r="BY867" t="s">
        <v>480</v>
      </c>
      <c r="HK867" t="s">
        <v>1601</v>
      </c>
      <c r="HL867" t="s">
        <v>488</v>
      </c>
      <c r="HT867" s="186">
        <v>42887</v>
      </c>
      <c r="IH867" t="s">
        <v>1621</v>
      </c>
      <c r="II867" s="75" t="s">
        <v>929</v>
      </c>
      <c r="IJ867" t="s">
        <v>542</v>
      </c>
      <c r="IK867" t="s">
        <v>543</v>
      </c>
      <c r="IL867">
        <v>2017</v>
      </c>
      <c r="IN867" t="s">
        <v>1602</v>
      </c>
      <c r="IO867" t="s">
        <v>1621</v>
      </c>
      <c r="IP867" t="s">
        <v>1623</v>
      </c>
      <c r="IQ867" t="s">
        <v>558</v>
      </c>
      <c r="IS867">
        <v>2018</v>
      </c>
      <c r="IU867" t="s">
        <v>1602</v>
      </c>
      <c r="JK867" t="s">
        <v>682</v>
      </c>
      <c r="KE867" t="s">
        <v>1603</v>
      </c>
      <c r="KF867" t="s">
        <v>1604</v>
      </c>
      <c r="KI867" t="s">
        <v>1601</v>
      </c>
      <c r="KJ867" t="s">
        <v>501</v>
      </c>
      <c r="KK867" t="s">
        <v>1624</v>
      </c>
      <c r="KL867" t="s">
        <v>1605</v>
      </c>
      <c r="KM867">
        <v>1000</v>
      </c>
      <c r="KN867" t="s">
        <v>501</v>
      </c>
      <c r="KW867" t="s">
        <v>1520</v>
      </c>
      <c r="KX867" t="s">
        <v>1625</v>
      </c>
      <c r="LJ867" t="s">
        <v>1609</v>
      </c>
      <c r="MY867" t="s">
        <v>1594</v>
      </c>
      <c r="MZ867">
        <v>136</v>
      </c>
      <c r="NB867" t="s">
        <v>1529</v>
      </c>
      <c r="NC867" t="s">
        <v>548</v>
      </c>
      <c r="NI867" t="s">
        <v>1610</v>
      </c>
      <c r="NJ867" s="187" t="s">
        <v>1632</v>
      </c>
      <c r="NK867" s="187" t="s">
        <v>1633</v>
      </c>
      <c r="NL867" s="4" t="s">
        <v>1634</v>
      </c>
      <c r="NM867" t="s">
        <v>1635</v>
      </c>
      <c r="NV867" t="s">
        <v>518</v>
      </c>
      <c r="NW867">
        <v>133</v>
      </c>
      <c r="NX867" t="s">
        <v>480</v>
      </c>
      <c r="OB867">
        <v>3</v>
      </c>
      <c r="OU867" t="s">
        <v>1614</v>
      </c>
      <c r="OV867" t="s">
        <v>518</v>
      </c>
      <c r="OX867">
        <v>2017</v>
      </c>
      <c r="OY867">
        <v>2020</v>
      </c>
      <c r="PB867" t="s">
        <v>522</v>
      </c>
      <c r="PC867" s="50">
        <v>46136</v>
      </c>
    </row>
    <row r="868" spans="1:419" ht="15.75" thickBot="1">
      <c r="A868" t="s">
        <v>469</v>
      </c>
      <c r="B868" t="s">
        <v>1591</v>
      </c>
      <c r="C868" t="s">
        <v>1592</v>
      </c>
      <c r="D868" t="s">
        <v>950</v>
      </c>
      <c r="E868" s="81" t="s">
        <v>1593</v>
      </c>
      <c r="F868" t="s">
        <v>1179</v>
      </c>
      <c r="G868" t="s">
        <v>475</v>
      </c>
      <c r="H868" t="s">
        <v>476</v>
      </c>
      <c r="I868">
        <v>7.8527777780000001</v>
      </c>
      <c r="J868">
        <v>-5.1111111109999996</v>
      </c>
      <c r="K868">
        <v>300</v>
      </c>
      <c r="AV868" t="s">
        <v>1594</v>
      </c>
      <c r="AW868">
        <v>136</v>
      </c>
      <c r="AX868" t="s">
        <v>480</v>
      </c>
      <c r="AY868">
        <v>4</v>
      </c>
      <c r="AZ868" t="s">
        <v>1595</v>
      </c>
      <c r="BA868">
        <v>2017</v>
      </c>
      <c r="BB868">
        <v>2020</v>
      </c>
      <c r="BD868" t="s">
        <v>1626</v>
      </c>
      <c r="BF868" t="s">
        <v>484</v>
      </c>
      <c r="BG868" t="s">
        <v>485</v>
      </c>
      <c r="BH868" t="s">
        <v>957</v>
      </c>
      <c r="BI868" t="s">
        <v>1598</v>
      </c>
      <c r="BJ868" s="9">
        <v>55556</v>
      </c>
      <c r="BK868" t="s">
        <v>537</v>
      </c>
      <c r="BL868" t="s">
        <v>1627</v>
      </c>
      <c r="BM868" t="s">
        <v>957</v>
      </c>
      <c r="BN868" t="s">
        <v>1598</v>
      </c>
      <c r="BO868">
        <v>148000</v>
      </c>
      <c r="BP868" t="s">
        <v>555</v>
      </c>
      <c r="BQ868" t="s">
        <v>485</v>
      </c>
      <c r="BR868" t="s">
        <v>957</v>
      </c>
      <c r="BS868" t="s">
        <v>1598</v>
      </c>
      <c r="BT868" s="9">
        <v>55556</v>
      </c>
      <c r="BU868" t="s">
        <v>537</v>
      </c>
      <c r="BV868" t="s">
        <v>932</v>
      </c>
      <c r="BW868" t="s">
        <v>1628</v>
      </c>
      <c r="BX868" t="s">
        <v>1598</v>
      </c>
      <c r="BY868">
        <v>148000</v>
      </c>
      <c r="BZ868" t="s">
        <v>555</v>
      </c>
      <c r="CA868" t="s">
        <v>1501</v>
      </c>
      <c r="CB868" t="s">
        <v>1597</v>
      </c>
      <c r="CC868" t="s">
        <v>1598</v>
      </c>
      <c r="CD868">
        <v>722000</v>
      </c>
      <c r="HK868" t="s">
        <v>1601</v>
      </c>
      <c r="HL868" t="s">
        <v>488</v>
      </c>
      <c r="HT868" s="186">
        <v>42887</v>
      </c>
      <c r="IH868" t="s">
        <v>1626</v>
      </c>
      <c r="II868" s="75" t="s">
        <v>929</v>
      </c>
      <c r="IJ868" t="s">
        <v>542</v>
      </c>
      <c r="IK868" t="s">
        <v>543</v>
      </c>
      <c r="IL868">
        <v>2017</v>
      </c>
      <c r="IN868" t="s">
        <v>1602</v>
      </c>
      <c r="IO868" t="s">
        <v>1626</v>
      </c>
      <c r="IP868" t="s">
        <v>1623</v>
      </c>
      <c r="IQ868" t="s">
        <v>558</v>
      </c>
      <c r="IS868">
        <v>2018</v>
      </c>
      <c r="IU868" t="s">
        <v>1602</v>
      </c>
      <c r="JK868" t="s">
        <v>682</v>
      </c>
      <c r="KE868" t="s">
        <v>1603</v>
      </c>
      <c r="KF868" t="s">
        <v>1604</v>
      </c>
      <c r="KI868" t="s">
        <v>1601</v>
      </c>
      <c r="KJ868" t="s">
        <v>501</v>
      </c>
      <c r="KK868" t="s">
        <v>502</v>
      </c>
      <c r="KL868" t="s">
        <v>1605</v>
      </c>
      <c r="KM868">
        <v>540</v>
      </c>
      <c r="KN868" t="s">
        <v>501</v>
      </c>
      <c r="KO868" t="s">
        <v>1606</v>
      </c>
      <c r="KP868" t="s">
        <v>1605</v>
      </c>
      <c r="KQ868">
        <v>360</v>
      </c>
      <c r="KV868" t="s">
        <v>1607</v>
      </c>
      <c r="KW868" t="s">
        <v>1608</v>
      </c>
      <c r="LJ868" t="s">
        <v>1609</v>
      </c>
      <c r="MY868" t="s">
        <v>1594</v>
      </c>
      <c r="MZ868">
        <v>136</v>
      </c>
      <c r="NB868" t="s">
        <v>1529</v>
      </c>
      <c r="NC868" t="s">
        <v>548</v>
      </c>
      <c r="NI868" t="s">
        <v>1610</v>
      </c>
      <c r="NJ868" s="187" t="s">
        <v>1632</v>
      </c>
      <c r="NK868" s="187" t="s">
        <v>1633</v>
      </c>
      <c r="NL868" s="4" t="s">
        <v>1634</v>
      </c>
      <c r="NM868" t="s">
        <v>1635</v>
      </c>
      <c r="NV868" t="s">
        <v>518</v>
      </c>
      <c r="NW868">
        <v>60</v>
      </c>
      <c r="NX868" t="s">
        <v>480</v>
      </c>
      <c r="OB868">
        <v>3</v>
      </c>
      <c r="OU868" t="s">
        <v>1614</v>
      </c>
      <c r="OV868" t="s">
        <v>518</v>
      </c>
      <c r="OX868">
        <v>2017</v>
      </c>
      <c r="OY868">
        <v>2020</v>
      </c>
      <c r="PB868" t="s">
        <v>522</v>
      </c>
      <c r="PC868" s="50">
        <v>46136</v>
      </c>
    </row>
    <row r="869" spans="1:419" ht="15.75" thickBot="1">
      <c r="A869" t="s">
        <v>469</v>
      </c>
      <c r="B869" t="s">
        <v>1591</v>
      </c>
      <c r="C869" t="s">
        <v>1592</v>
      </c>
      <c r="D869" t="s">
        <v>950</v>
      </c>
      <c r="E869" s="81" t="s">
        <v>1593</v>
      </c>
      <c r="F869" t="s">
        <v>1179</v>
      </c>
      <c r="G869" t="s">
        <v>475</v>
      </c>
      <c r="H869" t="s">
        <v>476</v>
      </c>
      <c r="I869">
        <v>7.8527777780000001</v>
      </c>
      <c r="J869">
        <v>-5.1111111109999996</v>
      </c>
      <c r="K869">
        <v>300</v>
      </c>
      <c r="AV869" t="s">
        <v>1594</v>
      </c>
      <c r="AW869">
        <v>136</v>
      </c>
      <c r="AX869" t="s">
        <v>480</v>
      </c>
      <c r="AY869">
        <v>4</v>
      </c>
      <c r="AZ869" t="s">
        <v>1595</v>
      </c>
      <c r="BA869">
        <v>2017</v>
      </c>
      <c r="BB869">
        <v>2020</v>
      </c>
      <c r="BD869" t="s">
        <v>1629</v>
      </c>
      <c r="BF869" t="s">
        <v>484</v>
      </c>
      <c r="BG869" t="s">
        <v>1364</v>
      </c>
      <c r="BH869" t="s">
        <v>957</v>
      </c>
      <c r="BI869" t="s">
        <v>480</v>
      </c>
      <c r="BJ869" t="s">
        <v>480</v>
      </c>
      <c r="BK869" t="s">
        <v>537</v>
      </c>
      <c r="BL869" t="s">
        <v>1599</v>
      </c>
      <c r="BM869" t="s">
        <v>1600</v>
      </c>
      <c r="BN869" t="s">
        <v>1598</v>
      </c>
      <c r="BO869">
        <v>940000</v>
      </c>
      <c r="BP869" t="s">
        <v>555</v>
      </c>
      <c r="BQ869" t="s">
        <v>1364</v>
      </c>
      <c r="BR869" t="s">
        <v>957</v>
      </c>
      <c r="BS869" t="s">
        <v>480</v>
      </c>
      <c r="BT869" t="s">
        <v>480</v>
      </c>
      <c r="BU869" t="s">
        <v>537</v>
      </c>
      <c r="BV869" t="s">
        <v>1599</v>
      </c>
      <c r="BW869" t="s">
        <v>1600</v>
      </c>
      <c r="BX869" t="s">
        <v>1598</v>
      </c>
      <c r="BY869">
        <v>940000</v>
      </c>
      <c r="BZ869" t="s">
        <v>555</v>
      </c>
      <c r="CA869" t="s">
        <v>1501</v>
      </c>
      <c r="CB869" t="s">
        <v>1597</v>
      </c>
      <c r="CC869" t="s">
        <v>1598</v>
      </c>
      <c r="CD869">
        <v>722000</v>
      </c>
      <c r="CE869" t="s">
        <v>537</v>
      </c>
      <c r="CF869" t="s">
        <v>1599</v>
      </c>
      <c r="CG869" t="s">
        <v>1630</v>
      </c>
      <c r="CH869" t="s">
        <v>1598</v>
      </c>
      <c r="CI869">
        <v>940000</v>
      </c>
      <c r="HK869" t="s">
        <v>1601</v>
      </c>
      <c r="HL869" t="s">
        <v>488</v>
      </c>
      <c r="HT869" s="186">
        <v>42887</v>
      </c>
      <c r="IH869" t="s">
        <v>1629</v>
      </c>
      <c r="II869" s="75" t="s">
        <v>929</v>
      </c>
      <c r="IJ869" t="s">
        <v>542</v>
      </c>
      <c r="IK869" t="s">
        <v>543</v>
      </c>
      <c r="IL869">
        <v>2017</v>
      </c>
      <c r="IN869" t="s">
        <v>1602</v>
      </c>
      <c r="IO869" t="s">
        <v>1629</v>
      </c>
      <c r="IP869" t="s">
        <v>1259</v>
      </c>
      <c r="IQ869" s="75" t="s">
        <v>558</v>
      </c>
      <c r="IS869">
        <v>2018</v>
      </c>
      <c r="IU869" t="s">
        <v>1602</v>
      </c>
      <c r="JK869" t="s">
        <v>682</v>
      </c>
      <c r="KE869" t="s">
        <v>1603</v>
      </c>
      <c r="KF869" t="s">
        <v>1604</v>
      </c>
      <c r="KI869" t="s">
        <v>1601</v>
      </c>
      <c r="KJ869" t="s">
        <v>501</v>
      </c>
      <c r="KK869" t="s">
        <v>502</v>
      </c>
      <c r="KL869" t="s">
        <v>1605</v>
      </c>
      <c r="KM869">
        <v>540</v>
      </c>
      <c r="KN869" t="s">
        <v>501</v>
      </c>
      <c r="KO869" t="s">
        <v>1606</v>
      </c>
      <c r="KP869" t="s">
        <v>1605</v>
      </c>
      <c r="KQ869">
        <v>360</v>
      </c>
      <c r="KV869" t="s">
        <v>1607</v>
      </c>
      <c r="KW869" t="s">
        <v>1608</v>
      </c>
      <c r="LJ869" t="s">
        <v>1609</v>
      </c>
      <c r="MY869" t="s">
        <v>1594</v>
      </c>
      <c r="MZ869">
        <v>136</v>
      </c>
      <c r="NB869" t="s">
        <v>1529</v>
      </c>
      <c r="NC869" t="s">
        <v>1631</v>
      </c>
      <c r="NI869" t="s">
        <v>1610</v>
      </c>
      <c r="NJ869" s="187" t="s">
        <v>1632</v>
      </c>
      <c r="NK869" s="187" t="s">
        <v>1633</v>
      </c>
      <c r="NL869" s="4" t="s">
        <v>1634</v>
      </c>
      <c r="NM869" t="s">
        <v>1635</v>
      </c>
      <c r="NV869" t="s">
        <v>518</v>
      </c>
      <c r="NW869">
        <v>487</v>
      </c>
      <c r="NX869" t="s">
        <v>480</v>
      </c>
      <c r="OB869">
        <v>3</v>
      </c>
      <c r="OU869" t="s">
        <v>1614</v>
      </c>
      <c r="OV869" t="s">
        <v>518</v>
      </c>
      <c r="OX869">
        <v>2017</v>
      </c>
      <c r="OY869">
        <v>2020</v>
      </c>
      <c r="PB869" t="s">
        <v>522</v>
      </c>
      <c r="PC869" s="50">
        <v>46136</v>
      </c>
    </row>
    <row r="870" spans="1:419" ht="15.75" thickBot="1">
      <c r="A870" t="s">
        <v>469</v>
      </c>
      <c r="B870" t="s">
        <v>1591</v>
      </c>
      <c r="C870" t="s">
        <v>1592</v>
      </c>
      <c r="D870" t="s">
        <v>950</v>
      </c>
      <c r="E870" s="81" t="s">
        <v>1593</v>
      </c>
      <c r="F870" t="s">
        <v>1179</v>
      </c>
      <c r="G870" t="s">
        <v>475</v>
      </c>
      <c r="H870" t="s">
        <v>476</v>
      </c>
      <c r="I870">
        <v>7.8527777780000001</v>
      </c>
      <c r="J870">
        <v>-5.1111111109999996</v>
      </c>
      <c r="K870">
        <v>300</v>
      </c>
      <c r="AV870" t="s">
        <v>1594</v>
      </c>
      <c r="AW870">
        <v>136</v>
      </c>
      <c r="AX870" t="s">
        <v>480</v>
      </c>
      <c r="AY870">
        <v>4</v>
      </c>
      <c r="AZ870" t="s">
        <v>1595</v>
      </c>
      <c r="BA870">
        <v>2017</v>
      </c>
      <c r="BB870">
        <v>2020</v>
      </c>
      <c r="BD870" t="s">
        <v>1596</v>
      </c>
      <c r="BF870" t="s">
        <v>484</v>
      </c>
      <c r="BG870" t="s">
        <v>1501</v>
      </c>
      <c r="BH870" t="s">
        <v>1597</v>
      </c>
      <c r="BI870" t="s">
        <v>1598</v>
      </c>
      <c r="BJ870">
        <v>722000</v>
      </c>
      <c r="BK870" t="s">
        <v>537</v>
      </c>
      <c r="BL870" t="s">
        <v>1599</v>
      </c>
      <c r="BM870" t="s">
        <v>1600</v>
      </c>
      <c r="BN870" t="s">
        <v>1598</v>
      </c>
      <c r="BO870" s="9">
        <v>470000</v>
      </c>
      <c r="BP870" t="s">
        <v>555</v>
      </c>
      <c r="BQ870" t="s">
        <v>485</v>
      </c>
      <c r="BR870" t="s">
        <v>957</v>
      </c>
      <c r="BS870" t="s">
        <v>1598</v>
      </c>
      <c r="BT870" s="9">
        <v>55556</v>
      </c>
      <c r="BU870" t="s">
        <v>537</v>
      </c>
      <c r="BV870" t="s">
        <v>1599</v>
      </c>
      <c r="BW870" t="s">
        <v>1600</v>
      </c>
      <c r="BX870" t="s">
        <v>1598</v>
      </c>
      <c r="BY870" s="9">
        <v>470000</v>
      </c>
      <c r="HK870" t="s">
        <v>1601</v>
      </c>
      <c r="HL870" t="s">
        <v>488</v>
      </c>
      <c r="HT870" s="186">
        <v>42887</v>
      </c>
      <c r="IH870" t="s">
        <v>1596</v>
      </c>
      <c r="II870" s="75" t="s">
        <v>929</v>
      </c>
      <c r="IJ870" t="s">
        <v>542</v>
      </c>
      <c r="IK870" t="s">
        <v>543</v>
      </c>
      <c r="IL870">
        <v>2017</v>
      </c>
      <c r="IN870" t="s">
        <v>1602</v>
      </c>
      <c r="IO870" t="s">
        <v>1596</v>
      </c>
      <c r="IP870" t="s">
        <v>1259</v>
      </c>
      <c r="IQ870" s="75" t="s">
        <v>558</v>
      </c>
      <c r="IS870">
        <v>2018</v>
      </c>
      <c r="IU870" t="s">
        <v>1602</v>
      </c>
      <c r="JK870" t="s">
        <v>682</v>
      </c>
      <c r="KE870" t="s">
        <v>1603</v>
      </c>
      <c r="KF870" t="s">
        <v>1604</v>
      </c>
      <c r="KI870" t="s">
        <v>1601</v>
      </c>
      <c r="KJ870" t="s">
        <v>501</v>
      </c>
      <c r="KK870" t="s">
        <v>502</v>
      </c>
      <c r="KL870" t="s">
        <v>1605</v>
      </c>
      <c r="KM870">
        <f>+AVERAGE(360,720)</f>
        <v>540</v>
      </c>
      <c r="KN870" t="s">
        <v>501</v>
      </c>
      <c r="KO870" t="s">
        <v>1606</v>
      </c>
      <c r="KP870" t="s">
        <v>1605</v>
      </c>
      <c r="KQ870">
        <v>360</v>
      </c>
      <c r="KV870" t="s">
        <v>1607</v>
      </c>
      <c r="KW870" t="s">
        <v>1608</v>
      </c>
      <c r="LJ870" t="s">
        <v>1609</v>
      </c>
      <c r="MY870" t="s">
        <v>1594</v>
      </c>
      <c r="MZ870">
        <v>136</v>
      </c>
      <c r="NB870" t="s">
        <v>1529</v>
      </c>
      <c r="NC870" t="s">
        <v>548</v>
      </c>
      <c r="NI870" t="s">
        <v>1610</v>
      </c>
      <c r="NJ870" s="187" t="s">
        <v>1636</v>
      </c>
      <c r="NK870" s="187" t="s">
        <v>1637</v>
      </c>
      <c r="NL870" s="4" t="s">
        <v>1446</v>
      </c>
      <c r="NM870" t="s">
        <v>1638</v>
      </c>
      <c r="NV870" t="s">
        <v>518</v>
      </c>
      <c r="NW870">
        <v>1046</v>
      </c>
      <c r="NX870" t="s">
        <v>480</v>
      </c>
      <c r="OB870">
        <v>3</v>
      </c>
      <c r="OU870" t="s">
        <v>1614</v>
      </c>
      <c r="OV870" t="s">
        <v>518</v>
      </c>
      <c r="OX870">
        <v>2017</v>
      </c>
      <c r="OY870">
        <v>2020</v>
      </c>
      <c r="PB870" t="s">
        <v>522</v>
      </c>
      <c r="PC870" s="50">
        <v>46136</v>
      </c>
    </row>
    <row r="871" spans="1:419" ht="15.75" thickBot="1">
      <c r="A871" t="s">
        <v>469</v>
      </c>
      <c r="B871" t="s">
        <v>1591</v>
      </c>
      <c r="C871" t="s">
        <v>1592</v>
      </c>
      <c r="D871" t="s">
        <v>950</v>
      </c>
      <c r="E871" s="81" t="s">
        <v>1593</v>
      </c>
      <c r="F871" t="s">
        <v>1179</v>
      </c>
      <c r="G871" t="s">
        <v>475</v>
      </c>
      <c r="H871" t="s">
        <v>476</v>
      </c>
      <c r="I871">
        <v>7.8527777780000001</v>
      </c>
      <c r="J871">
        <v>-5.1111111109999996</v>
      </c>
      <c r="K871">
        <v>300</v>
      </c>
      <c r="AV871" t="s">
        <v>1594</v>
      </c>
      <c r="AW871">
        <v>136</v>
      </c>
      <c r="AX871" t="s">
        <v>480</v>
      </c>
      <c r="AY871">
        <v>4</v>
      </c>
      <c r="AZ871" t="s">
        <v>1595</v>
      </c>
      <c r="BA871">
        <v>2017</v>
      </c>
      <c r="BB871">
        <v>2020</v>
      </c>
      <c r="BD871" t="s">
        <v>1615</v>
      </c>
      <c r="BF871" t="s">
        <v>484</v>
      </c>
      <c r="BG871" t="s">
        <v>1501</v>
      </c>
      <c r="BH871" t="s">
        <v>1597</v>
      </c>
      <c r="BI871" t="s">
        <v>1598</v>
      </c>
      <c r="BJ871">
        <v>722000</v>
      </c>
      <c r="BK871" t="s">
        <v>537</v>
      </c>
      <c r="BL871" t="s">
        <v>1599</v>
      </c>
      <c r="BM871" t="s">
        <v>1600</v>
      </c>
      <c r="BN871" t="s">
        <v>1598</v>
      </c>
      <c r="BO871" s="9">
        <v>470000</v>
      </c>
      <c r="BP871" t="s">
        <v>555</v>
      </c>
      <c r="BQ871" t="s">
        <v>1501</v>
      </c>
      <c r="BR871" t="s">
        <v>1597</v>
      </c>
      <c r="BS871" t="s">
        <v>1598</v>
      </c>
      <c r="BT871">
        <v>722000</v>
      </c>
      <c r="BU871" t="s">
        <v>537</v>
      </c>
      <c r="BV871" t="s">
        <v>1599</v>
      </c>
      <c r="BW871" t="s">
        <v>1600</v>
      </c>
      <c r="BX871" t="s">
        <v>1598</v>
      </c>
      <c r="BY871" s="9">
        <v>470000</v>
      </c>
      <c r="HK871" t="s">
        <v>1601</v>
      </c>
      <c r="HL871" t="s">
        <v>488</v>
      </c>
      <c r="HT871" s="186">
        <v>42887</v>
      </c>
      <c r="IH871" t="s">
        <v>1615</v>
      </c>
      <c r="II871" s="75" t="s">
        <v>929</v>
      </c>
      <c r="IJ871" t="s">
        <v>542</v>
      </c>
      <c r="IK871" t="s">
        <v>543</v>
      </c>
      <c r="IL871">
        <v>2017</v>
      </c>
      <c r="IN871" t="s">
        <v>1602</v>
      </c>
      <c r="IO871" t="s">
        <v>1615</v>
      </c>
      <c r="IP871" t="s">
        <v>1259</v>
      </c>
      <c r="IQ871" s="75" t="s">
        <v>558</v>
      </c>
      <c r="IS871">
        <v>2018</v>
      </c>
      <c r="IU871" t="s">
        <v>1602</v>
      </c>
      <c r="JK871" t="s">
        <v>682</v>
      </c>
      <c r="KE871" t="s">
        <v>1603</v>
      </c>
      <c r="KF871" t="s">
        <v>1604</v>
      </c>
      <c r="KI871" t="s">
        <v>1601</v>
      </c>
      <c r="KJ871" t="s">
        <v>501</v>
      </c>
      <c r="KK871" t="s">
        <v>502</v>
      </c>
      <c r="KL871" t="s">
        <v>1605</v>
      </c>
      <c r="KM871">
        <f t="shared" ref="KM871:KM873" si="11">+AVERAGE(360,720)</f>
        <v>540</v>
      </c>
      <c r="KN871" t="s">
        <v>501</v>
      </c>
      <c r="KO871" t="s">
        <v>1606</v>
      </c>
      <c r="KP871" t="s">
        <v>1605</v>
      </c>
      <c r="KQ871">
        <v>360</v>
      </c>
      <c r="KV871" t="s">
        <v>1607</v>
      </c>
      <c r="KW871" t="s">
        <v>1608</v>
      </c>
      <c r="LJ871" t="s">
        <v>1609</v>
      </c>
      <c r="MY871" t="s">
        <v>1594</v>
      </c>
      <c r="MZ871">
        <v>136</v>
      </c>
      <c r="NB871" t="s">
        <v>1529</v>
      </c>
      <c r="NI871" t="s">
        <v>1610</v>
      </c>
      <c r="NJ871" s="187" t="s">
        <v>1636</v>
      </c>
      <c r="NK871" s="187" t="s">
        <v>1637</v>
      </c>
      <c r="NL871" s="4" t="s">
        <v>1446</v>
      </c>
      <c r="NM871" t="s">
        <v>1638</v>
      </c>
      <c r="NV871" t="s">
        <v>518</v>
      </c>
      <c r="NW871">
        <v>834</v>
      </c>
      <c r="NX871" t="s">
        <v>480</v>
      </c>
      <c r="OB871">
        <v>3</v>
      </c>
      <c r="OU871" t="s">
        <v>1614</v>
      </c>
      <c r="OV871" t="s">
        <v>518</v>
      </c>
      <c r="OX871">
        <v>2017</v>
      </c>
      <c r="OY871">
        <v>2020</v>
      </c>
      <c r="PB871" t="s">
        <v>522</v>
      </c>
      <c r="PC871" s="50">
        <v>46136</v>
      </c>
    </row>
    <row r="872" spans="1:419" ht="15.75" thickBot="1">
      <c r="A872" t="s">
        <v>469</v>
      </c>
      <c r="B872" t="s">
        <v>1591</v>
      </c>
      <c r="C872" t="s">
        <v>1592</v>
      </c>
      <c r="D872" t="s">
        <v>950</v>
      </c>
      <c r="E872" s="81" t="s">
        <v>1593</v>
      </c>
      <c r="F872" t="s">
        <v>1179</v>
      </c>
      <c r="G872" t="s">
        <v>475</v>
      </c>
      <c r="H872" t="s">
        <v>476</v>
      </c>
      <c r="I872">
        <v>7.8527777780000001</v>
      </c>
      <c r="J872">
        <v>-5.1111111109999996</v>
      </c>
      <c r="K872">
        <v>300</v>
      </c>
      <c r="AV872" t="s">
        <v>1594</v>
      </c>
      <c r="AW872">
        <v>136</v>
      </c>
      <c r="AX872" t="s">
        <v>480</v>
      </c>
      <c r="AY872">
        <v>4</v>
      </c>
      <c r="AZ872" t="s">
        <v>1595</v>
      </c>
      <c r="BA872">
        <v>2017</v>
      </c>
      <c r="BB872">
        <v>2020</v>
      </c>
      <c r="BD872" t="s">
        <v>1616</v>
      </c>
      <c r="BF872" t="s">
        <v>484</v>
      </c>
      <c r="BG872" t="s">
        <v>1501</v>
      </c>
      <c r="BH872" t="s">
        <v>1597</v>
      </c>
      <c r="BI872" t="s">
        <v>1598</v>
      </c>
      <c r="BJ872">
        <v>722000</v>
      </c>
      <c r="BK872" t="s">
        <v>537</v>
      </c>
      <c r="BL872" t="s">
        <v>1599</v>
      </c>
      <c r="BM872" t="s">
        <v>1600</v>
      </c>
      <c r="BN872" t="s">
        <v>1598</v>
      </c>
      <c r="BO872" s="9">
        <v>470000</v>
      </c>
      <c r="BP872" t="s">
        <v>555</v>
      </c>
      <c r="BQ872" t="s">
        <v>1599</v>
      </c>
      <c r="BR872" t="s">
        <v>1600</v>
      </c>
      <c r="BS872" t="s">
        <v>1598</v>
      </c>
      <c r="BT872" s="9">
        <v>470000</v>
      </c>
      <c r="BU872" t="s">
        <v>555</v>
      </c>
      <c r="BV872" t="s">
        <v>1501</v>
      </c>
      <c r="BW872" t="s">
        <v>1597</v>
      </c>
      <c r="BX872" t="s">
        <v>1598</v>
      </c>
      <c r="BY872">
        <v>722000</v>
      </c>
      <c r="BZ872" t="s">
        <v>537</v>
      </c>
      <c r="CA872" t="s">
        <v>1599</v>
      </c>
      <c r="CB872" t="s">
        <v>1600</v>
      </c>
      <c r="CC872" t="s">
        <v>1598</v>
      </c>
      <c r="CD872" s="9">
        <v>470000</v>
      </c>
      <c r="HK872" t="s">
        <v>1601</v>
      </c>
      <c r="HL872" t="s">
        <v>488</v>
      </c>
      <c r="HT872" s="186">
        <v>42887</v>
      </c>
      <c r="IH872" t="s">
        <v>1616</v>
      </c>
      <c r="II872" s="75" t="s">
        <v>929</v>
      </c>
      <c r="IJ872" t="s">
        <v>542</v>
      </c>
      <c r="IK872" t="s">
        <v>543</v>
      </c>
      <c r="IL872">
        <v>2017</v>
      </c>
      <c r="IN872" t="s">
        <v>1602</v>
      </c>
      <c r="IO872" t="s">
        <v>1616</v>
      </c>
      <c r="IP872" t="s">
        <v>1259</v>
      </c>
      <c r="IQ872" s="75" t="s">
        <v>558</v>
      </c>
      <c r="IS872">
        <v>2018</v>
      </c>
      <c r="IU872" t="s">
        <v>1602</v>
      </c>
      <c r="JK872" t="s">
        <v>682</v>
      </c>
      <c r="KE872" t="s">
        <v>1603</v>
      </c>
      <c r="KF872" t="s">
        <v>1604</v>
      </c>
      <c r="KI872" t="s">
        <v>1601</v>
      </c>
      <c r="KJ872" t="s">
        <v>501</v>
      </c>
      <c r="KK872" t="s">
        <v>502</v>
      </c>
      <c r="KL872" t="s">
        <v>1605</v>
      </c>
      <c r="KM872">
        <f t="shared" si="11"/>
        <v>540</v>
      </c>
      <c r="KN872" t="s">
        <v>501</v>
      </c>
      <c r="KO872" t="s">
        <v>1606</v>
      </c>
      <c r="KP872" t="s">
        <v>1605</v>
      </c>
      <c r="KQ872">
        <v>360</v>
      </c>
      <c r="KV872" t="s">
        <v>1607</v>
      </c>
      <c r="KW872" t="s">
        <v>1608</v>
      </c>
      <c r="LJ872" t="s">
        <v>1609</v>
      </c>
      <c r="MY872" t="s">
        <v>1594</v>
      </c>
      <c r="MZ872">
        <v>136</v>
      </c>
      <c r="NB872" t="s">
        <v>1529</v>
      </c>
      <c r="NI872" t="s">
        <v>1610</v>
      </c>
      <c r="NJ872" s="187" t="s">
        <v>1636</v>
      </c>
      <c r="NK872" s="187" t="s">
        <v>1637</v>
      </c>
      <c r="NL872" s="4" t="s">
        <v>1446</v>
      </c>
      <c r="NM872" t="s">
        <v>1638</v>
      </c>
      <c r="NV872" t="s">
        <v>518</v>
      </c>
      <c r="NW872">
        <v>1496</v>
      </c>
      <c r="NX872" t="s">
        <v>480</v>
      </c>
      <c r="OB872">
        <v>3</v>
      </c>
      <c r="OU872" t="s">
        <v>1614</v>
      </c>
      <c r="OV872" t="s">
        <v>518</v>
      </c>
      <c r="OX872">
        <v>2017</v>
      </c>
      <c r="OY872">
        <v>2020</v>
      </c>
      <c r="PB872" t="s">
        <v>522</v>
      </c>
      <c r="PC872" s="50">
        <v>46136</v>
      </c>
    </row>
    <row r="873" spans="1:419" ht="15.75" thickBot="1">
      <c r="A873" t="s">
        <v>469</v>
      </c>
      <c r="B873" t="s">
        <v>1591</v>
      </c>
      <c r="C873" t="s">
        <v>1592</v>
      </c>
      <c r="D873" t="s">
        <v>950</v>
      </c>
      <c r="E873" s="81" t="s">
        <v>1593</v>
      </c>
      <c r="F873" t="s">
        <v>1179</v>
      </c>
      <c r="G873" t="s">
        <v>475</v>
      </c>
      <c r="H873" t="s">
        <v>476</v>
      </c>
      <c r="I873">
        <v>7.8527777780000001</v>
      </c>
      <c r="J873">
        <v>-5.1111111109999996</v>
      </c>
      <c r="K873">
        <v>300</v>
      </c>
      <c r="AV873" t="s">
        <v>1594</v>
      </c>
      <c r="AW873">
        <v>136</v>
      </c>
      <c r="AX873" t="s">
        <v>480</v>
      </c>
      <c r="AY873">
        <v>4</v>
      </c>
      <c r="AZ873" t="s">
        <v>1595</v>
      </c>
      <c r="BA873">
        <v>2017</v>
      </c>
      <c r="BB873">
        <v>2020</v>
      </c>
      <c r="BD873" t="s">
        <v>1617</v>
      </c>
      <c r="BF873" t="s">
        <v>484</v>
      </c>
      <c r="BG873" t="s">
        <v>1501</v>
      </c>
      <c r="BH873" t="s">
        <v>1597</v>
      </c>
      <c r="BI873" t="s">
        <v>1598</v>
      </c>
      <c r="BJ873">
        <v>722000</v>
      </c>
      <c r="BK873" t="s">
        <v>555</v>
      </c>
      <c r="BL873" t="s">
        <v>485</v>
      </c>
      <c r="BM873" t="s">
        <v>957</v>
      </c>
      <c r="BN873" t="s">
        <v>1598</v>
      </c>
      <c r="BO873" s="9">
        <v>55556</v>
      </c>
      <c r="HK873" t="s">
        <v>1618</v>
      </c>
      <c r="HL873" t="s">
        <v>526</v>
      </c>
      <c r="HM873" t="s">
        <v>1619</v>
      </c>
      <c r="HP873">
        <v>3</v>
      </c>
      <c r="HT873" s="186">
        <v>42887</v>
      </c>
      <c r="IH873" t="s">
        <v>1617</v>
      </c>
      <c r="II873" t="s">
        <v>492</v>
      </c>
      <c r="IJ873" t="s">
        <v>542</v>
      </c>
      <c r="IK873" t="s">
        <v>543</v>
      </c>
      <c r="IL873">
        <v>2017</v>
      </c>
      <c r="IN873" t="s">
        <v>1620</v>
      </c>
      <c r="IO873" t="s">
        <v>1617</v>
      </c>
      <c r="IP873" t="s">
        <v>1259</v>
      </c>
      <c r="IQ873" t="s">
        <v>573</v>
      </c>
      <c r="IS873">
        <v>2018</v>
      </c>
      <c r="IU873" t="s">
        <v>1620</v>
      </c>
      <c r="JK873" t="s">
        <v>682</v>
      </c>
      <c r="KE873" t="s">
        <v>1603</v>
      </c>
      <c r="KF873" t="s">
        <v>1604</v>
      </c>
      <c r="KI873" t="s">
        <v>1618</v>
      </c>
      <c r="KJ873" t="s">
        <v>501</v>
      </c>
      <c r="KK873" t="s">
        <v>502</v>
      </c>
      <c r="KL873" t="s">
        <v>1605</v>
      </c>
      <c r="KM873">
        <f t="shared" si="11"/>
        <v>540</v>
      </c>
      <c r="KN873" t="s">
        <v>501</v>
      </c>
      <c r="KO873" t="s">
        <v>1606</v>
      </c>
      <c r="KP873" t="s">
        <v>1605</v>
      </c>
      <c r="KQ873">
        <v>360</v>
      </c>
      <c r="KV873" t="s">
        <v>1607</v>
      </c>
      <c r="KW873" t="s">
        <v>1608</v>
      </c>
      <c r="LJ873" t="s">
        <v>1609</v>
      </c>
      <c r="MY873" t="s">
        <v>1594</v>
      </c>
      <c r="MZ873">
        <v>136</v>
      </c>
      <c r="NB873" t="s">
        <v>1529</v>
      </c>
      <c r="NC873" t="s">
        <v>548</v>
      </c>
      <c r="NI873" t="s">
        <v>1610</v>
      </c>
      <c r="NJ873" s="187" t="s">
        <v>1636</v>
      </c>
      <c r="NK873" s="187" t="s">
        <v>1637</v>
      </c>
      <c r="NL873" s="4" t="s">
        <v>1446</v>
      </c>
      <c r="NM873" t="s">
        <v>1638</v>
      </c>
      <c r="NV873" t="s">
        <v>518</v>
      </c>
      <c r="NW873">
        <v>1025</v>
      </c>
      <c r="NX873" t="s">
        <v>480</v>
      </c>
      <c r="OB873">
        <v>3</v>
      </c>
      <c r="OU873" t="s">
        <v>1614</v>
      </c>
      <c r="OV873" t="s">
        <v>518</v>
      </c>
      <c r="OX873">
        <v>2017</v>
      </c>
      <c r="OY873">
        <v>2020</v>
      </c>
      <c r="PB873" t="s">
        <v>522</v>
      </c>
      <c r="PC873" s="50">
        <v>46136</v>
      </c>
    </row>
    <row r="874" spans="1:419" ht="15.75" thickBot="1">
      <c r="A874" t="s">
        <v>469</v>
      </c>
      <c r="B874" t="s">
        <v>1591</v>
      </c>
      <c r="C874" t="s">
        <v>1592</v>
      </c>
      <c r="D874" t="s">
        <v>950</v>
      </c>
      <c r="E874" s="81" t="s">
        <v>1593</v>
      </c>
      <c r="F874" t="s">
        <v>1179</v>
      </c>
      <c r="G874" t="s">
        <v>475</v>
      </c>
      <c r="H874" t="s">
        <v>476</v>
      </c>
      <c r="I874">
        <v>7.8527777780000001</v>
      </c>
      <c r="J874">
        <v>-5.1111111109999996</v>
      </c>
      <c r="K874">
        <v>300</v>
      </c>
      <c r="AV874" t="s">
        <v>1594</v>
      </c>
      <c r="AW874">
        <v>136</v>
      </c>
      <c r="AX874" t="s">
        <v>480</v>
      </c>
      <c r="AY874">
        <v>4</v>
      </c>
      <c r="AZ874" t="s">
        <v>1595</v>
      </c>
      <c r="BA874">
        <v>2017</v>
      </c>
      <c r="BB874">
        <v>2020</v>
      </c>
      <c r="BD874" t="s">
        <v>1621</v>
      </c>
      <c r="BF874" t="s">
        <v>484</v>
      </c>
      <c r="BG874" t="s">
        <v>485</v>
      </c>
      <c r="BH874" t="s">
        <v>957</v>
      </c>
      <c r="BI874" t="s">
        <v>1598</v>
      </c>
      <c r="BJ874" s="9">
        <v>55556</v>
      </c>
      <c r="BK874" t="s">
        <v>537</v>
      </c>
      <c r="BL874" t="s">
        <v>1405</v>
      </c>
      <c r="BM874" t="s">
        <v>1622</v>
      </c>
      <c r="BN874" t="s">
        <v>1598</v>
      </c>
      <c r="BO874">
        <v>55600</v>
      </c>
      <c r="BP874" t="s">
        <v>555</v>
      </c>
      <c r="BQ874" t="s">
        <v>1501</v>
      </c>
      <c r="BR874" t="s">
        <v>1597</v>
      </c>
      <c r="BS874" t="s">
        <v>1598</v>
      </c>
      <c r="BT874">
        <v>722000</v>
      </c>
      <c r="BU874" t="s">
        <v>537</v>
      </c>
      <c r="BV874" t="s">
        <v>927</v>
      </c>
      <c r="BW874" t="s">
        <v>480</v>
      </c>
      <c r="BX874" t="s">
        <v>480</v>
      </c>
      <c r="BY874" t="s">
        <v>480</v>
      </c>
      <c r="HK874" t="s">
        <v>1601</v>
      </c>
      <c r="HL874" t="s">
        <v>488</v>
      </c>
      <c r="HT874" s="186">
        <v>42887</v>
      </c>
      <c r="IH874" t="s">
        <v>1621</v>
      </c>
      <c r="II874" s="75" t="s">
        <v>929</v>
      </c>
      <c r="IJ874" t="s">
        <v>542</v>
      </c>
      <c r="IK874" t="s">
        <v>543</v>
      </c>
      <c r="IL874">
        <v>2017</v>
      </c>
      <c r="IN874" t="s">
        <v>1602</v>
      </c>
      <c r="IO874" t="s">
        <v>1621</v>
      </c>
      <c r="IP874" t="s">
        <v>1623</v>
      </c>
      <c r="IQ874" t="s">
        <v>558</v>
      </c>
      <c r="IS874">
        <v>2018</v>
      </c>
      <c r="IU874" t="s">
        <v>1602</v>
      </c>
      <c r="JK874" t="s">
        <v>682</v>
      </c>
      <c r="KE874" t="s">
        <v>1603</v>
      </c>
      <c r="KF874" t="s">
        <v>1604</v>
      </c>
      <c r="KI874" t="s">
        <v>1601</v>
      </c>
      <c r="KJ874" t="s">
        <v>501</v>
      </c>
      <c r="KK874" t="s">
        <v>1624</v>
      </c>
      <c r="KL874" t="s">
        <v>1605</v>
      </c>
      <c r="KM874">
        <v>1000</v>
      </c>
      <c r="KN874" t="s">
        <v>501</v>
      </c>
      <c r="KW874" t="s">
        <v>1520</v>
      </c>
      <c r="KX874" t="s">
        <v>1625</v>
      </c>
      <c r="LJ874" t="s">
        <v>1609</v>
      </c>
      <c r="MY874" t="s">
        <v>1594</v>
      </c>
      <c r="MZ874">
        <v>136</v>
      </c>
      <c r="NB874" t="s">
        <v>1529</v>
      </c>
      <c r="NC874" t="s">
        <v>548</v>
      </c>
      <c r="NI874" t="s">
        <v>1610</v>
      </c>
      <c r="NJ874" s="187" t="s">
        <v>1636</v>
      </c>
      <c r="NK874" s="187" t="s">
        <v>1637</v>
      </c>
      <c r="NL874" s="4" t="s">
        <v>1446</v>
      </c>
      <c r="NM874" t="s">
        <v>1638</v>
      </c>
      <c r="NV874" t="s">
        <v>518</v>
      </c>
      <c r="NW874">
        <v>222</v>
      </c>
      <c r="NX874" t="s">
        <v>480</v>
      </c>
      <c r="OB874">
        <v>3</v>
      </c>
      <c r="OU874" t="s">
        <v>1614</v>
      </c>
      <c r="OV874" t="s">
        <v>518</v>
      </c>
      <c r="OX874">
        <v>2017</v>
      </c>
      <c r="OY874">
        <v>2020</v>
      </c>
      <c r="PB874" t="s">
        <v>522</v>
      </c>
      <c r="PC874" s="50">
        <v>46136</v>
      </c>
    </row>
    <row r="875" spans="1:419" ht="15.75" thickBot="1">
      <c r="A875" t="s">
        <v>469</v>
      </c>
      <c r="B875" t="s">
        <v>1591</v>
      </c>
      <c r="C875" t="s">
        <v>1592</v>
      </c>
      <c r="D875" t="s">
        <v>950</v>
      </c>
      <c r="E875" s="81" t="s">
        <v>1593</v>
      </c>
      <c r="F875" t="s">
        <v>1179</v>
      </c>
      <c r="G875" t="s">
        <v>475</v>
      </c>
      <c r="H875" t="s">
        <v>476</v>
      </c>
      <c r="I875">
        <v>7.8527777780000001</v>
      </c>
      <c r="J875">
        <v>-5.1111111109999996</v>
      </c>
      <c r="K875">
        <v>300</v>
      </c>
      <c r="AV875" t="s">
        <v>1594</v>
      </c>
      <c r="AW875">
        <v>136</v>
      </c>
      <c r="AX875" t="s">
        <v>480</v>
      </c>
      <c r="AY875">
        <v>4</v>
      </c>
      <c r="AZ875" t="s">
        <v>1595</v>
      </c>
      <c r="BA875">
        <v>2017</v>
      </c>
      <c r="BB875">
        <v>2020</v>
      </c>
      <c r="BD875" t="s">
        <v>1626</v>
      </c>
      <c r="BF875" t="s">
        <v>484</v>
      </c>
      <c r="BG875" t="s">
        <v>485</v>
      </c>
      <c r="BH875" t="s">
        <v>957</v>
      </c>
      <c r="BI875" t="s">
        <v>1598</v>
      </c>
      <c r="BJ875" s="9">
        <v>55556</v>
      </c>
      <c r="BK875" t="s">
        <v>537</v>
      </c>
      <c r="BL875" t="s">
        <v>1627</v>
      </c>
      <c r="BM875" t="s">
        <v>957</v>
      </c>
      <c r="BN875" t="s">
        <v>1598</v>
      </c>
      <c r="BO875">
        <v>148000</v>
      </c>
      <c r="BP875" t="s">
        <v>555</v>
      </c>
      <c r="BQ875" t="s">
        <v>485</v>
      </c>
      <c r="BR875" t="s">
        <v>957</v>
      </c>
      <c r="BS875" t="s">
        <v>1598</v>
      </c>
      <c r="BT875" s="9">
        <v>55556</v>
      </c>
      <c r="BU875" t="s">
        <v>537</v>
      </c>
      <c r="BV875" t="s">
        <v>932</v>
      </c>
      <c r="BW875" t="s">
        <v>1628</v>
      </c>
      <c r="BX875" t="s">
        <v>1598</v>
      </c>
      <c r="BY875">
        <v>148000</v>
      </c>
      <c r="BZ875" t="s">
        <v>555</v>
      </c>
      <c r="CA875" t="s">
        <v>1501</v>
      </c>
      <c r="CB875" t="s">
        <v>1597</v>
      </c>
      <c r="CC875" t="s">
        <v>1598</v>
      </c>
      <c r="CD875">
        <v>722000</v>
      </c>
      <c r="HK875" t="s">
        <v>1601</v>
      </c>
      <c r="HL875" t="s">
        <v>488</v>
      </c>
      <c r="HT875" s="186">
        <v>42887</v>
      </c>
      <c r="IH875" t="s">
        <v>1626</v>
      </c>
      <c r="II875" s="75" t="s">
        <v>929</v>
      </c>
      <c r="IJ875" t="s">
        <v>542</v>
      </c>
      <c r="IK875" t="s">
        <v>543</v>
      </c>
      <c r="IL875">
        <v>2017</v>
      </c>
      <c r="IN875" t="s">
        <v>1602</v>
      </c>
      <c r="IO875" t="s">
        <v>1626</v>
      </c>
      <c r="IP875" t="s">
        <v>1623</v>
      </c>
      <c r="IQ875" t="s">
        <v>558</v>
      </c>
      <c r="IS875">
        <v>2018</v>
      </c>
      <c r="IU875" t="s">
        <v>1602</v>
      </c>
      <c r="JK875" t="s">
        <v>682</v>
      </c>
      <c r="KE875" t="s">
        <v>1603</v>
      </c>
      <c r="KF875" t="s">
        <v>1604</v>
      </c>
      <c r="KI875" t="s">
        <v>1601</v>
      </c>
      <c r="KJ875" t="s">
        <v>501</v>
      </c>
      <c r="KK875" t="s">
        <v>502</v>
      </c>
      <c r="KL875" t="s">
        <v>1605</v>
      </c>
      <c r="KM875">
        <v>540</v>
      </c>
      <c r="KN875" t="s">
        <v>501</v>
      </c>
      <c r="KO875" t="s">
        <v>1606</v>
      </c>
      <c r="KP875" t="s">
        <v>1605</v>
      </c>
      <c r="KQ875">
        <v>360</v>
      </c>
      <c r="KV875" t="s">
        <v>1607</v>
      </c>
      <c r="KW875" t="s">
        <v>1608</v>
      </c>
      <c r="LJ875" t="s">
        <v>1609</v>
      </c>
      <c r="MY875" t="s">
        <v>1594</v>
      </c>
      <c r="MZ875">
        <v>136</v>
      </c>
      <c r="NB875" t="s">
        <v>1529</v>
      </c>
      <c r="NC875" t="s">
        <v>548</v>
      </c>
      <c r="NI875" t="s">
        <v>1610</v>
      </c>
      <c r="NJ875" s="187" t="s">
        <v>1636</v>
      </c>
      <c r="NK875" s="187" t="s">
        <v>1637</v>
      </c>
      <c r="NL875" s="4" t="s">
        <v>1446</v>
      </c>
      <c r="NM875" t="s">
        <v>1638</v>
      </c>
      <c r="NV875" t="s">
        <v>518</v>
      </c>
      <c r="NW875">
        <v>753</v>
      </c>
      <c r="NX875" t="s">
        <v>480</v>
      </c>
      <c r="OB875">
        <v>3</v>
      </c>
      <c r="OU875" t="s">
        <v>1614</v>
      </c>
      <c r="OV875" t="s">
        <v>518</v>
      </c>
      <c r="OX875">
        <v>2017</v>
      </c>
      <c r="OY875">
        <v>2020</v>
      </c>
      <c r="PB875" t="s">
        <v>522</v>
      </c>
      <c r="PC875" s="50">
        <v>46136</v>
      </c>
    </row>
    <row r="876" spans="1:419" ht="15.75" thickBot="1">
      <c r="A876" t="s">
        <v>469</v>
      </c>
      <c r="B876" t="s">
        <v>1591</v>
      </c>
      <c r="C876" t="s">
        <v>1592</v>
      </c>
      <c r="D876" t="s">
        <v>950</v>
      </c>
      <c r="E876" s="81" t="s">
        <v>1593</v>
      </c>
      <c r="F876" t="s">
        <v>1179</v>
      </c>
      <c r="G876" t="s">
        <v>475</v>
      </c>
      <c r="H876" t="s">
        <v>476</v>
      </c>
      <c r="I876">
        <v>7.8527777780000001</v>
      </c>
      <c r="J876">
        <v>-5.1111111109999996</v>
      </c>
      <c r="K876">
        <v>300</v>
      </c>
      <c r="AV876" t="s">
        <v>1594</v>
      </c>
      <c r="AW876">
        <v>136</v>
      </c>
      <c r="AX876" t="s">
        <v>480</v>
      </c>
      <c r="AY876">
        <v>4</v>
      </c>
      <c r="AZ876" t="s">
        <v>1595</v>
      </c>
      <c r="BA876">
        <v>2017</v>
      </c>
      <c r="BB876">
        <v>2020</v>
      </c>
      <c r="BD876" t="s">
        <v>1629</v>
      </c>
      <c r="BF876" t="s">
        <v>484</v>
      </c>
      <c r="BG876" t="s">
        <v>1364</v>
      </c>
      <c r="BH876" t="s">
        <v>957</v>
      </c>
      <c r="BI876" t="s">
        <v>480</v>
      </c>
      <c r="BJ876" t="s">
        <v>480</v>
      </c>
      <c r="BK876" t="s">
        <v>537</v>
      </c>
      <c r="BL876" t="s">
        <v>1599</v>
      </c>
      <c r="BM876" t="s">
        <v>1600</v>
      </c>
      <c r="BN876" t="s">
        <v>1598</v>
      </c>
      <c r="BO876">
        <v>940000</v>
      </c>
      <c r="BP876" t="s">
        <v>555</v>
      </c>
      <c r="BQ876" t="s">
        <v>1364</v>
      </c>
      <c r="BR876" t="s">
        <v>957</v>
      </c>
      <c r="BS876" t="s">
        <v>480</v>
      </c>
      <c r="BT876" t="s">
        <v>480</v>
      </c>
      <c r="BU876" t="s">
        <v>537</v>
      </c>
      <c r="BV876" t="s">
        <v>1599</v>
      </c>
      <c r="BW876" t="s">
        <v>1600</v>
      </c>
      <c r="BX876" t="s">
        <v>1598</v>
      </c>
      <c r="BY876">
        <v>940000</v>
      </c>
      <c r="BZ876" t="s">
        <v>555</v>
      </c>
      <c r="CA876" t="s">
        <v>1501</v>
      </c>
      <c r="CB876" t="s">
        <v>1597</v>
      </c>
      <c r="CC876" t="s">
        <v>1598</v>
      </c>
      <c r="CD876">
        <v>722000</v>
      </c>
      <c r="CE876" t="s">
        <v>537</v>
      </c>
      <c r="CF876" t="s">
        <v>1599</v>
      </c>
      <c r="CG876" t="s">
        <v>1630</v>
      </c>
      <c r="CH876" t="s">
        <v>1598</v>
      </c>
      <c r="CI876">
        <v>940000</v>
      </c>
      <c r="HK876" t="s">
        <v>1601</v>
      </c>
      <c r="HL876" t="s">
        <v>488</v>
      </c>
      <c r="HT876" s="186">
        <v>42887</v>
      </c>
      <c r="IH876" t="s">
        <v>1629</v>
      </c>
      <c r="II876" s="75" t="s">
        <v>929</v>
      </c>
      <c r="IJ876" t="s">
        <v>542</v>
      </c>
      <c r="IK876" t="s">
        <v>543</v>
      </c>
      <c r="IL876">
        <v>2017</v>
      </c>
      <c r="IN876" t="s">
        <v>1602</v>
      </c>
      <c r="IO876" t="s">
        <v>1629</v>
      </c>
      <c r="IP876" t="s">
        <v>1259</v>
      </c>
      <c r="IQ876" s="75" t="s">
        <v>558</v>
      </c>
      <c r="IS876">
        <v>2018</v>
      </c>
      <c r="IU876" t="s">
        <v>1602</v>
      </c>
      <c r="JK876" t="s">
        <v>682</v>
      </c>
      <c r="KE876" t="s">
        <v>1603</v>
      </c>
      <c r="KF876" t="s">
        <v>1604</v>
      </c>
      <c r="KI876" t="s">
        <v>1601</v>
      </c>
      <c r="KJ876" t="s">
        <v>501</v>
      </c>
      <c r="KK876" t="s">
        <v>502</v>
      </c>
      <c r="KL876" t="s">
        <v>1605</v>
      </c>
      <c r="KM876">
        <v>540</v>
      </c>
      <c r="KN876" t="s">
        <v>501</v>
      </c>
      <c r="KO876" t="s">
        <v>1606</v>
      </c>
      <c r="KP876" t="s">
        <v>1605</v>
      </c>
      <c r="KQ876">
        <v>360</v>
      </c>
      <c r="KV876" t="s">
        <v>1607</v>
      </c>
      <c r="KW876" t="s">
        <v>1608</v>
      </c>
      <c r="LJ876" t="s">
        <v>1609</v>
      </c>
      <c r="MY876" t="s">
        <v>1594</v>
      </c>
      <c r="MZ876">
        <v>136</v>
      </c>
      <c r="NB876" t="s">
        <v>1529</v>
      </c>
      <c r="NC876" t="s">
        <v>1631</v>
      </c>
      <c r="NI876" t="s">
        <v>1610</v>
      </c>
      <c r="NJ876" s="187" t="s">
        <v>1636</v>
      </c>
      <c r="NK876" s="187" t="s">
        <v>1637</v>
      </c>
      <c r="NL876" s="4" t="s">
        <v>1446</v>
      </c>
      <c r="NM876" t="s">
        <v>1638</v>
      </c>
      <c r="NV876" t="s">
        <v>518</v>
      </c>
      <c r="NW876">
        <v>12187</v>
      </c>
      <c r="NX876" t="s">
        <v>480</v>
      </c>
      <c r="OB876">
        <v>3</v>
      </c>
      <c r="OU876" t="s">
        <v>1614</v>
      </c>
      <c r="OV876" t="s">
        <v>518</v>
      </c>
      <c r="OX876">
        <v>2017</v>
      </c>
      <c r="OY876">
        <v>2020</v>
      </c>
      <c r="PB876" t="s">
        <v>522</v>
      </c>
      <c r="PC876" s="50">
        <v>46136</v>
      </c>
    </row>
    <row r="877" spans="1:419" ht="15.75" thickBot="1">
      <c r="A877" t="s">
        <v>469</v>
      </c>
      <c r="B877" t="s">
        <v>1591</v>
      </c>
      <c r="C877" t="s">
        <v>1592</v>
      </c>
      <c r="D877" t="s">
        <v>950</v>
      </c>
      <c r="E877" s="81" t="s">
        <v>1593</v>
      </c>
      <c r="F877" t="s">
        <v>1179</v>
      </c>
      <c r="G877" t="s">
        <v>475</v>
      </c>
      <c r="H877" t="s">
        <v>476</v>
      </c>
      <c r="I877">
        <v>7.8527777780000001</v>
      </c>
      <c r="J877">
        <v>-5.1111111109999996</v>
      </c>
      <c r="K877">
        <v>300</v>
      </c>
      <c r="AV877" t="s">
        <v>1594</v>
      </c>
      <c r="AW877">
        <v>136</v>
      </c>
      <c r="AX877" t="s">
        <v>480</v>
      </c>
      <c r="AY877">
        <v>4</v>
      </c>
      <c r="AZ877" t="s">
        <v>1595</v>
      </c>
      <c r="BA877">
        <v>2017</v>
      </c>
      <c r="BB877">
        <v>2020</v>
      </c>
      <c r="BD877" t="s">
        <v>1596</v>
      </c>
      <c r="BE877" t="s">
        <v>536</v>
      </c>
      <c r="BF877" t="s">
        <v>484</v>
      </c>
      <c r="BG877" t="s">
        <v>1501</v>
      </c>
      <c r="BH877" t="s">
        <v>1597</v>
      </c>
      <c r="BI877" t="s">
        <v>1598</v>
      </c>
      <c r="BJ877">
        <v>722000</v>
      </c>
      <c r="BK877" t="s">
        <v>537</v>
      </c>
      <c r="BL877" t="s">
        <v>1599</v>
      </c>
      <c r="BM877" t="s">
        <v>1600</v>
      </c>
      <c r="BN877" t="s">
        <v>1598</v>
      </c>
      <c r="BO877" s="9">
        <v>470000</v>
      </c>
      <c r="BP877" t="s">
        <v>555</v>
      </c>
      <c r="BQ877" t="s">
        <v>485</v>
      </c>
      <c r="BR877" t="s">
        <v>957</v>
      </c>
      <c r="BS877" t="s">
        <v>1598</v>
      </c>
      <c r="BT877" s="9">
        <v>55556</v>
      </c>
      <c r="BU877" t="s">
        <v>537</v>
      </c>
      <c r="BV877" t="s">
        <v>1599</v>
      </c>
      <c r="BW877" t="s">
        <v>1600</v>
      </c>
      <c r="BX877" t="s">
        <v>1598</v>
      </c>
      <c r="BY877" s="9">
        <v>470000</v>
      </c>
      <c r="HK877" t="s">
        <v>1601</v>
      </c>
      <c r="HL877" t="s">
        <v>488</v>
      </c>
      <c r="IH877" t="s">
        <v>1596</v>
      </c>
      <c r="II877" s="75" t="s">
        <v>929</v>
      </c>
      <c r="IJ877" t="s">
        <v>542</v>
      </c>
      <c r="IK877" t="s">
        <v>543</v>
      </c>
      <c r="IL877">
        <v>2017</v>
      </c>
      <c r="IN877" t="s">
        <v>1602</v>
      </c>
      <c r="IO877" t="s">
        <v>1596</v>
      </c>
      <c r="IP877" t="s">
        <v>1259</v>
      </c>
      <c r="IQ877" s="75" t="s">
        <v>558</v>
      </c>
      <c r="IS877">
        <v>2018</v>
      </c>
      <c r="IU877" t="s">
        <v>1602</v>
      </c>
      <c r="JK877" t="s">
        <v>682</v>
      </c>
      <c r="KE877" t="s">
        <v>1603</v>
      </c>
      <c r="KF877" t="s">
        <v>1604</v>
      </c>
      <c r="KI877" t="s">
        <v>1601</v>
      </c>
      <c r="KJ877" t="s">
        <v>501</v>
      </c>
      <c r="KK877" t="s">
        <v>502</v>
      </c>
      <c r="KL877" t="s">
        <v>1605</v>
      </c>
      <c r="KM877">
        <f>+AVERAGE(360,720)</f>
        <v>540</v>
      </c>
      <c r="KN877" t="s">
        <v>501</v>
      </c>
      <c r="KO877" t="s">
        <v>1606</v>
      </c>
      <c r="KP877" t="s">
        <v>1605</v>
      </c>
      <c r="KQ877">
        <v>360</v>
      </c>
      <c r="KV877" t="s">
        <v>1607</v>
      </c>
      <c r="KW877" t="s">
        <v>1608</v>
      </c>
      <c r="LJ877" t="s">
        <v>1602</v>
      </c>
      <c r="MY877" t="s">
        <v>1594</v>
      </c>
      <c r="MZ877">
        <v>136</v>
      </c>
      <c r="NA877" t="s">
        <v>1639</v>
      </c>
      <c r="NB877" t="s">
        <v>1529</v>
      </c>
      <c r="NJ877" s="187" t="s">
        <v>1639</v>
      </c>
      <c r="NK877" s="187"/>
      <c r="NL877" t="s">
        <v>660</v>
      </c>
      <c r="NM877" t="s">
        <v>508</v>
      </c>
      <c r="NV877" t="s">
        <v>518</v>
      </c>
      <c r="NW877">
        <v>1172.9000000000001</v>
      </c>
      <c r="NX877" t="s">
        <v>480</v>
      </c>
      <c r="OB877">
        <v>3</v>
      </c>
      <c r="OU877" t="s">
        <v>1533</v>
      </c>
      <c r="OV877" t="s">
        <v>518</v>
      </c>
      <c r="OX877">
        <v>2017</v>
      </c>
      <c r="OY877">
        <v>2020</v>
      </c>
      <c r="PB877" t="s">
        <v>522</v>
      </c>
      <c r="PC877" s="50">
        <v>46136</v>
      </c>
    </row>
    <row r="878" spans="1:419" ht="15.75" thickBot="1">
      <c r="A878" t="s">
        <v>469</v>
      </c>
      <c r="B878" t="s">
        <v>1591</v>
      </c>
      <c r="C878" t="s">
        <v>1592</v>
      </c>
      <c r="D878" t="s">
        <v>950</v>
      </c>
      <c r="E878" s="81" t="s">
        <v>1593</v>
      </c>
      <c r="F878" t="s">
        <v>1179</v>
      </c>
      <c r="G878" t="s">
        <v>475</v>
      </c>
      <c r="H878" t="s">
        <v>476</v>
      </c>
      <c r="I878">
        <v>7.8527777780000001</v>
      </c>
      <c r="J878">
        <v>-5.1111111109999996</v>
      </c>
      <c r="K878">
        <v>300</v>
      </c>
      <c r="AV878" t="s">
        <v>1594</v>
      </c>
      <c r="AW878">
        <v>136</v>
      </c>
      <c r="AX878" t="s">
        <v>480</v>
      </c>
      <c r="AY878">
        <v>4</v>
      </c>
      <c r="AZ878" t="s">
        <v>1595</v>
      </c>
      <c r="BA878">
        <v>2017</v>
      </c>
      <c r="BB878">
        <v>2020</v>
      </c>
      <c r="BD878" t="s">
        <v>1640</v>
      </c>
      <c r="BE878" t="s">
        <v>566</v>
      </c>
      <c r="BF878" t="s">
        <v>484</v>
      </c>
      <c r="BG878" t="s">
        <v>1501</v>
      </c>
      <c r="BH878" t="s">
        <v>1597</v>
      </c>
      <c r="BI878" t="s">
        <v>1598</v>
      </c>
      <c r="BJ878">
        <v>722000</v>
      </c>
      <c r="BK878" t="s">
        <v>537</v>
      </c>
      <c r="BL878" t="s">
        <v>1599</v>
      </c>
      <c r="BM878" t="s">
        <v>1600</v>
      </c>
      <c r="BN878" t="s">
        <v>1598</v>
      </c>
      <c r="BO878" s="9">
        <v>470000</v>
      </c>
      <c r="BP878" t="s">
        <v>555</v>
      </c>
      <c r="BQ878" t="s">
        <v>485</v>
      </c>
      <c r="BR878" t="s">
        <v>957</v>
      </c>
      <c r="BS878" t="s">
        <v>1598</v>
      </c>
      <c r="BT878" s="9">
        <v>55556</v>
      </c>
      <c r="BU878" t="s">
        <v>537</v>
      </c>
      <c r="BV878" t="s">
        <v>1599</v>
      </c>
      <c r="BW878" t="s">
        <v>1600</v>
      </c>
      <c r="BX878" t="s">
        <v>1598</v>
      </c>
      <c r="BY878" s="9">
        <v>470000</v>
      </c>
      <c r="HK878" t="s">
        <v>1601</v>
      </c>
      <c r="HL878" t="s">
        <v>488</v>
      </c>
      <c r="IH878" t="s">
        <v>1640</v>
      </c>
      <c r="II878" s="75" t="s">
        <v>929</v>
      </c>
      <c r="IJ878" t="s">
        <v>542</v>
      </c>
      <c r="IK878" t="s">
        <v>543</v>
      </c>
      <c r="IL878">
        <v>2017</v>
      </c>
      <c r="IN878" t="s">
        <v>1602</v>
      </c>
      <c r="IO878" t="s">
        <v>1640</v>
      </c>
      <c r="IP878" t="s">
        <v>1259</v>
      </c>
      <c r="IQ878" s="75" t="s">
        <v>558</v>
      </c>
      <c r="IS878">
        <v>2018</v>
      </c>
      <c r="IU878" t="s">
        <v>1602</v>
      </c>
      <c r="JK878" t="s">
        <v>682</v>
      </c>
      <c r="KE878" t="s">
        <v>1603</v>
      </c>
      <c r="KF878" t="s">
        <v>1604</v>
      </c>
      <c r="KI878" t="s">
        <v>1601</v>
      </c>
      <c r="KJ878" t="s">
        <v>501</v>
      </c>
      <c r="KK878" t="s">
        <v>502</v>
      </c>
      <c r="KL878" t="s">
        <v>1605</v>
      </c>
      <c r="KM878">
        <f t="shared" ref="KM878:KM880" si="12">+AVERAGE(360,720)</f>
        <v>540</v>
      </c>
      <c r="KN878" t="s">
        <v>501</v>
      </c>
      <c r="KO878" t="s">
        <v>1606</v>
      </c>
      <c r="KP878" t="s">
        <v>1605</v>
      </c>
      <c r="KQ878">
        <v>360</v>
      </c>
      <c r="KW878" t="s">
        <v>1608</v>
      </c>
      <c r="LJ878" t="s">
        <v>1602</v>
      </c>
      <c r="MY878" t="s">
        <v>1594</v>
      </c>
      <c r="MZ878">
        <v>136</v>
      </c>
      <c r="NA878" t="s">
        <v>1639</v>
      </c>
      <c r="NB878" t="s">
        <v>1529</v>
      </c>
      <c r="NJ878" t="s">
        <v>1639</v>
      </c>
      <c r="NL878" t="s">
        <v>660</v>
      </c>
      <c r="NM878" t="s">
        <v>508</v>
      </c>
      <c r="NV878" t="s">
        <v>518</v>
      </c>
      <c r="NW878">
        <v>447.5</v>
      </c>
      <c r="NX878" t="s">
        <v>480</v>
      </c>
      <c r="OB878">
        <v>3</v>
      </c>
      <c r="OU878" t="s">
        <v>1533</v>
      </c>
      <c r="OV878" t="s">
        <v>518</v>
      </c>
      <c r="OX878">
        <v>2017</v>
      </c>
      <c r="OY878">
        <v>2020</v>
      </c>
      <c r="PB878" t="s">
        <v>522</v>
      </c>
      <c r="PC878" s="50">
        <v>46136</v>
      </c>
    </row>
    <row r="879" spans="1:419" ht="15.75" thickBot="1">
      <c r="A879" t="s">
        <v>469</v>
      </c>
      <c r="B879" t="s">
        <v>1591</v>
      </c>
      <c r="C879" t="s">
        <v>1592</v>
      </c>
      <c r="D879" t="s">
        <v>950</v>
      </c>
      <c r="E879" s="81" t="s">
        <v>1593</v>
      </c>
      <c r="F879" t="s">
        <v>1179</v>
      </c>
      <c r="G879" t="s">
        <v>475</v>
      </c>
      <c r="H879" t="s">
        <v>476</v>
      </c>
      <c r="I879">
        <v>7.8527777780000001</v>
      </c>
      <c r="J879">
        <v>-5.1111111109999996</v>
      </c>
      <c r="K879">
        <v>300</v>
      </c>
      <c r="AV879" t="s">
        <v>1594</v>
      </c>
      <c r="AW879">
        <v>136</v>
      </c>
      <c r="AX879" t="s">
        <v>480</v>
      </c>
      <c r="AY879">
        <v>4</v>
      </c>
      <c r="AZ879" t="s">
        <v>1595</v>
      </c>
      <c r="BA879">
        <v>2017</v>
      </c>
      <c r="BB879">
        <v>2020</v>
      </c>
      <c r="BD879" t="s">
        <v>1641</v>
      </c>
      <c r="BE879" t="s">
        <v>572</v>
      </c>
      <c r="BF879" t="s">
        <v>484</v>
      </c>
      <c r="BG879" t="s">
        <v>1501</v>
      </c>
      <c r="BH879" t="s">
        <v>1597</v>
      </c>
      <c r="BI879" t="s">
        <v>1598</v>
      </c>
      <c r="BJ879">
        <v>722000</v>
      </c>
      <c r="BK879" t="s">
        <v>537</v>
      </c>
      <c r="BL879" t="s">
        <v>1599</v>
      </c>
      <c r="BM879" t="s">
        <v>1600</v>
      </c>
      <c r="BN879" t="s">
        <v>1598</v>
      </c>
      <c r="BO879" s="9">
        <v>470000</v>
      </c>
      <c r="BP879" t="s">
        <v>555</v>
      </c>
      <c r="BQ879" t="s">
        <v>1599</v>
      </c>
      <c r="BR879" t="s">
        <v>1600</v>
      </c>
      <c r="BS879" t="s">
        <v>1598</v>
      </c>
      <c r="BT879" s="9">
        <v>470000</v>
      </c>
      <c r="BU879" t="s">
        <v>555</v>
      </c>
      <c r="BV879" t="s">
        <v>1501</v>
      </c>
      <c r="BW879" t="s">
        <v>1597</v>
      </c>
      <c r="BX879" t="s">
        <v>1598</v>
      </c>
      <c r="BY879">
        <v>722000</v>
      </c>
      <c r="BZ879" t="s">
        <v>537</v>
      </c>
      <c r="CA879" t="s">
        <v>1599</v>
      </c>
      <c r="CB879" t="s">
        <v>1600</v>
      </c>
      <c r="CC879" t="s">
        <v>1598</v>
      </c>
      <c r="CD879" s="9">
        <v>470000</v>
      </c>
      <c r="HK879" t="s">
        <v>1601</v>
      </c>
      <c r="HL879" t="s">
        <v>488</v>
      </c>
      <c r="IH879" t="s">
        <v>1641</v>
      </c>
      <c r="II879" s="75" t="s">
        <v>929</v>
      </c>
      <c r="IJ879" t="s">
        <v>542</v>
      </c>
      <c r="IK879" t="s">
        <v>543</v>
      </c>
      <c r="IL879">
        <v>2017</v>
      </c>
      <c r="IN879" t="s">
        <v>1602</v>
      </c>
      <c r="IO879" t="s">
        <v>1641</v>
      </c>
      <c r="IP879" t="s">
        <v>1259</v>
      </c>
      <c r="IQ879" s="75" t="s">
        <v>558</v>
      </c>
      <c r="IS879">
        <v>2018</v>
      </c>
      <c r="IU879" t="s">
        <v>1602</v>
      </c>
      <c r="JK879" t="s">
        <v>682</v>
      </c>
      <c r="KE879" t="s">
        <v>1603</v>
      </c>
      <c r="KF879" t="s">
        <v>1604</v>
      </c>
      <c r="KI879" t="s">
        <v>1601</v>
      </c>
      <c r="KJ879" t="s">
        <v>501</v>
      </c>
      <c r="KK879" t="s">
        <v>502</v>
      </c>
      <c r="KL879" t="s">
        <v>1605</v>
      </c>
      <c r="KM879">
        <f t="shared" si="12"/>
        <v>540</v>
      </c>
      <c r="KN879" t="s">
        <v>501</v>
      </c>
      <c r="KO879" t="s">
        <v>1606</v>
      </c>
      <c r="KP879" t="s">
        <v>1605</v>
      </c>
      <c r="KQ879">
        <v>360</v>
      </c>
      <c r="KW879" t="s">
        <v>1608</v>
      </c>
      <c r="LJ879" t="s">
        <v>1602</v>
      </c>
      <c r="MY879" t="s">
        <v>1594</v>
      </c>
      <c r="MZ879">
        <v>136</v>
      </c>
      <c r="NA879" t="s">
        <v>1639</v>
      </c>
      <c r="NB879" t="s">
        <v>1529</v>
      </c>
      <c r="NJ879" t="s">
        <v>1639</v>
      </c>
      <c r="NL879" t="s">
        <v>660</v>
      </c>
      <c r="NM879" t="s">
        <v>508</v>
      </c>
      <c r="NV879" t="s">
        <v>518</v>
      </c>
      <c r="NW879">
        <v>495</v>
      </c>
      <c r="NX879" t="s">
        <v>480</v>
      </c>
      <c r="OB879">
        <v>3</v>
      </c>
      <c r="OU879" t="s">
        <v>1533</v>
      </c>
      <c r="OV879" t="s">
        <v>518</v>
      </c>
      <c r="OX879">
        <v>2017</v>
      </c>
      <c r="OY879">
        <v>2020</v>
      </c>
      <c r="PB879" t="s">
        <v>522</v>
      </c>
      <c r="PC879" s="50">
        <v>46136</v>
      </c>
    </row>
    <row r="880" spans="1:419" ht="15.75" thickBot="1">
      <c r="A880" t="s">
        <v>469</v>
      </c>
      <c r="B880" t="s">
        <v>1591</v>
      </c>
      <c r="C880" t="s">
        <v>1592</v>
      </c>
      <c r="D880" t="s">
        <v>950</v>
      </c>
      <c r="E880" s="81" t="s">
        <v>1593</v>
      </c>
      <c r="F880" t="s">
        <v>1179</v>
      </c>
      <c r="G880" t="s">
        <v>475</v>
      </c>
      <c r="H880" t="s">
        <v>476</v>
      </c>
      <c r="I880">
        <v>7.8527777780000001</v>
      </c>
      <c r="J880">
        <v>-5.1111111109999996</v>
      </c>
      <c r="K880">
        <v>300</v>
      </c>
      <c r="AV880" t="s">
        <v>1594</v>
      </c>
      <c r="AW880">
        <v>136</v>
      </c>
      <c r="AX880" t="s">
        <v>480</v>
      </c>
      <c r="AY880">
        <v>4</v>
      </c>
      <c r="AZ880" t="s">
        <v>1595</v>
      </c>
      <c r="BA880">
        <v>2017</v>
      </c>
      <c r="BB880">
        <v>2020</v>
      </c>
      <c r="BD880" t="s">
        <v>1616</v>
      </c>
      <c r="BE880" t="s">
        <v>553</v>
      </c>
      <c r="BF880" t="s">
        <v>484</v>
      </c>
      <c r="BG880" t="s">
        <v>1501</v>
      </c>
      <c r="BH880" t="s">
        <v>1597</v>
      </c>
      <c r="BI880" t="s">
        <v>1598</v>
      </c>
      <c r="BJ880">
        <v>722000</v>
      </c>
      <c r="BK880" t="s">
        <v>537</v>
      </c>
      <c r="BL880" t="s">
        <v>1599</v>
      </c>
      <c r="BM880" t="s">
        <v>1600</v>
      </c>
      <c r="BN880" t="s">
        <v>1598</v>
      </c>
      <c r="BO880" s="9">
        <v>470000</v>
      </c>
      <c r="BP880" t="s">
        <v>555</v>
      </c>
      <c r="BQ880" t="s">
        <v>1599</v>
      </c>
      <c r="BR880" t="s">
        <v>1600</v>
      </c>
      <c r="BS880" t="s">
        <v>1598</v>
      </c>
      <c r="BT880" s="9">
        <v>470000</v>
      </c>
      <c r="BU880" t="s">
        <v>555</v>
      </c>
      <c r="BV880" t="s">
        <v>1501</v>
      </c>
      <c r="BW880" t="s">
        <v>1597</v>
      </c>
      <c r="BX880" t="s">
        <v>1598</v>
      </c>
      <c r="BY880">
        <v>722000</v>
      </c>
      <c r="BZ880" t="s">
        <v>537</v>
      </c>
      <c r="CA880" t="s">
        <v>1599</v>
      </c>
      <c r="CB880" t="s">
        <v>1600</v>
      </c>
      <c r="CC880" t="s">
        <v>1598</v>
      </c>
      <c r="CD880" s="9">
        <v>470000</v>
      </c>
      <c r="HK880" t="s">
        <v>1601</v>
      </c>
      <c r="HL880" t="s">
        <v>488</v>
      </c>
      <c r="IH880" t="s">
        <v>1616</v>
      </c>
      <c r="II880" s="75" t="s">
        <v>929</v>
      </c>
      <c r="IJ880" t="s">
        <v>542</v>
      </c>
      <c r="IK880" t="s">
        <v>543</v>
      </c>
      <c r="IL880">
        <v>2017</v>
      </c>
      <c r="IN880" t="s">
        <v>1602</v>
      </c>
      <c r="IO880" t="s">
        <v>1616</v>
      </c>
      <c r="IP880" t="s">
        <v>1259</v>
      </c>
      <c r="IQ880" s="75" t="s">
        <v>558</v>
      </c>
      <c r="IS880">
        <v>2018</v>
      </c>
      <c r="IU880" t="s">
        <v>1602</v>
      </c>
      <c r="JK880" t="s">
        <v>682</v>
      </c>
      <c r="KE880" t="s">
        <v>1603</v>
      </c>
      <c r="KF880" t="s">
        <v>1604</v>
      </c>
      <c r="KI880" t="s">
        <v>1601</v>
      </c>
      <c r="KJ880" t="s">
        <v>501</v>
      </c>
      <c r="KK880" t="s">
        <v>502</v>
      </c>
      <c r="KL880" t="s">
        <v>1605</v>
      </c>
      <c r="KM880">
        <f t="shared" si="12"/>
        <v>540</v>
      </c>
      <c r="KN880" t="s">
        <v>501</v>
      </c>
      <c r="KO880" t="s">
        <v>1606</v>
      </c>
      <c r="KP880" t="s">
        <v>1605</v>
      </c>
      <c r="KQ880">
        <v>360</v>
      </c>
      <c r="KV880" t="s">
        <v>1607</v>
      </c>
      <c r="KW880" t="s">
        <v>1608</v>
      </c>
      <c r="LJ880" t="s">
        <v>1602</v>
      </c>
      <c r="MY880" t="s">
        <v>1594</v>
      </c>
      <c r="MZ880">
        <v>136</v>
      </c>
      <c r="NA880" t="s">
        <v>1639</v>
      </c>
      <c r="NB880" t="s">
        <v>1529</v>
      </c>
      <c r="NJ880" t="s">
        <v>1639</v>
      </c>
      <c r="NL880" t="s">
        <v>660</v>
      </c>
      <c r="NM880" t="s">
        <v>508</v>
      </c>
      <c r="NV880" t="s">
        <v>518</v>
      </c>
      <c r="NW880">
        <v>1469.3</v>
      </c>
      <c r="NX880" t="s">
        <v>480</v>
      </c>
      <c r="OB880">
        <v>3</v>
      </c>
      <c r="OU880" t="s">
        <v>1533</v>
      </c>
      <c r="OV880" t="s">
        <v>518</v>
      </c>
      <c r="OX880">
        <v>2017</v>
      </c>
      <c r="OY880">
        <v>2020</v>
      </c>
      <c r="PB880" t="s">
        <v>522</v>
      </c>
      <c r="PC880" s="50">
        <v>46136</v>
      </c>
    </row>
    <row r="881" spans="1:419">
      <c r="A881" t="s">
        <v>469</v>
      </c>
      <c r="B881" t="s">
        <v>1591</v>
      </c>
      <c r="C881" t="s">
        <v>1592</v>
      </c>
      <c r="D881" t="s">
        <v>950</v>
      </c>
      <c r="E881" s="81" t="s">
        <v>1593</v>
      </c>
      <c r="F881" t="s">
        <v>1179</v>
      </c>
      <c r="G881" t="s">
        <v>475</v>
      </c>
      <c r="H881" t="s">
        <v>476</v>
      </c>
      <c r="I881">
        <v>7.8527777780000001</v>
      </c>
      <c r="J881">
        <v>-5.1111111109999996</v>
      </c>
      <c r="K881">
        <v>300</v>
      </c>
      <c r="AV881" t="s">
        <v>1594</v>
      </c>
      <c r="AW881">
        <v>136</v>
      </c>
      <c r="AX881" t="s">
        <v>480</v>
      </c>
      <c r="AY881">
        <v>4</v>
      </c>
      <c r="AZ881" t="s">
        <v>1595</v>
      </c>
      <c r="BA881">
        <v>2017</v>
      </c>
      <c r="BB881">
        <v>2020</v>
      </c>
      <c r="BD881" t="s">
        <v>1617</v>
      </c>
      <c r="BE881" t="s">
        <v>524</v>
      </c>
      <c r="BF881" t="s">
        <v>484</v>
      </c>
      <c r="BG881" t="s">
        <v>1501</v>
      </c>
      <c r="BH881" t="s">
        <v>1597</v>
      </c>
      <c r="BI881" t="s">
        <v>1598</v>
      </c>
      <c r="BJ881">
        <v>722000</v>
      </c>
      <c r="BK881" t="s">
        <v>555</v>
      </c>
      <c r="BL881" t="s">
        <v>485</v>
      </c>
      <c r="BM881" t="s">
        <v>957</v>
      </c>
      <c r="BN881" t="s">
        <v>1598</v>
      </c>
      <c r="BO881" s="9">
        <v>55556</v>
      </c>
      <c r="HK881" t="s">
        <v>1618</v>
      </c>
      <c r="HL881" t="s">
        <v>526</v>
      </c>
      <c r="HM881" t="s">
        <v>1619</v>
      </c>
      <c r="HP881">
        <v>3</v>
      </c>
      <c r="IH881" t="s">
        <v>1617</v>
      </c>
      <c r="II881" t="s">
        <v>492</v>
      </c>
      <c r="IJ881" t="s">
        <v>542</v>
      </c>
      <c r="IK881" t="s">
        <v>543</v>
      </c>
      <c r="IL881">
        <v>2017</v>
      </c>
      <c r="IN881" t="s">
        <v>544</v>
      </c>
      <c r="IO881" t="s">
        <v>1617</v>
      </c>
      <c r="IP881" t="s">
        <v>1259</v>
      </c>
      <c r="IQ881" t="s">
        <v>573</v>
      </c>
      <c r="IS881">
        <v>2018</v>
      </c>
      <c r="IU881" t="s">
        <v>544</v>
      </c>
      <c r="JK881" t="s">
        <v>682</v>
      </c>
      <c r="KE881" t="s">
        <v>1603</v>
      </c>
      <c r="KF881" t="s">
        <v>1604</v>
      </c>
      <c r="KI881" t="s">
        <v>1618</v>
      </c>
      <c r="KJ881" t="s">
        <v>501</v>
      </c>
      <c r="KK881" t="s">
        <v>1624</v>
      </c>
      <c r="KL881" t="s">
        <v>1605</v>
      </c>
      <c r="KM881">
        <v>1000</v>
      </c>
      <c r="KN881" t="s">
        <v>501</v>
      </c>
      <c r="KV881" t="s">
        <v>1607</v>
      </c>
      <c r="KW881" t="s">
        <v>1608</v>
      </c>
      <c r="LJ881" t="s">
        <v>544</v>
      </c>
      <c r="MY881" t="s">
        <v>1594</v>
      </c>
      <c r="MZ881">
        <v>136</v>
      </c>
      <c r="NA881" t="s">
        <v>1639</v>
      </c>
      <c r="NB881" t="s">
        <v>1529</v>
      </c>
      <c r="NJ881" t="s">
        <v>1639</v>
      </c>
      <c r="NL881" t="s">
        <v>660</v>
      </c>
      <c r="NM881" t="s">
        <v>508</v>
      </c>
      <c r="NU881" t="s">
        <v>1642</v>
      </c>
      <c r="NV881" t="s">
        <v>518</v>
      </c>
      <c r="NW881">
        <v>1347.4</v>
      </c>
      <c r="NX881" t="s">
        <v>480</v>
      </c>
      <c r="OB881">
        <v>3</v>
      </c>
      <c r="OU881" t="s">
        <v>1533</v>
      </c>
      <c r="OV881" t="s">
        <v>518</v>
      </c>
      <c r="OX881">
        <v>2017</v>
      </c>
      <c r="OY881">
        <v>2020</v>
      </c>
      <c r="PB881" t="s">
        <v>522</v>
      </c>
      <c r="PC881" s="50">
        <v>46136</v>
      </c>
    </row>
    <row r="882" spans="1:419" ht="15.75" thickBot="1">
      <c r="A882" t="s">
        <v>469</v>
      </c>
      <c r="B882" t="s">
        <v>1591</v>
      </c>
      <c r="C882" t="s">
        <v>1592</v>
      </c>
      <c r="D882" t="s">
        <v>950</v>
      </c>
      <c r="E882" s="81" t="s">
        <v>1593</v>
      </c>
      <c r="F882" t="s">
        <v>1179</v>
      </c>
      <c r="G882" t="s">
        <v>475</v>
      </c>
      <c r="H882" t="s">
        <v>476</v>
      </c>
      <c r="I882">
        <v>7.8527777780000001</v>
      </c>
      <c r="J882">
        <v>-5.1111111109999996</v>
      </c>
      <c r="K882">
        <v>300</v>
      </c>
      <c r="AV882" t="s">
        <v>1594</v>
      </c>
      <c r="AW882">
        <v>136</v>
      </c>
      <c r="AX882" t="s">
        <v>480</v>
      </c>
      <c r="AY882">
        <v>4</v>
      </c>
      <c r="AZ882" t="s">
        <v>1595</v>
      </c>
      <c r="BA882">
        <v>2017</v>
      </c>
      <c r="BB882">
        <v>2020</v>
      </c>
      <c r="BD882" t="s">
        <v>1643</v>
      </c>
      <c r="BE882" t="s">
        <v>483</v>
      </c>
      <c r="BF882" t="s">
        <v>484</v>
      </c>
      <c r="BG882" t="s">
        <v>1501</v>
      </c>
      <c r="BH882" t="s">
        <v>1597</v>
      </c>
      <c r="BI882" t="s">
        <v>1598</v>
      </c>
      <c r="BJ882">
        <v>722000</v>
      </c>
      <c r="BK882" t="s">
        <v>555</v>
      </c>
      <c r="BL882" t="s">
        <v>485</v>
      </c>
      <c r="BM882" t="s">
        <v>957</v>
      </c>
      <c r="BN882" t="s">
        <v>1598</v>
      </c>
      <c r="BO882" s="9">
        <v>55556</v>
      </c>
      <c r="HK882" t="s">
        <v>1618</v>
      </c>
      <c r="HL882" t="s">
        <v>526</v>
      </c>
      <c r="HM882" t="s">
        <v>1619</v>
      </c>
      <c r="HP882">
        <v>3</v>
      </c>
      <c r="IH882" t="s">
        <v>1643</v>
      </c>
      <c r="II882" t="s">
        <v>492</v>
      </c>
      <c r="IJ882" t="s">
        <v>542</v>
      </c>
      <c r="IK882" t="s">
        <v>543</v>
      </c>
      <c r="IL882">
        <v>2017</v>
      </c>
      <c r="IN882" t="s">
        <v>1620</v>
      </c>
      <c r="IO882" t="s">
        <v>1643</v>
      </c>
      <c r="IP882" t="s">
        <v>1259</v>
      </c>
      <c r="IQ882" t="s">
        <v>573</v>
      </c>
      <c r="IS882">
        <v>2018</v>
      </c>
      <c r="IU882" t="s">
        <v>1620</v>
      </c>
      <c r="JK882" t="s">
        <v>682</v>
      </c>
      <c r="KE882" t="s">
        <v>1603</v>
      </c>
      <c r="KF882" t="s">
        <v>1604</v>
      </c>
      <c r="KI882" t="s">
        <v>1618</v>
      </c>
      <c r="KJ882" t="s">
        <v>501</v>
      </c>
      <c r="KK882" t="s">
        <v>1624</v>
      </c>
      <c r="KL882" t="s">
        <v>1605</v>
      </c>
      <c r="KM882">
        <v>1000</v>
      </c>
      <c r="KN882" t="s">
        <v>501</v>
      </c>
      <c r="KW882" t="s">
        <v>506</v>
      </c>
      <c r="LJ882" t="s">
        <v>1620</v>
      </c>
      <c r="MY882" t="s">
        <v>1594</v>
      </c>
      <c r="MZ882">
        <v>136</v>
      </c>
      <c r="NA882" t="s">
        <v>1639</v>
      </c>
      <c r="NB882" t="s">
        <v>1529</v>
      </c>
      <c r="NJ882" t="s">
        <v>1639</v>
      </c>
      <c r="NL882" t="s">
        <v>660</v>
      </c>
      <c r="NM882" t="s">
        <v>508</v>
      </c>
      <c r="NU882" t="s">
        <v>1642</v>
      </c>
      <c r="NV882" t="s">
        <v>518</v>
      </c>
      <c r="NW882">
        <v>1541.5</v>
      </c>
      <c r="NX882" t="s">
        <v>480</v>
      </c>
      <c r="OB882">
        <v>2</v>
      </c>
      <c r="OU882" t="s">
        <v>1533</v>
      </c>
      <c r="OV882" t="s">
        <v>518</v>
      </c>
      <c r="OX882">
        <v>2017</v>
      </c>
      <c r="OY882">
        <v>2020</v>
      </c>
      <c r="PB882" t="s">
        <v>522</v>
      </c>
      <c r="PC882" s="50">
        <v>46136</v>
      </c>
    </row>
    <row r="883" spans="1:419" ht="15.75" thickBot="1">
      <c r="A883" t="s">
        <v>469</v>
      </c>
      <c r="B883" t="s">
        <v>1591</v>
      </c>
      <c r="C883" t="s">
        <v>1592</v>
      </c>
      <c r="D883" t="s">
        <v>950</v>
      </c>
      <c r="E883" s="81" t="s">
        <v>1593</v>
      </c>
      <c r="F883" t="s">
        <v>1179</v>
      </c>
      <c r="G883" t="s">
        <v>475</v>
      </c>
      <c r="H883" t="s">
        <v>476</v>
      </c>
      <c r="I883">
        <v>7.8527777780000001</v>
      </c>
      <c r="J883">
        <v>-5.1111111109999996</v>
      </c>
      <c r="K883">
        <v>300</v>
      </c>
      <c r="AV883" t="s">
        <v>1594</v>
      </c>
      <c r="AW883">
        <v>136</v>
      </c>
      <c r="AX883" t="s">
        <v>480</v>
      </c>
      <c r="AY883">
        <v>4</v>
      </c>
      <c r="AZ883" t="s">
        <v>1595</v>
      </c>
      <c r="BA883">
        <v>2017</v>
      </c>
      <c r="BB883">
        <v>2020</v>
      </c>
      <c r="BD883" t="s">
        <v>1621</v>
      </c>
      <c r="BE883" t="s">
        <v>607</v>
      </c>
      <c r="BF883" t="s">
        <v>484</v>
      </c>
      <c r="BG883" t="s">
        <v>485</v>
      </c>
      <c r="BH883" t="s">
        <v>957</v>
      </c>
      <c r="BI883" t="s">
        <v>1598</v>
      </c>
      <c r="BJ883" s="9">
        <v>55556</v>
      </c>
      <c r="BK883" t="s">
        <v>537</v>
      </c>
      <c r="BL883" t="s">
        <v>1405</v>
      </c>
      <c r="BM883" t="s">
        <v>1622</v>
      </c>
      <c r="BN883" t="s">
        <v>1598</v>
      </c>
      <c r="BO883">
        <v>55600</v>
      </c>
      <c r="BP883" t="s">
        <v>555</v>
      </c>
      <c r="BQ883" t="s">
        <v>1501</v>
      </c>
      <c r="BR883" t="s">
        <v>1597</v>
      </c>
      <c r="BS883" t="s">
        <v>1598</v>
      </c>
      <c r="BT883">
        <v>722000</v>
      </c>
      <c r="BU883" t="s">
        <v>537</v>
      </c>
      <c r="BV883" t="s">
        <v>927</v>
      </c>
      <c r="BW883" t="s">
        <v>480</v>
      </c>
      <c r="BX883" t="s">
        <v>480</v>
      </c>
      <c r="BY883" t="s">
        <v>480</v>
      </c>
      <c r="HK883" t="s">
        <v>1601</v>
      </c>
      <c r="HL883" t="s">
        <v>488</v>
      </c>
      <c r="IH883" t="s">
        <v>1621</v>
      </c>
      <c r="II883" s="75" t="s">
        <v>929</v>
      </c>
      <c r="IJ883" t="s">
        <v>542</v>
      </c>
      <c r="IK883" t="s">
        <v>543</v>
      </c>
      <c r="IL883">
        <v>2017</v>
      </c>
      <c r="IN883" t="s">
        <v>1602</v>
      </c>
      <c r="IO883" t="s">
        <v>1621</v>
      </c>
      <c r="IP883" t="s">
        <v>1623</v>
      </c>
      <c r="IQ883" t="s">
        <v>558</v>
      </c>
      <c r="IS883">
        <v>2018</v>
      </c>
      <c r="IU883" t="s">
        <v>1602</v>
      </c>
      <c r="JK883" t="s">
        <v>682</v>
      </c>
      <c r="KE883" t="s">
        <v>1603</v>
      </c>
      <c r="KF883" t="s">
        <v>1604</v>
      </c>
      <c r="KI883" t="s">
        <v>1601</v>
      </c>
      <c r="KJ883" t="s">
        <v>501</v>
      </c>
      <c r="KK883" t="s">
        <v>502</v>
      </c>
      <c r="KL883" t="s">
        <v>1605</v>
      </c>
      <c r="KM883">
        <v>540</v>
      </c>
      <c r="KN883" t="s">
        <v>501</v>
      </c>
      <c r="KO883" t="s">
        <v>1606</v>
      </c>
      <c r="KP883" t="s">
        <v>1605</v>
      </c>
      <c r="KQ883">
        <v>360</v>
      </c>
      <c r="KW883" t="s">
        <v>1520</v>
      </c>
      <c r="LJ883" t="s">
        <v>1602</v>
      </c>
      <c r="MY883" t="s">
        <v>1594</v>
      </c>
      <c r="MZ883">
        <v>136</v>
      </c>
      <c r="NA883" t="s">
        <v>1639</v>
      </c>
      <c r="NB883" t="s">
        <v>1529</v>
      </c>
      <c r="NJ883" t="s">
        <v>1639</v>
      </c>
      <c r="NL883" t="s">
        <v>660</v>
      </c>
      <c r="NM883" t="s">
        <v>508</v>
      </c>
      <c r="NV883" t="s">
        <v>518</v>
      </c>
      <c r="NW883">
        <v>1477.2</v>
      </c>
      <c r="NX883" t="s">
        <v>480</v>
      </c>
      <c r="OB883">
        <v>3</v>
      </c>
      <c r="OU883" t="s">
        <v>1533</v>
      </c>
      <c r="OV883" t="s">
        <v>518</v>
      </c>
      <c r="OX883">
        <v>2017</v>
      </c>
      <c r="OY883">
        <v>2020</v>
      </c>
      <c r="PB883" t="s">
        <v>522</v>
      </c>
      <c r="PC883" s="50">
        <v>46136</v>
      </c>
    </row>
    <row r="884" spans="1:419" ht="15.75" thickBot="1">
      <c r="A884" t="s">
        <v>469</v>
      </c>
      <c r="B884" t="s">
        <v>1591</v>
      </c>
      <c r="C884" t="s">
        <v>1592</v>
      </c>
      <c r="D884" t="s">
        <v>950</v>
      </c>
      <c r="E884" s="81" t="s">
        <v>1593</v>
      </c>
      <c r="F884" t="s">
        <v>1179</v>
      </c>
      <c r="G884" t="s">
        <v>475</v>
      </c>
      <c r="H884" t="s">
        <v>476</v>
      </c>
      <c r="I884">
        <v>7.8527777780000001</v>
      </c>
      <c r="J884">
        <v>-5.1111111109999996</v>
      </c>
      <c r="K884">
        <v>300</v>
      </c>
      <c r="AV884" t="s">
        <v>1594</v>
      </c>
      <c r="AW884">
        <v>136</v>
      </c>
      <c r="AX884" t="s">
        <v>480</v>
      </c>
      <c r="AY884">
        <v>4</v>
      </c>
      <c r="AZ884" t="s">
        <v>1595</v>
      </c>
      <c r="BA884">
        <v>2017</v>
      </c>
      <c r="BB884">
        <v>2020</v>
      </c>
      <c r="BD884" t="s">
        <v>1644</v>
      </c>
      <c r="BE884" t="s">
        <v>611</v>
      </c>
      <c r="BF884" t="s">
        <v>484</v>
      </c>
      <c r="BG884" t="s">
        <v>485</v>
      </c>
      <c r="BH884" t="s">
        <v>957</v>
      </c>
      <c r="BI884" t="s">
        <v>1598</v>
      </c>
      <c r="BJ884" s="9">
        <v>55556</v>
      </c>
      <c r="BK884" t="s">
        <v>537</v>
      </c>
      <c r="BL884" t="s">
        <v>538</v>
      </c>
      <c r="BM884" t="s">
        <v>1645</v>
      </c>
      <c r="BN884" t="s">
        <v>1598</v>
      </c>
      <c r="BO884">
        <v>148000</v>
      </c>
      <c r="BP884" t="s">
        <v>555</v>
      </c>
      <c r="BQ884" t="s">
        <v>485</v>
      </c>
      <c r="BR884" t="s">
        <v>957</v>
      </c>
      <c r="BS884" t="s">
        <v>1598</v>
      </c>
      <c r="BT884" s="9">
        <v>55556</v>
      </c>
      <c r="BU884" t="s">
        <v>537</v>
      </c>
      <c r="BV884" t="s">
        <v>1405</v>
      </c>
      <c r="BW884" t="s">
        <v>1622</v>
      </c>
      <c r="BX884" t="s">
        <v>1598</v>
      </c>
      <c r="BY884">
        <v>55600</v>
      </c>
      <c r="BZ884" t="s">
        <v>555</v>
      </c>
      <c r="CA884" t="s">
        <v>1501</v>
      </c>
      <c r="CB884" t="s">
        <v>1597</v>
      </c>
      <c r="CC884" t="s">
        <v>1598</v>
      </c>
      <c r="CD884">
        <v>722000</v>
      </c>
      <c r="HK884" t="s">
        <v>1601</v>
      </c>
      <c r="HL884" t="s">
        <v>488</v>
      </c>
      <c r="IH884" t="s">
        <v>1644</v>
      </c>
      <c r="II884" s="75" t="s">
        <v>929</v>
      </c>
      <c r="IJ884" t="s">
        <v>542</v>
      </c>
      <c r="IK884" t="s">
        <v>543</v>
      </c>
      <c r="IL884">
        <v>2017</v>
      </c>
      <c r="IN884" t="s">
        <v>1602</v>
      </c>
      <c r="IO884" t="s">
        <v>1644</v>
      </c>
      <c r="IP884" t="s">
        <v>1623</v>
      </c>
      <c r="IQ884" t="s">
        <v>558</v>
      </c>
      <c r="IS884">
        <v>2018</v>
      </c>
      <c r="IU884" t="s">
        <v>1602</v>
      </c>
      <c r="JK884" t="s">
        <v>682</v>
      </c>
      <c r="KE884" t="s">
        <v>1603</v>
      </c>
      <c r="KF884" t="s">
        <v>1604</v>
      </c>
      <c r="KI884" t="s">
        <v>1601</v>
      </c>
      <c r="KJ884" t="s">
        <v>501</v>
      </c>
      <c r="KK884" t="s">
        <v>502</v>
      </c>
      <c r="KL884" t="s">
        <v>1605</v>
      </c>
      <c r="KM884">
        <v>540</v>
      </c>
      <c r="KN884" t="s">
        <v>501</v>
      </c>
      <c r="KO884" t="s">
        <v>1606</v>
      </c>
      <c r="KP884" t="s">
        <v>1605</v>
      </c>
      <c r="KQ884">
        <v>360</v>
      </c>
      <c r="KW884" t="s">
        <v>1625</v>
      </c>
      <c r="LJ884" t="s">
        <v>1602</v>
      </c>
      <c r="MY884" t="s">
        <v>1594</v>
      </c>
      <c r="MZ884">
        <v>136</v>
      </c>
      <c r="NA884" t="s">
        <v>1639</v>
      </c>
      <c r="NB884" t="s">
        <v>1529</v>
      </c>
      <c r="NJ884" t="s">
        <v>1639</v>
      </c>
      <c r="NL884" t="s">
        <v>660</v>
      </c>
      <c r="NM884" t="s">
        <v>508</v>
      </c>
      <c r="NV884" t="s">
        <v>518</v>
      </c>
      <c r="NW884">
        <v>603</v>
      </c>
      <c r="NX884" t="s">
        <v>480</v>
      </c>
      <c r="OB884">
        <v>3</v>
      </c>
      <c r="OU884" t="s">
        <v>1533</v>
      </c>
      <c r="OV884" t="s">
        <v>518</v>
      </c>
      <c r="OX884">
        <v>2017</v>
      </c>
      <c r="OY884">
        <v>2020</v>
      </c>
      <c r="PB884" t="s">
        <v>522</v>
      </c>
      <c r="PC884" s="50">
        <v>46136</v>
      </c>
    </row>
    <row r="885" spans="1:419" ht="15.75" thickBot="1">
      <c r="A885" t="s">
        <v>469</v>
      </c>
      <c r="B885" t="s">
        <v>1591</v>
      </c>
      <c r="C885" t="s">
        <v>1592</v>
      </c>
      <c r="D885" t="s">
        <v>950</v>
      </c>
      <c r="E885" s="81" t="s">
        <v>1593</v>
      </c>
      <c r="F885" t="s">
        <v>1179</v>
      </c>
      <c r="G885" t="s">
        <v>475</v>
      </c>
      <c r="H885" t="s">
        <v>476</v>
      </c>
      <c r="I885">
        <v>7.8527777780000001</v>
      </c>
      <c r="J885">
        <v>-5.1111111109999996</v>
      </c>
      <c r="K885">
        <v>300</v>
      </c>
      <c r="AV885" t="s">
        <v>1594</v>
      </c>
      <c r="AW885">
        <v>136</v>
      </c>
      <c r="AX885" t="s">
        <v>480</v>
      </c>
      <c r="AY885">
        <v>4</v>
      </c>
      <c r="AZ885" t="s">
        <v>1595</v>
      </c>
      <c r="BA885">
        <v>2017</v>
      </c>
      <c r="BB885">
        <v>2020</v>
      </c>
      <c r="BD885" t="s">
        <v>1626</v>
      </c>
      <c r="BE885" t="s">
        <v>615</v>
      </c>
      <c r="BF885" t="s">
        <v>484</v>
      </c>
      <c r="BG885" t="s">
        <v>485</v>
      </c>
      <c r="BH885" t="s">
        <v>957</v>
      </c>
      <c r="BI885" t="s">
        <v>1598</v>
      </c>
      <c r="BJ885" s="9">
        <v>55556</v>
      </c>
      <c r="BK885" t="s">
        <v>537</v>
      </c>
      <c r="BL885" t="s">
        <v>1627</v>
      </c>
      <c r="BM885" t="s">
        <v>957</v>
      </c>
      <c r="BN885" t="s">
        <v>1598</v>
      </c>
      <c r="BO885">
        <v>148000</v>
      </c>
      <c r="BP885" t="s">
        <v>555</v>
      </c>
      <c r="BQ885" t="s">
        <v>485</v>
      </c>
      <c r="BR885" t="s">
        <v>957</v>
      </c>
      <c r="BS885" t="s">
        <v>1598</v>
      </c>
      <c r="BT885" s="9">
        <v>55556</v>
      </c>
      <c r="BU885" t="s">
        <v>537</v>
      </c>
      <c r="BV885" t="s">
        <v>932</v>
      </c>
      <c r="BW885" t="s">
        <v>1628</v>
      </c>
      <c r="BX885" t="s">
        <v>1598</v>
      </c>
      <c r="BY885">
        <v>148000</v>
      </c>
      <c r="BZ885" t="s">
        <v>555</v>
      </c>
      <c r="CA885" t="s">
        <v>1501</v>
      </c>
      <c r="CB885" t="s">
        <v>1597</v>
      </c>
      <c r="CC885" t="s">
        <v>1598</v>
      </c>
      <c r="CD885">
        <v>722000</v>
      </c>
      <c r="HK885" t="s">
        <v>1601</v>
      </c>
      <c r="HL885" t="s">
        <v>488</v>
      </c>
      <c r="IH885" t="s">
        <v>1626</v>
      </c>
      <c r="II885" s="75" t="s">
        <v>929</v>
      </c>
      <c r="IJ885" t="s">
        <v>542</v>
      </c>
      <c r="IK885" t="s">
        <v>543</v>
      </c>
      <c r="IL885">
        <v>2017</v>
      </c>
      <c r="IN885" t="s">
        <v>1602</v>
      </c>
      <c r="IO885" t="s">
        <v>1626</v>
      </c>
      <c r="IP885" t="s">
        <v>1623</v>
      </c>
      <c r="IQ885" t="s">
        <v>558</v>
      </c>
      <c r="IS885">
        <v>2018</v>
      </c>
      <c r="IU885" t="s">
        <v>1602</v>
      </c>
      <c r="JK885" t="s">
        <v>682</v>
      </c>
      <c r="KE885" t="s">
        <v>1603</v>
      </c>
      <c r="KF885" t="s">
        <v>1604</v>
      </c>
      <c r="KI885" t="s">
        <v>1601</v>
      </c>
      <c r="KJ885" t="s">
        <v>501</v>
      </c>
      <c r="KK885" t="s">
        <v>502</v>
      </c>
      <c r="KL885" t="s">
        <v>1605</v>
      </c>
      <c r="KM885">
        <v>540</v>
      </c>
      <c r="KN885" t="s">
        <v>501</v>
      </c>
      <c r="KO885" t="s">
        <v>1606</v>
      </c>
      <c r="KP885" t="s">
        <v>1605</v>
      </c>
      <c r="KQ885">
        <v>360</v>
      </c>
      <c r="KV885" t="s">
        <v>1607</v>
      </c>
      <c r="KW885" t="s">
        <v>1608</v>
      </c>
      <c r="LJ885" t="s">
        <v>1602</v>
      </c>
      <c r="MY885" t="s">
        <v>1594</v>
      </c>
      <c r="MZ885">
        <v>136</v>
      </c>
      <c r="NA885" t="s">
        <v>1639</v>
      </c>
      <c r="NB885" t="s">
        <v>1529</v>
      </c>
      <c r="NJ885" t="s">
        <v>1639</v>
      </c>
      <c r="NL885" t="s">
        <v>660</v>
      </c>
      <c r="NM885" t="s">
        <v>508</v>
      </c>
      <c r="NV885" t="s">
        <v>518</v>
      </c>
      <c r="NW885">
        <v>1115.5999999999999</v>
      </c>
      <c r="NX885" t="s">
        <v>480</v>
      </c>
      <c r="OB885">
        <v>3</v>
      </c>
      <c r="OU885" t="s">
        <v>1533</v>
      </c>
      <c r="OV885" t="s">
        <v>518</v>
      </c>
      <c r="OX885">
        <v>2017</v>
      </c>
      <c r="OY885">
        <v>2020</v>
      </c>
      <c r="PB885" t="s">
        <v>522</v>
      </c>
      <c r="PC885" s="50">
        <v>46136</v>
      </c>
    </row>
    <row r="886" spans="1:419" ht="15.75" thickBot="1">
      <c r="A886" t="s">
        <v>469</v>
      </c>
      <c r="B886" t="s">
        <v>1591</v>
      </c>
      <c r="C886" t="s">
        <v>1592</v>
      </c>
      <c r="D886" t="s">
        <v>950</v>
      </c>
      <c r="E886" s="81" t="s">
        <v>1593</v>
      </c>
      <c r="F886" t="s">
        <v>1179</v>
      </c>
      <c r="G886" t="s">
        <v>475</v>
      </c>
      <c r="H886" t="s">
        <v>476</v>
      </c>
      <c r="I886">
        <v>7.8527777780000001</v>
      </c>
      <c r="J886">
        <v>-5.1111111109999996</v>
      </c>
      <c r="K886">
        <v>300</v>
      </c>
      <c r="AV886" t="s">
        <v>1594</v>
      </c>
      <c r="AW886">
        <v>136</v>
      </c>
      <c r="AX886" t="s">
        <v>480</v>
      </c>
      <c r="AY886">
        <v>4</v>
      </c>
      <c r="AZ886" t="s">
        <v>1595</v>
      </c>
      <c r="BA886">
        <v>2017</v>
      </c>
      <c r="BB886">
        <v>2020</v>
      </c>
      <c r="BD886" t="s">
        <v>1646</v>
      </c>
      <c r="BE886" t="s">
        <v>617</v>
      </c>
      <c r="BF886" t="s">
        <v>484</v>
      </c>
      <c r="BG886" t="s">
        <v>485</v>
      </c>
      <c r="BH886" t="s">
        <v>957</v>
      </c>
      <c r="BI886" t="s">
        <v>1598</v>
      </c>
      <c r="BJ886" s="9">
        <v>55556</v>
      </c>
      <c r="BK886" t="s">
        <v>537</v>
      </c>
      <c r="BL886" t="s">
        <v>554</v>
      </c>
      <c r="BM886" t="s">
        <v>957</v>
      </c>
      <c r="BN886" t="s">
        <v>1598</v>
      </c>
      <c r="BO886">
        <v>148000</v>
      </c>
      <c r="BP886" t="s">
        <v>555</v>
      </c>
      <c r="BQ886" t="s">
        <v>1647</v>
      </c>
      <c r="BR886" t="s">
        <v>1648</v>
      </c>
      <c r="BS886" t="s">
        <v>480</v>
      </c>
      <c r="BT886" t="s">
        <v>480</v>
      </c>
      <c r="BU886" t="s">
        <v>537</v>
      </c>
      <c r="BV886" t="s">
        <v>1405</v>
      </c>
      <c r="BW886" t="s">
        <v>1622</v>
      </c>
      <c r="BX886" t="s">
        <v>1598</v>
      </c>
      <c r="BY886">
        <v>55600</v>
      </c>
      <c r="BZ886" t="s">
        <v>555</v>
      </c>
      <c r="CA886" t="s">
        <v>1501</v>
      </c>
      <c r="CB886" t="s">
        <v>1597</v>
      </c>
      <c r="CC886" t="s">
        <v>1598</v>
      </c>
      <c r="CD886">
        <v>722000</v>
      </c>
      <c r="HK886" t="s">
        <v>1601</v>
      </c>
      <c r="HL886" t="s">
        <v>488</v>
      </c>
      <c r="IH886" t="s">
        <v>1646</v>
      </c>
      <c r="II886" s="75" t="s">
        <v>929</v>
      </c>
      <c r="IJ886" t="s">
        <v>542</v>
      </c>
      <c r="IK886" t="s">
        <v>543</v>
      </c>
      <c r="IL886">
        <v>2017</v>
      </c>
      <c r="IN886" t="s">
        <v>1602</v>
      </c>
      <c r="IO886" t="s">
        <v>1646</v>
      </c>
      <c r="IP886" t="s">
        <v>1623</v>
      </c>
      <c r="IQ886" t="s">
        <v>558</v>
      </c>
      <c r="IS886">
        <v>2018</v>
      </c>
      <c r="IU886" t="s">
        <v>1602</v>
      </c>
      <c r="JK886" t="s">
        <v>682</v>
      </c>
      <c r="KE886" t="s">
        <v>1603</v>
      </c>
      <c r="KF886" t="s">
        <v>1604</v>
      </c>
      <c r="KI886" t="s">
        <v>1601</v>
      </c>
      <c r="KJ886" t="s">
        <v>501</v>
      </c>
      <c r="KK886" t="s">
        <v>502</v>
      </c>
      <c r="KL886" t="s">
        <v>1605</v>
      </c>
      <c r="KM886">
        <v>540</v>
      </c>
      <c r="KN886" t="s">
        <v>501</v>
      </c>
      <c r="KO886" t="s">
        <v>1606</v>
      </c>
      <c r="KP886" t="s">
        <v>1605</v>
      </c>
      <c r="KQ886">
        <v>360</v>
      </c>
      <c r="KW886" t="s">
        <v>1649</v>
      </c>
      <c r="LJ886" t="s">
        <v>1602</v>
      </c>
      <c r="MY886" t="s">
        <v>1594</v>
      </c>
      <c r="MZ886">
        <v>136</v>
      </c>
      <c r="NA886" t="s">
        <v>1639</v>
      </c>
      <c r="NB886" t="s">
        <v>1529</v>
      </c>
      <c r="NJ886" t="s">
        <v>1639</v>
      </c>
      <c r="NL886" t="s">
        <v>660</v>
      </c>
      <c r="NM886" t="s">
        <v>508</v>
      </c>
      <c r="NV886" t="s">
        <v>518</v>
      </c>
      <c r="NW886">
        <v>853</v>
      </c>
      <c r="NX886" t="s">
        <v>480</v>
      </c>
      <c r="OB886">
        <v>3</v>
      </c>
      <c r="OU886" t="s">
        <v>1533</v>
      </c>
      <c r="OV886" t="s">
        <v>518</v>
      </c>
      <c r="OX886">
        <v>2017</v>
      </c>
      <c r="OY886">
        <v>2020</v>
      </c>
      <c r="PB886" t="s">
        <v>522</v>
      </c>
      <c r="PC886" s="50">
        <v>46136</v>
      </c>
    </row>
    <row r="887" spans="1:419" ht="15.75" thickBot="1">
      <c r="A887" t="s">
        <v>469</v>
      </c>
      <c r="B887" t="s">
        <v>1591</v>
      </c>
      <c r="C887" t="s">
        <v>1592</v>
      </c>
      <c r="D887" t="s">
        <v>950</v>
      </c>
      <c r="E887" s="81" t="s">
        <v>1593</v>
      </c>
      <c r="F887" t="s">
        <v>1179</v>
      </c>
      <c r="G887" t="s">
        <v>475</v>
      </c>
      <c r="H887" t="s">
        <v>476</v>
      </c>
      <c r="I887">
        <v>7.8527777780000001</v>
      </c>
      <c r="J887">
        <v>-5.1111111109999996</v>
      </c>
      <c r="K887">
        <v>300</v>
      </c>
      <c r="AV887" t="s">
        <v>1594</v>
      </c>
      <c r="AW887">
        <v>136</v>
      </c>
      <c r="AX887" t="s">
        <v>480</v>
      </c>
      <c r="AY887">
        <v>4</v>
      </c>
      <c r="AZ887" t="s">
        <v>1595</v>
      </c>
      <c r="BA887">
        <v>2017</v>
      </c>
      <c r="BB887">
        <v>2020</v>
      </c>
      <c r="BD887" t="s">
        <v>1629</v>
      </c>
      <c r="BE887" t="s">
        <v>636</v>
      </c>
      <c r="BF887" t="s">
        <v>484</v>
      </c>
      <c r="BG887" t="s">
        <v>1364</v>
      </c>
      <c r="BH887" t="s">
        <v>957</v>
      </c>
      <c r="BI887" t="s">
        <v>480</v>
      </c>
      <c r="BJ887" t="s">
        <v>480</v>
      </c>
      <c r="BK887" t="s">
        <v>537</v>
      </c>
      <c r="BL887" t="s">
        <v>1599</v>
      </c>
      <c r="BM887" t="s">
        <v>1600</v>
      </c>
      <c r="BN887" t="s">
        <v>1598</v>
      </c>
      <c r="BO887">
        <v>940000</v>
      </c>
      <c r="BP887" t="s">
        <v>555</v>
      </c>
      <c r="BQ887" t="s">
        <v>1364</v>
      </c>
      <c r="BR887" t="s">
        <v>957</v>
      </c>
      <c r="BS887" t="s">
        <v>480</v>
      </c>
      <c r="BT887" t="s">
        <v>480</v>
      </c>
      <c r="BU887" t="s">
        <v>537</v>
      </c>
      <c r="BV887" t="s">
        <v>1599</v>
      </c>
      <c r="BW887" t="s">
        <v>1600</v>
      </c>
      <c r="BX887" t="s">
        <v>1598</v>
      </c>
      <c r="BY887">
        <v>940000</v>
      </c>
      <c r="BZ887" t="s">
        <v>555</v>
      </c>
      <c r="CA887" t="s">
        <v>1501</v>
      </c>
      <c r="CB887" t="s">
        <v>1597</v>
      </c>
      <c r="CC887" t="s">
        <v>1598</v>
      </c>
      <c r="CD887">
        <v>722000</v>
      </c>
      <c r="CE887" t="s">
        <v>537</v>
      </c>
      <c r="CF887" t="s">
        <v>1599</v>
      </c>
      <c r="CG887" t="s">
        <v>1630</v>
      </c>
      <c r="CH887" t="s">
        <v>1598</v>
      </c>
      <c r="CI887">
        <v>940000</v>
      </c>
      <c r="HK887" t="s">
        <v>1601</v>
      </c>
      <c r="HL887" t="s">
        <v>488</v>
      </c>
      <c r="IH887" t="s">
        <v>1629</v>
      </c>
      <c r="II887" s="75" t="s">
        <v>929</v>
      </c>
      <c r="IJ887" t="s">
        <v>542</v>
      </c>
      <c r="IK887" t="s">
        <v>543</v>
      </c>
      <c r="IL887">
        <v>2017</v>
      </c>
      <c r="IN887" t="s">
        <v>1602</v>
      </c>
      <c r="IO887" t="s">
        <v>1629</v>
      </c>
      <c r="IP887" t="s">
        <v>1259</v>
      </c>
      <c r="IQ887" s="75" t="s">
        <v>558</v>
      </c>
      <c r="IS887">
        <v>2018</v>
      </c>
      <c r="IU887" t="s">
        <v>1602</v>
      </c>
      <c r="JK887" t="s">
        <v>682</v>
      </c>
      <c r="KE887" t="s">
        <v>1603</v>
      </c>
      <c r="KF887" t="s">
        <v>1604</v>
      </c>
      <c r="KI887" t="s">
        <v>1601</v>
      </c>
      <c r="KJ887" t="s">
        <v>501</v>
      </c>
      <c r="KK887" t="s">
        <v>502</v>
      </c>
      <c r="KL887" t="s">
        <v>1605</v>
      </c>
      <c r="KM887">
        <v>540</v>
      </c>
      <c r="KN887" t="s">
        <v>501</v>
      </c>
      <c r="KO887" t="s">
        <v>1606</v>
      </c>
      <c r="KP887" t="s">
        <v>1605</v>
      </c>
      <c r="KQ887">
        <v>360</v>
      </c>
      <c r="KV887" t="s">
        <v>1607</v>
      </c>
      <c r="KW887" t="s">
        <v>1608</v>
      </c>
      <c r="LJ887" t="s">
        <v>1602</v>
      </c>
      <c r="MY887" t="s">
        <v>1594</v>
      </c>
      <c r="MZ887">
        <v>136</v>
      </c>
      <c r="NA887" t="s">
        <v>1639</v>
      </c>
      <c r="NB887" t="s">
        <v>1529</v>
      </c>
      <c r="NJ887" t="s">
        <v>1639</v>
      </c>
      <c r="NL887" t="s">
        <v>660</v>
      </c>
      <c r="NM887" t="s">
        <v>508</v>
      </c>
      <c r="NV887" t="s">
        <v>518</v>
      </c>
      <c r="NW887">
        <v>1761.6</v>
      </c>
      <c r="NX887" t="s">
        <v>480</v>
      </c>
      <c r="OB887">
        <v>3</v>
      </c>
      <c r="OU887" t="s">
        <v>1533</v>
      </c>
      <c r="OV887" t="s">
        <v>518</v>
      </c>
      <c r="OX887">
        <v>2017</v>
      </c>
      <c r="OY887">
        <v>2020</v>
      </c>
      <c r="PB887" t="s">
        <v>522</v>
      </c>
      <c r="PC887" s="50">
        <v>46136</v>
      </c>
    </row>
    <row r="888" spans="1:419" ht="15.75" thickBot="1">
      <c r="A888" t="s">
        <v>469</v>
      </c>
      <c r="B888" t="s">
        <v>1591</v>
      </c>
      <c r="C888" t="s">
        <v>1592</v>
      </c>
      <c r="D888" t="s">
        <v>950</v>
      </c>
      <c r="E888" s="81" t="s">
        <v>1593</v>
      </c>
      <c r="F888" t="s">
        <v>1179</v>
      </c>
      <c r="G888" t="s">
        <v>475</v>
      </c>
      <c r="H888" t="s">
        <v>476</v>
      </c>
      <c r="I888">
        <v>7.8527777780000001</v>
      </c>
      <c r="J888">
        <v>-5.1111111109999996</v>
      </c>
      <c r="K888">
        <v>300</v>
      </c>
      <c r="AV888" t="s">
        <v>1594</v>
      </c>
      <c r="AW888">
        <v>136</v>
      </c>
      <c r="AX888" t="s">
        <v>480</v>
      </c>
      <c r="AY888">
        <v>4</v>
      </c>
      <c r="AZ888" t="s">
        <v>1595</v>
      </c>
      <c r="BA888">
        <v>2017</v>
      </c>
      <c r="BB888">
        <v>2020</v>
      </c>
      <c r="BD888" t="s">
        <v>1596</v>
      </c>
      <c r="BE888" t="s">
        <v>639</v>
      </c>
      <c r="BF888" t="s">
        <v>484</v>
      </c>
      <c r="BG888" t="s">
        <v>1501</v>
      </c>
      <c r="BH888" t="s">
        <v>1597</v>
      </c>
      <c r="BI888" t="s">
        <v>1598</v>
      </c>
      <c r="BJ888">
        <v>722000</v>
      </c>
      <c r="BK888" t="s">
        <v>537</v>
      </c>
      <c r="BL888" t="s">
        <v>1599</v>
      </c>
      <c r="BM888" t="s">
        <v>1600</v>
      </c>
      <c r="BN888" t="s">
        <v>1598</v>
      </c>
      <c r="BO888" s="9">
        <v>470000</v>
      </c>
      <c r="BP888" t="s">
        <v>555</v>
      </c>
      <c r="BQ888" t="s">
        <v>485</v>
      </c>
      <c r="BR888" t="s">
        <v>957</v>
      </c>
      <c r="BS888" t="s">
        <v>1598</v>
      </c>
      <c r="BT888" s="9">
        <v>55556</v>
      </c>
      <c r="BU888" t="s">
        <v>537</v>
      </c>
      <c r="BV888" t="s">
        <v>1599</v>
      </c>
      <c r="BW888" t="s">
        <v>1600</v>
      </c>
      <c r="BX888" t="s">
        <v>1598</v>
      </c>
      <c r="BY888" s="9">
        <v>470000</v>
      </c>
      <c r="HK888" t="s">
        <v>1601</v>
      </c>
      <c r="HL888" t="s">
        <v>488</v>
      </c>
      <c r="IH888" t="s">
        <v>1596</v>
      </c>
      <c r="II888" s="75" t="s">
        <v>929</v>
      </c>
      <c r="IJ888" t="s">
        <v>542</v>
      </c>
      <c r="IK888" t="s">
        <v>543</v>
      </c>
      <c r="IL888">
        <v>2017</v>
      </c>
      <c r="IN888" t="s">
        <v>1602</v>
      </c>
      <c r="IO888" t="s">
        <v>1596</v>
      </c>
      <c r="IP888" t="s">
        <v>1259</v>
      </c>
      <c r="IQ888" s="75" t="s">
        <v>558</v>
      </c>
      <c r="IS888">
        <v>2018</v>
      </c>
      <c r="IU888" t="s">
        <v>1602</v>
      </c>
      <c r="JK888" t="s">
        <v>494</v>
      </c>
      <c r="JL888" t="s">
        <v>495</v>
      </c>
      <c r="JM888" t="s">
        <v>1650</v>
      </c>
      <c r="JN888" t="s">
        <v>497</v>
      </c>
      <c r="JO888" t="s">
        <v>1651</v>
      </c>
      <c r="JP888" t="s">
        <v>508</v>
      </c>
      <c r="JQ888">
        <v>64</v>
      </c>
      <c r="JR888">
        <v>21</v>
      </c>
      <c r="JS888">
        <v>30</v>
      </c>
      <c r="KE888" t="s">
        <v>1603</v>
      </c>
      <c r="KF888" t="s">
        <v>1604</v>
      </c>
      <c r="KI888" t="s">
        <v>1601</v>
      </c>
      <c r="KJ888" t="s">
        <v>501</v>
      </c>
      <c r="KK888" t="s">
        <v>502</v>
      </c>
      <c r="KL888" t="s">
        <v>1605</v>
      </c>
      <c r="KM888">
        <f>+AVERAGE(360,720)</f>
        <v>540</v>
      </c>
      <c r="KN888" t="s">
        <v>501</v>
      </c>
      <c r="KO888" t="s">
        <v>1606</v>
      </c>
      <c r="KP888" t="s">
        <v>1605</v>
      </c>
      <c r="KQ888">
        <v>360</v>
      </c>
      <c r="KV888" t="s">
        <v>1607</v>
      </c>
      <c r="KW888" t="s">
        <v>1608</v>
      </c>
      <c r="LJ888" t="s">
        <v>1602</v>
      </c>
      <c r="MY888" t="s">
        <v>1594</v>
      </c>
      <c r="MZ888">
        <v>136</v>
      </c>
      <c r="NA888" t="s">
        <v>1639</v>
      </c>
      <c r="NB888" t="s">
        <v>1529</v>
      </c>
      <c r="NJ888" t="s">
        <v>1639</v>
      </c>
      <c r="NL888" t="s">
        <v>660</v>
      </c>
      <c r="NM888" t="s">
        <v>508</v>
      </c>
      <c r="NV888" t="s">
        <v>518</v>
      </c>
      <c r="NW888">
        <v>1533.6</v>
      </c>
      <c r="NX888" t="s">
        <v>480</v>
      </c>
      <c r="OB888">
        <v>3</v>
      </c>
      <c r="OU888" t="s">
        <v>1533</v>
      </c>
      <c r="OV888" t="s">
        <v>518</v>
      </c>
      <c r="OX888">
        <v>2017</v>
      </c>
      <c r="OY888">
        <v>2020</v>
      </c>
      <c r="PB888" t="s">
        <v>522</v>
      </c>
      <c r="PC888" s="50">
        <v>46136</v>
      </c>
    </row>
    <row r="889" spans="1:419" ht="15.75" thickBot="1">
      <c r="A889" t="s">
        <v>469</v>
      </c>
      <c r="B889" t="s">
        <v>1591</v>
      </c>
      <c r="C889" t="s">
        <v>1592</v>
      </c>
      <c r="D889" t="s">
        <v>950</v>
      </c>
      <c r="E889" s="81" t="s">
        <v>1593</v>
      </c>
      <c r="F889" t="s">
        <v>1179</v>
      </c>
      <c r="G889" t="s">
        <v>475</v>
      </c>
      <c r="H889" t="s">
        <v>476</v>
      </c>
      <c r="I889">
        <v>7.8527777780000001</v>
      </c>
      <c r="J889">
        <v>-5.1111111109999996</v>
      </c>
      <c r="K889">
        <v>300</v>
      </c>
      <c r="AV889" t="s">
        <v>1594</v>
      </c>
      <c r="AW889">
        <v>136</v>
      </c>
      <c r="AX889" t="s">
        <v>480</v>
      </c>
      <c r="AY889">
        <v>4</v>
      </c>
      <c r="AZ889" t="s">
        <v>1595</v>
      </c>
      <c r="BA889">
        <v>2017</v>
      </c>
      <c r="BB889">
        <v>2020</v>
      </c>
      <c r="BD889" t="s">
        <v>1640</v>
      </c>
      <c r="BE889" t="s">
        <v>641</v>
      </c>
      <c r="BF889" t="s">
        <v>484</v>
      </c>
      <c r="BG889" t="s">
        <v>1501</v>
      </c>
      <c r="BH889" t="s">
        <v>1597</v>
      </c>
      <c r="BI889" t="s">
        <v>1598</v>
      </c>
      <c r="BJ889">
        <v>722000</v>
      </c>
      <c r="BK889" t="s">
        <v>537</v>
      </c>
      <c r="BL889" t="s">
        <v>1599</v>
      </c>
      <c r="BM889" t="s">
        <v>1600</v>
      </c>
      <c r="BN889" t="s">
        <v>1598</v>
      </c>
      <c r="BO889" s="9">
        <v>470000</v>
      </c>
      <c r="BP889" t="s">
        <v>555</v>
      </c>
      <c r="BQ889" t="s">
        <v>485</v>
      </c>
      <c r="BR889" t="s">
        <v>957</v>
      </c>
      <c r="BS889" t="s">
        <v>1598</v>
      </c>
      <c r="BT889" s="9">
        <v>55556</v>
      </c>
      <c r="BU889" t="s">
        <v>537</v>
      </c>
      <c r="BV889" t="s">
        <v>1599</v>
      </c>
      <c r="BW889" t="s">
        <v>1600</v>
      </c>
      <c r="BX889" t="s">
        <v>1598</v>
      </c>
      <c r="BY889" s="9">
        <v>470000</v>
      </c>
      <c r="HK889" t="s">
        <v>1601</v>
      </c>
      <c r="HL889" t="s">
        <v>488</v>
      </c>
      <c r="IH889" t="s">
        <v>1640</v>
      </c>
      <c r="II889" s="75" t="s">
        <v>929</v>
      </c>
      <c r="IJ889" t="s">
        <v>542</v>
      </c>
      <c r="IK889" t="s">
        <v>543</v>
      </c>
      <c r="IL889">
        <v>2017</v>
      </c>
      <c r="IN889" t="s">
        <v>1602</v>
      </c>
      <c r="IO889" t="s">
        <v>1640</v>
      </c>
      <c r="IP889" t="s">
        <v>1259</v>
      </c>
      <c r="IQ889" s="75" t="s">
        <v>558</v>
      </c>
      <c r="IS889">
        <v>2018</v>
      </c>
      <c r="IU889" t="s">
        <v>1602</v>
      </c>
      <c r="JK889" t="s">
        <v>494</v>
      </c>
      <c r="JL889" t="s">
        <v>495</v>
      </c>
      <c r="JM889" t="s">
        <v>1650</v>
      </c>
      <c r="JN889" t="s">
        <v>497</v>
      </c>
      <c r="JO889" t="s">
        <v>1651</v>
      </c>
      <c r="JP889" t="s">
        <v>508</v>
      </c>
      <c r="JQ889">
        <v>64</v>
      </c>
      <c r="JR889">
        <v>21</v>
      </c>
      <c r="JS889">
        <v>30</v>
      </c>
      <c r="KE889" t="s">
        <v>1603</v>
      </c>
      <c r="KF889" t="s">
        <v>1604</v>
      </c>
      <c r="KI889" t="s">
        <v>1601</v>
      </c>
      <c r="KJ889" t="s">
        <v>501</v>
      </c>
      <c r="KK889" t="s">
        <v>502</v>
      </c>
      <c r="KL889" t="s">
        <v>1605</v>
      </c>
      <c r="KM889">
        <f t="shared" ref="KM889:KM891" si="13">+AVERAGE(360,720)</f>
        <v>540</v>
      </c>
      <c r="KN889" t="s">
        <v>501</v>
      </c>
      <c r="KO889" t="s">
        <v>1606</v>
      </c>
      <c r="KP889" t="s">
        <v>1605</v>
      </c>
      <c r="KQ889">
        <v>360</v>
      </c>
      <c r="KW889" t="s">
        <v>1608</v>
      </c>
      <c r="LJ889" t="s">
        <v>1602</v>
      </c>
      <c r="MY889" t="s">
        <v>1594</v>
      </c>
      <c r="MZ889">
        <v>136</v>
      </c>
      <c r="NA889" t="s">
        <v>1639</v>
      </c>
      <c r="NB889" t="s">
        <v>1529</v>
      </c>
      <c r="NJ889" t="s">
        <v>1639</v>
      </c>
      <c r="NL889" t="s">
        <v>660</v>
      </c>
      <c r="NM889" t="s">
        <v>508</v>
      </c>
      <c r="NV889" t="s">
        <v>518</v>
      </c>
      <c r="NW889">
        <v>664.2</v>
      </c>
      <c r="NX889" t="s">
        <v>480</v>
      </c>
      <c r="OB889">
        <v>3</v>
      </c>
      <c r="OU889" t="s">
        <v>1533</v>
      </c>
      <c r="OV889" t="s">
        <v>518</v>
      </c>
      <c r="OX889">
        <v>2017</v>
      </c>
      <c r="OY889">
        <v>2020</v>
      </c>
      <c r="PB889" t="s">
        <v>522</v>
      </c>
      <c r="PC889" s="50">
        <v>46136</v>
      </c>
    </row>
    <row r="890" spans="1:419" ht="15.75" thickBot="1">
      <c r="A890" t="s">
        <v>469</v>
      </c>
      <c r="B890" t="s">
        <v>1591</v>
      </c>
      <c r="C890" t="s">
        <v>1592</v>
      </c>
      <c r="D890" t="s">
        <v>950</v>
      </c>
      <c r="E890" s="81" t="s">
        <v>1593</v>
      </c>
      <c r="F890" t="s">
        <v>1179</v>
      </c>
      <c r="G890" t="s">
        <v>475</v>
      </c>
      <c r="H890" t="s">
        <v>476</v>
      </c>
      <c r="I890">
        <v>7.8527777780000001</v>
      </c>
      <c r="J890">
        <v>-5.1111111109999996</v>
      </c>
      <c r="K890">
        <v>300</v>
      </c>
      <c r="AV890" t="s">
        <v>1594</v>
      </c>
      <c r="AW890">
        <v>136</v>
      </c>
      <c r="AX890" t="s">
        <v>480</v>
      </c>
      <c r="AY890">
        <v>4</v>
      </c>
      <c r="AZ890" t="s">
        <v>1595</v>
      </c>
      <c r="BA890">
        <v>2017</v>
      </c>
      <c r="BB890">
        <v>2020</v>
      </c>
      <c r="BD890" t="s">
        <v>1641</v>
      </c>
      <c r="BE890" t="s">
        <v>643</v>
      </c>
      <c r="BF890" t="s">
        <v>484</v>
      </c>
      <c r="BG890" t="s">
        <v>1501</v>
      </c>
      <c r="BH890" t="s">
        <v>1597</v>
      </c>
      <c r="BI890" t="s">
        <v>1598</v>
      </c>
      <c r="BJ890">
        <v>722000</v>
      </c>
      <c r="BK890" t="s">
        <v>537</v>
      </c>
      <c r="BL890" t="s">
        <v>1599</v>
      </c>
      <c r="BM890" t="s">
        <v>1600</v>
      </c>
      <c r="BN890" t="s">
        <v>1598</v>
      </c>
      <c r="BO890" s="9">
        <v>470000</v>
      </c>
      <c r="BP890" t="s">
        <v>555</v>
      </c>
      <c r="BQ890" t="s">
        <v>1599</v>
      </c>
      <c r="BR890" t="s">
        <v>1600</v>
      </c>
      <c r="BS890" t="s">
        <v>1598</v>
      </c>
      <c r="BT890" s="9">
        <v>470000</v>
      </c>
      <c r="BU890" t="s">
        <v>555</v>
      </c>
      <c r="BV890" t="s">
        <v>1501</v>
      </c>
      <c r="BW890" t="s">
        <v>1597</v>
      </c>
      <c r="BX890" t="s">
        <v>1598</v>
      </c>
      <c r="BY890">
        <v>722000</v>
      </c>
      <c r="BZ890" t="s">
        <v>537</v>
      </c>
      <c r="CA890" t="s">
        <v>1599</v>
      </c>
      <c r="CB890" t="s">
        <v>1600</v>
      </c>
      <c r="CC890" t="s">
        <v>1598</v>
      </c>
      <c r="CD890" s="9">
        <v>470000</v>
      </c>
      <c r="HK890" t="s">
        <v>1601</v>
      </c>
      <c r="HL890" t="s">
        <v>488</v>
      </c>
      <c r="IH890" t="s">
        <v>1641</v>
      </c>
      <c r="II890" s="75" t="s">
        <v>929</v>
      </c>
      <c r="IJ890" t="s">
        <v>542</v>
      </c>
      <c r="IK890" t="s">
        <v>543</v>
      </c>
      <c r="IL890">
        <v>2017</v>
      </c>
      <c r="IN890" t="s">
        <v>1602</v>
      </c>
      <c r="IO890" t="s">
        <v>1641</v>
      </c>
      <c r="IP890" t="s">
        <v>1259</v>
      </c>
      <c r="IQ890" s="75" t="s">
        <v>558</v>
      </c>
      <c r="IS890">
        <v>2018</v>
      </c>
      <c r="IU890" t="s">
        <v>1602</v>
      </c>
      <c r="JK890" t="s">
        <v>494</v>
      </c>
      <c r="JL890" t="s">
        <v>495</v>
      </c>
      <c r="JM890" t="s">
        <v>1650</v>
      </c>
      <c r="JN890" t="s">
        <v>497</v>
      </c>
      <c r="JO890" t="s">
        <v>1651</v>
      </c>
      <c r="JP890" t="s">
        <v>508</v>
      </c>
      <c r="JQ890">
        <v>64</v>
      </c>
      <c r="JR890">
        <v>21</v>
      </c>
      <c r="JS890">
        <v>30</v>
      </c>
      <c r="KE890" t="s">
        <v>1603</v>
      </c>
      <c r="KF890" t="s">
        <v>1604</v>
      </c>
      <c r="KI890" t="s">
        <v>1601</v>
      </c>
      <c r="KJ890" t="s">
        <v>501</v>
      </c>
      <c r="KK890" t="s">
        <v>502</v>
      </c>
      <c r="KL890" t="s">
        <v>1605</v>
      </c>
      <c r="KM890">
        <f t="shared" si="13"/>
        <v>540</v>
      </c>
      <c r="KN890" t="s">
        <v>501</v>
      </c>
      <c r="KO890" t="s">
        <v>1606</v>
      </c>
      <c r="KP890" t="s">
        <v>1605</v>
      </c>
      <c r="KQ890">
        <v>360</v>
      </c>
      <c r="KW890" t="s">
        <v>1608</v>
      </c>
      <c r="LJ890" t="s">
        <v>1602</v>
      </c>
      <c r="MY890" t="s">
        <v>1594</v>
      </c>
      <c r="MZ890">
        <v>136</v>
      </c>
      <c r="NA890" t="s">
        <v>1639</v>
      </c>
      <c r="NB890" t="s">
        <v>1529</v>
      </c>
      <c r="NJ890" t="s">
        <v>1639</v>
      </c>
      <c r="NL890" t="s">
        <v>660</v>
      </c>
      <c r="NM890" t="s">
        <v>508</v>
      </c>
      <c r="NV890" t="s">
        <v>518</v>
      </c>
      <c r="NW890">
        <v>514.9</v>
      </c>
      <c r="NX890" t="s">
        <v>480</v>
      </c>
      <c r="OB890">
        <v>3</v>
      </c>
      <c r="OU890" t="s">
        <v>1533</v>
      </c>
      <c r="OV890" t="s">
        <v>518</v>
      </c>
      <c r="OX890">
        <v>2017</v>
      </c>
      <c r="OY890">
        <v>2020</v>
      </c>
      <c r="PB890" t="s">
        <v>522</v>
      </c>
      <c r="PC890" s="50">
        <v>46136</v>
      </c>
    </row>
    <row r="891" spans="1:419" ht="15.75" thickBot="1">
      <c r="A891" t="s">
        <v>469</v>
      </c>
      <c r="B891" t="s">
        <v>1591</v>
      </c>
      <c r="C891" t="s">
        <v>1592</v>
      </c>
      <c r="D891" t="s">
        <v>950</v>
      </c>
      <c r="E891" s="81" t="s">
        <v>1593</v>
      </c>
      <c r="F891" t="s">
        <v>1179</v>
      </c>
      <c r="G891" t="s">
        <v>475</v>
      </c>
      <c r="H891" t="s">
        <v>476</v>
      </c>
      <c r="I891">
        <v>7.8527777780000001</v>
      </c>
      <c r="J891">
        <v>-5.1111111109999996</v>
      </c>
      <c r="K891">
        <v>300</v>
      </c>
      <c r="AV891" t="s">
        <v>1594</v>
      </c>
      <c r="AW891">
        <v>136</v>
      </c>
      <c r="AX891" t="s">
        <v>480</v>
      </c>
      <c r="AY891">
        <v>4</v>
      </c>
      <c r="AZ891" t="s">
        <v>1595</v>
      </c>
      <c r="BA891">
        <v>2017</v>
      </c>
      <c r="BB891">
        <v>2020</v>
      </c>
      <c r="BD891" t="s">
        <v>1616</v>
      </c>
      <c r="BE891" t="s">
        <v>646</v>
      </c>
      <c r="BF891" t="s">
        <v>484</v>
      </c>
      <c r="BG891" t="s">
        <v>1501</v>
      </c>
      <c r="BH891" t="s">
        <v>1597</v>
      </c>
      <c r="BI891" t="s">
        <v>1598</v>
      </c>
      <c r="BJ891">
        <v>722000</v>
      </c>
      <c r="BK891" t="s">
        <v>537</v>
      </c>
      <c r="BL891" t="s">
        <v>1599</v>
      </c>
      <c r="BM891" t="s">
        <v>1600</v>
      </c>
      <c r="BN891" t="s">
        <v>1598</v>
      </c>
      <c r="BO891" s="9">
        <v>470000</v>
      </c>
      <c r="BP891" t="s">
        <v>555</v>
      </c>
      <c r="BQ891" t="s">
        <v>1599</v>
      </c>
      <c r="BR891" t="s">
        <v>1600</v>
      </c>
      <c r="BS891" t="s">
        <v>1598</v>
      </c>
      <c r="BT891" s="9">
        <v>470000</v>
      </c>
      <c r="BU891" t="s">
        <v>555</v>
      </c>
      <c r="BV891" t="s">
        <v>1501</v>
      </c>
      <c r="BW891" t="s">
        <v>1597</v>
      </c>
      <c r="BX891" t="s">
        <v>1598</v>
      </c>
      <c r="BY891">
        <v>722000</v>
      </c>
      <c r="BZ891" t="s">
        <v>537</v>
      </c>
      <c r="CA891" t="s">
        <v>1599</v>
      </c>
      <c r="CB891" t="s">
        <v>1600</v>
      </c>
      <c r="CC891" t="s">
        <v>1598</v>
      </c>
      <c r="CD891" s="9">
        <v>470000</v>
      </c>
      <c r="HK891" t="s">
        <v>1601</v>
      </c>
      <c r="HL891" t="s">
        <v>488</v>
      </c>
      <c r="IH891" t="s">
        <v>1616</v>
      </c>
      <c r="II891" s="75" t="s">
        <v>929</v>
      </c>
      <c r="IJ891" t="s">
        <v>542</v>
      </c>
      <c r="IK891" t="s">
        <v>543</v>
      </c>
      <c r="IL891">
        <v>2017</v>
      </c>
      <c r="IN891" t="s">
        <v>1602</v>
      </c>
      <c r="IO891" t="s">
        <v>1616</v>
      </c>
      <c r="IP891" t="s">
        <v>1259</v>
      </c>
      <c r="IQ891" s="75" t="s">
        <v>558</v>
      </c>
      <c r="IS891">
        <v>2018</v>
      </c>
      <c r="IU891" t="s">
        <v>1602</v>
      </c>
      <c r="JK891" t="s">
        <v>494</v>
      </c>
      <c r="JL891" t="s">
        <v>495</v>
      </c>
      <c r="JM891" t="s">
        <v>1650</v>
      </c>
      <c r="JN891" t="s">
        <v>497</v>
      </c>
      <c r="JO891" t="s">
        <v>1651</v>
      </c>
      <c r="JP891" t="s">
        <v>508</v>
      </c>
      <c r="JQ891">
        <v>64</v>
      </c>
      <c r="JR891">
        <v>21</v>
      </c>
      <c r="JS891">
        <v>30</v>
      </c>
      <c r="KE891" t="s">
        <v>1603</v>
      </c>
      <c r="KF891" t="s">
        <v>1604</v>
      </c>
      <c r="KI891" t="s">
        <v>1601</v>
      </c>
      <c r="KJ891" t="s">
        <v>501</v>
      </c>
      <c r="KK891" t="s">
        <v>502</v>
      </c>
      <c r="KL891" t="s">
        <v>1605</v>
      </c>
      <c r="KM891">
        <f t="shared" si="13"/>
        <v>540</v>
      </c>
      <c r="KN891" t="s">
        <v>501</v>
      </c>
      <c r="KO891" t="s">
        <v>1606</v>
      </c>
      <c r="KP891" t="s">
        <v>1605</v>
      </c>
      <c r="KQ891">
        <v>360</v>
      </c>
      <c r="KV891" t="s">
        <v>1607</v>
      </c>
      <c r="KW891" t="s">
        <v>1608</v>
      </c>
      <c r="LJ891" t="s">
        <v>1602</v>
      </c>
      <c r="MY891" t="s">
        <v>1594</v>
      </c>
      <c r="MZ891">
        <v>136</v>
      </c>
      <c r="NA891" t="s">
        <v>1639</v>
      </c>
      <c r="NB891" t="s">
        <v>1529</v>
      </c>
      <c r="NJ891" t="s">
        <v>1639</v>
      </c>
      <c r="NL891" t="s">
        <v>660</v>
      </c>
      <c r="NM891" t="s">
        <v>508</v>
      </c>
      <c r="NV891" t="s">
        <v>518</v>
      </c>
      <c r="NW891">
        <v>1579.5</v>
      </c>
      <c r="NX891" t="s">
        <v>480</v>
      </c>
      <c r="OB891">
        <v>3</v>
      </c>
      <c r="OU891" t="s">
        <v>1533</v>
      </c>
      <c r="OV891" t="s">
        <v>518</v>
      </c>
      <c r="OX891">
        <v>2017</v>
      </c>
      <c r="OY891">
        <v>2020</v>
      </c>
      <c r="PB891" t="s">
        <v>522</v>
      </c>
      <c r="PC891" s="50">
        <v>46136</v>
      </c>
    </row>
    <row r="892" spans="1:419">
      <c r="A892" t="s">
        <v>469</v>
      </c>
      <c r="B892" t="s">
        <v>1591</v>
      </c>
      <c r="C892" t="s">
        <v>1592</v>
      </c>
      <c r="D892" t="s">
        <v>950</v>
      </c>
      <c r="E892" s="81" t="s">
        <v>1593</v>
      </c>
      <c r="F892" t="s">
        <v>1179</v>
      </c>
      <c r="G892" t="s">
        <v>475</v>
      </c>
      <c r="H892" t="s">
        <v>476</v>
      </c>
      <c r="I892">
        <v>7.8527777780000001</v>
      </c>
      <c r="J892">
        <v>-5.1111111109999996</v>
      </c>
      <c r="K892">
        <v>300</v>
      </c>
      <c r="AV892" t="s">
        <v>1594</v>
      </c>
      <c r="AW892">
        <v>136</v>
      </c>
      <c r="AX892" t="s">
        <v>480</v>
      </c>
      <c r="AY892">
        <v>4</v>
      </c>
      <c r="AZ892" t="s">
        <v>1595</v>
      </c>
      <c r="BA892">
        <v>2017</v>
      </c>
      <c r="BB892">
        <v>2020</v>
      </c>
      <c r="BD892" t="s">
        <v>1617</v>
      </c>
      <c r="BE892" t="s">
        <v>593</v>
      </c>
      <c r="BF892" t="s">
        <v>484</v>
      </c>
      <c r="BG892" t="s">
        <v>1501</v>
      </c>
      <c r="BH892" t="s">
        <v>1597</v>
      </c>
      <c r="BI892" t="s">
        <v>1598</v>
      </c>
      <c r="BJ892">
        <v>722000</v>
      </c>
      <c r="BK892" t="s">
        <v>555</v>
      </c>
      <c r="BL892" t="s">
        <v>485</v>
      </c>
      <c r="BM892" t="s">
        <v>957</v>
      </c>
      <c r="BN892" t="s">
        <v>1598</v>
      </c>
      <c r="BO892" s="9">
        <v>55556</v>
      </c>
      <c r="HK892" t="s">
        <v>1618</v>
      </c>
      <c r="HL892" t="s">
        <v>526</v>
      </c>
      <c r="HM892" t="s">
        <v>1619</v>
      </c>
      <c r="HP892">
        <v>3</v>
      </c>
      <c r="IH892" t="s">
        <v>1617</v>
      </c>
      <c r="II892" t="s">
        <v>492</v>
      </c>
      <c r="IJ892" t="s">
        <v>542</v>
      </c>
      <c r="IK892" t="s">
        <v>543</v>
      </c>
      <c r="IL892">
        <v>2017</v>
      </c>
      <c r="IN892" t="s">
        <v>544</v>
      </c>
      <c r="IO892" t="s">
        <v>1617</v>
      </c>
      <c r="IP892" t="s">
        <v>1259</v>
      </c>
      <c r="IQ892" t="s">
        <v>573</v>
      </c>
      <c r="IS892">
        <v>2018</v>
      </c>
      <c r="IU892" t="s">
        <v>544</v>
      </c>
      <c r="JK892" t="s">
        <v>494</v>
      </c>
      <c r="JL892" t="s">
        <v>495</v>
      </c>
      <c r="JM892" t="s">
        <v>1650</v>
      </c>
      <c r="JN892" t="s">
        <v>497</v>
      </c>
      <c r="JO892" t="s">
        <v>1651</v>
      </c>
      <c r="JP892" t="s">
        <v>508</v>
      </c>
      <c r="JQ892">
        <v>64</v>
      </c>
      <c r="JR892">
        <v>21</v>
      </c>
      <c r="JS892">
        <v>30</v>
      </c>
      <c r="KE892" t="s">
        <v>1603</v>
      </c>
      <c r="KF892" t="s">
        <v>1604</v>
      </c>
      <c r="KI892" t="s">
        <v>1618</v>
      </c>
      <c r="KJ892" t="s">
        <v>501</v>
      </c>
      <c r="KK892" t="s">
        <v>1624</v>
      </c>
      <c r="KL892" t="s">
        <v>1605</v>
      </c>
      <c r="KM892">
        <v>1000</v>
      </c>
      <c r="KN892" t="s">
        <v>501</v>
      </c>
      <c r="KV892" t="s">
        <v>1607</v>
      </c>
      <c r="KW892" t="s">
        <v>1608</v>
      </c>
      <c r="LJ892" t="s">
        <v>544</v>
      </c>
      <c r="MY892" t="s">
        <v>1594</v>
      </c>
      <c r="MZ892">
        <v>136</v>
      </c>
      <c r="NA892" t="s">
        <v>1639</v>
      </c>
      <c r="NB892" t="s">
        <v>1529</v>
      </c>
      <c r="NJ892" t="s">
        <v>1639</v>
      </c>
      <c r="NL892" t="s">
        <v>660</v>
      </c>
      <c r="NM892" t="s">
        <v>508</v>
      </c>
      <c r="NU892" t="s">
        <v>1652</v>
      </c>
      <c r="NV892" t="s">
        <v>518</v>
      </c>
      <c r="NW892">
        <v>1727.9</v>
      </c>
      <c r="NX892" t="s">
        <v>480</v>
      </c>
      <c r="OB892">
        <v>3</v>
      </c>
      <c r="OU892" t="s">
        <v>1533</v>
      </c>
      <c r="OV892" t="s">
        <v>518</v>
      </c>
      <c r="OX892">
        <v>2017</v>
      </c>
      <c r="OY892">
        <v>2020</v>
      </c>
      <c r="PB892" t="s">
        <v>522</v>
      </c>
      <c r="PC892" s="50">
        <v>46136</v>
      </c>
    </row>
    <row r="893" spans="1:419" ht="15.75" thickBot="1">
      <c r="A893" t="s">
        <v>469</v>
      </c>
      <c r="B893" t="s">
        <v>1591</v>
      </c>
      <c r="C893" t="s">
        <v>1592</v>
      </c>
      <c r="D893" t="s">
        <v>950</v>
      </c>
      <c r="E893" s="81" t="s">
        <v>1593</v>
      </c>
      <c r="F893" t="s">
        <v>1179</v>
      </c>
      <c r="G893" t="s">
        <v>475</v>
      </c>
      <c r="H893" t="s">
        <v>476</v>
      </c>
      <c r="I893">
        <v>7.8527777780000001</v>
      </c>
      <c r="J893">
        <v>-5.1111111109999996</v>
      </c>
      <c r="K893">
        <v>300</v>
      </c>
      <c r="AV893" t="s">
        <v>1594</v>
      </c>
      <c r="AW893">
        <v>136</v>
      </c>
      <c r="AX893" t="s">
        <v>480</v>
      </c>
      <c r="AY893">
        <v>4</v>
      </c>
      <c r="AZ893" t="s">
        <v>1595</v>
      </c>
      <c r="BA893">
        <v>2017</v>
      </c>
      <c r="BB893">
        <v>2020</v>
      </c>
      <c r="BD893" t="s">
        <v>1643</v>
      </c>
      <c r="BE893" t="s">
        <v>602</v>
      </c>
      <c r="BF893" t="s">
        <v>484</v>
      </c>
      <c r="BG893" t="s">
        <v>1501</v>
      </c>
      <c r="BH893" t="s">
        <v>1597</v>
      </c>
      <c r="BI893" t="s">
        <v>1598</v>
      </c>
      <c r="BJ893">
        <v>722000</v>
      </c>
      <c r="BK893" t="s">
        <v>555</v>
      </c>
      <c r="BL893" t="s">
        <v>485</v>
      </c>
      <c r="BM893" t="s">
        <v>957</v>
      </c>
      <c r="BN893" t="s">
        <v>1598</v>
      </c>
      <c r="BO893" s="9">
        <v>55556</v>
      </c>
      <c r="HK893" t="s">
        <v>1618</v>
      </c>
      <c r="HL893" t="s">
        <v>526</v>
      </c>
      <c r="HM893" t="s">
        <v>1619</v>
      </c>
      <c r="HP893">
        <v>3</v>
      </c>
      <c r="IH893" t="s">
        <v>1643</v>
      </c>
      <c r="II893" t="s">
        <v>492</v>
      </c>
      <c r="IJ893" t="s">
        <v>542</v>
      </c>
      <c r="IK893" t="s">
        <v>543</v>
      </c>
      <c r="IL893">
        <v>2017</v>
      </c>
      <c r="IN893" t="s">
        <v>1620</v>
      </c>
      <c r="IO893" t="s">
        <v>1643</v>
      </c>
      <c r="IP893" t="s">
        <v>1259</v>
      </c>
      <c r="IQ893" t="s">
        <v>573</v>
      </c>
      <c r="IS893">
        <v>2018</v>
      </c>
      <c r="IU893" t="s">
        <v>1620</v>
      </c>
      <c r="JK893" t="s">
        <v>494</v>
      </c>
      <c r="JL893" t="s">
        <v>495</v>
      </c>
      <c r="JM893" t="s">
        <v>1650</v>
      </c>
      <c r="JN893" t="s">
        <v>497</v>
      </c>
      <c r="JO893" t="s">
        <v>1651</v>
      </c>
      <c r="JP893" t="s">
        <v>508</v>
      </c>
      <c r="JQ893">
        <v>64</v>
      </c>
      <c r="JR893">
        <v>21</v>
      </c>
      <c r="JS893">
        <v>30</v>
      </c>
      <c r="KE893" t="s">
        <v>1603</v>
      </c>
      <c r="KF893" t="s">
        <v>1604</v>
      </c>
      <c r="KI893" t="s">
        <v>1618</v>
      </c>
      <c r="KJ893" t="s">
        <v>501</v>
      </c>
      <c r="KK893" t="s">
        <v>1624</v>
      </c>
      <c r="KL893" t="s">
        <v>1605</v>
      </c>
      <c r="KM893">
        <v>1000</v>
      </c>
      <c r="KN893" t="s">
        <v>501</v>
      </c>
      <c r="KW893" t="s">
        <v>506</v>
      </c>
      <c r="LJ893" t="s">
        <v>1620</v>
      </c>
      <c r="MY893" t="s">
        <v>1594</v>
      </c>
      <c r="MZ893">
        <v>136</v>
      </c>
      <c r="NA893" t="s">
        <v>1639</v>
      </c>
      <c r="NB893" t="s">
        <v>1529</v>
      </c>
      <c r="NJ893" t="s">
        <v>1639</v>
      </c>
      <c r="NL893" t="s">
        <v>660</v>
      </c>
      <c r="NM893" t="s">
        <v>508</v>
      </c>
      <c r="NU893" t="s">
        <v>1652</v>
      </c>
      <c r="NV893" t="s">
        <v>518</v>
      </c>
      <c r="NW893">
        <v>2159.9</v>
      </c>
      <c r="NX893" t="s">
        <v>480</v>
      </c>
      <c r="OB893">
        <v>2</v>
      </c>
      <c r="OU893" t="s">
        <v>1533</v>
      </c>
      <c r="OV893" t="s">
        <v>518</v>
      </c>
      <c r="OX893">
        <v>2017</v>
      </c>
      <c r="OY893">
        <v>2020</v>
      </c>
      <c r="PB893" t="s">
        <v>522</v>
      </c>
      <c r="PC893" s="50">
        <v>46136</v>
      </c>
    </row>
    <row r="894" spans="1:419" ht="15.75" thickBot="1">
      <c r="A894" t="s">
        <v>469</v>
      </c>
      <c r="B894" t="s">
        <v>1591</v>
      </c>
      <c r="C894" t="s">
        <v>1592</v>
      </c>
      <c r="D894" t="s">
        <v>950</v>
      </c>
      <c r="E894" s="81" t="s">
        <v>1593</v>
      </c>
      <c r="F894" t="s">
        <v>1179</v>
      </c>
      <c r="G894" t="s">
        <v>475</v>
      </c>
      <c r="H894" t="s">
        <v>476</v>
      </c>
      <c r="I894">
        <v>7.8527777780000001</v>
      </c>
      <c r="J894">
        <v>-5.1111111109999996</v>
      </c>
      <c r="K894">
        <v>300</v>
      </c>
      <c r="AV894" t="s">
        <v>1594</v>
      </c>
      <c r="AW894">
        <v>136</v>
      </c>
      <c r="AX894" t="s">
        <v>480</v>
      </c>
      <c r="AY894">
        <v>4</v>
      </c>
      <c r="AZ894" t="s">
        <v>1595</v>
      </c>
      <c r="BA894">
        <v>2017</v>
      </c>
      <c r="BB894">
        <v>2020</v>
      </c>
      <c r="BD894" t="s">
        <v>1621</v>
      </c>
      <c r="BE894" t="s">
        <v>648</v>
      </c>
      <c r="BF894" t="s">
        <v>484</v>
      </c>
      <c r="BG894" t="s">
        <v>485</v>
      </c>
      <c r="BH894" t="s">
        <v>957</v>
      </c>
      <c r="BI894" t="s">
        <v>1598</v>
      </c>
      <c r="BJ894" s="9">
        <v>55556</v>
      </c>
      <c r="BK894" t="s">
        <v>537</v>
      </c>
      <c r="BL894" t="s">
        <v>1405</v>
      </c>
      <c r="BM894" t="s">
        <v>1622</v>
      </c>
      <c r="BN894" t="s">
        <v>1598</v>
      </c>
      <c r="BO894">
        <v>55600</v>
      </c>
      <c r="BP894" t="s">
        <v>555</v>
      </c>
      <c r="BQ894" t="s">
        <v>1501</v>
      </c>
      <c r="BR894" t="s">
        <v>1597</v>
      </c>
      <c r="BS894" t="s">
        <v>1598</v>
      </c>
      <c r="BT894">
        <v>722000</v>
      </c>
      <c r="BU894" t="s">
        <v>537</v>
      </c>
      <c r="BV894" t="s">
        <v>927</v>
      </c>
      <c r="BW894" t="s">
        <v>480</v>
      </c>
      <c r="BX894" t="s">
        <v>480</v>
      </c>
      <c r="BY894" t="s">
        <v>480</v>
      </c>
      <c r="HK894" t="s">
        <v>1601</v>
      </c>
      <c r="HL894" t="s">
        <v>488</v>
      </c>
      <c r="IH894" t="s">
        <v>1621</v>
      </c>
      <c r="II894" s="75" t="s">
        <v>929</v>
      </c>
      <c r="IJ894" t="s">
        <v>542</v>
      </c>
      <c r="IK894" t="s">
        <v>543</v>
      </c>
      <c r="IL894">
        <v>2017</v>
      </c>
      <c r="IN894" t="s">
        <v>1602</v>
      </c>
      <c r="IO894" t="s">
        <v>1621</v>
      </c>
      <c r="IP894" t="s">
        <v>1623</v>
      </c>
      <c r="IQ894" t="s">
        <v>558</v>
      </c>
      <c r="IS894">
        <v>2018</v>
      </c>
      <c r="IU894" t="s">
        <v>1602</v>
      </c>
      <c r="JK894" t="s">
        <v>494</v>
      </c>
      <c r="JL894" t="s">
        <v>495</v>
      </c>
      <c r="JM894" t="s">
        <v>1650</v>
      </c>
      <c r="JN894" t="s">
        <v>497</v>
      </c>
      <c r="JO894" t="s">
        <v>1651</v>
      </c>
      <c r="JP894" t="s">
        <v>508</v>
      </c>
      <c r="JQ894">
        <v>64</v>
      </c>
      <c r="JR894">
        <v>21</v>
      </c>
      <c r="JS894">
        <v>30</v>
      </c>
      <c r="KE894" t="s">
        <v>1603</v>
      </c>
      <c r="KF894" t="s">
        <v>1604</v>
      </c>
      <c r="KI894" t="s">
        <v>1601</v>
      </c>
      <c r="KJ894" t="s">
        <v>501</v>
      </c>
      <c r="KK894" t="s">
        <v>502</v>
      </c>
      <c r="KL894" t="s">
        <v>1605</v>
      </c>
      <c r="KM894">
        <v>540</v>
      </c>
      <c r="KN894" t="s">
        <v>501</v>
      </c>
      <c r="KO894" t="s">
        <v>1606</v>
      </c>
      <c r="KP894" t="s">
        <v>1605</v>
      </c>
      <c r="KQ894">
        <v>360</v>
      </c>
      <c r="KW894" t="s">
        <v>1520</v>
      </c>
      <c r="KX894" t="s">
        <v>1625</v>
      </c>
      <c r="LJ894" t="s">
        <v>1602</v>
      </c>
      <c r="MY894" t="s">
        <v>1594</v>
      </c>
      <c r="MZ894">
        <v>136</v>
      </c>
      <c r="NA894" t="s">
        <v>1639</v>
      </c>
      <c r="NB894" t="s">
        <v>1529</v>
      </c>
      <c r="NJ894" t="s">
        <v>1639</v>
      </c>
      <c r="NL894" t="s">
        <v>660</v>
      </c>
      <c r="NM894" t="s">
        <v>508</v>
      </c>
      <c r="NV894" t="s">
        <v>518</v>
      </c>
      <c r="NW894">
        <v>1496.1</v>
      </c>
      <c r="NX894" t="s">
        <v>480</v>
      </c>
      <c r="OB894">
        <v>3</v>
      </c>
      <c r="OU894" t="s">
        <v>1533</v>
      </c>
      <c r="OV894" t="s">
        <v>518</v>
      </c>
      <c r="OX894">
        <v>2017</v>
      </c>
      <c r="OY894">
        <v>2020</v>
      </c>
      <c r="PB894" t="s">
        <v>522</v>
      </c>
      <c r="PC894" s="50">
        <v>46136</v>
      </c>
    </row>
    <row r="895" spans="1:419" ht="15.75" thickBot="1">
      <c r="A895" t="s">
        <v>469</v>
      </c>
      <c r="B895" t="s">
        <v>1591</v>
      </c>
      <c r="C895" t="s">
        <v>1592</v>
      </c>
      <c r="D895" t="s">
        <v>950</v>
      </c>
      <c r="E895" s="81" t="s">
        <v>1593</v>
      </c>
      <c r="F895" t="s">
        <v>1179</v>
      </c>
      <c r="G895" t="s">
        <v>475</v>
      </c>
      <c r="H895" t="s">
        <v>476</v>
      </c>
      <c r="I895">
        <v>7.8527777780000001</v>
      </c>
      <c r="J895">
        <v>-5.1111111109999996</v>
      </c>
      <c r="K895">
        <v>300</v>
      </c>
      <c r="AV895" t="s">
        <v>1594</v>
      </c>
      <c r="AW895">
        <v>136</v>
      </c>
      <c r="AX895" t="s">
        <v>480</v>
      </c>
      <c r="AY895">
        <v>4</v>
      </c>
      <c r="AZ895" t="s">
        <v>1595</v>
      </c>
      <c r="BA895">
        <v>2017</v>
      </c>
      <c r="BB895">
        <v>2020</v>
      </c>
      <c r="BD895" t="s">
        <v>1644</v>
      </c>
      <c r="BE895" t="s">
        <v>1653</v>
      </c>
      <c r="BF895" t="s">
        <v>484</v>
      </c>
      <c r="BG895" t="s">
        <v>485</v>
      </c>
      <c r="BH895" t="s">
        <v>957</v>
      </c>
      <c r="BI895" t="s">
        <v>1598</v>
      </c>
      <c r="BJ895" s="9">
        <v>55556</v>
      </c>
      <c r="BK895" t="s">
        <v>537</v>
      </c>
      <c r="BL895" t="s">
        <v>538</v>
      </c>
      <c r="BM895" t="s">
        <v>1645</v>
      </c>
      <c r="BN895" t="s">
        <v>1598</v>
      </c>
      <c r="BO895">
        <v>148000</v>
      </c>
      <c r="BP895" t="s">
        <v>555</v>
      </c>
      <c r="BQ895" t="s">
        <v>485</v>
      </c>
      <c r="BR895" t="s">
        <v>957</v>
      </c>
      <c r="BS895" t="s">
        <v>1598</v>
      </c>
      <c r="BT895" s="9">
        <v>55556</v>
      </c>
      <c r="BU895" t="s">
        <v>537</v>
      </c>
      <c r="BV895" t="s">
        <v>1405</v>
      </c>
      <c r="BW895" t="s">
        <v>1622</v>
      </c>
      <c r="BX895" t="s">
        <v>1598</v>
      </c>
      <c r="BY895">
        <v>55600</v>
      </c>
      <c r="BZ895" t="s">
        <v>555</v>
      </c>
      <c r="CA895" t="s">
        <v>1501</v>
      </c>
      <c r="CB895" t="s">
        <v>1597</v>
      </c>
      <c r="CC895" t="s">
        <v>1598</v>
      </c>
      <c r="CD895">
        <v>722000</v>
      </c>
      <c r="HK895" t="s">
        <v>1601</v>
      </c>
      <c r="HL895" t="s">
        <v>488</v>
      </c>
      <c r="IH895" t="s">
        <v>1644</v>
      </c>
      <c r="II895" s="75" t="s">
        <v>929</v>
      </c>
      <c r="IJ895" t="s">
        <v>542</v>
      </c>
      <c r="IK895" t="s">
        <v>543</v>
      </c>
      <c r="IL895">
        <v>2017</v>
      </c>
      <c r="IN895" t="s">
        <v>1602</v>
      </c>
      <c r="IO895" t="s">
        <v>1644</v>
      </c>
      <c r="IP895" t="s">
        <v>1623</v>
      </c>
      <c r="IQ895" t="s">
        <v>558</v>
      </c>
      <c r="IS895">
        <v>2018</v>
      </c>
      <c r="IU895" t="s">
        <v>1602</v>
      </c>
      <c r="JK895" t="s">
        <v>494</v>
      </c>
      <c r="JL895" t="s">
        <v>495</v>
      </c>
      <c r="JM895" t="s">
        <v>1650</v>
      </c>
      <c r="JN895" t="s">
        <v>497</v>
      </c>
      <c r="JO895" t="s">
        <v>1651</v>
      </c>
      <c r="JP895" t="s">
        <v>508</v>
      </c>
      <c r="JQ895">
        <v>64</v>
      </c>
      <c r="JR895">
        <v>21</v>
      </c>
      <c r="JS895">
        <v>30</v>
      </c>
      <c r="KE895" t="s">
        <v>1603</v>
      </c>
      <c r="KF895" t="s">
        <v>1604</v>
      </c>
      <c r="KI895" t="s">
        <v>1601</v>
      </c>
      <c r="KJ895" t="s">
        <v>501</v>
      </c>
      <c r="KK895" t="s">
        <v>502</v>
      </c>
      <c r="KL895" t="s">
        <v>1605</v>
      </c>
      <c r="KM895">
        <v>540</v>
      </c>
      <c r="KN895" t="s">
        <v>501</v>
      </c>
      <c r="KO895" t="s">
        <v>1606</v>
      </c>
      <c r="KP895" t="s">
        <v>1605</v>
      </c>
      <c r="KQ895">
        <v>360</v>
      </c>
      <c r="KW895" t="s">
        <v>1625</v>
      </c>
      <c r="LJ895" t="s">
        <v>1602</v>
      </c>
      <c r="MY895" t="s">
        <v>1594</v>
      </c>
      <c r="MZ895">
        <v>136</v>
      </c>
      <c r="NA895" t="s">
        <v>1639</v>
      </c>
      <c r="NB895" t="s">
        <v>1529</v>
      </c>
      <c r="NJ895" t="s">
        <v>1639</v>
      </c>
      <c r="NL895" t="s">
        <v>660</v>
      </c>
      <c r="NM895" t="s">
        <v>508</v>
      </c>
      <c r="NV895" t="s">
        <v>518</v>
      </c>
      <c r="NW895">
        <v>665.5</v>
      </c>
      <c r="NX895" t="s">
        <v>480</v>
      </c>
      <c r="OB895">
        <v>3</v>
      </c>
      <c r="OU895" t="s">
        <v>1533</v>
      </c>
      <c r="OV895" t="s">
        <v>518</v>
      </c>
      <c r="OX895">
        <v>2017</v>
      </c>
      <c r="OY895">
        <v>2020</v>
      </c>
      <c r="PB895" t="s">
        <v>522</v>
      </c>
      <c r="PC895" s="50">
        <v>46136</v>
      </c>
    </row>
    <row r="896" spans="1:419" ht="15.75" thickBot="1">
      <c r="A896" t="s">
        <v>469</v>
      </c>
      <c r="B896" t="s">
        <v>1591</v>
      </c>
      <c r="C896" t="s">
        <v>1592</v>
      </c>
      <c r="D896" t="s">
        <v>950</v>
      </c>
      <c r="E896" s="81" t="s">
        <v>1593</v>
      </c>
      <c r="F896" t="s">
        <v>1179</v>
      </c>
      <c r="G896" t="s">
        <v>475</v>
      </c>
      <c r="H896" t="s">
        <v>476</v>
      </c>
      <c r="I896">
        <v>7.8527777780000001</v>
      </c>
      <c r="J896">
        <v>-5.1111111109999996</v>
      </c>
      <c r="K896">
        <v>300</v>
      </c>
      <c r="AV896" t="s">
        <v>1594</v>
      </c>
      <c r="AW896">
        <v>136</v>
      </c>
      <c r="AX896" t="s">
        <v>480</v>
      </c>
      <c r="AY896">
        <v>4</v>
      </c>
      <c r="AZ896" t="s">
        <v>1595</v>
      </c>
      <c r="BA896">
        <v>2017</v>
      </c>
      <c r="BB896">
        <v>2020</v>
      </c>
      <c r="BD896" t="s">
        <v>1626</v>
      </c>
      <c r="BE896" t="s">
        <v>1654</v>
      </c>
      <c r="BF896" t="s">
        <v>484</v>
      </c>
      <c r="BG896" t="s">
        <v>485</v>
      </c>
      <c r="BH896" t="s">
        <v>957</v>
      </c>
      <c r="BI896" t="s">
        <v>1598</v>
      </c>
      <c r="BJ896" s="9">
        <v>55556</v>
      </c>
      <c r="BK896" t="s">
        <v>537</v>
      </c>
      <c r="BL896" t="s">
        <v>1627</v>
      </c>
      <c r="BM896" t="s">
        <v>957</v>
      </c>
      <c r="BN896" t="s">
        <v>1598</v>
      </c>
      <c r="BO896">
        <v>148000</v>
      </c>
      <c r="BP896" t="s">
        <v>555</v>
      </c>
      <c r="BQ896" t="s">
        <v>485</v>
      </c>
      <c r="BR896" t="s">
        <v>957</v>
      </c>
      <c r="BS896" t="s">
        <v>1598</v>
      </c>
      <c r="BT896" s="9">
        <v>55556</v>
      </c>
      <c r="BU896" t="s">
        <v>537</v>
      </c>
      <c r="BV896" t="s">
        <v>932</v>
      </c>
      <c r="BW896" t="s">
        <v>1628</v>
      </c>
      <c r="BX896" t="s">
        <v>1598</v>
      </c>
      <c r="BY896">
        <v>148000</v>
      </c>
      <c r="BZ896" t="s">
        <v>555</v>
      </c>
      <c r="CA896" t="s">
        <v>1501</v>
      </c>
      <c r="CB896" t="s">
        <v>1597</v>
      </c>
      <c r="CC896" t="s">
        <v>1598</v>
      </c>
      <c r="CD896">
        <v>722000</v>
      </c>
      <c r="HK896" t="s">
        <v>1601</v>
      </c>
      <c r="HL896" t="s">
        <v>488</v>
      </c>
      <c r="IH896" t="s">
        <v>1626</v>
      </c>
      <c r="II896" s="75" t="s">
        <v>929</v>
      </c>
      <c r="IJ896" t="s">
        <v>542</v>
      </c>
      <c r="IK896" t="s">
        <v>543</v>
      </c>
      <c r="IL896">
        <v>2017</v>
      </c>
      <c r="IN896" t="s">
        <v>1602</v>
      </c>
      <c r="IO896" t="s">
        <v>1626</v>
      </c>
      <c r="IP896" t="s">
        <v>1623</v>
      </c>
      <c r="IQ896" t="s">
        <v>558</v>
      </c>
      <c r="IS896">
        <v>2018</v>
      </c>
      <c r="IU896" t="s">
        <v>1602</v>
      </c>
      <c r="JK896" t="s">
        <v>494</v>
      </c>
      <c r="JL896" t="s">
        <v>495</v>
      </c>
      <c r="JM896" t="s">
        <v>1650</v>
      </c>
      <c r="JN896" t="s">
        <v>497</v>
      </c>
      <c r="JO896" t="s">
        <v>1651</v>
      </c>
      <c r="JP896" t="s">
        <v>508</v>
      </c>
      <c r="JQ896">
        <v>64</v>
      </c>
      <c r="JR896">
        <v>21</v>
      </c>
      <c r="JS896">
        <v>30</v>
      </c>
      <c r="KE896" t="s">
        <v>1603</v>
      </c>
      <c r="KF896" t="s">
        <v>1604</v>
      </c>
      <c r="KI896" t="s">
        <v>1601</v>
      </c>
      <c r="KJ896" t="s">
        <v>501</v>
      </c>
      <c r="KK896" t="s">
        <v>502</v>
      </c>
      <c r="KL896" t="s">
        <v>1605</v>
      </c>
      <c r="KM896">
        <v>540</v>
      </c>
      <c r="KN896" t="s">
        <v>501</v>
      </c>
      <c r="KO896" t="s">
        <v>1606</v>
      </c>
      <c r="KP896" t="s">
        <v>1605</v>
      </c>
      <c r="KQ896">
        <v>360</v>
      </c>
      <c r="KV896" t="s">
        <v>1607</v>
      </c>
      <c r="KW896" t="s">
        <v>1608</v>
      </c>
      <c r="LJ896" t="s">
        <v>1602</v>
      </c>
      <c r="MY896" t="s">
        <v>1594</v>
      </c>
      <c r="MZ896">
        <v>136</v>
      </c>
      <c r="NA896" t="s">
        <v>1639</v>
      </c>
      <c r="NB896" t="s">
        <v>1529</v>
      </c>
      <c r="NJ896" t="s">
        <v>1639</v>
      </c>
      <c r="NL896" t="s">
        <v>660</v>
      </c>
      <c r="NM896" t="s">
        <v>508</v>
      </c>
      <c r="NV896" t="s">
        <v>518</v>
      </c>
      <c r="NW896">
        <v>1603.4</v>
      </c>
      <c r="NX896" t="s">
        <v>480</v>
      </c>
      <c r="OB896">
        <v>3</v>
      </c>
      <c r="OU896" t="s">
        <v>1533</v>
      </c>
      <c r="OV896" t="s">
        <v>518</v>
      </c>
      <c r="OX896">
        <v>2017</v>
      </c>
      <c r="OY896">
        <v>2020</v>
      </c>
      <c r="PB896" t="s">
        <v>522</v>
      </c>
      <c r="PC896" s="50">
        <v>46136</v>
      </c>
    </row>
    <row r="897" spans="1:420" ht="15.75" thickBot="1">
      <c r="A897" t="s">
        <v>469</v>
      </c>
      <c r="B897" t="s">
        <v>1591</v>
      </c>
      <c r="C897" t="s">
        <v>1592</v>
      </c>
      <c r="D897" t="s">
        <v>950</v>
      </c>
      <c r="E897" s="81" t="s">
        <v>1593</v>
      </c>
      <c r="F897" t="s">
        <v>1179</v>
      </c>
      <c r="G897" t="s">
        <v>475</v>
      </c>
      <c r="H897" t="s">
        <v>476</v>
      </c>
      <c r="I897">
        <v>7.8527777780000001</v>
      </c>
      <c r="J897">
        <v>-5.1111111109999996</v>
      </c>
      <c r="K897">
        <v>300</v>
      </c>
      <c r="AV897" t="s">
        <v>1594</v>
      </c>
      <c r="AW897">
        <v>136</v>
      </c>
      <c r="AX897" t="s">
        <v>480</v>
      </c>
      <c r="AY897">
        <v>4</v>
      </c>
      <c r="AZ897" t="s">
        <v>1595</v>
      </c>
      <c r="BA897">
        <v>2017</v>
      </c>
      <c r="BB897">
        <v>2020</v>
      </c>
      <c r="BD897" t="s">
        <v>1646</v>
      </c>
      <c r="BE897" t="s">
        <v>1655</v>
      </c>
      <c r="BF897" t="s">
        <v>484</v>
      </c>
      <c r="BG897" t="s">
        <v>485</v>
      </c>
      <c r="BH897" t="s">
        <v>957</v>
      </c>
      <c r="BI897" t="s">
        <v>1598</v>
      </c>
      <c r="BJ897" s="9">
        <v>55556</v>
      </c>
      <c r="BK897" t="s">
        <v>537</v>
      </c>
      <c r="BL897" t="s">
        <v>554</v>
      </c>
      <c r="BM897" t="s">
        <v>957</v>
      </c>
      <c r="BN897" t="s">
        <v>1598</v>
      </c>
      <c r="BO897">
        <v>148000</v>
      </c>
      <c r="BP897" t="s">
        <v>555</v>
      </c>
      <c r="BQ897" t="s">
        <v>1647</v>
      </c>
      <c r="BR897" t="s">
        <v>1648</v>
      </c>
      <c r="BS897" t="s">
        <v>480</v>
      </c>
      <c r="BT897" t="s">
        <v>480</v>
      </c>
      <c r="BU897" t="s">
        <v>537</v>
      </c>
      <c r="BV897" t="s">
        <v>1405</v>
      </c>
      <c r="BW897" t="s">
        <v>1622</v>
      </c>
      <c r="BX897" t="s">
        <v>1598</v>
      </c>
      <c r="BY897">
        <v>55600</v>
      </c>
      <c r="BZ897" t="s">
        <v>555</v>
      </c>
      <c r="CA897" t="s">
        <v>1501</v>
      </c>
      <c r="CB897" t="s">
        <v>1597</v>
      </c>
      <c r="CC897" t="s">
        <v>1598</v>
      </c>
      <c r="CD897">
        <v>722000</v>
      </c>
      <c r="HK897" t="s">
        <v>1601</v>
      </c>
      <c r="HL897" t="s">
        <v>488</v>
      </c>
      <c r="IH897" t="s">
        <v>1646</v>
      </c>
      <c r="II897" s="75" t="s">
        <v>929</v>
      </c>
      <c r="IJ897" t="s">
        <v>542</v>
      </c>
      <c r="IK897" t="s">
        <v>543</v>
      </c>
      <c r="IL897">
        <v>2017</v>
      </c>
      <c r="IN897" t="s">
        <v>1602</v>
      </c>
      <c r="IO897" t="s">
        <v>1646</v>
      </c>
      <c r="IP897" t="s">
        <v>1623</v>
      </c>
      <c r="IQ897" t="s">
        <v>558</v>
      </c>
      <c r="IS897">
        <v>2018</v>
      </c>
      <c r="IU897" t="s">
        <v>1602</v>
      </c>
      <c r="JK897" t="s">
        <v>494</v>
      </c>
      <c r="JL897" t="s">
        <v>495</v>
      </c>
      <c r="JM897" t="s">
        <v>1650</v>
      </c>
      <c r="JN897" t="s">
        <v>497</v>
      </c>
      <c r="JO897" t="s">
        <v>1651</v>
      </c>
      <c r="JP897" t="s">
        <v>508</v>
      </c>
      <c r="JQ897">
        <v>64</v>
      </c>
      <c r="JR897">
        <v>21</v>
      </c>
      <c r="JS897">
        <v>30</v>
      </c>
      <c r="KE897" t="s">
        <v>1603</v>
      </c>
      <c r="KF897" t="s">
        <v>1604</v>
      </c>
      <c r="KI897" t="s">
        <v>1601</v>
      </c>
      <c r="KJ897" t="s">
        <v>501</v>
      </c>
      <c r="KK897" t="s">
        <v>502</v>
      </c>
      <c r="KL897" t="s">
        <v>1605</v>
      </c>
      <c r="KM897">
        <v>540</v>
      </c>
      <c r="KN897" t="s">
        <v>501</v>
      </c>
      <c r="KO897" t="s">
        <v>1606</v>
      </c>
      <c r="KP897" t="s">
        <v>1605</v>
      </c>
      <c r="KQ897">
        <v>360</v>
      </c>
      <c r="KW897" t="s">
        <v>1649</v>
      </c>
      <c r="LJ897" t="s">
        <v>1602</v>
      </c>
      <c r="MY897" t="s">
        <v>1594</v>
      </c>
      <c r="MZ897">
        <v>136</v>
      </c>
      <c r="NA897" t="s">
        <v>1639</v>
      </c>
      <c r="NB897" t="s">
        <v>1529</v>
      </c>
      <c r="NJ897" s="187" t="s">
        <v>1639</v>
      </c>
      <c r="NK897" s="187"/>
      <c r="NL897" t="s">
        <v>660</v>
      </c>
      <c r="NM897" t="s">
        <v>508</v>
      </c>
      <c r="NV897" t="s">
        <v>518</v>
      </c>
      <c r="NW897">
        <v>977.2</v>
      </c>
      <c r="NX897" t="s">
        <v>480</v>
      </c>
      <c r="OB897">
        <v>3</v>
      </c>
      <c r="OU897" t="s">
        <v>1533</v>
      </c>
      <c r="OV897" t="s">
        <v>518</v>
      </c>
      <c r="OX897">
        <v>2017</v>
      </c>
      <c r="OY897">
        <v>2020</v>
      </c>
      <c r="PB897" t="s">
        <v>522</v>
      </c>
      <c r="PC897" s="50">
        <v>46136</v>
      </c>
    </row>
    <row r="898" spans="1:420" ht="15.75" thickBot="1">
      <c r="A898" t="s">
        <v>469</v>
      </c>
      <c r="B898" t="s">
        <v>1591</v>
      </c>
      <c r="C898" t="s">
        <v>1592</v>
      </c>
      <c r="D898" t="s">
        <v>950</v>
      </c>
      <c r="E898" s="81" t="s">
        <v>1593</v>
      </c>
      <c r="F898" t="s">
        <v>1179</v>
      </c>
      <c r="G898" t="s">
        <v>475</v>
      </c>
      <c r="H898" t="s">
        <v>476</v>
      </c>
      <c r="I898">
        <v>7.8527777780000001</v>
      </c>
      <c r="J898">
        <v>-5.1111111109999996</v>
      </c>
      <c r="K898">
        <v>300</v>
      </c>
      <c r="AV898" t="s">
        <v>1594</v>
      </c>
      <c r="AW898">
        <v>136</v>
      </c>
      <c r="AX898" t="s">
        <v>480</v>
      </c>
      <c r="AY898">
        <v>4</v>
      </c>
      <c r="AZ898" t="s">
        <v>1595</v>
      </c>
      <c r="BA898">
        <v>2017</v>
      </c>
      <c r="BB898">
        <v>2020</v>
      </c>
      <c r="BD898" t="s">
        <v>1629</v>
      </c>
      <c r="BE898" t="s">
        <v>1656</v>
      </c>
      <c r="BF898" t="s">
        <v>484</v>
      </c>
      <c r="BG898" t="s">
        <v>1364</v>
      </c>
      <c r="BH898" t="s">
        <v>957</v>
      </c>
      <c r="BI898" t="s">
        <v>480</v>
      </c>
      <c r="BJ898" t="s">
        <v>480</v>
      </c>
      <c r="BK898" t="s">
        <v>537</v>
      </c>
      <c r="BL898" t="s">
        <v>1599</v>
      </c>
      <c r="BM898" t="s">
        <v>1600</v>
      </c>
      <c r="BN898" t="s">
        <v>1598</v>
      </c>
      <c r="BO898">
        <v>940000</v>
      </c>
      <c r="BP898" t="s">
        <v>555</v>
      </c>
      <c r="BQ898" t="s">
        <v>1364</v>
      </c>
      <c r="BR898" t="s">
        <v>957</v>
      </c>
      <c r="BS898" t="s">
        <v>480</v>
      </c>
      <c r="BT898" t="s">
        <v>480</v>
      </c>
      <c r="BU898" t="s">
        <v>537</v>
      </c>
      <c r="BV898" t="s">
        <v>1599</v>
      </c>
      <c r="BW898" t="s">
        <v>1600</v>
      </c>
      <c r="BX898" t="s">
        <v>1598</v>
      </c>
      <c r="BY898">
        <v>940000</v>
      </c>
      <c r="BZ898" t="s">
        <v>555</v>
      </c>
      <c r="CA898" t="s">
        <v>1501</v>
      </c>
      <c r="CB898" t="s">
        <v>1597</v>
      </c>
      <c r="CC898" t="s">
        <v>1598</v>
      </c>
      <c r="CD898">
        <v>722000</v>
      </c>
      <c r="CE898" t="s">
        <v>537</v>
      </c>
      <c r="CF898" t="s">
        <v>1599</v>
      </c>
      <c r="CG898" t="s">
        <v>1630</v>
      </c>
      <c r="CH898" t="s">
        <v>1598</v>
      </c>
      <c r="CI898">
        <v>940000</v>
      </c>
      <c r="HK898" t="s">
        <v>1601</v>
      </c>
      <c r="HL898" t="s">
        <v>488</v>
      </c>
      <c r="IH898" t="s">
        <v>1629</v>
      </c>
      <c r="II898" s="75" t="s">
        <v>929</v>
      </c>
      <c r="IJ898" t="s">
        <v>542</v>
      </c>
      <c r="IK898" t="s">
        <v>543</v>
      </c>
      <c r="IL898">
        <v>2017</v>
      </c>
      <c r="IN898" t="s">
        <v>1602</v>
      </c>
      <c r="IO898" t="s">
        <v>1629</v>
      </c>
      <c r="IP898" t="s">
        <v>1259</v>
      </c>
      <c r="IQ898" t="s">
        <v>558</v>
      </c>
      <c r="IS898">
        <v>2018</v>
      </c>
      <c r="IU898" t="s">
        <v>1602</v>
      </c>
      <c r="JK898" t="s">
        <v>494</v>
      </c>
      <c r="JL898" t="s">
        <v>495</v>
      </c>
      <c r="JM898" t="s">
        <v>1650</v>
      </c>
      <c r="JN898" t="s">
        <v>497</v>
      </c>
      <c r="JO898" t="s">
        <v>1651</v>
      </c>
      <c r="JP898" t="s">
        <v>508</v>
      </c>
      <c r="JQ898">
        <v>64</v>
      </c>
      <c r="JR898">
        <v>21</v>
      </c>
      <c r="JS898">
        <v>30</v>
      </c>
      <c r="KE898" t="s">
        <v>1603</v>
      </c>
      <c r="KF898" t="s">
        <v>1604</v>
      </c>
      <c r="KI898" t="s">
        <v>1601</v>
      </c>
      <c r="KJ898" t="s">
        <v>501</v>
      </c>
      <c r="KK898" t="s">
        <v>502</v>
      </c>
      <c r="KL898" t="s">
        <v>1605</v>
      </c>
      <c r="KM898">
        <v>540</v>
      </c>
      <c r="KN898" t="s">
        <v>501</v>
      </c>
      <c r="KO898" t="s">
        <v>1606</v>
      </c>
      <c r="KP898" t="s">
        <v>1605</v>
      </c>
      <c r="KQ898">
        <v>360</v>
      </c>
      <c r="KV898" t="s">
        <v>1607</v>
      </c>
      <c r="KW898" t="s">
        <v>1608</v>
      </c>
      <c r="LJ898" t="s">
        <v>1602</v>
      </c>
      <c r="MY898" t="s">
        <v>1594</v>
      </c>
      <c r="MZ898">
        <v>136</v>
      </c>
      <c r="NA898" t="s">
        <v>1639</v>
      </c>
      <c r="NB898" t="s">
        <v>1529</v>
      </c>
      <c r="NJ898" s="187" t="s">
        <v>1639</v>
      </c>
      <c r="NK898" s="187"/>
      <c r="NL898" t="s">
        <v>660</v>
      </c>
      <c r="NM898" t="s">
        <v>508</v>
      </c>
      <c r="NV898" t="s">
        <v>518</v>
      </c>
      <c r="NW898">
        <v>2342.1999999999998</v>
      </c>
      <c r="NX898" t="s">
        <v>480</v>
      </c>
      <c r="OB898">
        <v>3</v>
      </c>
      <c r="OU898" t="s">
        <v>1533</v>
      </c>
      <c r="OV898" t="s">
        <v>518</v>
      </c>
      <c r="OX898">
        <v>2017</v>
      </c>
      <c r="OY898">
        <v>2020</v>
      </c>
      <c r="PB898" t="s">
        <v>522</v>
      </c>
      <c r="PC898" s="50">
        <v>46136</v>
      </c>
    </row>
    <row r="899" spans="1:420" ht="15.75" thickBot="1">
      <c r="A899" t="s">
        <v>861</v>
      </c>
      <c r="B899" t="s">
        <v>1657</v>
      </c>
      <c r="C899" t="s">
        <v>1658</v>
      </c>
      <c r="D899" t="s">
        <v>472</v>
      </c>
      <c r="E899" t="s">
        <v>1659</v>
      </c>
      <c r="F899" t="s">
        <v>474</v>
      </c>
      <c r="G899" t="s">
        <v>475</v>
      </c>
      <c r="H899" t="s">
        <v>1079</v>
      </c>
      <c r="I899">
        <v>1.33496447137297</v>
      </c>
      <c r="J899">
        <v>34.421677432181603</v>
      </c>
      <c r="K899">
        <v>23000</v>
      </c>
      <c r="AV899" t="s">
        <v>1660</v>
      </c>
      <c r="AW899">
        <v>36</v>
      </c>
      <c r="AX899">
        <v>1.44E-2</v>
      </c>
      <c r="AY899">
        <v>1</v>
      </c>
      <c r="AZ899" t="s">
        <v>1661</v>
      </c>
      <c r="BA899">
        <v>2016</v>
      </c>
      <c r="BC899" t="s">
        <v>1662</v>
      </c>
      <c r="BD899" t="s">
        <v>1663</v>
      </c>
      <c r="BE899" t="s">
        <v>536</v>
      </c>
      <c r="BF899" t="s">
        <v>484</v>
      </c>
      <c r="BG899" t="s">
        <v>1664</v>
      </c>
      <c r="BH899" t="s">
        <v>1665</v>
      </c>
      <c r="BI899" t="s">
        <v>480</v>
      </c>
      <c r="BJ899" t="s">
        <v>480</v>
      </c>
      <c r="BK899" t="s">
        <v>537</v>
      </c>
      <c r="BL899" t="s">
        <v>1666</v>
      </c>
      <c r="BM899" t="s">
        <v>480</v>
      </c>
      <c r="BN899" t="s">
        <v>480</v>
      </c>
      <c r="BO899" t="s">
        <v>480</v>
      </c>
      <c r="HV899" t="s">
        <v>1667</v>
      </c>
      <c r="HW899" t="s">
        <v>1664</v>
      </c>
      <c r="HX899" t="s">
        <v>1665</v>
      </c>
      <c r="HY899" t="s">
        <v>1668</v>
      </c>
      <c r="HZ899" t="s">
        <v>480</v>
      </c>
      <c r="IA899" t="s">
        <v>480</v>
      </c>
      <c r="IH899" t="s">
        <v>1669</v>
      </c>
      <c r="II899" s="75" t="s">
        <v>929</v>
      </c>
      <c r="IJ899" t="s">
        <v>542</v>
      </c>
      <c r="IK899" t="s">
        <v>1670</v>
      </c>
      <c r="IL899">
        <v>2016</v>
      </c>
      <c r="IM899" t="s">
        <v>1662</v>
      </c>
      <c r="IN899" t="s">
        <v>480</v>
      </c>
      <c r="IY899" s="7"/>
      <c r="JV899" t="s">
        <v>595</v>
      </c>
      <c r="JW899" s="140" t="s">
        <v>1052</v>
      </c>
      <c r="JX899" t="s">
        <v>480</v>
      </c>
      <c r="JY899" t="s">
        <v>480</v>
      </c>
      <c r="JZ899" t="s">
        <v>480</v>
      </c>
      <c r="KA899" t="s">
        <v>480</v>
      </c>
      <c r="KB899" t="s">
        <v>480</v>
      </c>
      <c r="KC899" t="s">
        <v>480</v>
      </c>
      <c r="KD899" t="s">
        <v>480</v>
      </c>
      <c r="KG899" t="s">
        <v>1671</v>
      </c>
      <c r="KH899">
        <v>2</v>
      </c>
      <c r="MY899" t="s">
        <v>1672</v>
      </c>
      <c r="MZ899">
        <v>36</v>
      </c>
      <c r="NA899" t="s">
        <v>1673</v>
      </c>
      <c r="NB899" t="s">
        <v>1674</v>
      </c>
      <c r="NJ899" t="s">
        <v>1675</v>
      </c>
      <c r="NK899" t="s">
        <v>1676</v>
      </c>
      <c r="NL899" t="s">
        <v>660</v>
      </c>
      <c r="NM899" t="s">
        <v>508</v>
      </c>
      <c r="NV899" t="s">
        <v>518</v>
      </c>
      <c r="NW899">
        <v>125</v>
      </c>
      <c r="NX899" t="s">
        <v>520</v>
      </c>
      <c r="NY899">
        <v>33</v>
      </c>
      <c r="OB899">
        <v>6</v>
      </c>
      <c r="OU899" t="s">
        <v>1276</v>
      </c>
      <c r="OW899">
        <v>2016</v>
      </c>
      <c r="OZ899" t="s">
        <v>1662</v>
      </c>
      <c r="PB899" t="s">
        <v>522</v>
      </c>
      <c r="PC899" s="50">
        <v>46147</v>
      </c>
      <c r="PD899" s="127"/>
    </row>
    <row r="900" spans="1:420" ht="15.75" thickBot="1">
      <c r="A900" t="s">
        <v>861</v>
      </c>
      <c r="B900" t="s">
        <v>1657</v>
      </c>
      <c r="C900" t="s">
        <v>1658</v>
      </c>
      <c r="D900" t="s">
        <v>472</v>
      </c>
      <c r="E900" t="s">
        <v>1659</v>
      </c>
      <c r="F900" t="s">
        <v>474</v>
      </c>
      <c r="G900" t="s">
        <v>475</v>
      </c>
      <c r="H900" t="s">
        <v>1079</v>
      </c>
      <c r="I900">
        <v>1.33496447137297</v>
      </c>
      <c r="J900">
        <v>34.421677432181603</v>
      </c>
      <c r="K900">
        <v>23000</v>
      </c>
      <c r="AV900" t="s">
        <v>1660</v>
      </c>
      <c r="AW900">
        <v>36</v>
      </c>
      <c r="AX900">
        <v>1.44E-2</v>
      </c>
      <c r="AY900">
        <v>1</v>
      </c>
      <c r="AZ900" t="s">
        <v>1661</v>
      </c>
      <c r="BA900">
        <v>2016</v>
      </c>
      <c r="BC900" t="s">
        <v>1662</v>
      </c>
      <c r="BD900" t="s">
        <v>1677</v>
      </c>
      <c r="BE900" t="s">
        <v>566</v>
      </c>
      <c r="BF900" t="s">
        <v>484</v>
      </c>
      <c r="BG900" t="s">
        <v>1664</v>
      </c>
      <c r="BH900" t="s">
        <v>1665</v>
      </c>
      <c r="BI900" t="s">
        <v>480</v>
      </c>
      <c r="BJ900" t="s">
        <v>480</v>
      </c>
      <c r="BK900" t="s">
        <v>537</v>
      </c>
      <c r="BL900" t="s">
        <v>1666</v>
      </c>
      <c r="BM900" t="s">
        <v>480</v>
      </c>
      <c r="BN900" t="s">
        <v>480</v>
      </c>
      <c r="BO900" t="s">
        <v>480</v>
      </c>
      <c r="HV900" t="s">
        <v>1678</v>
      </c>
      <c r="HW900" t="s">
        <v>1664</v>
      </c>
      <c r="HX900" t="s">
        <v>1665</v>
      </c>
      <c r="HY900" t="s">
        <v>1668</v>
      </c>
      <c r="HZ900" t="s">
        <v>480</v>
      </c>
      <c r="IA900" t="s">
        <v>480</v>
      </c>
      <c r="IH900" t="s">
        <v>1679</v>
      </c>
      <c r="II900" s="75" t="s">
        <v>929</v>
      </c>
      <c r="IJ900" t="s">
        <v>542</v>
      </c>
      <c r="IK900" t="s">
        <v>1670</v>
      </c>
      <c r="IL900">
        <v>2016</v>
      </c>
      <c r="IM900" t="s">
        <v>1662</v>
      </c>
      <c r="IN900" t="s">
        <v>480</v>
      </c>
      <c r="JV900" t="s">
        <v>595</v>
      </c>
      <c r="JW900" s="140" t="s">
        <v>1052</v>
      </c>
      <c r="JX900" t="s">
        <v>480</v>
      </c>
      <c r="JY900" t="s">
        <v>480</v>
      </c>
      <c r="JZ900" t="s">
        <v>480</v>
      </c>
      <c r="KA900" t="s">
        <v>480</v>
      </c>
      <c r="KB900" t="s">
        <v>480</v>
      </c>
      <c r="KC900" t="s">
        <v>480</v>
      </c>
      <c r="KD900" t="s">
        <v>480</v>
      </c>
      <c r="KG900" t="s">
        <v>1671</v>
      </c>
      <c r="KH900">
        <v>2</v>
      </c>
      <c r="MY900" t="s">
        <v>1672</v>
      </c>
      <c r="MZ900">
        <v>36</v>
      </c>
      <c r="NA900" t="s">
        <v>1673</v>
      </c>
      <c r="NB900" t="s">
        <v>1674</v>
      </c>
      <c r="NJ900" t="s">
        <v>1675</v>
      </c>
      <c r="NK900" t="s">
        <v>1676</v>
      </c>
      <c r="NL900" t="s">
        <v>660</v>
      </c>
      <c r="NM900" t="s">
        <v>508</v>
      </c>
      <c r="NV900" t="s">
        <v>518</v>
      </c>
      <c r="NW900">
        <v>397</v>
      </c>
      <c r="NX900" t="s">
        <v>520</v>
      </c>
      <c r="NY900">
        <v>246</v>
      </c>
      <c r="OB900">
        <v>5</v>
      </c>
      <c r="OU900" t="s">
        <v>1276</v>
      </c>
      <c r="OW900">
        <v>2016</v>
      </c>
      <c r="OZ900" t="s">
        <v>1662</v>
      </c>
      <c r="PB900" t="s">
        <v>522</v>
      </c>
      <c r="PC900" s="50">
        <v>46147</v>
      </c>
      <c r="PD900" s="127"/>
    </row>
    <row r="901" spans="1:420" ht="15.75" thickBot="1">
      <c r="A901" t="s">
        <v>861</v>
      </c>
      <c r="B901" t="s">
        <v>1657</v>
      </c>
      <c r="C901" t="s">
        <v>1658</v>
      </c>
      <c r="D901" t="s">
        <v>472</v>
      </c>
      <c r="E901" t="s">
        <v>1659</v>
      </c>
      <c r="F901" t="s">
        <v>474</v>
      </c>
      <c r="G901" t="s">
        <v>475</v>
      </c>
      <c r="H901" t="s">
        <v>1079</v>
      </c>
      <c r="I901">
        <v>1.33496447137297</v>
      </c>
      <c r="J901">
        <v>34.421677432181603</v>
      </c>
      <c r="K901">
        <v>23000</v>
      </c>
      <c r="AV901" t="s">
        <v>1660</v>
      </c>
      <c r="AW901">
        <v>36</v>
      </c>
      <c r="AX901">
        <v>1.44E-2</v>
      </c>
      <c r="AY901">
        <v>1</v>
      </c>
      <c r="AZ901" t="s">
        <v>1661</v>
      </c>
      <c r="BA901">
        <v>2016</v>
      </c>
      <c r="BC901" t="s">
        <v>1662</v>
      </c>
      <c r="BD901" t="s">
        <v>1680</v>
      </c>
      <c r="BE901" t="s">
        <v>572</v>
      </c>
      <c r="BF901" t="s">
        <v>484</v>
      </c>
      <c r="BG901" t="s">
        <v>1664</v>
      </c>
      <c r="BH901" t="s">
        <v>1681</v>
      </c>
      <c r="BI901" t="s">
        <v>480</v>
      </c>
      <c r="BJ901" t="s">
        <v>480</v>
      </c>
      <c r="BK901" t="s">
        <v>537</v>
      </c>
      <c r="BL901" t="s">
        <v>1666</v>
      </c>
      <c r="BM901" t="s">
        <v>480</v>
      </c>
      <c r="BN901" t="s">
        <v>480</v>
      </c>
      <c r="BO901" t="s">
        <v>480</v>
      </c>
      <c r="HV901" t="s">
        <v>1682</v>
      </c>
      <c r="HW901" t="s">
        <v>1664</v>
      </c>
      <c r="HX901" t="s">
        <v>1681</v>
      </c>
      <c r="HY901" t="s">
        <v>1683</v>
      </c>
      <c r="HZ901" t="s">
        <v>480</v>
      </c>
      <c r="IA901" t="s">
        <v>480</v>
      </c>
      <c r="IH901" t="s">
        <v>1684</v>
      </c>
      <c r="II901" s="75" t="s">
        <v>929</v>
      </c>
      <c r="IJ901" t="s">
        <v>542</v>
      </c>
      <c r="IK901" t="s">
        <v>1670</v>
      </c>
      <c r="IL901">
        <v>2016</v>
      </c>
      <c r="IM901" t="s">
        <v>1662</v>
      </c>
      <c r="IN901" t="s">
        <v>480</v>
      </c>
      <c r="IY901" s="7"/>
      <c r="JV901" t="s">
        <v>595</v>
      </c>
      <c r="JW901" s="140" t="s">
        <v>1052</v>
      </c>
      <c r="JX901" t="s">
        <v>480</v>
      </c>
      <c r="JY901" t="s">
        <v>480</v>
      </c>
      <c r="JZ901" t="s">
        <v>480</v>
      </c>
      <c r="KA901" t="s">
        <v>480</v>
      </c>
      <c r="KB901" t="s">
        <v>480</v>
      </c>
      <c r="KC901" t="s">
        <v>480</v>
      </c>
      <c r="KD901" t="s">
        <v>480</v>
      </c>
      <c r="KG901" t="s">
        <v>1671</v>
      </c>
      <c r="KH901">
        <v>2</v>
      </c>
      <c r="MY901" t="s">
        <v>1672</v>
      </c>
      <c r="MZ901">
        <v>36</v>
      </c>
      <c r="NA901" t="s">
        <v>1673</v>
      </c>
      <c r="NB901" t="s">
        <v>1674</v>
      </c>
      <c r="NJ901" t="s">
        <v>1675</v>
      </c>
      <c r="NK901" t="s">
        <v>1676</v>
      </c>
      <c r="NL901" t="s">
        <v>660</v>
      </c>
      <c r="NM901" t="s">
        <v>508</v>
      </c>
      <c r="NV901" t="s">
        <v>518</v>
      </c>
      <c r="NW901">
        <v>134</v>
      </c>
      <c r="NX901" t="s">
        <v>520</v>
      </c>
      <c r="NY901">
        <v>32</v>
      </c>
      <c r="OB901">
        <v>6</v>
      </c>
      <c r="OU901" t="s">
        <v>1276</v>
      </c>
      <c r="OW901">
        <v>2016</v>
      </c>
      <c r="OZ901" t="s">
        <v>1662</v>
      </c>
      <c r="PB901" t="s">
        <v>522</v>
      </c>
      <c r="PC901" s="50">
        <v>46147</v>
      </c>
      <c r="PD901" s="127"/>
    </row>
    <row r="902" spans="1:420" ht="15.75" thickBot="1">
      <c r="A902" t="s">
        <v>861</v>
      </c>
      <c r="B902" t="s">
        <v>1657</v>
      </c>
      <c r="C902" t="s">
        <v>1658</v>
      </c>
      <c r="D902" t="s">
        <v>472</v>
      </c>
      <c r="E902" t="s">
        <v>1659</v>
      </c>
      <c r="F902" t="s">
        <v>474</v>
      </c>
      <c r="G902" t="s">
        <v>475</v>
      </c>
      <c r="H902" t="s">
        <v>1079</v>
      </c>
      <c r="I902">
        <v>1.33496447137297</v>
      </c>
      <c r="J902">
        <v>34.421677432181603</v>
      </c>
      <c r="K902">
        <v>23000</v>
      </c>
      <c r="AV902" t="s">
        <v>1660</v>
      </c>
      <c r="AW902">
        <v>36</v>
      </c>
      <c r="AX902">
        <v>1.44E-2</v>
      </c>
      <c r="AY902">
        <v>1</v>
      </c>
      <c r="AZ902" t="s">
        <v>1661</v>
      </c>
      <c r="BA902">
        <v>2016</v>
      </c>
      <c r="BC902" t="s">
        <v>1662</v>
      </c>
      <c r="BD902" t="s">
        <v>1685</v>
      </c>
      <c r="BE902" t="s">
        <v>553</v>
      </c>
      <c r="BF902" t="s">
        <v>484</v>
      </c>
      <c r="BG902" t="s">
        <v>1664</v>
      </c>
      <c r="BH902" t="s">
        <v>1681</v>
      </c>
      <c r="BI902" t="s">
        <v>480</v>
      </c>
      <c r="BJ902" t="s">
        <v>480</v>
      </c>
      <c r="BK902" t="s">
        <v>537</v>
      </c>
      <c r="BL902" t="s">
        <v>1666</v>
      </c>
      <c r="BM902" t="s">
        <v>480</v>
      </c>
      <c r="BN902" t="s">
        <v>480</v>
      </c>
      <c r="BO902" t="s">
        <v>480</v>
      </c>
      <c r="HV902" t="s">
        <v>1686</v>
      </c>
      <c r="HW902" t="s">
        <v>1664</v>
      </c>
      <c r="HX902" t="s">
        <v>1681</v>
      </c>
      <c r="HY902" t="s">
        <v>1683</v>
      </c>
      <c r="HZ902" t="s">
        <v>480</v>
      </c>
      <c r="IA902" t="s">
        <v>480</v>
      </c>
      <c r="IH902" t="s">
        <v>1687</v>
      </c>
      <c r="II902" s="75" t="s">
        <v>929</v>
      </c>
      <c r="IJ902" t="s">
        <v>542</v>
      </c>
      <c r="IK902" t="s">
        <v>1670</v>
      </c>
      <c r="IL902">
        <v>2016</v>
      </c>
      <c r="IM902" t="s">
        <v>1662</v>
      </c>
      <c r="IN902" t="s">
        <v>480</v>
      </c>
      <c r="JV902" t="s">
        <v>595</v>
      </c>
      <c r="JW902" s="140" t="s">
        <v>1052</v>
      </c>
      <c r="JX902" t="s">
        <v>480</v>
      </c>
      <c r="JY902" t="s">
        <v>480</v>
      </c>
      <c r="JZ902" t="s">
        <v>480</v>
      </c>
      <c r="KA902" t="s">
        <v>480</v>
      </c>
      <c r="KB902" t="s">
        <v>480</v>
      </c>
      <c r="KC902" t="s">
        <v>480</v>
      </c>
      <c r="KD902" t="s">
        <v>480</v>
      </c>
      <c r="KG902" t="s">
        <v>1671</v>
      </c>
      <c r="KH902">
        <v>2</v>
      </c>
      <c r="MY902" t="s">
        <v>1672</v>
      </c>
      <c r="MZ902">
        <v>36</v>
      </c>
      <c r="NA902" t="s">
        <v>1673</v>
      </c>
      <c r="NB902" t="s">
        <v>1674</v>
      </c>
      <c r="NJ902" t="s">
        <v>1675</v>
      </c>
      <c r="NK902" t="s">
        <v>1676</v>
      </c>
      <c r="NL902" t="s">
        <v>660</v>
      </c>
      <c r="NM902" t="s">
        <v>508</v>
      </c>
      <c r="NV902" t="s">
        <v>518</v>
      </c>
      <c r="NW902">
        <v>255</v>
      </c>
      <c r="NX902" t="s">
        <v>520</v>
      </c>
      <c r="NY902">
        <v>101</v>
      </c>
      <c r="OB902">
        <v>6</v>
      </c>
      <c r="OU902" t="s">
        <v>1276</v>
      </c>
      <c r="OW902">
        <v>2016</v>
      </c>
      <c r="OZ902" t="s">
        <v>1662</v>
      </c>
      <c r="PB902" t="s">
        <v>522</v>
      </c>
      <c r="PC902" s="50">
        <v>46147</v>
      </c>
      <c r="PD902" s="127"/>
    </row>
    <row r="903" spans="1:420" ht="15.75" thickBot="1">
      <c r="A903" t="s">
        <v>861</v>
      </c>
      <c r="B903" t="s">
        <v>1657</v>
      </c>
      <c r="C903" t="s">
        <v>1658</v>
      </c>
      <c r="D903" t="s">
        <v>472</v>
      </c>
      <c r="E903" t="s">
        <v>1659</v>
      </c>
      <c r="F903" t="s">
        <v>474</v>
      </c>
      <c r="G903" t="s">
        <v>475</v>
      </c>
      <c r="H903" t="s">
        <v>1079</v>
      </c>
      <c r="I903">
        <v>1.33496447137297</v>
      </c>
      <c r="J903">
        <v>34.421677432181603</v>
      </c>
      <c r="K903">
        <v>23000</v>
      </c>
      <c r="AV903" t="s">
        <v>1660</v>
      </c>
      <c r="AW903">
        <v>36</v>
      </c>
      <c r="AX903">
        <v>1.44E-2</v>
      </c>
      <c r="AY903">
        <v>1</v>
      </c>
      <c r="AZ903" t="s">
        <v>1661</v>
      </c>
      <c r="BA903">
        <v>2016</v>
      </c>
      <c r="BC903" t="s">
        <v>1662</v>
      </c>
      <c r="BD903" t="s">
        <v>1688</v>
      </c>
      <c r="BE903" t="s">
        <v>524</v>
      </c>
      <c r="BF903" t="s">
        <v>484</v>
      </c>
      <c r="BG903" t="s">
        <v>1664</v>
      </c>
      <c r="BH903" t="s">
        <v>1665</v>
      </c>
      <c r="BI903" t="s">
        <v>480</v>
      </c>
      <c r="BJ903" t="s">
        <v>480</v>
      </c>
      <c r="HV903" t="s">
        <v>1689</v>
      </c>
      <c r="HW903" t="s">
        <v>1664</v>
      </c>
      <c r="HX903" t="s">
        <v>1665</v>
      </c>
      <c r="HY903" t="s">
        <v>1668</v>
      </c>
      <c r="HZ903" t="s">
        <v>480</v>
      </c>
      <c r="IA903" t="s">
        <v>480</v>
      </c>
      <c r="IH903" t="s">
        <v>1688</v>
      </c>
      <c r="II903" t="s">
        <v>492</v>
      </c>
      <c r="JV903" t="s">
        <v>595</v>
      </c>
      <c r="JW903" s="140" t="s">
        <v>1052</v>
      </c>
      <c r="JX903" t="s">
        <v>480</v>
      </c>
      <c r="JY903" t="s">
        <v>480</v>
      </c>
      <c r="JZ903" t="s">
        <v>480</v>
      </c>
      <c r="KA903" t="s">
        <v>480</v>
      </c>
      <c r="KB903" t="s">
        <v>480</v>
      </c>
      <c r="KC903" t="s">
        <v>480</v>
      </c>
      <c r="KD903" t="s">
        <v>480</v>
      </c>
      <c r="KG903" t="s">
        <v>1671</v>
      </c>
      <c r="KH903">
        <v>2</v>
      </c>
      <c r="MY903" t="s">
        <v>1672</v>
      </c>
      <c r="MZ903">
        <v>36</v>
      </c>
      <c r="NA903" t="s">
        <v>1673</v>
      </c>
      <c r="NB903" t="s">
        <v>1674</v>
      </c>
      <c r="NJ903" t="s">
        <v>1675</v>
      </c>
      <c r="NK903" t="s">
        <v>1676</v>
      </c>
      <c r="NL903" t="s">
        <v>660</v>
      </c>
      <c r="NM903" t="s">
        <v>508</v>
      </c>
      <c r="NU903" t="s">
        <v>657</v>
      </c>
      <c r="NV903" t="s">
        <v>518</v>
      </c>
      <c r="NW903">
        <v>165</v>
      </c>
      <c r="NX903" t="s">
        <v>520</v>
      </c>
      <c r="NY903">
        <v>8</v>
      </c>
      <c r="OB903">
        <v>8</v>
      </c>
      <c r="OU903" t="s">
        <v>1276</v>
      </c>
      <c r="OW903">
        <v>2016</v>
      </c>
      <c r="OZ903" t="s">
        <v>1662</v>
      </c>
      <c r="PB903" t="s">
        <v>522</v>
      </c>
      <c r="PC903" s="50">
        <v>46147</v>
      </c>
      <c r="PD903" s="127"/>
    </row>
    <row r="904" spans="1:420" ht="15.75" thickBot="1">
      <c r="A904" t="s">
        <v>861</v>
      </c>
      <c r="B904" t="s">
        <v>1657</v>
      </c>
      <c r="C904" t="s">
        <v>1658</v>
      </c>
      <c r="D904" t="s">
        <v>472</v>
      </c>
      <c r="E904" t="s">
        <v>1659</v>
      </c>
      <c r="F904" t="s">
        <v>474</v>
      </c>
      <c r="G904" t="s">
        <v>475</v>
      </c>
      <c r="H904" t="s">
        <v>1079</v>
      </c>
      <c r="I904">
        <v>1.33496447137297</v>
      </c>
      <c r="J904">
        <v>34.421677432181603</v>
      </c>
      <c r="K904">
        <v>23000</v>
      </c>
      <c r="AV904" t="s">
        <v>1660</v>
      </c>
      <c r="AW904">
        <v>36</v>
      </c>
      <c r="AX904">
        <v>1.44E-2</v>
      </c>
      <c r="AY904">
        <v>1</v>
      </c>
      <c r="AZ904" t="s">
        <v>1661</v>
      </c>
      <c r="BA904">
        <v>2016</v>
      </c>
      <c r="BC904" t="s">
        <v>1662</v>
      </c>
      <c r="BD904" t="s">
        <v>1690</v>
      </c>
      <c r="BE904" t="s">
        <v>483</v>
      </c>
      <c r="BF904" t="s">
        <v>484</v>
      </c>
      <c r="BG904" t="s">
        <v>1664</v>
      </c>
      <c r="BH904" t="s">
        <v>1681</v>
      </c>
      <c r="BI904" t="s">
        <v>480</v>
      </c>
      <c r="BJ904" t="s">
        <v>480</v>
      </c>
      <c r="HV904" t="s">
        <v>1691</v>
      </c>
      <c r="HW904" t="s">
        <v>1664</v>
      </c>
      <c r="HX904" t="s">
        <v>1681</v>
      </c>
      <c r="HY904" t="s">
        <v>1683</v>
      </c>
      <c r="HZ904" t="s">
        <v>480</v>
      </c>
      <c r="IA904" t="s">
        <v>480</v>
      </c>
      <c r="IH904" t="s">
        <v>1690</v>
      </c>
      <c r="II904" t="s">
        <v>492</v>
      </c>
      <c r="JV904" t="s">
        <v>595</v>
      </c>
      <c r="JW904" s="140" t="s">
        <v>1052</v>
      </c>
      <c r="JX904" t="s">
        <v>480</v>
      </c>
      <c r="JY904" t="s">
        <v>480</v>
      </c>
      <c r="JZ904" t="s">
        <v>480</v>
      </c>
      <c r="KA904" t="s">
        <v>480</v>
      </c>
      <c r="KB904" t="s">
        <v>480</v>
      </c>
      <c r="KC904" t="s">
        <v>480</v>
      </c>
      <c r="KD904" t="s">
        <v>480</v>
      </c>
      <c r="KG904" t="s">
        <v>1671</v>
      </c>
      <c r="KH904">
        <v>2</v>
      </c>
      <c r="MY904" t="s">
        <v>1672</v>
      </c>
      <c r="MZ904">
        <v>36</v>
      </c>
      <c r="NA904" t="s">
        <v>1673</v>
      </c>
      <c r="NB904" t="s">
        <v>1674</v>
      </c>
      <c r="NJ904" t="s">
        <v>1675</v>
      </c>
      <c r="NK904" t="s">
        <v>1676</v>
      </c>
      <c r="NL904" t="s">
        <v>660</v>
      </c>
      <c r="NM904" t="s">
        <v>508</v>
      </c>
      <c r="NU904" t="s">
        <v>1420</v>
      </c>
      <c r="NV904" t="s">
        <v>518</v>
      </c>
      <c r="NW904">
        <v>179</v>
      </c>
      <c r="NX904" t="s">
        <v>520</v>
      </c>
      <c r="NY904">
        <v>7</v>
      </c>
      <c r="OB904">
        <v>7</v>
      </c>
      <c r="OU904" t="s">
        <v>1276</v>
      </c>
      <c r="OW904">
        <v>2016</v>
      </c>
      <c r="OZ904" t="s">
        <v>1662</v>
      </c>
      <c r="PB904" t="s">
        <v>522</v>
      </c>
      <c r="PC904" s="50">
        <v>46147</v>
      </c>
      <c r="PD904" s="127"/>
    </row>
    <row r="905" spans="1:420" ht="15.75" thickBot="1">
      <c r="A905" t="s">
        <v>861</v>
      </c>
      <c r="B905" t="s">
        <v>1657</v>
      </c>
      <c r="C905" t="s">
        <v>1658</v>
      </c>
      <c r="D905" t="s">
        <v>472</v>
      </c>
      <c r="E905" t="s">
        <v>1692</v>
      </c>
      <c r="F905" t="s">
        <v>474</v>
      </c>
      <c r="G905" t="s">
        <v>475</v>
      </c>
      <c r="H905" t="s">
        <v>1079</v>
      </c>
      <c r="I905" s="5" t="s">
        <v>1693</v>
      </c>
      <c r="J905">
        <v>29.788161252741698</v>
      </c>
      <c r="K905">
        <v>15000</v>
      </c>
      <c r="AV905" t="s">
        <v>1660</v>
      </c>
      <c r="AW905">
        <v>36</v>
      </c>
      <c r="AX905">
        <v>1.44E-2</v>
      </c>
      <c r="AY905">
        <v>1</v>
      </c>
      <c r="AZ905" t="s">
        <v>1694</v>
      </c>
      <c r="BA905">
        <v>2016</v>
      </c>
      <c r="BC905" t="s">
        <v>1662</v>
      </c>
      <c r="BD905" t="s">
        <v>1663</v>
      </c>
      <c r="BE905" t="s">
        <v>536</v>
      </c>
      <c r="BF905" t="s">
        <v>484</v>
      </c>
      <c r="BG905" t="s">
        <v>1664</v>
      </c>
      <c r="BH905" t="s">
        <v>1665</v>
      </c>
      <c r="BI905" t="s">
        <v>480</v>
      </c>
      <c r="BJ905" t="s">
        <v>480</v>
      </c>
      <c r="BK905" t="s">
        <v>537</v>
      </c>
      <c r="BL905" t="s">
        <v>1666</v>
      </c>
      <c r="BM905" t="s">
        <v>480</v>
      </c>
      <c r="BN905" t="s">
        <v>480</v>
      </c>
      <c r="BO905" t="s">
        <v>480</v>
      </c>
      <c r="HV905" t="s">
        <v>1667</v>
      </c>
      <c r="HW905" t="s">
        <v>1664</v>
      </c>
      <c r="HX905" t="s">
        <v>1665</v>
      </c>
      <c r="HY905" t="s">
        <v>1668</v>
      </c>
      <c r="HZ905" t="s">
        <v>480</v>
      </c>
      <c r="IA905" t="s">
        <v>480</v>
      </c>
      <c r="IH905" t="s">
        <v>1669</v>
      </c>
      <c r="II905" s="75" t="s">
        <v>929</v>
      </c>
      <c r="IJ905" t="s">
        <v>542</v>
      </c>
      <c r="IK905" t="s">
        <v>1670</v>
      </c>
      <c r="IL905">
        <v>2016</v>
      </c>
      <c r="IM905" t="s">
        <v>1662</v>
      </c>
      <c r="IN905" t="s">
        <v>480</v>
      </c>
      <c r="IY905" s="7"/>
      <c r="JV905" t="s">
        <v>595</v>
      </c>
      <c r="JW905" s="140" t="s">
        <v>1052</v>
      </c>
      <c r="JX905" t="s">
        <v>480</v>
      </c>
      <c r="JY905" t="s">
        <v>480</v>
      </c>
      <c r="JZ905" t="s">
        <v>480</v>
      </c>
      <c r="KA905" t="s">
        <v>480</v>
      </c>
      <c r="KB905" t="s">
        <v>480</v>
      </c>
      <c r="KC905" t="s">
        <v>480</v>
      </c>
      <c r="KD905" t="s">
        <v>480</v>
      </c>
      <c r="KG905" t="s">
        <v>1671</v>
      </c>
      <c r="KH905">
        <v>2</v>
      </c>
      <c r="MY905" t="s">
        <v>1672</v>
      </c>
      <c r="MZ905">
        <v>36</v>
      </c>
      <c r="NA905" t="s">
        <v>1673</v>
      </c>
      <c r="NB905" t="s">
        <v>1674</v>
      </c>
      <c r="NJ905" t="s">
        <v>1675</v>
      </c>
      <c r="NK905" t="s">
        <v>1676</v>
      </c>
      <c r="NL905" t="s">
        <v>660</v>
      </c>
      <c r="NM905" t="s">
        <v>508</v>
      </c>
      <c r="NV905" t="s">
        <v>518</v>
      </c>
      <c r="NW905">
        <v>551</v>
      </c>
      <c r="NX905" t="s">
        <v>520</v>
      </c>
      <c r="NY905">
        <v>98</v>
      </c>
      <c r="OB905">
        <v>5</v>
      </c>
      <c r="OU905" t="s">
        <v>1276</v>
      </c>
      <c r="OW905">
        <v>2016</v>
      </c>
      <c r="OZ905" t="s">
        <v>1662</v>
      </c>
      <c r="PB905" t="s">
        <v>522</v>
      </c>
      <c r="PC905" s="50">
        <v>46147</v>
      </c>
      <c r="PD905" s="127"/>
    </row>
    <row r="906" spans="1:420" ht="15.75" thickBot="1">
      <c r="A906" t="s">
        <v>861</v>
      </c>
      <c r="B906" t="s">
        <v>1657</v>
      </c>
      <c r="C906" t="s">
        <v>1658</v>
      </c>
      <c r="D906" t="s">
        <v>472</v>
      </c>
      <c r="E906" t="s">
        <v>1692</v>
      </c>
      <c r="F906" t="s">
        <v>474</v>
      </c>
      <c r="G906" t="s">
        <v>475</v>
      </c>
      <c r="H906" t="s">
        <v>1079</v>
      </c>
      <c r="I906" s="5" t="s">
        <v>1693</v>
      </c>
      <c r="J906">
        <v>29.788161252741698</v>
      </c>
      <c r="K906">
        <v>15000</v>
      </c>
      <c r="AV906" t="s">
        <v>1660</v>
      </c>
      <c r="AW906">
        <v>36</v>
      </c>
      <c r="AX906">
        <v>1.44E-2</v>
      </c>
      <c r="AY906">
        <v>1</v>
      </c>
      <c r="AZ906" t="s">
        <v>1694</v>
      </c>
      <c r="BA906">
        <v>2016</v>
      </c>
      <c r="BC906" t="s">
        <v>1662</v>
      </c>
      <c r="BD906" t="s">
        <v>1677</v>
      </c>
      <c r="BE906" t="s">
        <v>566</v>
      </c>
      <c r="BF906" t="s">
        <v>484</v>
      </c>
      <c r="BG906" t="s">
        <v>1664</v>
      </c>
      <c r="BH906" t="s">
        <v>1665</v>
      </c>
      <c r="BI906" t="s">
        <v>480</v>
      </c>
      <c r="BJ906" t="s">
        <v>480</v>
      </c>
      <c r="BK906" t="s">
        <v>537</v>
      </c>
      <c r="BL906" t="s">
        <v>1666</v>
      </c>
      <c r="BM906" t="s">
        <v>480</v>
      </c>
      <c r="BN906" t="s">
        <v>480</v>
      </c>
      <c r="BO906" t="s">
        <v>480</v>
      </c>
      <c r="HV906" t="s">
        <v>1678</v>
      </c>
      <c r="HW906" t="s">
        <v>1664</v>
      </c>
      <c r="HX906" t="s">
        <v>1665</v>
      </c>
      <c r="HY906" t="s">
        <v>1668</v>
      </c>
      <c r="HZ906" t="s">
        <v>480</v>
      </c>
      <c r="IA906" t="s">
        <v>480</v>
      </c>
      <c r="IH906" t="s">
        <v>1679</v>
      </c>
      <c r="II906" s="75" t="s">
        <v>929</v>
      </c>
      <c r="IJ906" t="s">
        <v>542</v>
      </c>
      <c r="IK906" t="s">
        <v>1670</v>
      </c>
      <c r="IL906">
        <v>2016</v>
      </c>
      <c r="IM906" t="s">
        <v>1662</v>
      </c>
      <c r="IN906" t="s">
        <v>480</v>
      </c>
      <c r="JV906" t="s">
        <v>595</v>
      </c>
      <c r="JW906" s="140" t="s">
        <v>1052</v>
      </c>
      <c r="JX906" t="s">
        <v>480</v>
      </c>
      <c r="JY906" t="s">
        <v>480</v>
      </c>
      <c r="JZ906" t="s">
        <v>480</v>
      </c>
      <c r="KA906" t="s">
        <v>480</v>
      </c>
      <c r="KB906" t="s">
        <v>480</v>
      </c>
      <c r="KC906" t="s">
        <v>480</v>
      </c>
      <c r="KD906" t="s">
        <v>480</v>
      </c>
      <c r="KG906" t="s">
        <v>1671</v>
      </c>
      <c r="KH906">
        <v>2</v>
      </c>
      <c r="MY906" t="s">
        <v>1672</v>
      </c>
      <c r="MZ906">
        <v>36</v>
      </c>
      <c r="NA906" t="s">
        <v>1673</v>
      </c>
      <c r="NB906" t="s">
        <v>1674</v>
      </c>
      <c r="NJ906" t="s">
        <v>1675</v>
      </c>
      <c r="NK906" t="s">
        <v>1676</v>
      </c>
      <c r="NL906" t="s">
        <v>660</v>
      </c>
      <c r="NM906" t="s">
        <v>508</v>
      </c>
      <c r="NV906" t="s">
        <v>518</v>
      </c>
      <c r="NW906">
        <v>371</v>
      </c>
      <c r="NX906" t="s">
        <v>520</v>
      </c>
      <c r="NY906">
        <v>71</v>
      </c>
      <c r="OB906">
        <v>5</v>
      </c>
      <c r="OU906" t="s">
        <v>1276</v>
      </c>
      <c r="OW906">
        <v>2016</v>
      </c>
      <c r="OZ906" t="s">
        <v>1662</v>
      </c>
      <c r="PB906" t="s">
        <v>522</v>
      </c>
      <c r="PC906" s="50">
        <v>46147</v>
      </c>
      <c r="PD906" s="127"/>
    </row>
    <row r="907" spans="1:420" ht="15.75" thickBot="1">
      <c r="A907" t="s">
        <v>861</v>
      </c>
      <c r="B907" t="s">
        <v>1657</v>
      </c>
      <c r="C907" t="s">
        <v>1658</v>
      </c>
      <c r="D907" t="s">
        <v>472</v>
      </c>
      <c r="E907" t="s">
        <v>1692</v>
      </c>
      <c r="F907" t="s">
        <v>474</v>
      </c>
      <c r="G907" t="s">
        <v>475</v>
      </c>
      <c r="H907" t="s">
        <v>1079</v>
      </c>
      <c r="I907" s="5" t="s">
        <v>1693</v>
      </c>
      <c r="J907">
        <v>29.788161252741698</v>
      </c>
      <c r="K907">
        <v>15000</v>
      </c>
      <c r="AV907" t="s">
        <v>1660</v>
      </c>
      <c r="AW907">
        <v>36</v>
      </c>
      <c r="AX907">
        <v>1.44E-2</v>
      </c>
      <c r="AY907">
        <v>1</v>
      </c>
      <c r="AZ907" t="s">
        <v>1694</v>
      </c>
      <c r="BA907">
        <v>2016</v>
      </c>
      <c r="BC907" t="s">
        <v>1662</v>
      </c>
      <c r="BD907" t="s">
        <v>1680</v>
      </c>
      <c r="BE907" t="s">
        <v>572</v>
      </c>
      <c r="BF907" t="s">
        <v>484</v>
      </c>
      <c r="BG907" t="s">
        <v>1664</v>
      </c>
      <c r="BH907" t="s">
        <v>1681</v>
      </c>
      <c r="BI907" t="s">
        <v>480</v>
      </c>
      <c r="BJ907" t="s">
        <v>480</v>
      </c>
      <c r="BK907" t="s">
        <v>537</v>
      </c>
      <c r="BL907" t="s">
        <v>1666</v>
      </c>
      <c r="BM907" t="s">
        <v>480</v>
      </c>
      <c r="BN907" t="s">
        <v>480</v>
      </c>
      <c r="BO907" t="s">
        <v>480</v>
      </c>
      <c r="HV907" t="s">
        <v>1682</v>
      </c>
      <c r="HW907" t="s">
        <v>1664</v>
      </c>
      <c r="HX907" t="s">
        <v>1681</v>
      </c>
      <c r="HY907" t="s">
        <v>1683</v>
      </c>
      <c r="HZ907" t="s">
        <v>480</v>
      </c>
      <c r="IA907" t="s">
        <v>480</v>
      </c>
      <c r="IH907" t="s">
        <v>1684</v>
      </c>
      <c r="II907" s="75" t="s">
        <v>929</v>
      </c>
      <c r="IJ907" t="s">
        <v>542</v>
      </c>
      <c r="IK907" t="s">
        <v>1670</v>
      </c>
      <c r="IL907">
        <v>2016</v>
      </c>
      <c r="IM907" t="s">
        <v>1662</v>
      </c>
      <c r="IN907" t="s">
        <v>480</v>
      </c>
      <c r="IY907" s="7"/>
      <c r="JV907" t="s">
        <v>595</v>
      </c>
      <c r="JW907" s="140" t="s">
        <v>1052</v>
      </c>
      <c r="JX907" t="s">
        <v>480</v>
      </c>
      <c r="JY907" t="s">
        <v>480</v>
      </c>
      <c r="JZ907" t="s">
        <v>480</v>
      </c>
      <c r="KA907" t="s">
        <v>480</v>
      </c>
      <c r="KB907" t="s">
        <v>480</v>
      </c>
      <c r="KC907" t="s">
        <v>480</v>
      </c>
      <c r="KD907" t="s">
        <v>480</v>
      </c>
      <c r="KG907" t="s">
        <v>1671</v>
      </c>
      <c r="KH907">
        <v>2</v>
      </c>
      <c r="MY907" t="s">
        <v>1672</v>
      </c>
      <c r="MZ907">
        <v>36</v>
      </c>
      <c r="NA907" t="s">
        <v>1673</v>
      </c>
      <c r="NB907" t="s">
        <v>1674</v>
      </c>
      <c r="NJ907" t="s">
        <v>1675</v>
      </c>
      <c r="NK907" t="s">
        <v>1676</v>
      </c>
      <c r="NL907" t="s">
        <v>660</v>
      </c>
      <c r="NM907" t="s">
        <v>508</v>
      </c>
      <c r="NV907" t="s">
        <v>518</v>
      </c>
      <c r="NW907">
        <v>1051</v>
      </c>
      <c r="NX907" t="s">
        <v>520</v>
      </c>
      <c r="NY907">
        <v>225</v>
      </c>
      <c r="OB907">
        <v>5</v>
      </c>
      <c r="OU907" t="s">
        <v>1276</v>
      </c>
      <c r="OW907">
        <v>2016</v>
      </c>
      <c r="OZ907" t="s">
        <v>1662</v>
      </c>
      <c r="PB907" t="s">
        <v>522</v>
      </c>
      <c r="PC907" s="50">
        <v>46147</v>
      </c>
      <c r="PD907" s="127"/>
    </row>
    <row r="908" spans="1:420" ht="15.75" thickBot="1">
      <c r="A908" t="s">
        <v>861</v>
      </c>
      <c r="B908" t="s">
        <v>1657</v>
      </c>
      <c r="C908" t="s">
        <v>1658</v>
      </c>
      <c r="D908" t="s">
        <v>472</v>
      </c>
      <c r="E908" t="s">
        <v>1692</v>
      </c>
      <c r="F908" t="s">
        <v>474</v>
      </c>
      <c r="G908" t="s">
        <v>475</v>
      </c>
      <c r="H908" t="s">
        <v>1079</v>
      </c>
      <c r="I908" s="5" t="s">
        <v>1693</v>
      </c>
      <c r="J908">
        <v>29.788161252741698</v>
      </c>
      <c r="K908">
        <v>15000</v>
      </c>
      <c r="AV908" t="s">
        <v>1660</v>
      </c>
      <c r="AW908">
        <v>36</v>
      </c>
      <c r="AX908">
        <v>1.44E-2</v>
      </c>
      <c r="AY908">
        <v>1</v>
      </c>
      <c r="AZ908" t="s">
        <v>1694</v>
      </c>
      <c r="BA908">
        <v>2016</v>
      </c>
      <c r="BC908" t="s">
        <v>1662</v>
      </c>
      <c r="BD908" t="s">
        <v>1685</v>
      </c>
      <c r="BE908" t="s">
        <v>553</v>
      </c>
      <c r="BF908" t="s">
        <v>484</v>
      </c>
      <c r="BG908" t="s">
        <v>1664</v>
      </c>
      <c r="BH908" t="s">
        <v>1681</v>
      </c>
      <c r="BI908" t="s">
        <v>480</v>
      </c>
      <c r="BJ908" t="s">
        <v>480</v>
      </c>
      <c r="BK908" t="s">
        <v>537</v>
      </c>
      <c r="BL908" t="s">
        <v>1666</v>
      </c>
      <c r="BM908" t="s">
        <v>480</v>
      </c>
      <c r="BN908" t="s">
        <v>480</v>
      </c>
      <c r="BO908" t="s">
        <v>480</v>
      </c>
      <c r="HV908" t="s">
        <v>1686</v>
      </c>
      <c r="HW908" t="s">
        <v>1664</v>
      </c>
      <c r="HX908" t="s">
        <v>1681</v>
      </c>
      <c r="HY908" t="s">
        <v>1683</v>
      </c>
      <c r="HZ908" t="s">
        <v>480</v>
      </c>
      <c r="IA908" t="s">
        <v>480</v>
      </c>
      <c r="IH908" t="s">
        <v>1687</v>
      </c>
      <c r="II908" s="75" t="s">
        <v>929</v>
      </c>
      <c r="IJ908" t="s">
        <v>542</v>
      </c>
      <c r="IK908" t="s">
        <v>1670</v>
      </c>
      <c r="IL908">
        <v>2016</v>
      </c>
      <c r="IM908" t="s">
        <v>1662</v>
      </c>
      <c r="IN908" t="s">
        <v>480</v>
      </c>
      <c r="JV908" t="s">
        <v>595</v>
      </c>
      <c r="JW908" s="140" t="s">
        <v>1052</v>
      </c>
      <c r="JX908" t="s">
        <v>480</v>
      </c>
      <c r="JY908" t="s">
        <v>480</v>
      </c>
      <c r="JZ908" t="s">
        <v>480</v>
      </c>
      <c r="KA908" t="s">
        <v>480</v>
      </c>
      <c r="KB908" t="s">
        <v>480</v>
      </c>
      <c r="KC908" t="s">
        <v>480</v>
      </c>
      <c r="KD908" t="s">
        <v>480</v>
      </c>
      <c r="KG908" t="s">
        <v>1671</v>
      </c>
      <c r="KH908">
        <v>2</v>
      </c>
      <c r="MY908" t="s">
        <v>1672</v>
      </c>
      <c r="MZ908">
        <v>36</v>
      </c>
      <c r="NA908" t="s">
        <v>1673</v>
      </c>
      <c r="NB908" t="s">
        <v>1674</v>
      </c>
      <c r="NJ908" t="s">
        <v>1675</v>
      </c>
      <c r="NK908" t="s">
        <v>1676</v>
      </c>
      <c r="NL908" t="s">
        <v>660</v>
      </c>
      <c r="NM908" t="s">
        <v>508</v>
      </c>
      <c r="NV908" t="s">
        <v>518</v>
      </c>
      <c r="NW908">
        <v>783</v>
      </c>
      <c r="NX908" t="s">
        <v>520</v>
      </c>
      <c r="NY908">
        <v>172</v>
      </c>
      <c r="OB908">
        <v>5</v>
      </c>
      <c r="OU908" t="s">
        <v>1276</v>
      </c>
      <c r="OW908">
        <v>2016</v>
      </c>
      <c r="OZ908" t="s">
        <v>1662</v>
      </c>
      <c r="PB908" t="s">
        <v>522</v>
      </c>
      <c r="PC908" s="50">
        <v>46147</v>
      </c>
      <c r="PD908" s="127"/>
    </row>
    <row r="909" spans="1:420" ht="15.75" thickBot="1">
      <c r="A909" t="s">
        <v>861</v>
      </c>
      <c r="B909" t="s">
        <v>1657</v>
      </c>
      <c r="C909" t="s">
        <v>1658</v>
      </c>
      <c r="D909" t="s">
        <v>472</v>
      </c>
      <c r="E909" t="s">
        <v>1692</v>
      </c>
      <c r="F909" t="s">
        <v>474</v>
      </c>
      <c r="G909" t="s">
        <v>475</v>
      </c>
      <c r="H909" t="s">
        <v>1079</v>
      </c>
      <c r="I909" s="5" t="s">
        <v>1693</v>
      </c>
      <c r="J909">
        <v>29.788161252741698</v>
      </c>
      <c r="K909">
        <v>15000</v>
      </c>
      <c r="AV909" t="s">
        <v>1660</v>
      </c>
      <c r="AW909">
        <v>36</v>
      </c>
      <c r="AX909">
        <v>1.44E-2</v>
      </c>
      <c r="AY909">
        <v>1</v>
      </c>
      <c r="AZ909" t="s">
        <v>1694</v>
      </c>
      <c r="BA909">
        <v>2016</v>
      </c>
      <c r="BC909" t="s">
        <v>1662</v>
      </c>
      <c r="BD909" t="s">
        <v>1688</v>
      </c>
      <c r="BE909" t="s">
        <v>524</v>
      </c>
      <c r="BF909" t="s">
        <v>484</v>
      </c>
      <c r="BG909" t="s">
        <v>1664</v>
      </c>
      <c r="BH909" t="s">
        <v>1665</v>
      </c>
      <c r="BI909" t="s">
        <v>480</v>
      </c>
      <c r="BJ909" t="s">
        <v>480</v>
      </c>
      <c r="HV909" t="s">
        <v>1689</v>
      </c>
      <c r="HW909" t="s">
        <v>1664</v>
      </c>
      <c r="HX909" t="s">
        <v>1665</v>
      </c>
      <c r="HY909" t="s">
        <v>1668</v>
      </c>
      <c r="HZ909" t="s">
        <v>480</v>
      </c>
      <c r="IA909" t="s">
        <v>480</v>
      </c>
      <c r="IH909" t="s">
        <v>1688</v>
      </c>
      <c r="II909" t="s">
        <v>492</v>
      </c>
      <c r="JV909" t="s">
        <v>595</v>
      </c>
      <c r="JW909" s="140" t="s">
        <v>1052</v>
      </c>
      <c r="JX909" t="s">
        <v>480</v>
      </c>
      <c r="JY909" t="s">
        <v>480</v>
      </c>
      <c r="JZ909" t="s">
        <v>480</v>
      </c>
      <c r="KA909" t="s">
        <v>480</v>
      </c>
      <c r="KB909" t="s">
        <v>480</v>
      </c>
      <c r="KC909" t="s">
        <v>480</v>
      </c>
      <c r="KD909" t="s">
        <v>480</v>
      </c>
      <c r="KG909" t="s">
        <v>1671</v>
      </c>
      <c r="KH909">
        <v>2</v>
      </c>
      <c r="MY909" t="s">
        <v>1672</v>
      </c>
      <c r="MZ909">
        <v>36</v>
      </c>
      <c r="NA909" t="s">
        <v>1673</v>
      </c>
      <c r="NB909" t="s">
        <v>1674</v>
      </c>
      <c r="NJ909" t="s">
        <v>1675</v>
      </c>
      <c r="NK909" t="s">
        <v>1676</v>
      </c>
      <c r="NL909" t="s">
        <v>660</v>
      </c>
      <c r="NM909" t="s">
        <v>508</v>
      </c>
      <c r="NU909" t="s">
        <v>657</v>
      </c>
      <c r="NV909" t="s">
        <v>518</v>
      </c>
      <c r="NW909">
        <v>1157</v>
      </c>
      <c r="NX909" t="s">
        <v>520</v>
      </c>
      <c r="NY909">
        <v>133</v>
      </c>
      <c r="OB909">
        <v>3</v>
      </c>
      <c r="OU909" t="s">
        <v>1276</v>
      </c>
      <c r="OW909">
        <v>2016</v>
      </c>
      <c r="OZ909" t="s">
        <v>1662</v>
      </c>
      <c r="PB909" t="s">
        <v>522</v>
      </c>
      <c r="PC909" s="50">
        <v>46147</v>
      </c>
      <c r="PD909" s="127"/>
    </row>
    <row r="910" spans="1:420" ht="15.75" thickBot="1">
      <c r="A910" t="s">
        <v>861</v>
      </c>
      <c r="B910" t="s">
        <v>1657</v>
      </c>
      <c r="C910" t="s">
        <v>1658</v>
      </c>
      <c r="D910" t="s">
        <v>472</v>
      </c>
      <c r="E910" t="s">
        <v>1692</v>
      </c>
      <c r="F910" t="s">
        <v>474</v>
      </c>
      <c r="G910" t="s">
        <v>475</v>
      </c>
      <c r="H910" t="s">
        <v>1079</v>
      </c>
      <c r="I910" s="5" t="s">
        <v>1693</v>
      </c>
      <c r="J910">
        <v>29.788161252741698</v>
      </c>
      <c r="K910">
        <v>15000</v>
      </c>
      <c r="AV910" t="s">
        <v>1660</v>
      </c>
      <c r="AW910">
        <v>36</v>
      </c>
      <c r="AX910">
        <v>1.44E-2</v>
      </c>
      <c r="AY910">
        <v>1</v>
      </c>
      <c r="AZ910" t="s">
        <v>1694</v>
      </c>
      <c r="BA910">
        <v>2016</v>
      </c>
      <c r="BC910" t="s">
        <v>1662</v>
      </c>
      <c r="BD910" t="s">
        <v>1690</v>
      </c>
      <c r="BE910" t="s">
        <v>483</v>
      </c>
      <c r="BF910" t="s">
        <v>484</v>
      </c>
      <c r="BG910" t="s">
        <v>1664</v>
      </c>
      <c r="BH910" t="s">
        <v>1681</v>
      </c>
      <c r="BI910" t="s">
        <v>480</v>
      </c>
      <c r="BJ910" t="s">
        <v>480</v>
      </c>
      <c r="HV910" t="s">
        <v>1691</v>
      </c>
      <c r="HW910" t="s">
        <v>1664</v>
      </c>
      <c r="HX910" t="s">
        <v>1681</v>
      </c>
      <c r="HY910" t="s">
        <v>1683</v>
      </c>
      <c r="HZ910" t="s">
        <v>480</v>
      </c>
      <c r="IA910" t="s">
        <v>480</v>
      </c>
      <c r="IH910" t="s">
        <v>1690</v>
      </c>
      <c r="II910" t="s">
        <v>492</v>
      </c>
      <c r="JV910" t="s">
        <v>595</v>
      </c>
      <c r="JW910" s="140" t="s">
        <v>1052</v>
      </c>
      <c r="JX910" t="s">
        <v>480</v>
      </c>
      <c r="JY910" t="s">
        <v>480</v>
      </c>
      <c r="JZ910" t="s">
        <v>480</v>
      </c>
      <c r="KA910" t="s">
        <v>480</v>
      </c>
      <c r="KB910" t="s">
        <v>480</v>
      </c>
      <c r="KC910" t="s">
        <v>480</v>
      </c>
      <c r="KD910" t="s">
        <v>480</v>
      </c>
      <c r="KG910" t="s">
        <v>1671</v>
      </c>
      <c r="KH910">
        <v>2</v>
      </c>
      <c r="MY910" t="s">
        <v>1672</v>
      </c>
      <c r="MZ910">
        <v>36</v>
      </c>
      <c r="NA910" t="s">
        <v>1673</v>
      </c>
      <c r="NB910" t="s">
        <v>1674</v>
      </c>
      <c r="NJ910" t="s">
        <v>1675</v>
      </c>
      <c r="NK910" t="s">
        <v>1676</v>
      </c>
      <c r="NL910" t="s">
        <v>660</v>
      </c>
      <c r="NM910" t="s">
        <v>508</v>
      </c>
      <c r="NU910" t="s">
        <v>1420</v>
      </c>
      <c r="NV910" t="s">
        <v>518</v>
      </c>
      <c r="NW910">
        <v>1838</v>
      </c>
      <c r="NX910" t="s">
        <v>520</v>
      </c>
      <c r="NY910">
        <v>260</v>
      </c>
      <c r="OB910">
        <v>3</v>
      </c>
      <c r="OU910" t="s">
        <v>1276</v>
      </c>
      <c r="OW910">
        <v>2016</v>
      </c>
      <c r="OZ910" t="s">
        <v>1662</v>
      </c>
      <c r="PB910" t="s">
        <v>522</v>
      </c>
      <c r="PC910" s="50">
        <v>46147</v>
      </c>
      <c r="PD910" s="127"/>
    </row>
    <row r="911" spans="1:420" ht="15.75" thickBot="1">
      <c r="A911" t="s">
        <v>861</v>
      </c>
      <c r="B911" t="s">
        <v>1657</v>
      </c>
      <c r="C911" t="s">
        <v>1658</v>
      </c>
      <c r="D911" t="s">
        <v>472</v>
      </c>
      <c r="E911" t="s">
        <v>1692</v>
      </c>
      <c r="F911" t="s">
        <v>474</v>
      </c>
      <c r="G911" t="s">
        <v>475</v>
      </c>
      <c r="H911" t="s">
        <v>1079</v>
      </c>
      <c r="I911" s="5" t="s">
        <v>1693</v>
      </c>
      <c r="J911">
        <v>29.788161252741698</v>
      </c>
      <c r="K911">
        <v>15000</v>
      </c>
      <c r="AV911" t="s">
        <v>1660</v>
      </c>
      <c r="AW911">
        <v>36</v>
      </c>
      <c r="AX911">
        <v>1.44E-2</v>
      </c>
      <c r="AY911">
        <v>1</v>
      </c>
      <c r="AZ911" t="s">
        <v>1694</v>
      </c>
      <c r="BA911">
        <v>2016</v>
      </c>
      <c r="BC911" t="s">
        <v>1695</v>
      </c>
      <c r="BD911" t="s">
        <v>1663</v>
      </c>
      <c r="BE911" t="s">
        <v>536</v>
      </c>
      <c r="BF911" t="s">
        <v>484</v>
      </c>
      <c r="BG911" t="s">
        <v>1664</v>
      </c>
      <c r="BH911" t="s">
        <v>1665</v>
      </c>
      <c r="BI911" t="s">
        <v>480</v>
      </c>
      <c r="BJ911" t="s">
        <v>480</v>
      </c>
      <c r="BK911" t="s">
        <v>537</v>
      </c>
      <c r="BL911" t="s">
        <v>1666</v>
      </c>
      <c r="BM911" t="s">
        <v>480</v>
      </c>
      <c r="BN911" t="s">
        <v>480</v>
      </c>
      <c r="BO911" t="s">
        <v>480</v>
      </c>
      <c r="HV911" t="s">
        <v>1663</v>
      </c>
      <c r="HW911" t="s">
        <v>1664</v>
      </c>
      <c r="HX911" t="s">
        <v>1665</v>
      </c>
      <c r="HY911" t="s">
        <v>1668</v>
      </c>
      <c r="HZ911" t="s">
        <v>480</v>
      </c>
      <c r="IA911" t="s">
        <v>480</v>
      </c>
      <c r="IH911" t="s">
        <v>1663</v>
      </c>
      <c r="II911" s="75" t="s">
        <v>929</v>
      </c>
      <c r="IJ911" t="s">
        <v>542</v>
      </c>
      <c r="IK911" t="s">
        <v>1670</v>
      </c>
      <c r="IL911">
        <v>2016</v>
      </c>
      <c r="IM911" t="s">
        <v>1695</v>
      </c>
      <c r="IN911" t="s">
        <v>480</v>
      </c>
      <c r="IY911" s="7"/>
      <c r="JV911" t="s">
        <v>595</v>
      </c>
      <c r="JW911" s="140" t="s">
        <v>1052</v>
      </c>
      <c r="JX911" t="s">
        <v>480</v>
      </c>
      <c r="JY911" t="s">
        <v>480</v>
      </c>
      <c r="JZ911" t="s">
        <v>480</v>
      </c>
      <c r="KA911" t="s">
        <v>480</v>
      </c>
      <c r="KB911" t="s">
        <v>480</v>
      </c>
      <c r="KC911" t="s">
        <v>480</v>
      </c>
      <c r="KD911" t="s">
        <v>480</v>
      </c>
      <c r="KG911" t="s">
        <v>1671</v>
      </c>
      <c r="KH911">
        <v>2</v>
      </c>
      <c r="MY911" t="s">
        <v>1672</v>
      </c>
      <c r="MZ911">
        <v>36</v>
      </c>
      <c r="NA911" t="s">
        <v>1673</v>
      </c>
      <c r="NB911" t="s">
        <v>1674</v>
      </c>
      <c r="NJ911" t="s">
        <v>1675</v>
      </c>
      <c r="NK911" t="s">
        <v>1676</v>
      </c>
      <c r="NL911" t="s">
        <v>660</v>
      </c>
      <c r="NM911" t="s">
        <v>508</v>
      </c>
      <c r="NV911" t="s">
        <v>518</v>
      </c>
      <c r="NW911">
        <v>1018</v>
      </c>
      <c r="NX911" t="s">
        <v>520</v>
      </c>
      <c r="NY911">
        <v>181</v>
      </c>
      <c r="OB911">
        <v>12</v>
      </c>
      <c r="OU911" t="s">
        <v>1276</v>
      </c>
      <c r="OW911">
        <v>2016</v>
      </c>
      <c r="OZ911" t="s">
        <v>1695</v>
      </c>
      <c r="PB911" t="s">
        <v>522</v>
      </c>
      <c r="PC911" s="50">
        <v>46147</v>
      </c>
      <c r="PD911" s="127"/>
    </row>
    <row r="912" spans="1:420" ht="15.75" thickBot="1">
      <c r="A912" t="s">
        <v>861</v>
      </c>
      <c r="B912" t="s">
        <v>1657</v>
      </c>
      <c r="C912" t="s">
        <v>1658</v>
      </c>
      <c r="D912" t="s">
        <v>472</v>
      </c>
      <c r="E912" t="s">
        <v>1692</v>
      </c>
      <c r="F912" t="s">
        <v>474</v>
      </c>
      <c r="G912" t="s">
        <v>475</v>
      </c>
      <c r="H912" t="s">
        <v>1079</v>
      </c>
      <c r="I912" s="5" t="s">
        <v>1693</v>
      </c>
      <c r="J912">
        <v>29.788161252741698</v>
      </c>
      <c r="K912">
        <v>15000</v>
      </c>
      <c r="AV912" t="s">
        <v>1660</v>
      </c>
      <c r="AW912">
        <v>36</v>
      </c>
      <c r="AX912">
        <v>1.44E-2</v>
      </c>
      <c r="AY912">
        <v>1</v>
      </c>
      <c r="AZ912" t="s">
        <v>1694</v>
      </c>
      <c r="BA912">
        <v>2016</v>
      </c>
      <c r="BC912" t="s">
        <v>1695</v>
      </c>
      <c r="BD912" t="s">
        <v>1677</v>
      </c>
      <c r="BE912" t="s">
        <v>566</v>
      </c>
      <c r="BF912" t="s">
        <v>484</v>
      </c>
      <c r="BG912" t="s">
        <v>1664</v>
      </c>
      <c r="BH912" t="s">
        <v>1665</v>
      </c>
      <c r="BI912" t="s">
        <v>480</v>
      </c>
      <c r="BJ912" t="s">
        <v>480</v>
      </c>
      <c r="BK912" t="s">
        <v>537</v>
      </c>
      <c r="BL912" t="s">
        <v>1666</v>
      </c>
      <c r="BM912" t="s">
        <v>480</v>
      </c>
      <c r="BN912" t="s">
        <v>480</v>
      </c>
      <c r="BO912" t="s">
        <v>480</v>
      </c>
      <c r="HV912" t="s">
        <v>1677</v>
      </c>
      <c r="HW912" t="s">
        <v>1664</v>
      </c>
      <c r="HX912" t="s">
        <v>1665</v>
      </c>
      <c r="HY912" t="s">
        <v>1668</v>
      </c>
      <c r="HZ912" t="s">
        <v>480</v>
      </c>
      <c r="IA912" t="s">
        <v>480</v>
      </c>
      <c r="IH912" t="s">
        <v>1677</v>
      </c>
      <c r="II912" s="75" t="s">
        <v>929</v>
      </c>
      <c r="IJ912" t="s">
        <v>542</v>
      </c>
      <c r="IK912" t="s">
        <v>1670</v>
      </c>
      <c r="IL912">
        <v>2016</v>
      </c>
      <c r="IM912" t="s">
        <v>1695</v>
      </c>
      <c r="IN912" t="s">
        <v>480</v>
      </c>
      <c r="JV912" t="s">
        <v>595</v>
      </c>
      <c r="JW912" s="140" t="s">
        <v>1052</v>
      </c>
      <c r="JX912" t="s">
        <v>480</v>
      </c>
      <c r="JY912" t="s">
        <v>480</v>
      </c>
      <c r="JZ912" t="s">
        <v>480</v>
      </c>
      <c r="KA912" t="s">
        <v>480</v>
      </c>
      <c r="KB912" t="s">
        <v>480</v>
      </c>
      <c r="KC912" t="s">
        <v>480</v>
      </c>
      <c r="KD912" t="s">
        <v>480</v>
      </c>
      <c r="KG912" t="s">
        <v>1671</v>
      </c>
      <c r="KH912">
        <v>2</v>
      </c>
      <c r="MY912" t="s">
        <v>1672</v>
      </c>
      <c r="MZ912">
        <v>36</v>
      </c>
      <c r="NA912" t="s">
        <v>1673</v>
      </c>
      <c r="NB912" t="s">
        <v>1674</v>
      </c>
      <c r="NJ912" t="s">
        <v>1675</v>
      </c>
      <c r="NK912" t="s">
        <v>1676</v>
      </c>
      <c r="NL912" t="s">
        <v>660</v>
      </c>
      <c r="NM912" t="s">
        <v>508</v>
      </c>
      <c r="NV912" t="s">
        <v>518</v>
      </c>
      <c r="NW912">
        <v>1274</v>
      </c>
      <c r="NX912" t="s">
        <v>520</v>
      </c>
      <c r="NY912">
        <v>328</v>
      </c>
      <c r="OB912">
        <v>12</v>
      </c>
      <c r="OU912" t="s">
        <v>1276</v>
      </c>
      <c r="OW912">
        <v>2016</v>
      </c>
      <c r="OZ912" t="s">
        <v>1695</v>
      </c>
      <c r="PB912" t="s">
        <v>522</v>
      </c>
      <c r="PC912" s="50">
        <v>46147</v>
      </c>
      <c r="PD912" s="127"/>
    </row>
    <row r="913" spans="1:420" ht="15.75" thickBot="1">
      <c r="A913" t="s">
        <v>861</v>
      </c>
      <c r="B913" t="s">
        <v>1657</v>
      </c>
      <c r="C913" t="s">
        <v>1658</v>
      </c>
      <c r="D913" t="s">
        <v>472</v>
      </c>
      <c r="E913" t="s">
        <v>1692</v>
      </c>
      <c r="F913" t="s">
        <v>474</v>
      </c>
      <c r="G913" t="s">
        <v>475</v>
      </c>
      <c r="H913" t="s">
        <v>1079</v>
      </c>
      <c r="I913" s="5" t="s">
        <v>1693</v>
      </c>
      <c r="J913">
        <v>29.788161252741698</v>
      </c>
      <c r="K913">
        <v>15000</v>
      </c>
      <c r="AV913" t="s">
        <v>1660</v>
      </c>
      <c r="AW913">
        <v>36</v>
      </c>
      <c r="AX913">
        <v>1.44E-2</v>
      </c>
      <c r="AY913">
        <v>1</v>
      </c>
      <c r="AZ913" t="s">
        <v>1694</v>
      </c>
      <c r="BA913">
        <v>2016</v>
      </c>
      <c r="BC913" t="s">
        <v>1695</v>
      </c>
      <c r="BD913" t="s">
        <v>1696</v>
      </c>
      <c r="BE913" t="s">
        <v>572</v>
      </c>
      <c r="BF913" t="s">
        <v>484</v>
      </c>
      <c r="BG913" t="s">
        <v>1664</v>
      </c>
      <c r="BH913" t="s">
        <v>1697</v>
      </c>
      <c r="BI913" t="s">
        <v>480</v>
      </c>
      <c r="BJ913" t="s">
        <v>480</v>
      </c>
      <c r="BK913" t="s">
        <v>537</v>
      </c>
      <c r="BL913" t="s">
        <v>1666</v>
      </c>
      <c r="BM913" t="s">
        <v>480</v>
      </c>
      <c r="BN913" t="s">
        <v>480</v>
      </c>
      <c r="BO913" t="s">
        <v>480</v>
      </c>
      <c r="HV913" t="s">
        <v>1696</v>
      </c>
      <c r="HW913" t="s">
        <v>1664</v>
      </c>
      <c r="HX913" t="s">
        <v>1697</v>
      </c>
      <c r="HY913" t="s">
        <v>1683</v>
      </c>
      <c r="HZ913" t="s">
        <v>480</v>
      </c>
      <c r="IA913" t="s">
        <v>480</v>
      </c>
      <c r="IH913" t="s">
        <v>1696</v>
      </c>
      <c r="II913" s="75" t="s">
        <v>929</v>
      </c>
      <c r="IJ913" t="s">
        <v>542</v>
      </c>
      <c r="IK913" t="s">
        <v>1670</v>
      </c>
      <c r="IL913">
        <v>2016</v>
      </c>
      <c r="IM913" t="s">
        <v>1695</v>
      </c>
      <c r="IN913" t="s">
        <v>480</v>
      </c>
      <c r="IY913" s="7"/>
      <c r="JV913" t="s">
        <v>595</v>
      </c>
      <c r="JW913" s="140" t="s">
        <v>1052</v>
      </c>
      <c r="JX913" t="s">
        <v>480</v>
      </c>
      <c r="JY913" t="s">
        <v>480</v>
      </c>
      <c r="JZ913" t="s">
        <v>480</v>
      </c>
      <c r="KA913" t="s">
        <v>480</v>
      </c>
      <c r="KB913" t="s">
        <v>480</v>
      </c>
      <c r="KC913" t="s">
        <v>480</v>
      </c>
      <c r="KD913" t="s">
        <v>480</v>
      </c>
      <c r="KG913" t="s">
        <v>1671</v>
      </c>
      <c r="KH913">
        <v>2</v>
      </c>
      <c r="MY913" t="s">
        <v>1672</v>
      </c>
      <c r="MZ913">
        <v>36</v>
      </c>
      <c r="NA913" t="s">
        <v>1673</v>
      </c>
      <c r="NB913" t="s">
        <v>1674</v>
      </c>
      <c r="NJ913" t="s">
        <v>1675</v>
      </c>
      <c r="NK913" t="s">
        <v>1676</v>
      </c>
      <c r="NL913" t="s">
        <v>660</v>
      </c>
      <c r="NM913" t="s">
        <v>508</v>
      </c>
      <c r="NV913" t="s">
        <v>518</v>
      </c>
      <c r="NW913">
        <v>1050</v>
      </c>
      <c r="NX913" t="s">
        <v>520</v>
      </c>
      <c r="NY913">
        <v>135</v>
      </c>
      <c r="OB913">
        <v>12</v>
      </c>
      <c r="OU913" t="s">
        <v>1276</v>
      </c>
      <c r="OW913">
        <v>2016</v>
      </c>
      <c r="OZ913" t="s">
        <v>1695</v>
      </c>
      <c r="PB913" t="s">
        <v>522</v>
      </c>
      <c r="PC913" s="50">
        <v>46147</v>
      </c>
      <c r="PD913" s="127"/>
    </row>
    <row r="914" spans="1:420" ht="15.75" thickBot="1">
      <c r="A914" t="s">
        <v>861</v>
      </c>
      <c r="B914" t="s">
        <v>1657</v>
      </c>
      <c r="C914" t="s">
        <v>1658</v>
      </c>
      <c r="D914" t="s">
        <v>472</v>
      </c>
      <c r="E914" t="s">
        <v>1692</v>
      </c>
      <c r="F914" t="s">
        <v>474</v>
      </c>
      <c r="G914" t="s">
        <v>475</v>
      </c>
      <c r="H914" t="s">
        <v>1079</v>
      </c>
      <c r="I914" s="5" t="s">
        <v>1693</v>
      </c>
      <c r="J914">
        <v>29.788161252741698</v>
      </c>
      <c r="K914">
        <v>15000</v>
      </c>
      <c r="AV914" t="s">
        <v>1660</v>
      </c>
      <c r="AW914">
        <v>36</v>
      </c>
      <c r="AX914">
        <v>1.44E-2</v>
      </c>
      <c r="AY914">
        <v>1</v>
      </c>
      <c r="AZ914" t="s">
        <v>1694</v>
      </c>
      <c r="BA914">
        <v>2016</v>
      </c>
      <c r="BC914" t="s">
        <v>1695</v>
      </c>
      <c r="BD914" t="s">
        <v>1698</v>
      </c>
      <c r="BE914" t="s">
        <v>553</v>
      </c>
      <c r="BF914" t="s">
        <v>484</v>
      </c>
      <c r="BG914" t="s">
        <v>1664</v>
      </c>
      <c r="BH914" t="s">
        <v>1697</v>
      </c>
      <c r="BI914" t="s">
        <v>480</v>
      </c>
      <c r="BJ914" t="s">
        <v>480</v>
      </c>
      <c r="BK914" t="s">
        <v>537</v>
      </c>
      <c r="BL914" t="s">
        <v>1666</v>
      </c>
      <c r="BM914" t="s">
        <v>480</v>
      </c>
      <c r="BN914" t="s">
        <v>480</v>
      </c>
      <c r="BO914" t="s">
        <v>480</v>
      </c>
      <c r="HV914" t="s">
        <v>1698</v>
      </c>
      <c r="HW914" t="s">
        <v>1664</v>
      </c>
      <c r="HX914" t="s">
        <v>1697</v>
      </c>
      <c r="HY914" t="s">
        <v>1683</v>
      </c>
      <c r="HZ914" t="s">
        <v>480</v>
      </c>
      <c r="IA914" t="s">
        <v>480</v>
      </c>
      <c r="IH914" t="s">
        <v>1698</v>
      </c>
      <c r="II914" s="75" t="s">
        <v>929</v>
      </c>
      <c r="IJ914" t="s">
        <v>542</v>
      </c>
      <c r="IK914" t="s">
        <v>1670</v>
      </c>
      <c r="IL914">
        <v>2016</v>
      </c>
      <c r="IM914" t="s">
        <v>1695</v>
      </c>
      <c r="IN914" t="s">
        <v>480</v>
      </c>
      <c r="JV914" t="s">
        <v>595</v>
      </c>
      <c r="JW914" s="140" t="s">
        <v>1052</v>
      </c>
      <c r="JX914" t="s">
        <v>480</v>
      </c>
      <c r="JY914" t="s">
        <v>480</v>
      </c>
      <c r="JZ914" t="s">
        <v>480</v>
      </c>
      <c r="KA914" t="s">
        <v>480</v>
      </c>
      <c r="KB914" t="s">
        <v>480</v>
      </c>
      <c r="KC914" t="s">
        <v>480</v>
      </c>
      <c r="KD914" t="s">
        <v>480</v>
      </c>
      <c r="KG914" t="s">
        <v>1671</v>
      </c>
      <c r="KH914">
        <v>2</v>
      </c>
      <c r="MY914" t="s">
        <v>1672</v>
      </c>
      <c r="MZ914">
        <v>36</v>
      </c>
      <c r="NA914" t="s">
        <v>1673</v>
      </c>
      <c r="NB914" t="s">
        <v>1674</v>
      </c>
      <c r="NJ914" t="s">
        <v>1675</v>
      </c>
      <c r="NK914" t="s">
        <v>1676</v>
      </c>
      <c r="NL914" t="s">
        <v>660</v>
      </c>
      <c r="NM914" t="s">
        <v>508</v>
      </c>
      <c r="NV914" t="s">
        <v>518</v>
      </c>
      <c r="NW914">
        <v>1101</v>
      </c>
      <c r="NX914" t="s">
        <v>520</v>
      </c>
      <c r="NY914">
        <v>209</v>
      </c>
      <c r="OB914">
        <v>12</v>
      </c>
      <c r="OU914" t="s">
        <v>1276</v>
      </c>
      <c r="OW914">
        <v>2016</v>
      </c>
      <c r="OZ914" t="s">
        <v>1695</v>
      </c>
      <c r="PB914" t="s">
        <v>522</v>
      </c>
      <c r="PC914" s="50">
        <v>46147</v>
      </c>
      <c r="PD914" s="127"/>
    </row>
    <row r="915" spans="1:420" ht="15.75" thickBot="1">
      <c r="A915" t="s">
        <v>861</v>
      </c>
      <c r="B915" t="s">
        <v>1657</v>
      </c>
      <c r="C915" t="s">
        <v>1658</v>
      </c>
      <c r="D915" t="s">
        <v>472</v>
      </c>
      <c r="E915" t="s">
        <v>1692</v>
      </c>
      <c r="F915" t="s">
        <v>474</v>
      </c>
      <c r="G915" t="s">
        <v>475</v>
      </c>
      <c r="H915" t="s">
        <v>1079</v>
      </c>
      <c r="I915" s="5" t="s">
        <v>1693</v>
      </c>
      <c r="J915">
        <v>29.788161252741698</v>
      </c>
      <c r="K915">
        <v>15000</v>
      </c>
      <c r="AV915" t="s">
        <v>1660</v>
      </c>
      <c r="AW915">
        <v>36</v>
      </c>
      <c r="AX915">
        <v>1.44E-2</v>
      </c>
      <c r="AY915">
        <v>1</v>
      </c>
      <c r="AZ915" t="s">
        <v>1694</v>
      </c>
      <c r="BA915">
        <v>2016</v>
      </c>
      <c r="BC915" t="s">
        <v>1695</v>
      </c>
      <c r="BD915" t="s">
        <v>1688</v>
      </c>
      <c r="BE915" t="s">
        <v>524</v>
      </c>
      <c r="BF915" t="s">
        <v>484</v>
      </c>
      <c r="BG915" t="s">
        <v>1664</v>
      </c>
      <c r="BH915" t="s">
        <v>1665</v>
      </c>
      <c r="BI915" t="s">
        <v>480</v>
      </c>
      <c r="BJ915" t="s">
        <v>480</v>
      </c>
      <c r="HV915" t="s">
        <v>1688</v>
      </c>
      <c r="HW915" t="s">
        <v>1664</v>
      </c>
      <c r="HX915" t="s">
        <v>1665</v>
      </c>
      <c r="HY915" t="s">
        <v>1668</v>
      </c>
      <c r="HZ915" t="s">
        <v>480</v>
      </c>
      <c r="IA915" t="s">
        <v>480</v>
      </c>
      <c r="IH915" t="s">
        <v>1688</v>
      </c>
      <c r="II915" t="s">
        <v>492</v>
      </c>
      <c r="JV915" t="s">
        <v>595</v>
      </c>
      <c r="JW915" s="140" t="s">
        <v>1052</v>
      </c>
      <c r="JX915" t="s">
        <v>480</v>
      </c>
      <c r="JY915" t="s">
        <v>480</v>
      </c>
      <c r="JZ915" t="s">
        <v>480</v>
      </c>
      <c r="KA915" t="s">
        <v>480</v>
      </c>
      <c r="KB915" t="s">
        <v>480</v>
      </c>
      <c r="KC915" t="s">
        <v>480</v>
      </c>
      <c r="KD915" t="s">
        <v>480</v>
      </c>
      <c r="KG915" t="s">
        <v>1671</v>
      </c>
      <c r="KH915">
        <v>2</v>
      </c>
      <c r="MY915" t="s">
        <v>1672</v>
      </c>
      <c r="MZ915">
        <v>36</v>
      </c>
      <c r="NA915" t="s">
        <v>1673</v>
      </c>
      <c r="NB915" t="s">
        <v>1674</v>
      </c>
      <c r="NJ915" t="s">
        <v>1675</v>
      </c>
      <c r="NK915" t="s">
        <v>1676</v>
      </c>
      <c r="NL915" t="s">
        <v>660</v>
      </c>
      <c r="NM915" t="s">
        <v>508</v>
      </c>
      <c r="NU915" t="s">
        <v>657</v>
      </c>
      <c r="NV915" t="s">
        <v>518</v>
      </c>
      <c r="NW915">
        <v>1676</v>
      </c>
      <c r="NX915" t="s">
        <v>520</v>
      </c>
      <c r="NY915">
        <v>188</v>
      </c>
      <c r="OB915">
        <v>10</v>
      </c>
      <c r="OU915" t="s">
        <v>1276</v>
      </c>
      <c r="OW915">
        <v>2016</v>
      </c>
      <c r="OZ915" t="s">
        <v>1695</v>
      </c>
      <c r="PB915" t="s">
        <v>522</v>
      </c>
      <c r="PC915" s="50">
        <v>46147</v>
      </c>
      <c r="PD915" s="127"/>
    </row>
    <row r="916" spans="1:420" ht="15.75" thickBot="1">
      <c r="A916" t="s">
        <v>861</v>
      </c>
      <c r="B916" t="s">
        <v>1657</v>
      </c>
      <c r="C916" t="s">
        <v>1658</v>
      </c>
      <c r="D916" t="s">
        <v>472</v>
      </c>
      <c r="E916" t="s">
        <v>1692</v>
      </c>
      <c r="F916" t="s">
        <v>474</v>
      </c>
      <c r="G916" t="s">
        <v>475</v>
      </c>
      <c r="H916" t="s">
        <v>1079</v>
      </c>
      <c r="I916" s="5" t="s">
        <v>1693</v>
      </c>
      <c r="J916">
        <v>29.788161252741698</v>
      </c>
      <c r="K916">
        <v>15000</v>
      </c>
      <c r="AV916" t="s">
        <v>1660</v>
      </c>
      <c r="AW916">
        <v>36</v>
      </c>
      <c r="AX916">
        <v>1.44E-2</v>
      </c>
      <c r="AY916">
        <v>1</v>
      </c>
      <c r="AZ916" t="s">
        <v>1694</v>
      </c>
      <c r="BA916">
        <v>2016</v>
      </c>
      <c r="BC916" t="s">
        <v>1695</v>
      </c>
      <c r="BD916" t="s">
        <v>1699</v>
      </c>
      <c r="BE916" t="s">
        <v>483</v>
      </c>
      <c r="BF916" t="s">
        <v>484</v>
      </c>
      <c r="BG916" t="s">
        <v>1664</v>
      </c>
      <c r="BH916" t="s">
        <v>1697</v>
      </c>
      <c r="BI916" t="s">
        <v>480</v>
      </c>
      <c r="BJ916" t="s">
        <v>480</v>
      </c>
      <c r="HV916" t="s">
        <v>1699</v>
      </c>
      <c r="HW916" t="s">
        <v>1664</v>
      </c>
      <c r="HX916" t="s">
        <v>1697</v>
      </c>
      <c r="HY916" t="s">
        <v>1683</v>
      </c>
      <c r="HZ916" t="s">
        <v>480</v>
      </c>
      <c r="IA916" t="s">
        <v>480</v>
      </c>
      <c r="IH916" t="s">
        <v>1699</v>
      </c>
      <c r="II916" t="s">
        <v>492</v>
      </c>
      <c r="JV916" t="s">
        <v>595</v>
      </c>
      <c r="JW916" s="140" t="s">
        <v>1052</v>
      </c>
      <c r="JX916" t="s">
        <v>480</v>
      </c>
      <c r="JY916" t="s">
        <v>480</v>
      </c>
      <c r="JZ916" t="s">
        <v>480</v>
      </c>
      <c r="KA916" t="s">
        <v>480</v>
      </c>
      <c r="KB916" t="s">
        <v>480</v>
      </c>
      <c r="KC916" t="s">
        <v>480</v>
      </c>
      <c r="KD916" t="s">
        <v>480</v>
      </c>
      <c r="KG916" t="s">
        <v>1671</v>
      </c>
      <c r="KH916">
        <v>2</v>
      </c>
      <c r="MY916" t="s">
        <v>1672</v>
      </c>
      <c r="MZ916">
        <v>36</v>
      </c>
      <c r="NA916" t="s">
        <v>1673</v>
      </c>
      <c r="NB916" t="s">
        <v>1674</v>
      </c>
      <c r="NJ916" t="s">
        <v>1675</v>
      </c>
      <c r="NK916" t="s">
        <v>1676</v>
      </c>
      <c r="NL916" t="s">
        <v>660</v>
      </c>
      <c r="NM916" t="s">
        <v>508</v>
      </c>
      <c r="NU916" t="s">
        <v>1420</v>
      </c>
      <c r="NV916" t="s">
        <v>518</v>
      </c>
      <c r="NW916">
        <v>1393</v>
      </c>
      <c r="NX916" t="s">
        <v>520</v>
      </c>
      <c r="NY916">
        <v>240</v>
      </c>
      <c r="OB916">
        <v>12</v>
      </c>
      <c r="OU916" t="s">
        <v>1276</v>
      </c>
      <c r="OW916">
        <v>2016</v>
      </c>
      <c r="OZ916" t="s">
        <v>1695</v>
      </c>
      <c r="PB916" t="s">
        <v>522</v>
      </c>
      <c r="PC916" s="50">
        <v>46147</v>
      </c>
      <c r="PD916" s="127"/>
    </row>
    <row r="917" spans="1:420" ht="15" customHeight="1" thickBot="1">
      <c r="A917" s="205" t="s">
        <v>861</v>
      </c>
      <c r="B917" s="2" t="s">
        <v>1700</v>
      </c>
      <c r="C917" s="2" t="s">
        <v>1387</v>
      </c>
      <c r="D917" s="88" t="s">
        <v>668</v>
      </c>
      <c r="E917" s="2" t="s">
        <v>1701</v>
      </c>
      <c r="F917" s="88" t="s">
        <v>1702</v>
      </c>
      <c r="G917" s="2" t="s">
        <v>475</v>
      </c>
      <c r="H917" s="2" t="s">
        <v>476</v>
      </c>
      <c r="I917" s="88">
        <v>-11.474220000000001</v>
      </c>
      <c r="J917" s="88" t="s">
        <v>1703</v>
      </c>
      <c r="K917" s="88">
        <v>1000</v>
      </c>
      <c r="L917" s="2"/>
      <c r="M917" s="88"/>
      <c r="N917" s="2"/>
      <c r="O917" s="2"/>
      <c r="P917" s="2"/>
      <c r="Q917" s="2"/>
      <c r="R917" s="2"/>
      <c r="S917" s="2"/>
      <c r="T917" s="2"/>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c r="AV917" s="2" t="s">
        <v>1704</v>
      </c>
      <c r="AW917" s="2">
        <v>28</v>
      </c>
      <c r="AX917" s="2" t="s">
        <v>480</v>
      </c>
      <c r="AY917" s="2">
        <v>2</v>
      </c>
      <c r="AZ917" s="185" t="s">
        <v>1705</v>
      </c>
      <c r="BA917" s="185">
        <v>2020</v>
      </c>
      <c r="BB917" s="185">
        <v>2022</v>
      </c>
      <c r="BC917" s="185"/>
      <c r="BD917" s="185" t="s">
        <v>1706</v>
      </c>
      <c r="BE917" s="185" t="s">
        <v>524</v>
      </c>
      <c r="BF917" s="185" t="s">
        <v>484</v>
      </c>
      <c r="BG917" s="185" t="s">
        <v>1707</v>
      </c>
      <c r="BH917" s="185" t="s">
        <v>1708</v>
      </c>
      <c r="BI917" s="206" t="s">
        <v>1709</v>
      </c>
      <c r="BJ917" s="207">
        <v>4.4000000000000004</v>
      </c>
      <c r="BK917" s="185"/>
      <c r="BL917" s="185"/>
      <c r="BM917" s="208"/>
      <c r="BN917" s="208"/>
      <c r="BO917" s="208"/>
      <c r="BP917" s="208"/>
      <c r="BQ917" s="208"/>
      <c r="BR917" s="208"/>
      <c r="BS917" s="208"/>
      <c r="BT917" s="208"/>
      <c r="BU917" s="208"/>
      <c r="BV917" s="96"/>
      <c r="BW917" s="96"/>
      <c r="BX917" s="96"/>
      <c r="BY917" s="96"/>
      <c r="BZ917" s="96"/>
      <c r="CA917" s="96"/>
      <c r="CB917" s="96"/>
      <c r="CC917" s="96"/>
      <c r="CD917" s="96"/>
      <c r="CE917" s="96"/>
      <c r="CF917" s="96"/>
      <c r="CG917" s="96"/>
      <c r="CH917" s="96"/>
      <c r="CI917" s="96"/>
      <c r="CJ917" s="96"/>
      <c r="CK917" s="96"/>
      <c r="CL917" s="96"/>
      <c r="CM917" s="96"/>
      <c r="CN917" s="96"/>
      <c r="CO917" s="96"/>
      <c r="CP917" s="96"/>
      <c r="CQ917" s="96"/>
      <c r="CR917" s="96"/>
      <c r="CS917" s="96"/>
      <c r="CT917" s="96"/>
      <c r="CU917" s="96"/>
      <c r="CV917" s="96"/>
      <c r="CW917" s="96"/>
      <c r="CX917" s="96"/>
      <c r="CY917" s="96"/>
      <c r="CZ917" s="96"/>
      <c r="DA917" s="96"/>
      <c r="DB917" s="96"/>
      <c r="DC917" s="96"/>
      <c r="DD917" s="96"/>
      <c r="DE917" s="96"/>
      <c r="DF917" s="96"/>
      <c r="DG917" s="96"/>
      <c r="DH917" s="96"/>
      <c r="DI917" s="96"/>
      <c r="DJ917" s="96"/>
      <c r="DK917" s="96"/>
      <c r="DL917" s="96"/>
      <c r="DM917" s="96"/>
      <c r="DN917" s="96"/>
      <c r="DO917" s="96"/>
      <c r="DP917" s="96"/>
      <c r="DQ917" s="96"/>
      <c r="DR917" s="96"/>
      <c r="DS917" s="96"/>
      <c r="DT917" s="96"/>
      <c r="DU917" s="96"/>
      <c r="DV917" s="96"/>
      <c r="DW917" s="96"/>
      <c r="DX917" s="96"/>
      <c r="DY917" s="96"/>
      <c r="DZ917" s="96"/>
      <c r="EA917" s="96"/>
      <c r="EB917" s="96"/>
      <c r="EC917" s="96"/>
      <c r="ED917" s="96"/>
      <c r="EE917" s="208"/>
      <c r="EF917" s="208"/>
      <c r="EG917" s="208"/>
      <c r="EH917" s="208"/>
      <c r="EI917" s="208"/>
      <c r="EJ917" s="208"/>
      <c r="EK917" s="208"/>
      <c r="EL917" s="96"/>
      <c r="EM917" s="96"/>
      <c r="EN917" s="96"/>
      <c r="EO917" s="96"/>
      <c r="EP917" s="96"/>
      <c r="EQ917" s="96"/>
      <c r="ER917" s="96"/>
      <c r="ES917" s="96"/>
      <c r="ET917" s="96"/>
      <c r="EU917" s="96"/>
      <c r="EV917" s="96"/>
      <c r="EW917" s="96"/>
      <c r="EX917" s="96"/>
      <c r="EY917" s="96"/>
      <c r="EZ917" s="96"/>
      <c r="FA917" s="96"/>
      <c r="FB917" s="96"/>
      <c r="FC917" s="96"/>
      <c r="FD917" s="96"/>
      <c r="FE917" s="96"/>
      <c r="FF917" s="96"/>
      <c r="FG917" s="96"/>
      <c r="FH917" s="96"/>
      <c r="FI917" s="96"/>
      <c r="FJ917" s="96"/>
      <c r="FK917" s="96"/>
      <c r="FL917" s="96"/>
      <c r="FM917" s="96"/>
      <c r="FN917" s="96"/>
      <c r="FO917" s="96"/>
      <c r="FP917" s="96"/>
      <c r="FQ917" s="96"/>
      <c r="FR917" s="96"/>
      <c r="FS917" s="96"/>
      <c r="FT917" s="96"/>
      <c r="FU917" s="96"/>
      <c r="FV917" s="96"/>
      <c r="FW917" s="96"/>
      <c r="FX917" s="96"/>
      <c r="FY917" s="96"/>
      <c r="FZ917" s="96"/>
      <c r="GA917" s="96"/>
      <c r="GB917" s="96"/>
      <c r="GC917" s="96"/>
      <c r="GD917" s="96"/>
      <c r="GE917" s="96"/>
      <c r="GF917" s="96"/>
      <c r="GG917" s="96"/>
      <c r="GH917" s="96"/>
      <c r="GI917" s="96"/>
      <c r="GJ917" s="96"/>
      <c r="GK917" s="96"/>
      <c r="GL917" s="96"/>
      <c r="GM917" s="96"/>
      <c r="GN917" s="96"/>
      <c r="GO917" s="96"/>
      <c r="GP917" s="96"/>
      <c r="GQ917" s="96"/>
      <c r="GR917" s="96"/>
      <c r="GS917" s="96"/>
      <c r="GT917" s="96"/>
      <c r="GU917" s="96"/>
      <c r="GV917" s="96"/>
      <c r="GW917" s="96"/>
      <c r="GX917" s="96"/>
      <c r="GY917" s="96"/>
      <c r="GZ917" s="96"/>
      <c r="HA917" s="96"/>
      <c r="HB917" s="96"/>
      <c r="HC917" s="96"/>
      <c r="HD917" s="96"/>
      <c r="HE917" s="96"/>
      <c r="HF917" s="96"/>
      <c r="HG917" s="96"/>
      <c r="HH917" s="96"/>
      <c r="HI917" s="96"/>
      <c r="HJ917" s="96"/>
      <c r="HK917" s="208"/>
      <c r="HL917" s="208"/>
      <c r="HM917" s="208"/>
      <c r="HN917" s="208"/>
      <c r="HO917" s="208"/>
      <c r="HP917" s="208"/>
      <c r="HQ917" s="208"/>
      <c r="HR917" s="208"/>
      <c r="HS917" s="208"/>
      <c r="HT917" s="37"/>
      <c r="HU917" s="37"/>
      <c r="HV917" s="208"/>
      <c r="HW917" s="208"/>
      <c r="HX917" s="208"/>
      <c r="HY917" s="208"/>
      <c r="HZ917" s="208"/>
      <c r="IA917" s="208"/>
      <c r="IB917" s="208"/>
      <c r="IC917" s="208"/>
      <c r="ID917" s="208"/>
      <c r="IE917" s="208"/>
      <c r="IF917" s="208"/>
      <c r="IG917" s="208"/>
      <c r="IH917" s="185" t="s">
        <v>1706</v>
      </c>
      <c r="II917" s="209" t="s">
        <v>492</v>
      </c>
      <c r="IJ917" s="209"/>
      <c r="IK917" s="208"/>
      <c r="IL917" s="208"/>
      <c r="IM917" s="208"/>
      <c r="IN917" s="185"/>
      <c r="IO917" s="208"/>
      <c r="IP917" s="208"/>
      <c r="IQ917" s="208"/>
      <c r="IR917" s="208"/>
      <c r="IS917" s="208"/>
      <c r="IT917" s="208"/>
      <c r="IU917" s="208"/>
      <c r="IV917" s="208"/>
      <c r="IW917" s="208"/>
      <c r="IX917" s="96"/>
      <c r="IY917" s="96"/>
      <c r="IZ917" s="96"/>
      <c r="JA917" s="96"/>
      <c r="JB917" s="96"/>
      <c r="JC917" s="96"/>
      <c r="JD917" s="96"/>
      <c r="JE917" s="96"/>
      <c r="JF917" s="96"/>
      <c r="JG917" s="96"/>
      <c r="JH917" s="96"/>
      <c r="JI917" s="96"/>
      <c r="JJ917" s="96"/>
      <c r="JK917" s="96"/>
      <c r="JL917" s="96"/>
      <c r="JM917" s="208"/>
      <c r="JN917" s="206"/>
      <c r="JO917" s="208"/>
      <c r="JP917" s="206"/>
      <c r="JQ917" s="208"/>
      <c r="JR917" s="208"/>
      <c r="JS917" s="208"/>
      <c r="JT917" s="208"/>
      <c r="JU917" s="208"/>
      <c r="JV917" s="208"/>
      <c r="JW917" s="208"/>
      <c r="JX917" s="208"/>
      <c r="JY917" s="208"/>
      <c r="JZ917" s="208"/>
      <c r="KA917" s="208"/>
      <c r="KB917" s="208"/>
      <c r="KC917" s="208"/>
      <c r="KD917" s="208"/>
      <c r="KE917" s="208"/>
      <c r="KF917" s="148"/>
      <c r="KG917" s="148"/>
      <c r="KH917" s="210"/>
      <c r="KI917" s="210"/>
      <c r="KJ917" s="210"/>
      <c r="KK917" s="210"/>
      <c r="KL917" s="210"/>
      <c r="KM917" s="210"/>
      <c r="KN917" s="148"/>
      <c r="KO917" s="148"/>
      <c r="KP917" s="210"/>
      <c r="KQ917" s="210"/>
      <c r="KR917" s="148"/>
      <c r="KS917" s="148"/>
      <c r="KT917" s="210"/>
      <c r="KU917" s="210"/>
      <c r="KV917" s="210"/>
      <c r="KW917" s="38"/>
      <c r="KX917" s="38"/>
      <c r="KY917" s="38"/>
      <c r="KZ917" s="38"/>
      <c r="LA917" s="206"/>
      <c r="LB917" s="206"/>
      <c r="LC917" s="206"/>
      <c r="LD917" s="206"/>
      <c r="LE917" s="206"/>
      <c r="LF917" s="206"/>
      <c r="LG917" s="206"/>
      <c r="LH917" s="206"/>
      <c r="LI917" s="208"/>
      <c r="LJ917" s="208"/>
      <c r="LK917" s="208"/>
      <c r="LL917" s="208"/>
      <c r="LM917" s="208"/>
      <c r="LN917" s="208"/>
      <c r="LO917" s="208"/>
      <c r="LP917" s="208"/>
      <c r="LQ917" s="208"/>
      <c r="LR917" s="208"/>
      <c r="LS917" s="208"/>
      <c r="LT917" s="208"/>
      <c r="LU917" s="208"/>
      <c r="LV917" s="96"/>
      <c r="LW917" s="96"/>
      <c r="LX917" s="96"/>
      <c r="LY917" s="96"/>
      <c r="LZ917" s="96"/>
      <c r="MA917" s="96"/>
      <c r="MB917" s="96"/>
      <c r="MC917" s="96"/>
      <c r="MD917" s="96"/>
      <c r="ME917" s="96"/>
      <c r="MF917" s="96"/>
      <c r="MG917" s="208"/>
      <c r="MH917" s="208"/>
      <c r="MI917" s="96"/>
      <c r="MJ917" s="96"/>
      <c r="MK917" s="96"/>
      <c r="ML917" s="96"/>
      <c r="MM917" s="96"/>
      <c r="MN917" s="96"/>
      <c r="MO917" s="96"/>
      <c r="MP917" s="96"/>
      <c r="MQ917" s="37"/>
      <c r="MR917" s="37"/>
      <c r="MS917" s="96"/>
      <c r="MT917" s="208"/>
      <c r="MU917" s="208"/>
      <c r="MW917" s="96"/>
      <c r="MX917" s="96"/>
      <c r="MY917" s="211" t="s">
        <v>1710</v>
      </c>
      <c r="MZ917" s="212">
        <v>16.25</v>
      </c>
      <c r="NB917" t="s">
        <v>1405</v>
      </c>
      <c r="NI917" s="185"/>
      <c r="NJ917" s="185"/>
      <c r="NK917" s="185"/>
      <c r="NL917" s="185" t="s">
        <v>660</v>
      </c>
      <c r="NM917" s="213" t="s">
        <v>508</v>
      </c>
      <c r="NN917" s="185"/>
      <c r="NO917" s="185"/>
      <c r="NP917" s="185"/>
      <c r="NQ917" s="185"/>
      <c r="NR917" s="185"/>
      <c r="NS917" s="185"/>
      <c r="NT917" s="185"/>
      <c r="NU917" s="185" t="s">
        <v>657</v>
      </c>
      <c r="NV917" s="185" t="s">
        <v>518</v>
      </c>
      <c r="NW917" s="214"/>
      <c r="NX917" s="185" t="s">
        <v>480</v>
      </c>
      <c r="NY917" s="147"/>
      <c r="NZ917" s="147"/>
      <c r="OA917" s="133"/>
      <c r="OB917" s="185">
        <v>3</v>
      </c>
      <c r="OC917" s="185">
        <v>1035.5</v>
      </c>
      <c r="OD917" s="185" t="s">
        <v>480</v>
      </c>
      <c r="OE917" s="208"/>
      <c r="OF917" s="208"/>
      <c r="OG917" s="208"/>
      <c r="OH917" s="208"/>
      <c r="OI917" s="208"/>
      <c r="OJ917" s="208"/>
      <c r="OK917" s="208"/>
      <c r="OL917" s="208"/>
      <c r="OM917" s="208"/>
      <c r="ON917" s="208"/>
      <c r="OO917" s="208"/>
      <c r="OP917" s="208"/>
      <c r="OQ917" s="208"/>
      <c r="OR917" s="208"/>
      <c r="OS917" s="208"/>
      <c r="OT917" s="208"/>
      <c r="OU917" t="s">
        <v>1711</v>
      </c>
      <c r="OV917" s="185" t="s">
        <v>518</v>
      </c>
      <c r="OX917">
        <v>2020</v>
      </c>
      <c r="OY917">
        <v>2021</v>
      </c>
      <c r="OZ917" s="96"/>
      <c r="PA917" s="96"/>
      <c r="PB917" t="s">
        <v>522</v>
      </c>
      <c r="PC917" s="50">
        <v>46148</v>
      </c>
    </row>
    <row r="918" spans="1:420" ht="17.25" thickBot="1">
      <c r="A918" s="205" t="s">
        <v>861</v>
      </c>
      <c r="B918" s="2" t="s">
        <v>1700</v>
      </c>
      <c r="C918" s="2" t="s">
        <v>1387</v>
      </c>
      <c r="D918" s="88" t="s">
        <v>668</v>
      </c>
      <c r="E918" s="2" t="s">
        <v>1701</v>
      </c>
      <c r="F918" s="88" t="s">
        <v>1702</v>
      </c>
      <c r="G918" s="2" t="s">
        <v>475</v>
      </c>
      <c r="H918" s="2" t="s">
        <v>476</v>
      </c>
      <c r="I918" s="88">
        <v>-11.474220000000001</v>
      </c>
      <c r="J918" s="88" t="s">
        <v>1703</v>
      </c>
      <c r="K918" s="88">
        <v>1000</v>
      </c>
      <c r="L918" s="2"/>
      <c r="M918" s="88"/>
      <c r="N918" s="2"/>
      <c r="O918" s="2"/>
      <c r="P918" s="2"/>
      <c r="Q918" s="2"/>
      <c r="R918" s="2"/>
      <c r="S918" s="2"/>
      <c r="T918" s="2"/>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c r="AV918" s="2" t="s">
        <v>1704</v>
      </c>
      <c r="AW918" s="2">
        <v>28</v>
      </c>
      <c r="AX918" s="2" t="s">
        <v>480</v>
      </c>
      <c r="AY918" s="2">
        <v>2</v>
      </c>
      <c r="AZ918" s="185" t="s">
        <v>1705</v>
      </c>
      <c r="BA918" s="185">
        <v>2020</v>
      </c>
      <c r="BB918" s="185">
        <v>2022</v>
      </c>
      <c r="BC918" s="185"/>
      <c r="BD918" s="185" t="s">
        <v>1712</v>
      </c>
      <c r="BE918" s="185" t="s">
        <v>536</v>
      </c>
      <c r="BF918" s="185" t="s">
        <v>484</v>
      </c>
      <c r="BG918" s="185" t="s">
        <v>1707</v>
      </c>
      <c r="BH918" s="185" t="s">
        <v>1708</v>
      </c>
      <c r="BI918" s="206" t="s">
        <v>1709</v>
      </c>
      <c r="BJ918" s="207">
        <v>4.4000000000000004</v>
      </c>
      <c r="BK918" s="185" t="s">
        <v>537</v>
      </c>
      <c r="BL918" s="185" t="s">
        <v>538</v>
      </c>
      <c r="BM918" s="185" t="s">
        <v>1713</v>
      </c>
      <c r="BN918" s="206" t="s">
        <v>1709</v>
      </c>
      <c r="BO918" s="207">
        <v>13.3</v>
      </c>
      <c r="BP918" s="185"/>
      <c r="BQ918" s="185"/>
      <c r="BR918" s="185"/>
      <c r="BS918" s="185"/>
      <c r="BT918" s="185"/>
      <c r="BU918" s="185"/>
      <c r="BV918" s="3"/>
      <c r="BW918" s="3"/>
      <c r="BX918" s="3"/>
      <c r="BY918" s="3"/>
      <c r="BZ918" s="3"/>
      <c r="CA918" s="3"/>
      <c r="CB918" s="3"/>
      <c r="CC918" s="3"/>
      <c r="CD918" s="3"/>
      <c r="CE918" s="3"/>
      <c r="CF918" s="3"/>
      <c r="CG918" s="3"/>
      <c r="CH918" s="3"/>
      <c r="CI918" s="3"/>
      <c r="CJ918" s="3"/>
      <c r="CK918" s="3"/>
      <c r="CL918" s="3"/>
      <c r="CM918" s="3"/>
      <c r="CN918" s="3"/>
      <c r="CO918" s="3"/>
      <c r="CP918" s="3"/>
      <c r="CQ918" s="3"/>
      <c r="CR918" s="3"/>
      <c r="CS918" s="3"/>
      <c r="CT918" s="3"/>
      <c r="CU918" s="3"/>
      <c r="CV918" s="3"/>
      <c r="CW918" s="3"/>
      <c r="CX918" s="3"/>
      <c r="CY918" s="3"/>
      <c r="CZ918" s="3"/>
      <c r="DA918" s="3"/>
      <c r="DB918" s="3"/>
      <c r="DC918" s="3"/>
      <c r="DD918" s="3"/>
      <c r="DE918" s="3"/>
      <c r="DF918" s="3"/>
      <c r="DG918" s="3"/>
      <c r="DH918" s="3"/>
      <c r="DI918" s="3"/>
      <c r="DJ918" s="3"/>
      <c r="DK918" s="3"/>
      <c r="DL918" s="3"/>
      <c r="DM918" s="3"/>
      <c r="DN918" s="3"/>
      <c r="DO918" s="3"/>
      <c r="DP918" s="3"/>
      <c r="DQ918" s="3"/>
      <c r="DR918" s="3"/>
      <c r="DS918" s="3"/>
      <c r="DT918" s="3"/>
      <c r="DU918" s="3"/>
      <c r="DV918" s="3"/>
      <c r="DW918" s="3"/>
      <c r="DX918" s="3"/>
      <c r="DY918" s="3"/>
      <c r="DZ918" s="3"/>
      <c r="EA918" s="3"/>
      <c r="EB918" s="3"/>
      <c r="EC918" s="3"/>
      <c r="ED918" s="2"/>
      <c r="EE918" s="185"/>
      <c r="EF918" s="185"/>
      <c r="EG918" s="185"/>
      <c r="EH918" s="185"/>
      <c r="EI918" s="185"/>
      <c r="EJ918" s="185"/>
      <c r="EK918" s="185"/>
      <c r="EL918" s="3"/>
      <c r="EM918" s="3"/>
      <c r="EN918" s="3"/>
      <c r="EO918" s="3"/>
      <c r="EP918" s="3"/>
      <c r="EQ918" s="3"/>
      <c r="ER918" s="3"/>
      <c r="ES918" s="3"/>
      <c r="ET918" s="3"/>
      <c r="EU918" s="3"/>
      <c r="EV918" s="3"/>
      <c r="EW918" s="3"/>
      <c r="EX918" s="3"/>
      <c r="EY918" s="3"/>
      <c r="EZ918" s="3"/>
      <c r="FA918" s="3"/>
      <c r="FB918" s="3"/>
      <c r="FC918" s="3"/>
      <c r="FD918" s="3"/>
      <c r="FE918" s="3"/>
      <c r="FF918" s="3"/>
      <c r="FG918" s="3"/>
      <c r="FH918" s="3"/>
      <c r="FI918" s="3"/>
      <c r="FJ918" s="3"/>
      <c r="FK918" s="3"/>
      <c r="FL918" s="3"/>
      <c r="FM918" s="3"/>
      <c r="FN918" s="3"/>
      <c r="FO918" s="3"/>
      <c r="FP918" s="3"/>
      <c r="FQ918" s="3"/>
      <c r="FR918" s="3"/>
      <c r="FS918" s="3"/>
      <c r="FT918" s="3"/>
      <c r="FU918" s="3"/>
      <c r="FV918" s="3"/>
      <c r="FW918" s="3"/>
      <c r="FX918" s="3"/>
      <c r="FY918" s="3"/>
      <c r="FZ918" s="3"/>
      <c r="GA918" s="3"/>
      <c r="GB918" s="3"/>
      <c r="GC918" s="3"/>
      <c r="GD918" s="3"/>
      <c r="GE918" s="3"/>
      <c r="GF918" s="3"/>
      <c r="GG918" s="3"/>
      <c r="GH918" s="3"/>
      <c r="GI918" s="3"/>
      <c r="GJ918" s="3"/>
      <c r="GK918" s="3"/>
      <c r="GL918" s="3"/>
      <c r="GM918" s="3"/>
      <c r="GN918" s="3"/>
      <c r="GO918" s="3"/>
      <c r="GP918" s="3"/>
      <c r="GQ918" s="3"/>
      <c r="GR918" s="3"/>
      <c r="GS918" s="3"/>
      <c r="GT918" s="3"/>
      <c r="GU918" s="3"/>
      <c r="GV918" s="3"/>
      <c r="GW918" s="3"/>
      <c r="GX918" s="3"/>
      <c r="GY918" s="3"/>
      <c r="GZ918" s="3"/>
      <c r="HA918" s="3"/>
      <c r="HB918" s="3"/>
      <c r="HC918" s="3"/>
      <c r="HD918" s="3"/>
      <c r="HE918" s="3"/>
      <c r="HF918" s="3"/>
      <c r="HG918" s="3"/>
      <c r="HH918" s="3"/>
      <c r="HI918" s="3"/>
      <c r="HJ918" s="3"/>
      <c r="HK918" s="185"/>
      <c r="HL918" s="185"/>
      <c r="HM918" s="185"/>
      <c r="HN918" s="185"/>
      <c r="HO918" s="185"/>
      <c r="HP918" s="185"/>
      <c r="HQ918" s="185"/>
      <c r="HR918" s="185"/>
      <c r="HS918" s="206"/>
      <c r="HT918" s="185"/>
      <c r="HU918" s="185"/>
      <c r="HV918" s="185"/>
      <c r="HW918" s="185"/>
      <c r="HX918" s="215"/>
      <c r="HY918" s="185"/>
      <c r="HZ918" s="185"/>
      <c r="IA918" s="185"/>
      <c r="IB918" s="185"/>
      <c r="IC918" s="185"/>
      <c r="ID918" s="185"/>
      <c r="IE918" s="185"/>
      <c r="IF918" s="185"/>
      <c r="IG918" s="185"/>
      <c r="IH918" s="185" t="s">
        <v>1712</v>
      </c>
      <c r="II918" s="148" t="s">
        <v>1714</v>
      </c>
      <c r="IJ918" s="148" t="s">
        <v>542</v>
      </c>
      <c r="IK918" s="210" t="s">
        <v>1715</v>
      </c>
      <c r="IL918" s="185">
        <v>2020</v>
      </c>
      <c r="IM918" s="185"/>
      <c r="IN918" s="185" t="s">
        <v>1716</v>
      </c>
      <c r="IO918" s="185"/>
      <c r="IP918" s="185"/>
      <c r="IQ918" s="185"/>
      <c r="IR918" s="185"/>
      <c r="IS918" s="185"/>
      <c r="IT918" s="185"/>
      <c r="IU918" s="185"/>
      <c r="IV918" s="185"/>
      <c r="IW918" s="185"/>
      <c r="IX918" s="2"/>
      <c r="IY918" s="2"/>
      <c r="IZ918" s="2"/>
      <c r="JA918" s="2"/>
      <c r="JB918" s="2"/>
      <c r="JC918" s="2"/>
      <c r="JD918" s="2"/>
      <c r="JE918" s="2"/>
      <c r="JF918" s="2"/>
      <c r="JG918" s="2"/>
      <c r="JH918" s="2"/>
      <c r="JI918" s="2"/>
      <c r="JJ918" s="2"/>
      <c r="JK918" s="2"/>
      <c r="JL918" s="151"/>
      <c r="JM918" s="140"/>
      <c r="JN918" s="206"/>
      <c r="JO918" s="185"/>
      <c r="JP918" s="206"/>
      <c r="JQ918" s="185"/>
      <c r="JR918" s="185"/>
      <c r="JS918" s="185"/>
      <c r="JT918" s="185"/>
      <c r="JU918" s="185"/>
      <c r="JV918" s="140"/>
      <c r="JW918" s="140"/>
      <c r="JX918" s="206"/>
      <c r="JY918" s="185"/>
      <c r="JZ918" s="206"/>
      <c r="KA918" s="185"/>
      <c r="KB918" s="185"/>
      <c r="KC918" s="185"/>
      <c r="KD918" s="206"/>
      <c r="KE918" s="206"/>
      <c r="KF918" s="148"/>
      <c r="KG918" s="216"/>
      <c r="KH918" s="185"/>
      <c r="KI918" s="185"/>
      <c r="KJ918" s="185"/>
      <c r="KK918" s="185"/>
      <c r="KL918" s="206"/>
      <c r="KM918" s="185"/>
      <c r="KN918" s="148"/>
      <c r="KO918" s="216"/>
      <c r="KP918" s="185"/>
      <c r="KQ918" s="185"/>
      <c r="KR918" s="148"/>
      <c r="KS918" s="216"/>
      <c r="KT918" s="185"/>
      <c r="KU918" s="185"/>
      <c r="KV918" s="185"/>
      <c r="KW918" s="3"/>
      <c r="KX918" s="3"/>
      <c r="KY918" s="3"/>
      <c r="KZ918" s="3"/>
      <c r="LA918" s="206"/>
      <c r="LB918" s="206"/>
      <c r="LC918" s="206"/>
      <c r="LD918" s="206"/>
      <c r="LE918" s="206"/>
      <c r="LF918" s="206"/>
      <c r="LG918" s="206"/>
      <c r="LH918" s="206"/>
      <c r="LI918" s="206"/>
      <c r="LJ918" s="206"/>
      <c r="LK918" s="206"/>
      <c r="LL918" s="206"/>
      <c r="LM918" s="206"/>
      <c r="LN918" s="185"/>
      <c r="LO918" s="185"/>
      <c r="LP918" s="185"/>
      <c r="LQ918" s="185"/>
      <c r="LR918" s="185"/>
      <c r="LS918" s="185"/>
      <c r="LT918" s="185"/>
      <c r="LU918" s="185"/>
      <c r="LW918" s="2"/>
      <c r="LX918" s="2"/>
      <c r="LY918" s="2"/>
      <c r="LZ918" s="2"/>
      <c r="MA918" s="2"/>
      <c r="ME918" s="2"/>
      <c r="MF918" s="185"/>
      <c r="MG918" s="185"/>
      <c r="MH918" s="185"/>
      <c r="MI918" s="2"/>
      <c r="MJ918" s="2"/>
      <c r="MK918" s="2"/>
      <c r="ML918" s="2"/>
      <c r="MM918" s="2"/>
      <c r="MN918" s="2"/>
      <c r="MO918" s="2"/>
      <c r="MP918" s="2"/>
      <c r="MQ918" s="185"/>
      <c r="MR918" s="185"/>
      <c r="MS918" s="185"/>
      <c r="MT918" s="185"/>
      <c r="MU918" s="185"/>
      <c r="MV918" s="185"/>
      <c r="MW918" s="185"/>
      <c r="MX918" s="185"/>
      <c r="MY918" s="211" t="s">
        <v>1710</v>
      </c>
      <c r="MZ918" s="212">
        <v>16.25</v>
      </c>
      <c r="NB918" t="s">
        <v>1405</v>
      </c>
      <c r="NC918" t="s">
        <v>1717</v>
      </c>
      <c r="NI918" s="185"/>
      <c r="NJ918" s="185"/>
      <c r="NK918" s="185"/>
      <c r="NL918" s="185" t="s">
        <v>660</v>
      </c>
      <c r="NM918" s="213" t="s">
        <v>508</v>
      </c>
      <c r="NN918" s="185"/>
      <c r="NO918" s="185"/>
      <c r="NP918" s="185"/>
      <c r="NQ918" s="185"/>
      <c r="NR918" s="185"/>
      <c r="NS918" s="185"/>
      <c r="NT918" s="185"/>
      <c r="NU918" s="185"/>
      <c r="NV918" s="185" t="s">
        <v>518</v>
      </c>
      <c r="NW918" s="214"/>
      <c r="NX918" s="185" t="s">
        <v>480</v>
      </c>
      <c r="NY918" s="147"/>
      <c r="NZ918" s="147"/>
      <c r="OA918" s="133"/>
      <c r="OB918" s="185">
        <v>3</v>
      </c>
      <c r="OC918" s="185">
        <v>799.7</v>
      </c>
      <c r="OD918" s="185" t="s">
        <v>480</v>
      </c>
      <c r="OE918" s="185">
        <v>677.5</v>
      </c>
      <c r="OF918" s="185" t="s">
        <v>480</v>
      </c>
      <c r="OG918" s="185"/>
      <c r="OH918" s="185"/>
      <c r="OI918" s="185"/>
      <c r="OJ918" s="185"/>
      <c r="OK918" s="185"/>
      <c r="OL918" s="185"/>
      <c r="OM918" s="185">
        <v>0.77</v>
      </c>
      <c r="ON918" s="185" t="s">
        <v>480</v>
      </c>
      <c r="OO918" s="185">
        <v>0.71</v>
      </c>
      <c r="OP918" s="185" t="s">
        <v>480</v>
      </c>
      <c r="OQ918" s="185"/>
      <c r="OR918" s="185"/>
      <c r="OS918" s="185">
        <v>1.48</v>
      </c>
      <c r="OT918" s="185" t="s">
        <v>480</v>
      </c>
      <c r="OU918" t="s">
        <v>1711</v>
      </c>
      <c r="OV918" s="185" t="s">
        <v>518</v>
      </c>
      <c r="OX918">
        <v>2020</v>
      </c>
      <c r="OY918">
        <v>2021</v>
      </c>
      <c r="PB918" t="s">
        <v>522</v>
      </c>
      <c r="PC918" s="50">
        <v>46148</v>
      </c>
    </row>
    <row r="919" spans="1:420" ht="17.25" thickBot="1">
      <c r="A919" s="205" t="s">
        <v>861</v>
      </c>
      <c r="B919" s="2" t="s">
        <v>1700</v>
      </c>
      <c r="C919" s="2" t="s">
        <v>1387</v>
      </c>
      <c r="D919" s="88" t="s">
        <v>668</v>
      </c>
      <c r="E919" s="2" t="s">
        <v>1701</v>
      </c>
      <c r="F919" s="88" t="s">
        <v>1702</v>
      </c>
      <c r="G919" s="2" t="s">
        <v>475</v>
      </c>
      <c r="H919" s="2" t="s">
        <v>476</v>
      </c>
      <c r="I919" s="88">
        <v>-11.474220000000001</v>
      </c>
      <c r="J919" s="88" t="s">
        <v>1703</v>
      </c>
      <c r="K919" s="88">
        <v>1000</v>
      </c>
      <c r="L919" s="2"/>
      <c r="M919" s="88"/>
      <c r="N919" s="2"/>
      <c r="O919" s="2"/>
      <c r="P919" s="2"/>
      <c r="Q919" s="2"/>
      <c r="R919" s="2"/>
      <c r="S919" s="2"/>
      <c r="T919" s="2"/>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c r="AV919" s="2" t="s">
        <v>1704</v>
      </c>
      <c r="AW919" s="2">
        <v>28</v>
      </c>
      <c r="AX919" s="2" t="s">
        <v>480</v>
      </c>
      <c r="AY919" s="2">
        <v>2</v>
      </c>
      <c r="AZ919" s="185" t="s">
        <v>1705</v>
      </c>
      <c r="BA919" s="185">
        <v>2020</v>
      </c>
      <c r="BB919" s="185">
        <v>2022</v>
      </c>
      <c r="BC919" s="185"/>
      <c r="BD919" s="185" t="s">
        <v>1718</v>
      </c>
      <c r="BE919" s="185" t="s">
        <v>566</v>
      </c>
      <c r="BF919" s="185" t="s">
        <v>484</v>
      </c>
      <c r="BG919" s="185" t="s">
        <v>1707</v>
      </c>
      <c r="BH919" s="185" t="s">
        <v>1708</v>
      </c>
      <c r="BI919" s="206" t="s">
        <v>1709</v>
      </c>
      <c r="BJ919" s="207">
        <v>4.4000000000000004</v>
      </c>
      <c r="BK919" s="185" t="s">
        <v>537</v>
      </c>
      <c r="BL919" s="185" t="s">
        <v>485</v>
      </c>
      <c r="BM919" s="185" t="s">
        <v>1719</v>
      </c>
      <c r="BN919" s="206" t="s">
        <v>1709</v>
      </c>
      <c r="BO919" s="207">
        <v>4.4000000000000004</v>
      </c>
      <c r="BP919" s="185"/>
      <c r="BQ919" s="185"/>
      <c r="BR919" s="185"/>
      <c r="BS919" s="185"/>
      <c r="BT919" s="185"/>
      <c r="BU919" s="185"/>
      <c r="BV919" s="3"/>
      <c r="BW919" s="3"/>
      <c r="BX919" s="3"/>
      <c r="BY919" s="3"/>
      <c r="BZ919" s="3"/>
      <c r="CA919" s="3"/>
      <c r="CB919" s="3"/>
      <c r="CC919" s="3"/>
      <c r="CD919" s="3"/>
      <c r="CE919" s="3"/>
      <c r="CF919" s="3"/>
      <c r="CG919" s="3"/>
      <c r="CH919" s="3"/>
      <c r="CI919" s="3"/>
      <c r="CJ919" s="3"/>
      <c r="CK919" s="3"/>
      <c r="CL919" s="3"/>
      <c r="CM919" s="3"/>
      <c r="CN919" s="3"/>
      <c r="CO919" s="3"/>
      <c r="CP919" s="3"/>
      <c r="CQ919" s="3"/>
      <c r="CR919" s="3"/>
      <c r="CS919" s="3"/>
      <c r="CT919" s="3"/>
      <c r="CU919" s="3"/>
      <c r="CV919" s="3"/>
      <c r="CW919" s="3"/>
      <c r="CX919" s="3"/>
      <c r="CY919" s="3"/>
      <c r="CZ919" s="3"/>
      <c r="DA919" s="3"/>
      <c r="DB919" s="3"/>
      <c r="DC919" s="3"/>
      <c r="DD919" s="3"/>
      <c r="DE919" s="3"/>
      <c r="DF919" s="3"/>
      <c r="DG919" s="3"/>
      <c r="DH919" s="3"/>
      <c r="DI919" s="3"/>
      <c r="DJ919" s="3"/>
      <c r="DK919" s="3"/>
      <c r="DL919" s="3"/>
      <c r="DM919" s="3"/>
      <c r="DN919" s="3"/>
      <c r="DO919" s="3"/>
      <c r="DP919" s="3"/>
      <c r="DQ919" s="3"/>
      <c r="DR919" s="3"/>
      <c r="DS919" s="3"/>
      <c r="DT919" s="3"/>
      <c r="DU919" s="3"/>
      <c r="DV919" s="3"/>
      <c r="DW919" s="3"/>
      <c r="DX919" s="3"/>
      <c r="DY919" s="3"/>
      <c r="DZ919" s="3"/>
      <c r="EA919" s="3"/>
      <c r="EB919" s="3"/>
      <c r="EC919" s="3"/>
      <c r="ED919" s="2"/>
      <c r="EE919" s="185"/>
      <c r="EF919" s="185"/>
      <c r="EG919" s="185"/>
      <c r="EH919" s="185"/>
      <c r="EI919" s="185"/>
      <c r="EJ919" s="185"/>
      <c r="EK919" s="185"/>
      <c r="EL919" s="3"/>
      <c r="EM919" s="3"/>
      <c r="EN919" s="3"/>
      <c r="EO919" s="3"/>
      <c r="EP919" s="3"/>
      <c r="EQ919" s="3"/>
      <c r="ER919" s="3"/>
      <c r="ES919" s="3"/>
      <c r="ET919" s="3"/>
      <c r="EU919" s="3"/>
      <c r="EV919" s="3"/>
      <c r="EW919" s="3"/>
      <c r="EX919" s="3"/>
      <c r="EY919" s="3"/>
      <c r="EZ919" s="3"/>
      <c r="FA919" s="3"/>
      <c r="FB919" s="3"/>
      <c r="FC919" s="3"/>
      <c r="FD919" s="3"/>
      <c r="FE919" s="3"/>
      <c r="FF919" s="3"/>
      <c r="FG919" s="3"/>
      <c r="FH919" s="3"/>
      <c r="FI919" s="3"/>
      <c r="FJ919" s="3"/>
      <c r="FK919" s="3"/>
      <c r="FL919" s="3"/>
      <c r="FM919" s="3"/>
      <c r="FN919" s="3"/>
      <c r="FO919" s="3"/>
      <c r="FP919" s="3"/>
      <c r="FQ919" s="3"/>
      <c r="FR919" s="3"/>
      <c r="FS919" s="3"/>
      <c r="FT919" s="3"/>
      <c r="FU919" s="3"/>
      <c r="FV919" s="3"/>
      <c r="FW919" s="3"/>
      <c r="FX919" s="3"/>
      <c r="FY919" s="3"/>
      <c r="FZ919" s="3"/>
      <c r="GA919" s="3"/>
      <c r="GB919" s="3"/>
      <c r="GC919" s="3"/>
      <c r="GD919" s="3"/>
      <c r="GE919" s="3"/>
      <c r="GF919" s="3"/>
      <c r="GG919" s="3"/>
      <c r="GH919" s="3"/>
      <c r="GI919" s="3"/>
      <c r="GJ919" s="3"/>
      <c r="GK919" s="3"/>
      <c r="GL919" s="3"/>
      <c r="GM919" s="3"/>
      <c r="GN919" s="3"/>
      <c r="GO919" s="3"/>
      <c r="GP919" s="3"/>
      <c r="GQ919" s="3"/>
      <c r="GR919" s="3"/>
      <c r="GS919" s="3"/>
      <c r="GT919" s="3"/>
      <c r="GU919" s="3"/>
      <c r="GV919" s="3"/>
      <c r="GW919" s="3"/>
      <c r="GX919" s="3"/>
      <c r="GY919" s="3"/>
      <c r="GZ919" s="3"/>
      <c r="HA919" s="3"/>
      <c r="HB919" s="3"/>
      <c r="HC919" s="3"/>
      <c r="HD919" s="3"/>
      <c r="HE919" s="3"/>
      <c r="HF919" s="3"/>
      <c r="HG919" s="3"/>
      <c r="HH919" s="3"/>
      <c r="HI919" s="3"/>
      <c r="HJ919" s="3"/>
      <c r="HK919" s="185"/>
      <c r="HL919" s="185"/>
      <c r="HM919" s="185"/>
      <c r="HN919" s="185"/>
      <c r="HO919" s="185"/>
      <c r="HP919" s="185"/>
      <c r="HQ919" s="185"/>
      <c r="HR919" s="185"/>
      <c r="HS919" s="206"/>
      <c r="HT919" s="185"/>
      <c r="HU919" s="185"/>
      <c r="HV919" s="185"/>
      <c r="HW919" s="185"/>
      <c r="HX919" s="215"/>
      <c r="HY919" s="185"/>
      <c r="HZ919" s="185"/>
      <c r="IA919" s="185"/>
      <c r="IB919" s="185"/>
      <c r="IC919" s="185"/>
      <c r="ID919" s="185"/>
      <c r="IE919" s="185"/>
      <c r="IF919" s="185"/>
      <c r="IG919" s="185"/>
      <c r="IH919" s="185" t="s">
        <v>1718</v>
      </c>
      <c r="II919" s="75" t="s">
        <v>929</v>
      </c>
      <c r="IJ919" s="148" t="s">
        <v>542</v>
      </c>
      <c r="IK919" s="210" t="s">
        <v>1715</v>
      </c>
      <c r="IL919" s="185">
        <v>2020</v>
      </c>
      <c r="IM919" s="185"/>
      <c r="IN919" s="185" t="s">
        <v>1716</v>
      </c>
      <c r="IO919" s="185"/>
      <c r="IP919" s="185"/>
      <c r="IQ919" s="185"/>
      <c r="IR919" s="185"/>
      <c r="IS919" s="185"/>
      <c r="IT919" s="185"/>
      <c r="IU919" s="185"/>
      <c r="IV919" s="185"/>
      <c r="IW919" s="185"/>
      <c r="IX919" s="2"/>
      <c r="IY919" s="2"/>
      <c r="IZ919" s="2"/>
      <c r="JA919" s="2"/>
      <c r="JB919" s="2"/>
      <c r="JC919" s="2"/>
      <c r="JD919" s="2"/>
      <c r="JE919" s="2"/>
      <c r="JF919" s="2"/>
      <c r="JG919" s="2"/>
      <c r="JH919" s="2"/>
      <c r="JI919" s="2"/>
      <c r="JJ919" s="2"/>
      <c r="JK919" s="2"/>
      <c r="JL919" s="151"/>
      <c r="JM919" s="140"/>
      <c r="JN919" s="206"/>
      <c r="JO919" s="185"/>
      <c r="JP919" s="206"/>
      <c r="JQ919" s="185"/>
      <c r="JR919" s="185"/>
      <c r="JS919" s="185"/>
      <c r="JT919" s="185"/>
      <c r="JU919" s="185"/>
      <c r="JV919" s="140"/>
      <c r="JW919" s="140"/>
      <c r="JX919" s="206"/>
      <c r="JY919" s="185"/>
      <c r="JZ919" s="206"/>
      <c r="KA919" s="185"/>
      <c r="KB919" s="185"/>
      <c r="KC919" s="185"/>
      <c r="KD919" s="206"/>
      <c r="KE919" s="206"/>
      <c r="KF919" s="148"/>
      <c r="KG919" s="216"/>
      <c r="KH919" s="185"/>
      <c r="KI919" s="185"/>
      <c r="KJ919" s="185"/>
      <c r="KK919" s="185"/>
      <c r="KL919" s="206"/>
      <c r="KM919" s="185"/>
      <c r="KN919" s="148"/>
      <c r="KO919" s="216"/>
      <c r="KP919" s="185"/>
      <c r="KQ919" s="185"/>
      <c r="KR919" s="148"/>
      <c r="KS919" s="216"/>
      <c r="KT919" s="185"/>
      <c r="KU919" s="185"/>
      <c r="KV919" s="185"/>
      <c r="KW919" s="3"/>
      <c r="KX919" s="3"/>
      <c r="KY919" s="3"/>
      <c r="KZ919" s="3"/>
      <c r="LA919" s="206"/>
      <c r="LB919" s="206"/>
      <c r="LC919" s="206"/>
      <c r="LD919" s="206"/>
      <c r="LE919" s="206"/>
      <c r="LF919" s="206"/>
      <c r="LG919" s="206"/>
      <c r="LH919" s="206"/>
      <c r="LI919" s="206"/>
      <c r="LJ919" s="206"/>
      <c r="LK919" s="206"/>
      <c r="LL919" s="206"/>
      <c r="LM919" s="206"/>
      <c r="LN919" s="185"/>
      <c r="LO919" s="185"/>
      <c r="LP919" s="185"/>
      <c r="LQ919" s="185"/>
      <c r="LR919" s="185"/>
      <c r="LS919" s="185"/>
      <c r="LT919" s="185"/>
      <c r="LU919" s="185"/>
      <c r="LW919" s="2"/>
      <c r="LX919" s="2"/>
      <c r="LY919" s="2"/>
      <c r="LZ919" s="2"/>
      <c r="MA919" s="2"/>
      <c r="ME919" s="2"/>
      <c r="MF919" s="185"/>
      <c r="MG919" s="185"/>
      <c r="MH919" s="185"/>
      <c r="MI919" s="2"/>
      <c r="MJ919" s="2"/>
      <c r="MK919" s="2"/>
      <c r="ML919" s="2"/>
      <c r="MM919" s="2"/>
      <c r="MN919" s="2"/>
      <c r="MO919" s="2"/>
      <c r="MP919" s="2"/>
      <c r="MQ919" s="185"/>
      <c r="MR919" s="185"/>
      <c r="MS919" s="185"/>
      <c r="MT919" s="185"/>
      <c r="MU919" s="185"/>
      <c r="MV919" s="185"/>
      <c r="MW919" s="185"/>
      <c r="MX919" s="185"/>
      <c r="MY919" s="211" t="s">
        <v>1710</v>
      </c>
      <c r="MZ919" s="212">
        <v>16.25</v>
      </c>
      <c r="NB919" t="s">
        <v>1184</v>
      </c>
      <c r="ND919" t="s">
        <v>548</v>
      </c>
      <c r="NI919" s="185"/>
      <c r="NJ919" s="185"/>
      <c r="NK919" s="185"/>
      <c r="NL919" s="185" t="s">
        <v>660</v>
      </c>
      <c r="NM919" s="213" t="s">
        <v>508</v>
      </c>
      <c r="NN919" s="185"/>
      <c r="NO919" s="185"/>
      <c r="NP919" s="185"/>
      <c r="NQ919" s="185"/>
      <c r="NR919" s="185"/>
      <c r="NS919" s="185"/>
      <c r="NT919" s="185"/>
      <c r="NU919" s="185"/>
      <c r="NV919" s="185" t="s">
        <v>518</v>
      </c>
      <c r="NW919" s="214"/>
      <c r="NX919" s="185" t="s">
        <v>480</v>
      </c>
      <c r="NY919" s="147"/>
      <c r="NZ919" s="147"/>
      <c r="OA919" s="133"/>
      <c r="OB919" s="185">
        <v>3</v>
      </c>
      <c r="OC919" s="185">
        <v>813.3</v>
      </c>
      <c r="OD919" s="185" t="s">
        <v>480</v>
      </c>
      <c r="OE919" s="185"/>
      <c r="OF919" s="185"/>
      <c r="OG919" s="185">
        <v>4168</v>
      </c>
      <c r="OH919" s="185" t="s">
        <v>480</v>
      </c>
      <c r="OI919" s="185"/>
      <c r="OJ919" s="185"/>
      <c r="OK919" s="185"/>
      <c r="OL919" s="185"/>
      <c r="OM919" s="185">
        <v>0.79</v>
      </c>
      <c r="ON919" s="185" t="s">
        <v>480</v>
      </c>
      <c r="OO919" s="185"/>
      <c r="OP919" s="185"/>
      <c r="OQ919" s="185">
        <v>0.87</v>
      </c>
      <c r="OR919" s="185" t="s">
        <v>480</v>
      </c>
      <c r="OS919" s="185">
        <v>1.66</v>
      </c>
      <c r="OT919" s="185" t="s">
        <v>480</v>
      </c>
      <c r="OU919" t="s">
        <v>1711</v>
      </c>
      <c r="OV919" s="185" t="s">
        <v>518</v>
      </c>
      <c r="OX919">
        <v>2020</v>
      </c>
      <c r="OY919">
        <v>2021</v>
      </c>
      <c r="PB919" t="s">
        <v>522</v>
      </c>
      <c r="PC919" s="50">
        <v>46148</v>
      </c>
    </row>
    <row r="920" spans="1:420" ht="17.25" thickBot="1">
      <c r="A920" s="205" t="s">
        <v>861</v>
      </c>
      <c r="B920" s="2" t="s">
        <v>1700</v>
      </c>
      <c r="C920" s="2" t="s">
        <v>1387</v>
      </c>
      <c r="D920" s="88" t="s">
        <v>668</v>
      </c>
      <c r="E920" s="2" t="s">
        <v>1701</v>
      </c>
      <c r="F920" s="88" t="s">
        <v>1702</v>
      </c>
      <c r="G920" s="2" t="s">
        <v>475</v>
      </c>
      <c r="H920" s="2" t="s">
        <v>476</v>
      </c>
      <c r="I920" s="88">
        <v>-11.474220000000001</v>
      </c>
      <c r="J920" s="88" t="s">
        <v>1703</v>
      </c>
      <c r="K920" s="88">
        <v>1000</v>
      </c>
      <c r="L920" s="2"/>
      <c r="M920" s="88"/>
      <c r="N920" s="2"/>
      <c r="O920" s="2"/>
      <c r="P920" s="2"/>
      <c r="Q920" s="2"/>
      <c r="R920" s="2"/>
      <c r="S920" s="2"/>
      <c r="T920" s="2"/>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c r="AV920" s="2" t="s">
        <v>1704</v>
      </c>
      <c r="AW920" s="2">
        <v>28</v>
      </c>
      <c r="AX920" s="2" t="s">
        <v>480</v>
      </c>
      <c r="AY920" s="2">
        <v>2</v>
      </c>
      <c r="AZ920" s="185" t="s">
        <v>1705</v>
      </c>
      <c r="BA920" s="185">
        <v>2020</v>
      </c>
      <c r="BB920" s="185">
        <v>2022</v>
      </c>
      <c r="BC920" s="185"/>
      <c r="BD920" s="185" t="s">
        <v>1720</v>
      </c>
      <c r="BE920" s="185" t="s">
        <v>572</v>
      </c>
      <c r="BF920" s="185" t="s">
        <v>484</v>
      </c>
      <c r="BG920" s="185" t="s">
        <v>538</v>
      </c>
      <c r="BH920" s="185" t="s">
        <v>1713</v>
      </c>
      <c r="BI920" s="206" t="s">
        <v>1709</v>
      </c>
      <c r="BJ920" s="207">
        <v>13.3</v>
      </c>
      <c r="BK920" s="185" t="s">
        <v>537</v>
      </c>
      <c r="BL920" s="185" t="s">
        <v>485</v>
      </c>
      <c r="BM920" s="185" t="s">
        <v>1719</v>
      </c>
      <c r="BN920" s="206" t="s">
        <v>1709</v>
      </c>
      <c r="BO920" s="207">
        <v>4.4000000000000004</v>
      </c>
      <c r="BP920" s="185"/>
      <c r="BQ920" s="185"/>
      <c r="BR920" s="185"/>
      <c r="BS920" s="185"/>
      <c r="BT920" s="185"/>
      <c r="BU920" s="185"/>
      <c r="BV920" s="3"/>
      <c r="BW920" s="3"/>
      <c r="BX920" s="3"/>
      <c r="BY920" s="3"/>
      <c r="BZ920" s="3"/>
      <c r="CA920" s="3"/>
      <c r="CB920" s="3"/>
      <c r="CC920" s="3"/>
      <c r="CD920" s="3"/>
      <c r="CE920" s="3"/>
      <c r="CF920" s="3"/>
      <c r="CG920" s="3"/>
      <c r="CH920" s="3"/>
      <c r="CI920" s="3"/>
      <c r="CJ920" s="3"/>
      <c r="CK920" s="3"/>
      <c r="CL920" s="3"/>
      <c r="CM920" s="3"/>
      <c r="CN920" s="3"/>
      <c r="CO920" s="3"/>
      <c r="CP920" s="3"/>
      <c r="CQ920" s="3"/>
      <c r="CR920" s="3"/>
      <c r="CS920" s="3"/>
      <c r="CT920" s="3"/>
      <c r="CU920" s="3"/>
      <c r="CV920" s="3"/>
      <c r="CW920" s="3"/>
      <c r="CX920" s="3"/>
      <c r="CY920" s="3"/>
      <c r="CZ920" s="3"/>
      <c r="DA920" s="3"/>
      <c r="DB920" s="3"/>
      <c r="DC920" s="3"/>
      <c r="DD920" s="3"/>
      <c r="DE920" s="3"/>
      <c r="DF920" s="3"/>
      <c r="DG920" s="3"/>
      <c r="DH920" s="3"/>
      <c r="DI920" s="3"/>
      <c r="DJ920" s="3"/>
      <c r="DK920" s="3"/>
      <c r="DL920" s="3"/>
      <c r="DM920" s="3"/>
      <c r="DN920" s="3"/>
      <c r="DO920" s="3"/>
      <c r="DP920" s="3"/>
      <c r="DQ920" s="3"/>
      <c r="DR920" s="3"/>
      <c r="DS920" s="3"/>
      <c r="DT920" s="3"/>
      <c r="DU920" s="3"/>
      <c r="DV920" s="3"/>
      <c r="DW920" s="3"/>
      <c r="DX920" s="3"/>
      <c r="DY920" s="3"/>
      <c r="DZ920" s="3"/>
      <c r="EA920" s="3"/>
      <c r="EB920" s="3"/>
      <c r="EC920" s="3"/>
      <c r="ED920" s="2"/>
      <c r="EE920" s="185"/>
      <c r="EF920" s="185"/>
      <c r="EG920" s="185"/>
      <c r="EH920" s="185"/>
      <c r="EI920" s="185"/>
      <c r="EJ920" s="185"/>
      <c r="EK920" s="185"/>
      <c r="EL920" s="3"/>
      <c r="EM920" s="3"/>
      <c r="EN920" s="3"/>
      <c r="EO920" s="3"/>
      <c r="EP920" s="3"/>
      <c r="EQ920" s="3"/>
      <c r="ER920" s="3"/>
      <c r="ES920" s="3"/>
      <c r="ET920" s="3"/>
      <c r="EU920" s="3"/>
      <c r="EV920" s="3"/>
      <c r="EW920" s="3"/>
      <c r="EX920" s="3"/>
      <c r="EY920" s="3"/>
      <c r="EZ920" s="3"/>
      <c r="FA920" s="3"/>
      <c r="FB920" s="3"/>
      <c r="FC920" s="3"/>
      <c r="FD920" s="3"/>
      <c r="FE920" s="3"/>
      <c r="FF920" s="3"/>
      <c r="FG920" s="3"/>
      <c r="FH920" s="3"/>
      <c r="FI920" s="3"/>
      <c r="FJ920" s="3"/>
      <c r="FK920" s="3"/>
      <c r="FL920" s="3"/>
      <c r="FM920" s="3"/>
      <c r="FN920" s="3"/>
      <c r="FO920" s="3"/>
      <c r="FP920" s="3"/>
      <c r="FQ920" s="3"/>
      <c r="FR920" s="3"/>
      <c r="FS920" s="3"/>
      <c r="FT920" s="3"/>
      <c r="FU920" s="3"/>
      <c r="FV920" s="3"/>
      <c r="FW920" s="3"/>
      <c r="FX920" s="3"/>
      <c r="FY920" s="3"/>
      <c r="FZ920" s="3"/>
      <c r="GA920" s="3"/>
      <c r="GB920" s="3"/>
      <c r="GC920" s="3"/>
      <c r="GD920" s="3"/>
      <c r="GE920" s="3"/>
      <c r="GF920" s="3"/>
      <c r="GG920" s="3"/>
      <c r="GH920" s="3"/>
      <c r="GI920" s="3"/>
      <c r="GJ920" s="3"/>
      <c r="GK920" s="3"/>
      <c r="GL920" s="3"/>
      <c r="GM920" s="3"/>
      <c r="GN920" s="3"/>
      <c r="GO920" s="3"/>
      <c r="GP920" s="3"/>
      <c r="GQ920" s="3"/>
      <c r="GR920" s="3"/>
      <c r="GS920" s="3"/>
      <c r="GT920" s="3"/>
      <c r="GU920" s="3"/>
      <c r="GV920" s="3"/>
      <c r="GW920" s="3"/>
      <c r="GX920" s="3"/>
      <c r="GY920" s="3"/>
      <c r="GZ920" s="3"/>
      <c r="HA920" s="3"/>
      <c r="HB920" s="3"/>
      <c r="HC920" s="3"/>
      <c r="HD920" s="3"/>
      <c r="HE920" s="3"/>
      <c r="HF920" s="3"/>
      <c r="HG920" s="3"/>
      <c r="HH920" s="3"/>
      <c r="HI920" s="3"/>
      <c r="HJ920" s="3"/>
      <c r="HK920" s="185"/>
      <c r="HL920" s="185"/>
      <c r="HM920" s="185"/>
      <c r="HN920" s="185"/>
      <c r="HO920" s="185"/>
      <c r="HP920" s="185"/>
      <c r="HQ920" s="185"/>
      <c r="HR920" s="185"/>
      <c r="HS920" s="206"/>
      <c r="HT920" s="185"/>
      <c r="HU920" s="185"/>
      <c r="HV920" s="185"/>
      <c r="HW920" s="185"/>
      <c r="HX920" s="215"/>
      <c r="HY920" s="185"/>
      <c r="HZ920" s="185"/>
      <c r="IA920" s="185"/>
      <c r="IB920" s="185"/>
      <c r="IC920" s="185"/>
      <c r="ID920" s="185"/>
      <c r="IE920" s="185"/>
      <c r="IF920" s="185"/>
      <c r="IG920" s="185"/>
      <c r="IH920" s="185" t="s">
        <v>1720</v>
      </c>
      <c r="II920" s="75" t="s">
        <v>929</v>
      </c>
      <c r="IJ920" s="148" t="s">
        <v>542</v>
      </c>
      <c r="IK920" s="210" t="s">
        <v>1715</v>
      </c>
      <c r="IL920" s="185">
        <v>2020</v>
      </c>
      <c r="IM920" s="185"/>
      <c r="IN920" s="185" t="s">
        <v>1716</v>
      </c>
      <c r="IO920" s="185"/>
      <c r="IP920" s="185"/>
      <c r="IQ920" s="185"/>
      <c r="IR920" s="185"/>
      <c r="IS920" s="185"/>
      <c r="IT920" s="185"/>
      <c r="IU920" s="185"/>
      <c r="IV920" s="185"/>
      <c r="IW920" s="185"/>
      <c r="IX920" s="2"/>
      <c r="IY920" s="2"/>
      <c r="IZ920" s="2"/>
      <c r="JA920" s="2"/>
      <c r="JB920" s="2"/>
      <c r="JC920" s="2"/>
      <c r="JD920" s="2"/>
      <c r="JE920" s="2"/>
      <c r="JF920" s="2"/>
      <c r="JG920" s="2"/>
      <c r="JH920" s="2"/>
      <c r="JI920" s="2"/>
      <c r="JJ920" s="2"/>
      <c r="JK920" s="2"/>
      <c r="JL920" s="151"/>
      <c r="JM920" s="140"/>
      <c r="JN920" s="206"/>
      <c r="JO920" s="185"/>
      <c r="JP920" s="206"/>
      <c r="JQ920" s="185"/>
      <c r="JR920" s="185"/>
      <c r="JS920" s="185"/>
      <c r="JT920" s="185"/>
      <c r="JU920" s="185"/>
      <c r="JV920" s="140"/>
      <c r="JW920" s="140"/>
      <c r="JX920" s="206"/>
      <c r="JY920" s="185"/>
      <c r="JZ920" s="206"/>
      <c r="KA920" s="185"/>
      <c r="KB920" s="185"/>
      <c r="KC920" s="185"/>
      <c r="KD920" s="206"/>
      <c r="KE920" s="206"/>
      <c r="KF920" s="148"/>
      <c r="KG920" s="216"/>
      <c r="KH920" s="185"/>
      <c r="KI920" s="185"/>
      <c r="KJ920" s="185"/>
      <c r="KK920" s="185"/>
      <c r="KL920" s="206"/>
      <c r="KM920" s="185"/>
      <c r="KN920" s="148"/>
      <c r="KO920" s="216"/>
      <c r="KP920" s="185"/>
      <c r="KQ920" s="185"/>
      <c r="KR920" s="148"/>
      <c r="KS920" s="216"/>
      <c r="KT920" s="185"/>
      <c r="KU920" s="185"/>
      <c r="KV920" s="185"/>
      <c r="KW920" s="3"/>
      <c r="KX920" s="3"/>
      <c r="KY920" s="3"/>
      <c r="KZ920" s="3"/>
      <c r="LA920" s="206"/>
      <c r="LB920" s="206"/>
      <c r="LC920" s="206"/>
      <c r="LD920" s="206"/>
      <c r="LE920" s="206"/>
      <c r="LF920" s="206"/>
      <c r="LG920" s="206"/>
      <c r="LH920" s="206"/>
      <c r="LI920" s="206"/>
      <c r="LJ920" s="206"/>
      <c r="LK920" s="206"/>
      <c r="LL920" s="206"/>
      <c r="LM920" s="206"/>
      <c r="LN920" s="185"/>
      <c r="LO920" s="185"/>
      <c r="LP920" s="185"/>
      <c r="LQ920" s="185"/>
      <c r="LR920" s="185"/>
      <c r="LS920" s="185"/>
      <c r="LT920" s="185"/>
      <c r="LU920" s="185"/>
      <c r="LW920" s="2"/>
      <c r="LX920" s="2"/>
      <c r="LY920" s="2"/>
      <c r="LZ920" s="2"/>
      <c r="MA920" s="2"/>
      <c r="ME920" s="2"/>
      <c r="MF920" s="185"/>
      <c r="MG920" s="185"/>
      <c r="MH920" s="185"/>
      <c r="MI920" s="2"/>
      <c r="MJ920" s="2"/>
      <c r="MK920" s="2"/>
      <c r="ML920" s="2"/>
      <c r="MM920" s="2"/>
      <c r="MN920" s="2"/>
      <c r="MO920" s="2"/>
      <c r="MP920" s="2"/>
      <c r="MQ920" s="185"/>
      <c r="MR920" s="185"/>
      <c r="MS920" s="185"/>
      <c r="MT920" s="185"/>
      <c r="MU920" s="185"/>
      <c r="MV920" s="185"/>
      <c r="MW920" s="185"/>
      <c r="MX920" s="185"/>
      <c r="MY920" s="211" t="s">
        <v>1710</v>
      </c>
      <c r="MZ920" s="212">
        <v>16.25</v>
      </c>
      <c r="NC920" t="s">
        <v>1717</v>
      </c>
      <c r="ND920" t="s">
        <v>548</v>
      </c>
      <c r="NI920" s="185"/>
      <c r="NJ920" s="185"/>
      <c r="NK920" s="185"/>
      <c r="NL920" s="185" t="s">
        <v>660</v>
      </c>
      <c r="NM920" s="213" t="s">
        <v>508</v>
      </c>
      <c r="NN920" s="185"/>
      <c r="NO920" s="185"/>
      <c r="NP920" s="185"/>
      <c r="NQ920" s="185"/>
      <c r="NR920" s="185"/>
      <c r="NS920" s="185"/>
      <c r="NT920" s="185"/>
      <c r="NU920" s="185"/>
      <c r="NV920" s="185" t="s">
        <v>518</v>
      </c>
      <c r="NW920" s="214"/>
      <c r="NX920" s="185" t="s">
        <v>480</v>
      </c>
      <c r="NY920" s="147"/>
      <c r="NZ920" s="147"/>
      <c r="OA920" s="133"/>
      <c r="OB920" s="185">
        <v>3</v>
      </c>
      <c r="OD920" s="185"/>
      <c r="OE920" s="185">
        <v>683</v>
      </c>
      <c r="OF920" s="185" t="s">
        <v>480</v>
      </c>
      <c r="OG920" s="185">
        <v>4004</v>
      </c>
      <c r="OH920" s="185" t="s">
        <v>480</v>
      </c>
      <c r="OI920" s="185"/>
      <c r="OJ920" s="185"/>
      <c r="OK920" s="185"/>
      <c r="OL920" s="185"/>
      <c r="OM920" s="185"/>
      <c r="ON920" s="185"/>
      <c r="OO920" s="185">
        <v>0.71</v>
      </c>
      <c r="OP920" s="185" t="s">
        <v>480</v>
      </c>
      <c r="OQ920" s="185">
        <v>0.84</v>
      </c>
      <c r="OR920" s="185" t="s">
        <v>480</v>
      </c>
      <c r="OS920" s="185">
        <v>1.55</v>
      </c>
      <c r="OT920" s="185" t="s">
        <v>480</v>
      </c>
      <c r="OU920" t="s">
        <v>1711</v>
      </c>
      <c r="OV920" s="185" t="s">
        <v>518</v>
      </c>
      <c r="OX920">
        <v>2020</v>
      </c>
      <c r="OY920">
        <v>2021</v>
      </c>
      <c r="PB920" t="s">
        <v>522</v>
      </c>
      <c r="PC920" s="50">
        <v>46148</v>
      </c>
    </row>
    <row r="921" spans="1:420" ht="17.25" thickBot="1">
      <c r="A921" s="205" t="s">
        <v>861</v>
      </c>
      <c r="B921" s="2" t="s">
        <v>1700</v>
      </c>
      <c r="C921" s="2" t="s">
        <v>1387</v>
      </c>
      <c r="D921" s="88" t="s">
        <v>668</v>
      </c>
      <c r="E921" s="2" t="s">
        <v>1701</v>
      </c>
      <c r="F921" s="88" t="s">
        <v>1702</v>
      </c>
      <c r="G921" s="2" t="s">
        <v>475</v>
      </c>
      <c r="H921" s="2" t="s">
        <v>476</v>
      </c>
      <c r="I921" s="88">
        <v>-11.474220000000001</v>
      </c>
      <c r="J921" s="88" t="s">
        <v>1703</v>
      </c>
      <c r="K921" s="88">
        <v>1000</v>
      </c>
      <c r="L921" s="2"/>
      <c r="M921" s="88"/>
      <c r="N921" s="2"/>
      <c r="O921" s="2"/>
      <c r="P921" s="2"/>
      <c r="Q921" s="2"/>
      <c r="R921" s="2"/>
      <c r="S921" s="2"/>
      <c r="T921" s="2"/>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c r="AV921" s="2" t="s">
        <v>1704</v>
      </c>
      <c r="AW921" s="2">
        <v>28</v>
      </c>
      <c r="AX921" s="2" t="s">
        <v>480</v>
      </c>
      <c r="AY921" s="2">
        <v>2</v>
      </c>
      <c r="AZ921" s="185" t="s">
        <v>1705</v>
      </c>
      <c r="BA921" s="185">
        <v>2020</v>
      </c>
      <c r="BB921" s="185">
        <v>2022</v>
      </c>
      <c r="BC921" s="185"/>
      <c r="BD921" s="185" t="s">
        <v>1721</v>
      </c>
      <c r="BE921" s="185" t="s">
        <v>483</v>
      </c>
      <c r="BF921" s="185" t="s">
        <v>484</v>
      </c>
      <c r="BG921" s="185" t="s">
        <v>538</v>
      </c>
      <c r="BH921" s="185" t="s">
        <v>1713</v>
      </c>
      <c r="BI921" s="206" t="s">
        <v>1709</v>
      </c>
      <c r="BJ921" s="207">
        <v>13.3</v>
      </c>
      <c r="BK921" s="185"/>
      <c r="BL921" s="185"/>
      <c r="BM921" s="185"/>
      <c r="BN921" s="185"/>
      <c r="BO921" s="185"/>
      <c r="BP921" s="185"/>
      <c r="BQ921" s="185"/>
      <c r="BR921" s="185"/>
      <c r="BS921" s="185"/>
      <c r="BT921" s="185"/>
      <c r="BU921" s="185"/>
      <c r="BV921" s="3"/>
      <c r="BW921" s="3"/>
      <c r="BX921" s="3"/>
      <c r="BY921" s="3"/>
      <c r="BZ921" s="3"/>
      <c r="CA921" s="3"/>
      <c r="CB921" s="3"/>
      <c r="CC921" s="3"/>
      <c r="CD921" s="3"/>
      <c r="CE921" s="3"/>
      <c r="CF921" s="3"/>
      <c r="CG921" s="3"/>
      <c r="CH921" s="3"/>
      <c r="CI921" s="3"/>
      <c r="CJ921" s="3"/>
      <c r="CK921" s="3"/>
      <c r="CL921" s="3"/>
      <c r="CM921" s="3"/>
      <c r="CN921" s="3"/>
      <c r="CO921" s="3"/>
      <c r="CP921" s="3"/>
      <c r="CQ921" s="3"/>
      <c r="CR921" s="3"/>
      <c r="CS921" s="3"/>
      <c r="CT921" s="3"/>
      <c r="CU921" s="3"/>
      <c r="CV921" s="3"/>
      <c r="CW921" s="3"/>
      <c r="CX921" s="3"/>
      <c r="CY921" s="3"/>
      <c r="CZ921" s="3"/>
      <c r="DA921" s="3"/>
      <c r="DB921" s="3"/>
      <c r="DC921" s="3"/>
      <c r="DD921" s="3"/>
      <c r="DE921" s="3"/>
      <c r="DF921" s="3"/>
      <c r="DG921" s="3"/>
      <c r="DH921" s="3"/>
      <c r="DI921" s="3"/>
      <c r="DJ921" s="3"/>
      <c r="DK921" s="3"/>
      <c r="DL921" s="3"/>
      <c r="DM921" s="3"/>
      <c r="DN921" s="3"/>
      <c r="DO921" s="3"/>
      <c r="DP921" s="3"/>
      <c r="DQ921" s="3"/>
      <c r="DR921" s="3"/>
      <c r="DS921" s="3"/>
      <c r="DT921" s="3"/>
      <c r="DU921" s="3"/>
      <c r="DV921" s="3"/>
      <c r="DW921" s="3"/>
      <c r="DX921" s="3"/>
      <c r="DY921" s="3"/>
      <c r="DZ921" s="3"/>
      <c r="EA921" s="3"/>
      <c r="EB921" s="3"/>
      <c r="EC921" s="3"/>
      <c r="ED921" s="2"/>
      <c r="EE921" s="185"/>
      <c r="EF921" s="185"/>
      <c r="EG921" s="185"/>
      <c r="EH921" s="185"/>
      <c r="EI921" s="185"/>
      <c r="EJ921" s="185"/>
      <c r="EK921" s="185"/>
      <c r="EL921" s="3"/>
      <c r="EM921" s="3"/>
      <c r="EN921" s="3"/>
      <c r="EO921" s="3"/>
      <c r="EP921" s="3"/>
      <c r="EQ921" s="3"/>
      <c r="ER921" s="3"/>
      <c r="ES921" s="3"/>
      <c r="ET921" s="3"/>
      <c r="EU921" s="3"/>
      <c r="EV921" s="3"/>
      <c r="EW921" s="3"/>
      <c r="EX921" s="3"/>
      <c r="EY921" s="3"/>
      <c r="EZ921" s="3"/>
      <c r="FA921" s="3"/>
      <c r="FB921" s="3"/>
      <c r="FC921" s="3"/>
      <c r="FD921" s="3"/>
      <c r="FE921" s="3"/>
      <c r="FF921" s="3"/>
      <c r="FG921" s="3"/>
      <c r="FH921" s="3"/>
      <c r="FI921" s="3"/>
      <c r="FJ921" s="3"/>
      <c r="FK921" s="3"/>
      <c r="FL921" s="3"/>
      <c r="FM921" s="3"/>
      <c r="FN921" s="3"/>
      <c r="FO921" s="3"/>
      <c r="FP921" s="3"/>
      <c r="FQ921" s="3"/>
      <c r="FR921" s="3"/>
      <c r="FS921" s="3"/>
      <c r="FT921" s="3"/>
      <c r="FU921" s="3"/>
      <c r="FV921" s="3"/>
      <c r="FW921" s="3"/>
      <c r="FX921" s="3"/>
      <c r="FY921" s="3"/>
      <c r="FZ921" s="3"/>
      <c r="GA921" s="3"/>
      <c r="GB921" s="3"/>
      <c r="GC921" s="3"/>
      <c r="GD921" s="3"/>
      <c r="GE921" s="3"/>
      <c r="GF921" s="3"/>
      <c r="GG921" s="3"/>
      <c r="GH921" s="3"/>
      <c r="GI921" s="3"/>
      <c r="GJ921" s="3"/>
      <c r="GK921" s="3"/>
      <c r="GL921" s="3"/>
      <c r="GM921" s="3"/>
      <c r="GN921" s="3"/>
      <c r="GO921" s="3"/>
      <c r="GP921" s="3"/>
      <c r="GQ921" s="3"/>
      <c r="GR921" s="3"/>
      <c r="GS921" s="3"/>
      <c r="GT921" s="3"/>
      <c r="GU921" s="3"/>
      <c r="GV921" s="3"/>
      <c r="GW921" s="3"/>
      <c r="GX921" s="3"/>
      <c r="GY921" s="3"/>
      <c r="GZ921" s="3"/>
      <c r="HA921" s="3"/>
      <c r="HB921" s="3"/>
      <c r="HC921" s="3"/>
      <c r="HD921" s="3"/>
      <c r="HE921" s="3"/>
      <c r="HF921" s="3"/>
      <c r="HG921" s="3"/>
      <c r="HH921" s="3"/>
      <c r="HI921" s="3"/>
      <c r="HJ921" s="3"/>
      <c r="HK921" s="185"/>
      <c r="HL921" s="185"/>
      <c r="HM921" s="185"/>
      <c r="HN921" s="185"/>
      <c r="HO921" s="185"/>
      <c r="HP921" s="185"/>
      <c r="HQ921" s="185"/>
      <c r="HR921" s="185"/>
      <c r="HS921" s="206"/>
      <c r="HT921" s="185"/>
      <c r="HU921" s="185"/>
      <c r="HV921" s="185"/>
      <c r="HW921" s="185"/>
      <c r="HX921" s="215"/>
      <c r="HY921" s="185"/>
      <c r="HZ921" s="185"/>
      <c r="IA921" s="185"/>
      <c r="IB921" s="185"/>
      <c r="IC921" s="185"/>
      <c r="ID921" s="185"/>
      <c r="IE921" s="185"/>
      <c r="IF921" s="185"/>
      <c r="IG921" s="185"/>
      <c r="IH921" s="185" t="s">
        <v>1721</v>
      </c>
      <c r="II921" s="148" t="s">
        <v>492</v>
      </c>
      <c r="IJ921" s="148"/>
      <c r="IK921" s="210"/>
      <c r="IL921" s="185"/>
      <c r="IM921" s="185"/>
      <c r="IN921" s="185"/>
      <c r="IO921" s="185"/>
      <c r="IP921" s="185"/>
      <c r="IQ921" s="185"/>
      <c r="IR921" s="185"/>
      <c r="IS921" s="185"/>
      <c r="IT921" s="185"/>
      <c r="IU921" s="185"/>
      <c r="IV921" s="185"/>
      <c r="IW921" s="185"/>
      <c r="IX921" s="2"/>
      <c r="IY921" s="2"/>
      <c r="IZ921" s="2"/>
      <c r="JA921" s="2"/>
      <c r="JB921" s="2"/>
      <c r="JC921" s="2"/>
      <c r="JD921" s="2"/>
      <c r="JE921" s="2"/>
      <c r="JF921" s="2"/>
      <c r="JG921" s="2"/>
      <c r="JH921" s="2"/>
      <c r="JI921" s="2"/>
      <c r="JJ921" s="2"/>
      <c r="JK921" s="2"/>
      <c r="JL921" s="151"/>
      <c r="JM921" s="140"/>
      <c r="JN921" s="206"/>
      <c r="JO921" s="185"/>
      <c r="JP921" s="206"/>
      <c r="JQ921" s="185"/>
      <c r="JR921" s="185"/>
      <c r="JS921" s="185"/>
      <c r="JT921" s="185"/>
      <c r="JU921" s="185"/>
      <c r="JV921" s="140"/>
      <c r="JW921" s="140"/>
      <c r="JX921" s="206"/>
      <c r="JY921" s="185"/>
      <c r="JZ921" s="206"/>
      <c r="KA921" s="185"/>
      <c r="KB921" s="185"/>
      <c r="KC921" s="185"/>
      <c r="KD921" s="206"/>
      <c r="KE921" s="206"/>
      <c r="KF921" s="148"/>
      <c r="KG921" s="216"/>
      <c r="KH921" s="185"/>
      <c r="KI921" s="185"/>
      <c r="KJ921" s="185"/>
      <c r="KK921" s="185"/>
      <c r="KL921" s="206"/>
      <c r="KM921" s="185"/>
      <c r="KN921" s="148"/>
      <c r="KO921" s="216"/>
      <c r="KP921" s="185"/>
      <c r="KQ921" s="185"/>
      <c r="KR921" s="148"/>
      <c r="KS921" s="216"/>
      <c r="KT921" s="185"/>
      <c r="KU921" s="185"/>
      <c r="KV921" s="185"/>
      <c r="KW921" s="3"/>
      <c r="KX921" s="3"/>
      <c r="KY921" s="3"/>
      <c r="KZ921" s="3"/>
      <c r="LA921" s="206"/>
      <c r="LB921" s="206"/>
      <c r="LC921" s="206"/>
      <c r="LD921" s="206"/>
      <c r="LE921" s="206"/>
      <c r="LF921" s="206"/>
      <c r="LG921" s="206"/>
      <c r="LH921" s="206"/>
      <c r="LI921" s="206"/>
      <c r="LJ921" s="206"/>
      <c r="LK921" s="206"/>
      <c r="LL921" s="206"/>
      <c r="LM921" s="206"/>
      <c r="LN921" s="185"/>
      <c r="LO921" s="185"/>
      <c r="LP921" s="185"/>
      <c r="LQ921" s="185"/>
      <c r="LR921" s="185"/>
      <c r="LS921" s="185"/>
      <c r="LT921" s="185"/>
      <c r="LU921" s="185"/>
      <c r="LW921" s="2"/>
      <c r="LX921" s="2"/>
      <c r="LY921" s="2"/>
      <c r="LZ921" s="2"/>
      <c r="MA921" s="2"/>
      <c r="ME921" s="2"/>
      <c r="MF921" s="185"/>
      <c r="MG921" s="185"/>
      <c r="MH921" s="185"/>
      <c r="MI921" s="2"/>
      <c r="MJ921" s="2"/>
      <c r="MK921" s="2"/>
      <c r="ML921" s="2"/>
      <c r="MM921" s="2"/>
      <c r="MN921" s="2"/>
      <c r="MO921" s="2"/>
      <c r="MP921" s="2"/>
      <c r="MQ921" s="185"/>
      <c r="MR921" s="185"/>
      <c r="MS921" s="185"/>
      <c r="MT921" s="185"/>
      <c r="MU921" s="185"/>
      <c r="MV921" s="185"/>
      <c r="MW921" s="185"/>
      <c r="MX921" s="185"/>
      <c r="MY921" s="211" t="s">
        <v>1710</v>
      </c>
      <c r="MZ921" s="212">
        <v>16.25</v>
      </c>
      <c r="NC921" t="s">
        <v>1717</v>
      </c>
      <c r="NI921" s="185"/>
      <c r="NJ921" s="185"/>
      <c r="NK921" s="185"/>
      <c r="NL921" s="185" t="s">
        <v>660</v>
      </c>
      <c r="NM921" s="213" t="s">
        <v>508</v>
      </c>
      <c r="NN921" s="185"/>
      <c r="NO921" s="185"/>
      <c r="NP921" s="185"/>
      <c r="NQ921" s="185"/>
      <c r="NR921" s="185"/>
      <c r="NS921" s="185"/>
      <c r="NT921" s="185"/>
      <c r="NU921" s="185" t="s">
        <v>1722</v>
      </c>
      <c r="NV921" s="185" t="s">
        <v>518</v>
      </c>
      <c r="NW921" s="214"/>
      <c r="NX921" s="185" t="s">
        <v>480</v>
      </c>
      <c r="NY921" s="147"/>
      <c r="NZ921" s="147"/>
      <c r="OA921" s="133"/>
      <c r="OB921" s="185">
        <v>3</v>
      </c>
      <c r="OD921" s="185"/>
      <c r="OE921" s="185">
        <v>953.5</v>
      </c>
      <c r="OF921" s="185" t="s">
        <v>480</v>
      </c>
      <c r="OG921" s="185"/>
      <c r="OH921" s="185"/>
      <c r="OI921" s="185"/>
      <c r="OJ921" s="185"/>
      <c r="OK921" s="185"/>
      <c r="OL921" s="185"/>
      <c r="OM921" s="185"/>
      <c r="ON921" s="185"/>
      <c r="OO921" s="185"/>
      <c r="OP921" s="185"/>
      <c r="OQ921" s="185"/>
      <c r="OR921" s="185"/>
      <c r="OS921" s="185"/>
      <c r="OT921" s="185"/>
      <c r="OU921" t="s">
        <v>1711</v>
      </c>
      <c r="OV921" s="185" t="s">
        <v>518</v>
      </c>
      <c r="OX921">
        <v>2020</v>
      </c>
      <c r="OY921">
        <v>2021</v>
      </c>
      <c r="PB921" t="s">
        <v>522</v>
      </c>
      <c r="PC921" s="50">
        <v>46148</v>
      </c>
    </row>
    <row r="922" spans="1:420" ht="17.25" thickBot="1">
      <c r="A922" s="205" t="s">
        <v>861</v>
      </c>
      <c r="B922" s="2" t="s">
        <v>1700</v>
      </c>
      <c r="C922" s="2" t="s">
        <v>1387</v>
      </c>
      <c r="D922" s="88" t="s">
        <v>668</v>
      </c>
      <c r="E922" s="2" t="s">
        <v>1701</v>
      </c>
      <c r="F922" s="88" t="s">
        <v>1702</v>
      </c>
      <c r="G922" s="2" t="s">
        <v>475</v>
      </c>
      <c r="H922" s="2" t="s">
        <v>476</v>
      </c>
      <c r="I922" s="88">
        <v>-11.474220000000001</v>
      </c>
      <c r="J922" s="88" t="s">
        <v>1703</v>
      </c>
      <c r="K922" s="88">
        <v>1000</v>
      </c>
      <c r="L922" s="2"/>
      <c r="M922" s="88"/>
      <c r="N922" s="2"/>
      <c r="O922" s="2"/>
      <c r="P922" s="2"/>
      <c r="Q922" s="2"/>
      <c r="R922" s="2"/>
      <c r="S922" s="2"/>
      <c r="T922" s="2"/>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c r="AV922" s="2" t="s">
        <v>1704</v>
      </c>
      <c r="AW922" s="2">
        <v>28</v>
      </c>
      <c r="AX922" s="2" t="s">
        <v>480</v>
      </c>
      <c r="AY922" s="2">
        <v>2</v>
      </c>
      <c r="AZ922" s="185" t="s">
        <v>1705</v>
      </c>
      <c r="BA922" s="185">
        <v>2020</v>
      </c>
      <c r="BB922" s="185">
        <v>2022</v>
      </c>
      <c r="BC922" s="185"/>
      <c r="BD922" s="185" t="s">
        <v>1723</v>
      </c>
      <c r="BE922" s="185" t="s">
        <v>593</v>
      </c>
      <c r="BF922" s="185" t="s">
        <v>484</v>
      </c>
      <c r="BG922" s="185" t="s">
        <v>485</v>
      </c>
      <c r="BH922" s="185" t="s">
        <v>1719</v>
      </c>
      <c r="BI922" s="206" t="s">
        <v>1709</v>
      </c>
      <c r="BJ922" s="207">
        <v>4.4000000000000004</v>
      </c>
      <c r="BK922" s="185"/>
      <c r="BL922" s="185"/>
      <c r="BM922" s="185"/>
      <c r="BN922" s="185"/>
      <c r="BO922" s="185"/>
      <c r="BP922" s="185"/>
      <c r="BQ922" s="185"/>
      <c r="BR922" s="185"/>
      <c r="BS922" s="185"/>
      <c r="BT922" s="185"/>
      <c r="BU922" s="185"/>
      <c r="BV922" s="3"/>
      <c r="BW922" s="3"/>
      <c r="BX922" s="3"/>
      <c r="BY922" s="3"/>
      <c r="BZ922" s="3"/>
      <c r="CA922" s="3"/>
      <c r="CB922" s="3"/>
      <c r="CC922" s="3"/>
      <c r="CD922" s="3"/>
      <c r="CE922" s="3"/>
      <c r="CF922" s="3"/>
      <c r="CG922" s="3"/>
      <c r="CH922" s="3"/>
      <c r="CI922" s="3"/>
      <c r="CJ922" s="3"/>
      <c r="CK922" s="3"/>
      <c r="CL922" s="3"/>
      <c r="CM922" s="3"/>
      <c r="CN922" s="3"/>
      <c r="CO922" s="3"/>
      <c r="CP922" s="3"/>
      <c r="CQ922" s="3"/>
      <c r="CR922" s="3"/>
      <c r="CS922" s="3"/>
      <c r="CT922" s="3"/>
      <c r="CU922" s="3"/>
      <c r="CV922" s="3"/>
      <c r="CW922" s="3"/>
      <c r="CX922" s="3"/>
      <c r="CY922" s="3"/>
      <c r="CZ922" s="3"/>
      <c r="DA922" s="3"/>
      <c r="DB922" s="3"/>
      <c r="DC922" s="3"/>
      <c r="DD922" s="3"/>
      <c r="DE922" s="3"/>
      <c r="DF922" s="3"/>
      <c r="DG922" s="3"/>
      <c r="DH922" s="3"/>
      <c r="DI922" s="3"/>
      <c r="DJ922" s="3"/>
      <c r="DK922" s="3"/>
      <c r="DL922" s="3"/>
      <c r="DM922" s="3"/>
      <c r="DN922" s="3"/>
      <c r="DO922" s="3"/>
      <c r="DP922" s="3"/>
      <c r="DQ922" s="3"/>
      <c r="DR922" s="3"/>
      <c r="DS922" s="3"/>
      <c r="DT922" s="3"/>
      <c r="DU922" s="3"/>
      <c r="DV922" s="3"/>
      <c r="DW922" s="3"/>
      <c r="DX922" s="3"/>
      <c r="DY922" s="3"/>
      <c r="DZ922" s="3"/>
      <c r="EA922" s="3"/>
      <c r="EB922" s="3"/>
      <c r="EC922" s="3"/>
      <c r="ED922" s="2"/>
      <c r="EE922" s="185"/>
      <c r="EF922" s="185"/>
      <c r="EG922" s="185"/>
      <c r="EH922" s="185"/>
      <c r="EI922" s="185"/>
      <c r="EJ922" s="185"/>
      <c r="EK922" s="185"/>
      <c r="EL922" s="3"/>
      <c r="EM922" s="3"/>
      <c r="EN922" s="3"/>
      <c r="EO922" s="3"/>
      <c r="EP922" s="3"/>
      <c r="EQ922" s="3"/>
      <c r="ER922" s="3"/>
      <c r="ES922" s="3"/>
      <c r="ET922" s="3"/>
      <c r="EU922" s="3"/>
      <c r="EV922" s="3"/>
      <c r="EW922" s="3"/>
      <c r="EX922" s="3"/>
      <c r="EY922" s="3"/>
      <c r="EZ922" s="3"/>
      <c r="FA922" s="3"/>
      <c r="FB922" s="3"/>
      <c r="FC922" s="3"/>
      <c r="FD922" s="3"/>
      <c r="FE922" s="3"/>
      <c r="FF922" s="3"/>
      <c r="FG922" s="3"/>
      <c r="FH922" s="3"/>
      <c r="FI922" s="3"/>
      <c r="FJ922" s="3"/>
      <c r="FK922" s="3"/>
      <c r="FL922" s="3"/>
      <c r="FM922" s="3"/>
      <c r="FN922" s="3"/>
      <c r="FO922" s="3"/>
      <c r="FP922" s="3"/>
      <c r="FQ922" s="3"/>
      <c r="FR922" s="3"/>
      <c r="FS922" s="3"/>
      <c r="FT922" s="3"/>
      <c r="FU922" s="3"/>
      <c r="FV922" s="3"/>
      <c r="FW922" s="3"/>
      <c r="FX922" s="3"/>
      <c r="FY922" s="3"/>
      <c r="FZ922" s="3"/>
      <c r="GA922" s="3"/>
      <c r="GB922" s="3"/>
      <c r="GC922" s="3"/>
      <c r="GD922" s="3"/>
      <c r="GE922" s="3"/>
      <c r="GF922" s="3"/>
      <c r="GG922" s="3"/>
      <c r="GH922" s="3"/>
      <c r="GI922" s="3"/>
      <c r="GJ922" s="3"/>
      <c r="GK922" s="3"/>
      <c r="GL922" s="3"/>
      <c r="GM922" s="3"/>
      <c r="GN922" s="3"/>
      <c r="GO922" s="3"/>
      <c r="GP922" s="3"/>
      <c r="GQ922" s="3"/>
      <c r="GR922" s="3"/>
      <c r="GS922" s="3"/>
      <c r="GT922" s="3"/>
      <c r="GU922" s="3"/>
      <c r="GV922" s="3"/>
      <c r="GW922" s="3"/>
      <c r="GX922" s="3"/>
      <c r="GY922" s="3"/>
      <c r="GZ922" s="3"/>
      <c r="HA922" s="3"/>
      <c r="HB922" s="3"/>
      <c r="HC922" s="3"/>
      <c r="HD922" s="3"/>
      <c r="HE922" s="3"/>
      <c r="HF922" s="3"/>
      <c r="HG922" s="3"/>
      <c r="HH922" s="3"/>
      <c r="HI922" s="3"/>
      <c r="HJ922" s="3"/>
      <c r="HK922" s="185"/>
      <c r="HL922" s="185"/>
      <c r="HM922" s="185"/>
      <c r="HN922" s="185"/>
      <c r="HO922" s="185"/>
      <c r="HP922" s="185"/>
      <c r="HQ922" s="185"/>
      <c r="HR922" s="185"/>
      <c r="HS922" s="206"/>
      <c r="HT922" s="185"/>
      <c r="HU922" s="185"/>
      <c r="HV922" s="185"/>
      <c r="HW922" s="185"/>
      <c r="HX922" s="215"/>
      <c r="HY922" s="185"/>
      <c r="HZ922" s="185"/>
      <c r="IA922" s="185"/>
      <c r="IB922" s="185"/>
      <c r="IC922" s="185"/>
      <c r="ID922" s="185"/>
      <c r="IE922" s="185"/>
      <c r="IF922" s="185"/>
      <c r="IG922" s="185"/>
      <c r="IH922" s="185" t="s">
        <v>1723</v>
      </c>
      <c r="II922" s="148" t="s">
        <v>492</v>
      </c>
      <c r="IJ922" s="148"/>
      <c r="IK922" s="210"/>
      <c r="IL922" s="185"/>
      <c r="IM922" s="185"/>
      <c r="IN922" s="185"/>
      <c r="IO922" s="185"/>
      <c r="IP922" s="185"/>
      <c r="IQ922" s="185"/>
      <c r="IR922" s="185"/>
      <c r="IS922" s="185"/>
      <c r="IT922" s="185"/>
      <c r="IU922" s="185"/>
      <c r="IV922" s="185"/>
      <c r="IW922" s="185"/>
      <c r="IX922" s="2"/>
      <c r="IY922" s="2"/>
      <c r="IZ922" s="2"/>
      <c r="JA922" s="2"/>
      <c r="JB922" s="2"/>
      <c r="JC922" s="2"/>
      <c r="JD922" s="2"/>
      <c r="JE922" s="2"/>
      <c r="JF922" s="2"/>
      <c r="JG922" s="2"/>
      <c r="JH922" s="2"/>
      <c r="JI922" s="2"/>
      <c r="JJ922" s="2"/>
      <c r="JK922" s="2"/>
      <c r="JL922" s="151"/>
      <c r="JM922" s="140"/>
      <c r="JN922" s="206"/>
      <c r="JO922" s="185"/>
      <c r="JP922" s="206"/>
      <c r="JQ922" s="185"/>
      <c r="JR922" s="185"/>
      <c r="JS922" s="185"/>
      <c r="JT922" s="185"/>
      <c r="JU922" s="185"/>
      <c r="JV922" s="140"/>
      <c r="JW922" s="140"/>
      <c r="JX922" s="206"/>
      <c r="JY922" s="185"/>
      <c r="JZ922" s="206"/>
      <c r="KA922" s="185"/>
      <c r="KB922" s="185"/>
      <c r="KC922" s="185"/>
      <c r="KD922" s="206"/>
      <c r="KE922" s="206"/>
      <c r="KF922" s="148"/>
      <c r="KG922" s="216"/>
      <c r="KH922" s="185"/>
      <c r="KI922" s="185"/>
      <c r="KJ922" s="185"/>
      <c r="KK922" s="185"/>
      <c r="KL922" s="206"/>
      <c r="KM922" s="185"/>
      <c r="KN922" s="148"/>
      <c r="KO922" s="216"/>
      <c r="KP922" s="185"/>
      <c r="KQ922" s="185"/>
      <c r="KR922" s="148"/>
      <c r="KS922" s="216"/>
      <c r="KT922" s="185"/>
      <c r="KU922" s="185"/>
      <c r="KV922" s="185"/>
      <c r="KW922" s="3"/>
      <c r="KX922" s="3"/>
      <c r="KY922" s="3"/>
      <c r="KZ922" s="3"/>
      <c r="LA922" s="206"/>
      <c r="LB922" s="206"/>
      <c r="LC922" s="206"/>
      <c r="LD922" s="206"/>
      <c r="LE922" s="206"/>
      <c r="LF922" s="206"/>
      <c r="LG922" s="206"/>
      <c r="LH922" s="206"/>
      <c r="LI922" s="206"/>
      <c r="LJ922" s="206"/>
      <c r="LK922" s="206"/>
      <c r="LL922" s="206"/>
      <c r="LM922" s="206"/>
      <c r="LN922" s="185"/>
      <c r="LO922" s="185"/>
      <c r="LP922" s="185"/>
      <c r="LQ922" s="185"/>
      <c r="LR922" s="185"/>
      <c r="LS922" s="185"/>
      <c r="LT922" s="185"/>
      <c r="LU922" s="185"/>
      <c r="LW922" s="2"/>
      <c r="LX922" s="2"/>
      <c r="LY922" s="2"/>
      <c r="LZ922" s="2"/>
      <c r="MA922" s="2"/>
      <c r="ME922" s="2"/>
      <c r="MF922" s="185"/>
      <c r="MG922" s="185"/>
      <c r="MH922" s="185"/>
      <c r="MI922" s="2"/>
      <c r="MJ922" s="2"/>
      <c r="MK922" s="2"/>
      <c r="ML922" s="2"/>
      <c r="MM922" s="2"/>
      <c r="MN922" s="2"/>
      <c r="MO922" s="2"/>
      <c r="MP922" s="2"/>
      <c r="MQ922" s="185"/>
      <c r="MR922" s="185"/>
      <c r="MS922" s="185"/>
      <c r="MT922" s="185"/>
      <c r="MU922" s="185"/>
      <c r="MV922" s="185"/>
      <c r="MW922" s="185"/>
      <c r="MX922" s="185"/>
      <c r="MY922" s="211" t="s">
        <v>1710</v>
      </c>
      <c r="MZ922" s="212">
        <v>16.25</v>
      </c>
      <c r="ND922" t="s">
        <v>548</v>
      </c>
      <c r="NI922" s="185"/>
      <c r="NJ922" s="185"/>
      <c r="NK922" s="185"/>
      <c r="NL922" s="185" t="s">
        <v>660</v>
      </c>
      <c r="NM922" s="213" t="s">
        <v>508</v>
      </c>
      <c r="NN922" s="185"/>
      <c r="NO922" s="185"/>
      <c r="NP922" s="185"/>
      <c r="NQ922" s="185"/>
      <c r="NR922" s="185"/>
      <c r="NS922" s="185"/>
      <c r="NT922" s="185"/>
      <c r="NU922" s="185" t="s">
        <v>1724</v>
      </c>
      <c r="NV922" s="185" t="s">
        <v>518</v>
      </c>
      <c r="NW922" s="214"/>
      <c r="NX922" s="185" t="s">
        <v>480</v>
      </c>
      <c r="NY922" s="147"/>
      <c r="NZ922" s="147"/>
      <c r="OA922" s="133"/>
      <c r="OB922" s="185">
        <v>3</v>
      </c>
      <c r="OD922" s="185"/>
      <c r="OF922" s="185"/>
      <c r="OG922" s="185">
        <v>4788</v>
      </c>
      <c r="OH922" s="185" t="s">
        <v>480</v>
      </c>
      <c r="OI922" s="185"/>
      <c r="OJ922" s="185"/>
      <c r="OK922" s="185"/>
      <c r="OL922" s="185"/>
      <c r="OM922" s="185"/>
      <c r="ON922" s="185"/>
      <c r="OO922" s="185"/>
      <c r="OP922" s="185"/>
      <c r="OQ922" s="185"/>
      <c r="OR922" s="185"/>
      <c r="OS922" s="185"/>
      <c r="OT922" s="185"/>
      <c r="OU922" t="s">
        <v>1711</v>
      </c>
      <c r="OV922" s="185" t="s">
        <v>518</v>
      </c>
      <c r="OX922">
        <v>2020</v>
      </c>
      <c r="OY922">
        <v>2021</v>
      </c>
      <c r="PB922" t="s">
        <v>522</v>
      </c>
      <c r="PC922" s="50">
        <v>46148</v>
      </c>
    </row>
    <row r="923" spans="1:420" ht="15" customHeight="1" thickBot="1">
      <c r="A923" s="205" t="s">
        <v>861</v>
      </c>
      <c r="B923" s="2" t="s">
        <v>1700</v>
      </c>
      <c r="C923" s="2" t="s">
        <v>1387</v>
      </c>
      <c r="D923" s="88" t="s">
        <v>668</v>
      </c>
      <c r="E923" s="2" t="s">
        <v>1701</v>
      </c>
      <c r="F923" s="88" t="s">
        <v>1702</v>
      </c>
      <c r="G923" s="2" t="s">
        <v>475</v>
      </c>
      <c r="H923" s="2" t="s">
        <v>476</v>
      </c>
      <c r="I923" s="88">
        <v>-11.474220000000001</v>
      </c>
      <c r="J923" s="88" t="s">
        <v>1703</v>
      </c>
      <c r="K923" s="88">
        <v>1000</v>
      </c>
      <c r="L923" s="2"/>
      <c r="M923" s="88"/>
      <c r="N923" s="2"/>
      <c r="O923" s="2"/>
      <c r="P923" s="2"/>
      <c r="Q923" s="2"/>
      <c r="R923" s="2"/>
      <c r="S923" s="2"/>
      <c r="T923" s="2"/>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c r="AV923" s="2" t="s">
        <v>1704</v>
      </c>
      <c r="AW923" s="2">
        <v>28</v>
      </c>
      <c r="AX923" s="2" t="s">
        <v>480</v>
      </c>
      <c r="AY923" s="2">
        <v>2</v>
      </c>
      <c r="AZ923" s="185" t="s">
        <v>1705</v>
      </c>
      <c r="BA923" s="185">
        <v>2020</v>
      </c>
      <c r="BB923" s="185">
        <v>2022</v>
      </c>
      <c r="BC923" s="185"/>
      <c r="BD923" s="185" t="s">
        <v>1706</v>
      </c>
      <c r="BE923" s="185" t="s">
        <v>524</v>
      </c>
      <c r="BF923" s="185" t="s">
        <v>484</v>
      </c>
      <c r="BG923" s="185" t="s">
        <v>1707</v>
      </c>
      <c r="BH923" s="185" t="s">
        <v>1708</v>
      </c>
      <c r="BI923" s="206" t="s">
        <v>1709</v>
      </c>
      <c r="BJ923" s="207">
        <v>4.4000000000000004</v>
      </c>
      <c r="BK923" s="185"/>
      <c r="BL923" s="185"/>
      <c r="BM923" s="208"/>
      <c r="BN923" s="208"/>
      <c r="BO923" s="208"/>
      <c r="BP923" s="208"/>
      <c r="BQ923" s="208"/>
      <c r="BR923" s="208"/>
      <c r="BS923" s="208"/>
      <c r="BT923" s="208"/>
      <c r="BU923" s="208"/>
      <c r="BV923" s="96"/>
      <c r="BW923" s="96"/>
      <c r="BX923" s="96"/>
      <c r="BY923" s="96"/>
      <c r="BZ923" s="96"/>
      <c r="CA923" s="96"/>
      <c r="CB923" s="96"/>
      <c r="CC923" s="96"/>
      <c r="CD923" s="96"/>
      <c r="CE923" s="96"/>
      <c r="CF923" s="96"/>
      <c r="CG923" s="96"/>
      <c r="CH923" s="96"/>
      <c r="CI923" s="96"/>
      <c r="CJ923" s="96"/>
      <c r="CK923" s="96"/>
      <c r="CL923" s="96"/>
      <c r="CM923" s="96"/>
      <c r="CN923" s="96"/>
      <c r="CO923" s="96"/>
      <c r="CP923" s="96"/>
      <c r="CQ923" s="96"/>
      <c r="CR923" s="96"/>
      <c r="CS923" s="96"/>
      <c r="CT923" s="96"/>
      <c r="CU923" s="96"/>
      <c r="CV923" s="96"/>
      <c r="CW923" s="96"/>
      <c r="CX923" s="96"/>
      <c r="CY923" s="96"/>
      <c r="CZ923" s="96"/>
      <c r="DA923" s="96"/>
      <c r="DB923" s="96"/>
      <c r="DC923" s="96"/>
      <c r="DD923" s="96"/>
      <c r="DE923" s="96"/>
      <c r="DF923" s="96"/>
      <c r="DG923" s="96"/>
      <c r="DH923" s="96"/>
      <c r="DI923" s="96"/>
      <c r="DJ923" s="96"/>
      <c r="DK923" s="96"/>
      <c r="DL923" s="96"/>
      <c r="DM923" s="96"/>
      <c r="DN923" s="96"/>
      <c r="DO923" s="96"/>
      <c r="DP923" s="96"/>
      <c r="DQ923" s="96"/>
      <c r="DR923" s="96"/>
      <c r="DS923" s="96"/>
      <c r="DT923" s="96"/>
      <c r="DU923" s="96"/>
      <c r="DV923" s="96"/>
      <c r="DW923" s="96"/>
      <c r="DX923" s="96"/>
      <c r="DY923" s="96"/>
      <c r="DZ923" s="96"/>
      <c r="EA923" s="96"/>
      <c r="EB923" s="96"/>
      <c r="EC923" s="96"/>
      <c r="ED923" s="96"/>
      <c r="EE923" s="208"/>
      <c r="EF923" s="208"/>
      <c r="EG923" s="208"/>
      <c r="EH923" s="208"/>
      <c r="EI923" s="208"/>
      <c r="EJ923" s="208"/>
      <c r="EK923" s="208"/>
      <c r="EL923" s="96"/>
      <c r="EM923" s="96"/>
      <c r="EN923" s="96"/>
      <c r="EO923" s="96"/>
      <c r="EP923" s="96"/>
      <c r="EQ923" s="96"/>
      <c r="ER923" s="96"/>
      <c r="ES923" s="96"/>
      <c r="ET923" s="96"/>
      <c r="EU923" s="96"/>
      <c r="EV923" s="96"/>
      <c r="EW923" s="96"/>
      <c r="EX923" s="96"/>
      <c r="EY923" s="96"/>
      <c r="EZ923" s="96"/>
      <c r="FA923" s="96"/>
      <c r="FB923" s="96"/>
      <c r="FC923" s="96"/>
      <c r="FD923" s="96"/>
      <c r="FE923" s="96"/>
      <c r="FF923" s="96"/>
      <c r="FG923" s="96"/>
      <c r="FH923" s="96"/>
      <c r="FI923" s="96"/>
      <c r="FJ923" s="96"/>
      <c r="FK923" s="96"/>
      <c r="FL923" s="96"/>
      <c r="FM923" s="96"/>
      <c r="FN923" s="96"/>
      <c r="FO923" s="96"/>
      <c r="FP923" s="96"/>
      <c r="FQ923" s="96"/>
      <c r="FR923" s="96"/>
      <c r="FS923" s="96"/>
      <c r="FT923" s="96"/>
      <c r="FU923" s="96"/>
      <c r="FV923" s="96"/>
      <c r="FW923" s="96"/>
      <c r="FX923" s="96"/>
      <c r="FY923" s="96"/>
      <c r="FZ923" s="96"/>
      <c r="GA923" s="96"/>
      <c r="GB923" s="96"/>
      <c r="GC923" s="96"/>
      <c r="GD923" s="96"/>
      <c r="GE923" s="96"/>
      <c r="GF923" s="96"/>
      <c r="GG923" s="96"/>
      <c r="GH923" s="96"/>
      <c r="GI923" s="96"/>
      <c r="GJ923" s="96"/>
      <c r="GK923" s="96"/>
      <c r="GL923" s="96"/>
      <c r="GM923" s="96"/>
      <c r="GN923" s="96"/>
      <c r="GO923" s="96"/>
      <c r="GP923" s="96"/>
      <c r="GQ923" s="96"/>
      <c r="GR923" s="96"/>
      <c r="GS923" s="96"/>
      <c r="GT923" s="96"/>
      <c r="GU923" s="96"/>
      <c r="GV923" s="96"/>
      <c r="GW923" s="96"/>
      <c r="GX923" s="96"/>
      <c r="GY923" s="96"/>
      <c r="GZ923" s="96"/>
      <c r="HA923" s="96"/>
      <c r="HB923" s="96"/>
      <c r="HC923" s="96"/>
      <c r="HD923" s="96"/>
      <c r="HE923" s="96"/>
      <c r="HF923" s="96"/>
      <c r="HG923" s="96"/>
      <c r="HH923" s="96"/>
      <c r="HI923" s="96"/>
      <c r="HJ923" s="96"/>
      <c r="HK923" s="208"/>
      <c r="HL923" s="208"/>
      <c r="HM923" s="208"/>
      <c r="HN923" s="208"/>
      <c r="HO923" s="208"/>
      <c r="HP923" s="208"/>
      <c r="HQ923" s="208"/>
      <c r="HR923" s="208"/>
      <c r="HS923" s="208"/>
      <c r="HT923" s="37"/>
      <c r="HU923" s="37"/>
      <c r="HV923" s="208"/>
      <c r="HW923" s="208"/>
      <c r="HX923" s="208"/>
      <c r="HY923" s="208"/>
      <c r="HZ923" s="208"/>
      <c r="IA923" s="208"/>
      <c r="IB923" s="208"/>
      <c r="IC923" s="208"/>
      <c r="ID923" s="208"/>
      <c r="IE923" s="208"/>
      <c r="IF923" s="208"/>
      <c r="IG923" s="208"/>
      <c r="IH923" s="185" t="s">
        <v>1706</v>
      </c>
      <c r="II923" s="209" t="s">
        <v>492</v>
      </c>
      <c r="IJ923" s="209"/>
      <c r="IK923" s="208"/>
      <c r="IL923" s="208"/>
      <c r="IM923" s="208"/>
      <c r="IN923" s="185"/>
      <c r="IO923" s="208"/>
      <c r="IP923" s="208"/>
      <c r="IQ923" s="208"/>
      <c r="IR923" s="208"/>
      <c r="IS923" s="208"/>
      <c r="IT923" s="208"/>
      <c r="IU923" s="208"/>
      <c r="IV923" s="208"/>
      <c r="IW923" s="208"/>
      <c r="IX923" s="96"/>
      <c r="IY923" s="96"/>
      <c r="IZ923" s="96"/>
      <c r="JA923" s="96"/>
      <c r="JB923" s="96"/>
      <c r="JC923" s="96"/>
      <c r="JD923" s="96"/>
      <c r="JE923" s="96"/>
      <c r="JF923" s="96"/>
      <c r="JG923" s="96"/>
      <c r="JH923" s="96"/>
      <c r="JI923" s="96"/>
      <c r="JJ923" s="96"/>
      <c r="JK923" s="96"/>
      <c r="JL923" s="96"/>
      <c r="JM923" s="208"/>
      <c r="JN923" s="206"/>
      <c r="JO923" s="208"/>
      <c r="JP923" s="206"/>
      <c r="JQ923" s="208"/>
      <c r="JR923" s="208"/>
      <c r="JS923" s="208"/>
      <c r="JT923" s="208"/>
      <c r="JU923" s="208"/>
      <c r="JV923" s="208"/>
      <c r="JW923" s="208"/>
      <c r="JX923" s="208"/>
      <c r="JY923" s="208"/>
      <c r="JZ923" s="208"/>
      <c r="KA923" s="208"/>
      <c r="KB923" s="208"/>
      <c r="KC923" s="208"/>
      <c r="KD923" s="208"/>
      <c r="KE923" s="208"/>
      <c r="KF923" s="148"/>
      <c r="KG923" s="148"/>
      <c r="KH923" s="210"/>
      <c r="KI923" s="210"/>
      <c r="KJ923" s="210"/>
      <c r="KK923" s="210"/>
      <c r="KL923" s="210"/>
      <c r="KM923" s="210"/>
      <c r="KN923" s="148"/>
      <c r="KO923" s="148"/>
      <c r="KP923" s="210"/>
      <c r="KQ923" s="210"/>
      <c r="KR923" s="148"/>
      <c r="KS923" s="148"/>
      <c r="KT923" s="210"/>
      <c r="KU923" s="210"/>
      <c r="KV923" s="210"/>
      <c r="KW923" s="38"/>
      <c r="KX923" s="38"/>
      <c r="KY923" s="38"/>
      <c r="KZ923" s="38"/>
      <c r="LA923" s="206"/>
      <c r="LB923" s="206"/>
      <c r="LC923" s="206"/>
      <c r="LD923" s="206"/>
      <c r="LE923" s="206"/>
      <c r="LF923" s="206"/>
      <c r="LG923" s="206"/>
      <c r="LH923" s="206"/>
      <c r="LI923" s="208"/>
      <c r="LJ923" s="208"/>
      <c r="LK923" s="208"/>
      <c r="LL923" s="208"/>
      <c r="LM923" s="208"/>
      <c r="LN923" s="208"/>
      <c r="LO923" s="208"/>
      <c r="LP923" s="208"/>
      <c r="LQ923" s="208"/>
      <c r="LR923" s="208"/>
      <c r="LS923" s="208"/>
      <c r="LT923" s="208"/>
      <c r="LU923" s="208"/>
      <c r="LV923" s="96"/>
      <c r="LW923" s="96"/>
      <c r="LX923" s="96"/>
      <c r="LY923" s="96"/>
      <c r="LZ923" s="96"/>
      <c r="MA923" s="96"/>
      <c r="MB923" s="96"/>
      <c r="MC923" s="96"/>
      <c r="MD923" s="96"/>
      <c r="ME923" s="96"/>
      <c r="MF923" s="96"/>
      <c r="MG923" s="208"/>
      <c r="MH923" s="208"/>
      <c r="MI923" s="96"/>
      <c r="MJ923" s="96"/>
      <c r="MK923" s="96"/>
      <c r="ML923" s="96"/>
      <c r="MM923" s="96"/>
      <c r="MN923" s="96"/>
      <c r="MO923" s="96"/>
      <c r="MP923" s="96"/>
      <c r="MQ923" s="37"/>
      <c r="MR923" s="37"/>
      <c r="MS923" s="96"/>
      <c r="MT923" s="208"/>
      <c r="MU923" s="208"/>
      <c r="MW923" s="96"/>
      <c r="MX923" s="96"/>
      <c r="MY923" s="211" t="s">
        <v>1710</v>
      </c>
      <c r="MZ923" s="212">
        <v>16.25</v>
      </c>
      <c r="NB923" t="s">
        <v>1405</v>
      </c>
      <c r="NI923" s="185"/>
      <c r="NJ923" s="185"/>
      <c r="NK923" s="185"/>
      <c r="NL923" s="185" t="s">
        <v>660</v>
      </c>
      <c r="NM923" s="213" t="s">
        <v>508</v>
      </c>
      <c r="NN923" s="185"/>
      <c r="NO923" s="185"/>
      <c r="NP923" s="185"/>
      <c r="NQ923" s="185"/>
      <c r="NR923" s="185"/>
      <c r="NS923" s="185"/>
      <c r="NT923" s="185"/>
      <c r="NU923" s="185" t="s">
        <v>657</v>
      </c>
      <c r="NV923" s="185" t="s">
        <v>518</v>
      </c>
      <c r="NW923" s="214"/>
      <c r="NX923" s="185" t="s">
        <v>480</v>
      </c>
      <c r="NY923" s="147"/>
      <c r="NZ923" s="147"/>
      <c r="OA923" s="133"/>
      <c r="OB923" s="185">
        <v>3</v>
      </c>
      <c r="OC923" s="185">
        <v>1532</v>
      </c>
      <c r="OD923" s="185" t="s">
        <v>480</v>
      </c>
      <c r="OE923" s="208"/>
      <c r="OF923" s="208"/>
      <c r="OG923" s="208"/>
      <c r="OH923" s="208"/>
      <c r="OI923" s="208"/>
      <c r="OJ923" s="208"/>
      <c r="OK923" s="208"/>
      <c r="OL923" s="208"/>
      <c r="OM923" s="208"/>
      <c r="ON923" s="208"/>
      <c r="OO923" s="208"/>
      <c r="OP923" s="208"/>
      <c r="OQ923" s="208"/>
      <c r="OR923" s="208"/>
      <c r="OS923" s="208"/>
      <c r="OT923" s="208"/>
      <c r="OU923" t="s">
        <v>1711</v>
      </c>
      <c r="OV923" s="185" t="s">
        <v>518</v>
      </c>
      <c r="OX923">
        <v>2021</v>
      </c>
      <c r="OY923">
        <v>2022</v>
      </c>
      <c r="OZ923" s="96"/>
      <c r="PA923" s="96"/>
      <c r="PB923" t="s">
        <v>522</v>
      </c>
      <c r="PC923" s="50">
        <v>46148</v>
      </c>
    </row>
    <row r="924" spans="1:420" ht="17.25" thickBot="1">
      <c r="A924" s="205" t="s">
        <v>861</v>
      </c>
      <c r="B924" s="2" t="s">
        <v>1700</v>
      </c>
      <c r="C924" s="2" t="s">
        <v>1387</v>
      </c>
      <c r="D924" s="88" t="s">
        <v>668</v>
      </c>
      <c r="E924" s="2" t="s">
        <v>1701</v>
      </c>
      <c r="F924" s="88" t="s">
        <v>1702</v>
      </c>
      <c r="G924" s="2" t="s">
        <v>475</v>
      </c>
      <c r="H924" s="2" t="s">
        <v>476</v>
      </c>
      <c r="I924" s="88">
        <v>-11.474220000000001</v>
      </c>
      <c r="J924" s="88" t="s">
        <v>1703</v>
      </c>
      <c r="K924" s="88">
        <v>1000</v>
      </c>
      <c r="L924" s="2"/>
      <c r="M924" s="88"/>
      <c r="N924" s="2"/>
      <c r="O924" s="2"/>
      <c r="P924" s="2"/>
      <c r="Q924" s="2"/>
      <c r="R924" s="2"/>
      <c r="S924" s="2"/>
      <c r="T924" s="2"/>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c r="AV924" s="2" t="s">
        <v>1704</v>
      </c>
      <c r="AW924" s="2">
        <v>28</v>
      </c>
      <c r="AX924" s="2" t="s">
        <v>480</v>
      </c>
      <c r="AY924" s="2">
        <v>2</v>
      </c>
      <c r="AZ924" s="185" t="s">
        <v>1705</v>
      </c>
      <c r="BA924" s="185">
        <v>2020</v>
      </c>
      <c r="BB924" s="185">
        <v>2022</v>
      </c>
      <c r="BC924" s="185"/>
      <c r="BD924" s="185" t="s">
        <v>1712</v>
      </c>
      <c r="BE924" s="185" t="s">
        <v>536</v>
      </c>
      <c r="BF924" s="185" t="s">
        <v>484</v>
      </c>
      <c r="BG924" s="185" t="s">
        <v>1707</v>
      </c>
      <c r="BH924" s="185" t="s">
        <v>1708</v>
      </c>
      <c r="BI924" s="206" t="s">
        <v>1709</v>
      </c>
      <c r="BJ924" s="207">
        <v>4.4000000000000004</v>
      </c>
      <c r="BK924" s="185" t="s">
        <v>537</v>
      </c>
      <c r="BL924" s="185" t="s">
        <v>538</v>
      </c>
      <c r="BM924" s="185" t="s">
        <v>1713</v>
      </c>
      <c r="BN924" s="206" t="s">
        <v>1709</v>
      </c>
      <c r="BO924" s="207">
        <v>13.3</v>
      </c>
      <c r="BP924" s="185"/>
      <c r="BQ924" s="185"/>
      <c r="BR924" s="185"/>
      <c r="BS924" s="185"/>
      <c r="BT924" s="185"/>
      <c r="BU924" s="185"/>
      <c r="BV924" s="3"/>
      <c r="BW924" s="3"/>
      <c r="BX924" s="3"/>
      <c r="BY924" s="3"/>
      <c r="BZ924" s="3"/>
      <c r="CA924" s="3"/>
      <c r="CB924" s="3"/>
      <c r="CC924" s="3"/>
      <c r="CD924" s="3"/>
      <c r="CE924" s="3"/>
      <c r="CF924" s="3"/>
      <c r="CG924" s="3"/>
      <c r="CH924" s="3"/>
      <c r="CI924" s="3"/>
      <c r="CJ924" s="3"/>
      <c r="CK924" s="3"/>
      <c r="CL924" s="3"/>
      <c r="CM924" s="3"/>
      <c r="CN924" s="3"/>
      <c r="CO924" s="3"/>
      <c r="CP924" s="3"/>
      <c r="CQ924" s="3"/>
      <c r="CR924" s="3"/>
      <c r="CS924" s="3"/>
      <c r="CT924" s="3"/>
      <c r="CU924" s="3"/>
      <c r="CV924" s="3"/>
      <c r="CW924" s="3"/>
      <c r="CX924" s="3"/>
      <c r="CY924" s="3"/>
      <c r="CZ924" s="3"/>
      <c r="DA924" s="3"/>
      <c r="DB924" s="3"/>
      <c r="DC924" s="3"/>
      <c r="DD924" s="3"/>
      <c r="DE924" s="3"/>
      <c r="DF924" s="3"/>
      <c r="DG924" s="3"/>
      <c r="DH924" s="3"/>
      <c r="DI924" s="3"/>
      <c r="DJ924" s="3"/>
      <c r="DK924" s="3"/>
      <c r="DL924" s="3"/>
      <c r="DM924" s="3"/>
      <c r="DN924" s="3"/>
      <c r="DO924" s="3"/>
      <c r="DP924" s="3"/>
      <c r="DQ924" s="3"/>
      <c r="DR924" s="3"/>
      <c r="DS924" s="3"/>
      <c r="DT924" s="3"/>
      <c r="DU924" s="3"/>
      <c r="DV924" s="3"/>
      <c r="DW924" s="3"/>
      <c r="DX924" s="3"/>
      <c r="DY924" s="3"/>
      <c r="DZ924" s="3"/>
      <c r="EA924" s="3"/>
      <c r="EB924" s="3"/>
      <c r="EC924" s="3"/>
      <c r="ED924" s="2"/>
      <c r="EE924" s="185"/>
      <c r="EF924" s="185"/>
      <c r="EG924" s="185"/>
      <c r="EH924" s="185"/>
      <c r="EI924" s="185"/>
      <c r="EJ924" s="185"/>
      <c r="EK924" s="185"/>
      <c r="EL924" s="3"/>
      <c r="EM924" s="3"/>
      <c r="EN924" s="3"/>
      <c r="EO924" s="3"/>
      <c r="EP924" s="3"/>
      <c r="EQ924" s="3"/>
      <c r="ER924" s="3"/>
      <c r="ES924" s="3"/>
      <c r="ET924" s="3"/>
      <c r="EU924" s="3"/>
      <c r="EV924" s="3"/>
      <c r="EW924" s="3"/>
      <c r="EX924" s="3"/>
      <c r="EY924" s="3"/>
      <c r="EZ924" s="3"/>
      <c r="FA924" s="3"/>
      <c r="FB924" s="3"/>
      <c r="FC924" s="3"/>
      <c r="FD924" s="3"/>
      <c r="FE924" s="3"/>
      <c r="FF924" s="3"/>
      <c r="FG924" s="3"/>
      <c r="FH924" s="3"/>
      <c r="FI924" s="3"/>
      <c r="FJ924" s="3"/>
      <c r="FK924" s="3"/>
      <c r="FL924" s="3"/>
      <c r="FM924" s="3"/>
      <c r="FN924" s="3"/>
      <c r="FO924" s="3"/>
      <c r="FP924" s="3"/>
      <c r="FQ924" s="3"/>
      <c r="FR924" s="3"/>
      <c r="FS924" s="3"/>
      <c r="FT924" s="3"/>
      <c r="FU924" s="3"/>
      <c r="FV924" s="3"/>
      <c r="FW924" s="3"/>
      <c r="FX924" s="3"/>
      <c r="FY924" s="3"/>
      <c r="FZ924" s="3"/>
      <c r="GA924" s="3"/>
      <c r="GB924" s="3"/>
      <c r="GC924" s="3"/>
      <c r="GD924" s="3"/>
      <c r="GE924" s="3"/>
      <c r="GF924" s="3"/>
      <c r="GG924" s="3"/>
      <c r="GH924" s="3"/>
      <c r="GI924" s="3"/>
      <c r="GJ924" s="3"/>
      <c r="GK924" s="3"/>
      <c r="GL924" s="3"/>
      <c r="GM924" s="3"/>
      <c r="GN924" s="3"/>
      <c r="GO924" s="3"/>
      <c r="GP924" s="3"/>
      <c r="GQ924" s="3"/>
      <c r="GR924" s="3"/>
      <c r="GS924" s="3"/>
      <c r="GT924" s="3"/>
      <c r="GU924" s="3"/>
      <c r="GV924" s="3"/>
      <c r="GW924" s="3"/>
      <c r="GX924" s="3"/>
      <c r="GY924" s="3"/>
      <c r="GZ924" s="3"/>
      <c r="HA924" s="3"/>
      <c r="HB924" s="3"/>
      <c r="HC924" s="3"/>
      <c r="HD924" s="3"/>
      <c r="HE924" s="3"/>
      <c r="HF924" s="3"/>
      <c r="HG924" s="3"/>
      <c r="HH924" s="3"/>
      <c r="HI924" s="3"/>
      <c r="HJ924" s="3"/>
      <c r="HK924" s="185"/>
      <c r="HL924" s="185"/>
      <c r="HM924" s="185"/>
      <c r="HN924" s="185"/>
      <c r="HO924" s="185"/>
      <c r="HP924" s="185"/>
      <c r="HQ924" s="185"/>
      <c r="HR924" s="185"/>
      <c r="HS924" s="206"/>
      <c r="HT924" s="185"/>
      <c r="HU924" s="185"/>
      <c r="HV924" s="185"/>
      <c r="HW924" s="185"/>
      <c r="HX924" s="215"/>
      <c r="HY924" s="185"/>
      <c r="HZ924" s="185"/>
      <c r="IA924" s="185"/>
      <c r="IB924" s="185"/>
      <c r="IC924" s="185"/>
      <c r="ID924" s="185"/>
      <c r="IE924" s="185"/>
      <c r="IF924" s="185"/>
      <c r="IG924" s="185"/>
      <c r="IH924" s="185" t="s">
        <v>1712</v>
      </c>
      <c r="II924" s="148" t="s">
        <v>1714</v>
      </c>
      <c r="IJ924" s="148" t="s">
        <v>542</v>
      </c>
      <c r="IK924" s="210" t="s">
        <v>1715</v>
      </c>
      <c r="IL924" s="185">
        <v>2020</v>
      </c>
      <c r="IM924" s="185"/>
      <c r="IN924" s="185" t="s">
        <v>1716</v>
      </c>
      <c r="IO924" s="185"/>
      <c r="IP924" s="185"/>
      <c r="IQ924" s="185"/>
      <c r="IR924" s="185"/>
      <c r="IS924" s="185"/>
      <c r="IT924" s="185"/>
      <c r="IU924" s="185"/>
      <c r="IV924" s="185"/>
      <c r="IW924" s="185"/>
      <c r="IX924" s="2"/>
      <c r="IY924" s="2"/>
      <c r="IZ924" s="2"/>
      <c r="JA924" s="2"/>
      <c r="JB924" s="2"/>
      <c r="JC924" s="2"/>
      <c r="JD924" s="2"/>
      <c r="JE924" s="2"/>
      <c r="JF924" s="2"/>
      <c r="JG924" s="2"/>
      <c r="JH924" s="2"/>
      <c r="JI924" s="2"/>
      <c r="JJ924" s="2"/>
      <c r="JK924" s="2"/>
      <c r="JL924" s="151"/>
      <c r="JM924" s="140"/>
      <c r="JN924" s="206"/>
      <c r="JO924" s="185"/>
      <c r="JP924" s="206"/>
      <c r="JQ924" s="185"/>
      <c r="JR924" s="185"/>
      <c r="JS924" s="185"/>
      <c r="JT924" s="185"/>
      <c r="JU924" s="185"/>
      <c r="JV924" s="140"/>
      <c r="JW924" s="140"/>
      <c r="JX924" s="206"/>
      <c r="JY924" s="185"/>
      <c r="JZ924" s="206"/>
      <c r="KA924" s="185"/>
      <c r="KB924" s="185"/>
      <c r="KC924" s="185"/>
      <c r="KD924" s="206"/>
      <c r="KE924" s="206"/>
      <c r="KF924" s="148"/>
      <c r="KG924" s="216"/>
      <c r="KH924" s="185"/>
      <c r="KI924" s="185"/>
      <c r="KJ924" s="185"/>
      <c r="KK924" s="185"/>
      <c r="KL924" s="206"/>
      <c r="KM924" s="185"/>
      <c r="KN924" s="148"/>
      <c r="KO924" s="216"/>
      <c r="KP924" s="185"/>
      <c r="KQ924" s="185"/>
      <c r="KR924" s="148"/>
      <c r="KS924" s="216"/>
      <c r="KT924" s="185"/>
      <c r="KU924" s="185"/>
      <c r="KV924" s="185"/>
      <c r="KW924" s="3"/>
      <c r="KX924" s="3"/>
      <c r="KY924" s="3"/>
      <c r="KZ924" s="3"/>
      <c r="LA924" s="206"/>
      <c r="LB924" s="206"/>
      <c r="LC924" s="206"/>
      <c r="LD924" s="206"/>
      <c r="LE924" s="206"/>
      <c r="LF924" s="206"/>
      <c r="LG924" s="206"/>
      <c r="LH924" s="206"/>
      <c r="LI924" s="206"/>
      <c r="LJ924" s="206"/>
      <c r="LK924" s="206"/>
      <c r="LL924" s="206"/>
      <c r="LM924" s="206"/>
      <c r="LN924" s="185"/>
      <c r="LO924" s="185"/>
      <c r="LP924" s="185"/>
      <c r="LQ924" s="185"/>
      <c r="LR924" s="185"/>
      <c r="LS924" s="185"/>
      <c r="LT924" s="185"/>
      <c r="LU924" s="185"/>
      <c r="LW924" s="2"/>
      <c r="LX924" s="2"/>
      <c r="LY924" s="2"/>
      <c r="LZ924" s="2"/>
      <c r="MA924" s="2"/>
      <c r="ME924" s="2"/>
      <c r="MF924" s="185"/>
      <c r="MG924" s="185"/>
      <c r="MH924" s="185"/>
      <c r="MI924" s="2"/>
      <c r="MJ924" s="2"/>
      <c r="MK924" s="2"/>
      <c r="ML924" s="2"/>
      <c r="MM924" s="2"/>
      <c r="MN924" s="2"/>
      <c r="MO924" s="2"/>
      <c r="MP924" s="2"/>
      <c r="MQ924" s="185"/>
      <c r="MR924" s="185"/>
      <c r="MS924" s="185"/>
      <c r="MT924" s="185"/>
      <c r="MU924" s="185"/>
      <c r="MV924" s="185"/>
      <c r="MW924" s="185"/>
      <c r="MX924" s="185"/>
      <c r="MY924" s="211" t="s">
        <v>1710</v>
      </c>
      <c r="MZ924" s="212">
        <v>16.25</v>
      </c>
      <c r="NB924" t="s">
        <v>1405</v>
      </c>
      <c r="NC924" t="s">
        <v>1717</v>
      </c>
      <c r="NI924" s="185"/>
      <c r="NJ924" s="185"/>
      <c r="NK924" s="185"/>
      <c r="NL924" s="185" t="s">
        <v>660</v>
      </c>
      <c r="NM924" s="213" t="s">
        <v>508</v>
      </c>
      <c r="NN924" s="185"/>
      <c r="NO924" s="185"/>
      <c r="NP924" s="185"/>
      <c r="NQ924" s="185"/>
      <c r="NR924" s="185"/>
      <c r="NS924" s="185"/>
      <c r="NT924" s="185"/>
      <c r="NU924" s="185"/>
      <c r="NV924" s="185" t="s">
        <v>518</v>
      </c>
      <c r="NW924" s="214"/>
      <c r="NX924" s="185" t="s">
        <v>480</v>
      </c>
      <c r="NY924" s="147"/>
      <c r="NZ924" s="147"/>
      <c r="OA924" s="133"/>
      <c r="OB924" s="185">
        <v>3</v>
      </c>
      <c r="OC924" s="185">
        <v>969</v>
      </c>
      <c r="OD924" s="185" t="s">
        <v>480</v>
      </c>
      <c r="OE924" s="185">
        <v>735.3</v>
      </c>
      <c r="OF924" s="185" t="s">
        <v>480</v>
      </c>
      <c r="OG924" s="185"/>
      <c r="OH924" s="185"/>
      <c r="OI924" s="185"/>
      <c r="OJ924" s="185"/>
      <c r="OK924" s="185"/>
      <c r="OL924" s="185"/>
      <c r="OM924" s="185">
        <v>0.63</v>
      </c>
      <c r="ON924" s="185" t="s">
        <v>480</v>
      </c>
      <c r="OO924" s="185">
        <v>0.62</v>
      </c>
      <c r="OP924" s="185" t="s">
        <v>480</v>
      </c>
      <c r="OQ924" s="185"/>
      <c r="OR924" s="185"/>
      <c r="OS924" s="185">
        <v>1.25</v>
      </c>
      <c r="OT924" s="185" t="s">
        <v>480</v>
      </c>
      <c r="OU924" t="s">
        <v>1711</v>
      </c>
      <c r="OV924" s="185" t="s">
        <v>518</v>
      </c>
      <c r="OX924">
        <v>2021</v>
      </c>
      <c r="OY924">
        <v>2022</v>
      </c>
      <c r="PB924" t="s">
        <v>522</v>
      </c>
      <c r="PC924" s="50">
        <v>46148</v>
      </c>
    </row>
    <row r="925" spans="1:420" ht="17.25" thickBot="1">
      <c r="A925" s="205" t="s">
        <v>861</v>
      </c>
      <c r="B925" s="2" t="s">
        <v>1700</v>
      </c>
      <c r="C925" s="2" t="s">
        <v>1387</v>
      </c>
      <c r="D925" s="88" t="s">
        <v>668</v>
      </c>
      <c r="E925" s="2" t="s">
        <v>1701</v>
      </c>
      <c r="F925" s="88" t="s">
        <v>1702</v>
      </c>
      <c r="G925" s="2" t="s">
        <v>475</v>
      </c>
      <c r="H925" s="2" t="s">
        <v>476</v>
      </c>
      <c r="I925" s="88">
        <v>-11.474220000000001</v>
      </c>
      <c r="J925" s="88" t="s">
        <v>1703</v>
      </c>
      <c r="K925" s="88">
        <v>1000</v>
      </c>
      <c r="L925" s="2"/>
      <c r="M925" s="88"/>
      <c r="N925" s="2"/>
      <c r="O925" s="2"/>
      <c r="P925" s="2"/>
      <c r="Q925" s="2"/>
      <c r="R925" s="2"/>
      <c r="S925" s="2"/>
      <c r="T925" s="2"/>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c r="AV925" s="2" t="s">
        <v>1704</v>
      </c>
      <c r="AW925" s="2">
        <v>28</v>
      </c>
      <c r="AX925" s="2" t="s">
        <v>480</v>
      </c>
      <c r="AY925" s="2">
        <v>2</v>
      </c>
      <c r="AZ925" s="185" t="s">
        <v>1705</v>
      </c>
      <c r="BA925" s="185">
        <v>2020</v>
      </c>
      <c r="BB925" s="185">
        <v>2022</v>
      </c>
      <c r="BC925" s="185"/>
      <c r="BD925" s="185" t="s">
        <v>1718</v>
      </c>
      <c r="BE925" s="185" t="s">
        <v>566</v>
      </c>
      <c r="BF925" s="185" t="s">
        <v>484</v>
      </c>
      <c r="BG925" s="185" t="s">
        <v>1707</v>
      </c>
      <c r="BH925" s="185" t="s">
        <v>1708</v>
      </c>
      <c r="BI925" s="206" t="s">
        <v>1709</v>
      </c>
      <c r="BJ925" s="207">
        <v>4.4000000000000004</v>
      </c>
      <c r="BK925" s="185" t="s">
        <v>537</v>
      </c>
      <c r="BL925" s="185" t="s">
        <v>485</v>
      </c>
      <c r="BM925" s="185" t="s">
        <v>1719</v>
      </c>
      <c r="BN925" s="206" t="s">
        <v>1709</v>
      </c>
      <c r="BO925" s="207">
        <v>4.4000000000000004</v>
      </c>
      <c r="BP925" s="185"/>
      <c r="BQ925" s="185"/>
      <c r="BR925" s="185"/>
      <c r="BS925" s="185"/>
      <c r="BT925" s="185"/>
      <c r="BU925" s="185"/>
      <c r="BV925" s="3"/>
      <c r="BW925" s="3"/>
      <c r="BX925" s="3"/>
      <c r="BY925" s="3"/>
      <c r="BZ925" s="3"/>
      <c r="CA925" s="3"/>
      <c r="CB925" s="3"/>
      <c r="CC925" s="3"/>
      <c r="CD925" s="3"/>
      <c r="CE925" s="3"/>
      <c r="CF925" s="3"/>
      <c r="CG925" s="3"/>
      <c r="CH925" s="3"/>
      <c r="CI925" s="3"/>
      <c r="CJ925" s="3"/>
      <c r="CK925" s="3"/>
      <c r="CL925" s="3"/>
      <c r="CM925" s="3"/>
      <c r="CN925" s="3"/>
      <c r="CO925" s="3"/>
      <c r="CP925" s="3"/>
      <c r="CQ925" s="3"/>
      <c r="CR925" s="3"/>
      <c r="CS925" s="3"/>
      <c r="CT925" s="3"/>
      <c r="CU925" s="3"/>
      <c r="CV925" s="3"/>
      <c r="CW925" s="3"/>
      <c r="CX925" s="3"/>
      <c r="CY925" s="3"/>
      <c r="CZ925" s="3"/>
      <c r="DA925" s="3"/>
      <c r="DB925" s="3"/>
      <c r="DC925" s="3"/>
      <c r="DD925" s="3"/>
      <c r="DE925" s="3"/>
      <c r="DF925" s="3"/>
      <c r="DG925" s="3"/>
      <c r="DH925" s="3"/>
      <c r="DI925" s="3"/>
      <c r="DJ925" s="3"/>
      <c r="DK925" s="3"/>
      <c r="DL925" s="3"/>
      <c r="DM925" s="3"/>
      <c r="DN925" s="3"/>
      <c r="DO925" s="3"/>
      <c r="DP925" s="3"/>
      <c r="DQ925" s="3"/>
      <c r="DR925" s="3"/>
      <c r="DS925" s="3"/>
      <c r="DT925" s="3"/>
      <c r="DU925" s="3"/>
      <c r="DV925" s="3"/>
      <c r="DW925" s="3"/>
      <c r="DX925" s="3"/>
      <c r="DY925" s="3"/>
      <c r="DZ925" s="3"/>
      <c r="EA925" s="3"/>
      <c r="EB925" s="3"/>
      <c r="EC925" s="3"/>
      <c r="ED925" s="2"/>
      <c r="EE925" s="185"/>
      <c r="EF925" s="185"/>
      <c r="EG925" s="185"/>
      <c r="EH925" s="185"/>
      <c r="EI925" s="185"/>
      <c r="EJ925" s="185"/>
      <c r="EK925" s="185"/>
      <c r="EL925" s="3"/>
      <c r="EM925" s="3"/>
      <c r="EN925" s="3"/>
      <c r="EO925" s="3"/>
      <c r="EP925" s="3"/>
      <c r="EQ925" s="3"/>
      <c r="ER925" s="3"/>
      <c r="ES925" s="3"/>
      <c r="ET925" s="3"/>
      <c r="EU925" s="3"/>
      <c r="EV925" s="3"/>
      <c r="EW925" s="3"/>
      <c r="EX925" s="3"/>
      <c r="EY925" s="3"/>
      <c r="EZ925" s="3"/>
      <c r="FA925" s="3"/>
      <c r="FB925" s="3"/>
      <c r="FC925" s="3"/>
      <c r="FD925" s="3"/>
      <c r="FE925" s="3"/>
      <c r="FF925" s="3"/>
      <c r="FG925" s="3"/>
      <c r="FH925" s="3"/>
      <c r="FI925" s="3"/>
      <c r="FJ925" s="3"/>
      <c r="FK925" s="3"/>
      <c r="FL925" s="3"/>
      <c r="FM925" s="3"/>
      <c r="FN925" s="3"/>
      <c r="FO925" s="3"/>
      <c r="FP925" s="3"/>
      <c r="FQ925" s="3"/>
      <c r="FR925" s="3"/>
      <c r="FS925" s="3"/>
      <c r="FT925" s="3"/>
      <c r="FU925" s="3"/>
      <c r="FV925" s="3"/>
      <c r="FW925" s="3"/>
      <c r="FX925" s="3"/>
      <c r="FY925" s="3"/>
      <c r="FZ925" s="3"/>
      <c r="GA925" s="3"/>
      <c r="GB925" s="3"/>
      <c r="GC925" s="3"/>
      <c r="GD925" s="3"/>
      <c r="GE925" s="3"/>
      <c r="GF925" s="3"/>
      <c r="GG925" s="3"/>
      <c r="GH925" s="3"/>
      <c r="GI925" s="3"/>
      <c r="GJ925" s="3"/>
      <c r="GK925" s="3"/>
      <c r="GL925" s="3"/>
      <c r="GM925" s="3"/>
      <c r="GN925" s="3"/>
      <c r="GO925" s="3"/>
      <c r="GP925" s="3"/>
      <c r="GQ925" s="3"/>
      <c r="GR925" s="3"/>
      <c r="GS925" s="3"/>
      <c r="GT925" s="3"/>
      <c r="GU925" s="3"/>
      <c r="GV925" s="3"/>
      <c r="GW925" s="3"/>
      <c r="GX925" s="3"/>
      <c r="GY925" s="3"/>
      <c r="GZ925" s="3"/>
      <c r="HA925" s="3"/>
      <c r="HB925" s="3"/>
      <c r="HC925" s="3"/>
      <c r="HD925" s="3"/>
      <c r="HE925" s="3"/>
      <c r="HF925" s="3"/>
      <c r="HG925" s="3"/>
      <c r="HH925" s="3"/>
      <c r="HI925" s="3"/>
      <c r="HJ925" s="3"/>
      <c r="HK925" s="185"/>
      <c r="HL925" s="185"/>
      <c r="HM925" s="185"/>
      <c r="HN925" s="185"/>
      <c r="HO925" s="185"/>
      <c r="HP925" s="185"/>
      <c r="HQ925" s="185"/>
      <c r="HR925" s="185"/>
      <c r="HS925" s="206"/>
      <c r="HT925" s="185"/>
      <c r="HU925" s="185"/>
      <c r="HV925" s="185"/>
      <c r="HW925" s="185"/>
      <c r="HX925" s="215"/>
      <c r="HY925" s="185"/>
      <c r="HZ925" s="185"/>
      <c r="IA925" s="185"/>
      <c r="IB925" s="185"/>
      <c r="IC925" s="185"/>
      <c r="ID925" s="185"/>
      <c r="IE925" s="185"/>
      <c r="IF925" s="185"/>
      <c r="IG925" s="185"/>
      <c r="IH925" s="185" t="s">
        <v>1718</v>
      </c>
      <c r="II925" s="75" t="s">
        <v>929</v>
      </c>
      <c r="IJ925" s="148" t="s">
        <v>542</v>
      </c>
      <c r="IK925" s="210" t="s">
        <v>1715</v>
      </c>
      <c r="IL925" s="185">
        <v>2020</v>
      </c>
      <c r="IM925" s="185"/>
      <c r="IN925" s="185" t="s">
        <v>1716</v>
      </c>
      <c r="IO925" s="185"/>
      <c r="IP925" s="185"/>
      <c r="IQ925" s="185"/>
      <c r="IR925" s="185"/>
      <c r="IS925" s="185"/>
      <c r="IT925" s="185"/>
      <c r="IU925" s="185"/>
      <c r="IV925" s="185"/>
      <c r="IW925" s="185"/>
      <c r="IX925" s="2"/>
      <c r="IY925" s="2"/>
      <c r="IZ925" s="2"/>
      <c r="JA925" s="2"/>
      <c r="JB925" s="2"/>
      <c r="JC925" s="2"/>
      <c r="JD925" s="2"/>
      <c r="JE925" s="2"/>
      <c r="JF925" s="2"/>
      <c r="JG925" s="2"/>
      <c r="JH925" s="2"/>
      <c r="JI925" s="2"/>
      <c r="JJ925" s="2"/>
      <c r="JK925" s="2"/>
      <c r="JL925" s="151"/>
      <c r="JM925" s="140"/>
      <c r="JN925" s="206"/>
      <c r="JO925" s="185"/>
      <c r="JP925" s="206"/>
      <c r="JQ925" s="185"/>
      <c r="JR925" s="185"/>
      <c r="JS925" s="185"/>
      <c r="JT925" s="185"/>
      <c r="JU925" s="185"/>
      <c r="JV925" s="140"/>
      <c r="JW925" s="140"/>
      <c r="JX925" s="206"/>
      <c r="JY925" s="185"/>
      <c r="JZ925" s="206"/>
      <c r="KA925" s="185"/>
      <c r="KB925" s="185"/>
      <c r="KC925" s="185"/>
      <c r="KD925" s="206"/>
      <c r="KE925" s="206"/>
      <c r="KF925" s="148"/>
      <c r="KG925" s="216"/>
      <c r="KH925" s="185"/>
      <c r="KI925" s="185"/>
      <c r="KJ925" s="185"/>
      <c r="KK925" s="185"/>
      <c r="KL925" s="206"/>
      <c r="KM925" s="185"/>
      <c r="KN925" s="148"/>
      <c r="KO925" s="216"/>
      <c r="KP925" s="185"/>
      <c r="KQ925" s="185"/>
      <c r="KR925" s="148"/>
      <c r="KS925" s="216"/>
      <c r="KT925" s="185"/>
      <c r="KU925" s="185"/>
      <c r="KV925" s="185"/>
      <c r="KW925" s="3"/>
      <c r="KX925" s="3"/>
      <c r="KY925" s="3"/>
      <c r="KZ925" s="3"/>
      <c r="LA925" s="206"/>
      <c r="LB925" s="206"/>
      <c r="LC925" s="206"/>
      <c r="LD925" s="206"/>
      <c r="LE925" s="206"/>
      <c r="LF925" s="206"/>
      <c r="LG925" s="206"/>
      <c r="LH925" s="206"/>
      <c r="LI925" s="206"/>
      <c r="LJ925" s="206"/>
      <c r="LK925" s="206"/>
      <c r="LL925" s="206"/>
      <c r="LM925" s="206"/>
      <c r="LN925" s="185"/>
      <c r="LO925" s="185"/>
      <c r="LP925" s="185"/>
      <c r="LQ925" s="185"/>
      <c r="LR925" s="185"/>
      <c r="LS925" s="185"/>
      <c r="LT925" s="185"/>
      <c r="LU925" s="185"/>
      <c r="LW925" s="2"/>
      <c r="LX925" s="2"/>
      <c r="LY925" s="2"/>
      <c r="LZ925" s="2"/>
      <c r="MA925" s="2"/>
      <c r="ME925" s="2"/>
      <c r="MF925" s="185"/>
      <c r="MG925" s="185"/>
      <c r="MH925" s="185"/>
      <c r="MI925" s="2"/>
      <c r="MJ925" s="2"/>
      <c r="MK925" s="2"/>
      <c r="ML925" s="2"/>
      <c r="MM925" s="2"/>
      <c r="MN925" s="2"/>
      <c r="MO925" s="2"/>
      <c r="MP925" s="2"/>
      <c r="MQ925" s="185"/>
      <c r="MR925" s="185"/>
      <c r="MS925" s="185"/>
      <c r="MT925" s="185"/>
      <c r="MU925" s="185"/>
      <c r="MV925" s="185"/>
      <c r="MW925" s="185"/>
      <c r="MX925" s="185"/>
      <c r="MY925" s="211" t="s">
        <v>1710</v>
      </c>
      <c r="MZ925" s="212">
        <v>16.25</v>
      </c>
      <c r="NB925" t="s">
        <v>1184</v>
      </c>
      <c r="ND925" t="s">
        <v>548</v>
      </c>
      <c r="NI925" s="185"/>
      <c r="NJ925" s="185"/>
      <c r="NK925" s="185"/>
      <c r="NL925" s="185" t="s">
        <v>660</v>
      </c>
      <c r="NM925" s="213" t="s">
        <v>508</v>
      </c>
      <c r="NN925" s="185"/>
      <c r="NO925" s="185"/>
      <c r="NP925" s="185"/>
      <c r="NQ925" s="185"/>
      <c r="NR925" s="185"/>
      <c r="NS925" s="185"/>
      <c r="NT925" s="185"/>
      <c r="NU925" s="185"/>
      <c r="NV925" s="185" t="s">
        <v>518</v>
      </c>
      <c r="NW925" s="214"/>
      <c r="NX925" s="185" t="s">
        <v>480</v>
      </c>
      <c r="NY925" s="147"/>
      <c r="NZ925" s="147"/>
      <c r="OA925" s="133"/>
      <c r="OB925" s="185">
        <v>3</v>
      </c>
      <c r="OC925" s="185">
        <v>1064</v>
      </c>
      <c r="OD925" s="185" t="s">
        <v>480</v>
      </c>
      <c r="OE925" s="185"/>
      <c r="OF925" s="185"/>
      <c r="OG925" s="185">
        <v>5802</v>
      </c>
      <c r="OH925" s="185" t="s">
        <v>480</v>
      </c>
      <c r="OI925" s="185"/>
      <c r="OJ925" s="185"/>
      <c r="OK925" s="185"/>
      <c r="OL925" s="185"/>
      <c r="OM925" s="185">
        <v>0.69</v>
      </c>
      <c r="ON925" s="185" t="s">
        <v>480</v>
      </c>
      <c r="OO925" s="185"/>
      <c r="OP925" s="185"/>
      <c r="OQ925" s="185">
        <v>0.95</v>
      </c>
      <c r="OR925" s="185" t="s">
        <v>480</v>
      </c>
      <c r="OS925" s="185">
        <v>1.64</v>
      </c>
      <c r="OT925" s="185" t="s">
        <v>480</v>
      </c>
      <c r="OU925" t="s">
        <v>1711</v>
      </c>
      <c r="OV925" s="185" t="s">
        <v>518</v>
      </c>
      <c r="OX925">
        <v>2021</v>
      </c>
      <c r="OY925">
        <v>2022</v>
      </c>
      <c r="PB925" t="s">
        <v>522</v>
      </c>
      <c r="PC925" s="50">
        <v>46148</v>
      </c>
    </row>
    <row r="926" spans="1:420" ht="17.25" thickBot="1">
      <c r="A926" s="205" t="s">
        <v>861</v>
      </c>
      <c r="B926" s="2" t="s">
        <v>1700</v>
      </c>
      <c r="C926" s="2" t="s">
        <v>1387</v>
      </c>
      <c r="D926" s="88" t="s">
        <v>668</v>
      </c>
      <c r="E926" s="2" t="s">
        <v>1701</v>
      </c>
      <c r="F926" s="88" t="s">
        <v>1702</v>
      </c>
      <c r="G926" s="2" t="s">
        <v>475</v>
      </c>
      <c r="H926" s="2" t="s">
        <v>476</v>
      </c>
      <c r="I926" s="88">
        <v>-11.474220000000001</v>
      </c>
      <c r="J926" s="88" t="s">
        <v>1703</v>
      </c>
      <c r="K926" s="88">
        <v>1000</v>
      </c>
      <c r="L926" s="2"/>
      <c r="M926" s="88"/>
      <c r="N926" s="2"/>
      <c r="O926" s="2"/>
      <c r="P926" s="2"/>
      <c r="Q926" s="2"/>
      <c r="R926" s="2"/>
      <c r="S926" s="2"/>
      <c r="T926" s="2"/>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c r="AV926" s="2" t="s">
        <v>1704</v>
      </c>
      <c r="AW926" s="2">
        <v>28</v>
      </c>
      <c r="AX926" s="2" t="s">
        <v>480</v>
      </c>
      <c r="AY926" s="2">
        <v>2</v>
      </c>
      <c r="AZ926" s="185" t="s">
        <v>1705</v>
      </c>
      <c r="BA926" s="185">
        <v>2020</v>
      </c>
      <c r="BB926" s="185">
        <v>2022</v>
      </c>
      <c r="BC926" s="185"/>
      <c r="BD926" s="185" t="s">
        <v>1720</v>
      </c>
      <c r="BE926" s="185" t="s">
        <v>572</v>
      </c>
      <c r="BF926" s="185" t="s">
        <v>484</v>
      </c>
      <c r="BG926" s="185" t="s">
        <v>538</v>
      </c>
      <c r="BH926" s="185" t="s">
        <v>1713</v>
      </c>
      <c r="BI926" s="206" t="s">
        <v>1709</v>
      </c>
      <c r="BJ926" s="207">
        <v>13.3</v>
      </c>
      <c r="BK926" s="185" t="s">
        <v>537</v>
      </c>
      <c r="BL926" s="185" t="s">
        <v>485</v>
      </c>
      <c r="BM926" s="185" t="s">
        <v>1719</v>
      </c>
      <c r="BN926" s="206" t="s">
        <v>1709</v>
      </c>
      <c r="BO926" s="207">
        <v>4.4000000000000004</v>
      </c>
      <c r="BP926" s="185"/>
      <c r="BQ926" s="185"/>
      <c r="BR926" s="185"/>
      <c r="BS926" s="185"/>
      <c r="BT926" s="185"/>
      <c r="BU926" s="185"/>
      <c r="BV926" s="3"/>
      <c r="BW926" s="3"/>
      <c r="BX926" s="3"/>
      <c r="BY926" s="3"/>
      <c r="BZ926" s="3"/>
      <c r="CA926" s="3"/>
      <c r="CB926" s="3"/>
      <c r="CC926" s="3"/>
      <c r="CD926" s="3"/>
      <c r="CE926" s="3"/>
      <c r="CF926" s="3"/>
      <c r="CG926" s="3"/>
      <c r="CH926" s="3"/>
      <c r="CI926" s="3"/>
      <c r="CJ926" s="3"/>
      <c r="CK926" s="3"/>
      <c r="CL926" s="3"/>
      <c r="CM926" s="3"/>
      <c r="CN926" s="3"/>
      <c r="CO926" s="3"/>
      <c r="CP926" s="3"/>
      <c r="CQ926" s="3"/>
      <c r="CR926" s="3"/>
      <c r="CS926" s="3"/>
      <c r="CT926" s="3"/>
      <c r="CU926" s="3"/>
      <c r="CV926" s="3"/>
      <c r="CW926" s="3"/>
      <c r="CX926" s="3"/>
      <c r="CY926" s="3"/>
      <c r="CZ926" s="3"/>
      <c r="DA926" s="3"/>
      <c r="DB926" s="3"/>
      <c r="DC926" s="3"/>
      <c r="DD926" s="3"/>
      <c r="DE926" s="3"/>
      <c r="DF926" s="3"/>
      <c r="DG926" s="3"/>
      <c r="DH926" s="3"/>
      <c r="DI926" s="3"/>
      <c r="DJ926" s="3"/>
      <c r="DK926" s="3"/>
      <c r="DL926" s="3"/>
      <c r="DM926" s="3"/>
      <c r="DN926" s="3"/>
      <c r="DO926" s="3"/>
      <c r="DP926" s="3"/>
      <c r="DQ926" s="3"/>
      <c r="DR926" s="3"/>
      <c r="DS926" s="3"/>
      <c r="DT926" s="3"/>
      <c r="DU926" s="3"/>
      <c r="DV926" s="3"/>
      <c r="DW926" s="3"/>
      <c r="DX926" s="3"/>
      <c r="DY926" s="3"/>
      <c r="DZ926" s="3"/>
      <c r="EA926" s="3"/>
      <c r="EB926" s="3"/>
      <c r="EC926" s="3"/>
      <c r="ED926" s="2"/>
      <c r="EE926" s="185"/>
      <c r="EF926" s="185"/>
      <c r="EG926" s="185"/>
      <c r="EH926" s="185"/>
      <c r="EI926" s="185"/>
      <c r="EJ926" s="185"/>
      <c r="EK926" s="185"/>
      <c r="EL926" s="3"/>
      <c r="EM926" s="3"/>
      <c r="EN926" s="3"/>
      <c r="EO926" s="3"/>
      <c r="EP926" s="3"/>
      <c r="EQ926" s="3"/>
      <c r="ER926" s="3"/>
      <c r="ES926" s="3"/>
      <c r="ET926" s="3"/>
      <c r="EU926" s="3"/>
      <c r="EV926" s="3"/>
      <c r="EW926" s="3"/>
      <c r="EX926" s="3"/>
      <c r="EY926" s="3"/>
      <c r="EZ926" s="3"/>
      <c r="FA926" s="3"/>
      <c r="FB926" s="3"/>
      <c r="FC926" s="3"/>
      <c r="FD926" s="3"/>
      <c r="FE926" s="3"/>
      <c r="FF926" s="3"/>
      <c r="FG926" s="3"/>
      <c r="FH926" s="3"/>
      <c r="FI926" s="3"/>
      <c r="FJ926" s="3"/>
      <c r="FK926" s="3"/>
      <c r="FL926" s="3"/>
      <c r="FM926" s="3"/>
      <c r="FN926" s="3"/>
      <c r="FO926" s="3"/>
      <c r="FP926" s="3"/>
      <c r="FQ926" s="3"/>
      <c r="FR926" s="3"/>
      <c r="FS926" s="3"/>
      <c r="FT926" s="3"/>
      <c r="FU926" s="3"/>
      <c r="FV926" s="3"/>
      <c r="FW926" s="3"/>
      <c r="FX926" s="3"/>
      <c r="FY926" s="3"/>
      <c r="FZ926" s="3"/>
      <c r="GA926" s="3"/>
      <c r="GB926" s="3"/>
      <c r="GC926" s="3"/>
      <c r="GD926" s="3"/>
      <c r="GE926" s="3"/>
      <c r="GF926" s="3"/>
      <c r="GG926" s="3"/>
      <c r="GH926" s="3"/>
      <c r="GI926" s="3"/>
      <c r="GJ926" s="3"/>
      <c r="GK926" s="3"/>
      <c r="GL926" s="3"/>
      <c r="GM926" s="3"/>
      <c r="GN926" s="3"/>
      <c r="GO926" s="3"/>
      <c r="GP926" s="3"/>
      <c r="GQ926" s="3"/>
      <c r="GR926" s="3"/>
      <c r="GS926" s="3"/>
      <c r="GT926" s="3"/>
      <c r="GU926" s="3"/>
      <c r="GV926" s="3"/>
      <c r="GW926" s="3"/>
      <c r="GX926" s="3"/>
      <c r="GY926" s="3"/>
      <c r="GZ926" s="3"/>
      <c r="HA926" s="3"/>
      <c r="HB926" s="3"/>
      <c r="HC926" s="3"/>
      <c r="HD926" s="3"/>
      <c r="HE926" s="3"/>
      <c r="HF926" s="3"/>
      <c r="HG926" s="3"/>
      <c r="HH926" s="3"/>
      <c r="HI926" s="3"/>
      <c r="HJ926" s="3"/>
      <c r="HK926" s="185"/>
      <c r="HL926" s="185"/>
      <c r="HM926" s="185"/>
      <c r="HN926" s="185"/>
      <c r="HO926" s="185"/>
      <c r="HP926" s="185"/>
      <c r="HQ926" s="185"/>
      <c r="HR926" s="185"/>
      <c r="HS926" s="206"/>
      <c r="HT926" s="185"/>
      <c r="HU926" s="185"/>
      <c r="HV926" s="185"/>
      <c r="HW926" s="185"/>
      <c r="HX926" s="215"/>
      <c r="HY926" s="185"/>
      <c r="HZ926" s="185"/>
      <c r="IA926" s="185"/>
      <c r="IB926" s="185"/>
      <c r="IC926" s="185"/>
      <c r="ID926" s="185"/>
      <c r="IE926" s="185"/>
      <c r="IF926" s="185"/>
      <c r="IG926" s="185"/>
      <c r="IH926" s="185" t="s">
        <v>1720</v>
      </c>
      <c r="II926" s="75" t="s">
        <v>929</v>
      </c>
      <c r="IJ926" s="148" t="s">
        <v>542</v>
      </c>
      <c r="IK926" s="210" t="s">
        <v>1715</v>
      </c>
      <c r="IL926" s="185">
        <v>2020</v>
      </c>
      <c r="IM926" s="185"/>
      <c r="IN926" s="185" t="s">
        <v>1716</v>
      </c>
      <c r="IO926" s="185"/>
      <c r="IP926" s="185"/>
      <c r="IQ926" s="185"/>
      <c r="IR926" s="185"/>
      <c r="IS926" s="185"/>
      <c r="IT926" s="185"/>
      <c r="IU926" s="185"/>
      <c r="IV926" s="185"/>
      <c r="IW926" s="185"/>
      <c r="IX926" s="2"/>
      <c r="IY926" s="2"/>
      <c r="IZ926" s="2"/>
      <c r="JA926" s="2"/>
      <c r="JB926" s="2"/>
      <c r="JC926" s="2"/>
      <c r="JD926" s="2"/>
      <c r="JE926" s="2"/>
      <c r="JF926" s="2"/>
      <c r="JG926" s="2"/>
      <c r="JH926" s="2"/>
      <c r="JI926" s="2"/>
      <c r="JJ926" s="2"/>
      <c r="JK926" s="2"/>
      <c r="JL926" s="151"/>
      <c r="JM926" s="140"/>
      <c r="JN926" s="206"/>
      <c r="JO926" s="185"/>
      <c r="JP926" s="206"/>
      <c r="JQ926" s="185"/>
      <c r="JR926" s="185"/>
      <c r="JS926" s="185"/>
      <c r="JT926" s="185"/>
      <c r="JU926" s="185"/>
      <c r="JV926" s="140"/>
      <c r="JW926" s="140"/>
      <c r="JX926" s="206"/>
      <c r="JY926" s="185"/>
      <c r="JZ926" s="206"/>
      <c r="KA926" s="185"/>
      <c r="KB926" s="185"/>
      <c r="KC926" s="185"/>
      <c r="KD926" s="206"/>
      <c r="KE926" s="206"/>
      <c r="KF926" s="148"/>
      <c r="KG926" s="216"/>
      <c r="KH926" s="185"/>
      <c r="KI926" s="185"/>
      <c r="KJ926" s="185"/>
      <c r="KK926" s="185"/>
      <c r="KL926" s="206"/>
      <c r="KM926" s="185"/>
      <c r="KN926" s="148"/>
      <c r="KO926" s="216"/>
      <c r="KP926" s="185"/>
      <c r="KQ926" s="185"/>
      <c r="KR926" s="148"/>
      <c r="KS926" s="216"/>
      <c r="KT926" s="185"/>
      <c r="KU926" s="185"/>
      <c r="KV926" s="185"/>
      <c r="KW926" s="3"/>
      <c r="KX926" s="3"/>
      <c r="KY926" s="3"/>
      <c r="KZ926" s="3"/>
      <c r="LA926" s="206"/>
      <c r="LB926" s="206"/>
      <c r="LC926" s="206"/>
      <c r="LD926" s="206"/>
      <c r="LE926" s="206"/>
      <c r="LF926" s="206"/>
      <c r="LG926" s="206"/>
      <c r="LH926" s="206"/>
      <c r="LI926" s="206"/>
      <c r="LJ926" s="206"/>
      <c r="LK926" s="206"/>
      <c r="LL926" s="206"/>
      <c r="LM926" s="206"/>
      <c r="LN926" s="185"/>
      <c r="LO926" s="185"/>
      <c r="LP926" s="185"/>
      <c r="LQ926" s="185"/>
      <c r="LR926" s="185"/>
      <c r="LS926" s="185"/>
      <c r="LT926" s="185"/>
      <c r="LU926" s="185"/>
      <c r="LW926" s="2"/>
      <c r="LX926" s="2"/>
      <c r="LY926" s="2"/>
      <c r="LZ926" s="2"/>
      <c r="MA926" s="2"/>
      <c r="ME926" s="2"/>
      <c r="MF926" s="185"/>
      <c r="MG926" s="185"/>
      <c r="MH926" s="185"/>
      <c r="MI926" s="2"/>
      <c r="MJ926" s="2"/>
      <c r="MK926" s="2"/>
      <c r="ML926" s="2"/>
      <c r="MM926" s="2"/>
      <c r="MN926" s="2"/>
      <c r="MO926" s="2"/>
      <c r="MP926" s="2"/>
      <c r="MQ926" s="185"/>
      <c r="MR926" s="185"/>
      <c r="MS926" s="185"/>
      <c r="MT926" s="185"/>
      <c r="MU926" s="185"/>
      <c r="MV926" s="185"/>
      <c r="MW926" s="185"/>
      <c r="MX926" s="185"/>
      <c r="MY926" s="211" t="s">
        <v>1710</v>
      </c>
      <c r="MZ926" s="212">
        <v>16.25</v>
      </c>
      <c r="NC926" t="s">
        <v>1717</v>
      </c>
      <c r="ND926" t="s">
        <v>548</v>
      </c>
      <c r="NI926" s="185"/>
      <c r="NJ926" s="185"/>
      <c r="NK926" s="185"/>
      <c r="NL926" s="185" t="s">
        <v>660</v>
      </c>
      <c r="NM926" s="213" t="s">
        <v>508</v>
      </c>
      <c r="NN926" s="185"/>
      <c r="NO926" s="185"/>
      <c r="NP926" s="185"/>
      <c r="NQ926" s="185"/>
      <c r="NR926" s="185"/>
      <c r="NS926" s="185"/>
      <c r="NT926" s="185"/>
      <c r="NU926" s="185"/>
      <c r="NV926" s="185" t="s">
        <v>518</v>
      </c>
      <c r="NW926" s="214"/>
      <c r="NX926" s="185" t="s">
        <v>480</v>
      </c>
      <c r="NY926" s="147"/>
      <c r="NZ926" s="147"/>
      <c r="OA926" s="133"/>
      <c r="OB926" s="185">
        <v>3</v>
      </c>
      <c r="OD926" s="185"/>
      <c r="OE926" s="185">
        <v>731.8</v>
      </c>
      <c r="OF926" s="185" t="s">
        <v>480</v>
      </c>
      <c r="OG926" s="185">
        <v>5342</v>
      </c>
      <c r="OH926" s="185" t="s">
        <v>480</v>
      </c>
      <c r="OI926" s="185"/>
      <c r="OJ926" s="185"/>
      <c r="OK926" s="185"/>
      <c r="OL926" s="185"/>
      <c r="OM926" s="185"/>
      <c r="ON926" s="185"/>
      <c r="OO926" s="185">
        <v>0.62</v>
      </c>
      <c r="OP926" s="185" t="s">
        <v>480</v>
      </c>
      <c r="OQ926" s="185">
        <v>0.87</v>
      </c>
      <c r="OR926" s="185" t="s">
        <v>480</v>
      </c>
      <c r="OS926" s="185">
        <v>1.49</v>
      </c>
      <c r="OT926" s="185" t="s">
        <v>480</v>
      </c>
      <c r="OU926" t="s">
        <v>1711</v>
      </c>
      <c r="OV926" s="185" t="s">
        <v>518</v>
      </c>
      <c r="OX926">
        <v>2021</v>
      </c>
      <c r="OY926">
        <v>2022</v>
      </c>
      <c r="PB926" t="s">
        <v>522</v>
      </c>
      <c r="PC926" s="50">
        <v>46148</v>
      </c>
    </row>
    <row r="927" spans="1:420" ht="17.25" thickBot="1">
      <c r="A927" s="205" t="s">
        <v>861</v>
      </c>
      <c r="B927" s="2" t="s">
        <v>1700</v>
      </c>
      <c r="C927" s="2" t="s">
        <v>1387</v>
      </c>
      <c r="D927" s="88" t="s">
        <v>668</v>
      </c>
      <c r="E927" s="2" t="s">
        <v>1701</v>
      </c>
      <c r="F927" s="88" t="s">
        <v>1702</v>
      </c>
      <c r="G927" s="2" t="s">
        <v>475</v>
      </c>
      <c r="H927" s="2" t="s">
        <v>476</v>
      </c>
      <c r="I927" s="88">
        <v>-11.474220000000001</v>
      </c>
      <c r="J927" s="88" t="s">
        <v>1703</v>
      </c>
      <c r="K927" s="88">
        <v>1000</v>
      </c>
      <c r="L927" s="2"/>
      <c r="M927" s="88"/>
      <c r="N927" s="2"/>
      <c r="O927" s="2"/>
      <c r="P927" s="2"/>
      <c r="Q927" s="2"/>
      <c r="R927" s="2"/>
      <c r="S927" s="2"/>
      <c r="T927" s="2"/>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c r="AV927" s="2" t="s">
        <v>1704</v>
      </c>
      <c r="AW927" s="2">
        <v>28</v>
      </c>
      <c r="AX927" s="2" t="s">
        <v>480</v>
      </c>
      <c r="AY927" s="2">
        <v>2</v>
      </c>
      <c r="AZ927" s="185" t="s">
        <v>1705</v>
      </c>
      <c r="BA927" s="185">
        <v>2020</v>
      </c>
      <c r="BB927" s="185">
        <v>2022</v>
      </c>
      <c r="BC927" s="185"/>
      <c r="BD927" s="185" t="s">
        <v>1721</v>
      </c>
      <c r="BE927" s="185" t="s">
        <v>483</v>
      </c>
      <c r="BF927" s="185" t="s">
        <v>484</v>
      </c>
      <c r="BG927" s="185" t="s">
        <v>538</v>
      </c>
      <c r="BH927" s="185" t="s">
        <v>1713</v>
      </c>
      <c r="BI927" s="206" t="s">
        <v>1709</v>
      </c>
      <c r="BJ927" s="207">
        <v>13.3</v>
      </c>
      <c r="BK927" s="185"/>
      <c r="BL927" s="185"/>
      <c r="BM927" s="185"/>
      <c r="BN927" s="185"/>
      <c r="BO927" s="185"/>
      <c r="BP927" s="185"/>
      <c r="BQ927" s="185"/>
      <c r="BR927" s="185"/>
      <c r="BS927" s="185"/>
      <c r="BT927" s="185"/>
      <c r="BU927" s="185"/>
      <c r="BV927" s="3"/>
      <c r="BW927" s="3"/>
      <c r="BX927" s="3"/>
      <c r="BY927" s="3"/>
      <c r="BZ927" s="3"/>
      <c r="CA927" s="3"/>
      <c r="CB927" s="3"/>
      <c r="CC927" s="3"/>
      <c r="CD927" s="3"/>
      <c r="CE927" s="3"/>
      <c r="CF927" s="3"/>
      <c r="CG927" s="3"/>
      <c r="CH927" s="3"/>
      <c r="CI927" s="3"/>
      <c r="CJ927" s="3"/>
      <c r="CK927" s="3"/>
      <c r="CL927" s="3"/>
      <c r="CM927" s="3"/>
      <c r="CN927" s="3"/>
      <c r="CO927" s="3"/>
      <c r="CP927" s="3"/>
      <c r="CQ927" s="3"/>
      <c r="CR927" s="3"/>
      <c r="CS927" s="3"/>
      <c r="CT927" s="3"/>
      <c r="CU927" s="3"/>
      <c r="CV927" s="3"/>
      <c r="CW927" s="3"/>
      <c r="CX927" s="3"/>
      <c r="CY927" s="3"/>
      <c r="CZ927" s="3"/>
      <c r="DA927" s="3"/>
      <c r="DB927" s="3"/>
      <c r="DC927" s="3"/>
      <c r="DD927" s="3"/>
      <c r="DE927" s="3"/>
      <c r="DF927" s="3"/>
      <c r="DG927" s="3"/>
      <c r="DH927" s="3"/>
      <c r="DI927" s="3"/>
      <c r="DJ927" s="3"/>
      <c r="DK927" s="3"/>
      <c r="DL927" s="3"/>
      <c r="DM927" s="3"/>
      <c r="DN927" s="3"/>
      <c r="DO927" s="3"/>
      <c r="DP927" s="3"/>
      <c r="DQ927" s="3"/>
      <c r="DR927" s="3"/>
      <c r="DS927" s="3"/>
      <c r="DT927" s="3"/>
      <c r="DU927" s="3"/>
      <c r="DV927" s="3"/>
      <c r="DW927" s="3"/>
      <c r="DX927" s="3"/>
      <c r="DY927" s="3"/>
      <c r="DZ927" s="3"/>
      <c r="EA927" s="3"/>
      <c r="EB927" s="3"/>
      <c r="EC927" s="3"/>
      <c r="ED927" s="2"/>
      <c r="EE927" s="185"/>
      <c r="EF927" s="185"/>
      <c r="EG927" s="185"/>
      <c r="EH927" s="185"/>
      <c r="EI927" s="185"/>
      <c r="EJ927" s="185"/>
      <c r="EK927" s="185"/>
      <c r="EL927" s="3"/>
      <c r="EM927" s="3"/>
      <c r="EN927" s="3"/>
      <c r="EO927" s="3"/>
      <c r="EP927" s="3"/>
      <c r="EQ927" s="3"/>
      <c r="ER927" s="3"/>
      <c r="ES927" s="3"/>
      <c r="ET927" s="3"/>
      <c r="EU927" s="3"/>
      <c r="EV927" s="3"/>
      <c r="EW927" s="3"/>
      <c r="EX927" s="3"/>
      <c r="EY927" s="3"/>
      <c r="EZ927" s="3"/>
      <c r="FA927" s="3"/>
      <c r="FB927" s="3"/>
      <c r="FC927" s="3"/>
      <c r="FD927" s="3"/>
      <c r="FE927" s="3"/>
      <c r="FF927" s="3"/>
      <c r="FG927" s="3"/>
      <c r="FH927" s="3"/>
      <c r="FI927" s="3"/>
      <c r="FJ927" s="3"/>
      <c r="FK927" s="3"/>
      <c r="FL927" s="3"/>
      <c r="FM927" s="3"/>
      <c r="FN927" s="3"/>
      <c r="FO927" s="3"/>
      <c r="FP927" s="3"/>
      <c r="FQ927" s="3"/>
      <c r="FR927" s="3"/>
      <c r="FS927" s="3"/>
      <c r="FT927" s="3"/>
      <c r="FU927" s="3"/>
      <c r="FV927" s="3"/>
      <c r="FW927" s="3"/>
      <c r="FX927" s="3"/>
      <c r="FY927" s="3"/>
      <c r="FZ927" s="3"/>
      <c r="GA927" s="3"/>
      <c r="GB927" s="3"/>
      <c r="GC927" s="3"/>
      <c r="GD927" s="3"/>
      <c r="GE927" s="3"/>
      <c r="GF927" s="3"/>
      <c r="GG927" s="3"/>
      <c r="GH927" s="3"/>
      <c r="GI927" s="3"/>
      <c r="GJ927" s="3"/>
      <c r="GK927" s="3"/>
      <c r="GL927" s="3"/>
      <c r="GM927" s="3"/>
      <c r="GN927" s="3"/>
      <c r="GO927" s="3"/>
      <c r="GP927" s="3"/>
      <c r="GQ927" s="3"/>
      <c r="GR927" s="3"/>
      <c r="GS927" s="3"/>
      <c r="GT927" s="3"/>
      <c r="GU927" s="3"/>
      <c r="GV927" s="3"/>
      <c r="GW927" s="3"/>
      <c r="GX927" s="3"/>
      <c r="GY927" s="3"/>
      <c r="GZ927" s="3"/>
      <c r="HA927" s="3"/>
      <c r="HB927" s="3"/>
      <c r="HC927" s="3"/>
      <c r="HD927" s="3"/>
      <c r="HE927" s="3"/>
      <c r="HF927" s="3"/>
      <c r="HG927" s="3"/>
      <c r="HH927" s="3"/>
      <c r="HI927" s="3"/>
      <c r="HJ927" s="3"/>
      <c r="HK927" s="185"/>
      <c r="HL927" s="185"/>
      <c r="HM927" s="185"/>
      <c r="HN927" s="185"/>
      <c r="HO927" s="185"/>
      <c r="HP927" s="185"/>
      <c r="HQ927" s="185"/>
      <c r="HR927" s="185"/>
      <c r="HS927" s="206"/>
      <c r="HT927" s="185"/>
      <c r="HU927" s="185"/>
      <c r="HV927" s="185"/>
      <c r="HW927" s="185"/>
      <c r="HX927" s="215"/>
      <c r="HY927" s="185"/>
      <c r="HZ927" s="185"/>
      <c r="IA927" s="185"/>
      <c r="IB927" s="185"/>
      <c r="IC927" s="185"/>
      <c r="ID927" s="185"/>
      <c r="IE927" s="185"/>
      <c r="IF927" s="185"/>
      <c r="IG927" s="185"/>
      <c r="IH927" s="185" t="s">
        <v>1721</v>
      </c>
      <c r="II927" s="148" t="s">
        <v>492</v>
      </c>
      <c r="IJ927" s="148"/>
      <c r="IK927" s="210"/>
      <c r="IL927" s="185"/>
      <c r="IM927" s="185"/>
      <c r="IN927" s="185"/>
      <c r="IO927" s="185"/>
      <c r="IP927" s="185"/>
      <c r="IQ927" s="185"/>
      <c r="IR927" s="185"/>
      <c r="IS927" s="185"/>
      <c r="IT927" s="185"/>
      <c r="IU927" s="185"/>
      <c r="IV927" s="185"/>
      <c r="IW927" s="185"/>
      <c r="IX927" s="2"/>
      <c r="IY927" s="2"/>
      <c r="IZ927" s="2"/>
      <c r="JA927" s="2"/>
      <c r="JB927" s="2"/>
      <c r="JC927" s="2"/>
      <c r="JD927" s="2"/>
      <c r="JE927" s="2"/>
      <c r="JF927" s="2"/>
      <c r="JG927" s="2"/>
      <c r="JH927" s="2"/>
      <c r="JI927" s="2"/>
      <c r="JJ927" s="2"/>
      <c r="JK927" s="2"/>
      <c r="JL927" s="151"/>
      <c r="JM927" s="140"/>
      <c r="JN927" s="206"/>
      <c r="JO927" s="185"/>
      <c r="JP927" s="206"/>
      <c r="JQ927" s="185"/>
      <c r="JR927" s="185"/>
      <c r="JS927" s="185"/>
      <c r="JT927" s="185"/>
      <c r="JU927" s="185"/>
      <c r="JV927" s="140"/>
      <c r="JW927" s="140"/>
      <c r="JX927" s="206"/>
      <c r="JY927" s="185"/>
      <c r="JZ927" s="206"/>
      <c r="KA927" s="185"/>
      <c r="KB927" s="185"/>
      <c r="KC927" s="185"/>
      <c r="KD927" s="206"/>
      <c r="KE927" s="206"/>
      <c r="KF927" s="148"/>
      <c r="KG927" s="216"/>
      <c r="KH927" s="185"/>
      <c r="KI927" s="185"/>
      <c r="KJ927" s="185"/>
      <c r="KK927" s="185"/>
      <c r="KL927" s="206"/>
      <c r="KM927" s="185"/>
      <c r="KN927" s="148"/>
      <c r="KO927" s="216"/>
      <c r="KP927" s="185"/>
      <c r="KQ927" s="185"/>
      <c r="KR927" s="148"/>
      <c r="KS927" s="216"/>
      <c r="KT927" s="185"/>
      <c r="KU927" s="185"/>
      <c r="KV927" s="185"/>
      <c r="KW927" s="3"/>
      <c r="KX927" s="3"/>
      <c r="KY927" s="3"/>
      <c r="KZ927" s="3"/>
      <c r="LA927" s="206"/>
      <c r="LB927" s="206"/>
      <c r="LC927" s="206"/>
      <c r="LD927" s="206"/>
      <c r="LE927" s="206"/>
      <c r="LF927" s="206"/>
      <c r="LG927" s="206"/>
      <c r="LH927" s="206"/>
      <c r="LI927" s="206"/>
      <c r="LJ927" s="206"/>
      <c r="LK927" s="206"/>
      <c r="LL927" s="206"/>
      <c r="LM927" s="206"/>
      <c r="LN927" s="185"/>
      <c r="LO927" s="185"/>
      <c r="LP927" s="185"/>
      <c r="LQ927" s="185"/>
      <c r="LR927" s="185"/>
      <c r="LS927" s="185"/>
      <c r="LT927" s="185"/>
      <c r="LU927" s="185"/>
      <c r="LW927" s="2"/>
      <c r="LX927" s="2"/>
      <c r="LY927" s="2"/>
      <c r="LZ927" s="2"/>
      <c r="MA927" s="2"/>
      <c r="ME927" s="2"/>
      <c r="MF927" s="185"/>
      <c r="MG927" s="185"/>
      <c r="MH927" s="185"/>
      <c r="MI927" s="2"/>
      <c r="MJ927" s="2"/>
      <c r="MK927" s="2"/>
      <c r="ML927" s="2"/>
      <c r="MM927" s="2"/>
      <c r="MN927" s="2"/>
      <c r="MO927" s="2"/>
      <c r="MP927" s="2"/>
      <c r="MQ927" s="185"/>
      <c r="MR927" s="185"/>
      <c r="MS927" s="185"/>
      <c r="MT927" s="185"/>
      <c r="MU927" s="185"/>
      <c r="MV927" s="185"/>
      <c r="MW927" s="185"/>
      <c r="MX927" s="185"/>
      <c r="MY927" s="211" t="s">
        <v>1710</v>
      </c>
      <c r="MZ927" s="212">
        <v>16.25</v>
      </c>
      <c r="NC927" t="s">
        <v>1717</v>
      </c>
      <c r="NI927" s="185"/>
      <c r="NJ927" s="185"/>
      <c r="NK927" s="185"/>
      <c r="NL927" s="185" t="s">
        <v>660</v>
      </c>
      <c r="NM927" s="213" t="s">
        <v>508</v>
      </c>
      <c r="NN927" s="185"/>
      <c r="NO927" s="185"/>
      <c r="NP927" s="185"/>
      <c r="NQ927" s="185"/>
      <c r="NR927" s="185"/>
      <c r="NS927" s="185"/>
      <c r="NT927" s="185"/>
      <c r="NU927" s="185" t="s">
        <v>1722</v>
      </c>
      <c r="NV927" s="185" t="s">
        <v>518</v>
      </c>
      <c r="NW927" s="214"/>
      <c r="NX927" s="185" t="s">
        <v>480</v>
      </c>
      <c r="NY927" s="147"/>
      <c r="NZ927" s="147"/>
      <c r="OA927" s="133"/>
      <c r="OB927" s="185">
        <v>3</v>
      </c>
      <c r="OD927" s="185"/>
      <c r="OE927" s="185">
        <v>1187.7</v>
      </c>
      <c r="OF927" s="185" t="s">
        <v>480</v>
      </c>
      <c r="OG927" s="185"/>
      <c r="OH927" s="185"/>
      <c r="OI927" s="185"/>
      <c r="OJ927" s="185"/>
      <c r="OK927" s="185"/>
      <c r="OL927" s="185"/>
      <c r="OM927" s="185"/>
      <c r="ON927" s="185"/>
      <c r="OO927" s="185"/>
      <c r="OP927" s="185"/>
      <c r="OQ927" s="185"/>
      <c r="OR927" s="185"/>
      <c r="OS927" s="185"/>
      <c r="OT927" s="185"/>
      <c r="OU927" t="s">
        <v>1711</v>
      </c>
      <c r="OV927" s="185" t="s">
        <v>518</v>
      </c>
      <c r="OX927">
        <v>2021</v>
      </c>
      <c r="OY927">
        <v>2022</v>
      </c>
      <c r="PB927" t="s">
        <v>522</v>
      </c>
      <c r="PC927" s="50">
        <v>46148</v>
      </c>
    </row>
    <row r="928" spans="1:420" ht="17.25" thickBot="1">
      <c r="A928" s="205" t="s">
        <v>861</v>
      </c>
      <c r="B928" s="2" t="s">
        <v>1700</v>
      </c>
      <c r="C928" s="2" t="s">
        <v>1387</v>
      </c>
      <c r="D928" s="88" t="s">
        <v>668</v>
      </c>
      <c r="E928" s="2" t="s">
        <v>1701</v>
      </c>
      <c r="F928" s="88" t="s">
        <v>1702</v>
      </c>
      <c r="G928" s="2" t="s">
        <v>475</v>
      </c>
      <c r="H928" s="2" t="s">
        <v>476</v>
      </c>
      <c r="I928" s="88">
        <v>-11.474220000000001</v>
      </c>
      <c r="J928" s="88" t="s">
        <v>1703</v>
      </c>
      <c r="K928" s="88">
        <v>1000</v>
      </c>
      <c r="L928" s="2"/>
      <c r="M928" s="88"/>
      <c r="N928" s="2"/>
      <c r="O928" s="2"/>
      <c r="P928" s="2"/>
      <c r="Q928" s="2"/>
      <c r="R928" s="2"/>
      <c r="S928" s="2"/>
      <c r="T928" s="2"/>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c r="AV928" s="2" t="s">
        <v>1704</v>
      </c>
      <c r="AW928" s="2">
        <v>28</v>
      </c>
      <c r="AX928" s="2" t="s">
        <v>480</v>
      </c>
      <c r="AY928" s="2">
        <v>2</v>
      </c>
      <c r="AZ928" s="185" t="s">
        <v>1705</v>
      </c>
      <c r="BA928" s="185">
        <v>2020</v>
      </c>
      <c r="BB928" s="185">
        <v>2022</v>
      </c>
      <c r="BC928" s="185"/>
      <c r="BD928" s="185" t="s">
        <v>1723</v>
      </c>
      <c r="BE928" s="185" t="s">
        <v>593</v>
      </c>
      <c r="BF928" s="185" t="s">
        <v>484</v>
      </c>
      <c r="BG928" s="185" t="s">
        <v>485</v>
      </c>
      <c r="BH928" s="185" t="s">
        <v>1719</v>
      </c>
      <c r="BI928" s="206" t="s">
        <v>1709</v>
      </c>
      <c r="BJ928" s="207">
        <v>4.4000000000000004</v>
      </c>
      <c r="BK928" s="185"/>
      <c r="BL928" s="185"/>
      <c r="BM928" s="185"/>
      <c r="BN928" s="185"/>
      <c r="BO928" s="185"/>
      <c r="BP928" s="185"/>
      <c r="BQ928" s="185"/>
      <c r="BR928" s="185"/>
      <c r="BS928" s="185"/>
      <c r="BT928" s="185"/>
      <c r="BU928" s="185"/>
      <c r="BV928" s="3"/>
      <c r="BW928" s="3"/>
      <c r="BX928" s="3"/>
      <c r="BY928" s="3"/>
      <c r="BZ928" s="3"/>
      <c r="CA928" s="3"/>
      <c r="CB928" s="3"/>
      <c r="CC928" s="3"/>
      <c r="CD928" s="3"/>
      <c r="CE928" s="3"/>
      <c r="CF928" s="3"/>
      <c r="CG928" s="3"/>
      <c r="CH928" s="3"/>
      <c r="CI928" s="3"/>
      <c r="CJ928" s="3"/>
      <c r="CK928" s="3"/>
      <c r="CL928" s="3"/>
      <c r="CM928" s="3"/>
      <c r="CN928" s="3"/>
      <c r="CO928" s="3"/>
      <c r="CP928" s="3"/>
      <c r="CQ928" s="3"/>
      <c r="CR928" s="3"/>
      <c r="CS928" s="3"/>
      <c r="CT928" s="3"/>
      <c r="CU928" s="3"/>
      <c r="CV928" s="3"/>
      <c r="CW928" s="3"/>
      <c r="CX928" s="3"/>
      <c r="CY928" s="3"/>
      <c r="CZ928" s="3"/>
      <c r="DA928" s="3"/>
      <c r="DB928" s="3"/>
      <c r="DC928" s="3"/>
      <c r="DD928" s="3"/>
      <c r="DE928" s="3"/>
      <c r="DF928" s="3"/>
      <c r="DG928" s="3"/>
      <c r="DH928" s="3"/>
      <c r="DI928" s="3"/>
      <c r="DJ928" s="3"/>
      <c r="DK928" s="3"/>
      <c r="DL928" s="3"/>
      <c r="DM928" s="3"/>
      <c r="DN928" s="3"/>
      <c r="DO928" s="3"/>
      <c r="DP928" s="3"/>
      <c r="DQ928" s="3"/>
      <c r="DR928" s="3"/>
      <c r="DS928" s="3"/>
      <c r="DT928" s="3"/>
      <c r="DU928" s="3"/>
      <c r="DV928" s="3"/>
      <c r="DW928" s="3"/>
      <c r="DX928" s="3"/>
      <c r="DY928" s="3"/>
      <c r="DZ928" s="3"/>
      <c r="EA928" s="3"/>
      <c r="EB928" s="3"/>
      <c r="EC928" s="3"/>
      <c r="ED928" s="2"/>
      <c r="EE928" s="185"/>
      <c r="EF928" s="185"/>
      <c r="EG928" s="185"/>
      <c r="EH928" s="185"/>
      <c r="EI928" s="185"/>
      <c r="EJ928" s="185"/>
      <c r="EK928" s="185"/>
      <c r="EL928" s="3"/>
      <c r="EM928" s="3"/>
      <c r="EN928" s="3"/>
      <c r="EO928" s="3"/>
      <c r="EP928" s="3"/>
      <c r="EQ928" s="3"/>
      <c r="ER928" s="3"/>
      <c r="ES928" s="3"/>
      <c r="ET928" s="3"/>
      <c r="EU928" s="3"/>
      <c r="EV928" s="3"/>
      <c r="EW928" s="3"/>
      <c r="EX928" s="3"/>
      <c r="EY928" s="3"/>
      <c r="EZ928" s="3"/>
      <c r="FA928" s="3"/>
      <c r="FB928" s="3"/>
      <c r="FC928" s="3"/>
      <c r="FD928" s="3"/>
      <c r="FE928" s="3"/>
      <c r="FF928" s="3"/>
      <c r="FG928" s="3"/>
      <c r="FH928" s="3"/>
      <c r="FI928" s="3"/>
      <c r="FJ928" s="3"/>
      <c r="FK928" s="3"/>
      <c r="FL928" s="3"/>
      <c r="FM928" s="3"/>
      <c r="FN928" s="3"/>
      <c r="FO928" s="3"/>
      <c r="FP928" s="3"/>
      <c r="FQ928" s="3"/>
      <c r="FR928" s="3"/>
      <c r="FS928" s="3"/>
      <c r="FT928" s="3"/>
      <c r="FU928" s="3"/>
      <c r="FV928" s="3"/>
      <c r="FW928" s="3"/>
      <c r="FX928" s="3"/>
      <c r="FY928" s="3"/>
      <c r="FZ928" s="3"/>
      <c r="GA928" s="3"/>
      <c r="GB928" s="3"/>
      <c r="GC928" s="3"/>
      <c r="GD928" s="3"/>
      <c r="GE928" s="3"/>
      <c r="GF928" s="3"/>
      <c r="GG928" s="3"/>
      <c r="GH928" s="3"/>
      <c r="GI928" s="3"/>
      <c r="GJ928" s="3"/>
      <c r="GK928" s="3"/>
      <c r="GL928" s="3"/>
      <c r="GM928" s="3"/>
      <c r="GN928" s="3"/>
      <c r="GO928" s="3"/>
      <c r="GP928" s="3"/>
      <c r="GQ928" s="3"/>
      <c r="GR928" s="3"/>
      <c r="GS928" s="3"/>
      <c r="GT928" s="3"/>
      <c r="GU928" s="3"/>
      <c r="GV928" s="3"/>
      <c r="GW928" s="3"/>
      <c r="GX928" s="3"/>
      <c r="GY928" s="3"/>
      <c r="GZ928" s="3"/>
      <c r="HA928" s="3"/>
      <c r="HB928" s="3"/>
      <c r="HC928" s="3"/>
      <c r="HD928" s="3"/>
      <c r="HE928" s="3"/>
      <c r="HF928" s="3"/>
      <c r="HG928" s="3"/>
      <c r="HH928" s="3"/>
      <c r="HI928" s="3"/>
      <c r="HJ928" s="3"/>
      <c r="HK928" s="185"/>
      <c r="HL928" s="185"/>
      <c r="HM928" s="185"/>
      <c r="HN928" s="185"/>
      <c r="HO928" s="185"/>
      <c r="HP928" s="185"/>
      <c r="HQ928" s="185"/>
      <c r="HR928" s="185"/>
      <c r="HS928" s="206"/>
      <c r="HT928" s="185"/>
      <c r="HU928" s="185"/>
      <c r="HV928" s="185"/>
      <c r="HW928" s="185"/>
      <c r="HX928" s="215"/>
      <c r="HY928" s="185"/>
      <c r="HZ928" s="185"/>
      <c r="IA928" s="185"/>
      <c r="IB928" s="185"/>
      <c r="IC928" s="185"/>
      <c r="ID928" s="185"/>
      <c r="IE928" s="185"/>
      <c r="IF928" s="185"/>
      <c r="IG928" s="185"/>
      <c r="IH928" s="185" t="s">
        <v>1723</v>
      </c>
      <c r="II928" s="148" t="s">
        <v>492</v>
      </c>
      <c r="IJ928" s="148"/>
      <c r="IK928" s="210"/>
      <c r="IL928" s="185"/>
      <c r="IM928" s="185"/>
      <c r="IN928" s="185"/>
      <c r="IO928" s="185"/>
      <c r="IP928" s="185"/>
      <c r="IQ928" s="185"/>
      <c r="IR928" s="185"/>
      <c r="IS928" s="185"/>
      <c r="IT928" s="185"/>
      <c r="IU928" s="185"/>
      <c r="IV928" s="185"/>
      <c r="IW928" s="185"/>
      <c r="IX928" s="2"/>
      <c r="IY928" s="2"/>
      <c r="IZ928" s="2"/>
      <c r="JA928" s="2"/>
      <c r="JB928" s="2"/>
      <c r="JC928" s="2"/>
      <c r="JD928" s="2"/>
      <c r="JE928" s="2"/>
      <c r="JF928" s="2"/>
      <c r="JG928" s="2"/>
      <c r="JH928" s="2"/>
      <c r="JI928" s="2"/>
      <c r="JJ928" s="2"/>
      <c r="JK928" s="2"/>
      <c r="JL928" s="151"/>
      <c r="JM928" s="140"/>
      <c r="JN928" s="206"/>
      <c r="JO928" s="185"/>
      <c r="JP928" s="206"/>
      <c r="JQ928" s="185"/>
      <c r="JR928" s="185"/>
      <c r="JS928" s="185"/>
      <c r="JT928" s="185"/>
      <c r="JU928" s="185"/>
      <c r="JV928" s="140"/>
      <c r="JW928" s="140"/>
      <c r="JX928" s="206"/>
      <c r="JY928" s="185"/>
      <c r="JZ928" s="206"/>
      <c r="KA928" s="185"/>
      <c r="KB928" s="185"/>
      <c r="KC928" s="185"/>
      <c r="KD928" s="206"/>
      <c r="KE928" s="206"/>
      <c r="KF928" s="148"/>
      <c r="KG928" s="216"/>
      <c r="KH928" s="185"/>
      <c r="KI928" s="185"/>
      <c r="KJ928" s="185"/>
      <c r="KK928" s="185"/>
      <c r="KL928" s="206"/>
      <c r="KM928" s="185"/>
      <c r="KN928" s="148"/>
      <c r="KO928" s="216"/>
      <c r="KP928" s="185"/>
      <c r="KQ928" s="185"/>
      <c r="KR928" s="148"/>
      <c r="KS928" s="216"/>
      <c r="KT928" s="185"/>
      <c r="KU928" s="185"/>
      <c r="KV928" s="185"/>
      <c r="KW928" s="3"/>
      <c r="KX928" s="3"/>
      <c r="KY928" s="3"/>
      <c r="KZ928" s="3"/>
      <c r="LA928" s="206"/>
      <c r="LB928" s="206"/>
      <c r="LC928" s="206"/>
      <c r="LD928" s="206"/>
      <c r="LE928" s="206"/>
      <c r="LF928" s="206"/>
      <c r="LG928" s="206"/>
      <c r="LH928" s="206"/>
      <c r="LI928" s="206"/>
      <c r="LJ928" s="206"/>
      <c r="LK928" s="206"/>
      <c r="LL928" s="206"/>
      <c r="LM928" s="206"/>
      <c r="LN928" s="185"/>
      <c r="LO928" s="185"/>
      <c r="LP928" s="185"/>
      <c r="LQ928" s="185"/>
      <c r="LR928" s="185"/>
      <c r="LS928" s="185"/>
      <c r="LT928" s="185"/>
      <c r="LU928" s="185"/>
      <c r="LW928" s="2"/>
      <c r="LX928" s="2"/>
      <c r="LY928" s="2"/>
      <c r="LZ928" s="2"/>
      <c r="MA928" s="2"/>
      <c r="ME928" s="2"/>
      <c r="MF928" s="185"/>
      <c r="MG928" s="185"/>
      <c r="MH928" s="185"/>
      <c r="MI928" s="2"/>
      <c r="MJ928" s="2"/>
      <c r="MK928" s="2"/>
      <c r="ML928" s="2"/>
      <c r="MM928" s="2"/>
      <c r="MN928" s="2"/>
      <c r="MO928" s="2"/>
      <c r="MP928" s="2"/>
      <c r="MQ928" s="185"/>
      <c r="MR928" s="185"/>
      <c r="MS928" s="185"/>
      <c r="MT928" s="185"/>
      <c r="MU928" s="185"/>
      <c r="MV928" s="185"/>
      <c r="MW928" s="185"/>
      <c r="MX928" s="185"/>
      <c r="MY928" s="211" t="s">
        <v>1710</v>
      </c>
      <c r="MZ928" s="212">
        <v>16.25</v>
      </c>
      <c r="ND928" t="s">
        <v>548</v>
      </c>
      <c r="NI928" s="185"/>
      <c r="NJ928" s="185"/>
      <c r="NK928" s="185"/>
      <c r="NL928" s="185" t="s">
        <v>660</v>
      </c>
      <c r="NM928" s="213" t="s">
        <v>508</v>
      </c>
      <c r="NN928" s="185"/>
      <c r="NO928" s="185"/>
      <c r="NP928" s="185"/>
      <c r="NQ928" s="185"/>
      <c r="NR928" s="185"/>
      <c r="NS928" s="185"/>
      <c r="NT928" s="185"/>
      <c r="NU928" s="185" t="s">
        <v>1724</v>
      </c>
      <c r="NV928" s="185" t="s">
        <v>518</v>
      </c>
      <c r="NW928" s="214"/>
      <c r="NX928" s="185" t="s">
        <v>480</v>
      </c>
      <c r="NY928" s="147"/>
      <c r="NZ928" s="147"/>
      <c r="OA928" s="133"/>
      <c r="OB928" s="185">
        <v>3</v>
      </c>
      <c r="OD928" s="185"/>
      <c r="OF928" s="185"/>
      <c r="OG928" s="185">
        <v>6110</v>
      </c>
      <c r="OH928" s="185" t="s">
        <v>480</v>
      </c>
      <c r="OI928" s="185"/>
      <c r="OJ928" s="185"/>
      <c r="OK928" s="185"/>
      <c r="OL928" s="185"/>
      <c r="OM928" s="185"/>
      <c r="ON928" s="185"/>
      <c r="OO928" s="185"/>
      <c r="OP928" s="185"/>
      <c r="OQ928" s="185"/>
      <c r="OR928" s="185"/>
      <c r="OS928" s="185"/>
      <c r="OT928" s="185"/>
      <c r="OU928" t="s">
        <v>1711</v>
      </c>
      <c r="OV928" s="185" t="s">
        <v>518</v>
      </c>
      <c r="OX928">
        <v>2021</v>
      </c>
      <c r="OY928">
        <v>2022</v>
      </c>
      <c r="PB928" t="s">
        <v>522</v>
      </c>
      <c r="PC928" s="50">
        <v>46148</v>
      </c>
    </row>
    <row r="929" spans="1:419" ht="17.25" thickBot="1">
      <c r="A929" s="205" t="s">
        <v>861</v>
      </c>
      <c r="B929" s="2" t="s">
        <v>1700</v>
      </c>
      <c r="C929" s="2" t="s">
        <v>1387</v>
      </c>
      <c r="D929" s="88" t="s">
        <v>668</v>
      </c>
      <c r="E929" s="2" t="s">
        <v>1701</v>
      </c>
      <c r="F929" s="88" t="s">
        <v>1702</v>
      </c>
      <c r="G929" s="2" t="s">
        <v>475</v>
      </c>
      <c r="H929" s="2" t="s">
        <v>476</v>
      </c>
      <c r="I929" s="88">
        <v>-11.474220000000001</v>
      </c>
      <c r="J929" s="88" t="s">
        <v>1703</v>
      </c>
      <c r="K929" s="88">
        <v>1000</v>
      </c>
      <c r="L929" s="2"/>
      <c r="M929" s="88"/>
      <c r="N929" s="2"/>
      <c r="O929" s="2"/>
      <c r="P929" s="2"/>
      <c r="Q929" s="2"/>
      <c r="R929" s="2"/>
      <c r="S929" s="2"/>
      <c r="T929" s="2"/>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c r="AV929" s="2" t="s">
        <v>1704</v>
      </c>
      <c r="AW929" s="2">
        <v>28</v>
      </c>
      <c r="AX929" s="2" t="s">
        <v>480</v>
      </c>
      <c r="AY929" s="2">
        <v>2</v>
      </c>
      <c r="AZ929" s="185" t="s">
        <v>1705</v>
      </c>
      <c r="BA929" s="185">
        <v>2020</v>
      </c>
      <c r="BB929" s="185">
        <v>2022</v>
      </c>
      <c r="BC929" s="185"/>
      <c r="BD929" s="185" t="s">
        <v>1725</v>
      </c>
      <c r="BE929" s="185" t="s">
        <v>602</v>
      </c>
      <c r="BF929" s="185" t="s">
        <v>484</v>
      </c>
      <c r="BG929" s="185" t="s">
        <v>485</v>
      </c>
      <c r="BH929" s="185" t="s">
        <v>1719</v>
      </c>
      <c r="BI929" s="206" t="s">
        <v>1709</v>
      </c>
      <c r="BJ929" s="207">
        <v>4.4000000000000004</v>
      </c>
      <c r="BK929" s="185"/>
      <c r="BL929" s="185"/>
      <c r="BM929" s="185"/>
      <c r="BN929" s="185"/>
      <c r="BO929" s="185"/>
      <c r="BP929" s="185"/>
      <c r="BQ929" s="185"/>
      <c r="BR929" s="185"/>
      <c r="BS929" s="185"/>
      <c r="BT929" s="185"/>
      <c r="BU929" s="185"/>
      <c r="BV929" s="3"/>
      <c r="BW929" s="3"/>
      <c r="BX929" s="3"/>
      <c r="BY929" s="3"/>
      <c r="BZ929" s="3"/>
      <c r="CA929" s="3"/>
      <c r="CB929" s="3"/>
      <c r="CC929" s="3"/>
      <c r="CD929" s="3"/>
      <c r="CE929" s="3"/>
      <c r="CF929" s="3"/>
      <c r="CG929" s="3"/>
      <c r="CH929" s="3"/>
      <c r="CI929" s="3"/>
      <c r="CJ929" s="3"/>
      <c r="CK929" s="3"/>
      <c r="CL929" s="3"/>
      <c r="CM929" s="3"/>
      <c r="CN929" s="3"/>
      <c r="CO929" s="3"/>
      <c r="CP929" s="3"/>
      <c r="CQ929" s="3"/>
      <c r="CR929" s="3"/>
      <c r="CS929" s="3"/>
      <c r="CT929" s="3"/>
      <c r="CU929" s="3"/>
      <c r="CV929" s="3"/>
      <c r="CW929" s="3"/>
      <c r="CX929" s="3"/>
      <c r="CY929" s="3"/>
      <c r="CZ929" s="3"/>
      <c r="DA929" s="3"/>
      <c r="DB929" s="3"/>
      <c r="DC929" s="3"/>
      <c r="DD929" s="3"/>
      <c r="DE929" s="3"/>
      <c r="DF929" s="3"/>
      <c r="DG929" s="3"/>
      <c r="DH929" s="3"/>
      <c r="DI929" s="3"/>
      <c r="DJ929" s="3"/>
      <c r="DK929" s="3"/>
      <c r="DL929" s="3"/>
      <c r="DM929" s="3"/>
      <c r="DN929" s="3"/>
      <c r="DO929" s="3"/>
      <c r="DP929" s="3"/>
      <c r="DQ929" s="3"/>
      <c r="DR929" s="3"/>
      <c r="DS929" s="3"/>
      <c r="DT929" s="3"/>
      <c r="DU929" s="3"/>
      <c r="DV929" s="3"/>
      <c r="DW929" s="3"/>
      <c r="DX929" s="3"/>
      <c r="DY929" s="3"/>
      <c r="DZ929" s="3"/>
      <c r="EA929" s="3"/>
      <c r="EB929" s="3"/>
      <c r="EC929" s="3"/>
      <c r="ED929" s="2"/>
      <c r="EE929" s="185"/>
      <c r="EF929" s="185"/>
      <c r="EG929" s="185"/>
      <c r="EH929" s="185"/>
      <c r="EI929" s="185"/>
      <c r="EJ929" s="185"/>
      <c r="EK929" s="185"/>
      <c r="EL929" s="3"/>
      <c r="EM929" s="3"/>
      <c r="EN929" s="3"/>
      <c r="EO929" s="3"/>
      <c r="EP929" s="3"/>
      <c r="EQ929" s="3"/>
      <c r="ER929" s="3"/>
      <c r="ES929" s="3"/>
      <c r="ET929" s="3"/>
      <c r="EU929" s="3"/>
      <c r="EV929" s="3"/>
      <c r="EW929" s="3"/>
      <c r="EX929" s="3"/>
      <c r="EY929" s="3"/>
      <c r="EZ929" s="3"/>
      <c r="FA929" s="3"/>
      <c r="FB929" s="3"/>
      <c r="FC929" s="3"/>
      <c r="FD929" s="3"/>
      <c r="FE929" s="3"/>
      <c r="FF929" s="3"/>
      <c r="FG929" s="3"/>
      <c r="FH929" s="3"/>
      <c r="FI929" s="3"/>
      <c r="FJ929" s="3"/>
      <c r="FK929" s="3"/>
      <c r="FL929" s="3"/>
      <c r="FM929" s="3"/>
      <c r="FN929" s="3"/>
      <c r="FO929" s="3"/>
      <c r="FP929" s="3"/>
      <c r="FQ929" s="3"/>
      <c r="FR929" s="3"/>
      <c r="FS929" s="3"/>
      <c r="FT929" s="3"/>
      <c r="FU929" s="3"/>
      <c r="FV929" s="3"/>
      <c r="FW929" s="3"/>
      <c r="FX929" s="3"/>
      <c r="FY929" s="3"/>
      <c r="FZ929" s="3"/>
      <c r="GA929" s="3"/>
      <c r="GB929" s="3"/>
      <c r="GC929" s="3"/>
      <c r="GD929" s="3"/>
      <c r="GE929" s="3"/>
      <c r="GF929" s="3"/>
      <c r="GG929" s="3"/>
      <c r="GH929" s="3"/>
      <c r="GI929" s="3"/>
      <c r="GJ929" s="3"/>
      <c r="GK929" s="3"/>
      <c r="GL929" s="3"/>
      <c r="GM929" s="3"/>
      <c r="GN929" s="3"/>
      <c r="GO929" s="3"/>
      <c r="GP929" s="3"/>
      <c r="GQ929" s="3"/>
      <c r="GR929" s="3"/>
      <c r="GS929" s="3"/>
      <c r="GT929" s="3"/>
      <c r="GU929" s="3"/>
      <c r="GV929" s="3"/>
      <c r="GW929" s="3"/>
      <c r="GX929" s="3"/>
      <c r="GY929" s="3"/>
      <c r="GZ929" s="3"/>
      <c r="HA929" s="3"/>
      <c r="HB929" s="3"/>
      <c r="HC929" s="3"/>
      <c r="HD929" s="3"/>
      <c r="HE929" s="3"/>
      <c r="HF929" s="3"/>
      <c r="HG929" s="3"/>
      <c r="HH929" s="3"/>
      <c r="HI929" s="3"/>
      <c r="HJ929" s="3"/>
      <c r="HK929" s="185" t="s">
        <v>1726</v>
      </c>
      <c r="HL929" s="185" t="s">
        <v>1546</v>
      </c>
      <c r="HM929" s="127" t="s">
        <v>480</v>
      </c>
      <c r="HN929" s="127" t="s">
        <v>480</v>
      </c>
      <c r="HO929" s="127" t="s">
        <v>480</v>
      </c>
      <c r="HP929" s="127" t="s">
        <v>480</v>
      </c>
      <c r="HQ929" s="185"/>
      <c r="HR929" s="185"/>
      <c r="HS929" s="206"/>
      <c r="HT929" s="185"/>
      <c r="HU929" s="185"/>
      <c r="HV929" s="185"/>
      <c r="HW929" s="185"/>
      <c r="HX929" s="215"/>
      <c r="HY929" s="185"/>
      <c r="HZ929" s="185"/>
      <c r="IA929" s="185"/>
      <c r="IB929" s="185"/>
      <c r="IC929" s="185"/>
      <c r="ID929" s="185"/>
      <c r="IE929" s="185"/>
      <c r="IF929" s="185"/>
      <c r="IG929" s="185"/>
      <c r="IH929" s="185" t="s">
        <v>1723</v>
      </c>
      <c r="II929" s="148" t="s">
        <v>492</v>
      </c>
      <c r="IJ929" s="148"/>
      <c r="IK929" s="210"/>
      <c r="IL929" s="185"/>
      <c r="IM929" s="185"/>
      <c r="IN929" s="185"/>
      <c r="IO929" s="185"/>
      <c r="IP929" s="185"/>
      <c r="IQ929" s="185"/>
      <c r="IR929" s="185"/>
      <c r="IS929" s="185"/>
      <c r="IT929" s="185"/>
      <c r="IU929" s="185"/>
      <c r="IV929" s="185"/>
      <c r="IW929" s="185"/>
      <c r="IX929" s="2"/>
      <c r="IY929" s="2"/>
      <c r="IZ929" s="2"/>
      <c r="JA929" s="2"/>
      <c r="JB929" s="2"/>
      <c r="JC929" s="2"/>
      <c r="JD929" s="2"/>
      <c r="JE929" s="2"/>
      <c r="JF929" s="2"/>
      <c r="JG929" s="2"/>
      <c r="JH929" s="2"/>
      <c r="JI929" s="2"/>
      <c r="JJ929" s="2" t="s">
        <v>1727</v>
      </c>
      <c r="JK929" s="2" t="s">
        <v>682</v>
      </c>
      <c r="JL929" s="151"/>
      <c r="JM929" s="140"/>
      <c r="JN929" s="206"/>
      <c r="JO929" s="185"/>
      <c r="JP929" s="206"/>
      <c r="JQ929" s="185"/>
      <c r="JR929" s="185"/>
      <c r="JS929" s="185"/>
      <c r="JT929" s="185"/>
      <c r="JU929" s="185"/>
      <c r="JV929" s="140"/>
      <c r="JW929" s="140"/>
      <c r="JX929" s="206"/>
      <c r="JY929" s="185"/>
      <c r="JZ929" s="206"/>
      <c r="KA929" s="185"/>
      <c r="KB929" s="185"/>
      <c r="KC929" s="185"/>
      <c r="KD929" s="206"/>
      <c r="KE929" s="206"/>
      <c r="KF929" s="148"/>
      <c r="KG929" s="216"/>
      <c r="KH929" s="185"/>
      <c r="KI929" s="185"/>
      <c r="KJ929" s="185"/>
      <c r="KK929" s="185"/>
      <c r="KL929" s="206"/>
      <c r="KM929" s="185"/>
      <c r="KN929" s="148"/>
      <c r="KO929" s="216"/>
      <c r="KP929" s="185"/>
      <c r="KQ929" s="185"/>
      <c r="KR929" s="148"/>
      <c r="KS929" s="216"/>
      <c r="KT929" s="185"/>
      <c r="KU929" s="185"/>
      <c r="KV929" s="185"/>
      <c r="KW929" s="3"/>
      <c r="KX929" s="3"/>
      <c r="KY929" s="3"/>
      <c r="KZ929" s="3"/>
      <c r="LA929" s="206"/>
      <c r="LB929" s="206"/>
      <c r="LC929" s="206"/>
      <c r="LD929" s="206"/>
      <c r="LE929" s="206"/>
      <c r="LF929" s="206"/>
      <c r="LG929" s="206"/>
      <c r="LH929" s="206"/>
      <c r="LI929" s="206"/>
      <c r="LJ929" s="206"/>
      <c r="LK929" s="206"/>
      <c r="LL929" s="206"/>
      <c r="LM929" s="206"/>
      <c r="LN929" s="185"/>
      <c r="LO929" s="185"/>
      <c r="LP929" s="185"/>
      <c r="LQ929" s="185"/>
      <c r="LR929" s="185"/>
      <c r="LS929" s="185"/>
      <c r="LT929" s="185"/>
      <c r="LU929" s="185"/>
      <c r="LW929" s="2"/>
      <c r="LX929" s="2"/>
      <c r="LY929" s="2"/>
      <c r="LZ929" s="2"/>
      <c r="MA929" s="2"/>
      <c r="ME929" s="2"/>
      <c r="MF929" s="185"/>
      <c r="MG929" s="185"/>
      <c r="MH929" s="185"/>
      <c r="MI929" s="2"/>
      <c r="MJ929" s="2"/>
      <c r="MK929" s="2"/>
      <c r="ML929" s="2"/>
      <c r="MM929" s="2"/>
      <c r="MN929" s="2"/>
      <c r="MO929" s="2"/>
      <c r="MP929" s="2"/>
      <c r="MQ929" s="185"/>
      <c r="MR929" s="185"/>
      <c r="MS929" s="185"/>
      <c r="MT929" s="185"/>
      <c r="MU929" s="185"/>
      <c r="MV929" s="185"/>
      <c r="MW929" s="185"/>
      <c r="MX929" s="185"/>
      <c r="MY929" s="211" t="s">
        <v>1710</v>
      </c>
      <c r="MZ929" s="212">
        <v>16.25</v>
      </c>
      <c r="NI929" s="185"/>
      <c r="NJ929" s="185" t="s">
        <v>1728</v>
      </c>
      <c r="NK929" s="185" t="s">
        <v>1729</v>
      </c>
      <c r="NL929" s="185" t="s">
        <v>1730</v>
      </c>
      <c r="NM929" s="213" t="s">
        <v>1731</v>
      </c>
      <c r="NN929" s="185">
        <v>0</v>
      </c>
      <c r="NO929" s="185">
        <v>20</v>
      </c>
      <c r="NP929" s="185"/>
      <c r="NQ929" s="185"/>
      <c r="NR929" s="185"/>
      <c r="NS929" s="185"/>
      <c r="NT929" s="185"/>
      <c r="NU929" s="185" t="s">
        <v>1732</v>
      </c>
      <c r="NV929" s="185" t="s">
        <v>518</v>
      </c>
      <c r="NW929" s="185">
        <v>31.479999999999997</v>
      </c>
      <c r="NX929" s="185" t="s">
        <v>480</v>
      </c>
      <c r="NY929" s="147"/>
      <c r="NZ929" s="147"/>
      <c r="OA929" s="133"/>
      <c r="OB929" s="185">
        <v>3</v>
      </c>
      <c r="OD929" s="185"/>
      <c r="OF929" s="185"/>
      <c r="OG929" s="185"/>
      <c r="OH929" s="185"/>
      <c r="OI929" s="185"/>
      <c r="OJ929" s="185"/>
      <c r="OK929" s="185"/>
      <c r="OL929" s="185"/>
      <c r="OM929" s="185"/>
      <c r="ON929" s="185"/>
      <c r="OO929" s="185"/>
      <c r="OP929" s="185"/>
      <c r="OQ929" s="185"/>
      <c r="OR929" s="185"/>
      <c r="OS929" s="185"/>
      <c r="OT929" s="185"/>
      <c r="OU929" t="s">
        <v>1733</v>
      </c>
      <c r="OV929" s="185" t="s">
        <v>518</v>
      </c>
      <c r="OX929">
        <v>2020</v>
      </c>
      <c r="OY929">
        <v>2021</v>
      </c>
      <c r="PB929" t="s">
        <v>522</v>
      </c>
      <c r="PC929" s="50">
        <v>46148</v>
      </c>
    </row>
    <row r="930" spans="1:419" ht="17.25" thickBot="1">
      <c r="A930" s="205" t="s">
        <v>861</v>
      </c>
      <c r="B930" s="2" t="s">
        <v>1700</v>
      </c>
      <c r="C930" s="2" t="s">
        <v>1387</v>
      </c>
      <c r="D930" s="88" t="s">
        <v>668</v>
      </c>
      <c r="E930" s="2" t="s">
        <v>1701</v>
      </c>
      <c r="F930" s="88" t="s">
        <v>1702</v>
      </c>
      <c r="G930" s="2" t="s">
        <v>475</v>
      </c>
      <c r="H930" s="2" t="s">
        <v>476</v>
      </c>
      <c r="I930" s="88">
        <v>-11.474220000000001</v>
      </c>
      <c r="J930" s="88" t="s">
        <v>1703</v>
      </c>
      <c r="K930" s="88">
        <v>1000</v>
      </c>
      <c r="L930" s="2"/>
      <c r="M930" s="88"/>
      <c r="N930" s="2"/>
      <c r="O930" s="2"/>
      <c r="P930" s="2"/>
      <c r="Q930" s="2"/>
      <c r="R930" s="2"/>
      <c r="S930" s="2"/>
      <c r="T930" s="2"/>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c r="AV930" s="2" t="s">
        <v>1704</v>
      </c>
      <c r="AW930" s="2">
        <v>28</v>
      </c>
      <c r="AX930" s="2" t="s">
        <v>480</v>
      </c>
      <c r="AY930" s="2">
        <v>2</v>
      </c>
      <c r="AZ930" s="185" t="s">
        <v>1705</v>
      </c>
      <c r="BA930" s="185">
        <v>2020</v>
      </c>
      <c r="BB930" s="185">
        <v>2022</v>
      </c>
      <c r="BC930" s="185"/>
      <c r="BD930" s="185" t="s">
        <v>1734</v>
      </c>
      <c r="BE930" s="185" t="s">
        <v>621</v>
      </c>
      <c r="BF930" s="185" t="s">
        <v>484</v>
      </c>
      <c r="BG930" s="185" t="s">
        <v>485</v>
      </c>
      <c r="BH930" s="185" t="s">
        <v>1719</v>
      </c>
      <c r="BI930" s="206" t="s">
        <v>1709</v>
      </c>
      <c r="BJ930" s="207">
        <v>4.4000000000000004</v>
      </c>
      <c r="BK930" s="185"/>
      <c r="BL930" s="185"/>
      <c r="BM930" s="185"/>
      <c r="BN930" s="185"/>
      <c r="BO930" s="185"/>
      <c r="BP930" s="185"/>
      <c r="BQ930" s="185"/>
      <c r="BR930" s="185"/>
      <c r="BS930" s="185"/>
      <c r="BT930" s="185"/>
      <c r="BU930" s="185"/>
      <c r="BV930" s="3"/>
      <c r="BW930" s="3"/>
      <c r="BX930" s="3"/>
      <c r="BY930" s="3"/>
      <c r="BZ930" s="3"/>
      <c r="CA930" s="3"/>
      <c r="CB930" s="3"/>
      <c r="CC930" s="3"/>
      <c r="CD930" s="3"/>
      <c r="CE930" s="3"/>
      <c r="CF930" s="3"/>
      <c r="CG930" s="3"/>
      <c r="CH930" s="3"/>
      <c r="CI930" s="3"/>
      <c r="CJ930" s="3"/>
      <c r="CK930" s="3"/>
      <c r="CL930" s="3"/>
      <c r="CM930" s="3"/>
      <c r="CN930" s="3"/>
      <c r="CO930" s="3"/>
      <c r="CP930" s="3"/>
      <c r="CQ930" s="3"/>
      <c r="CR930" s="3"/>
      <c r="CS930" s="3"/>
      <c r="CT930" s="3"/>
      <c r="CU930" s="3"/>
      <c r="CV930" s="3"/>
      <c r="CW930" s="3"/>
      <c r="CX930" s="3"/>
      <c r="CY930" s="3"/>
      <c r="CZ930" s="3"/>
      <c r="DA930" s="3"/>
      <c r="DB930" s="3"/>
      <c r="DC930" s="3"/>
      <c r="DD930" s="3"/>
      <c r="DE930" s="3"/>
      <c r="DF930" s="3"/>
      <c r="DG930" s="3"/>
      <c r="DH930" s="3"/>
      <c r="DI930" s="3"/>
      <c r="DJ930" s="3"/>
      <c r="DK930" s="3"/>
      <c r="DL930" s="3"/>
      <c r="DM930" s="3"/>
      <c r="DN930" s="3"/>
      <c r="DO930" s="3"/>
      <c r="DP930" s="3"/>
      <c r="DQ930" s="3"/>
      <c r="DR930" s="3"/>
      <c r="DS930" s="3"/>
      <c r="DT930" s="3"/>
      <c r="DU930" s="3"/>
      <c r="DV930" s="3"/>
      <c r="DW930" s="3"/>
      <c r="DX930" s="3"/>
      <c r="DY930" s="3"/>
      <c r="DZ930" s="3"/>
      <c r="EA930" s="3"/>
      <c r="EB930" s="3"/>
      <c r="EC930" s="3"/>
      <c r="ED930" s="2"/>
      <c r="EE930" s="185"/>
      <c r="EF930" s="185"/>
      <c r="EG930" s="185"/>
      <c r="EH930" s="185"/>
      <c r="EI930" s="185"/>
      <c r="EJ930" s="185"/>
      <c r="EK930" s="185"/>
      <c r="EL930" s="3"/>
      <c r="EM930" s="3"/>
      <c r="EN930" s="3"/>
      <c r="EO930" s="3"/>
      <c r="EP930" s="3"/>
      <c r="EQ930" s="3"/>
      <c r="ER930" s="3"/>
      <c r="ES930" s="3"/>
      <c r="ET930" s="3"/>
      <c r="EU930" s="3"/>
      <c r="EV930" s="3"/>
      <c r="EW930" s="3"/>
      <c r="EX930" s="3"/>
      <c r="EY930" s="3"/>
      <c r="EZ930" s="3"/>
      <c r="FA930" s="3"/>
      <c r="FB930" s="3"/>
      <c r="FC930" s="3"/>
      <c r="FD930" s="3"/>
      <c r="FE930" s="3"/>
      <c r="FF930" s="3"/>
      <c r="FG930" s="3"/>
      <c r="FH930" s="3"/>
      <c r="FI930" s="3"/>
      <c r="FJ930" s="3"/>
      <c r="FK930" s="3"/>
      <c r="FL930" s="3"/>
      <c r="FM930" s="3"/>
      <c r="FN930" s="3"/>
      <c r="FO930" s="3"/>
      <c r="FP930" s="3"/>
      <c r="FQ930" s="3"/>
      <c r="FR930" s="3"/>
      <c r="FS930" s="3"/>
      <c r="FT930" s="3"/>
      <c r="FU930" s="3"/>
      <c r="FV930" s="3"/>
      <c r="FW930" s="3"/>
      <c r="FX930" s="3"/>
      <c r="FY930" s="3"/>
      <c r="FZ930" s="3"/>
      <c r="GA930" s="3"/>
      <c r="GB930" s="3"/>
      <c r="GC930" s="3"/>
      <c r="GD930" s="3"/>
      <c r="GE930" s="3"/>
      <c r="GF930" s="3"/>
      <c r="GG930" s="3"/>
      <c r="GH930" s="3"/>
      <c r="GI930" s="3"/>
      <c r="GJ930" s="3"/>
      <c r="GK930" s="3"/>
      <c r="GL930" s="3"/>
      <c r="GM930" s="3"/>
      <c r="GN930" s="3"/>
      <c r="GO930" s="3"/>
      <c r="GP930" s="3"/>
      <c r="GQ930" s="3"/>
      <c r="GR930" s="3"/>
      <c r="GS930" s="3"/>
      <c r="GT930" s="3"/>
      <c r="GU930" s="3"/>
      <c r="GV930" s="3"/>
      <c r="GW930" s="3"/>
      <c r="GX930" s="3"/>
      <c r="GY930" s="3"/>
      <c r="GZ930" s="3"/>
      <c r="HA930" s="3"/>
      <c r="HB930" s="3"/>
      <c r="HC930" s="3"/>
      <c r="HD930" s="3"/>
      <c r="HE930" s="3"/>
      <c r="HF930" s="3"/>
      <c r="HG930" s="3"/>
      <c r="HH930" s="3"/>
      <c r="HI930" s="3"/>
      <c r="HJ930" s="3"/>
      <c r="HK930" s="185" t="s">
        <v>1726</v>
      </c>
      <c r="HL930" s="185" t="s">
        <v>1546</v>
      </c>
      <c r="HM930" s="127" t="s">
        <v>480</v>
      </c>
      <c r="HN930" s="127" t="s">
        <v>480</v>
      </c>
      <c r="HO930" s="127" t="s">
        <v>480</v>
      </c>
      <c r="HP930" s="127" t="s">
        <v>480</v>
      </c>
      <c r="HQ930" s="185"/>
      <c r="HR930" s="185"/>
      <c r="HS930" s="206"/>
      <c r="HT930" s="185"/>
      <c r="HU930" s="185"/>
      <c r="HV930" s="185"/>
      <c r="HW930" s="185"/>
      <c r="HX930" s="215"/>
      <c r="HY930" s="185"/>
      <c r="HZ930" s="185"/>
      <c r="IA930" s="185"/>
      <c r="IB930" s="185"/>
      <c r="IC930" s="185"/>
      <c r="ID930" s="185"/>
      <c r="IE930" s="185"/>
      <c r="IF930" s="185"/>
      <c r="IG930" s="185"/>
      <c r="IH930" s="185" t="s">
        <v>1735</v>
      </c>
      <c r="II930" s="148" t="s">
        <v>492</v>
      </c>
      <c r="IJ930" s="148"/>
      <c r="IK930" s="210"/>
      <c r="IL930" s="185"/>
      <c r="IM930" s="185"/>
      <c r="IN930" s="185"/>
      <c r="IO930" s="185"/>
      <c r="IP930" s="185"/>
      <c r="IQ930" s="185"/>
      <c r="IR930" s="185"/>
      <c r="IS930" s="185"/>
      <c r="IT930" s="185"/>
      <c r="IU930" s="185"/>
      <c r="IV930" s="185"/>
      <c r="IW930" s="185"/>
      <c r="IX930" s="2"/>
      <c r="IY930" s="2"/>
      <c r="IZ930" s="2"/>
      <c r="JA930" s="2"/>
      <c r="JB930" s="2"/>
      <c r="JC930" s="2"/>
      <c r="JD930" s="2"/>
      <c r="JE930" s="2"/>
      <c r="JF930" s="2"/>
      <c r="JG930" s="2"/>
      <c r="JH930" s="2"/>
      <c r="JI930" s="2"/>
      <c r="JJ930" s="2" t="s">
        <v>1736</v>
      </c>
      <c r="JK930" s="2" t="s">
        <v>494</v>
      </c>
      <c r="JL930" s="151" t="s">
        <v>495</v>
      </c>
      <c r="JM930" s="140"/>
      <c r="JN930" s="206"/>
      <c r="JO930" s="185"/>
      <c r="JP930" s="206" t="s">
        <v>508</v>
      </c>
      <c r="JQ930" s="185">
        <v>90</v>
      </c>
      <c r="JR930" s="185"/>
      <c r="JS930" s="185"/>
      <c r="JT930" s="185"/>
      <c r="JU930" s="185"/>
      <c r="JV930" s="140"/>
      <c r="JW930" s="140"/>
      <c r="JX930" s="206"/>
      <c r="JY930" s="185"/>
      <c r="JZ930" s="206"/>
      <c r="KA930" s="185"/>
      <c r="KB930" s="185"/>
      <c r="KC930" s="185"/>
      <c r="KD930" s="206"/>
      <c r="KE930" s="206"/>
      <c r="KF930" s="148"/>
      <c r="KG930" s="216"/>
      <c r="KH930" s="185"/>
      <c r="KI930" s="185"/>
      <c r="KJ930" s="185"/>
      <c r="KK930" s="185"/>
      <c r="KL930" s="206"/>
      <c r="KM930" s="185"/>
      <c r="KN930" s="148"/>
      <c r="KO930" s="216"/>
      <c r="KP930" s="185"/>
      <c r="KQ930" s="185"/>
      <c r="KR930" s="148"/>
      <c r="KS930" s="216"/>
      <c r="KT930" s="185"/>
      <c r="KU930" s="185"/>
      <c r="KV930" s="185"/>
      <c r="KW930" s="3"/>
      <c r="KX930" s="3"/>
      <c r="KY930" s="3"/>
      <c r="KZ930" s="3"/>
      <c r="LA930" s="206"/>
      <c r="LB930" s="206"/>
      <c r="LC930" s="206"/>
      <c r="LD930" s="206"/>
      <c r="LE930" s="206"/>
      <c r="LF930" s="206"/>
      <c r="LG930" s="206"/>
      <c r="LH930" s="206"/>
      <c r="LI930" s="206"/>
      <c r="LJ930" s="206"/>
      <c r="LK930" s="206"/>
      <c r="LL930" s="206"/>
      <c r="LM930" s="206"/>
      <c r="LN930" s="185"/>
      <c r="LO930" s="185"/>
      <c r="LP930" s="185"/>
      <c r="LQ930" s="185"/>
      <c r="LR930" s="185"/>
      <c r="LS930" s="185"/>
      <c r="LT930" s="185"/>
      <c r="LU930" s="185"/>
      <c r="LW930" s="2"/>
      <c r="LX930" s="2"/>
      <c r="LY930" s="2"/>
      <c r="LZ930" s="2"/>
      <c r="MA930" s="2"/>
      <c r="ME930" s="2"/>
      <c r="MF930" s="185"/>
      <c r="MG930" s="185"/>
      <c r="MH930" s="185"/>
      <c r="MI930" s="2"/>
      <c r="MJ930" s="2"/>
      <c r="MK930" s="2"/>
      <c r="ML930" s="2"/>
      <c r="MM930" s="2"/>
      <c r="MN930" s="2"/>
      <c r="MO930" s="2"/>
      <c r="MP930" s="2"/>
      <c r="MQ930" s="185"/>
      <c r="MR930" s="185"/>
      <c r="MS930" s="185"/>
      <c r="MT930" s="185"/>
      <c r="MU930" s="185"/>
      <c r="MV930" s="185"/>
      <c r="MW930" s="185"/>
      <c r="MX930" s="185"/>
      <c r="MY930" s="217"/>
      <c r="MZ930" s="218"/>
      <c r="NI930" s="185"/>
      <c r="NJ930" s="185" t="s">
        <v>1728</v>
      </c>
      <c r="NK930" s="185" t="s">
        <v>1729</v>
      </c>
      <c r="NL930" s="185" t="s">
        <v>1730</v>
      </c>
      <c r="NM930" s="213" t="s">
        <v>1731</v>
      </c>
      <c r="NN930" s="185">
        <v>0</v>
      </c>
      <c r="NO930" s="185">
        <v>20</v>
      </c>
      <c r="NP930" s="185"/>
      <c r="NQ930" s="185"/>
      <c r="NR930" s="185"/>
      <c r="NS930" s="185"/>
      <c r="NT930" s="185"/>
      <c r="NU930" s="185" t="s">
        <v>1737</v>
      </c>
      <c r="NV930" s="185" t="s">
        <v>518</v>
      </c>
      <c r="NW930" s="185">
        <v>36.83</v>
      </c>
      <c r="NX930" s="185" t="s">
        <v>480</v>
      </c>
      <c r="NY930" s="147"/>
      <c r="NZ930" s="147"/>
      <c r="OA930" s="133"/>
      <c r="OB930" s="185">
        <v>3</v>
      </c>
      <c r="OC930" s="185"/>
      <c r="OD930" s="185"/>
      <c r="OE930" s="185"/>
      <c r="OF930" s="185"/>
      <c r="OG930" s="185"/>
      <c r="OH930" s="185"/>
      <c r="OI930" s="185"/>
      <c r="OJ930" s="185"/>
      <c r="OK930" s="185"/>
      <c r="OL930" s="185"/>
      <c r="OM930" s="185"/>
      <c r="ON930" s="185"/>
      <c r="OO930" s="185"/>
      <c r="OP930" s="185"/>
      <c r="OQ930" s="185"/>
      <c r="OR930" s="185"/>
      <c r="OS930" s="185"/>
      <c r="OT930" s="185"/>
      <c r="OU930" t="s">
        <v>1733</v>
      </c>
      <c r="OV930" s="185" t="s">
        <v>518</v>
      </c>
      <c r="OW930" s="185"/>
      <c r="OX930">
        <v>2020</v>
      </c>
      <c r="OY930">
        <v>2021</v>
      </c>
      <c r="OZ930" s="185"/>
      <c r="PA930" s="185"/>
      <c r="PB930" t="s">
        <v>522</v>
      </c>
      <c r="PC930" s="50">
        <v>46148</v>
      </c>
    </row>
    <row r="931" spans="1:419" ht="17.25" thickBot="1">
      <c r="A931" s="205" t="s">
        <v>861</v>
      </c>
      <c r="B931" s="2" t="s">
        <v>1700</v>
      </c>
      <c r="C931" s="2" t="s">
        <v>1387</v>
      </c>
      <c r="D931" s="88" t="s">
        <v>668</v>
      </c>
      <c r="E931" s="2" t="s">
        <v>1701</v>
      </c>
      <c r="F931" s="88" t="s">
        <v>1702</v>
      </c>
      <c r="G931" s="2" t="s">
        <v>475</v>
      </c>
      <c r="H931" s="2" t="s">
        <v>476</v>
      </c>
      <c r="I931" s="88">
        <v>-11.474220000000001</v>
      </c>
      <c r="J931" s="88" t="s">
        <v>1703</v>
      </c>
      <c r="K931" s="88">
        <v>1000</v>
      </c>
      <c r="L931" s="2"/>
      <c r="M931" s="88"/>
      <c r="N931" s="2"/>
      <c r="O931" s="2"/>
      <c r="P931" s="2"/>
      <c r="Q931" s="2"/>
      <c r="R931" s="2"/>
      <c r="S931" s="2"/>
      <c r="T931" s="2"/>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c r="AV931" s="2" t="s">
        <v>1704</v>
      </c>
      <c r="AW931" s="2">
        <v>28</v>
      </c>
      <c r="AX931" s="2" t="s">
        <v>480</v>
      </c>
      <c r="AY931" s="2">
        <v>2</v>
      </c>
      <c r="AZ931" s="185" t="s">
        <v>1705</v>
      </c>
      <c r="BA931" s="185">
        <v>2020</v>
      </c>
      <c r="BB931" s="185">
        <v>2022</v>
      </c>
      <c r="BC931" s="185"/>
      <c r="BD931" s="185" t="s">
        <v>1738</v>
      </c>
      <c r="BE931" s="185" t="s">
        <v>630</v>
      </c>
      <c r="BF931" s="185" t="s">
        <v>484</v>
      </c>
      <c r="BG931" s="185" t="s">
        <v>538</v>
      </c>
      <c r="BH931" s="185" t="s">
        <v>1713</v>
      </c>
      <c r="BI931" s="206" t="s">
        <v>1709</v>
      </c>
      <c r="BJ931" s="207">
        <v>13.3</v>
      </c>
      <c r="BK931" s="185"/>
      <c r="BL931" s="185"/>
      <c r="BM931" s="185"/>
      <c r="BN931" s="185"/>
      <c r="BO931" s="185"/>
      <c r="BP931" s="185"/>
      <c r="BQ931" s="185"/>
      <c r="BR931" s="185"/>
      <c r="BS931" s="185"/>
      <c r="BT931" s="185"/>
      <c r="BU931" s="185"/>
      <c r="BV931" s="3"/>
      <c r="BW931" s="3"/>
      <c r="BX931" s="3"/>
      <c r="BY931" s="3"/>
      <c r="BZ931" s="3"/>
      <c r="CA931" s="3"/>
      <c r="CB931" s="3"/>
      <c r="CC931" s="3"/>
      <c r="CD931" s="3"/>
      <c r="CE931" s="3"/>
      <c r="CF931" s="3"/>
      <c r="CG931" s="3"/>
      <c r="CH931" s="3"/>
      <c r="CI931" s="3"/>
      <c r="CJ931" s="3"/>
      <c r="CK931" s="3"/>
      <c r="CL931" s="3"/>
      <c r="CM931" s="3"/>
      <c r="CN931" s="3"/>
      <c r="CO931" s="3"/>
      <c r="CP931" s="3"/>
      <c r="CQ931" s="3"/>
      <c r="CR931" s="3"/>
      <c r="CS931" s="3"/>
      <c r="CT931" s="3"/>
      <c r="CU931" s="3"/>
      <c r="CV931" s="3"/>
      <c r="CW931" s="3"/>
      <c r="CX931" s="3"/>
      <c r="CY931" s="3"/>
      <c r="CZ931" s="3"/>
      <c r="DA931" s="3"/>
      <c r="DB931" s="3"/>
      <c r="DC931" s="3"/>
      <c r="DD931" s="3"/>
      <c r="DE931" s="3"/>
      <c r="DF931" s="3"/>
      <c r="DG931" s="3"/>
      <c r="DH931" s="3"/>
      <c r="DI931" s="3"/>
      <c r="DJ931" s="3"/>
      <c r="DK931" s="3"/>
      <c r="DL931" s="3"/>
      <c r="DM931" s="3"/>
      <c r="DN931" s="3"/>
      <c r="DO931" s="3"/>
      <c r="DP931" s="3"/>
      <c r="DQ931" s="3"/>
      <c r="DR931" s="3"/>
      <c r="DS931" s="3"/>
      <c r="DT931" s="3"/>
      <c r="DU931" s="3"/>
      <c r="DV931" s="3"/>
      <c r="DW931" s="3"/>
      <c r="DX931" s="3"/>
      <c r="DY931" s="3"/>
      <c r="DZ931" s="3"/>
      <c r="EA931" s="3"/>
      <c r="EB931" s="3"/>
      <c r="EC931" s="3"/>
      <c r="ED931" s="2"/>
      <c r="EE931" s="185"/>
      <c r="EF931" s="185"/>
      <c r="EG931" s="185"/>
      <c r="EH931" s="185"/>
      <c r="EI931" s="185"/>
      <c r="EJ931" s="185"/>
      <c r="EK931" s="185"/>
      <c r="EL931" s="3"/>
      <c r="EM931" s="3"/>
      <c r="EN931" s="3"/>
      <c r="EO931" s="3"/>
      <c r="EP931" s="3"/>
      <c r="EQ931" s="3"/>
      <c r="ER931" s="3"/>
      <c r="ES931" s="3"/>
      <c r="ET931" s="3"/>
      <c r="EU931" s="3"/>
      <c r="EV931" s="3"/>
      <c r="EW931" s="3"/>
      <c r="EX931" s="3"/>
      <c r="EY931" s="3"/>
      <c r="EZ931" s="3"/>
      <c r="FA931" s="3"/>
      <c r="FB931" s="3"/>
      <c r="FC931" s="3"/>
      <c r="FD931" s="3"/>
      <c r="FE931" s="3"/>
      <c r="FF931" s="3"/>
      <c r="FG931" s="3"/>
      <c r="FH931" s="3"/>
      <c r="FI931" s="3"/>
      <c r="FJ931" s="3"/>
      <c r="FK931" s="3"/>
      <c r="FL931" s="3"/>
      <c r="FM931" s="3"/>
      <c r="FN931" s="3"/>
      <c r="FO931" s="3"/>
      <c r="FP931" s="3"/>
      <c r="FQ931" s="3"/>
      <c r="FR931" s="3"/>
      <c r="FS931" s="3"/>
      <c r="FT931" s="3"/>
      <c r="FU931" s="3"/>
      <c r="FV931" s="3"/>
      <c r="FW931" s="3"/>
      <c r="FX931" s="3"/>
      <c r="FY931" s="3"/>
      <c r="FZ931" s="3"/>
      <c r="GA931" s="3"/>
      <c r="GB931" s="3"/>
      <c r="GC931" s="3"/>
      <c r="GD931" s="3"/>
      <c r="GE931" s="3"/>
      <c r="GF931" s="3"/>
      <c r="GG931" s="3"/>
      <c r="GH931" s="3"/>
      <c r="GI931" s="3"/>
      <c r="GJ931" s="3"/>
      <c r="GK931" s="3"/>
      <c r="GL931" s="3"/>
      <c r="GM931" s="3"/>
      <c r="GN931" s="3"/>
      <c r="GO931" s="3"/>
      <c r="GP931" s="3"/>
      <c r="GQ931" s="3"/>
      <c r="GR931" s="3"/>
      <c r="GS931" s="3"/>
      <c r="GT931" s="3"/>
      <c r="GU931" s="3"/>
      <c r="GV931" s="3"/>
      <c r="GW931" s="3"/>
      <c r="GX931" s="3"/>
      <c r="GY931" s="3"/>
      <c r="GZ931" s="3"/>
      <c r="HA931" s="3"/>
      <c r="HB931" s="3"/>
      <c r="HC931" s="3"/>
      <c r="HD931" s="3"/>
      <c r="HE931" s="3"/>
      <c r="HF931" s="3"/>
      <c r="HG931" s="3"/>
      <c r="HH931" s="3"/>
      <c r="HI931" s="3"/>
      <c r="HJ931" s="3"/>
      <c r="HK931" s="185" t="s">
        <v>1726</v>
      </c>
      <c r="HL931" s="185" t="s">
        <v>1546</v>
      </c>
      <c r="HM931" s="127" t="s">
        <v>480</v>
      </c>
      <c r="HN931" s="127" t="s">
        <v>480</v>
      </c>
      <c r="HO931" s="127" t="s">
        <v>480</v>
      </c>
      <c r="HP931" s="127" t="s">
        <v>480</v>
      </c>
      <c r="HQ931" s="185"/>
      <c r="HR931" s="185"/>
      <c r="HS931" s="206"/>
      <c r="HT931" s="185"/>
      <c r="HU931" s="185"/>
      <c r="HV931" s="185"/>
      <c r="HW931" s="185"/>
      <c r="HX931" s="215"/>
      <c r="HY931" s="185"/>
      <c r="HZ931" s="185"/>
      <c r="IA931" s="185"/>
      <c r="IB931" s="185"/>
      <c r="IC931" s="185"/>
      <c r="ID931" s="185"/>
      <c r="IE931" s="185"/>
      <c r="IF931" s="185"/>
      <c r="IG931" s="185"/>
      <c r="IH931" s="185" t="s">
        <v>1721</v>
      </c>
      <c r="II931" s="148" t="s">
        <v>492</v>
      </c>
      <c r="IJ931" s="148"/>
      <c r="IK931" s="210"/>
      <c r="IL931" s="185"/>
      <c r="IM931" s="185"/>
      <c r="IN931" s="185"/>
      <c r="IO931" s="185"/>
      <c r="IP931" s="185"/>
      <c r="IQ931" s="185"/>
      <c r="IR931" s="185"/>
      <c r="IS931" s="185"/>
      <c r="IT931" s="185"/>
      <c r="IU931" s="185"/>
      <c r="IV931" s="185"/>
      <c r="IW931" s="185"/>
      <c r="IX931" s="2"/>
      <c r="IY931" s="2"/>
      <c r="IZ931" s="2"/>
      <c r="JA931" s="2"/>
      <c r="JB931" s="2"/>
      <c r="JC931" s="2"/>
      <c r="JD931" s="2"/>
      <c r="JE931" s="2"/>
      <c r="JF931" s="2"/>
      <c r="JG931" s="2"/>
      <c r="JH931" s="2"/>
      <c r="JI931" s="2"/>
      <c r="JJ931" s="2" t="s">
        <v>1727</v>
      </c>
      <c r="JK931" s="2" t="s">
        <v>682</v>
      </c>
      <c r="JL931" s="151"/>
      <c r="JM931" s="140"/>
      <c r="JN931" s="206"/>
      <c r="JO931" s="185"/>
      <c r="JP931" s="206"/>
      <c r="JQ931" s="185"/>
      <c r="JR931" s="185"/>
      <c r="JS931" s="185"/>
      <c r="JT931" s="185"/>
      <c r="JU931" s="185"/>
      <c r="JV931" s="140"/>
      <c r="JW931" s="140"/>
      <c r="JX931" s="206"/>
      <c r="JY931" s="185"/>
      <c r="JZ931" s="206"/>
      <c r="KA931" s="185"/>
      <c r="KB931" s="185"/>
      <c r="KC931" s="185"/>
      <c r="KD931" s="206"/>
      <c r="KE931" s="206"/>
      <c r="KF931" s="148"/>
      <c r="KG931" s="216"/>
      <c r="KH931" s="185"/>
      <c r="KI931" s="185"/>
      <c r="KJ931" s="185"/>
      <c r="KK931" s="185"/>
      <c r="KL931" s="206"/>
      <c r="KM931" s="185"/>
      <c r="KN931" s="148"/>
      <c r="KO931" s="216"/>
      <c r="KP931" s="185"/>
      <c r="KQ931" s="185"/>
      <c r="KR931" s="148"/>
      <c r="KS931" s="216"/>
      <c r="KT931" s="185"/>
      <c r="KU931" s="185"/>
      <c r="KV931" s="185"/>
      <c r="KW931" s="3"/>
      <c r="KX931" s="3"/>
      <c r="KY931" s="3"/>
      <c r="KZ931" s="3"/>
      <c r="LA931" s="206"/>
      <c r="LB931" s="206"/>
      <c r="LC931" s="206"/>
      <c r="LD931" s="206"/>
      <c r="LE931" s="206"/>
      <c r="LF931" s="206"/>
      <c r="LG931" s="206"/>
      <c r="LH931" s="206"/>
      <c r="LI931" s="206"/>
      <c r="LJ931" s="206"/>
      <c r="LK931" s="206"/>
      <c r="LL931" s="206"/>
      <c r="LM931" s="206"/>
      <c r="LN931" s="185"/>
      <c r="LO931" s="185"/>
      <c r="LP931" s="185"/>
      <c r="LQ931" s="185"/>
      <c r="LR931" s="185"/>
      <c r="LS931" s="185"/>
      <c r="LT931" s="185"/>
      <c r="LU931" s="185"/>
      <c r="LW931" s="2"/>
      <c r="LX931" s="2"/>
      <c r="LY931" s="2"/>
      <c r="LZ931" s="2"/>
      <c r="MA931" s="2"/>
      <c r="ME931" s="2"/>
      <c r="MF931" s="185"/>
      <c r="MG931" s="185"/>
      <c r="MH931" s="185"/>
      <c r="MI931" s="2"/>
      <c r="MJ931" s="2"/>
      <c r="MK931" s="2"/>
      <c r="ML931" s="2"/>
      <c r="MM931" s="2"/>
      <c r="MN931" s="2"/>
      <c r="MO931" s="2"/>
      <c r="MP931" s="2"/>
      <c r="MQ931" s="185"/>
      <c r="MR931" s="185"/>
      <c r="MS931" s="185"/>
      <c r="MT931" s="185"/>
      <c r="MU931" s="185"/>
      <c r="MV931" s="185"/>
      <c r="MW931" s="185"/>
      <c r="MX931" s="185"/>
      <c r="MY931" s="211" t="s">
        <v>1710</v>
      </c>
      <c r="MZ931" s="212">
        <v>16.25</v>
      </c>
      <c r="NI931" s="185"/>
      <c r="NJ931" s="185" t="s">
        <v>1728</v>
      </c>
      <c r="NK931" s="185" t="s">
        <v>1729</v>
      </c>
      <c r="NL931" s="185" t="s">
        <v>1730</v>
      </c>
      <c r="NM931" s="213" t="s">
        <v>1731</v>
      </c>
      <c r="NN931" s="185">
        <v>0</v>
      </c>
      <c r="NO931" s="185">
        <v>20</v>
      </c>
      <c r="NP931" s="185"/>
      <c r="NQ931" s="185"/>
      <c r="NR931" s="185"/>
      <c r="NS931" s="185"/>
      <c r="NT931" s="185"/>
      <c r="NU931" s="185" t="s">
        <v>664</v>
      </c>
      <c r="NV931" s="185" t="s">
        <v>518</v>
      </c>
      <c r="NW931" s="185">
        <v>46.4</v>
      </c>
      <c r="NX931" s="185" t="s">
        <v>480</v>
      </c>
      <c r="NY931" s="147"/>
      <c r="NZ931" s="147"/>
      <c r="OA931" s="133"/>
      <c r="OB931" s="185">
        <v>3</v>
      </c>
      <c r="OD931" s="185"/>
      <c r="OE931" s="185"/>
      <c r="OF931" s="185"/>
      <c r="OG931" s="185"/>
      <c r="OH931" s="185"/>
      <c r="OI931" s="185"/>
      <c r="OJ931" s="185"/>
      <c r="OK931" s="185"/>
      <c r="OL931" s="185"/>
      <c r="OM931" s="185"/>
      <c r="ON931" s="185"/>
      <c r="OO931" s="185"/>
      <c r="OP931" s="185"/>
      <c r="OQ931" s="185"/>
      <c r="OR931" s="185"/>
      <c r="OS931" s="185"/>
      <c r="OT931" s="185"/>
      <c r="OU931" t="s">
        <v>1733</v>
      </c>
      <c r="OV931" s="185" t="s">
        <v>518</v>
      </c>
      <c r="OX931">
        <v>2020</v>
      </c>
      <c r="OY931">
        <v>2021</v>
      </c>
      <c r="PB931" t="s">
        <v>522</v>
      </c>
      <c r="PC931" s="50">
        <v>46148</v>
      </c>
    </row>
    <row r="932" spans="1:419" ht="15" customHeight="1" thickBot="1">
      <c r="A932" s="205" t="s">
        <v>861</v>
      </c>
      <c r="B932" s="2" t="s">
        <v>1700</v>
      </c>
      <c r="C932" s="2" t="s">
        <v>1387</v>
      </c>
      <c r="D932" s="88" t="s">
        <v>668</v>
      </c>
      <c r="E932" s="2" t="s">
        <v>1701</v>
      </c>
      <c r="F932" s="88" t="s">
        <v>1702</v>
      </c>
      <c r="G932" s="2" t="s">
        <v>475</v>
      </c>
      <c r="H932" s="2" t="s">
        <v>476</v>
      </c>
      <c r="I932" s="88">
        <v>-11.474220000000001</v>
      </c>
      <c r="J932" s="88" t="s">
        <v>1703</v>
      </c>
      <c r="K932" s="88">
        <v>1000</v>
      </c>
      <c r="L932" s="2"/>
      <c r="M932" s="88"/>
      <c r="N932" s="2"/>
      <c r="O932" s="2"/>
      <c r="P932" s="2"/>
      <c r="Q932" s="2"/>
      <c r="R932" s="2"/>
      <c r="S932" s="2"/>
      <c r="T932" s="2"/>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c r="AV932" s="2" t="s">
        <v>1704</v>
      </c>
      <c r="AW932" s="2">
        <v>28</v>
      </c>
      <c r="AX932" s="2" t="s">
        <v>480</v>
      </c>
      <c r="AY932" s="2">
        <v>2</v>
      </c>
      <c r="AZ932" s="185" t="s">
        <v>1705</v>
      </c>
      <c r="BA932" s="185">
        <v>2020</v>
      </c>
      <c r="BB932" s="185">
        <v>2022</v>
      </c>
      <c r="BC932" s="185"/>
      <c r="BD932" s="185" t="s">
        <v>1739</v>
      </c>
      <c r="BE932" s="185" t="s">
        <v>1740</v>
      </c>
      <c r="BF932" s="185" t="s">
        <v>484</v>
      </c>
      <c r="BG932" s="185" t="s">
        <v>1707</v>
      </c>
      <c r="BH932" s="185" t="s">
        <v>1708</v>
      </c>
      <c r="BI932" s="206" t="s">
        <v>1709</v>
      </c>
      <c r="BJ932" s="207">
        <v>4.4000000000000004</v>
      </c>
      <c r="BK932" s="185"/>
      <c r="BL932" s="185"/>
      <c r="BM932" s="208"/>
      <c r="BN932" s="208"/>
      <c r="BO932" s="208"/>
      <c r="BP932" s="208"/>
      <c r="BQ932" s="208"/>
      <c r="BR932" s="208"/>
      <c r="BS932" s="208"/>
      <c r="BT932" s="208"/>
      <c r="BU932" s="208"/>
      <c r="BV932" s="96"/>
      <c r="BW932" s="96"/>
      <c r="BX932" s="96"/>
      <c r="BY932" s="96"/>
      <c r="BZ932" s="96"/>
      <c r="CA932" s="96"/>
      <c r="CB932" s="96"/>
      <c r="CC932" s="96"/>
      <c r="CD932" s="96"/>
      <c r="CE932" s="96"/>
      <c r="CF932" s="96"/>
      <c r="CG932" s="96"/>
      <c r="CH932" s="96"/>
      <c r="CI932" s="96"/>
      <c r="CJ932" s="96"/>
      <c r="CK932" s="96"/>
      <c r="CL932" s="96"/>
      <c r="CM932" s="96"/>
      <c r="CN932" s="96"/>
      <c r="CO932" s="96"/>
      <c r="CP932" s="96"/>
      <c r="CQ932" s="96"/>
      <c r="CR932" s="96"/>
      <c r="CS932" s="96"/>
      <c r="CT932" s="96"/>
      <c r="CU932" s="96"/>
      <c r="CV932" s="96"/>
      <c r="CW932" s="96"/>
      <c r="CX932" s="96"/>
      <c r="CY932" s="96"/>
      <c r="CZ932" s="96"/>
      <c r="DA932" s="96"/>
      <c r="DB932" s="96"/>
      <c r="DC932" s="96"/>
      <c r="DD932" s="96"/>
      <c r="DE932" s="96"/>
      <c r="DF932" s="96"/>
      <c r="DG932" s="96"/>
      <c r="DH932" s="96"/>
      <c r="DI932" s="96"/>
      <c r="DJ932" s="96"/>
      <c r="DK932" s="96"/>
      <c r="DL932" s="96"/>
      <c r="DM932" s="96"/>
      <c r="DN932" s="96"/>
      <c r="DO932" s="96"/>
      <c r="DP932" s="96"/>
      <c r="DQ932" s="96"/>
      <c r="DR932" s="96"/>
      <c r="DS932" s="96"/>
      <c r="DT932" s="96"/>
      <c r="DU932" s="96"/>
      <c r="DV932" s="96"/>
      <c r="DW932" s="96"/>
      <c r="DX932" s="96"/>
      <c r="DY932" s="96"/>
      <c r="DZ932" s="96"/>
      <c r="EA932" s="96"/>
      <c r="EB932" s="96"/>
      <c r="EC932" s="96"/>
      <c r="ED932" s="96"/>
      <c r="EE932" s="208"/>
      <c r="EF932" s="208"/>
      <c r="EG932" s="208"/>
      <c r="EH932" s="208"/>
      <c r="EI932" s="208"/>
      <c r="EJ932" s="208"/>
      <c r="EK932" s="208"/>
      <c r="EL932" s="96"/>
      <c r="EM932" s="96"/>
      <c r="EN932" s="96"/>
      <c r="EO932" s="96"/>
      <c r="EP932" s="96"/>
      <c r="EQ932" s="96"/>
      <c r="ER932" s="96"/>
      <c r="ES932" s="96"/>
      <c r="ET932" s="96"/>
      <c r="EU932" s="96"/>
      <c r="EV932" s="96"/>
      <c r="EW932" s="96"/>
      <c r="EX932" s="96"/>
      <c r="EY932" s="96"/>
      <c r="EZ932" s="96"/>
      <c r="FA932" s="96"/>
      <c r="FB932" s="96"/>
      <c r="FC932" s="96"/>
      <c r="FD932" s="96"/>
      <c r="FE932" s="96"/>
      <c r="FF932" s="96"/>
      <c r="FG932" s="96"/>
      <c r="FH932" s="96"/>
      <c r="FI932" s="96"/>
      <c r="FJ932" s="96"/>
      <c r="FK932" s="96"/>
      <c r="FL932" s="96"/>
      <c r="FM932" s="96"/>
      <c r="FN932" s="96"/>
      <c r="FO932" s="96"/>
      <c r="FP932" s="96"/>
      <c r="FQ932" s="96"/>
      <c r="FR932" s="96"/>
      <c r="FS932" s="96"/>
      <c r="FT932" s="96"/>
      <c r="FU932" s="96"/>
      <c r="FV932" s="96"/>
      <c r="FW932" s="96"/>
      <c r="FX932" s="96"/>
      <c r="FY932" s="96"/>
      <c r="FZ932" s="96"/>
      <c r="GA932" s="96"/>
      <c r="GB932" s="96"/>
      <c r="GC932" s="96"/>
      <c r="GD932" s="96"/>
      <c r="GE932" s="96"/>
      <c r="GF932" s="96"/>
      <c r="GG932" s="96"/>
      <c r="GH932" s="96"/>
      <c r="GI932" s="96"/>
      <c r="GJ932" s="96"/>
      <c r="GK932" s="96"/>
      <c r="GL932" s="96"/>
      <c r="GM932" s="96"/>
      <c r="GN932" s="96"/>
      <c r="GO932" s="96"/>
      <c r="GP932" s="96"/>
      <c r="GQ932" s="96"/>
      <c r="GR932" s="96"/>
      <c r="GS932" s="96"/>
      <c r="GT932" s="96"/>
      <c r="GU932" s="96"/>
      <c r="GV932" s="96"/>
      <c r="GW932" s="96"/>
      <c r="GX932" s="96"/>
      <c r="GY932" s="96"/>
      <c r="GZ932" s="96"/>
      <c r="HA932" s="96"/>
      <c r="HB932" s="96"/>
      <c r="HC932" s="96"/>
      <c r="HD932" s="96"/>
      <c r="HE932" s="96"/>
      <c r="HF932" s="96"/>
      <c r="HG932" s="96"/>
      <c r="HH932" s="96"/>
      <c r="HI932" s="96"/>
      <c r="HJ932" s="96"/>
      <c r="HK932" s="185" t="s">
        <v>1726</v>
      </c>
      <c r="HL932" s="185" t="s">
        <v>1546</v>
      </c>
      <c r="HM932" s="127" t="s">
        <v>480</v>
      </c>
      <c r="HN932" s="127" t="s">
        <v>480</v>
      </c>
      <c r="HO932" s="127" t="s">
        <v>480</v>
      </c>
      <c r="HP932" s="127" t="s">
        <v>480</v>
      </c>
      <c r="HQ932" s="208"/>
      <c r="HR932" s="208"/>
      <c r="HS932" s="208"/>
      <c r="HT932" s="37"/>
      <c r="HU932" s="37"/>
      <c r="HV932" s="208"/>
      <c r="HW932" s="208"/>
      <c r="HX932" s="208"/>
      <c r="HY932" s="208"/>
      <c r="HZ932" s="208"/>
      <c r="IA932" s="208"/>
      <c r="IB932" s="208"/>
      <c r="IC932" s="208"/>
      <c r="ID932" s="208"/>
      <c r="IE932" s="208"/>
      <c r="IF932" s="208"/>
      <c r="IG932" s="208"/>
      <c r="IH932" s="185" t="s">
        <v>1706</v>
      </c>
      <c r="II932" s="209" t="s">
        <v>492</v>
      </c>
      <c r="IJ932" s="209"/>
      <c r="IK932" s="208"/>
      <c r="IL932" s="208"/>
      <c r="IM932" s="208"/>
      <c r="IN932" s="185"/>
      <c r="IO932" s="208"/>
      <c r="IP932" s="208"/>
      <c r="IQ932" s="208"/>
      <c r="IR932" s="208"/>
      <c r="IS932" s="208"/>
      <c r="IT932" s="208"/>
      <c r="IU932" s="208"/>
      <c r="IV932" s="208"/>
      <c r="IW932" s="208"/>
      <c r="IX932" s="96"/>
      <c r="IY932" s="96"/>
      <c r="IZ932" s="96"/>
      <c r="JA932" s="96"/>
      <c r="JB932" s="96"/>
      <c r="JC932" s="96"/>
      <c r="JD932" s="96"/>
      <c r="JE932" s="96"/>
      <c r="JF932" s="96"/>
      <c r="JG932" s="96"/>
      <c r="JH932" s="96"/>
      <c r="JI932" s="96"/>
      <c r="JJ932" s="96" t="s">
        <v>1727</v>
      </c>
      <c r="JK932" s="2" t="s">
        <v>682</v>
      </c>
      <c r="JL932" s="151"/>
      <c r="JM932" s="208"/>
      <c r="JN932" s="206"/>
      <c r="JO932" s="208"/>
      <c r="JP932" s="206"/>
      <c r="JQ932" s="208"/>
      <c r="JR932" s="208"/>
      <c r="JS932" s="208"/>
      <c r="JT932" s="208"/>
      <c r="JU932" s="208"/>
      <c r="JV932" s="208"/>
      <c r="JW932" s="208"/>
      <c r="JX932" s="208"/>
      <c r="JY932" s="208"/>
      <c r="JZ932" s="208"/>
      <c r="KA932" s="208"/>
      <c r="KB932" s="208"/>
      <c r="KC932" s="208"/>
      <c r="KD932" s="208"/>
      <c r="KE932" s="208"/>
      <c r="KF932" s="148"/>
      <c r="KG932" s="148"/>
      <c r="KH932" s="210"/>
      <c r="KI932" s="185"/>
      <c r="KJ932" s="210"/>
      <c r="KK932" s="210"/>
      <c r="KL932" s="210"/>
      <c r="KM932" s="210"/>
      <c r="KN932" s="148"/>
      <c r="KO932" s="148"/>
      <c r="KP932" s="210"/>
      <c r="KQ932" s="210"/>
      <c r="KR932" s="148"/>
      <c r="KS932" s="148"/>
      <c r="KT932" s="210"/>
      <c r="KU932" s="210"/>
      <c r="KV932" s="210"/>
      <c r="KW932" s="38"/>
      <c r="KX932" s="38"/>
      <c r="KY932" s="38"/>
      <c r="KZ932" s="38"/>
      <c r="LA932" s="206"/>
      <c r="LB932" s="206"/>
      <c r="LC932" s="206"/>
      <c r="LD932" s="206"/>
      <c r="LE932" s="206"/>
      <c r="LF932" s="206"/>
      <c r="LG932" s="206"/>
      <c r="LH932" s="206"/>
      <c r="LI932" s="208"/>
      <c r="LJ932" s="208"/>
      <c r="LK932" s="208"/>
      <c r="LL932" s="208"/>
      <c r="LM932" s="208"/>
      <c r="LN932" s="208"/>
      <c r="LO932" s="208"/>
      <c r="LP932" s="208"/>
      <c r="LQ932" s="208"/>
      <c r="LR932" s="208"/>
      <c r="LS932" s="208"/>
      <c r="LT932" s="208"/>
      <c r="LU932" s="208"/>
      <c r="LV932" s="96"/>
      <c r="LW932" s="96"/>
      <c r="LX932" s="96"/>
      <c r="LY932" s="96"/>
      <c r="LZ932" s="96"/>
      <c r="MA932" s="96"/>
      <c r="MB932" s="96"/>
      <c r="MC932" s="96"/>
      <c r="MD932" s="96"/>
      <c r="ME932" s="96"/>
      <c r="MF932" s="96"/>
      <c r="MG932" s="208"/>
      <c r="MH932" s="208"/>
      <c r="MI932" s="96"/>
      <c r="MJ932" s="96"/>
      <c r="MK932" s="96"/>
      <c r="ML932" s="96"/>
      <c r="MM932" s="96"/>
      <c r="MN932" s="96"/>
      <c r="MO932" s="96"/>
      <c r="MP932" s="96"/>
      <c r="MQ932" s="37"/>
      <c r="MR932" s="37"/>
      <c r="MS932" s="96"/>
      <c r="MT932" s="208"/>
      <c r="MU932" s="208"/>
      <c r="MW932" s="96"/>
      <c r="MX932" s="96"/>
      <c r="MY932" s="211" t="s">
        <v>1710</v>
      </c>
      <c r="MZ932" s="212">
        <v>16.25</v>
      </c>
      <c r="NI932" s="185"/>
      <c r="NJ932" s="185" t="s">
        <v>1728</v>
      </c>
      <c r="NK932" s="185" t="s">
        <v>1729</v>
      </c>
      <c r="NL932" s="185" t="s">
        <v>1730</v>
      </c>
      <c r="NM932" s="213" t="s">
        <v>1731</v>
      </c>
      <c r="NN932" s="185">
        <v>0</v>
      </c>
      <c r="NO932" s="185">
        <v>20</v>
      </c>
      <c r="NP932" s="185"/>
      <c r="NQ932" s="185"/>
      <c r="NR932" s="185"/>
      <c r="NS932" s="185"/>
      <c r="NT932" s="185"/>
      <c r="NU932" s="185" t="s">
        <v>1741</v>
      </c>
      <c r="NV932" s="185" t="s">
        <v>518</v>
      </c>
      <c r="NW932" s="185">
        <v>45.15</v>
      </c>
      <c r="NX932" s="185" t="s">
        <v>480</v>
      </c>
      <c r="NY932" s="147"/>
      <c r="NZ932" s="147"/>
      <c r="OA932" s="133"/>
      <c r="OB932" s="185">
        <v>3</v>
      </c>
      <c r="OC932" s="185"/>
      <c r="OD932" s="185"/>
      <c r="OE932" s="208"/>
      <c r="OF932" s="208"/>
      <c r="OG932" s="208"/>
      <c r="OH932" s="208"/>
      <c r="OI932" s="208"/>
      <c r="OJ932" s="208"/>
      <c r="OK932" s="208"/>
      <c r="OL932" s="208"/>
      <c r="OM932" s="208"/>
      <c r="ON932" s="208"/>
      <c r="OO932" s="208"/>
      <c r="OP932" s="208"/>
      <c r="OQ932" s="208"/>
      <c r="OR932" s="208"/>
      <c r="OS932" s="208"/>
      <c r="OT932" s="208"/>
      <c r="OU932" t="s">
        <v>1733</v>
      </c>
      <c r="OV932" s="185" t="s">
        <v>518</v>
      </c>
      <c r="OX932">
        <v>2020</v>
      </c>
      <c r="OY932">
        <v>2021</v>
      </c>
      <c r="OZ932" s="96"/>
      <c r="PA932" s="96"/>
      <c r="PB932" t="s">
        <v>522</v>
      </c>
      <c r="PC932" s="50">
        <v>46148</v>
      </c>
    </row>
    <row r="933" spans="1:419" ht="17.25" thickBot="1">
      <c r="A933" s="205" t="s">
        <v>861</v>
      </c>
      <c r="B933" s="2" t="s">
        <v>1700</v>
      </c>
      <c r="C933" s="2" t="s">
        <v>1387</v>
      </c>
      <c r="D933" s="88" t="s">
        <v>668</v>
      </c>
      <c r="E933" s="2" t="s">
        <v>1701</v>
      </c>
      <c r="F933" s="88" t="s">
        <v>1702</v>
      </c>
      <c r="G933" s="2" t="s">
        <v>475</v>
      </c>
      <c r="H933" s="2" t="s">
        <v>476</v>
      </c>
      <c r="I933" s="88">
        <v>-11.474220000000001</v>
      </c>
      <c r="J933" s="88" t="s">
        <v>1703</v>
      </c>
      <c r="K933" s="88">
        <v>1000</v>
      </c>
      <c r="L933" s="2"/>
      <c r="M933" s="88"/>
      <c r="N933" s="2"/>
      <c r="O933" s="2"/>
      <c r="P933" s="2"/>
      <c r="Q933" s="2"/>
      <c r="R933" s="2"/>
      <c r="S933" s="2"/>
      <c r="T933" s="2"/>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c r="AV933" s="2" t="s">
        <v>1704</v>
      </c>
      <c r="AW933" s="2">
        <v>28</v>
      </c>
      <c r="AX933" s="2" t="s">
        <v>480</v>
      </c>
      <c r="AY933" s="2">
        <v>2</v>
      </c>
      <c r="AZ933" s="185" t="s">
        <v>1705</v>
      </c>
      <c r="BA933" s="185">
        <v>2020</v>
      </c>
      <c r="BB933" s="185">
        <v>2022</v>
      </c>
      <c r="BC933" s="185"/>
      <c r="BD933" s="185" t="s">
        <v>1742</v>
      </c>
      <c r="BE933" s="185" t="s">
        <v>553</v>
      </c>
      <c r="BF933" s="185" t="s">
        <v>484</v>
      </c>
      <c r="BG933" s="185" t="s">
        <v>1707</v>
      </c>
      <c r="BH933" s="185" t="s">
        <v>1708</v>
      </c>
      <c r="BI933" s="206" t="s">
        <v>1709</v>
      </c>
      <c r="BJ933" s="207">
        <v>4.4000000000000004</v>
      </c>
      <c r="BK933" s="185" t="s">
        <v>537</v>
      </c>
      <c r="BL933" s="185" t="s">
        <v>485</v>
      </c>
      <c r="BM933" s="185" t="s">
        <v>1719</v>
      </c>
      <c r="BN933" s="206" t="s">
        <v>1709</v>
      </c>
      <c r="BO933" s="207">
        <v>4.4000000000000004</v>
      </c>
      <c r="BP933" s="185"/>
      <c r="BQ933" s="185"/>
      <c r="BR933" s="185"/>
      <c r="BS933" s="185"/>
      <c r="BT933" s="185"/>
      <c r="BU933" s="185"/>
      <c r="BV933" s="3"/>
      <c r="BW933" s="3"/>
      <c r="BX933" s="3"/>
      <c r="BY933" s="3"/>
      <c r="BZ933" s="3"/>
      <c r="CA933" s="3"/>
      <c r="CB933" s="3"/>
      <c r="CC933" s="3"/>
      <c r="CD933" s="3"/>
      <c r="CE933" s="3"/>
      <c r="CF933" s="3"/>
      <c r="CG933" s="3"/>
      <c r="CH933" s="3"/>
      <c r="CI933" s="3"/>
      <c r="CJ933" s="3"/>
      <c r="CK933" s="3"/>
      <c r="CL933" s="3"/>
      <c r="CM933" s="3"/>
      <c r="CN933" s="3"/>
      <c r="CO933" s="3"/>
      <c r="CP933" s="3"/>
      <c r="CQ933" s="3"/>
      <c r="CR933" s="3"/>
      <c r="CS933" s="3"/>
      <c r="CT933" s="3"/>
      <c r="CU933" s="3"/>
      <c r="CV933" s="3"/>
      <c r="CW933" s="3"/>
      <c r="CX933" s="3"/>
      <c r="CY933" s="3"/>
      <c r="CZ933" s="3"/>
      <c r="DA933" s="3"/>
      <c r="DB933" s="3"/>
      <c r="DC933" s="3"/>
      <c r="DD933" s="3"/>
      <c r="DE933" s="3"/>
      <c r="DF933" s="3"/>
      <c r="DG933" s="3"/>
      <c r="DH933" s="3"/>
      <c r="DI933" s="3"/>
      <c r="DJ933" s="3"/>
      <c r="DK933" s="3"/>
      <c r="DL933" s="3"/>
      <c r="DM933" s="3"/>
      <c r="DN933" s="3"/>
      <c r="DO933" s="3"/>
      <c r="DP933" s="3"/>
      <c r="DQ933" s="3"/>
      <c r="DR933" s="3"/>
      <c r="DS933" s="3"/>
      <c r="DT933" s="3"/>
      <c r="DU933" s="3"/>
      <c r="DV933" s="3"/>
      <c r="DW933" s="3"/>
      <c r="DX933" s="3"/>
      <c r="DY933" s="3"/>
      <c r="DZ933" s="3"/>
      <c r="EA933" s="3"/>
      <c r="EB933" s="3"/>
      <c r="EC933" s="3"/>
      <c r="ED933" s="2"/>
      <c r="EE933" s="185"/>
      <c r="EF933" s="185"/>
      <c r="EG933" s="185"/>
      <c r="EH933" s="185"/>
      <c r="EI933" s="185"/>
      <c r="EJ933" s="185"/>
      <c r="EK933" s="185"/>
      <c r="EL933" s="3"/>
      <c r="EM933" s="3"/>
      <c r="EN933" s="3"/>
      <c r="EO933" s="3"/>
      <c r="EP933" s="3"/>
      <c r="EQ933" s="3"/>
      <c r="ER933" s="3"/>
      <c r="ES933" s="3"/>
      <c r="ET933" s="3"/>
      <c r="EU933" s="3"/>
      <c r="EV933" s="3"/>
      <c r="EW933" s="3"/>
      <c r="EX933" s="3"/>
      <c r="EY933" s="3"/>
      <c r="EZ933" s="3"/>
      <c r="FA933" s="3"/>
      <c r="FB933" s="3"/>
      <c r="FC933" s="3"/>
      <c r="FD933" s="3"/>
      <c r="FE933" s="3"/>
      <c r="FF933" s="3"/>
      <c r="FG933" s="3"/>
      <c r="FH933" s="3"/>
      <c r="FI933" s="3"/>
      <c r="FJ933" s="3"/>
      <c r="FK933" s="3"/>
      <c r="FL933" s="3"/>
      <c r="FM933" s="3"/>
      <c r="FN933" s="3"/>
      <c r="FO933" s="3"/>
      <c r="FP933" s="3"/>
      <c r="FQ933" s="3"/>
      <c r="FR933" s="3"/>
      <c r="FS933" s="3"/>
      <c r="FT933" s="3"/>
      <c r="FU933" s="3"/>
      <c r="FV933" s="3"/>
      <c r="FW933" s="3"/>
      <c r="FX933" s="3"/>
      <c r="FY933" s="3"/>
      <c r="FZ933" s="3"/>
      <c r="GA933" s="3"/>
      <c r="GB933" s="3"/>
      <c r="GC933" s="3"/>
      <c r="GD933" s="3"/>
      <c r="GE933" s="3"/>
      <c r="GF933" s="3"/>
      <c r="GG933" s="3"/>
      <c r="GH933" s="3"/>
      <c r="GI933" s="3"/>
      <c r="GJ933" s="3"/>
      <c r="GK933" s="3"/>
      <c r="GL933" s="3"/>
      <c r="GM933" s="3"/>
      <c r="GN933" s="3"/>
      <c r="GO933" s="3"/>
      <c r="GP933" s="3"/>
      <c r="GQ933" s="3"/>
      <c r="GR933" s="3"/>
      <c r="GS933" s="3"/>
      <c r="GT933" s="3"/>
      <c r="GU933" s="3"/>
      <c r="GV933" s="3"/>
      <c r="GW933" s="3"/>
      <c r="GX933" s="3"/>
      <c r="GY933" s="3"/>
      <c r="GZ933" s="3"/>
      <c r="HA933" s="3"/>
      <c r="HB933" s="3"/>
      <c r="HC933" s="3"/>
      <c r="HD933" s="3"/>
      <c r="HE933" s="3"/>
      <c r="HF933" s="3"/>
      <c r="HG933" s="3"/>
      <c r="HH933" s="3"/>
      <c r="HI933" s="3"/>
      <c r="HJ933" s="3"/>
      <c r="HK933" s="185" t="s">
        <v>1726</v>
      </c>
      <c r="HL933" s="185" t="s">
        <v>1546</v>
      </c>
      <c r="HM933" s="127" t="s">
        <v>480</v>
      </c>
      <c r="HN933" s="127" t="s">
        <v>480</v>
      </c>
      <c r="HO933" s="127" t="s">
        <v>480</v>
      </c>
      <c r="HP933" s="127" t="s">
        <v>480</v>
      </c>
      <c r="HQ933" s="185"/>
      <c r="HR933" s="185"/>
      <c r="HS933" s="206"/>
      <c r="HT933" s="185"/>
      <c r="HU933" s="185"/>
      <c r="HV933" s="185"/>
      <c r="HW933" s="185"/>
      <c r="HX933" s="215"/>
      <c r="HY933" s="185"/>
      <c r="HZ933" s="185"/>
      <c r="IA933" s="185"/>
      <c r="IB933" s="185"/>
      <c r="IC933" s="185"/>
      <c r="ID933" s="185"/>
      <c r="IE933" s="185"/>
      <c r="IF933" s="185"/>
      <c r="IG933" s="185"/>
      <c r="IH933" s="185" t="s">
        <v>1718</v>
      </c>
      <c r="II933" s="148" t="s">
        <v>1714</v>
      </c>
      <c r="IJ933" s="148" t="s">
        <v>542</v>
      </c>
      <c r="IK933" s="210" t="s">
        <v>1715</v>
      </c>
      <c r="IL933" s="185">
        <v>2020</v>
      </c>
      <c r="IM933" s="185"/>
      <c r="IN933" s="185" t="s">
        <v>1716</v>
      </c>
      <c r="IO933" s="185"/>
      <c r="IP933" s="185"/>
      <c r="IQ933" s="185"/>
      <c r="IR933" s="185"/>
      <c r="IS933" s="185"/>
      <c r="IT933" s="185"/>
      <c r="IU933" s="185"/>
      <c r="IV933" s="185"/>
      <c r="IW933" s="185"/>
      <c r="IX933" s="2"/>
      <c r="IY933" s="2"/>
      <c r="IZ933" s="2"/>
      <c r="JA933" s="2"/>
      <c r="JB933" s="2"/>
      <c r="JC933" s="2"/>
      <c r="JD933" s="2"/>
      <c r="JE933" s="2"/>
      <c r="JF933" s="2"/>
      <c r="JG933" s="2"/>
      <c r="JH933" s="2"/>
      <c r="JI933" s="2"/>
      <c r="JJ933" s="2" t="s">
        <v>1727</v>
      </c>
      <c r="JK933" s="2" t="s">
        <v>682</v>
      </c>
      <c r="JL933" s="151"/>
      <c r="JM933" s="140"/>
      <c r="JN933" s="206"/>
      <c r="JO933" s="185"/>
      <c r="JP933" s="206"/>
      <c r="JQ933" s="185"/>
      <c r="JR933" s="185"/>
      <c r="JS933" s="185"/>
      <c r="JT933" s="185"/>
      <c r="JU933" s="185"/>
      <c r="JV933" s="140"/>
      <c r="JW933" s="140"/>
      <c r="JX933" s="206"/>
      <c r="JY933" s="185"/>
      <c r="JZ933" s="206"/>
      <c r="KA933" s="185"/>
      <c r="KB933" s="185"/>
      <c r="KC933" s="185"/>
      <c r="KD933" s="206"/>
      <c r="KE933" s="206"/>
      <c r="KF933" s="148"/>
      <c r="KG933" s="216"/>
      <c r="KH933" s="185"/>
      <c r="KI933" s="185"/>
      <c r="KJ933" s="185"/>
      <c r="KK933" s="185"/>
      <c r="KL933" s="206"/>
      <c r="KM933" s="185"/>
      <c r="KN933" s="148"/>
      <c r="KO933" s="216"/>
      <c r="KP933" s="185"/>
      <c r="KQ933" s="185"/>
      <c r="KR933" s="148"/>
      <c r="KS933" s="216"/>
      <c r="KT933" s="185"/>
      <c r="KU933" s="185"/>
      <c r="KV933" s="185"/>
      <c r="KW933" s="3"/>
      <c r="KX933" s="3"/>
      <c r="KY933" s="3"/>
      <c r="KZ933" s="3"/>
      <c r="LA933" s="206"/>
      <c r="LB933" s="206"/>
      <c r="LC933" s="206"/>
      <c r="LD933" s="206"/>
      <c r="LE933" s="206"/>
      <c r="LF933" s="206"/>
      <c r="LG933" s="206"/>
      <c r="LH933" s="206"/>
      <c r="LI933" s="206"/>
      <c r="LJ933" s="206"/>
      <c r="LK933" s="206"/>
      <c r="LL933" s="206"/>
      <c r="LM933" s="206"/>
      <c r="LN933" s="185"/>
      <c r="LO933" s="185"/>
      <c r="LP933" s="185"/>
      <c r="LQ933" s="185"/>
      <c r="LR933" s="185"/>
      <c r="LS933" s="185"/>
      <c r="LT933" s="185"/>
      <c r="LU933" s="185"/>
      <c r="LW933" s="2"/>
      <c r="LX933" s="2"/>
      <c r="LY933" s="2"/>
      <c r="LZ933" s="2"/>
      <c r="MA933" s="2"/>
      <c r="ME933" s="2"/>
      <c r="MF933" s="185"/>
      <c r="MG933" s="185"/>
      <c r="MH933" s="185"/>
      <c r="MI933" s="2"/>
      <c r="MJ933" s="2"/>
      <c r="MK933" s="2"/>
      <c r="ML933" s="2"/>
      <c r="MM933" s="2"/>
      <c r="MN933" s="2"/>
      <c r="MO933" s="2"/>
      <c r="MP933" s="2"/>
      <c r="MQ933" s="185"/>
      <c r="MR933" s="185"/>
      <c r="MS933" s="185"/>
      <c r="MT933" s="185"/>
      <c r="MU933" s="185"/>
      <c r="MV933" s="185"/>
      <c r="MW933" s="185"/>
      <c r="MX933" s="185"/>
      <c r="MY933" s="211" t="s">
        <v>1710</v>
      </c>
      <c r="MZ933" s="212">
        <v>16.25</v>
      </c>
      <c r="NI933" s="185"/>
      <c r="NJ933" s="185" t="s">
        <v>1728</v>
      </c>
      <c r="NK933" s="185" t="s">
        <v>1729</v>
      </c>
      <c r="NL933" s="185" t="s">
        <v>1730</v>
      </c>
      <c r="NM933" s="213" t="s">
        <v>1731</v>
      </c>
      <c r="NN933" s="185">
        <v>0</v>
      </c>
      <c r="NO933" s="185">
        <v>20</v>
      </c>
      <c r="NP933" s="185"/>
      <c r="NQ933" s="185"/>
      <c r="NR933" s="185"/>
      <c r="NS933" s="185"/>
      <c r="NT933" s="185"/>
      <c r="NU933" s="185"/>
      <c r="NV933" s="185" t="s">
        <v>518</v>
      </c>
      <c r="NW933" s="185">
        <v>44.27</v>
      </c>
      <c r="NX933" s="185" t="s">
        <v>480</v>
      </c>
      <c r="NY933" s="147"/>
      <c r="NZ933" s="147"/>
      <c r="OA933" s="133"/>
      <c r="OB933" s="185">
        <v>3</v>
      </c>
      <c r="OC933" s="185"/>
      <c r="OD933" s="185"/>
      <c r="OE933" s="185"/>
      <c r="OF933" s="185"/>
      <c r="OG933" s="185"/>
      <c r="OH933" s="185"/>
      <c r="OI933" s="185"/>
      <c r="OJ933" s="185"/>
      <c r="OK933" s="185"/>
      <c r="OL933" s="185"/>
      <c r="OM933" s="185"/>
      <c r="ON933" s="185"/>
      <c r="OO933" s="185"/>
      <c r="OP933" s="185"/>
      <c r="OQ933" s="185"/>
      <c r="OR933" s="185"/>
      <c r="OS933" s="185"/>
      <c r="OT933" s="185"/>
      <c r="OU933" t="s">
        <v>1733</v>
      </c>
      <c r="OV933" s="185" t="s">
        <v>518</v>
      </c>
      <c r="OX933">
        <v>2020</v>
      </c>
      <c r="OY933">
        <v>2021</v>
      </c>
      <c r="PB933" t="s">
        <v>522</v>
      </c>
      <c r="PC933" s="50">
        <v>46148</v>
      </c>
    </row>
    <row r="934" spans="1:419" ht="17.25" thickBot="1">
      <c r="A934" s="205" t="s">
        <v>861</v>
      </c>
      <c r="B934" s="2" t="s">
        <v>1700</v>
      </c>
      <c r="C934" s="2" t="s">
        <v>1387</v>
      </c>
      <c r="D934" s="88" t="s">
        <v>668</v>
      </c>
      <c r="E934" s="2" t="s">
        <v>1701</v>
      </c>
      <c r="F934" s="88" t="s">
        <v>1702</v>
      </c>
      <c r="G934" s="2" t="s">
        <v>475</v>
      </c>
      <c r="H934" s="2" t="s">
        <v>476</v>
      </c>
      <c r="I934" s="88">
        <v>-11.474220000000001</v>
      </c>
      <c r="J934" s="88" t="s">
        <v>1703</v>
      </c>
      <c r="K934" s="88">
        <v>1000</v>
      </c>
      <c r="L934" s="2"/>
      <c r="M934" s="88"/>
      <c r="N934" s="2"/>
      <c r="O934" s="2"/>
      <c r="P934" s="2"/>
      <c r="Q934" s="2"/>
      <c r="R934" s="2"/>
      <c r="S934" s="2"/>
      <c r="T934" s="2"/>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c r="AV934" s="2" t="s">
        <v>1704</v>
      </c>
      <c r="AW934" s="2">
        <v>28</v>
      </c>
      <c r="AX934" s="2" t="s">
        <v>480</v>
      </c>
      <c r="AY934" s="2">
        <v>2</v>
      </c>
      <c r="AZ934" s="185" t="s">
        <v>1705</v>
      </c>
      <c r="BA934" s="185">
        <v>2020</v>
      </c>
      <c r="BB934" s="185">
        <v>2022</v>
      </c>
      <c r="BC934" s="185"/>
      <c r="BD934" s="185" t="s">
        <v>1743</v>
      </c>
      <c r="BE934" s="185" t="s">
        <v>607</v>
      </c>
      <c r="BF934" s="185" t="s">
        <v>484</v>
      </c>
      <c r="BG934" s="185" t="s">
        <v>538</v>
      </c>
      <c r="BH934" s="185" t="s">
        <v>1713</v>
      </c>
      <c r="BI934" s="206" t="s">
        <v>1709</v>
      </c>
      <c r="BJ934" s="207">
        <v>13.3</v>
      </c>
      <c r="BK934" s="185" t="s">
        <v>537</v>
      </c>
      <c r="BL934" s="185" t="s">
        <v>485</v>
      </c>
      <c r="BM934" s="185" t="s">
        <v>1719</v>
      </c>
      <c r="BN934" s="206" t="s">
        <v>1709</v>
      </c>
      <c r="BO934" s="207">
        <v>4.4000000000000004</v>
      </c>
      <c r="BP934" s="185"/>
      <c r="BQ934" s="185"/>
      <c r="BR934" s="185"/>
      <c r="BS934" s="185"/>
      <c r="BT934" s="185"/>
      <c r="BU934" s="185"/>
      <c r="BV934" s="3"/>
      <c r="BW934" s="3"/>
      <c r="BX934" s="3"/>
      <c r="BY934" s="3"/>
      <c r="BZ934" s="3"/>
      <c r="CA934" s="3"/>
      <c r="CB934" s="3"/>
      <c r="CC934" s="3"/>
      <c r="CD934" s="3"/>
      <c r="CE934" s="3"/>
      <c r="CF934" s="3"/>
      <c r="CG934" s="3"/>
      <c r="CH934" s="3"/>
      <c r="CI934" s="3"/>
      <c r="CJ934" s="3"/>
      <c r="CK934" s="3"/>
      <c r="CL934" s="3"/>
      <c r="CM934" s="3"/>
      <c r="CN934" s="3"/>
      <c r="CO934" s="3"/>
      <c r="CP934" s="3"/>
      <c r="CQ934" s="3"/>
      <c r="CR934" s="3"/>
      <c r="CS934" s="3"/>
      <c r="CT934" s="3"/>
      <c r="CU934" s="3"/>
      <c r="CV934" s="3"/>
      <c r="CW934" s="3"/>
      <c r="CX934" s="3"/>
      <c r="CY934" s="3"/>
      <c r="CZ934" s="3"/>
      <c r="DA934" s="3"/>
      <c r="DB934" s="3"/>
      <c r="DC934" s="3"/>
      <c r="DD934" s="3"/>
      <c r="DE934" s="3"/>
      <c r="DF934" s="3"/>
      <c r="DG934" s="3"/>
      <c r="DH934" s="3"/>
      <c r="DI934" s="3"/>
      <c r="DJ934" s="3"/>
      <c r="DK934" s="3"/>
      <c r="DL934" s="3"/>
      <c r="DM934" s="3"/>
      <c r="DN934" s="3"/>
      <c r="DO934" s="3"/>
      <c r="DP934" s="3"/>
      <c r="DQ934" s="3"/>
      <c r="DR934" s="3"/>
      <c r="DS934" s="3"/>
      <c r="DT934" s="3"/>
      <c r="DU934" s="3"/>
      <c r="DV934" s="3"/>
      <c r="DW934" s="3"/>
      <c r="DX934" s="3"/>
      <c r="DY934" s="3"/>
      <c r="DZ934" s="3"/>
      <c r="EA934" s="3"/>
      <c r="EB934" s="3"/>
      <c r="EC934" s="3"/>
      <c r="ED934" s="2"/>
      <c r="EE934" s="185"/>
      <c r="EF934" s="185"/>
      <c r="EG934" s="185"/>
      <c r="EH934" s="185"/>
      <c r="EI934" s="185"/>
      <c r="EJ934" s="185"/>
      <c r="EK934" s="185"/>
      <c r="EL934" s="3"/>
      <c r="EM934" s="3"/>
      <c r="EN934" s="3"/>
      <c r="EO934" s="3"/>
      <c r="EP934" s="3"/>
      <c r="EQ934" s="3"/>
      <c r="ER934" s="3"/>
      <c r="ES934" s="3"/>
      <c r="ET934" s="3"/>
      <c r="EU934" s="3"/>
      <c r="EV934" s="3"/>
      <c r="EW934" s="3"/>
      <c r="EX934" s="3"/>
      <c r="EY934" s="3"/>
      <c r="EZ934" s="3"/>
      <c r="FA934" s="3"/>
      <c r="FB934" s="3"/>
      <c r="FC934" s="3"/>
      <c r="FD934" s="3"/>
      <c r="FE934" s="3"/>
      <c r="FF934" s="3"/>
      <c r="FG934" s="3"/>
      <c r="FH934" s="3"/>
      <c r="FI934" s="3"/>
      <c r="FJ934" s="3"/>
      <c r="FK934" s="3"/>
      <c r="FL934" s="3"/>
      <c r="FM934" s="3"/>
      <c r="FN934" s="3"/>
      <c r="FO934" s="3"/>
      <c r="FP934" s="3"/>
      <c r="FQ934" s="3"/>
      <c r="FR934" s="3"/>
      <c r="FS934" s="3"/>
      <c r="FT934" s="3"/>
      <c r="FU934" s="3"/>
      <c r="FV934" s="3"/>
      <c r="FW934" s="3"/>
      <c r="FX934" s="3"/>
      <c r="FY934" s="3"/>
      <c r="FZ934" s="3"/>
      <c r="GA934" s="3"/>
      <c r="GB934" s="3"/>
      <c r="GC934" s="3"/>
      <c r="GD934" s="3"/>
      <c r="GE934" s="3"/>
      <c r="GF934" s="3"/>
      <c r="GG934" s="3"/>
      <c r="GH934" s="3"/>
      <c r="GI934" s="3"/>
      <c r="GJ934" s="3"/>
      <c r="GK934" s="3"/>
      <c r="GL934" s="3"/>
      <c r="GM934" s="3"/>
      <c r="GN934" s="3"/>
      <c r="GO934" s="3"/>
      <c r="GP934" s="3"/>
      <c r="GQ934" s="3"/>
      <c r="GR934" s="3"/>
      <c r="GS934" s="3"/>
      <c r="GT934" s="3"/>
      <c r="GU934" s="3"/>
      <c r="GV934" s="3"/>
      <c r="GW934" s="3"/>
      <c r="GX934" s="3"/>
      <c r="GY934" s="3"/>
      <c r="GZ934" s="3"/>
      <c r="HA934" s="3"/>
      <c r="HB934" s="3"/>
      <c r="HC934" s="3"/>
      <c r="HD934" s="3"/>
      <c r="HE934" s="3"/>
      <c r="HF934" s="3"/>
      <c r="HG934" s="3"/>
      <c r="HH934" s="3"/>
      <c r="HI934" s="3"/>
      <c r="HJ934" s="3"/>
      <c r="HK934" s="185" t="s">
        <v>1726</v>
      </c>
      <c r="HL934" s="185" t="s">
        <v>1546</v>
      </c>
      <c r="HM934" s="127" t="s">
        <v>480</v>
      </c>
      <c r="HN934" s="127" t="s">
        <v>480</v>
      </c>
      <c r="HO934" s="127" t="s">
        <v>480</v>
      </c>
      <c r="HP934" s="127" t="s">
        <v>480</v>
      </c>
      <c r="HQ934" s="185"/>
      <c r="HR934" s="185"/>
      <c r="HS934" s="206"/>
      <c r="HT934" s="185"/>
      <c r="HU934" s="185"/>
      <c r="HV934" s="185"/>
      <c r="HW934" s="185"/>
      <c r="HX934" s="215"/>
      <c r="HY934" s="185"/>
      <c r="HZ934" s="185"/>
      <c r="IA934" s="185"/>
      <c r="IB934" s="185"/>
      <c r="IC934" s="185"/>
      <c r="ID934" s="185"/>
      <c r="IE934" s="185"/>
      <c r="IF934" s="185"/>
      <c r="IG934" s="185"/>
      <c r="IH934" s="185" t="s">
        <v>1720</v>
      </c>
      <c r="II934" s="75" t="s">
        <v>929</v>
      </c>
      <c r="IJ934" s="148" t="s">
        <v>542</v>
      </c>
      <c r="IK934" s="210" t="s">
        <v>1715</v>
      </c>
      <c r="IL934" s="185">
        <v>2020</v>
      </c>
      <c r="IM934" s="185"/>
      <c r="IN934" s="185" t="s">
        <v>1716</v>
      </c>
      <c r="IO934" s="185"/>
      <c r="IP934" s="185"/>
      <c r="IQ934" s="185"/>
      <c r="IR934" s="185"/>
      <c r="IS934" s="185"/>
      <c r="IT934" s="185"/>
      <c r="IU934" s="185"/>
      <c r="IV934" s="185"/>
      <c r="IW934" s="185"/>
      <c r="IX934" s="2"/>
      <c r="IY934" s="2"/>
      <c r="IZ934" s="2"/>
      <c r="JA934" s="2"/>
      <c r="JB934" s="2"/>
      <c r="JC934" s="2"/>
      <c r="JD934" s="2"/>
      <c r="JE934" s="2"/>
      <c r="JF934" s="2"/>
      <c r="JG934" s="2"/>
      <c r="JH934" s="2"/>
      <c r="JI934" s="2"/>
      <c r="JJ934" s="2" t="s">
        <v>1727</v>
      </c>
      <c r="JK934" s="2" t="s">
        <v>682</v>
      </c>
      <c r="JL934" s="151"/>
      <c r="JM934" s="140"/>
      <c r="JN934" s="206"/>
      <c r="JO934" s="185"/>
      <c r="JP934" s="206"/>
      <c r="JQ934" s="185"/>
      <c r="JR934" s="185"/>
      <c r="JS934" s="185"/>
      <c r="JT934" s="185"/>
      <c r="JU934" s="185"/>
      <c r="JV934" s="140"/>
      <c r="JW934" s="140"/>
      <c r="JX934" s="206"/>
      <c r="JY934" s="185"/>
      <c r="JZ934" s="206"/>
      <c r="KA934" s="185"/>
      <c r="KB934" s="185"/>
      <c r="KC934" s="185"/>
      <c r="KD934" s="206"/>
      <c r="KE934" s="206"/>
      <c r="KF934" s="148"/>
      <c r="KG934" s="216"/>
      <c r="KH934" s="185"/>
      <c r="KI934" s="185"/>
      <c r="KJ934" s="185"/>
      <c r="KK934" s="185"/>
      <c r="KL934" s="206"/>
      <c r="KM934" s="185"/>
      <c r="KN934" s="148"/>
      <c r="KO934" s="216"/>
      <c r="KP934" s="185"/>
      <c r="KQ934" s="185"/>
      <c r="KR934" s="148"/>
      <c r="KS934" s="216"/>
      <c r="KT934" s="185"/>
      <c r="KU934" s="185"/>
      <c r="KV934" s="185"/>
      <c r="KW934" s="3"/>
      <c r="KX934" s="3"/>
      <c r="KY934" s="3"/>
      <c r="KZ934" s="3"/>
      <c r="LA934" s="206"/>
      <c r="LB934" s="206"/>
      <c r="LC934" s="206"/>
      <c r="LD934" s="206"/>
      <c r="LE934" s="206"/>
      <c r="LF934" s="206"/>
      <c r="LG934" s="206"/>
      <c r="LH934" s="206"/>
      <c r="LI934" s="206"/>
      <c r="LJ934" s="206"/>
      <c r="LK934" s="206"/>
      <c r="LL934" s="206"/>
      <c r="LM934" s="206"/>
      <c r="LN934" s="185"/>
      <c r="LO934" s="185"/>
      <c r="LP934" s="185"/>
      <c r="LQ934" s="185"/>
      <c r="LR934" s="185"/>
      <c r="LS934" s="185"/>
      <c r="LT934" s="185"/>
      <c r="LU934" s="185"/>
      <c r="LW934" s="2"/>
      <c r="LX934" s="2"/>
      <c r="LY934" s="2"/>
      <c r="LZ934" s="2"/>
      <c r="MA934" s="2"/>
      <c r="ME934" s="2"/>
      <c r="MF934" s="185"/>
      <c r="MG934" s="185"/>
      <c r="MH934" s="185"/>
      <c r="MI934" s="2"/>
      <c r="MJ934" s="2"/>
      <c r="MK934" s="2"/>
      <c r="ML934" s="2"/>
      <c r="MM934" s="2"/>
      <c r="MN934" s="2"/>
      <c r="MO934" s="2"/>
      <c r="MP934" s="2"/>
      <c r="MQ934" s="185"/>
      <c r="MR934" s="185"/>
      <c r="MS934" s="185"/>
      <c r="MT934" s="185"/>
      <c r="MU934" s="185"/>
      <c r="MV934" s="185"/>
      <c r="MW934" s="185"/>
      <c r="MX934" s="185"/>
      <c r="MY934" s="211" t="s">
        <v>1710</v>
      </c>
      <c r="MZ934" s="212">
        <v>16.25</v>
      </c>
      <c r="NI934" s="185"/>
      <c r="NJ934" s="185" t="s">
        <v>1728</v>
      </c>
      <c r="NK934" s="185" t="s">
        <v>1729</v>
      </c>
      <c r="NL934" s="185" t="s">
        <v>1730</v>
      </c>
      <c r="NM934" s="213" t="s">
        <v>1731</v>
      </c>
      <c r="NN934" s="185">
        <v>0</v>
      </c>
      <c r="NO934" s="185">
        <v>20</v>
      </c>
      <c r="NP934" s="185"/>
      <c r="NQ934" s="185"/>
      <c r="NR934" s="185"/>
      <c r="NS934" s="185"/>
      <c r="NT934" s="185"/>
      <c r="NU934" s="185"/>
      <c r="NV934" s="185" t="s">
        <v>518</v>
      </c>
      <c r="NW934" s="185">
        <v>44.67</v>
      </c>
      <c r="NX934" s="185" t="s">
        <v>480</v>
      </c>
      <c r="NY934" s="147"/>
      <c r="NZ934" s="147"/>
      <c r="OA934" s="133"/>
      <c r="OB934" s="185">
        <v>3</v>
      </c>
      <c r="OD934" s="185"/>
      <c r="OE934" s="185"/>
      <c r="OF934" s="185"/>
      <c r="OG934" s="185"/>
      <c r="OH934" s="185"/>
      <c r="OI934" s="185"/>
      <c r="OJ934" s="185"/>
      <c r="OK934" s="185"/>
      <c r="OL934" s="185"/>
      <c r="OM934" s="185"/>
      <c r="ON934" s="185"/>
      <c r="OO934" s="185"/>
      <c r="OP934" s="185"/>
      <c r="OQ934" s="185"/>
      <c r="OR934" s="185"/>
      <c r="OS934" s="185"/>
      <c r="OT934" s="185"/>
      <c r="OU934" t="s">
        <v>1733</v>
      </c>
      <c r="OV934" s="185" t="s">
        <v>518</v>
      </c>
      <c r="OX934">
        <v>2020</v>
      </c>
      <c r="OY934">
        <v>2021</v>
      </c>
      <c r="PB934" t="s">
        <v>522</v>
      </c>
      <c r="PC934" s="50">
        <v>46148</v>
      </c>
    </row>
    <row r="935" spans="1:419" ht="17.25" thickBot="1">
      <c r="A935" s="205" t="s">
        <v>861</v>
      </c>
      <c r="B935" s="2" t="s">
        <v>1700</v>
      </c>
      <c r="C935" s="2" t="s">
        <v>1387</v>
      </c>
      <c r="D935" s="88" t="s">
        <v>668</v>
      </c>
      <c r="E935" s="2" t="s">
        <v>1701</v>
      </c>
      <c r="F935" s="88" t="s">
        <v>1702</v>
      </c>
      <c r="G935" s="2" t="s">
        <v>475</v>
      </c>
      <c r="H935" s="2" t="s">
        <v>476</v>
      </c>
      <c r="I935" s="88">
        <v>-11.474220000000001</v>
      </c>
      <c r="J935" s="88" t="s">
        <v>1703</v>
      </c>
      <c r="K935" s="88">
        <v>1000</v>
      </c>
      <c r="L935" s="2"/>
      <c r="M935" s="88"/>
      <c r="N935" s="2"/>
      <c r="O935" s="2"/>
      <c r="P935" s="2"/>
      <c r="Q935" s="2"/>
      <c r="R935" s="2"/>
      <c r="S935" s="2"/>
      <c r="T935" s="2"/>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c r="AV935" s="2" t="s">
        <v>1704</v>
      </c>
      <c r="AW935" s="2">
        <v>28</v>
      </c>
      <c r="AX935" s="2" t="s">
        <v>480</v>
      </c>
      <c r="AY935" s="2">
        <v>2</v>
      </c>
      <c r="AZ935" s="185" t="s">
        <v>1705</v>
      </c>
      <c r="BA935" s="185">
        <v>2020</v>
      </c>
      <c r="BB935" s="185">
        <v>2022</v>
      </c>
      <c r="BC935" s="185"/>
      <c r="BD935" s="185" t="s">
        <v>1744</v>
      </c>
      <c r="BE935" s="185" t="s">
        <v>611</v>
      </c>
      <c r="BF935" s="185" t="s">
        <v>484</v>
      </c>
      <c r="BG935" s="185" t="s">
        <v>1707</v>
      </c>
      <c r="BH935" s="185" t="s">
        <v>1708</v>
      </c>
      <c r="BI935" s="206" t="s">
        <v>1709</v>
      </c>
      <c r="BJ935" s="207">
        <v>4.4000000000000004</v>
      </c>
      <c r="BK935" s="185" t="s">
        <v>537</v>
      </c>
      <c r="BL935" s="185" t="s">
        <v>538</v>
      </c>
      <c r="BM935" s="185" t="s">
        <v>1713</v>
      </c>
      <c r="BN935" s="206" t="s">
        <v>1709</v>
      </c>
      <c r="BO935" s="207">
        <v>13.3</v>
      </c>
      <c r="BP935" s="185"/>
      <c r="BQ935" s="185"/>
      <c r="BR935" s="185"/>
      <c r="BS935" s="185"/>
      <c r="BT935" s="185"/>
      <c r="BU935" s="185"/>
      <c r="BV935" s="3"/>
      <c r="BW935" s="3"/>
      <c r="BX935" s="3"/>
      <c r="BY935" s="3"/>
      <c r="BZ935" s="3"/>
      <c r="CA935" s="3"/>
      <c r="CB935" s="3"/>
      <c r="CC935" s="3"/>
      <c r="CD935" s="3"/>
      <c r="CE935" s="3"/>
      <c r="CF935" s="3"/>
      <c r="CG935" s="3"/>
      <c r="CH935" s="3"/>
      <c r="CI935" s="3"/>
      <c r="CJ935" s="3"/>
      <c r="CK935" s="3"/>
      <c r="CL935" s="3"/>
      <c r="CM935" s="3"/>
      <c r="CN935" s="3"/>
      <c r="CO935" s="3"/>
      <c r="CP935" s="3"/>
      <c r="CQ935" s="3"/>
      <c r="CR935" s="3"/>
      <c r="CS935" s="3"/>
      <c r="CT935" s="3"/>
      <c r="CU935" s="3"/>
      <c r="CV935" s="3"/>
      <c r="CW935" s="3"/>
      <c r="CX935" s="3"/>
      <c r="CY935" s="3"/>
      <c r="CZ935" s="3"/>
      <c r="DA935" s="3"/>
      <c r="DB935" s="3"/>
      <c r="DC935" s="3"/>
      <c r="DD935" s="3"/>
      <c r="DE935" s="3"/>
      <c r="DF935" s="3"/>
      <c r="DG935" s="3"/>
      <c r="DH935" s="3"/>
      <c r="DI935" s="3"/>
      <c r="DJ935" s="3"/>
      <c r="DK935" s="3"/>
      <c r="DL935" s="3"/>
      <c r="DM935" s="3"/>
      <c r="DN935" s="3"/>
      <c r="DO935" s="3"/>
      <c r="DP935" s="3"/>
      <c r="DQ935" s="3"/>
      <c r="DR935" s="3"/>
      <c r="DS935" s="3"/>
      <c r="DT935" s="3"/>
      <c r="DU935" s="3"/>
      <c r="DV935" s="3"/>
      <c r="DW935" s="3"/>
      <c r="DX935" s="3"/>
      <c r="DY935" s="3"/>
      <c r="DZ935" s="3"/>
      <c r="EA935" s="3"/>
      <c r="EB935" s="3"/>
      <c r="EC935" s="3"/>
      <c r="ED935" s="2"/>
      <c r="EE935" s="185"/>
      <c r="EF935" s="185"/>
      <c r="EG935" s="185"/>
      <c r="EH935" s="185"/>
      <c r="EI935" s="185"/>
      <c r="EJ935" s="185"/>
      <c r="EK935" s="185"/>
      <c r="EL935" s="3"/>
      <c r="EM935" s="3"/>
      <c r="EN935" s="3"/>
      <c r="EO935" s="3"/>
      <c r="EP935" s="3"/>
      <c r="EQ935" s="3"/>
      <c r="ER935" s="3"/>
      <c r="ES935" s="3"/>
      <c r="ET935" s="3"/>
      <c r="EU935" s="3"/>
      <c r="EV935" s="3"/>
      <c r="EW935" s="3"/>
      <c r="EX935" s="3"/>
      <c r="EY935" s="3"/>
      <c r="EZ935" s="3"/>
      <c r="FA935" s="3"/>
      <c r="FB935" s="3"/>
      <c r="FC935" s="3"/>
      <c r="FD935" s="3"/>
      <c r="FE935" s="3"/>
      <c r="FF935" s="3"/>
      <c r="FG935" s="3"/>
      <c r="FH935" s="3"/>
      <c r="FI935" s="3"/>
      <c r="FJ935" s="3"/>
      <c r="FK935" s="3"/>
      <c r="FL935" s="3"/>
      <c r="FM935" s="3"/>
      <c r="FN935" s="3"/>
      <c r="FO935" s="3"/>
      <c r="FP935" s="3"/>
      <c r="FQ935" s="3"/>
      <c r="FR935" s="3"/>
      <c r="FS935" s="3"/>
      <c r="FT935" s="3"/>
      <c r="FU935" s="3"/>
      <c r="FV935" s="3"/>
      <c r="FW935" s="3"/>
      <c r="FX935" s="3"/>
      <c r="FY935" s="3"/>
      <c r="FZ935" s="3"/>
      <c r="GA935" s="3"/>
      <c r="GB935" s="3"/>
      <c r="GC935" s="3"/>
      <c r="GD935" s="3"/>
      <c r="GE935" s="3"/>
      <c r="GF935" s="3"/>
      <c r="GG935" s="3"/>
      <c r="GH935" s="3"/>
      <c r="GI935" s="3"/>
      <c r="GJ935" s="3"/>
      <c r="GK935" s="3"/>
      <c r="GL935" s="3"/>
      <c r="GM935" s="3"/>
      <c r="GN935" s="3"/>
      <c r="GO935" s="3"/>
      <c r="GP935" s="3"/>
      <c r="GQ935" s="3"/>
      <c r="GR935" s="3"/>
      <c r="GS935" s="3"/>
      <c r="GT935" s="3"/>
      <c r="GU935" s="3"/>
      <c r="GV935" s="3"/>
      <c r="GW935" s="3"/>
      <c r="GX935" s="3"/>
      <c r="GY935" s="3"/>
      <c r="GZ935" s="3"/>
      <c r="HA935" s="3"/>
      <c r="HB935" s="3"/>
      <c r="HC935" s="3"/>
      <c r="HD935" s="3"/>
      <c r="HE935" s="3"/>
      <c r="HF935" s="3"/>
      <c r="HG935" s="3"/>
      <c r="HH935" s="3"/>
      <c r="HI935" s="3"/>
      <c r="HJ935" s="3"/>
      <c r="HK935" s="185" t="s">
        <v>1726</v>
      </c>
      <c r="HL935" s="185" t="s">
        <v>1546</v>
      </c>
      <c r="HM935" s="127" t="s">
        <v>480</v>
      </c>
      <c r="HN935" s="127" t="s">
        <v>480</v>
      </c>
      <c r="HO935" s="127" t="s">
        <v>480</v>
      </c>
      <c r="HP935" s="127" t="s">
        <v>480</v>
      </c>
      <c r="HQ935" s="185"/>
      <c r="HR935" s="185"/>
      <c r="HS935" s="206"/>
      <c r="HT935" s="185"/>
      <c r="HU935" s="185"/>
      <c r="HV935" s="185"/>
      <c r="HW935" s="185"/>
      <c r="HX935" s="215"/>
      <c r="HY935" s="185"/>
      <c r="HZ935" s="185"/>
      <c r="IA935" s="185"/>
      <c r="IB935" s="185"/>
      <c r="IC935" s="185"/>
      <c r="ID935" s="185"/>
      <c r="IE935" s="185"/>
      <c r="IF935" s="185"/>
      <c r="IG935" s="185"/>
      <c r="IH935" s="185" t="s">
        <v>1712</v>
      </c>
      <c r="II935" s="75" t="s">
        <v>929</v>
      </c>
      <c r="IJ935" s="148" t="s">
        <v>542</v>
      </c>
      <c r="IK935" s="210" t="s">
        <v>1715</v>
      </c>
      <c r="IL935" s="185">
        <v>2020</v>
      </c>
      <c r="IM935" s="185"/>
      <c r="IN935" s="185" t="s">
        <v>1716</v>
      </c>
      <c r="IO935" s="185"/>
      <c r="IP935" s="185"/>
      <c r="IQ935" s="185"/>
      <c r="IR935" s="185"/>
      <c r="IS935" s="185"/>
      <c r="IT935" s="185"/>
      <c r="IU935" s="185"/>
      <c r="IV935" s="185"/>
      <c r="IW935" s="185"/>
      <c r="IX935" s="2"/>
      <c r="IY935" s="2"/>
      <c r="IZ935" s="2"/>
      <c r="JA935" s="2"/>
      <c r="JB935" s="2"/>
      <c r="JC935" s="2"/>
      <c r="JD935" s="2"/>
      <c r="JE935" s="2"/>
      <c r="JF935" s="2"/>
      <c r="JG935" s="2"/>
      <c r="JH935" s="2"/>
      <c r="JI935" s="2"/>
      <c r="JJ935" s="2" t="s">
        <v>1727</v>
      </c>
      <c r="JK935" s="2" t="s">
        <v>682</v>
      </c>
      <c r="JL935" s="151"/>
      <c r="JM935" s="140"/>
      <c r="JN935" s="206"/>
      <c r="JO935" s="185"/>
      <c r="JP935" s="206"/>
      <c r="JQ935" s="185"/>
      <c r="JR935" s="185"/>
      <c r="JS935" s="185"/>
      <c r="JT935" s="185"/>
      <c r="JU935" s="185"/>
      <c r="JV935" s="140"/>
      <c r="JW935" s="140"/>
      <c r="JX935" s="206"/>
      <c r="JY935" s="185"/>
      <c r="JZ935" s="206"/>
      <c r="KA935" s="185"/>
      <c r="KB935" s="185"/>
      <c r="KC935" s="185"/>
      <c r="KD935" s="206"/>
      <c r="KE935" s="206"/>
      <c r="KF935" s="148"/>
      <c r="KG935" s="216"/>
      <c r="KH935" s="185"/>
      <c r="KI935" s="185"/>
      <c r="KJ935" s="185"/>
      <c r="KK935" s="185"/>
      <c r="KL935" s="206"/>
      <c r="KM935" s="185"/>
      <c r="KN935" s="148"/>
      <c r="KO935" s="216"/>
      <c r="KP935" s="185"/>
      <c r="KQ935" s="185"/>
      <c r="KR935" s="148"/>
      <c r="KS935" s="216"/>
      <c r="KT935" s="185"/>
      <c r="KU935" s="185"/>
      <c r="KV935" s="185"/>
      <c r="KW935" s="3"/>
      <c r="KX935" s="3"/>
      <c r="KY935" s="3"/>
      <c r="KZ935" s="3"/>
      <c r="LA935" s="206"/>
      <c r="LB935" s="206"/>
      <c r="LC935" s="206"/>
      <c r="LD935" s="206"/>
      <c r="LE935" s="206"/>
      <c r="LF935" s="206"/>
      <c r="LG935" s="206"/>
      <c r="LH935" s="206"/>
      <c r="LI935" s="206"/>
      <c r="LJ935" s="206"/>
      <c r="LK935" s="206"/>
      <c r="LL935" s="206"/>
      <c r="LM935" s="206"/>
      <c r="LN935" s="185"/>
      <c r="LO935" s="185"/>
      <c r="LP935" s="185"/>
      <c r="LQ935" s="185"/>
      <c r="LR935" s="185"/>
      <c r="LS935" s="185"/>
      <c r="LT935" s="185"/>
      <c r="LU935" s="185"/>
      <c r="LW935" s="2"/>
      <c r="LX935" s="2"/>
      <c r="LY935" s="2"/>
      <c r="LZ935" s="2"/>
      <c r="MA935" s="2"/>
      <c r="ME935" s="2"/>
      <c r="MF935" s="185"/>
      <c r="MG935" s="185"/>
      <c r="MH935" s="185"/>
      <c r="MI935" s="2"/>
      <c r="MJ935" s="2"/>
      <c r="MK935" s="2"/>
      <c r="ML935" s="2"/>
      <c r="MM935" s="2"/>
      <c r="MN935" s="2"/>
      <c r="MO935" s="2"/>
      <c r="MP935" s="2"/>
      <c r="MQ935" s="185"/>
      <c r="MR935" s="185"/>
      <c r="MS935" s="185"/>
      <c r="MT935" s="185"/>
      <c r="MU935" s="185"/>
      <c r="MV935" s="185"/>
      <c r="MW935" s="185"/>
      <c r="MX935" s="185"/>
      <c r="MY935" s="211" t="s">
        <v>1710</v>
      </c>
      <c r="MZ935" s="212">
        <v>16.25</v>
      </c>
      <c r="NI935" s="185"/>
      <c r="NJ935" s="185" t="s">
        <v>1728</v>
      </c>
      <c r="NK935" s="185" t="s">
        <v>1729</v>
      </c>
      <c r="NL935" s="185" t="s">
        <v>1730</v>
      </c>
      <c r="NM935" s="213" t="s">
        <v>1731</v>
      </c>
      <c r="NN935" s="185">
        <v>0</v>
      </c>
      <c r="NO935" s="185">
        <v>20</v>
      </c>
      <c r="NP935" s="185"/>
      <c r="NQ935" s="185"/>
      <c r="NR935" s="185"/>
      <c r="NS935" s="185"/>
      <c r="NT935" s="185"/>
      <c r="NU935" s="185"/>
      <c r="NV935" s="185" t="s">
        <v>518</v>
      </c>
      <c r="NW935" s="185">
        <v>52.68</v>
      </c>
      <c r="NX935" s="185" t="s">
        <v>480</v>
      </c>
      <c r="NY935" s="147"/>
      <c r="NZ935" s="147"/>
      <c r="OA935" s="133"/>
      <c r="OB935" s="185">
        <v>3</v>
      </c>
      <c r="OC935" s="185"/>
      <c r="OD935" s="185"/>
      <c r="OE935" s="185"/>
      <c r="OF935" s="185"/>
      <c r="OG935" s="185"/>
      <c r="OH935" s="185"/>
      <c r="OI935" s="185"/>
      <c r="OJ935" s="185"/>
      <c r="OK935" s="185"/>
      <c r="OL935" s="185"/>
      <c r="OM935" s="185"/>
      <c r="ON935" s="185"/>
      <c r="OO935" s="185"/>
      <c r="OP935" s="185"/>
      <c r="OQ935" s="185"/>
      <c r="OR935" s="185"/>
      <c r="OS935" s="185"/>
      <c r="OT935" s="185"/>
      <c r="OU935" t="s">
        <v>1733</v>
      </c>
      <c r="OV935" s="185" t="s">
        <v>518</v>
      </c>
      <c r="OX935">
        <v>2020</v>
      </c>
      <c r="OY935">
        <v>2021</v>
      </c>
      <c r="PB935" t="s">
        <v>522</v>
      </c>
      <c r="PC935" s="50">
        <v>46148</v>
      </c>
    </row>
    <row r="936" spans="1:419" ht="17.25" thickBot="1">
      <c r="A936" s="205" t="s">
        <v>861</v>
      </c>
      <c r="B936" s="2" t="s">
        <v>1700</v>
      </c>
      <c r="C936" s="2" t="s">
        <v>1387</v>
      </c>
      <c r="D936" s="88" t="s">
        <v>668</v>
      </c>
      <c r="E936" s="2" t="s">
        <v>1701</v>
      </c>
      <c r="F936" s="88" t="s">
        <v>1702</v>
      </c>
      <c r="G936" s="2" t="s">
        <v>475</v>
      </c>
      <c r="H936" s="2" t="s">
        <v>476</v>
      </c>
      <c r="I936" s="88">
        <v>-11.474220000000001</v>
      </c>
      <c r="J936" s="88" t="s">
        <v>1703</v>
      </c>
      <c r="K936" s="88">
        <v>1000</v>
      </c>
      <c r="L936" s="2"/>
      <c r="M936" s="88"/>
      <c r="N936" s="2"/>
      <c r="O936" s="2"/>
      <c r="P936" s="2"/>
      <c r="Q936" s="2"/>
      <c r="R936" s="2"/>
      <c r="S936" s="2"/>
      <c r="T936" s="2"/>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c r="AV936" s="2" t="s">
        <v>1704</v>
      </c>
      <c r="AW936" s="2">
        <v>28</v>
      </c>
      <c r="AX936" s="2" t="s">
        <v>480</v>
      </c>
      <c r="AY936" s="2">
        <v>2</v>
      </c>
      <c r="AZ936" s="185" t="s">
        <v>1705</v>
      </c>
      <c r="BA936" s="185">
        <v>2020</v>
      </c>
      <c r="BB936" s="185">
        <v>2022</v>
      </c>
      <c r="BC936" s="185"/>
      <c r="BD936" s="185" t="s">
        <v>1745</v>
      </c>
      <c r="BE936" s="185" t="s">
        <v>1746</v>
      </c>
      <c r="BF936" s="185" t="s">
        <v>484</v>
      </c>
      <c r="BG936" s="185" t="s">
        <v>485</v>
      </c>
      <c r="BH936" s="185" t="s">
        <v>1719</v>
      </c>
      <c r="BI936" s="206" t="s">
        <v>1709</v>
      </c>
      <c r="BJ936" s="207">
        <v>4.4000000000000004</v>
      </c>
      <c r="BK936" s="185"/>
      <c r="BL936" s="185"/>
      <c r="BM936" s="185"/>
      <c r="BN936" s="185"/>
      <c r="BO936" s="185"/>
      <c r="BP936" s="185"/>
      <c r="BQ936" s="185"/>
      <c r="BR936" s="185"/>
      <c r="BS936" s="185"/>
      <c r="BT936" s="185"/>
      <c r="BU936" s="185"/>
      <c r="BV936" s="3"/>
      <c r="BW936" s="3"/>
      <c r="BX936" s="3"/>
      <c r="BY936" s="3"/>
      <c r="BZ936" s="3"/>
      <c r="CA936" s="3"/>
      <c r="CB936" s="3"/>
      <c r="CC936" s="3"/>
      <c r="CD936" s="3"/>
      <c r="CE936" s="3"/>
      <c r="CF936" s="3"/>
      <c r="CG936" s="3"/>
      <c r="CH936" s="3"/>
      <c r="CI936" s="3"/>
      <c r="CJ936" s="3"/>
      <c r="CK936" s="3"/>
      <c r="CL936" s="3"/>
      <c r="CM936" s="3"/>
      <c r="CN936" s="3"/>
      <c r="CO936" s="3"/>
      <c r="CP936" s="3"/>
      <c r="CQ936" s="3"/>
      <c r="CR936" s="3"/>
      <c r="CS936" s="3"/>
      <c r="CT936" s="3"/>
      <c r="CU936" s="3"/>
      <c r="CV936" s="3"/>
      <c r="CW936" s="3"/>
      <c r="CX936" s="3"/>
      <c r="CY936" s="3"/>
      <c r="CZ936" s="3"/>
      <c r="DA936" s="3"/>
      <c r="DB936" s="3"/>
      <c r="DC936" s="3"/>
      <c r="DD936" s="3"/>
      <c r="DE936" s="3"/>
      <c r="DF936" s="3"/>
      <c r="DG936" s="3"/>
      <c r="DH936" s="3"/>
      <c r="DI936" s="3"/>
      <c r="DJ936" s="3"/>
      <c r="DK936" s="3"/>
      <c r="DL936" s="3"/>
      <c r="DM936" s="3"/>
      <c r="DN936" s="3"/>
      <c r="DO936" s="3"/>
      <c r="DP936" s="3"/>
      <c r="DQ936" s="3"/>
      <c r="DR936" s="3"/>
      <c r="DS936" s="3"/>
      <c r="DT936" s="3"/>
      <c r="DU936" s="3"/>
      <c r="DV936" s="3"/>
      <c r="DW936" s="3"/>
      <c r="DX936" s="3"/>
      <c r="DY936" s="3"/>
      <c r="DZ936" s="3"/>
      <c r="EA936" s="3"/>
      <c r="EB936" s="3"/>
      <c r="EC936" s="3"/>
      <c r="ED936" s="2"/>
      <c r="EE936" s="185"/>
      <c r="EF936" s="185"/>
      <c r="EG936" s="185"/>
      <c r="EH936" s="185"/>
      <c r="EI936" s="185"/>
      <c r="EJ936" s="185"/>
      <c r="EK936" s="185"/>
      <c r="EL936" s="3"/>
      <c r="EM936" s="3"/>
      <c r="EN936" s="3"/>
      <c r="EO936" s="3"/>
      <c r="EP936" s="3"/>
      <c r="EQ936" s="3"/>
      <c r="ER936" s="3"/>
      <c r="ES936" s="3"/>
      <c r="ET936" s="3"/>
      <c r="EU936" s="3"/>
      <c r="EV936" s="3"/>
      <c r="EW936" s="3"/>
      <c r="EX936" s="3"/>
      <c r="EY936" s="3"/>
      <c r="EZ936" s="3"/>
      <c r="FA936" s="3"/>
      <c r="FB936" s="3"/>
      <c r="FC936" s="3"/>
      <c r="FD936" s="3"/>
      <c r="FE936" s="3"/>
      <c r="FF936" s="3"/>
      <c r="FG936" s="3"/>
      <c r="FH936" s="3"/>
      <c r="FI936" s="3"/>
      <c r="FJ936" s="3"/>
      <c r="FK936" s="3"/>
      <c r="FL936" s="3"/>
      <c r="FM936" s="3"/>
      <c r="FN936" s="3"/>
      <c r="FO936" s="3"/>
      <c r="FP936" s="3"/>
      <c r="FQ936" s="3"/>
      <c r="FR936" s="3"/>
      <c r="FS936" s="3"/>
      <c r="FT936" s="3"/>
      <c r="FU936" s="3"/>
      <c r="FV936" s="3"/>
      <c r="FW936" s="3"/>
      <c r="FX936" s="3"/>
      <c r="FY936" s="3"/>
      <c r="FZ936" s="3"/>
      <c r="GA936" s="3"/>
      <c r="GB936" s="3"/>
      <c r="GC936" s="3"/>
      <c r="GD936" s="3"/>
      <c r="GE936" s="3"/>
      <c r="GF936" s="3"/>
      <c r="GG936" s="3"/>
      <c r="GH936" s="3"/>
      <c r="GI936" s="3"/>
      <c r="GJ936" s="3"/>
      <c r="GK936" s="3"/>
      <c r="GL936" s="3"/>
      <c r="GM936" s="3"/>
      <c r="GN936" s="3"/>
      <c r="GO936" s="3"/>
      <c r="GP936" s="3"/>
      <c r="GQ936" s="3"/>
      <c r="GR936" s="3"/>
      <c r="GS936" s="3"/>
      <c r="GT936" s="3"/>
      <c r="GU936" s="3"/>
      <c r="GV936" s="3"/>
      <c r="GW936" s="3"/>
      <c r="GX936" s="3"/>
      <c r="GY936" s="3"/>
      <c r="GZ936" s="3"/>
      <c r="HA936" s="3"/>
      <c r="HB936" s="3"/>
      <c r="HC936" s="3"/>
      <c r="HD936" s="3"/>
      <c r="HE936" s="3"/>
      <c r="HF936" s="3"/>
      <c r="HG936" s="3"/>
      <c r="HH936" s="3"/>
      <c r="HI936" s="3"/>
      <c r="HJ936" s="3"/>
      <c r="HK936" s="185" t="s">
        <v>1747</v>
      </c>
      <c r="HL936" s="185" t="s">
        <v>526</v>
      </c>
      <c r="HM936" s="127" t="s">
        <v>480</v>
      </c>
      <c r="HN936" s="127" t="s">
        <v>480</v>
      </c>
      <c r="HO936" s="185" t="s">
        <v>480</v>
      </c>
      <c r="HP936" s="127" t="s">
        <v>480</v>
      </c>
      <c r="HQ936" s="185"/>
      <c r="HR936" s="185"/>
      <c r="HS936" s="206"/>
      <c r="HT936" s="185"/>
      <c r="HU936" s="185"/>
      <c r="HV936" s="185"/>
      <c r="HW936" s="185"/>
      <c r="HX936" s="215"/>
      <c r="HY936" s="185"/>
      <c r="HZ936" s="185"/>
      <c r="IA936" s="185"/>
      <c r="IB936" s="185"/>
      <c r="IC936" s="185"/>
      <c r="ID936" s="185"/>
      <c r="IE936" s="185"/>
      <c r="IF936" s="185"/>
      <c r="IG936" s="185"/>
      <c r="IH936" s="185" t="s">
        <v>1723</v>
      </c>
      <c r="II936" s="148" t="s">
        <v>492</v>
      </c>
      <c r="IJ936" s="148"/>
      <c r="IK936" s="210"/>
      <c r="IL936" s="185"/>
      <c r="IM936" s="185"/>
      <c r="IN936" s="185"/>
      <c r="IO936" s="185"/>
      <c r="IP936" s="185"/>
      <c r="IQ936" s="185"/>
      <c r="IR936" s="185"/>
      <c r="IS936" s="185"/>
      <c r="IT936" s="185"/>
      <c r="IU936" s="185"/>
      <c r="IV936" s="185"/>
      <c r="IW936" s="185"/>
      <c r="IX936" s="2"/>
      <c r="IY936" s="2"/>
      <c r="IZ936" s="2"/>
      <c r="JA936" s="2"/>
      <c r="JB936" s="2"/>
      <c r="JC936" s="2"/>
      <c r="JD936" s="2"/>
      <c r="JE936" s="2"/>
      <c r="JF936" s="2"/>
      <c r="JG936" s="2"/>
      <c r="JH936" s="2"/>
      <c r="JI936" s="2"/>
      <c r="JJ936" s="2" t="s">
        <v>1727</v>
      </c>
      <c r="JK936" s="2" t="s">
        <v>682</v>
      </c>
      <c r="JL936" s="151"/>
      <c r="JM936" s="140"/>
      <c r="JN936" s="206"/>
      <c r="JO936" s="185"/>
      <c r="JP936" s="206"/>
      <c r="JQ936" s="185"/>
      <c r="JR936" s="185"/>
      <c r="JS936" s="185"/>
      <c r="JT936" s="185"/>
      <c r="JU936" s="185"/>
      <c r="JV936" s="140"/>
      <c r="JW936" s="140"/>
      <c r="JX936" s="206"/>
      <c r="JY936" s="185"/>
      <c r="JZ936" s="206"/>
      <c r="KA936" s="185"/>
      <c r="KB936" s="185"/>
      <c r="KC936" s="185"/>
      <c r="KD936" s="206"/>
      <c r="KE936" s="206"/>
      <c r="KF936" s="148"/>
      <c r="KG936" s="216"/>
      <c r="KH936" s="185"/>
      <c r="KI936" s="185"/>
      <c r="KJ936" s="185"/>
      <c r="KK936" s="185"/>
      <c r="KL936" s="206"/>
      <c r="KM936" s="185"/>
      <c r="KN936" s="148"/>
      <c r="KO936" s="216"/>
      <c r="KP936" s="185"/>
      <c r="KQ936" s="185"/>
      <c r="KR936" s="148"/>
      <c r="KS936" s="216"/>
      <c r="KT936" s="185"/>
      <c r="KU936" s="185"/>
      <c r="KV936" s="185"/>
      <c r="KW936" s="3"/>
      <c r="KX936" s="3"/>
      <c r="KY936" s="3"/>
      <c r="KZ936" s="3"/>
      <c r="LA936" s="206"/>
      <c r="LB936" s="206"/>
      <c r="LC936" s="206"/>
      <c r="LD936" s="206"/>
      <c r="LE936" s="206"/>
      <c r="LF936" s="206"/>
      <c r="LG936" s="206"/>
      <c r="LH936" s="206"/>
      <c r="LI936" s="206"/>
      <c r="LJ936" s="206"/>
      <c r="LK936" s="206"/>
      <c r="LL936" s="206"/>
      <c r="LM936" s="206"/>
      <c r="LN936" s="185"/>
      <c r="LO936" s="185"/>
      <c r="LP936" s="185"/>
      <c r="LQ936" s="185"/>
      <c r="LR936" s="185"/>
      <c r="LS936" s="185"/>
      <c r="LT936" s="185"/>
      <c r="LU936" s="185"/>
      <c r="LW936" s="2"/>
      <c r="LX936" s="2"/>
      <c r="LY936" s="2"/>
      <c r="LZ936" s="2"/>
      <c r="MA936" s="2"/>
      <c r="ME936" s="2"/>
      <c r="MF936" s="185"/>
      <c r="MG936" s="185"/>
      <c r="MH936" s="185"/>
      <c r="MI936" s="2"/>
      <c r="MJ936" s="2"/>
      <c r="MK936" s="2"/>
      <c r="ML936" s="2"/>
      <c r="MM936" s="2"/>
      <c r="MN936" s="2"/>
      <c r="MO936" s="2"/>
      <c r="MP936" s="2"/>
      <c r="MQ936" s="185"/>
      <c r="MR936" s="185"/>
      <c r="MS936" s="185"/>
      <c r="MT936" s="185"/>
      <c r="MU936" s="185"/>
      <c r="MV936" s="185"/>
      <c r="MW936" s="185"/>
      <c r="MX936" s="185"/>
      <c r="MY936" s="211" t="s">
        <v>1710</v>
      </c>
      <c r="MZ936" s="212">
        <v>16.25</v>
      </c>
      <c r="NI936" s="185"/>
      <c r="NJ936" s="185" t="s">
        <v>1728</v>
      </c>
      <c r="NK936" s="185" t="s">
        <v>1729</v>
      </c>
      <c r="NL936" s="185" t="s">
        <v>1730</v>
      </c>
      <c r="NM936" s="213" t="s">
        <v>1731</v>
      </c>
      <c r="NN936" s="185">
        <v>0</v>
      </c>
      <c r="NO936" s="185">
        <v>20</v>
      </c>
      <c r="NP936" s="185"/>
      <c r="NQ936" s="185"/>
      <c r="NR936" s="185"/>
      <c r="NS936" s="185"/>
      <c r="NT936" s="185"/>
      <c r="NU936" s="185" t="s">
        <v>1748</v>
      </c>
      <c r="NV936" s="185" t="s">
        <v>518</v>
      </c>
      <c r="NW936" s="185">
        <v>25.770000000000003</v>
      </c>
      <c r="NX936" s="185" t="s">
        <v>480</v>
      </c>
      <c r="NY936" s="147"/>
      <c r="NZ936" s="147"/>
      <c r="OA936" s="133"/>
      <c r="OB936" s="185">
        <v>3</v>
      </c>
      <c r="OD936" s="185"/>
      <c r="OF936" s="185"/>
      <c r="OG936" s="185"/>
      <c r="OH936" s="185"/>
      <c r="OI936" s="185"/>
      <c r="OJ936" s="185"/>
      <c r="OK936" s="185"/>
      <c r="OL936" s="185"/>
      <c r="OM936" s="185"/>
      <c r="ON936" s="185"/>
      <c r="OO936" s="185"/>
      <c r="OP936" s="185"/>
      <c r="OQ936" s="185"/>
      <c r="OR936" s="185"/>
      <c r="OS936" s="185"/>
      <c r="OT936" s="185"/>
      <c r="OU936" t="s">
        <v>1733</v>
      </c>
      <c r="OV936" s="185" t="s">
        <v>518</v>
      </c>
      <c r="OX936">
        <v>2020</v>
      </c>
      <c r="OY936">
        <v>2021</v>
      </c>
      <c r="PB936" t="s">
        <v>522</v>
      </c>
      <c r="PC936" s="50">
        <v>46148</v>
      </c>
    </row>
    <row r="937" spans="1:419" ht="17.25" thickBot="1">
      <c r="A937" s="205" t="s">
        <v>861</v>
      </c>
      <c r="B937" s="2" t="s">
        <v>1700</v>
      </c>
      <c r="C937" s="2" t="s">
        <v>1387</v>
      </c>
      <c r="D937" s="88" t="s">
        <v>668</v>
      </c>
      <c r="E937" s="2" t="s">
        <v>1701</v>
      </c>
      <c r="F937" s="88" t="s">
        <v>1702</v>
      </c>
      <c r="G937" s="2" t="s">
        <v>475</v>
      </c>
      <c r="H937" s="2" t="s">
        <v>476</v>
      </c>
      <c r="I937" s="88">
        <v>-11.474220000000001</v>
      </c>
      <c r="J937" s="88" t="s">
        <v>1703</v>
      </c>
      <c r="K937" s="88">
        <v>1000</v>
      </c>
      <c r="L937" s="2"/>
      <c r="M937" s="88"/>
      <c r="N937" s="2"/>
      <c r="O937" s="2"/>
      <c r="P937" s="2"/>
      <c r="Q937" s="2"/>
      <c r="R937" s="2"/>
      <c r="S937" s="2"/>
      <c r="T937" s="2"/>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c r="AV937" s="2" t="s">
        <v>1704</v>
      </c>
      <c r="AW937" s="2">
        <v>28</v>
      </c>
      <c r="AX937" s="2" t="s">
        <v>480</v>
      </c>
      <c r="AY937" s="2">
        <v>2</v>
      </c>
      <c r="AZ937" s="185" t="s">
        <v>1705</v>
      </c>
      <c r="BA937" s="185">
        <v>2020</v>
      </c>
      <c r="BB937" s="185">
        <v>2022</v>
      </c>
      <c r="BC937" s="185"/>
      <c r="BD937" s="185" t="s">
        <v>1749</v>
      </c>
      <c r="BE937" s="185" t="s">
        <v>1750</v>
      </c>
      <c r="BF937" s="185" t="s">
        <v>484</v>
      </c>
      <c r="BG937" s="185" t="s">
        <v>485</v>
      </c>
      <c r="BH937" s="185" t="s">
        <v>1719</v>
      </c>
      <c r="BI937" s="206" t="s">
        <v>1709</v>
      </c>
      <c r="BJ937" s="207">
        <v>4.4000000000000004</v>
      </c>
      <c r="BK937" s="185"/>
      <c r="BL937" s="185"/>
      <c r="BM937" s="185"/>
      <c r="BN937" s="185"/>
      <c r="BO937" s="185"/>
      <c r="BP937" s="185"/>
      <c r="BQ937" s="185"/>
      <c r="BR937" s="185"/>
      <c r="BS937" s="185"/>
      <c r="BT937" s="185"/>
      <c r="BU937" s="185"/>
      <c r="BV937" s="3"/>
      <c r="BW937" s="3"/>
      <c r="BX937" s="3"/>
      <c r="BY937" s="3"/>
      <c r="BZ937" s="3"/>
      <c r="CA937" s="3"/>
      <c r="CB937" s="3"/>
      <c r="CC937" s="3"/>
      <c r="CD937" s="3"/>
      <c r="CE937" s="3"/>
      <c r="CF937" s="3"/>
      <c r="CG937" s="3"/>
      <c r="CH937" s="3"/>
      <c r="CI937" s="3"/>
      <c r="CJ937" s="3"/>
      <c r="CK937" s="3"/>
      <c r="CL937" s="3"/>
      <c r="CM937" s="3"/>
      <c r="CN937" s="3"/>
      <c r="CO937" s="3"/>
      <c r="CP937" s="3"/>
      <c r="CQ937" s="3"/>
      <c r="CR937" s="3"/>
      <c r="CS937" s="3"/>
      <c r="CT937" s="3"/>
      <c r="CU937" s="3"/>
      <c r="CV937" s="3"/>
      <c r="CW937" s="3"/>
      <c r="CX937" s="3"/>
      <c r="CY937" s="3"/>
      <c r="CZ937" s="3"/>
      <c r="DA937" s="3"/>
      <c r="DB937" s="3"/>
      <c r="DC937" s="3"/>
      <c r="DD937" s="3"/>
      <c r="DE937" s="3"/>
      <c r="DF937" s="3"/>
      <c r="DG937" s="3"/>
      <c r="DH937" s="3"/>
      <c r="DI937" s="3"/>
      <c r="DJ937" s="3"/>
      <c r="DK937" s="3"/>
      <c r="DL937" s="3"/>
      <c r="DM937" s="3"/>
      <c r="DN937" s="3"/>
      <c r="DO937" s="3"/>
      <c r="DP937" s="3"/>
      <c r="DQ937" s="3"/>
      <c r="DR937" s="3"/>
      <c r="DS937" s="3"/>
      <c r="DT937" s="3"/>
      <c r="DU937" s="3"/>
      <c r="DV937" s="3"/>
      <c r="DW937" s="3"/>
      <c r="DX937" s="3"/>
      <c r="DY937" s="3"/>
      <c r="DZ937" s="3"/>
      <c r="EA937" s="3"/>
      <c r="EB937" s="3"/>
      <c r="EC937" s="3"/>
      <c r="ED937" s="2"/>
      <c r="EE937" s="185"/>
      <c r="EF937" s="185"/>
      <c r="EG937" s="185"/>
      <c r="EH937" s="185"/>
      <c r="EI937" s="185"/>
      <c r="EJ937" s="185"/>
      <c r="EK937" s="185"/>
      <c r="EL937" s="3"/>
      <c r="EM937" s="3"/>
      <c r="EN937" s="3"/>
      <c r="EO937" s="3"/>
      <c r="EP937" s="3"/>
      <c r="EQ937" s="3"/>
      <c r="ER937" s="3"/>
      <c r="ES937" s="3"/>
      <c r="ET937" s="3"/>
      <c r="EU937" s="3"/>
      <c r="EV937" s="3"/>
      <c r="EW937" s="3"/>
      <c r="EX937" s="3"/>
      <c r="EY937" s="3"/>
      <c r="EZ937" s="3"/>
      <c r="FA937" s="3"/>
      <c r="FB937" s="3"/>
      <c r="FC937" s="3"/>
      <c r="FD937" s="3"/>
      <c r="FE937" s="3"/>
      <c r="FF937" s="3"/>
      <c r="FG937" s="3"/>
      <c r="FH937" s="3"/>
      <c r="FI937" s="3"/>
      <c r="FJ937" s="3"/>
      <c r="FK937" s="3"/>
      <c r="FL937" s="3"/>
      <c r="FM937" s="3"/>
      <c r="FN937" s="3"/>
      <c r="FO937" s="3"/>
      <c r="FP937" s="3"/>
      <c r="FQ937" s="3"/>
      <c r="FR937" s="3"/>
      <c r="FS937" s="3"/>
      <c r="FT937" s="3"/>
      <c r="FU937" s="3"/>
      <c r="FV937" s="3"/>
      <c r="FW937" s="3"/>
      <c r="FX937" s="3"/>
      <c r="FY937" s="3"/>
      <c r="FZ937" s="3"/>
      <c r="GA937" s="3"/>
      <c r="GB937" s="3"/>
      <c r="GC937" s="3"/>
      <c r="GD937" s="3"/>
      <c r="GE937" s="3"/>
      <c r="GF937" s="3"/>
      <c r="GG937" s="3"/>
      <c r="GH937" s="3"/>
      <c r="GI937" s="3"/>
      <c r="GJ937" s="3"/>
      <c r="GK937" s="3"/>
      <c r="GL937" s="3"/>
      <c r="GM937" s="3"/>
      <c r="GN937" s="3"/>
      <c r="GO937" s="3"/>
      <c r="GP937" s="3"/>
      <c r="GQ937" s="3"/>
      <c r="GR937" s="3"/>
      <c r="GS937" s="3"/>
      <c r="GT937" s="3"/>
      <c r="GU937" s="3"/>
      <c r="GV937" s="3"/>
      <c r="GW937" s="3"/>
      <c r="GX937" s="3"/>
      <c r="GY937" s="3"/>
      <c r="GZ937" s="3"/>
      <c r="HA937" s="3"/>
      <c r="HB937" s="3"/>
      <c r="HC937" s="3"/>
      <c r="HD937" s="3"/>
      <c r="HE937" s="3"/>
      <c r="HF937" s="3"/>
      <c r="HG937" s="3"/>
      <c r="HH937" s="3"/>
      <c r="HI937" s="3"/>
      <c r="HJ937" s="3"/>
      <c r="HK937" s="185" t="s">
        <v>1747</v>
      </c>
      <c r="HL937" s="185" t="s">
        <v>526</v>
      </c>
      <c r="HM937" s="127" t="s">
        <v>480</v>
      </c>
      <c r="HN937" s="127" t="s">
        <v>480</v>
      </c>
      <c r="HO937" s="185" t="s">
        <v>480</v>
      </c>
      <c r="HP937" s="127" t="s">
        <v>480</v>
      </c>
      <c r="HQ937" s="185"/>
      <c r="HR937" s="185"/>
      <c r="HS937" s="206"/>
      <c r="HT937" s="185"/>
      <c r="HU937" s="185"/>
      <c r="HV937" s="185"/>
      <c r="HW937" s="185"/>
      <c r="HX937" s="215"/>
      <c r="HY937" s="185"/>
      <c r="HZ937" s="185"/>
      <c r="IA937" s="185"/>
      <c r="IB937" s="185"/>
      <c r="IC937" s="185"/>
      <c r="ID937" s="185"/>
      <c r="IE937" s="185"/>
      <c r="IF937" s="185"/>
      <c r="IG937" s="185"/>
      <c r="IH937" s="185"/>
      <c r="II937" s="148"/>
      <c r="IJ937" s="148"/>
      <c r="IK937" s="210"/>
      <c r="IL937" s="185"/>
      <c r="IM937" s="185"/>
      <c r="IN937" s="185"/>
      <c r="IO937" s="185"/>
      <c r="IP937" s="185"/>
      <c r="IQ937" s="185"/>
      <c r="IR937" s="185"/>
      <c r="IS937" s="185"/>
      <c r="IT937" s="185"/>
      <c r="IU937" s="185"/>
      <c r="IV937" s="185"/>
      <c r="IW937" s="185"/>
      <c r="IX937" s="2"/>
      <c r="IY937" s="2"/>
      <c r="IZ937" s="2"/>
      <c r="JA937" s="2"/>
      <c r="JB937" s="2"/>
      <c r="JC937" s="2"/>
      <c r="JD937" s="2"/>
      <c r="JE937" s="2"/>
      <c r="JF937" s="2"/>
      <c r="JG937" s="2"/>
      <c r="JH937" s="2"/>
      <c r="JI937" s="2"/>
      <c r="JJ937" s="2" t="s">
        <v>1736</v>
      </c>
      <c r="JK937" s="2" t="s">
        <v>494</v>
      </c>
      <c r="JL937" s="151" t="s">
        <v>495</v>
      </c>
      <c r="JM937" s="140"/>
      <c r="JN937" s="206"/>
      <c r="JO937" s="185"/>
      <c r="JP937" s="206" t="s">
        <v>508</v>
      </c>
      <c r="JQ937" s="185">
        <v>90</v>
      </c>
      <c r="JR937" s="185"/>
      <c r="JS937" s="185"/>
      <c r="JT937" s="185"/>
      <c r="JU937" s="185"/>
      <c r="JV937" s="140"/>
      <c r="JW937" s="140"/>
      <c r="JX937" s="206"/>
      <c r="JY937" s="185"/>
      <c r="JZ937" s="206"/>
      <c r="KA937" s="185"/>
      <c r="KB937" s="185"/>
      <c r="KC937" s="185"/>
      <c r="KD937" s="206"/>
      <c r="KE937" s="206"/>
      <c r="KF937" s="148"/>
      <c r="KG937" s="216"/>
      <c r="KH937" s="185"/>
      <c r="KI937" s="185"/>
      <c r="KJ937" s="185"/>
      <c r="KK937" s="185"/>
      <c r="KL937" s="206"/>
      <c r="KM937" s="185"/>
      <c r="KN937" s="148"/>
      <c r="KO937" s="216"/>
      <c r="KP937" s="185"/>
      <c r="KQ937" s="185"/>
      <c r="KR937" s="148"/>
      <c r="KS937" s="216"/>
      <c r="KT937" s="185"/>
      <c r="KU937" s="185"/>
      <c r="KV937" s="185"/>
      <c r="KW937" s="3"/>
      <c r="KX937" s="3"/>
      <c r="KY937" s="3"/>
      <c r="KZ937" s="3"/>
      <c r="LA937" s="206"/>
      <c r="LB937" s="206"/>
      <c r="LC937" s="206"/>
      <c r="LD937" s="206"/>
      <c r="LE937" s="206"/>
      <c r="LF937" s="206"/>
      <c r="LG937" s="206"/>
      <c r="LH937" s="206"/>
      <c r="LI937" s="206"/>
      <c r="LJ937" s="206"/>
      <c r="LK937" s="206"/>
      <c r="LL937" s="206"/>
      <c r="LM937" s="206"/>
      <c r="LN937" s="185"/>
      <c r="LO937" s="185"/>
      <c r="LP937" s="185"/>
      <c r="LQ937" s="185"/>
      <c r="LR937" s="185"/>
      <c r="LS937" s="185"/>
      <c r="LT937" s="185"/>
      <c r="LU937" s="185"/>
      <c r="LW937" s="2"/>
      <c r="LX937" s="2"/>
      <c r="LY937" s="2"/>
      <c r="LZ937" s="2"/>
      <c r="MA937" s="2"/>
      <c r="ME937" s="2"/>
      <c r="MF937" s="185"/>
      <c r="MG937" s="185"/>
      <c r="MH937" s="185"/>
      <c r="MI937" s="2"/>
      <c r="MJ937" s="2"/>
      <c r="MK937" s="2"/>
      <c r="ML937" s="2"/>
      <c r="MM937" s="2"/>
      <c r="MN937" s="2"/>
      <c r="MO937" s="2"/>
      <c r="MP937" s="2"/>
      <c r="MQ937" s="185"/>
      <c r="MR937" s="185"/>
      <c r="MS937" s="185"/>
      <c r="MT937" s="185"/>
      <c r="MU937" s="185"/>
      <c r="MV937" s="185"/>
      <c r="MW937" s="185"/>
      <c r="MX937" s="185"/>
      <c r="MY937" s="217"/>
      <c r="MZ937" s="218"/>
      <c r="NI937" s="185"/>
      <c r="NJ937" s="185" t="s">
        <v>1728</v>
      </c>
      <c r="NK937" s="185" t="s">
        <v>1729</v>
      </c>
      <c r="NL937" s="185" t="s">
        <v>1730</v>
      </c>
      <c r="NM937" s="213" t="s">
        <v>1731</v>
      </c>
      <c r="NN937" s="185">
        <v>0</v>
      </c>
      <c r="NO937" s="185">
        <v>20</v>
      </c>
      <c r="NP937" s="185"/>
      <c r="NQ937" s="185"/>
      <c r="NR937" s="185"/>
      <c r="NS937" s="185"/>
      <c r="NT937" s="185"/>
      <c r="NU937" s="185" t="s">
        <v>1751</v>
      </c>
      <c r="NV937" s="185" t="s">
        <v>518</v>
      </c>
      <c r="NW937" s="185">
        <v>27.59</v>
      </c>
      <c r="NX937" s="185" t="s">
        <v>480</v>
      </c>
      <c r="NY937" s="147"/>
      <c r="NZ937" s="147"/>
      <c r="OA937" s="133"/>
      <c r="OB937" s="185">
        <v>3</v>
      </c>
      <c r="OC937" s="185"/>
      <c r="OD937" s="185"/>
      <c r="OE937" s="185"/>
      <c r="OF937" s="185"/>
      <c r="OG937" s="185"/>
      <c r="OH937" s="185"/>
      <c r="OI937" s="185"/>
      <c r="OJ937" s="185"/>
      <c r="OK937" s="185"/>
      <c r="OL937" s="185"/>
      <c r="OM937" s="185"/>
      <c r="ON937" s="185"/>
      <c r="OO937" s="185"/>
      <c r="OP937" s="185"/>
      <c r="OQ937" s="185"/>
      <c r="OR937" s="185"/>
      <c r="OS937" s="185"/>
      <c r="OT937" s="185"/>
      <c r="OU937" t="s">
        <v>1733</v>
      </c>
      <c r="OV937" s="185" t="s">
        <v>518</v>
      </c>
      <c r="OW937" s="185"/>
      <c r="OX937">
        <v>2020</v>
      </c>
      <c r="OY937">
        <v>2021</v>
      </c>
      <c r="OZ937" s="185"/>
      <c r="PA937" s="185"/>
      <c r="PB937" t="s">
        <v>522</v>
      </c>
      <c r="PC937" s="50">
        <v>46148</v>
      </c>
    </row>
    <row r="938" spans="1:419" ht="17.25" thickBot="1">
      <c r="A938" s="205" t="s">
        <v>861</v>
      </c>
      <c r="B938" s="2" t="s">
        <v>1700</v>
      </c>
      <c r="C938" s="2" t="s">
        <v>1387</v>
      </c>
      <c r="D938" s="88" t="s">
        <v>668</v>
      </c>
      <c r="E938" s="2" t="s">
        <v>1701</v>
      </c>
      <c r="F938" s="88" t="s">
        <v>1702</v>
      </c>
      <c r="G938" s="2" t="s">
        <v>475</v>
      </c>
      <c r="H938" s="2" t="s">
        <v>476</v>
      </c>
      <c r="I938" s="88">
        <v>-11.474220000000001</v>
      </c>
      <c r="J938" s="88" t="s">
        <v>1703</v>
      </c>
      <c r="K938" s="88">
        <v>1000</v>
      </c>
      <c r="L938" s="2"/>
      <c r="M938" s="88"/>
      <c r="N938" s="2"/>
      <c r="O938" s="2"/>
      <c r="P938" s="2"/>
      <c r="Q938" s="2"/>
      <c r="R938" s="2"/>
      <c r="S938" s="2"/>
      <c r="T938" s="2"/>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c r="AV938" s="2" t="s">
        <v>1704</v>
      </c>
      <c r="AW938" s="2">
        <v>28</v>
      </c>
      <c r="AX938" s="2" t="s">
        <v>480</v>
      </c>
      <c r="AY938" s="2">
        <v>2</v>
      </c>
      <c r="AZ938" s="185" t="s">
        <v>1705</v>
      </c>
      <c r="BA938" s="185">
        <v>2020</v>
      </c>
      <c r="BB938" s="185">
        <v>2022</v>
      </c>
      <c r="BC938" s="185"/>
      <c r="BD938" s="185" t="s">
        <v>1752</v>
      </c>
      <c r="BE938" s="185" t="s">
        <v>1753</v>
      </c>
      <c r="BF938" s="185" t="s">
        <v>484</v>
      </c>
      <c r="BG938" s="185" t="s">
        <v>538</v>
      </c>
      <c r="BH938" s="185" t="s">
        <v>1713</v>
      </c>
      <c r="BI938" s="206" t="s">
        <v>1709</v>
      </c>
      <c r="BJ938" s="207">
        <v>13.3</v>
      </c>
      <c r="BK938" s="185"/>
      <c r="BL938" s="185"/>
      <c r="BM938" s="185"/>
      <c r="BN938" s="185"/>
      <c r="BO938" s="185"/>
      <c r="BP938" s="185"/>
      <c r="BQ938" s="185"/>
      <c r="BR938" s="185"/>
      <c r="BS938" s="185"/>
      <c r="BT938" s="185"/>
      <c r="BU938" s="185"/>
      <c r="BV938" s="3"/>
      <c r="BW938" s="3"/>
      <c r="BX938" s="3"/>
      <c r="BY938" s="3"/>
      <c r="BZ938" s="3"/>
      <c r="CA938" s="3"/>
      <c r="CB938" s="3"/>
      <c r="CC938" s="3"/>
      <c r="CD938" s="3"/>
      <c r="CE938" s="3"/>
      <c r="CF938" s="3"/>
      <c r="CG938" s="3"/>
      <c r="CH938" s="3"/>
      <c r="CI938" s="3"/>
      <c r="CJ938" s="3"/>
      <c r="CK938" s="3"/>
      <c r="CL938" s="3"/>
      <c r="CM938" s="3"/>
      <c r="CN938" s="3"/>
      <c r="CO938" s="3"/>
      <c r="CP938" s="3"/>
      <c r="CQ938" s="3"/>
      <c r="CR938" s="3"/>
      <c r="CS938" s="3"/>
      <c r="CT938" s="3"/>
      <c r="CU938" s="3"/>
      <c r="CV938" s="3"/>
      <c r="CW938" s="3"/>
      <c r="CX938" s="3"/>
      <c r="CY938" s="3"/>
      <c r="CZ938" s="3"/>
      <c r="DA938" s="3"/>
      <c r="DB938" s="3"/>
      <c r="DC938" s="3"/>
      <c r="DD938" s="3"/>
      <c r="DE938" s="3"/>
      <c r="DF938" s="3"/>
      <c r="DG938" s="3"/>
      <c r="DH938" s="3"/>
      <c r="DI938" s="3"/>
      <c r="DJ938" s="3"/>
      <c r="DK938" s="3"/>
      <c r="DL938" s="3"/>
      <c r="DM938" s="3"/>
      <c r="DN938" s="3"/>
      <c r="DO938" s="3"/>
      <c r="DP938" s="3"/>
      <c r="DQ938" s="3"/>
      <c r="DR938" s="3"/>
      <c r="DS938" s="3"/>
      <c r="DT938" s="3"/>
      <c r="DU938" s="3"/>
      <c r="DV938" s="3"/>
      <c r="DW938" s="3"/>
      <c r="DX938" s="3"/>
      <c r="DY938" s="3"/>
      <c r="DZ938" s="3"/>
      <c r="EA938" s="3"/>
      <c r="EB938" s="3"/>
      <c r="EC938" s="3"/>
      <c r="ED938" s="2"/>
      <c r="EE938" s="185"/>
      <c r="EF938" s="185"/>
      <c r="EG938" s="185"/>
      <c r="EH938" s="185"/>
      <c r="EI938" s="185"/>
      <c r="EJ938" s="185"/>
      <c r="EK938" s="185"/>
      <c r="EL938" s="3"/>
      <c r="EM938" s="3"/>
      <c r="EN938" s="3"/>
      <c r="EO938" s="3"/>
      <c r="EP938" s="3"/>
      <c r="EQ938" s="3"/>
      <c r="ER938" s="3"/>
      <c r="ES938" s="3"/>
      <c r="ET938" s="3"/>
      <c r="EU938" s="3"/>
      <c r="EV938" s="3"/>
      <c r="EW938" s="3"/>
      <c r="EX938" s="3"/>
      <c r="EY938" s="3"/>
      <c r="EZ938" s="3"/>
      <c r="FA938" s="3"/>
      <c r="FB938" s="3"/>
      <c r="FC938" s="3"/>
      <c r="FD938" s="3"/>
      <c r="FE938" s="3"/>
      <c r="FF938" s="3"/>
      <c r="FG938" s="3"/>
      <c r="FH938" s="3"/>
      <c r="FI938" s="3"/>
      <c r="FJ938" s="3"/>
      <c r="FK938" s="3"/>
      <c r="FL938" s="3"/>
      <c r="FM938" s="3"/>
      <c r="FN938" s="3"/>
      <c r="FO938" s="3"/>
      <c r="FP938" s="3"/>
      <c r="FQ938" s="3"/>
      <c r="FR938" s="3"/>
      <c r="FS938" s="3"/>
      <c r="FT938" s="3"/>
      <c r="FU938" s="3"/>
      <c r="FV938" s="3"/>
      <c r="FW938" s="3"/>
      <c r="FX938" s="3"/>
      <c r="FY938" s="3"/>
      <c r="FZ938" s="3"/>
      <c r="GA938" s="3"/>
      <c r="GB938" s="3"/>
      <c r="GC938" s="3"/>
      <c r="GD938" s="3"/>
      <c r="GE938" s="3"/>
      <c r="GF938" s="3"/>
      <c r="GG938" s="3"/>
      <c r="GH938" s="3"/>
      <c r="GI938" s="3"/>
      <c r="GJ938" s="3"/>
      <c r="GK938" s="3"/>
      <c r="GL938" s="3"/>
      <c r="GM938" s="3"/>
      <c r="GN938" s="3"/>
      <c r="GO938" s="3"/>
      <c r="GP938" s="3"/>
      <c r="GQ938" s="3"/>
      <c r="GR938" s="3"/>
      <c r="GS938" s="3"/>
      <c r="GT938" s="3"/>
      <c r="GU938" s="3"/>
      <c r="GV938" s="3"/>
      <c r="GW938" s="3"/>
      <c r="GX938" s="3"/>
      <c r="GY938" s="3"/>
      <c r="GZ938" s="3"/>
      <c r="HA938" s="3"/>
      <c r="HB938" s="3"/>
      <c r="HC938" s="3"/>
      <c r="HD938" s="3"/>
      <c r="HE938" s="3"/>
      <c r="HF938" s="3"/>
      <c r="HG938" s="3"/>
      <c r="HH938" s="3"/>
      <c r="HI938" s="3"/>
      <c r="HJ938" s="3"/>
      <c r="HK938" s="185" t="s">
        <v>1747</v>
      </c>
      <c r="HL938" s="185" t="s">
        <v>526</v>
      </c>
      <c r="HM938" s="127" t="s">
        <v>480</v>
      </c>
      <c r="HN938" s="127" t="s">
        <v>480</v>
      </c>
      <c r="HO938" s="185" t="s">
        <v>480</v>
      </c>
      <c r="HP938" s="127" t="s">
        <v>480</v>
      </c>
      <c r="HQ938" s="185"/>
      <c r="HR938" s="185"/>
      <c r="HS938" s="206"/>
      <c r="HT938" s="185"/>
      <c r="HU938" s="185"/>
      <c r="HV938" s="185"/>
      <c r="HW938" s="185"/>
      <c r="HX938" s="215"/>
      <c r="HY938" s="185"/>
      <c r="HZ938" s="185"/>
      <c r="IA938" s="185"/>
      <c r="IB938" s="185"/>
      <c r="IC938" s="185"/>
      <c r="ID938" s="185"/>
      <c r="IE938" s="185"/>
      <c r="IF938" s="185"/>
      <c r="IG938" s="185"/>
      <c r="IH938" s="185" t="s">
        <v>1721</v>
      </c>
      <c r="II938" s="148" t="s">
        <v>492</v>
      </c>
      <c r="IJ938" s="148"/>
      <c r="IK938" s="210"/>
      <c r="IL938" s="185"/>
      <c r="IM938" s="185"/>
      <c r="IN938" s="185"/>
      <c r="IO938" s="185"/>
      <c r="IP938" s="185"/>
      <c r="IQ938" s="185"/>
      <c r="IR938" s="185"/>
      <c r="IS938" s="185"/>
      <c r="IT938" s="185"/>
      <c r="IU938" s="185"/>
      <c r="IV938" s="185"/>
      <c r="IW938" s="185"/>
      <c r="IX938" s="2"/>
      <c r="IY938" s="2"/>
      <c r="IZ938" s="2"/>
      <c r="JA938" s="2"/>
      <c r="JB938" s="2"/>
      <c r="JC938" s="2"/>
      <c r="JD938" s="2"/>
      <c r="JE938" s="2"/>
      <c r="JF938" s="2"/>
      <c r="JG938" s="2"/>
      <c r="JH938" s="2"/>
      <c r="JI938" s="2"/>
      <c r="JJ938" s="2" t="s">
        <v>1727</v>
      </c>
      <c r="JK938" s="2" t="s">
        <v>682</v>
      </c>
      <c r="JL938" s="151"/>
      <c r="JM938" s="140"/>
      <c r="JN938" s="206"/>
      <c r="JO938" s="185"/>
      <c r="JP938" s="206"/>
      <c r="JQ938" s="185"/>
      <c r="JR938" s="185"/>
      <c r="JS938" s="185"/>
      <c r="JT938" s="185"/>
      <c r="JU938" s="185"/>
      <c r="JV938" s="140"/>
      <c r="JW938" s="140"/>
      <c r="JX938" s="206"/>
      <c r="JY938" s="185"/>
      <c r="JZ938" s="206"/>
      <c r="KA938" s="185"/>
      <c r="KB938" s="185"/>
      <c r="KC938" s="185"/>
      <c r="KD938" s="206"/>
      <c r="KE938" s="206"/>
      <c r="KF938" s="148"/>
      <c r="KG938" s="216"/>
      <c r="KH938" s="185"/>
      <c r="KI938" s="185"/>
      <c r="KJ938" s="185"/>
      <c r="KK938" s="185"/>
      <c r="KL938" s="206"/>
      <c r="KM938" s="185"/>
      <c r="KN938" s="148"/>
      <c r="KO938" s="216"/>
      <c r="KP938" s="185"/>
      <c r="KQ938" s="185"/>
      <c r="KR938" s="148"/>
      <c r="KS938" s="216"/>
      <c r="KT938" s="185"/>
      <c r="KU938" s="185"/>
      <c r="KV938" s="185"/>
      <c r="KW938" s="3"/>
      <c r="KX938" s="3"/>
      <c r="KY938" s="3"/>
      <c r="KZ938" s="3"/>
      <c r="LA938" s="206"/>
      <c r="LB938" s="206"/>
      <c r="LC938" s="206"/>
      <c r="LD938" s="206"/>
      <c r="LE938" s="206"/>
      <c r="LF938" s="206"/>
      <c r="LG938" s="206"/>
      <c r="LH938" s="206"/>
      <c r="LI938" s="206"/>
      <c r="LJ938" s="206"/>
      <c r="LK938" s="206"/>
      <c r="LL938" s="206"/>
      <c r="LM938" s="206"/>
      <c r="LN938" s="185"/>
      <c r="LO938" s="185"/>
      <c r="LP938" s="185"/>
      <c r="LQ938" s="185"/>
      <c r="LR938" s="185"/>
      <c r="LS938" s="185"/>
      <c r="LT938" s="185"/>
      <c r="LU938" s="185"/>
      <c r="LW938" s="2"/>
      <c r="LX938" s="2"/>
      <c r="LY938" s="2"/>
      <c r="LZ938" s="2"/>
      <c r="MA938" s="2"/>
      <c r="ME938" s="2"/>
      <c r="MF938" s="185"/>
      <c r="MG938" s="185"/>
      <c r="MH938" s="185"/>
      <c r="MI938" s="2"/>
      <c r="MJ938" s="2"/>
      <c r="MK938" s="2"/>
      <c r="ML938" s="2"/>
      <c r="MM938" s="2"/>
      <c r="MN938" s="2"/>
      <c r="MO938" s="2"/>
      <c r="MP938" s="2"/>
      <c r="MQ938" s="185"/>
      <c r="MR938" s="185"/>
      <c r="MS938" s="185"/>
      <c r="MT938" s="185"/>
      <c r="MU938" s="185"/>
      <c r="MV938" s="185"/>
      <c r="MW938" s="185"/>
      <c r="MX938" s="185"/>
      <c r="MY938" s="211" t="s">
        <v>1710</v>
      </c>
      <c r="MZ938" s="212">
        <v>16.25</v>
      </c>
      <c r="NI938" s="185"/>
      <c r="NJ938" s="185" t="s">
        <v>1728</v>
      </c>
      <c r="NK938" s="185" t="s">
        <v>1729</v>
      </c>
      <c r="NL938" s="185" t="s">
        <v>1730</v>
      </c>
      <c r="NM938" s="213" t="s">
        <v>1731</v>
      </c>
      <c r="NN938" s="185">
        <v>0</v>
      </c>
      <c r="NO938" s="185">
        <v>20</v>
      </c>
      <c r="NP938" s="185"/>
      <c r="NQ938" s="185"/>
      <c r="NR938" s="185"/>
      <c r="NS938" s="185"/>
      <c r="NT938" s="185"/>
      <c r="NU938" s="185" t="s">
        <v>1754</v>
      </c>
      <c r="NV938" s="185" t="s">
        <v>518</v>
      </c>
      <c r="NW938" s="185">
        <v>38.03</v>
      </c>
      <c r="NX938" s="185" t="s">
        <v>480</v>
      </c>
      <c r="NY938" s="147"/>
      <c r="NZ938" s="147"/>
      <c r="OA938" s="133"/>
      <c r="OB938" s="185">
        <v>3</v>
      </c>
      <c r="OD938" s="185"/>
      <c r="OE938" s="185"/>
      <c r="OF938" s="185"/>
      <c r="OG938" s="185"/>
      <c r="OH938" s="185"/>
      <c r="OI938" s="185"/>
      <c r="OJ938" s="185"/>
      <c r="OK938" s="185"/>
      <c r="OL938" s="185"/>
      <c r="OM938" s="185"/>
      <c r="ON938" s="185"/>
      <c r="OO938" s="185"/>
      <c r="OP938" s="185"/>
      <c r="OQ938" s="185"/>
      <c r="OR938" s="185"/>
      <c r="OS938" s="185"/>
      <c r="OT938" s="185"/>
      <c r="OU938" t="s">
        <v>1733</v>
      </c>
      <c r="OV938" s="185" t="s">
        <v>518</v>
      </c>
      <c r="OX938">
        <v>2020</v>
      </c>
      <c r="OY938">
        <v>2021</v>
      </c>
      <c r="PB938" t="s">
        <v>522</v>
      </c>
      <c r="PC938" s="50">
        <v>46148</v>
      </c>
    </row>
    <row r="939" spans="1:419" ht="15" customHeight="1" thickBot="1">
      <c r="A939" s="205" t="s">
        <v>861</v>
      </c>
      <c r="B939" s="2" t="s">
        <v>1700</v>
      </c>
      <c r="C939" s="2" t="s">
        <v>1387</v>
      </c>
      <c r="D939" s="88" t="s">
        <v>668</v>
      </c>
      <c r="E939" s="2" t="s">
        <v>1701</v>
      </c>
      <c r="F939" s="88" t="s">
        <v>1702</v>
      </c>
      <c r="G939" s="2" t="s">
        <v>475</v>
      </c>
      <c r="H939" s="2" t="s">
        <v>476</v>
      </c>
      <c r="I939" s="88">
        <v>-11.474220000000001</v>
      </c>
      <c r="J939" s="88" t="s">
        <v>1703</v>
      </c>
      <c r="K939" s="88">
        <v>1000</v>
      </c>
      <c r="L939" s="2"/>
      <c r="M939" s="88"/>
      <c r="N939" s="2"/>
      <c r="O939" s="2"/>
      <c r="P939" s="2"/>
      <c r="Q939" s="2"/>
      <c r="R939" s="2"/>
      <c r="S939" s="2"/>
      <c r="T939" s="2"/>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c r="AV939" s="2" t="s">
        <v>1704</v>
      </c>
      <c r="AW939" s="2">
        <v>28</v>
      </c>
      <c r="AX939" s="2" t="s">
        <v>480</v>
      </c>
      <c r="AY939" s="2">
        <v>2</v>
      </c>
      <c r="AZ939" s="185" t="s">
        <v>1705</v>
      </c>
      <c r="BA939" s="185">
        <v>2020</v>
      </c>
      <c r="BB939" s="185">
        <v>2022</v>
      </c>
      <c r="BC939" s="185"/>
      <c r="BD939" s="185" t="s">
        <v>1755</v>
      </c>
      <c r="BE939" s="185" t="s">
        <v>1756</v>
      </c>
      <c r="BF939" s="185" t="s">
        <v>484</v>
      </c>
      <c r="BG939" s="185" t="s">
        <v>1707</v>
      </c>
      <c r="BH939" s="185" t="s">
        <v>1708</v>
      </c>
      <c r="BI939" s="206" t="s">
        <v>1709</v>
      </c>
      <c r="BJ939" s="207">
        <v>4.4000000000000004</v>
      </c>
      <c r="BK939" s="185"/>
      <c r="BL939" s="185"/>
      <c r="BM939" s="208"/>
      <c r="BN939" s="208"/>
      <c r="BO939" s="208"/>
      <c r="BP939" s="208"/>
      <c r="BQ939" s="208"/>
      <c r="BR939" s="208"/>
      <c r="BS939" s="208"/>
      <c r="BT939" s="208"/>
      <c r="BU939" s="208"/>
      <c r="BV939" s="96"/>
      <c r="BW939" s="96"/>
      <c r="BX939" s="96"/>
      <c r="BY939" s="96"/>
      <c r="BZ939" s="96"/>
      <c r="CA939" s="96"/>
      <c r="CB939" s="96"/>
      <c r="CC939" s="96"/>
      <c r="CD939" s="96"/>
      <c r="CE939" s="96"/>
      <c r="CF939" s="96"/>
      <c r="CG939" s="96"/>
      <c r="CH939" s="96"/>
      <c r="CI939" s="96"/>
      <c r="CJ939" s="96"/>
      <c r="CK939" s="96"/>
      <c r="CL939" s="96"/>
      <c r="CM939" s="96"/>
      <c r="CN939" s="96"/>
      <c r="CO939" s="96"/>
      <c r="CP939" s="96"/>
      <c r="CQ939" s="96"/>
      <c r="CR939" s="96"/>
      <c r="CS939" s="96"/>
      <c r="CT939" s="96"/>
      <c r="CU939" s="96"/>
      <c r="CV939" s="96"/>
      <c r="CW939" s="96"/>
      <c r="CX939" s="96"/>
      <c r="CY939" s="96"/>
      <c r="CZ939" s="96"/>
      <c r="DA939" s="96"/>
      <c r="DB939" s="96"/>
      <c r="DC939" s="96"/>
      <c r="DD939" s="96"/>
      <c r="DE939" s="96"/>
      <c r="DF939" s="96"/>
      <c r="DG939" s="96"/>
      <c r="DH939" s="96"/>
      <c r="DI939" s="96"/>
      <c r="DJ939" s="96"/>
      <c r="DK939" s="96"/>
      <c r="DL939" s="96"/>
      <c r="DM939" s="96"/>
      <c r="DN939" s="96"/>
      <c r="DO939" s="96"/>
      <c r="DP939" s="96"/>
      <c r="DQ939" s="96"/>
      <c r="DR939" s="96"/>
      <c r="DS939" s="96"/>
      <c r="DT939" s="96"/>
      <c r="DU939" s="96"/>
      <c r="DV939" s="96"/>
      <c r="DW939" s="96"/>
      <c r="DX939" s="96"/>
      <c r="DY939" s="96"/>
      <c r="DZ939" s="96"/>
      <c r="EA939" s="96"/>
      <c r="EB939" s="96"/>
      <c r="EC939" s="96"/>
      <c r="ED939" s="96"/>
      <c r="EE939" s="208"/>
      <c r="EF939" s="208"/>
      <c r="EG939" s="208"/>
      <c r="EH939" s="208"/>
      <c r="EI939" s="208"/>
      <c r="EJ939" s="208"/>
      <c r="EK939" s="208"/>
      <c r="EL939" s="96"/>
      <c r="EM939" s="96"/>
      <c r="EN939" s="96"/>
      <c r="EO939" s="96"/>
      <c r="EP939" s="96"/>
      <c r="EQ939" s="96"/>
      <c r="ER939" s="96"/>
      <c r="ES939" s="96"/>
      <c r="ET939" s="96"/>
      <c r="EU939" s="96"/>
      <c r="EV939" s="96"/>
      <c r="EW939" s="96"/>
      <c r="EX939" s="96"/>
      <c r="EY939" s="96"/>
      <c r="EZ939" s="96"/>
      <c r="FA939" s="96"/>
      <c r="FB939" s="96"/>
      <c r="FC939" s="96"/>
      <c r="FD939" s="96"/>
      <c r="FE939" s="96"/>
      <c r="FF939" s="96"/>
      <c r="FG939" s="96"/>
      <c r="FH939" s="96"/>
      <c r="FI939" s="96"/>
      <c r="FJ939" s="96"/>
      <c r="FK939" s="96"/>
      <c r="FL939" s="96"/>
      <c r="FM939" s="96"/>
      <c r="FN939" s="96"/>
      <c r="FO939" s="96"/>
      <c r="FP939" s="96"/>
      <c r="FQ939" s="96"/>
      <c r="FR939" s="96"/>
      <c r="FS939" s="96"/>
      <c r="FT939" s="96"/>
      <c r="FU939" s="96"/>
      <c r="FV939" s="96"/>
      <c r="FW939" s="96"/>
      <c r="FX939" s="96"/>
      <c r="FY939" s="96"/>
      <c r="FZ939" s="96"/>
      <c r="GA939" s="96"/>
      <c r="GB939" s="96"/>
      <c r="GC939" s="96"/>
      <c r="GD939" s="96"/>
      <c r="GE939" s="96"/>
      <c r="GF939" s="96"/>
      <c r="GG939" s="96"/>
      <c r="GH939" s="96"/>
      <c r="GI939" s="96"/>
      <c r="GJ939" s="96"/>
      <c r="GK939" s="96"/>
      <c r="GL939" s="96"/>
      <c r="GM939" s="96"/>
      <c r="GN939" s="96"/>
      <c r="GO939" s="96"/>
      <c r="GP939" s="96"/>
      <c r="GQ939" s="96"/>
      <c r="GR939" s="96"/>
      <c r="GS939" s="96"/>
      <c r="GT939" s="96"/>
      <c r="GU939" s="96"/>
      <c r="GV939" s="96"/>
      <c r="GW939" s="96"/>
      <c r="GX939" s="96"/>
      <c r="GY939" s="96"/>
      <c r="GZ939" s="96"/>
      <c r="HA939" s="96"/>
      <c r="HB939" s="96"/>
      <c r="HC939" s="96"/>
      <c r="HD939" s="96"/>
      <c r="HE939" s="96"/>
      <c r="HF939" s="96"/>
      <c r="HG939" s="96"/>
      <c r="HH939" s="96"/>
      <c r="HI939" s="96"/>
      <c r="HJ939" s="96"/>
      <c r="HK939" s="185" t="s">
        <v>1747</v>
      </c>
      <c r="HL939" s="185" t="s">
        <v>526</v>
      </c>
      <c r="HM939" s="127" t="s">
        <v>480</v>
      </c>
      <c r="HN939" s="127" t="s">
        <v>480</v>
      </c>
      <c r="HO939" s="185" t="s">
        <v>480</v>
      </c>
      <c r="HP939" s="127" t="s">
        <v>480</v>
      </c>
      <c r="HQ939" s="208"/>
      <c r="HR939" s="208"/>
      <c r="HS939" s="208"/>
      <c r="HT939" s="37"/>
      <c r="HU939" s="37"/>
      <c r="HV939" s="208"/>
      <c r="HW939" s="208"/>
      <c r="HX939" s="208"/>
      <c r="HY939" s="208"/>
      <c r="HZ939" s="208"/>
      <c r="IA939" s="208"/>
      <c r="IB939" s="208"/>
      <c r="IC939" s="208"/>
      <c r="ID939" s="208"/>
      <c r="IE939" s="208"/>
      <c r="IF939" s="208"/>
      <c r="IG939" s="208"/>
      <c r="IH939" s="185" t="s">
        <v>1706</v>
      </c>
      <c r="II939" s="209" t="s">
        <v>492</v>
      </c>
      <c r="IJ939" s="209"/>
      <c r="IK939" s="208"/>
      <c r="IL939" s="208"/>
      <c r="IM939" s="208"/>
      <c r="IN939" s="185"/>
      <c r="IO939" s="208"/>
      <c r="IP939" s="208"/>
      <c r="IQ939" s="208"/>
      <c r="IR939" s="208"/>
      <c r="IS939" s="208"/>
      <c r="IT939" s="208"/>
      <c r="IU939" s="208"/>
      <c r="IV939" s="208"/>
      <c r="IW939" s="208"/>
      <c r="IX939" s="96"/>
      <c r="IY939" s="96"/>
      <c r="IZ939" s="96"/>
      <c r="JA939" s="96"/>
      <c r="JB939" s="96"/>
      <c r="JC939" s="96"/>
      <c r="JD939" s="96"/>
      <c r="JE939" s="96"/>
      <c r="JF939" s="96"/>
      <c r="JG939" s="96"/>
      <c r="JH939" s="96"/>
      <c r="JI939" s="96"/>
      <c r="JJ939" s="96" t="s">
        <v>1727</v>
      </c>
      <c r="JK939" s="2" t="s">
        <v>682</v>
      </c>
      <c r="JL939" s="96"/>
      <c r="JM939" s="208"/>
      <c r="JN939" s="206"/>
      <c r="JO939" s="208"/>
      <c r="JP939" s="206"/>
      <c r="JQ939" s="208"/>
      <c r="JR939" s="208"/>
      <c r="JS939" s="208"/>
      <c r="JT939" s="208"/>
      <c r="JU939" s="208"/>
      <c r="JV939" s="208"/>
      <c r="JW939" s="208"/>
      <c r="JX939" s="208"/>
      <c r="JY939" s="208"/>
      <c r="JZ939" s="208"/>
      <c r="KA939" s="208"/>
      <c r="KB939" s="208"/>
      <c r="KC939" s="208"/>
      <c r="KD939" s="208"/>
      <c r="KE939" s="208"/>
      <c r="KF939" s="148"/>
      <c r="KG939" s="148"/>
      <c r="KH939" s="210"/>
      <c r="KI939" s="185"/>
      <c r="KJ939" s="210"/>
      <c r="KK939" s="210"/>
      <c r="KL939" s="210"/>
      <c r="KM939" s="210"/>
      <c r="KN939" s="148"/>
      <c r="KO939" s="148"/>
      <c r="KP939" s="210"/>
      <c r="KQ939" s="210"/>
      <c r="KR939" s="148"/>
      <c r="KS939" s="148"/>
      <c r="KT939" s="210"/>
      <c r="KU939" s="210"/>
      <c r="KV939" s="210"/>
      <c r="KW939" s="38"/>
      <c r="KX939" s="38"/>
      <c r="KY939" s="38"/>
      <c r="KZ939" s="38"/>
      <c r="LA939" s="206"/>
      <c r="LB939" s="206"/>
      <c r="LC939" s="206"/>
      <c r="LD939" s="206"/>
      <c r="LE939" s="206"/>
      <c r="LF939" s="206"/>
      <c r="LG939" s="206"/>
      <c r="LH939" s="206"/>
      <c r="LI939" s="208"/>
      <c r="LJ939" s="208"/>
      <c r="LK939" s="208"/>
      <c r="LL939" s="208"/>
      <c r="LM939" s="208"/>
      <c r="LN939" s="208"/>
      <c r="LO939" s="208"/>
      <c r="LP939" s="208"/>
      <c r="LQ939" s="208"/>
      <c r="LR939" s="208"/>
      <c r="LS939" s="208"/>
      <c r="LT939" s="208"/>
      <c r="LU939" s="208"/>
      <c r="LV939" s="96"/>
      <c r="LW939" s="96"/>
      <c r="LX939" s="96"/>
      <c r="LY939" s="96"/>
      <c r="LZ939" s="96"/>
      <c r="MA939" s="96"/>
      <c r="MB939" s="96"/>
      <c r="MC939" s="96"/>
      <c r="MD939" s="96"/>
      <c r="ME939" s="96"/>
      <c r="MF939" s="96"/>
      <c r="MG939" s="208"/>
      <c r="MH939" s="208"/>
      <c r="MI939" s="96"/>
      <c r="MJ939" s="96"/>
      <c r="MK939" s="96"/>
      <c r="ML939" s="96"/>
      <c r="MM939" s="96"/>
      <c r="MN939" s="96"/>
      <c r="MO939" s="96"/>
      <c r="MP939" s="96"/>
      <c r="MQ939" s="37"/>
      <c r="MR939" s="37"/>
      <c r="MS939" s="96"/>
      <c r="MT939" s="208"/>
      <c r="MU939" s="208"/>
      <c r="MW939" s="96"/>
      <c r="MX939" s="96"/>
      <c r="MY939" s="211" t="s">
        <v>1710</v>
      </c>
      <c r="MZ939" s="212">
        <v>16.25</v>
      </c>
      <c r="NI939" s="185"/>
      <c r="NJ939" s="185" t="s">
        <v>1728</v>
      </c>
      <c r="NK939" s="185" t="s">
        <v>1729</v>
      </c>
      <c r="NL939" s="185" t="s">
        <v>1730</v>
      </c>
      <c r="NM939" s="213" t="s">
        <v>1731</v>
      </c>
      <c r="NN939" s="185">
        <v>0</v>
      </c>
      <c r="NO939" s="185">
        <v>20</v>
      </c>
      <c r="NP939" s="185"/>
      <c r="NQ939" s="185"/>
      <c r="NR939" s="185"/>
      <c r="NS939" s="185"/>
      <c r="NT939" s="185"/>
      <c r="NU939" s="185" t="s">
        <v>1757</v>
      </c>
      <c r="NV939" s="185" t="s">
        <v>518</v>
      </c>
      <c r="NW939" s="185">
        <v>38.120000000000005</v>
      </c>
      <c r="NX939" s="185" t="s">
        <v>480</v>
      </c>
      <c r="NY939" s="147"/>
      <c r="NZ939" s="147"/>
      <c r="OA939" s="133"/>
      <c r="OB939" s="185">
        <v>3</v>
      </c>
      <c r="OC939" s="185"/>
      <c r="OD939" s="185"/>
      <c r="OE939" s="208"/>
      <c r="OF939" s="208"/>
      <c r="OG939" s="208"/>
      <c r="OH939" s="208"/>
      <c r="OI939" s="208"/>
      <c r="OJ939" s="208"/>
      <c r="OK939" s="208"/>
      <c r="OL939" s="208"/>
      <c r="OM939" s="208"/>
      <c r="ON939" s="208"/>
      <c r="OO939" s="208"/>
      <c r="OP939" s="208"/>
      <c r="OQ939" s="208"/>
      <c r="OR939" s="208"/>
      <c r="OS939" s="208"/>
      <c r="OT939" s="208"/>
      <c r="OU939" t="s">
        <v>1733</v>
      </c>
      <c r="OV939" s="185" t="s">
        <v>518</v>
      </c>
      <c r="OX939">
        <v>2020</v>
      </c>
      <c r="OY939">
        <v>2021</v>
      </c>
      <c r="OZ939" s="96"/>
      <c r="PA939" s="96"/>
      <c r="PB939" t="s">
        <v>522</v>
      </c>
      <c r="PC939" s="50">
        <v>46148</v>
      </c>
    </row>
    <row r="940" spans="1:419" ht="17.25" thickBot="1">
      <c r="A940" s="205" t="s">
        <v>861</v>
      </c>
      <c r="B940" s="2" t="s">
        <v>1700</v>
      </c>
      <c r="C940" s="2" t="s">
        <v>1387</v>
      </c>
      <c r="D940" s="88" t="s">
        <v>668</v>
      </c>
      <c r="E940" s="2" t="s">
        <v>1701</v>
      </c>
      <c r="F940" s="88" t="s">
        <v>1702</v>
      </c>
      <c r="G940" s="2" t="s">
        <v>475</v>
      </c>
      <c r="H940" s="2" t="s">
        <v>476</v>
      </c>
      <c r="I940" s="88">
        <v>-11.474220000000001</v>
      </c>
      <c r="J940" s="88" t="s">
        <v>1703</v>
      </c>
      <c r="K940" s="88">
        <v>1000</v>
      </c>
      <c r="L940" s="2"/>
      <c r="M940" s="88"/>
      <c r="N940" s="2"/>
      <c r="O940" s="2"/>
      <c r="P940" s="2"/>
      <c r="Q940" s="2"/>
      <c r="R940" s="2"/>
      <c r="S940" s="2"/>
      <c r="T940" s="2"/>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c r="AV940" s="2" t="s">
        <v>1704</v>
      </c>
      <c r="AW940" s="2">
        <v>28</v>
      </c>
      <c r="AX940" s="2" t="s">
        <v>480</v>
      </c>
      <c r="AY940" s="2">
        <v>2</v>
      </c>
      <c r="AZ940" s="185" t="s">
        <v>1705</v>
      </c>
      <c r="BA940" s="185">
        <v>2020</v>
      </c>
      <c r="BB940" s="185">
        <v>2022</v>
      </c>
      <c r="BC940" s="185"/>
      <c r="BD940" s="185" t="s">
        <v>1758</v>
      </c>
      <c r="BE940" s="185" t="s">
        <v>615</v>
      </c>
      <c r="BF940" s="185" t="s">
        <v>484</v>
      </c>
      <c r="BG940" s="185" t="s">
        <v>1707</v>
      </c>
      <c r="BH940" s="185" t="s">
        <v>1708</v>
      </c>
      <c r="BI940" s="206" t="s">
        <v>1709</v>
      </c>
      <c r="BJ940" s="207">
        <v>4.4000000000000004</v>
      </c>
      <c r="BK940" s="185" t="s">
        <v>537</v>
      </c>
      <c r="BL940" s="185" t="s">
        <v>485</v>
      </c>
      <c r="BM940" s="185" t="s">
        <v>1719</v>
      </c>
      <c r="BN940" s="206" t="s">
        <v>1709</v>
      </c>
      <c r="BO940" s="207">
        <v>4.4000000000000004</v>
      </c>
      <c r="BP940" s="185"/>
      <c r="BQ940" s="185"/>
      <c r="BR940" s="185"/>
      <c r="BS940" s="185"/>
      <c r="BT940" s="185"/>
      <c r="BU940" s="185"/>
      <c r="BV940" s="3"/>
      <c r="BW940" s="3"/>
      <c r="BX940" s="3"/>
      <c r="BY940" s="3"/>
      <c r="BZ940" s="3"/>
      <c r="CA940" s="3"/>
      <c r="CB940" s="3"/>
      <c r="CC940" s="3"/>
      <c r="CD940" s="3"/>
      <c r="CE940" s="3"/>
      <c r="CF940" s="3"/>
      <c r="CG940" s="3"/>
      <c r="CH940" s="3"/>
      <c r="CI940" s="3"/>
      <c r="CJ940" s="3"/>
      <c r="CK940" s="3"/>
      <c r="CL940" s="3"/>
      <c r="CM940" s="3"/>
      <c r="CN940" s="3"/>
      <c r="CO940" s="3"/>
      <c r="CP940" s="3"/>
      <c r="CQ940" s="3"/>
      <c r="CR940" s="3"/>
      <c r="CS940" s="3"/>
      <c r="CT940" s="3"/>
      <c r="CU940" s="3"/>
      <c r="CV940" s="3"/>
      <c r="CW940" s="3"/>
      <c r="CX940" s="3"/>
      <c r="CY940" s="3"/>
      <c r="CZ940" s="3"/>
      <c r="DA940" s="3"/>
      <c r="DB940" s="3"/>
      <c r="DC940" s="3"/>
      <c r="DD940" s="3"/>
      <c r="DE940" s="3"/>
      <c r="DF940" s="3"/>
      <c r="DG940" s="3"/>
      <c r="DH940" s="3"/>
      <c r="DI940" s="3"/>
      <c r="DJ940" s="3"/>
      <c r="DK940" s="3"/>
      <c r="DL940" s="3"/>
      <c r="DM940" s="3"/>
      <c r="DN940" s="3"/>
      <c r="DO940" s="3"/>
      <c r="DP940" s="3"/>
      <c r="DQ940" s="3"/>
      <c r="DR940" s="3"/>
      <c r="DS940" s="3"/>
      <c r="DT940" s="3"/>
      <c r="DU940" s="3"/>
      <c r="DV940" s="3"/>
      <c r="DW940" s="3"/>
      <c r="DX940" s="3"/>
      <c r="DY940" s="3"/>
      <c r="DZ940" s="3"/>
      <c r="EA940" s="3"/>
      <c r="EB940" s="3"/>
      <c r="EC940" s="3"/>
      <c r="ED940" s="2"/>
      <c r="EE940" s="185"/>
      <c r="EF940" s="185"/>
      <c r="EG940" s="185"/>
      <c r="EH940" s="185"/>
      <c r="EI940" s="185"/>
      <c r="EJ940" s="185"/>
      <c r="EK940" s="185"/>
      <c r="EL940" s="3"/>
      <c r="EM940" s="3"/>
      <c r="EN940" s="3"/>
      <c r="EO940" s="3"/>
      <c r="EP940" s="3"/>
      <c r="EQ940" s="3"/>
      <c r="ER940" s="3"/>
      <c r="ES940" s="3"/>
      <c r="ET940" s="3"/>
      <c r="EU940" s="3"/>
      <c r="EV940" s="3"/>
      <c r="EW940" s="3"/>
      <c r="EX940" s="3"/>
      <c r="EY940" s="3"/>
      <c r="EZ940" s="3"/>
      <c r="FA940" s="3"/>
      <c r="FB940" s="3"/>
      <c r="FC940" s="3"/>
      <c r="FD940" s="3"/>
      <c r="FE940" s="3"/>
      <c r="FF940" s="3"/>
      <c r="FG940" s="3"/>
      <c r="FH940" s="3"/>
      <c r="FI940" s="3"/>
      <c r="FJ940" s="3"/>
      <c r="FK940" s="3"/>
      <c r="FL940" s="3"/>
      <c r="FM940" s="3"/>
      <c r="FN940" s="3"/>
      <c r="FO940" s="3"/>
      <c r="FP940" s="3"/>
      <c r="FQ940" s="3"/>
      <c r="FR940" s="3"/>
      <c r="FS940" s="3"/>
      <c r="FT940" s="3"/>
      <c r="FU940" s="3"/>
      <c r="FV940" s="3"/>
      <c r="FW940" s="3"/>
      <c r="FX940" s="3"/>
      <c r="FY940" s="3"/>
      <c r="FZ940" s="3"/>
      <c r="GA940" s="3"/>
      <c r="GB940" s="3"/>
      <c r="GC940" s="3"/>
      <c r="GD940" s="3"/>
      <c r="GE940" s="3"/>
      <c r="GF940" s="3"/>
      <c r="GG940" s="3"/>
      <c r="GH940" s="3"/>
      <c r="GI940" s="3"/>
      <c r="GJ940" s="3"/>
      <c r="GK940" s="3"/>
      <c r="GL940" s="3"/>
      <c r="GM940" s="3"/>
      <c r="GN940" s="3"/>
      <c r="GO940" s="3"/>
      <c r="GP940" s="3"/>
      <c r="GQ940" s="3"/>
      <c r="GR940" s="3"/>
      <c r="GS940" s="3"/>
      <c r="GT940" s="3"/>
      <c r="GU940" s="3"/>
      <c r="GV940" s="3"/>
      <c r="GW940" s="3"/>
      <c r="GX940" s="3"/>
      <c r="GY940" s="3"/>
      <c r="GZ940" s="3"/>
      <c r="HA940" s="3"/>
      <c r="HB940" s="3"/>
      <c r="HC940" s="3"/>
      <c r="HD940" s="3"/>
      <c r="HE940" s="3"/>
      <c r="HF940" s="3"/>
      <c r="HG940" s="3"/>
      <c r="HH940" s="3"/>
      <c r="HI940" s="3"/>
      <c r="HJ940" s="3"/>
      <c r="HK940" s="185" t="s">
        <v>1747</v>
      </c>
      <c r="HL940" s="185" t="s">
        <v>526</v>
      </c>
      <c r="HM940" s="127" t="s">
        <v>480</v>
      </c>
      <c r="HN940" s="127" t="s">
        <v>480</v>
      </c>
      <c r="HO940" s="185" t="s">
        <v>480</v>
      </c>
      <c r="HP940" s="127" t="s">
        <v>480</v>
      </c>
      <c r="HQ940" s="185"/>
      <c r="HR940" s="185"/>
      <c r="HS940" s="206"/>
      <c r="HT940" s="185"/>
      <c r="HU940" s="185"/>
      <c r="HV940" s="185"/>
      <c r="HW940" s="185"/>
      <c r="HX940" s="215"/>
      <c r="HY940" s="185"/>
      <c r="HZ940" s="185"/>
      <c r="IA940" s="185"/>
      <c r="IB940" s="185"/>
      <c r="IC940" s="185"/>
      <c r="ID940" s="185"/>
      <c r="IE940" s="185"/>
      <c r="IF940" s="185"/>
      <c r="IG940" s="185"/>
      <c r="IH940" s="185" t="s">
        <v>1718</v>
      </c>
      <c r="II940" s="148" t="s">
        <v>1714</v>
      </c>
      <c r="IJ940" s="148" t="s">
        <v>542</v>
      </c>
      <c r="IK940" s="210" t="s">
        <v>1715</v>
      </c>
      <c r="IL940" s="185">
        <v>2020</v>
      </c>
      <c r="IM940" s="185"/>
      <c r="IN940" s="185" t="s">
        <v>1716</v>
      </c>
      <c r="IO940" s="185"/>
      <c r="IP940" s="185"/>
      <c r="IQ940" s="185"/>
      <c r="IR940" s="185"/>
      <c r="IS940" s="185"/>
      <c r="IT940" s="185"/>
      <c r="IU940" s="185"/>
      <c r="IV940" s="185"/>
      <c r="IW940" s="185"/>
      <c r="IX940" s="2"/>
      <c r="IY940" s="2"/>
      <c r="IZ940" s="2"/>
      <c r="JA940" s="2"/>
      <c r="JB940" s="2"/>
      <c r="JC940" s="2"/>
      <c r="JD940" s="2"/>
      <c r="JE940" s="2"/>
      <c r="JF940" s="2"/>
      <c r="JG940" s="2"/>
      <c r="JH940" s="2"/>
      <c r="JI940" s="2"/>
      <c r="JJ940" s="2" t="s">
        <v>1727</v>
      </c>
      <c r="JK940" s="2" t="s">
        <v>682</v>
      </c>
      <c r="JL940" s="151"/>
      <c r="JM940" s="140"/>
      <c r="JN940" s="206"/>
      <c r="JO940" s="185"/>
      <c r="JP940" s="206"/>
      <c r="JQ940" s="185"/>
      <c r="JR940" s="185"/>
      <c r="JS940" s="185"/>
      <c r="JT940" s="185"/>
      <c r="JU940" s="185"/>
      <c r="JV940" s="140"/>
      <c r="JW940" s="140"/>
      <c r="JX940" s="206"/>
      <c r="JY940" s="185"/>
      <c r="JZ940" s="206"/>
      <c r="KA940" s="185"/>
      <c r="KB940" s="185"/>
      <c r="KC940" s="185"/>
      <c r="KD940" s="206"/>
      <c r="KE940" s="206"/>
      <c r="KF940" s="148"/>
      <c r="KG940" s="216"/>
      <c r="KH940" s="185"/>
      <c r="KI940" s="185"/>
      <c r="KJ940" s="185"/>
      <c r="KK940" s="185"/>
      <c r="KL940" s="206"/>
      <c r="KM940" s="185"/>
      <c r="KN940" s="148"/>
      <c r="KO940" s="216"/>
      <c r="KP940" s="185"/>
      <c r="KQ940" s="185"/>
      <c r="KR940" s="148"/>
      <c r="KS940" s="216"/>
      <c r="KT940" s="185"/>
      <c r="KU940" s="185"/>
      <c r="KV940" s="185"/>
      <c r="KW940" s="3"/>
      <c r="KX940" s="3"/>
      <c r="KY940" s="3"/>
      <c r="KZ940" s="3"/>
      <c r="LA940" s="206"/>
      <c r="LB940" s="206"/>
      <c r="LC940" s="206"/>
      <c r="LD940" s="206"/>
      <c r="LE940" s="206"/>
      <c r="LF940" s="206"/>
      <c r="LG940" s="206"/>
      <c r="LH940" s="206"/>
      <c r="LI940" s="206"/>
      <c r="LJ940" s="206"/>
      <c r="LK940" s="206"/>
      <c r="LL940" s="206"/>
      <c r="LM940" s="206"/>
      <c r="LN940" s="185"/>
      <c r="LO940" s="185"/>
      <c r="LP940" s="185"/>
      <c r="LQ940" s="185"/>
      <c r="LR940" s="185"/>
      <c r="LS940" s="185"/>
      <c r="LT940" s="185"/>
      <c r="LU940" s="185"/>
      <c r="LW940" s="2"/>
      <c r="LX940" s="2"/>
      <c r="LY940" s="2"/>
      <c r="LZ940" s="2"/>
      <c r="MA940" s="2"/>
      <c r="ME940" s="2"/>
      <c r="MF940" s="185"/>
      <c r="MG940" s="185"/>
      <c r="MH940" s="185"/>
      <c r="MI940" s="2"/>
      <c r="MJ940" s="2"/>
      <c r="MK940" s="2"/>
      <c r="ML940" s="2"/>
      <c r="MM940" s="2"/>
      <c r="MN940" s="2"/>
      <c r="MO940" s="2"/>
      <c r="MP940" s="2"/>
      <c r="MQ940" s="185"/>
      <c r="MR940" s="185"/>
      <c r="MS940" s="185"/>
      <c r="MT940" s="185"/>
      <c r="MU940" s="185"/>
      <c r="MV940" s="185"/>
      <c r="MW940" s="185"/>
      <c r="MX940" s="185"/>
      <c r="MY940" s="211" t="s">
        <v>1710</v>
      </c>
      <c r="MZ940" s="212">
        <v>16.25</v>
      </c>
      <c r="NI940" s="185"/>
      <c r="NJ940" s="185" t="s">
        <v>1728</v>
      </c>
      <c r="NK940" s="185" t="s">
        <v>1729</v>
      </c>
      <c r="NL940" s="185" t="s">
        <v>1730</v>
      </c>
      <c r="NM940" s="213" t="s">
        <v>1731</v>
      </c>
      <c r="NN940" s="185">
        <v>0</v>
      </c>
      <c r="NO940" s="185">
        <v>20</v>
      </c>
      <c r="NP940" s="185"/>
      <c r="NQ940" s="185"/>
      <c r="NR940" s="185"/>
      <c r="NS940" s="185"/>
      <c r="NT940" s="185"/>
      <c r="NU940" s="185" t="s">
        <v>553</v>
      </c>
      <c r="NV940" s="185" t="s">
        <v>518</v>
      </c>
      <c r="NW940" s="185">
        <v>36.79</v>
      </c>
      <c r="NX940" s="185" t="s">
        <v>480</v>
      </c>
      <c r="NY940" s="147"/>
      <c r="NZ940" s="147"/>
      <c r="OA940" s="133"/>
      <c r="OB940" s="185">
        <v>3</v>
      </c>
      <c r="OC940" s="185"/>
      <c r="OD940" s="185"/>
      <c r="OE940" s="185"/>
      <c r="OF940" s="185"/>
      <c r="OG940" s="185"/>
      <c r="OH940" s="185"/>
      <c r="OI940" s="185"/>
      <c r="OJ940" s="185"/>
      <c r="OK940" s="185"/>
      <c r="OL940" s="185"/>
      <c r="OM940" s="185"/>
      <c r="ON940" s="185"/>
      <c r="OO940" s="185"/>
      <c r="OP940" s="185"/>
      <c r="OQ940" s="185"/>
      <c r="OR940" s="185"/>
      <c r="OS940" s="185"/>
      <c r="OT940" s="185"/>
      <c r="OU940" t="s">
        <v>1733</v>
      </c>
      <c r="OV940" s="185" t="s">
        <v>518</v>
      </c>
      <c r="OX940">
        <v>2020</v>
      </c>
      <c r="OY940">
        <v>2021</v>
      </c>
      <c r="PB940" t="s">
        <v>522</v>
      </c>
      <c r="PC940" s="50">
        <v>46148</v>
      </c>
    </row>
    <row r="941" spans="1:419" ht="17.25" thickBot="1">
      <c r="A941" s="205" t="s">
        <v>861</v>
      </c>
      <c r="B941" s="2" t="s">
        <v>1700</v>
      </c>
      <c r="C941" s="2" t="s">
        <v>1387</v>
      </c>
      <c r="D941" s="88" t="s">
        <v>668</v>
      </c>
      <c r="E941" s="2" t="s">
        <v>1701</v>
      </c>
      <c r="F941" s="88" t="s">
        <v>1702</v>
      </c>
      <c r="G941" s="2" t="s">
        <v>475</v>
      </c>
      <c r="H941" s="2" t="s">
        <v>476</v>
      </c>
      <c r="I941" s="88">
        <v>-11.474220000000001</v>
      </c>
      <c r="J941" s="88" t="s">
        <v>1703</v>
      </c>
      <c r="K941" s="88">
        <v>1000</v>
      </c>
      <c r="L941" s="2"/>
      <c r="M941" s="88"/>
      <c r="N941" s="2"/>
      <c r="O941" s="2"/>
      <c r="P941" s="2"/>
      <c r="Q941" s="2"/>
      <c r="R941" s="2"/>
      <c r="S941" s="2"/>
      <c r="T941" s="2"/>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c r="AV941" s="2" t="s">
        <v>1704</v>
      </c>
      <c r="AW941" s="2">
        <v>28</v>
      </c>
      <c r="AX941" s="2" t="s">
        <v>480</v>
      </c>
      <c r="AY941" s="2">
        <v>2</v>
      </c>
      <c r="AZ941" s="185" t="s">
        <v>1705</v>
      </c>
      <c r="BA941" s="185">
        <v>2020</v>
      </c>
      <c r="BB941" s="185">
        <v>2022</v>
      </c>
      <c r="BC941" s="185"/>
      <c r="BD941" s="185" t="s">
        <v>1759</v>
      </c>
      <c r="BE941" s="185" t="s">
        <v>617</v>
      </c>
      <c r="BF941" s="185" t="s">
        <v>484</v>
      </c>
      <c r="BG941" s="185" t="s">
        <v>538</v>
      </c>
      <c r="BH941" s="185" t="s">
        <v>1713</v>
      </c>
      <c r="BI941" s="206" t="s">
        <v>1709</v>
      </c>
      <c r="BJ941" s="207">
        <v>13.3</v>
      </c>
      <c r="BK941" s="185" t="s">
        <v>537</v>
      </c>
      <c r="BL941" s="185" t="s">
        <v>485</v>
      </c>
      <c r="BM941" s="185" t="s">
        <v>1719</v>
      </c>
      <c r="BN941" s="206" t="s">
        <v>1709</v>
      </c>
      <c r="BO941" s="207">
        <v>4.4000000000000004</v>
      </c>
      <c r="BP941" s="185"/>
      <c r="BQ941" s="185"/>
      <c r="BR941" s="185"/>
      <c r="BS941" s="185"/>
      <c r="BT941" s="185"/>
      <c r="BU941" s="185"/>
      <c r="BV941" s="3"/>
      <c r="BW941" s="3"/>
      <c r="BX941" s="3"/>
      <c r="BY941" s="3"/>
      <c r="BZ941" s="3"/>
      <c r="CA941" s="3"/>
      <c r="CB941" s="3"/>
      <c r="CC941" s="3"/>
      <c r="CD941" s="3"/>
      <c r="CE941" s="3"/>
      <c r="CF941" s="3"/>
      <c r="CG941" s="3"/>
      <c r="CH941" s="3"/>
      <c r="CI941" s="3"/>
      <c r="CJ941" s="3"/>
      <c r="CK941" s="3"/>
      <c r="CL941" s="3"/>
      <c r="CM941" s="3"/>
      <c r="CN941" s="3"/>
      <c r="CO941" s="3"/>
      <c r="CP941" s="3"/>
      <c r="CQ941" s="3"/>
      <c r="CR941" s="3"/>
      <c r="CS941" s="3"/>
      <c r="CT941" s="3"/>
      <c r="CU941" s="3"/>
      <c r="CV941" s="3"/>
      <c r="CW941" s="3"/>
      <c r="CX941" s="3"/>
      <c r="CY941" s="3"/>
      <c r="CZ941" s="3"/>
      <c r="DA941" s="3"/>
      <c r="DB941" s="3"/>
      <c r="DC941" s="3"/>
      <c r="DD941" s="3"/>
      <c r="DE941" s="3"/>
      <c r="DF941" s="3"/>
      <c r="DG941" s="3"/>
      <c r="DH941" s="3"/>
      <c r="DI941" s="3"/>
      <c r="DJ941" s="3"/>
      <c r="DK941" s="3"/>
      <c r="DL941" s="3"/>
      <c r="DM941" s="3"/>
      <c r="DN941" s="3"/>
      <c r="DO941" s="3"/>
      <c r="DP941" s="3"/>
      <c r="DQ941" s="3"/>
      <c r="DR941" s="3"/>
      <c r="DS941" s="3"/>
      <c r="DT941" s="3"/>
      <c r="DU941" s="3"/>
      <c r="DV941" s="3"/>
      <c r="DW941" s="3"/>
      <c r="DX941" s="3"/>
      <c r="DY941" s="3"/>
      <c r="DZ941" s="3"/>
      <c r="EA941" s="3"/>
      <c r="EB941" s="3"/>
      <c r="EC941" s="3"/>
      <c r="ED941" s="2"/>
      <c r="EE941" s="185"/>
      <c r="EF941" s="185"/>
      <c r="EG941" s="185"/>
      <c r="EH941" s="185"/>
      <c r="EI941" s="185"/>
      <c r="EJ941" s="185"/>
      <c r="EK941" s="185"/>
      <c r="EL941" s="3"/>
      <c r="EM941" s="3"/>
      <c r="EN941" s="3"/>
      <c r="EO941" s="3"/>
      <c r="EP941" s="3"/>
      <c r="EQ941" s="3"/>
      <c r="ER941" s="3"/>
      <c r="ES941" s="3"/>
      <c r="ET941" s="3"/>
      <c r="EU941" s="3"/>
      <c r="EV941" s="3"/>
      <c r="EW941" s="3"/>
      <c r="EX941" s="3"/>
      <c r="EY941" s="3"/>
      <c r="EZ941" s="3"/>
      <c r="FA941" s="3"/>
      <c r="FB941" s="3"/>
      <c r="FC941" s="3"/>
      <c r="FD941" s="3"/>
      <c r="FE941" s="3"/>
      <c r="FF941" s="3"/>
      <c r="FG941" s="3"/>
      <c r="FH941" s="3"/>
      <c r="FI941" s="3"/>
      <c r="FJ941" s="3"/>
      <c r="FK941" s="3"/>
      <c r="FL941" s="3"/>
      <c r="FM941" s="3"/>
      <c r="FN941" s="3"/>
      <c r="FO941" s="3"/>
      <c r="FP941" s="3"/>
      <c r="FQ941" s="3"/>
      <c r="FR941" s="3"/>
      <c r="FS941" s="3"/>
      <c r="FT941" s="3"/>
      <c r="FU941" s="3"/>
      <c r="FV941" s="3"/>
      <c r="FW941" s="3"/>
      <c r="FX941" s="3"/>
      <c r="FY941" s="3"/>
      <c r="FZ941" s="3"/>
      <c r="GA941" s="3"/>
      <c r="GB941" s="3"/>
      <c r="GC941" s="3"/>
      <c r="GD941" s="3"/>
      <c r="GE941" s="3"/>
      <c r="GF941" s="3"/>
      <c r="GG941" s="3"/>
      <c r="GH941" s="3"/>
      <c r="GI941" s="3"/>
      <c r="GJ941" s="3"/>
      <c r="GK941" s="3"/>
      <c r="GL941" s="3"/>
      <c r="GM941" s="3"/>
      <c r="GN941" s="3"/>
      <c r="GO941" s="3"/>
      <c r="GP941" s="3"/>
      <c r="GQ941" s="3"/>
      <c r="GR941" s="3"/>
      <c r="GS941" s="3"/>
      <c r="GT941" s="3"/>
      <c r="GU941" s="3"/>
      <c r="GV941" s="3"/>
      <c r="GW941" s="3"/>
      <c r="GX941" s="3"/>
      <c r="GY941" s="3"/>
      <c r="GZ941" s="3"/>
      <c r="HA941" s="3"/>
      <c r="HB941" s="3"/>
      <c r="HC941" s="3"/>
      <c r="HD941" s="3"/>
      <c r="HE941" s="3"/>
      <c r="HF941" s="3"/>
      <c r="HG941" s="3"/>
      <c r="HH941" s="3"/>
      <c r="HI941" s="3"/>
      <c r="HJ941" s="3"/>
      <c r="HK941" s="185" t="s">
        <v>1747</v>
      </c>
      <c r="HL941" s="185" t="s">
        <v>526</v>
      </c>
      <c r="HM941" s="127" t="s">
        <v>480</v>
      </c>
      <c r="HN941" s="127" t="s">
        <v>480</v>
      </c>
      <c r="HO941" s="185" t="s">
        <v>480</v>
      </c>
      <c r="HP941" s="127" t="s">
        <v>480</v>
      </c>
      <c r="HQ941" s="185"/>
      <c r="HR941" s="185"/>
      <c r="HS941" s="206"/>
      <c r="HT941" s="185"/>
      <c r="HU941" s="185"/>
      <c r="HV941" s="185"/>
      <c r="HW941" s="185"/>
      <c r="HX941" s="215"/>
      <c r="HY941" s="185"/>
      <c r="HZ941" s="185"/>
      <c r="IA941" s="185"/>
      <c r="IB941" s="185"/>
      <c r="IC941" s="185"/>
      <c r="ID941" s="185"/>
      <c r="IE941" s="185"/>
      <c r="IF941" s="185"/>
      <c r="IG941" s="185"/>
      <c r="IH941" s="185" t="s">
        <v>1720</v>
      </c>
      <c r="II941" s="75" t="s">
        <v>929</v>
      </c>
      <c r="IJ941" s="148" t="s">
        <v>542</v>
      </c>
      <c r="IK941" s="210" t="s">
        <v>1715</v>
      </c>
      <c r="IL941" s="185">
        <v>2020</v>
      </c>
      <c r="IM941" s="185"/>
      <c r="IN941" s="185" t="s">
        <v>1716</v>
      </c>
      <c r="IO941" s="185"/>
      <c r="IP941" s="185"/>
      <c r="IQ941" s="185"/>
      <c r="IR941" s="185"/>
      <c r="IS941" s="185"/>
      <c r="IT941" s="185"/>
      <c r="IU941" s="185"/>
      <c r="IV941" s="185"/>
      <c r="IW941" s="185"/>
      <c r="IX941" s="2"/>
      <c r="IY941" s="2"/>
      <c r="IZ941" s="2"/>
      <c r="JA941" s="2"/>
      <c r="JB941" s="2"/>
      <c r="JC941" s="2"/>
      <c r="JD941" s="2"/>
      <c r="JE941" s="2"/>
      <c r="JF941" s="2"/>
      <c r="JG941" s="2"/>
      <c r="JH941" s="2"/>
      <c r="JI941" s="2"/>
      <c r="JJ941" s="2" t="s">
        <v>1727</v>
      </c>
      <c r="JK941" s="2" t="s">
        <v>682</v>
      </c>
      <c r="JL941" s="151"/>
      <c r="JM941" s="140"/>
      <c r="JN941" s="206"/>
      <c r="JO941" s="185"/>
      <c r="JP941" s="206"/>
      <c r="JQ941" s="185"/>
      <c r="JR941" s="185"/>
      <c r="JS941" s="185"/>
      <c r="JT941" s="185"/>
      <c r="JU941" s="185"/>
      <c r="JV941" s="140"/>
      <c r="JW941" s="140"/>
      <c r="JX941" s="206"/>
      <c r="JY941" s="185"/>
      <c r="JZ941" s="206"/>
      <c r="KA941" s="185"/>
      <c r="KB941" s="185"/>
      <c r="KC941" s="185"/>
      <c r="KD941" s="206"/>
      <c r="KE941" s="206"/>
      <c r="KF941" s="148"/>
      <c r="KG941" s="216"/>
      <c r="KH941" s="185"/>
      <c r="KI941" s="185"/>
      <c r="KJ941" s="185"/>
      <c r="KK941" s="185"/>
      <c r="KL941" s="206"/>
      <c r="KM941" s="185"/>
      <c r="KN941" s="148"/>
      <c r="KO941" s="216"/>
      <c r="KP941" s="185"/>
      <c r="KQ941" s="185"/>
      <c r="KR941" s="148"/>
      <c r="KS941" s="216"/>
      <c r="KT941" s="185"/>
      <c r="KU941" s="185"/>
      <c r="KV941" s="185"/>
      <c r="KW941" s="3"/>
      <c r="KX941" s="3"/>
      <c r="KY941" s="3"/>
      <c r="KZ941" s="3"/>
      <c r="LA941" s="206"/>
      <c r="LB941" s="206"/>
      <c r="LC941" s="206"/>
      <c r="LD941" s="206"/>
      <c r="LE941" s="206"/>
      <c r="LF941" s="206"/>
      <c r="LG941" s="206"/>
      <c r="LH941" s="206"/>
      <c r="LI941" s="206"/>
      <c r="LJ941" s="206"/>
      <c r="LK941" s="206"/>
      <c r="LL941" s="206"/>
      <c r="LM941" s="206"/>
      <c r="LN941" s="185"/>
      <c r="LO941" s="185"/>
      <c r="LP941" s="185"/>
      <c r="LQ941" s="185"/>
      <c r="LR941" s="185"/>
      <c r="LS941" s="185"/>
      <c r="LT941" s="185"/>
      <c r="LU941" s="185"/>
      <c r="LW941" s="2"/>
      <c r="LX941" s="2"/>
      <c r="LY941" s="2"/>
      <c r="LZ941" s="2"/>
      <c r="MA941" s="2"/>
      <c r="ME941" s="2"/>
      <c r="MF941" s="185"/>
      <c r="MG941" s="185"/>
      <c r="MH941" s="185"/>
      <c r="MI941" s="2"/>
      <c r="MJ941" s="2"/>
      <c r="MK941" s="2"/>
      <c r="ML941" s="2"/>
      <c r="MM941" s="2"/>
      <c r="MN941" s="2"/>
      <c r="MO941" s="2"/>
      <c r="MP941" s="2"/>
      <c r="MQ941" s="185"/>
      <c r="MR941" s="185"/>
      <c r="MS941" s="185"/>
      <c r="MT941" s="185"/>
      <c r="MU941" s="185"/>
      <c r="MV941" s="185"/>
      <c r="MW941" s="185"/>
      <c r="MX941" s="185"/>
      <c r="MY941" s="211" t="s">
        <v>1710</v>
      </c>
      <c r="MZ941" s="212">
        <v>16.25</v>
      </c>
      <c r="NI941" s="185"/>
      <c r="NJ941" s="185" t="s">
        <v>1728</v>
      </c>
      <c r="NK941" s="185" t="s">
        <v>1729</v>
      </c>
      <c r="NL941" s="185" t="s">
        <v>1730</v>
      </c>
      <c r="NM941" s="213" t="s">
        <v>1731</v>
      </c>
      <c r="NN941" s="185">
        <v>0</v>
      </c>
      <c r="NO941" s="185">
        <v>20</v>
      </c>
      <c r="NP941" s="185"/>
      <c r="NQ941" s="185"/>
      <c r="NR941" s="185"/>
      <c r="NS941" s="185"/>
      <c r="NT941" s="185"/>
      <c r="NU941" s="185" t="s">
        <v>607</v>
      </c>
      <c r="NV941" s="185" t="s">
        <v>518</v>
      </c>
      <c r="NW941" s="185">
        <v>38.44</v>
      </c>
      <c r="NX941" s="185" t="s">
        <v>480</v>
      </c>
      <c r="NY941" s="147"/>
      <c r="NZ941" s="147"/>
      <c r="OA941" s="133"/>
      <c r="OB941" s="185">
        <v>3</v>
      </c>
      <c r="OD941" s="185"/>
      <c r="OE941" s="185"/>
      <c r="OF941" s="185"/>
      <c r="OG941" s="185"/>
      <c r="OH941" s="185"/>
      <c r="OI941" s="185"/>
      <c r="OJ941" s="185"/>
      <c r="OK941" s="185"/>
      <c r="OL941" s="185"/>
      <c r="OM941" s="185"/>
      <c r="ON941" s="185"/>
      <c r="OO941" s="185"/>
      <c r="OP941" s="185"/>
      <c r="OQ941" s="185"/>
      <c r="OR941" s="185"/>
      <c r="OS941" s="185"/>
      <c r="OT941" s="185"/>
      <c r="OU941" t="s">
        <v>1733</v>
      </c>
      <c r="OV941" s="185" t="s">
        <v>518</v>
      </c>
      <c r="OX941">
        <v>2020</v>
      </c>
      <c r="OY941">
        <v>2021</v>
      </c>
      <c r="PB941" t="s">
        <v>522</v>
      </c>
      <c r="PC941" s="50">
        <v>46148</v>
      </c>
    </row>
    <row r="942" spans="1:419" ht="17.25" thickBot="1">
      <c r="A942" s="205" t="s">
        <v>861</v>
      </c>
      <c r="B942" s="2" t="s">
        <v>1700</v>
      </c>
      <c r="C942" s="2" t="s">
        <v>1387</v>
      </c>
      <c r="D942" s="88" t="s">
        <v>668</v>
      </c>
      <c r="E942" s="2" t="s">
        <v>1701</v>
      </c>
      <c r="F942" s="88" t="s">
        <v>1702</v>
      </c>
      <c r="G942" s="2" t="s">
        <v>475</v>
      </c>
      <c r="H942" s="2" t="s">
        <v>476</v>
      </c>
      <c r="I942" s="88">
        <v>-11.474220000000001</v>
      </c>
      <c r="J942" s="88" t="s">
        <v>1703</v>
      </c>
      <c r="K942" s="88">
        <v>1000</v>
      </c>
      <c r="L942" s="2"/>
      <c r="M942" s="88"/>
      <c r="N942" s="2"/>
      <c r="O942" s="2"/>
      <c r="P942" s="2"/>
      <c r="Q942" s="2"/>
      <c r="R942" s="2"/>
      <c r="S942" s="2"/>
      <c r="T942" s="2"/>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c r="AV942" s="2" t="s">
        <v>1704</v>
      </c>
      <c r="AW942" s="2">
        <v>28</v>
      </c>
      <c r="AX942" s="2" t="s">
        <v>480</v>
      </c>
      <c r="AY942" s="2">
        <v>2</v>
      </c>
      <c r="AZ942" s="185" t="s">
        <v>1705</v>
      </c>
      <c r="BA942" s="185">
        <v>2020</v>
      </c>
      <c r="BB942" s="185">
        <v>2022</v>
      </c>
      <c r="BC942" s="185"/>
      <c r="BD942" s="185" t="s">
        <v>1760</v>
      </c>
      <c r="BE942" s="185" t="s">
        <v>636</v>
      </c>
      <c r="BF942" s="185" t="s">
        <v>484</v>
      </c>
      <c r="BG942" s="185" t="s">
        <v>1707</v>
      </c>
      <c r="BH942" s="185" t="s">
        <v>1708</v>
      </c>
      <c r="BI942" s="206" t="s">
        <v>1709</v>
      </c>
      <c r="BJ942" s="207">
        <v>4.4000000000000004</v>
      </c>
      <c r="BK942" s="185" t="s">
        <v>537</v>
      </c>
      <c r="BL942" s="185" t="s">
        <v>538</v>
      </c>
      <c r="BM942" s="185" t="s">
        <v>1713</v>
      </c>
      <c r="BN942" s="206" t="s">
        <v>1709</v>
      </c>
      <c r="BO942" s="207">
        <v>13.3</v>
      </c>
      <c r="BP942" s="185"/>
      <c r="BQ942" s="185"/>
      <c r="BR942" s="185"/>
      <c r="BS942" s="185"/>
      <c r="BT942" s="185"/>
      <c r="BU942" s="185"/>
      <c r="BV942" s="3"/>
      <c r="BW942" s="3"/>
      <c r="BX942" s="3"/>
      <c r="BY942" s="3"/>
      <c r="BZ942" s="3"/>
      <c r="CA942" s="3"/>
      <c r="CB942" s="3"/>
      <c r="CC942" s="3"/>
      <c r="CD942" s="3"/>
      <c r="CE942" s="3"/>
      <c r="CF942" s="3"/>
      <c r="CG942" s="3"/>
      <c r="CH942" s="3"/>
      <c r="CI942" s="3"/>
      <c r="CJ942" s="3"/>
      <c r="CK942" s="3"/>
      <c r="CL942" s="3"/>
      <c r="CM942" s="3"/>
      <c r="CN942" s="3"/>
      <c r="CO942" s="3"/>
      <c r="CP942" s="3"/>
      <c r="CQ942" s="3"/>
      <c r="CR942" s="3"/>
      <c r="CS942" s="3"/>
      <c r="CT942" s="3"/>
      <c r="CU942" s="3"/>
      <c r="CV942" s="3"/>
      <c r="CW942" s="3"/>
      <c r="CX942" s="3"/>
      <c r="CY942" s="3"/>
      <c r="CZ942" s="3"/>
      <c r="DA942" s="3"/>
      <c r="DB942" s="3"/>
      <c r="DC942" s="3"/>
      <c r="DD942" s="3"/>
      <c r="DE942" s="3"/>
      <c r="DF942" s="3"/>
      <c r="DG942" s="3"/>
      <c r="DH942" s="3"/>
      <c r="DI942" s="3"/>
      <c r="DJ942" s="3"/>
      <c r="DK942" s="3"/>
      <c r="DL942" s="3"/>
      <c r="DM942" s="3"/>
      <c r="DN942" s="3"/>
      <c r="DO942" s="3"/>
      <c r="DP942" s="3"/>
      <c r="DQ942" s="3"/>
      <c r="DR942" s="3"/>
      <c r="DS942" s="3"/>
      <c r="DT942" s="3"/>
      <c r="DU942" s="3"/>
      <c r="DV942" s="3"/>
      <c r="DW942" s="3"/>
      <c r="DX942" s="3"/>
      <c r="DY942" s="3"/>
      <c r="DZ942" s="3"/>
      <c r="EA942" s="3"/>
      <c r="EB942" s="3"/>
      <c r="EC942" s="3"/>
      <c r="ED942" s="2"/>
      <c r="EE942" s="185"/>
      <c r="EF942" s="185"/>
      <c r="EG942" s="185"/>
      <c r="EH942" s="185"/>
      <c r="EI942" s="185"/>
      <c r="EJ942" s="185"/>
      <c r="EK942" s="185"/>
      <c r="EL942" s="3"/>
      <c r="EM942" s="3"/>
      <c r="EN942" s="3"/>
      <c r="EO942" s="3"/>
      <c r="EP942" s="3"/>
      <c r="EQ942" s="3"/>
      <c r="ER942" s="3"/>
      <c r="ES942" s="3"/>
      <c r="ET942" s="3"/>
      <c r="EU942" s="3"/>
      <c r="EV942" s="3"/>
      <c r="EW942" s="3"/>
      <c r="EX942" s="3"/>
      <c r="EY942" s="3"/>
      <c r="EZ942" s="3"/>
      <c r="FA942" s="3"/>
      <c r="FB942" s="3"/>
      <c r="FC942" s="3"/>
      <c r="FD942" s="3"/>
      <c r="FE942" s="3"/>
      <c r="FF942" s="3"/>
      <c r="FG942" s="3"/>
      <c r="FH942" s="3"/>
      <c r="FI942" s="3"/>
      <c r="FJ942" s="3"/>
      <c r="FK942" s="3"/>
      <c r="FL942" s="3"/>
      <c r="FM942" s="3"/>
      <c r="FN942" s="3"/>
      <c r="FO942" s="3"/>
      <c r="FP942" s="3"/>
      <c r="FQ942" s="3"/>
      <c r="FR942" s="3"/>
      <c r="FS942" s="3"/>
      <c r="FT942" s="3"/>
      <c r="FU942" s="3"/>
      <c r="FV942" s="3"/>
      <c r="FW942" s="3"/>
      <c r="FX942" s="3"/>
      <c r="FY942" s="3"/>
      <c r="FZ942" s="3"/>
      <c r="GA942" s="3"/>
      <c r="GB942" s="3"/>
      <c r="GC942" s="3"/>
      <c r="GD942" s="3"/>
      <c r="GE942" s="3"/>
      <c r="GF942" s="3"/>
      <c r="GG942" s="3"/>
      <c r="GH942" s="3"/>
      <c r="GI942" s="3"/>
      <c r="GJ942" s="3"/>
      <c r="GK942" s="3"/>
      <c r="GL942" s="3"/>
      <c r="GM942" s="3"/>
      <c r="GN942" s="3"/>
      <c r="GO942" s="3"/>
      <c r="GP942" s="3"/>
      <c r="GQ942" s="3"/>
      <c r="GR942" s="3"/>
      <c r="GS942" s="3"/>
      <c r="GT942" s="3"/>
      <c r="GU942" s="3"/>
      <c r="GV942" s="3"/>
      <c r="GW942" s="3"/>
      <c r="GX942" s="3"/>
      <c r="GY942" s="3"/>
      <c r="GZ942" s="3"/>
      <c r="HA942" s="3"/>
      <c r="HB942" s="3"/>
      <c r="HC942" s="3"/>
      <c r="HD942" s="3"/>
      <c r="HE942" s="3"/>
      <c r="HF942" s="3"/>
      <c r="HG942" s="3"/>
      <c r="HH942" s="3"/>
      <c r="HI942" s="3"/>
      <c r="HJ942" s="3"/>
      <c r="HK942" s="185" t="s">
        <v>1747</v>
      </c>
      <c r="HL942" s="185" t="s">
        <v>526</v>
      </c>
      <c r="HM942" s="127" t="s">
        <v>480</v>
      </c>
      <c r="HN942" s="127" t="s">
        <v>480</v>
      </c>
      <c r="HO942" s="185" t="s">
        <v>480</v>
      </c>
      <c r="HP942" s="127" t="s">
        <v>480</v>
      </c>
      <c r="HQ942" s="185"/>
      <c r="HR942" s="185"/>
      <c r="HS942" s="206"/>
      <c r="HT942" s="185"/>
      <c r="HU942" s="185"/>
      <c r="HV942" s="185"/>
      <c r="HW942" s="185"/>
      <c r="HX942" s="215"/>
      <c r="HY942" s="185"/>
      <c r="HZ942" s="185"/>
      <c r="IA942" s="185"/>
      <c r="IB942" s="185"/>
      <c r="IC942" s="185"/>
      <c r="ID942" s="185"/>
      <c r="IE942" s="185"/>
      <c r="IF942" s="185"/>
      <c r="IG942" s="185"/>
      <c r="IH942" s="185" t="s">
        <v>1712</v>
      </c>
      <c r="II942" s="75" t="s">
        <v>929</v>
      </c>
      <c r="IJ942" s="148" t="s">
        <v>542</v>
      </c>
      <c r="IK942" s="210" t="s">
        <v>1715</v>
      </c>
      <c r="IL942" s="185">
        <v>2020</v>
      </c>
      <c r="IM942" s="185"/>
      <c r="IN942" s="185" t="s">
        <v>1716</v>
      </c>
      <c r="IO942" s="185"/>
      <c r="IP942" s="185"/>
      <c r="IQ942" s="185"/>
      <c r="IR942" s="185"/>
      <c r="IS942" s="185"/>
      <c r="IT942" s="185"/>
      <c r="IU942" s="185"/>
      <c r="IV942" s="185"/>
      <c r="IW942" s="185"/>
      <c r="IX942" s="2"/>
      <c r="IY942" s="2"/>
      <c r="IZ942" s="2"/>
      <c r="JA942" s="2"/>
      <c r="JB942" s="2"/>
      <c r="JC942" s="2"/>
      <c r="JD942" s="2"/>
      <c r="JE942" s="2"/>
      <c r="JF942" s="2"/>
      <c r="JG942" s="2"/>
      <c r="JH942" s="2"/>
      <c r="JI942" s="2"/>
      <c r="JJ942" s="2" t="s">
        <v>1727</v>
      </c>
      <c r="JK942" s="2" t="s">
        <v>682</v>
      </c>
      <c r="JL942" s="151"/>
      <c r="JM942" s="140"/>
      <c r="JN942" s="206"/>
      <c r="JO942" s="185"/>
      <c r="JP942" s="206"/>
      <c r="JQ942" s="185"/>
      <c r="JR942" s="185"/>
      <c r="JS942" s="185"/>
      <c r="JT942" s="185"/>
      <c r="JU942" s="185"/>
      <c r="JV942" s="140"/>
      <c r="JW942" s="140"/>
      <c r="JX942" s="206"/>
      <c r="JY942" s="185"/>
      <c r="JZ942" s="206"/>
      <c r="KA942" s="185"/>
      <c r="KB942" s="185"/>
      <c r="KC942" s="185"/>
      <c r="KD942" s="206"/>
      <c r="KE942" s="206"/>
      <c r="KF942" s="148"/>
      <c r="KG942" s="216"/>
      <c r="KH942" s="185"/>
      <c r="KI942" s="185"/>
      <c r="KJ942" s="185"/>
      <c r="KK942" s="185"/>
      <c r="KL942" s="206"/>
      <c r="KM942" s="185"/>
      <c r="KN942" s="148"/>
      <c r="KO942" s="216"/>
      <c r="KP942" s="185"/>
      <c r="KQ942" s="185"/>
      <c r="KR942" s="148"/>
      <c r="KS942" s="216"/>
      <c r="KT942" s="185"/>
      <c r="KU942" s="185"/>
      <c r="KV942" s="185"/>
      <c r="KW942" s="3"/>
      <c r="KX942" s="3"/>
      <c r="KY942" s="3"/>
      <c r="KZ942" s="3"/>
      <c r="LA942" s="206"/>
      <c r="LB942" s="206"/>
      <c r="LC942" s="206"/>
      <c r="LD942" s="206"/>
      <c r="LE942" s="206"/>
      <c r="LF942" s="206"/>
      <c r="LG942" s="206"/>
      <c r="LH942" s="206"/>
      <c r="LI942" s="206"/>
      <c r="LJ942" s="206"/>
      <c r="LK942" s="206"/>
      <c r="LL942" s="206"/>
      <c r="LM942" s="206"/>
      <c r="LN942" s="185"/>
      <c r="LO942" s="185"/>
      <c r="LP942" s="185"/>
      <c r="LQ942" s="185"/>
      <c r="LR942" s="185"/>
      <c r="LS942" s="185"/>
      <c r="LT942" s="185"/>
      <c r="LU942" s="185"/>
      <c r="LW942" s="2"/>
      <c r="LX942" s="2"/>
      <c r="LY942" s="2"/>
      <c r="LZ942" s="2"/>
      <c r="MA942" s="2"/>
      <c r="ME942" s="2"/>
      <c r="MF942" s="185"/>
      <c r="MG942" s="185"/>
      <c r="MH942" s="185"/>
      <c r="MI942" s="2"/>
      <c r="MJ942" s="2"/>
      <c r="MK942" s="2"/>
      <c r="ML942" s="2"/>
      <c r="MM942" s="2"/>
      <c r="MN942" s="2"/>
      <c r="MO942" s="2"/>
      <c r="MP942" s="2"/>
      <c r="MQ942" s="185"/>
      <c r="MR942" s="185"/>
      <c r="MS942" s="185"/>
      <c r="MT942" s="185"/>
      <c r="MU942" s="185"/>
      <c r="MV942" s="185"/>
      <c r="MW942" s="185"/>
      <c r="MX942" s="185"/>
      <c r="MY942" s="211" t="s">
        <v>1710</v>
      </c>
      <c r="MZ942" s="212">
        <v>16.25</v>
      </c>
      <c r="NI942" s="185"/>
      <c r="NJ942" s="185" t="s">
        <v>1728</v>
      </c>
      <c r="NK942" s="185" t="s">
        <v>1729</v>
      </c>
      <c r="NL942" s="185" t="s">
        <v>1730</v>
      </c>
      <c r="NM942" s="213" t="s">
        <v>1731</v>
      </c>
      <c r="NN942" s="185">
        <v>0</v>
      </c>
      <c r="NO942" s="185">
        <v>20</v>
      </c>
      <c r="NP942" s="185"/>
      <c r="NQ942" s="185"/>
      <c r="NR942" s="185"/>
      <c r="NS942" s="185"/>
      <c r="NT942" s="185"/>
      <c r="NU942" s="185" t="s">
        <v>611</v>
      </c>
      <c r="NV942" s="185" t="s">
        <v>518</v>
      </c>
      <c r="NW942" s="185">
        <v>47.61</v>
      </c>
      <c r="NX942" s="185" t="s">
        <v>480</v>
      </c>
      <c r="NY942" s="147"/>
      <c r="NZ942" s="147"/>
      <c r="OA942" s="133"/>
      <c r="OB942" s="185">
        <v>3</v>
      </c>
      <c r="OC942" s="185"/>
      <c r="OD942" s="185"/>
      <c r="OE942" s="185"/>
      <c r="OF942" s="185"/>
      <c r="OG942" s="185"/>
      <c r="OH942" s="185"/>
      <c r="OI942" s="185"/>
      <c r="OJ942" s="185"/>
      <c r="OK942" s="185"/>
      <c r="OL942" s="185"/>
      <c r="OM942" s="185"/>
      <c r="ON942" s="185"/>
      <c r="OO942" s="185"/>
      <c r="OP942" s="185"/>
      <c r="OQ942" s="185"/>
      <c r="OR942" s="185"/>
      <c r="OS942" s="185"/>
      <c r="OT942" s="185"/>
      <c r="OU942" t="s">
        <v>1733</v>
      </c>
      <c r="OV942" s="185" t="s">
        <v>518</v>
      </c>
      <c r="OX942">
        <v>2020</v>
      </c>
      <c r="OY942">
        <v>2021</v>
      </c>
      <c r="PB942" t="s">
        <v>522</v>
      </c>
      <c r="PC942" s="50">
        <v>46148</v>
      </c>
    </row>
    <row r="943" spans="1:419" ht="17.25" thickBot="1">
      <c r="A943" s="205" t="s">
        <v>861</v>
      </c>
      <c r="B943" s="2" t="s">
        <v>1700</v>
      </c>
      <c r="C943" s="2" t="s">
        <v>1387</v>
      </c>
      <c r="D943" s="88" t="s">
        <v>668</v>
      </c>
      <c r="E943" s="2" t="s">
        <v>1701</v>
      </c>
      <c r="F943" s="88" t="s">
        <v>1702</v>
      </c>
      <c r="G943" s="2" t="s">
        <v>475</v>
      </c>
      <c r="H943" s="2" t="s">
        <v>476</v>
      </c>
      <c r="I943" s="88">
        <v>-11.474220000000001</v>
      </c>
      <c r="J943" s="88" t="s">
        <v>1703</v>
      </c>
      <c r="K943" s="88">
        <v>1000</v>
      </c>
      <c r="L943" s="2"/>
      <c r="M943" s="88"/>
      <c r="N943" s="2"/>
      <c r="O943" s="2"/>
      <c r="P943" s="2"/>
      <c r="Q943" s="2"/>
      <c r="R943" s="2"/>
      <c r="S943" s="2"/>
      <c r="T943" s="2"/>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c r="AV943" s="2" t="s">
        <v>1704</v>
      </c>
      <c r="AW943" s="2">
        <v>28</v>
      </c>
      <c r="AX943" s="2" t="s">
        <v>480</v>
      </c>
      <c r="AY943" s="2">
        <v>2</v>
      </c>
      <c r="AZ943" s="185" t="s">
        <v>1705</v>
      </c>
      <c r="BA943" s="185">
        <v>2020</v>
      </c>
      <c r="BB943" s="185">
        <v>2022</v>
      </c>
      <c r="BC943" s="185"/>
      <c r="BD943" s="185" t="s">
        <v>1725</v>
      </c>
      <c r="BE943" s="185" t="s">
        <v>602</v>
      </c>
      <c r="BF943" s="185" t="s">
        <v>484</v>
      </c>
      <c r="BG943" s="185" t="s">
        <v>485</v>
      </c>
      <c r="BH943" s="185" t="s">
        <v>1719</v>
      </c>
      <c r="BI943" s="206" t="s">
        <v>1709</v>
      </c>
      <c r="BJ943" s="207">
        <v>4.4000000000000004</v>
      </c>
      <c r="BK943" s="185"/>
      <c r="BL943" s="185"/>
      <c r="BM943" s="185"/>
      <c r="BN943" s="185"/>
      <c r="BO943" s="185"/>
      <c r="BP943" s="185"/>
      <c r="BQ943" s="185"/>
      <c r="BR943" s="185"/>
      <c r="BS943" s="185"/>
      <c r="BT943" s="185"/>
      <c r="BU943" s="185"/>
      <c r="BV943" s="3"/>
      <c r="BW943" s="3"/>
      <c r="BX943" s="3"/>
      <c r="BY943" s="3"/>
      <c r="BZ943" s="3"/>
      <c r="CA943" s="3"/>
      <c r="CB943" s="3"/>
      <c r="CC943" s="3"/>
      <c r="CD943" s="3"/>
      <c r="CE943" s="3"/>
      <c r="CF943" s="3"/>
      <c r="CG943" s="3"/>
      <c r="CH943" s="3"/>
      <c r="CI943" s="3"/>
      <c r="CJ943" s="3"/>
      <c r="CK943" s="3"/>
      <c r="CL943" s="3"/>
      <c r="CM943" s="3"/>
      <c r="CN943" s="3"/>
      <c r="CO943" s="3"/>
      <c r="CP943" s="3"/>
      <c r="CQ943" s="3"/>
      <c r="CR943" s="3"/>
      <c r="CS943" s="3"/>
      <c r="CT943" s="3"/>
      <c r="CU943" s="3"/>
      <c r="CV943" s="3"/>
      <c r="CW943" s="3"/>
      <c r="CX943" s="3"/>
      <c r="CY943" s="3"/>
      <c r="CZ943" s="3"/>
      <c r="DA943" s="3"/>
      <c r="DB943" s="3"/>
      <c r="DC943" s="3"/>
      <c r="DD943" s="3"/>
      <c r="DE943" s="3"/>
      <c r="DF943" s="3"/>
      <c r="DG943" s="3"/>
      <c r="DH943" s="3"/>
      <c r="DI943" s="3"/>
      <c r="DJ943" s="3"/>
      <c r="DK943" s="3"/>
      <c r="DL943" s="3"/>
      <c r="DM943" s="3"/>
      <c r="DN943" s="3"/>
      <c r="DO943" s="3"/>
      <c r="DP943" s="3"/>
      <c r="DQ943" s="3"/>
      <c r="DR943" s="3"/>
      <c r="DS943" s="3"/>
      <c r="DT943" s="3"/>
      <c r="DU943" s="3"/>
      <c r="DV943" s="3"/>
      <c r="DW943" s="3"/>
      <c r="DX943" s="3"/>
      <c r="DY943" s="3"/>
      <c r="DZ943" s="3"/>
      <c r="EA943" s="3"/>
      <c r="EB943" s="3"/>
      <c r="EC943" s="3"/>
      <c r="ED943" s="2"/>
      <c r="EE943" s="185"/>
      <c r="EF943" s="185"/>
      <c r="EG943" s="185"/>
      <c r="EH943" s="185"/>
      <c r="EI943" s="185"/>
      <c r="EJ943" s="185"/>
      <c r="EK943" s="185"/>
      <c r="EL943" s="3"/>
      <c r="EM943" s="3"/>
      <c r="EN943" s="3"/>
      <c r="EO943" s="3"/>
      <c r="EP943" s="3"/>
      <c r="EQ943" s="3"/>
      <c r="ER943" s="3"/>
      <c r="ES943" s="3"/>
      <c r="ET943" s="3"/>
      <c r="EU943" s="3"/>
      <c r="EV943" s="3"/>
      <c r="EW943" s="3"/>
      <c r="EX943" s="3"/>
      <c r="EY943" s="3"/>
      <c r="EZ943" s="3"/>
      <c r="FA943" s="3"/>
      <c r="FB943" s="3"/>
      <c r="FC943" s="3"/>
      <c r="FD943" s="3"/>
      <c r="FE943" s="3"/>
      <c r="FF943" s="3"/>
      <c r="FG943" s="3"/>
      <c r="FH943" s="3"/>
      <c r="FI943" s="3"/>
      <c r="FJ943" s="3"/>
      <c r="FK943" s="3"/>
      <c r="FL943" s="3"/>
      <c r="FM943" s="3"/>
      <c r="FN943" s="3"/>
      <c r="FO943" s="3"/>
      <c r="FP943" s="3"/>
      <c r="FQ943" s="3"/>
      <c r="FR943" s="3"/>
      <c r="FS943" s="3"/>
      <c r="FT943" s="3"/>
      <c r="FU943" s="3"/>
      <c r="FV943" s="3"/>
      <c r="FW943" s="3"/>
      <c r="FX943" s="3"/>
      <c r="FY943" s="3"/>
      <c r="FZ943" s="3"/>
      <c r="GA943" s="3"/>
      <c r="GB943" s="3"/>
      <c r="GC943" s="3"/>
      <c r="GD943" s="3"/>
      <c r="GE943" s="3"/>
      <c r="GF943" s="3"/>
      <c r="GG943" s="3"/>
      <c r="GH943" s="3"/>
      <c r="GI943" s="3"/>
      <c r="GJ943" s="3"/>
      <c r="GK943" s="3"/>
      <c r="GL943" s="3"/>
      <c r="GM943" s="3"/>
      <c r="GN943" s="3"/>
      <c r="GO943" s="3"/>
      <c r="GP943" s="3"/>
      <c r="GQ943" s="3"/>
      <c r="GR943" s="3"/>
      <c r="GS943" s="3"/>
      <c r="GT943" s="3"/>
      <c r="GU943" s="3"/>
      <c r="GV943" s="3"/>
      <c r="GW943" s="3"/>
      <c r="GX943" s="3"/>
      <c r="GY943" s="3"/>
      <c r="GZ943" s="3"/>
      <c r="HA943" s="3"/>
      <c r="HB943" s="3"/>
      <c r="HC943" s="3"/>
      <c r="HD943" s="3"/>
      <c r="HE943" s="3"/>
      <c r="HF943" s="3"/>
      <c r="HG943" s="3"/>
      <c r="HH943" s="3"/>
      <c r="HI943" s="3"/>
      <c r="HJ943" s="3"/>
      <c r="HK943" s="185" t="s">
        <v>1726</v>
      </c>
      <c r="HL943" s="185" t="s">
        <v>1546</v>
      </c>
      <c r="HM943" s="127" t="s">
        <v>480</v>
      </c>
      <c r="HN943" s="127" t="s">
        <v>480</v>
      </c>
      <c r="HO943" s="127" t="s">
        <v>480</v>
      </c>
      <c r="HP943" s="127" t="s">
        <v>480</v>
      </c>
      <c r="HQ943" s="185"/>
      <c r="HR943" s="185"/>
      <c r="HS943" s="206"/>
      <c r="HT943" s="185"/>
      <c r="HU943" s="185"/>
      <c r="HV943" s="185"/>
      <c r="HW943" s="185"/>
      <c r="HX943" s="215"/>
      <c r="HY943" s="185"/>
      <c r="HZ943" s="185"/>
      <c r="IA943" s="185"/>
      <c r="IB943" s="185"/>
      <c r="IC943" s="185"/>
      <c r="ID943" s="185"/>
      <c r="IE943" s="185"/>
      <c r="IF943" s="185"/>
      <c r="IG943" s="185"/>
      <c r="IH943" s="185" t="s">
        <v>1723</v>
      </c>
      <c r="II943" s="148" t="s">
        <v>492</v>
      </c>
      <c r="IJ943" s="148"/>
      <c r="IK943" s="210"/>
      <c r="IL943" s="185"/>
      <c r="IM943" s="185"/>
      <c r="IN943" s="185"/>
      <c r="IO943" s="185"/>
      <c r="IP943" s="185"/>
      <c r="IQ943" s="185"/>
      <c r="IR943" s="185"/>
      <c r="IS943" s="185"/>
      <c r="IT943" s="185"/>
      <c r="IU943" s="185"/>
      <c r="IV943" s="185"/>
      <c r="IW943" s="185"/>
      <c r="IX943" s="2"/>
      <c r="IY943" s="2"/>
      <c r="IZ943" s="2"/>
      <c r="JA943" s="2"/>
      <c r="JB943" s="2"/>
      <c r="JC943" s="2"/>
      <c r="JD943" s="2"/>
      <c r="JE943" s="2"/>
      <c r="JF943" s="2"/>
      <c r="JG943" s="2"/>
      <c r="JH943" s="2"/>
      <c r="JI943" s="2"/>
      <c r="JJ943" s="2" t="s">
        <v>1727</v>
      </c>
      <c r="JK943" s="2" t="s">
        <v>682</v>
      </c>
      <c r="JL943" s="151"/>
      <c r="JM943" s="140"/>
      <c r="JN943" s="206"/>
      <c r="JO943" s="185"/>
      <c r="JP943" s="206"/>
      <c r="JQ943" s="185"/>
      <c r="JR943" s="185"/>
      <c r="JS943" s="185"/>
      <c r="JT943" s="185"/>
      <c r="JU943" s="185"/>
      <c r="JV943" s="140"/>
      <c r="JW943" s="140"/>
      <c r="JX943" s="206"/>
      <c r="JY943" s="185"/>
      <c r="JZ943" s="206"/>
      <c r="KA943" s="185"/>
      <c r="KB943" s="185"/>
      <c r="KC943" s="185"/>
      <c r="KD943" s="206"/>
      <c r="KE943" s="206"/>
      <c r="KF943" s="148"/>
      <c r="KG943" s="216"/>
      <c r="KH943" s="185"/>
      <c r="KI943" s="185"/>
      <c r="KJ943" s="185"/>
      <c r="KK943" s="185"/>
      <c r="KL943" s="206"/>
      <c r="KM943" s="185"/>
      <c r="KN943" s="148"/>
      <c r="KO943" s="216"/>
      <c r="KP943" s="185"/>
      <c r="KQ943" s="185"/>
      <c r="KR943" s="148"/>
      <c r="KS943" s="216"/>
      <c r="KT943" s="185"/>
      <c r="KU943" s="185"/>
      <c r="KV943" s="185"/>
      <c r="KW943" s="3"/>
      <c r="KX943" s="3"/>
      <c r="KY943" s="3"/>
      <c r="KZ943" s="3"/>
      <c r="LA943" s="206"/>
      <c r="LB943" s="206"/>
      <c r="LC943" s="206"/>
      <c r="LD943" s="206"/>
      <c r="LE943" s="206"/>
      <c r="LF943" s="206"/>
      <c r="LG943" s="206"/>
      <c r="LH943" s="206"/>
      <c r="LI943" s="206"/>
      <c r="LJ943" s="206"/>
      <c r="LK943" s="206"/>
      <c r="LL943" s="206"/>
      <c r="LM943" s="206"/>
      <c r="LN943" s="185"/>
      <c r="LO943" s="185"/>
      <c r="LP943" s="185"/>
      <c r="LQ943" s="185"/>
      <c r="LR943" s="185"/>
      <c r="LS943" s="185"/>
      <c r="LT943" s="185"/>
      <c r="LU943" s="185"/>
      <c r="LW943" s="2"/>
      <c r="LX943" s="2"/>
      <c r="LY943" s="2"/>
      <c r="LZ943" s="2"/>
      <c r="MA943" s="2"/>
      <c r="ME943" s="2"/>
      <c r="MF943" s="185"/>
      <c r="MG943" s="185"/>
      <c r="MH943" s="185"/>
      <c r="MI943" s="2"/>
      <c r="MJ943" s="2"/>
      <c r="MK943" s="2"/>
      <c r="ML943" s="2"/>
      <c r="MM943" s="2"/>
      <c r="MN943" s="2"/>
      <c r="MO943" s="2"/>
      <c r="MP943" s="2"/>
      <c r="MQ943" s="185"/>
      <c r="MR943" s="185"/>
      <c r="MS943" s="185"/>
      <c r="MT943" s="185"/>
      <c r="MU943" s="185"/>
      <c r="MV943" s="185"/>
      <c r="MW943" s="185"/>
      <c r="MX943" s="185"/>
      <c r="MY943" s="211" t="s">
        <v>1710</v>
      </c>
      <c r="MZ943" s="212">
        <v>16.25</v>
      </c>
      <c r="NI943" s="185"/>
      <c r="NJ943" s="185" t="s">
        <v>1728</v>
      </c>
      <c r="NK943" s="185" t="s">
        <v>1729</v>
      </c>
      <c r="NL943" s="185" t="s">
        <v>1730</v>
      </c>
      <c r="NM943" s="213" t="s">
        <v>1731</v>
      </c>
      <c r="NN943" s="185">
        <v>0</v>
      </c>
      <c r="NO943" s="185">
        <v>20</v>
      </c>
      <c r="NP943" s="185"/>
      <c r="NQ943" s="185"/>
      <c r="NR943" s="185"/>
      <c r="NS943" s="185"/>
      <c r="NT943" s="185"/>
      <c r="NU943" s="185" t="s">
        <v>1732</v>
      </c>
      <c r="NV943" s="185" t="s">
        <v>518</v>
      </c>
      <c r="NW943">
        <v>38.239999999999995</v>
      </c>
      <c r="NX943" s="185" t="s">
        <v>480</v>
      </c>
      <c r="NY943" s="147"/>
      <c r="NZ943" s="147"/>
      <c r="OA943" s="133"/>
      <c r="OB943" s="185">
        <v>3</v>
      </c>
      <c r="OD943" s="185"/>
      <c r="OF943" s="185"/>
      <c r="OG943" s="185"/>
      <c r="OH943" s="185"/>
      <c r="OI943" s="185"/>
      <c r="OJ943" s="185"/>
      <c r="OK943" s="185"/>
      <c r="OL943" s="185"/>
      <c r="OM943" s="185"/>
      <c r="ON943" s="185"/>
      <c r="OO943" s="185"/>
      <c r="OP943" s="185"/>
      <c r="OQ943" s="185"/>
      <c r="OR943" s="185"/>
      <c r="OS943" s="185"/>
      <c r="OT943" s="185"/>
      <c r="OU943" t="s">
        <v>1733</v>
      </c>
      <c r="OV943" s="185" t="s">
        <v>518</v>
      </c>
      <c r="OX943">
        <v>2021</v>
      </c>
      <c r="OY943">
        <v>2022</v>
      </c>
      <c r="PB943" t="s">
        <v>522</v>
      </c>
      <c r="PC943" s="50">
        <v>46148</v>
      </c>
    </row>
    <row r="944" spans="1:419" ht="17.25" thickBot="1">
      <c r="A944" s="205" t="s">
        <v>861</v>
      </c>
      <c r="B944" s="2" t="s">
        <v>1700</v>
      </c>
      <c r="C944" s="2" t="s">
        <v>1387</v>
      </c>
      <c r="D944" s="88" t="s">
        <v>668</v>
      </c>
      <c r="E944" s="2" t="s">
        <v>1701</v>
      </c>
      <c r="F944" s="88" t="s">
        <v>1702</v>
      </c>
      <c r="G944" s="2" t="s">
        <v>475</v>
      </c>
      <c r="H944" s="2" t="s">
        <v>476</v>
      </c>
      <c r="I944" s="88">
        <v>-11.474220000000001</v>
      </c>
      <c r="J944" s="88" t="s">
        <v>1703</v>
      </c>
      <c r="K944" s="88">
        <v>1000</v>
      </c>
      <c r="L944" s="2"/>
      <c r="M944" s="88"/>
      <c r="N944" s="2"/>
      <c r="O944" s="2"/>
      <c r="P944" s="2"/>
      <c r="Q944" s="2"/>
      <c r="R944" s="2"/>
      <c r="S944" s="2"/>
      <c r="T944" s="2"/>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c r="AV944" s="2" t="s">
        <v>1704</v>
      </c>
      <c r="AW944" s="2">
        <v>28</v>
      </c>
      <c r="AX944" s="2" t="s">
        <v>480</v>
      </c>
      <c r="AY944" s="2">
        <v>2</v>
      </c>
      <c r="AZ944" s="185" t="s">
        <v>1705</v>
      </c>
      <c r="BA944" s="185">
        <v>2020</v>
      </c>
      <c r="BB944" s="185">
        <v>2022</v>
      </c>
      <c r="BC944" s="185"/>
      <c r="BD944" s="185" t="s">
        <v>1734</v>
      </c>
      <c r="BE944" s="185" t="s">
        <v>621</v>
      </c>
      <c r="BF944" s="185" t="s">
        <v>484</v>
      </c>
      <c r="BG944" s="185" t="s">
        <v>485</v>
      </c>
      <c r="BH944" s="185" t="s">
        <v>1719</v>
      </c>
      <c r="BI944" s="206" t="s">
        <v>1709</v>
      </c>
      <c r="BJ944" s="207">
        <v>4.4000000000000004</v>
      </c>
      <c r="BK944" s="185"/>
      <c r="BL944" s="185"/>
      <c r="BM944" s="185"/>
      <c r="BN944" s="185"/>
      <c r="BO944" s="185"/>
      <c r="BP944" s="185"/>
      <c r="BQ944" s="185"/>
      <c r="BR944" s="185"/>
      <c r="BS944" s="185"/>
      <c r="BT944" s="185"/>
      <c r="BU944" s="185"/>
      <c r="BV944" s="3"/>
      <c r="BW944" s="3"/>
      <c r="BX944" s="3"/>
      <c r="BY944" s="3"/>
      <c r="BZ944" s="3"/>
      <c r="CA944" s="3"/>
      <c r="CB944" s="3"/>
      <c r="CC944" s="3"/>
      <c r="CD944" s="3"/>
      <c r="CE944" s="3"/>
      <c r="CF944" s="3"/>
      <c r="CG944" s="3"/>
      <c r="CH944" s="3"/>
      <c r="CI944" s="3"/>
      <c r="CJ944" s="3"/>
      <c r="CK944" s="3"/>
      <c r="CL944" s="3"/>
      <c r="CM944" s="3"/>
      <c r="CN944" s="3"/>
      <c r="CO944" s="3"/>
      <c r="CP944" s="3"/>
      <c r="CQ944" s="3"/>
      <c r="CR944" s="3"/>
      <c r="CS944" s="3"/>
      <c r="CT944" s="3"/>
      <c r="CU944" s="3"/>
      <c r="CV944" s="3"/>
      <c r="CW944" s="3"/>
      <c r="CX944" s="3"/>
      <c r="CY944" s="3"/>
      <c r="CZ944" s="3"/>
      <c r="DA944" s="3"/>
      <c r="DB944" s="3"/>
      <c r="DC944" s="3"/>
      <c r="DD944" s="3"/>
      <c r="DE944" s="3"/>
      <c r="DF944" s="3"/>
      <c r="DG944" s="3"/>
      <c r="DH944" s="3"/>
      <c r="DI944" s="3"/>
      <c r="DJ944" s="3"/>
      <c r="DK944" s="3"/>
      <c r="DL944" s="3"/>
      <c r="DM944" s="3"/>
      <c r="DN944" s="3"/>
      <c r="DO944" s="3"/>
      <c r="DP944" s="3"/>
      <c r="DQ944" s="3"/>
      <c r="DR944" s="3"/>
      <c r="DS944" s="3"/>
      <c r="DT944" s="3"/>
      <c r="DU944" s="3"/>
      <c r="DV944" s="3"/>
      <c r="DW944" s="3"/>
      <c r="DX944" s="3"/>
      <c r="DY944" s="3"/>
      <c r="DZ944" s="3"/>
      <c r="EA944" s="3"/>
      <c r="EB944" s="3"/>
      <c r="EC944" s="3"/>
      <c r="ED944" s="2"/>
      <c r="EE944" s="185"/>
      <c r="EF944" s="185"/>
      <c r="EG944" s="185"/>
      <c r="EH944" s="185"/>
      <c r="EI944" s="185"/>
      <c r="EJ944" s="185"/>
      <c r="EK944" s="185"/>
      <c r="EL944" s="3"/>
      <c r="EM944" s="3"/>
      <c r="EN944" s="3"/>
      <c r="EO944" s="3"/>
      <c r="EP944" s="3"/>
      <c r="EQ944" s="3"/>
      <c r="ER944" s="3"/>
      <c r="ES944" s="3"/>
      <c r="ET944" s="3"/>
      <c r="EU944" s="3"/>
      <c r="EV944" s="3"/>
      <c r="EW944" s="3"/>
      <c r="EX944" s="3"/>
      <c r="EY944" s="3"/>
      <c r="EZ944" s="3"/>
      <c r="FA944" s="3"/>
      <c r="FB944" s="3"/>
      <c r="FC944" s="3"/>
      <c r="FD944" s="3"/>
      <c r="FE944" s="3"/>
      <c r="FF944" s="3"/>
      <c r="FG944" s="3"/>
      <c r="FH944" s="3"/>
      <c r="FI944" s="3"/>
      <c r="FJ944" s="3"/>
      <c r="FK944" s="3"/>
      <c r="FL944" s="3"/>
      <c r="FM944" s="3"/>
      <c r="FN944" s="3"/>
      <c r="FO944" s="3"/>
      <c r="FP944" s="3"/>
      <c r="FQ944" s="3"/>
      <c r="FR944" s="3"/>
      <c r="FS944" s="3"/>
      <c r="FT944" s="3"/>
      <c r="FU944" s="3"/>
      <c r="FV944" s="3"/>
      <c r="FW944" s="3"/>
      <c r="FX944" s="3"/>
      <c r="FY944" s="3"/>
      <c r="FZ944" s="3"/>
      <c r="GA944" s="3"/>
      <c r="GB944" s="3"/>
      <c r="GC944" s="3"/>
      <c r="GD944" s="3"/>
      <c r="GE944" s="3"/>
      <c r="GF944" s="3"/>
      <c r="GG944" s="3"/>
      <c r="GH944" s="3"/>
      <c r="GI944" s="3"/>
      <c r="GJ944" s="3"/>
      <c r="GK944" s="3"/>
      <c r="GL944" s="3"/>
      <c r="GM944" s="3"/>
      <c r="GN944" s="3"/>
      <c r="GO944" s="3"/>
      <c r="GP944" s="3"/>
      <c r="GQ944" s="3"/>
      <c r="GR944" s="3"/>
      <c r="GS944" s="3"/>
      <c r="GT944" s="3"/>
      <c r="GU944" s="3"/>
      <c r="GV944" s="3"/>
      <c r="GW944" s="3"/>
      <c r="GX944" s="3"/>
      <c r="GY944" s="3"/>
      <c r="GZ944" s="3"/>
      <c r="HA944" s="3"/>
      <c r="HB944" s="3"/>
      <c r="HC944" s="3"/>
      <c r="HD944" s="3"/>
      <c r="HE944" s="3"/>
      <c r="HF944" s="3"/>
      <c r="HG944" s="3"/>
      <c r="HH944" s="3"/>
      <c r="HI944" s="3"/>
      <c r="HJ944" s="3"/>
      <c r="HK944" s="185" t="s">
        <v>1726</v>
      </c>
      <c r="HL944" s="185" t="s">
        <v>1546</v>
      </c>
      <c r="HM944" s="127" t="s">
        <v>480</v>
      </c>
      <c r="HN944" s="127" t="s">
        <v>480</v>
      </c>
      <c r="HO944" s="127" t="s">
        <v>480</v>
      </c>
      <c r="HP944" s="127" t="s">
        <v>480</v>
      </c>
      <c r="HQ944" s="185"/>
      <c r="HR944" s="185"/>
      <c r="HS944" s="206"/>
      <c r="HT944" s="185"/>
      <c r="HU944" s="185"/>
      <c r="HV944" s="185"/>
      <c r="HW944" s="185"/>
      <c r="HX944" s="215"/>
      <c r="HY944" s="185"/>
      <c r="HZ944" s="185"/>
      <c r="IA944" s="185"/>
      <c r="IB944" s="185"/>
      <c r="IC944" s="185"/>
      <c r="ID944" s="185"/>
      <c r="IE944" s="185"/>
      <c r="IF944" s="185"/>
      <c r="IG944" s="185"/>
      <c r="IH944" s="185" t="s">
        <v>1735</v>
      </c>
      <c r="II944" s="148" t="s">
        <v>492</v>
      </c>
      <c r="IJ944" s="148"/>
      <c r="IK944" s="210"/>
      <c r="IL944" s="185"/>
      <c r="IM944" s="185"/>
      <c r="IN944" s="185"/>
      <c r="IO944" s="185"/>
      <c r="IP944" s="185"/>
      <c r="IQ944" s="185"/>
      <c r="IR944" s="185"/>
      <c r="IS944" s="185"/>
      <c r="IT944" s="185"/>
      <c r="IU944" s="185"/>
      <c r="IV944" s="185"/>
      <c r="IW944" s="185"/>
      <c r="IX944" s="2"/>
      <c r="IY944" s="2"/>
      <c r="IZ944" s="2"/>
      <c r="JA944" s="2"/>
      <c r="JB944" s="2"/>
      <c r="JC944" s="2"/>
      <c r="JD944" s="2"/>
      <c r="JE944" s="2"/>
      <c r="JF944" s="2"/>
      <c r="JG944" s="2"/>
      <c r="JH944" s="2"/>
      <c r="JI944" s="2"/>
      <c r="JJ944" s="2" t="s">
        <v>1736</v>
      </c>
      <c r="JK944" s="2" t="s">
        <v>494</v>
      </c>
      <c r="JL944" s="151" t="s">
        <v>495</v>
      </c>
      <c r="JM944" s="140"/>
      <c r="JN944" s="206"/>
      <c r="JO944" s="185"/>
      <c r="JP944" s="206" t="s">
        <v>508</v>
      </c>
      <c r="JQ944" s="185">
        <v>90</v>
      </c>
      <c r="JR944" s="185"/>
      <c r="JS944" s="185"/>
      <c r="JT944" s="185"/>
      <c r="JU944" s="185"/>
      <c r="JV944" s="140"/>
      <c r="JW944" s="140"/>
      <c r="JX944" s="206"/>
      <c r="JY944" s="185"/>
      <c r="JZ944" s="206"/>
      <c r="KA944" s="185"/>
      <c r="KB944" s="185"/>
      <c r="KC944" s="185"/>
      <c r="KD944" s="206"/>
      <c r="KE944" s="206"/>
      <c r="KF944" s="148"/>
      <c r="KG944" s="216"/>
      <c r="KH944" s="185"/>
      <c r="KI944" s="185"/>
      <c r="KJ944" s="185"/>
      <c r="KK944" s="185"/>
      <c r="KL944" s="206"/>
      <c r="KM944" s="185"/>
      <c r="KN944" s="148"/>
      <c r="KO944" s="216"/>
      <c r="KP944" s="185"/>
      <c r="KQ944" s="185"/>
      <c r="KR944" s="148"/>
      <c r="KS944" s="216"/>
      <c r="KT944" s="185"/>
      <c r="KU944" s="185"/>
      <c r="KV944" s="185"/>
      <c r="KW944" s="3"/>
      <c r="KX944" s="3"/>
      <c r="KY944" s="3"/>
      <c r="KZ944" s="3"/>
      <c r="LA944" s="206"/>
      <c r="LB944" s="206"/>
      <c r="LC944" s="206"/>
      <c r="LD944" s="206"/>
      <c r="LE944" s="206"/>
      <c r="LF944" s="206"/>
      <c r="LG944" s="206"/>
      <c r="LH944" s="206"/>
      <c r="LI944" s="206"/>
      <c r="LJ944" s="206"/>
      <c r="LK944" s="206"/>
      <c r="LL944" s="206"/>
      <c r="LM944" s="206"/>
      <c r="LN944" s="185"/>
      <c r="LO944" s="185"/>
      <c r="LP944" s="185"/>
      <c r="LQ944" s="185"/>
      <c r="LR944" s="185"/>
      <c r="LS944" s="185"/>
      <c r="LT944" s="185"/>
      <c r="LU944" s="185"/>
      <c r="LW944" s="2"/>
      <c r="LX944" s="2"/>
      <c r="LY944" s="2"/>
      <c r="LZ944" s="2"/>
      <c r="MA944" s="2"/>
      <c r="ME944" s="2"/>
      <c r="MF944" s="185"/>
      <c r="MG944" s="185"/>
      <c r="MH944" s="185"/>
      <c r="MI944" s="2"/>
      <c r="MJ944" s="2"/>
      <c r="MK944" s="2"/>
      <c r="ML944" s="2"/>
      <c r="MM944" s="2"/>
      <c r="MN944" s="2"/>
      <c r="MO944" s="2"/>
      <c r="MP944" s="2"/>
      <c r="MQ944" s="185"/>
      <c r="MR944" s="185"/>
      <c r="MS944" s="185"/>
      <c r="MT944" s="185"/>
      <c r="MU944" s="185"/>
      <c r="MV944" s="185"/>
      <c r="MW944" s="185"/>
      <c r="MX944" s="185"/>
      <c r="MY944" s="217"/>
      <c r="MZ944" s="218"/>
      <c r="NI944" s="185"/>
      <c r="NJ944" s="185" t="s">
        <v>1728</v>
      </c>
      <c r="NK944" s="185" t="s">
        <v>1729</v>
      </c>
      <c r="NL944" s="185" t="s">
        <v>1730</v>
      </c>
      <c r="NM944" s="213" t="s">
        <v>1731</v>
      </c>
      <c r="NN944" s="185">
        <v>0</v>
      </c>
      <c r="NO944" s="185">
        <v>20</v>
      </c>
      <c r="NP944" s="185"/>
      <c r="NQ944" s="185"/>
      <c r="NR944" s="185"/>
      <c r="NS944" s="185"/>
      <c r="NT944" s="185"/>
      <c r="NU944" s="185" t="s">
        <v>1737</v>
      </c>
      <c r="NV944" s="185" t="s">
        <v>518</v>
      </c>
      <c r="NW944">
        <v>46.709999999999994</v>
      </c>
      <c r="NX944" s="185" t="s">
        <v>480</v>
      </c>
      <c r="NY944" s="147"/>
      <c r="NZ944" s="147"/>
      <c r="OA944" s="133"/>
      <c r="OB944" s="185">
        <v>3</v>
      </c>
      <c r="OC944" s="185"/>
      <c r="OD944" s="185"/>
      <c r="OE944" s="185"/>
      <c r="OF944" s="185"/>
      <c r="OG944" s="185"/>
      <c r="OH944" s="185"/>
      <c r="OI944" s="185"/>
      <c r="OJ944" s="185"/>
      <c r="OK944" s="185"/>
      <c r="OL944" s="185"/>
      <c r="OM944" s="185"/>
      <c r="ON944" s="185"/>
      <c r="OO944" s="185"/>
      <c r="OP944" s="185"/>
      <c r="OQ944" s="185"/>
      <c r="OR944" s="185"/>
      <c r="OS944" s="185"/>
      <c r="OT944" s="185"/>
      <c r="OU944" t="s">
        <v>1733</v>
      </c>
      <c r="OV944" s="185" t="s">
        <v>518</v>
      </c>
      <c r="OW944" s="185"/>
      <c r="OX944">
        <v>2021</v>
      </c>
      <c r="OY944">
        <v>2022</v>
      </c>
      <c r="OZ944" s="185"/>
      <c r="PA944" s="185"/>
      <c r="PB944" t="s">
        <v>522</v>
      </c>
      <c r="PC944" s="50">
        <v>46148</v>
      </c>
    </row>
    <row r="945" spans="1:419" ht="17.25" thickBot="1">
      <c r="A945" s="205" t="s">
        <v>861</v>
      </c>
      <c r="B945" s="2" t="s">
        <v>1700</v>
      </c>
      <c r="C945" s="2" t="s">
        <v>1387</v>
      </c>
      <c r="D945" s="88" t="s">
        <v>668</v>
      </c>
      <c r="E945" s="2" t="s">
        <v>1701</v>
      </c>
      <c r="F945" s="88" t="s">
        <v>1702</v>
      </c>
      <c r="G945" s="2" t="s">
        <v>475</v>
      </c>
      <c r="H945" s="2" t="s">
        <v>476</v>
      </c>
      <c r="I945" s="88">
        <v>-11.474220000000001</v>
      </c>
      <c r="J945" s="88" t="s">
        <v>1703</v>
      </c>
      <c r="K945" s="88">
        <v>1000</v>
      </c>
      <c r="L945" s="2"/>
      <c r="M945" s="88"/>
      <c r="N945" s="2"/>
      <c r="O945" s="2"/>
      <c r="P945" s="2"/>
      <c r="Q945" s="2"/>
      <c r="R945" s="2"/>
      <c r="S945" s="2"/>
      <c r="T945" s="2"/>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c r="AV945" s="2" t="s">
        <v>1704</v>
      </c>
      <c r="AW945" s="2">
        <v>28</v>
      </c>
      <c r="AX945" s="2" t="s">
        <v>480</v>
      </c>
      <c r="AY945" s="2">
        <v>2</v>
      </c>
      <c r="AZ945" s="185" t="s">
        <v>1705</v>
      </c>
      <c r="BA945" s="185">
        <v>2020</v>
      </c>
      <c r="BB945" s="185">
        <v>2022</v>
      </c>
      <c r="BC945" s="185"/>
      <c r="BD945" s="185" t="s">
        <v>1738</v>
      </c>
      <c r="BE945" s="185" t="s">
        <v>630</v>
      </c>
      <c r="BF945" s="185" t="s">
        <v>484</v>
      </c>
      <c r="BG945" s="185" t="s">
        <v>538</v>
      </c>
      <c r="BH945" s="185" t="s">
        <v>1713</v>
      </c>
      <c r="BI945" s="206" t="s">
        <v>1709</v>
      </c>
      <c r="BJ945" s="207">
        <v>13.3</v>
      </c>
      <c r="BK945" s="185"/>
      <c r="BL945" s="185"/>
      <c r="BM945" s="185"/>
      <c r="BN945" s="185"/>
      <c r="BO945" s="185"/>
      <c r="BP945" s="185"/>
      <c r="BQ945" s="185"/>
      <c r="BR945" s="185"/>
      <c r="BS945" s="185"/>
      <c r="BT945" s="185"/>
      <c r="BU945" s="185"/>
      <c r="BV945" s="3"/>
      <c r="BW945" s="3"/>
      <c r="BX945" s="3"/>
      <c r="BY945" s="3"/>
      <c r="BZ945" s="3"/>
      <c r="CA945" s="3"/>
      <c r="CB945" s="3"/>
      <c r="CC945" s="3"/>
      <c r="CD945" s="3"/>
      <c r="CE945" s="3"/>
      <c r="CF945" s="3"/>
      <c r="CG945" s="3"/>
      <c r="CH945" s="3"/>
      <c r="CI945" s="3"/>
      <c r="CJ945" s="3"/>
      <c r="CK945" s="3"/>
      <c r="CL945" s="3"/>
      <c r="CM945" s="3"/>
      <c r="CN945" s="3"/>
      <c r="CO945" s="3"/>
      <c r="CP945" s="3"/>
      <c r="CQ945" s="3"/>
      <c r="CR945" s="3"/>
      <c r="CS945" s="3"/>
      <c r="CT945" s="3"/>
      <c r="CU945" s="3"/>
      <c r="CV945" s="3"/>
      <c r="CW945" s="3"/>
      <c r="CX945" s="3"/>
      <c r="CY945" s="3"/>
      <c r="CZ945" s="3"/>
      <c r="DA945" s="3"/>
      <c r="DB945" s="3"/>
      <c r="DC945" s="3"/>
      <c r="DD945" s="3"/>
      <c r="DE945" s="3"/>
      <c r="DF945" s="3"/>
      <c r="DG945" s="3"/>
      <c r="DH945" s="3"/>
      <c r="DI945" s="3"/>
      <c r="DJ945" s="3"/>
      <c r="DK945" s="3"/>
      <c r="DL945" s="3"/>
      <c r="DM945" s="3"/>
      <c r="DN945" s="3"/>
      <c r="DO945" s="3"/>
      <c r="DP945" s="3"/>
      <c r="DQ945" s="3"/>
      <c r="DR945" s="3"/>
      <c r="DS945" s="3"/>
      <c r="DT945" s="3"/>
      <c r="DU945" s="3"/>
      <c r="DV945" s="3"/>
      <c r="DW945" s="3"/>
      <c r="DX945" s="3"/>
      <c r="DY945" s="3"/>
      <c r="DZ945" s="3"/>
      <c r="EA945" s="3"/>
      <c r="EB945" s="3"/>
      <c r="EC945" s="3"/>
      <c r="ED945" s="2"/>
      <c r="EE945" s="185"/>
      <c r="EF945" s="185"/>
      <c r="EG945" s="185"/>
      <c r="EH945" s="185"/>
      <c r="EI945" s="185"/>
      <c r="EJ945" s="185"/>
      <c r="EK945" s="185"/>
      <c r="EL945" s="3"/>
      <c r="EM945" s="3"/>
      <c r="EN945" s="3"/>
      <c r="EO945" s="3"/>
      <c r="EP945" s="3"/>
      <c r="EQ945" s="3"/>
      <c r="ER945" s="3"/>
      <c r="ES945" s="3"/>
      <c r="ET945" s="3"/>
      <c r="EU945" s="3"/>
      <c r="EV945" s="3"/>
      <c r="EW945" s="3"/>
      <c r="EX945" s="3"/>
      <c r="EY945" s="3"/>
      <c r="EZ945" s="3"/>
      <c r="FA945" s="3"/>
      <c r="FB945" s="3"/>
      <c r="FC945" s="3"/>
      <c r="FD945" s="3"/>
      <c r="FE945" s="3"/>
      <c r="FF945" s="3"/>
      <c r="FG945" s="3"/>
      <c r="FH945" s="3"/>
      <c r="FI945" s="3"/>
      <c r="FJ945" s="3"/>
      <c r="FK945" s="3"/>
      <c r="FL945" s="3"/>
      <c r="FM945" s="3"/>
      <c r="FN945" s="3"/>
      <c r="FO945" s="3"/>
      <c r="FP945" s="3"/>
      <c r="FQ945" s="3"/>
      <c r="FR945" s="3"/>
      <c r="FS945" s="3"/>
      <c r="FT945" s="3"/>
      <c r="FU945" s="3"/>
      <c r="FV945" s="3"/>
      <c r="FW945" s="3"/>
      <c r="FX945" s="3"/>
      <c r="FY945" s="3"/>
      <c r="FZ945" s="3"/>
      <c r="GA945" s="3"/>
      <c r="GB945" s="3"/>
      <c r="GC945" s="3"/>
      <c r="GD945" s="3"/>
      <c r="GE945" s="3"/>
      <c r="GF945" s="3"/>
      <c r="GG945" s="3"/>
      <c r="GH945" s="3"/>
      <c r="GI945" s="3"/>
      <c r="GJ945" s="3"/>
      <c r="GK945" s="3"/>
      <c r="GL945" s="3"/>
      <c r="GM945" s="3"/>
      <c r="GN945" s="3"/>
      <c r="GO945" s="3"/>
      <c r="GP945" s="3"/>
      <c r="GQ945" s="3"/>
      <c r="GR945" s="3"/>
      <c r="GS945" s="3"/>
      <c r="GT945" s="3"/>
      <c r="GU945" s="3"/>
      <c r="GV945" s="3"/>
      <c r="GW945" s="3"/>
      <c r="GX945" s="3"/>
      <c r="GY945" s="3"/>
      <c r="GZ945" s="3"/>
      <c r="HA945" s="3"/>
      <c r="HB945" s="3"/>
      <c r="HC945" s="3"/>
      <c r="HD945" s="3"/>
      <c r="HE945" s="3"/>
      <c r="HF945" s="3"/>
      <c r="HG945" s="3"/>
      <c r="HH945" s="3"/>
      <c r="HI945" s="3"/>
      <c r="HJ945" s="3"/>
      <c r="HK945" s="185" t="s">
        <v>1726</v>
      </c>
      <c r="HL945" s="185" t="s">
        <v>1546</v>
      </c>
      <c r="HM945" s="127" t="s">
        <v>480</v>
      </c>
      <c r="HN945" s="127" t="s">
        <v>480</v>
      </c>
      <c r="HO945" s="127" t="s">
        <v>480</v>
      </c>
      <c r="HP945" s="127" t="s">
        <v>480</v>
      </c>
      <c r="HQ945" s="185"/>
      <c r="HR945" s="185"/>
      <c r="HS945" s="206"/>
      <c r="HT945" s="185"/>
      <c r="HU945" s="185"/>
      <c r="HV945" s="185"/>
      <c r="HW945" s="185"/>
      <c r="HX945" s="215"/>
      <c r="HY945" s="185"/>
      <c r="HZ945" s="185"/>
      <c r="IA945" s="185"/>
      <c r="IB945" s="185"/>
      <c r="IC945" s="185"/>
      <c r="ID945" s="185"/>
      <c r="IE945" s="185"/>
      <c r="IF945" s="185"/>
      <c r="IG945" s="185"/>
      <c r="IH945" s="185" t="s">
        <v>1721</v>
      </c>
      <c r="II945" s="148" t="s">
        <v>492</v>
      </c>
      <c r="IJ945" s="148"/>
      <c r="IK945" s="210"/>
      <c r="IL945" s="185"/>
      <c r="IM945" s="185"/>
      <c r="IN945" s="185"/>
      <c r="IO945" s="185"/>
      <c r="IP945" s="185"/>
      <c r="IQ945" s="185"/>
      <c r="IR945" s="185"/>
      <c r="IS945" s="185"/>
      <c r="IT945" s="185"/>
      <c r="IU945" s="185"/>
      <c r="IV945" s="185"/>
      <c r="IW945" s="185"/>
      <c r="IX945" s="2"/>
      <c r="IY945" s="2"/>
      <c r="IZ945" s="2"/>
      <c r="JA945" s="2"/>
      <c r="JB945" s="2"/>
      <c r="JC945" s="2"/>
      <c r="JD945" s="2"/>
      <c r="JE945" s="2"/>
      <c r="JF945" s="2"/>
      <c r="JG945" s="2"/>
      <c r="JH945" s="2"/>
      <c r="JI945" s="2"/>
      <c r="JJ945" s="2" t="s">
        <v>1727</v>
      </c>
      <c r="JK945" s="2" t="s">
        <v>682</v>
      </c>
      <c r="JL945" s="151"/>
      <c r="JM945" s="140"/>
      <c r="JN945" s="206"/>
      <c r="JO945" s="185"/>
      <c r="JP945" s="206"/>
      <c r="JQ945" s="185"/>
      <c r="JR945" s="185"/>
      <c r="JS945" s="185"/>
      <c r="JT945" s="185"/>
      <c r="JU945" s="185"/>
      <c r="JV945" s="140"/>
      <c r="JW945" s="140"/>
      <c r="JX945" s="206"/>
      <c r="JY945" s="185"/>
      <c r="JZ945" s="206"/>
      <c r="KA945" s="185"/>
      <c r="KB945" s="185"/>
      <c r="KC945" s="185"/>
      <c r="KD945" s="206"/>
      <c r="KE945" s="206"/>
      <c r="KF945" s="148"/>
      <c r="KG945" s="216"/>
      <c r="KH945" s="185"/>
      <c r="KI945" s="185"/>
      <c r="KJ945" s="185"/>
      <c r="KK945" s="185"/>
      <c r="KL945" s="206"/>
      <c r="KM945" s="185"/>
      <c r="KN945" s="148"/>
      <c r="KO945" s="216"/>
      <c r="KP945" s="185"/>
      <c r="KQ945" s="185"/>
      <c r="KR945" s="148"/>
      <c r="KS945" s="216"/>
      <c r="KT945" s="185"/>
      <c r="KU945" s="185"/>
      <c r="KV945" s="185"/>
      <c r="KW945" s="3"/>
      <c r="KX945" s="3"/>
      <c r="KY945" s="3"/>
      <c r="KZ945" s="3"/>
      <c r="LA945" s="206"/>
      <c r="LB945" s="206"/>
      <c r="LC945" s="206"/>
      <c r="LD945" s="206"/>
      <c r="LE945" s="206"/>
      <c r="LF945" s="206"/>
      <c r="LG945" s="206"/>
      <c r="LH945" s="206"/>
      <c r="LI945" s="206"/>
      <c r="LJ945" s="206"/>
      <c r="LK945" s="206"/>
      <c r="LL945" s="206"/>
      <c r="LM945" s="206"/>
      <c r="LN945" s="185"/>
      <c r="LO945" s="185"/>
      <c r="LP945" s="185"/>
      <c r="LQ945" s="185"/>
      <c r="LR945" s="185"/>
      <c r="LS945" s="185"/>
      <c r="LT945" s="185"/>
      <c r="LU945" s="185"/>
      <c r="LW945" s="2"/>
      <c r="LX945" s="2"/>
      <c r="LY945" s="2"/>
      <c r="LZ945" s="2"/>
      <c r="MA945" s="2"/>
      <c r="ME945" s="2"/>
      <c r="MF945" s="185"/>
      <c r="MG945" s="185"/>
      <c r="MH945" s="185"/>
      <c r="MI945" s="2"/>
      <c r="MJ945" s="2"/>
      <c r="MK945" s="2"/>
      <c r="ML945" s="2"/>
      <c r="MM945" s="2"/>
      <c r="MN945" s="2"/>
      <c r="MO945" s="2"/>
      <c r="MP945" s="2"/>
      <c r="MQ945" s="185"/>
      <c r="MR945" s="185"/>
      <c r="MS945" s="185"/>
      <c r="MT945" s="185"/>
      <c r="MU945" s="185"/>
      <c r="MV945" s="185"/>
      <c r="MW945" s="185"/>
      <c r="MX945" s="185"/>
      <c r="MY945" s="211" t="s">
        <v>1710</v>
      </c>
      <c r="MZ945" s="212">
        <v>16.25</v>
      </c>
      <c r="NI945" s="185"/>
      <c r="NJ945" s="185" t="s">
        <v>1728</v>
      </c>
      <c r="NK945" s="185" t="s">
        <v>1729</v>
      </c>
      <c r="NL945" s="185" t="s">
        <v>1730</v>
      </c>
      <c r="NM945" s="213" t="s">
        <v>1731</v>
      </c>
      <c r="NN945" s="185">
        <v>0</v>
      </c>
      <c r="NO945" s="185">
        <v>20</v>
      </c>
      <c r="NP945" s="185"/>
      <c r="NQ945" s="185"/>
      <c r="NR945" s="185"/>
      <c r="NS945" s="185"/>
      <c r="NT945" s="185"/>
      <c r="NU945" s="185" t="s">
        <v>664</v>
      </c>
      <c r="NV945" s="185" t="s">
        <v>518</v>
      </c>
      <c r="NW945">
        <v>55.07</v>
      </c>
      <c r="NX945" s="185" t="s">
        <v>480</v>
      </c>
      <c r="NY945" s="147"/>
      <c r="NZ945" s="147"/>
      <c r="OA945" s="133"/>
      <c r="OB945" s="185">
        <v>3</v>
      </c>
      <c r="OD945" s="185"/>
      <c r="OE945" s="185"/>
      <c r="OF945" s="185"/>
      <c r="OG945" s="185"/>
      <c r="OH945" s="185"/>
      <c r="OI945" s="185"/>
      <c r="OJ945" s="185"/>
      <c r="OK945" s="185"/>
      <c r="OL945" s="185"/>
      <c r="OM945" s="185"/>
      <c r="ON945" s="185"/>
      <c r="OO945" s="185"/>
      <c r="OP945" s="185"/>
      <c r="OQ945" s="185"/>
      <c r="OR945" s="185"/>
      <c r="OS945" s="185"/>
      <c r="OT945" s="185"/>
      <c r="OU945" t="s">
        <v>1733</v>
      </c>
      <c r="OV945" s="185" t="s">
        <v>518</v>
      </c>
      <c r="OX945">
        <v>2021</v>
      </c>
      <c r="OY945">
        <v>2022</v>
      </c>
      <c r="PB945" t="s">
        <v>522</v>
      </c>
      <c r="PC945" s="50">
        <v>46148</v>
      </c>
    </row>
    <row r="946" spans="1:419" ht="15" customHeight="1" thickBot="1">
      <c r="A946" s="205" t="s">
        <v>861</v>
      </c>
      <c r="B946" s="2" t="s">
        <v>1700</v>
      </c>
      <c r="C946" s="2" t="s">
        <v>1387</v>
      </c>
      <c r="D946" s="88" t="s">
        <v>668</v>
      </c>
      <c r="E946" s="2" t="s">
        <v>1701</v>
      </c>
      <c r="F946" s="88" t="s">
        <v>1702</v>
      </c>
      <c r="G946" s="2" t="s">
        <v>475</v>
      </c>
      <c r="H946" s="2" t="s">
        <v>476</v>
      </c>
      <c r="I946" s="88">
        <v>-11.474220000000001</v>
      </c>
      <c r="J946" s="88" t="s">
        <v>1703</v>
      </c>
      <c r="K946" s="88">
        <v>1000</v>
      </c>
      <c r="L946" s="2"/>
      <c r="M946" s="88"/>
      <c r="N946" s="2"/>
      <c r="O946" s="2"/>
      <c r="P946" s="2"/>
      <c r="Q946" s="2"/>
      <c r="R946" s="2"/>
      <c r="S946" s="2"/>
      <c r="T946" s="2"/>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c r="AV946" s="2" t="s">
        <v>1704</v>
      </c>
      <c r="AW946" s="2">
        <v>28</v>
      </c>
      <c r="AX946" s="2" t="s">
        <v>480</v>
      </c>
      <c r="AY946" s="2">
        <v>2</v>
      </c>
      <c r="AZ946" s="185" t="s">
        <v>1705</v>
      </c>
      <c r="BA946" s="185">
        <v>2020</v>
      </c>
      <c r="BB946" s="185">
        <v>2022</v>
      </c>
      <c r="BC946" s="185"/>
      <c r="BD946" s="185" t="s">
        <v>1739</v>
      </c>
      <c r="BE946" s="185" t="s">
        <v>1740</v>
      </c>
      <c r="BF946" s="185" t="s">
        <v>484</v>
      </c>
      <c r="BG946" s="185" t="s">
        <v>1707</v>
      </c>
      <c r="BH946" s="185" t="s">
        <v>1708</v>
      </c>
      <c r="BI946" s="206" t="s">
        <v>1709</v>
      </c>
      <c r="BJ946" s="207">
        <v>4.4000000000000004</v>
      </c>
      <c r="BK946" s="185"/>
      <c r="BL946" s="185"/>
      <c r="BM946" s="208"/>
      <c r="BN946" s="208"/>
      <c r="BO946" s="208"/>
      <c r="BP946" s="208"/>
      <c r="BQ946" s="208"/>
      <c r="BR946" s="208"/>
      <c r="BS946" s="208"/>
      <c r="BT946" s="208"/>
      <c r="BU946" s="208"/>
      <c r="BV946" s="96"/>
      <c r="BW946" s="96"/>
      <c r="BX946" s="96"/>
      <c r="BY946" s="96"/>
      <c r="BZ946" s="96"/>
      <c r="CA946" s="96"/>
      <c r="CB946" s="96"/>
      <c r="CC946" s="96"/>
      <c r="CD946" s="96"/>
      <c r="CE946" s="96"/>
      <c r="CF946" s="96"/>
      <c r="CG946" s="96"/>
      <c r="CH946" s="96"/>
      <c r="CI946" s="96"/>
      <c r="CJ946" s="96"/>
      <c r="CK946" s="96"/>
      <c r="CL946" s="96"/>
      <c r="CM946" s="96"/>
      <c r="CN946" s="96"/>
      <c r="CO946" s="96"/>
      <c r="CP946" s="96"/>
      <c r="CQ946" s="96"/>
      <c r="CR946" s="96"/>
      <c r="CS946" s="96"/>
      <c r="CT946" s="96"/>
      <c r="CU946" s="96"/>
      <c r="CV946" s="96"/>
      <c r="CW946" s="96"/>
      <c r="CX946" s="96"/>
      <c r="CY946" s="96"/>
      <c r="CZ946" s="96"/>
      <c r="DA946" s="96"/>
      <c r="DB946" s="96"/>
      <c r="DC946" s="96"/>
      <c r="DD946" s="96"/>
      <c r="DE946" s="96"/>
      <c r="DF946" s="96"/>
      <c r="DG946" s="96"/>
      <c r="DH946" s="96"/>
      <c r="DI946" s="96"/>
      <c r="DJ946" s="96"/>
      <c r="DK946" s="96"/>
      <c r="DL946" s="96"/>
      <c r="DM946" s="96"/>
      <c r="DN946" s="96"/>
      <c r="DO946" s="96"/>
      <c r="DP946" s="96"/>
      <c r="DQ946" s="96"/>
      <c r="DR946" s="96"/>
      <c r="DS946" s="96"/>
      <c r="DT946" s="96"/>
      <c r="DU946" s="96"/>
      <c r="DV946" s="96"/>
      <c r="DW946" s="96"/>
      <c r="DX946" s="96"/>
      <c r="DY946" s="96"/>
      <c r="DZ946" s="96"/>
      <c r="EA946" s="96"/>
      <c r="EB946" s="96"/>
      <c r="EC946" s="96"/>
      <c r="ED946" s="96"/>
      <c r="EE946" s="208"/>
      <c r="EF946" s="208"/>
      <c r="EG946" s="208"/>
      <c r="EH946" s="208"/>
      <c r="EI946" s="208"/>
      <c r="EJ946" s="208"/>
      <c r="EK946" s="208"/>
      <c r="EL946" s="96"/>
      <c r="EM946" s="96"/>
      <c r="EN946" s="96"/>
      <c r="EO946" s="96"/>
      <c r="EP946" s="96"/>
      <c r="EQ946" s="96"/>
      <c r="ER946" s="96"/>
      <c r="ES946" s="96"/>
      <c r="ET946" s="96"/>
      <c r="EU946" s="96"/>
      <c r="EV946" s="96"/>
      <c r="EW946" s="96"/>
      <c r="EX946" s="96"/>
      <c r="EY946" s="96"/>
      <c r="EZ946" s="96"/>
      <c r="FA946" s="96"/>
      <c r="FB946" s="96"/>
      <c r="FC946" s="96"/>
      <c r="FD946" s="96"/>
      <c r="FE946" s="96"/>
      <c r="FF946" s="96"/>
      <c r="FG946" s="96"/>
      <c r="FH946" s="96"/>
      <c r="FI946" s="96"/>
      <c r="FJ946" s="96"/>
      <c r="FK946" s="96"/>
      <c r="FL946" s="96"/>
      <c r="FM946" s="96"/>
      <c r="FN946" s="96"/>
      <c r="FO946" s="96"/>
      <c r="FP946" s="96"/>
      <c r="FQ946" s="96"/>
      <c r="FR946" s="96"/>
      <c r="FS946" s="96"/>
      <c r="FT946" s="96"/>
      <c r="FU946" s="96"/>
      <c r="FV946" s="96"/>
      <c r="FW946" s="96"/>
      <c r="FX946" s="96"/>
      <c r="FY946" s="96"/>
      <c r="FZ946" s="96"/>
      <c r="GA946" s="96"/>
      <c r="GB946" s="96"/>
      <c r="GC946" s="96"/>
      <c r="GD946" s="96"/>
      <c r="GE946" s="96"/>
      <c r="GF946" s="96"/>
      <c r="GG946" s="96"/>
      <c r="GH946" s="96"/>
      <c r="GI946" s="96"/>
      <c r="GJ946" s="96"/>
      <c r="GK946" s="96"/>
      <c r="GL946" s="96"/>
      <c r="GM946" s="96"/>
      <c r="GN946" s="96"/>
      <c r="GO946" s="96"/>
      <c r="GP946" s="96"/>
      <c r="GQ946" s="96"/>
      <c r="GR946" s="96"/>
      <c r="GS946" s="96"/>
      <c r="GT946" s="96"/>
      <c r="GU946" s="96"/>
      <c r="GV946" s="96"/>
      <c r="GW946" s="96"/>
      <c r="GX946" s="96"/>
      <c r="GY946" s="96"/>
      <c r="GZ946" s="96"/>
      <c r="HA946" s="96"/>
      <c r="HB946" s="96"/>
      <c r="HC946" s="96"/>
      <c r="HD946" s="96"/>
      <c r="HE946" s="96"/>
      <c r="HF946" s="96"/>
      <c r="HG946" s="96"/>
      <c r="HH946" s="96"/>
      <c r="HI946" s="96"/>
      <c r="HJ946" s="96"/>
      <c r="HK946" s="185" t="s">
        <v>1726</v>
      </c>
      <c r="HL946" s="185" t="s">
        <v>1546</v>
      </c>
      <c r="HM946" s="127" t="s">
        <v>480</v>
      </c>
      <c r="HN946" s="127" t="s">
        <v>480</v>
      </c>
      <c r="HO946" s="127" t="s">
        <v>480</v>
      </c>
      <c r="HP946" s="127" t="s">
        <v>480</v>
      </c>
      <c r="HQ946" s="208"/>
      <c r="HR946" s="208"/>
      <c r="HS946" s="208"/>
      <c r="HT946" s="37"/>
      <c r="HU946" s="37"/>
      <c r="HV946" s="208"/>
      <c r="HW946" s="208"/>
      <c r="HX946" s="208"/>
      <c r="HY946" s="208"/>
      <c r="HZ946" s="208"/>
      <c r="IA946" s="208"/>
      <c r="IB946" s="208"/>
      <c r="IC946" s="208"/>
      <c r="ID946" s="208"/>
      <c r="IE946" s="208"/>
      <c r="IF946" s="208"/>
      <c r="IG946" s="208"/>
      <c r="IH946" s="185" t="s">
        <v>1706</v>
      </c>
      <c r="II946" s="209" t="s">
        <v>492</v>
      </c>
      <c r="IJ946" s="209"/>
      <c r="IK946" s="208"/>
      <c r="IL946" s="208"/>
      <c r="IM946" s="208"/>
      <c r="IN946" s="185"/>
      <c r="IO946" s="208"/>
      <c r="IP946" s="208"/>
      <c r="IQ946" s="208"/>
      <c r="IR946" s="208"/>
      <c r="IS946" s="208"/>
      <c r="IT946" s="208"/>
      <c r="IU946" s="208"/>
      <c r="IV946" s="208"/>
      <c r="IW946" s="208"/>
      <c r="IX946" s="96"/>
      <c r="IY946" s="96"/>
      <c r="IZ946" s="96"/>
      <c r="JA946" s="96"/>
      <c r="JB946" s="96"/>
      <c r="JC946" s="96"/>
      <c r="JD946" s="96"/>
      <c r="JE946" s="96"/>
      <c r="JF946" s="96"/>
      <c r="JG946" s="96"/>
      <c r="JH946" s="96"/>
      <c r="JI946" s="96"/>
      <c r="JJ946" s="96" t="s">
        <v>1727</v>
      </c>
      <c r="JK946" s="2" t="s">
        <v>682</v>
      </c>
      <c r="JL946" s="151"/>
      <c r="JM946" s="208"/>
      <c r="JN946" s="206"/>
      <c r="JO946" s="208"/>
      <c r="JP946" s="206"/>
      <c r="JQ946" s="208"/>
      <c r="JR946" s="208"/>
      <c r="JS946" s="208"/>
      <c r="JT946" s="208"/>
      <c r="JU946" s="208"/>
      <c r="JV946" s="208"/>
      <c r="JW946" s="208"/>
      <c r="JX946" s="208"/>
      <c r="JY946" s="208"/>
      <c r="JZ946" s="208"/>
      <c r="KA946" s="208"/>
      <c r="KB946" s="208"/>
      <c r="KC946" s="208"/>
      <c r="KD946" s="208"/>
      <c r="KE946" s="208"/>
      <c r="KF946" s="148"/>
      <c r="KG946" s="148"/>
      <c r="KH946" s="210"/>
      <c r="KI946" s="185"/>
      <c r="KJ946" s="210"/>
      <c r="KK946" s="210"/>
      <c r="KL946" s="210"/>
      <c r="KM946" s="210"/>
      <c r="KN946" s="148"/>
      <c r="KO946" s="148"/>
      <c r="KP946" s="210"/>
      <c r="KQ946" s="210"/>
      <c r="KR946" s="148"/>
      <c r="KS946" s="148"/>
      <c r="KT946" s="210"/>
      <c r="KU946" s="210"/>
      <c r="KV946" s="210"/>
      <c r="KW946" s="38"/>
      <c r="KX946" s="38"/>
      <c r="KY946" s="38"/>
      <c r="KZ946" s="38"/>
      <c r="LA946" s="206"/>
      <c r="LB946" s="206"/>
      <c r="LC946" s="206"/>
      <c r="LD946" s="206"/>
      <c r="LE946" s="206"/>
      <c r="LF946" s="206"/>
      <c r="LG946" s="206"/>
      <c r="LH946" s="206"/>
      <c r="LI946" s="208"/>
      <c r="LJ946" s="208"/>
      <c r="LK946" s="208"/>
      <c r="LL946" s="208"/>
      <c r="LM946" s="208"/>
      <c r="LN946" s="208"/>
      <c r="LO946" s="208"/>
      <c r="LP946" s="208"/>
      <c r="LQ946" s="208"/>
      <c r="LR946" s="208"/>
      <c r="LS946" s="208"/>
      <c r="LT946" s="208"/>
      <c r="LU946" s="208"/>
      <c r="LV946" s="96"/>
      <c r="LW946" s="96"/>
      <c r="LX946" s="96"/>
      <c r="LY946" s="96"/>
      <c r="LZ946" s="96"/>
      <c r="MA946" s="96"/>
      <c r="MB946" s="96"/>
      <c r="MC946" s="96"/>
      <c r="MD946" s="96"/>
      <c r="ME946" s="96"/>
      <c r="MF946" s="96"/>
      <c r="MG946" s="208"/>
      <c r="MH946" s="208"/>
      <c r="MI946" s="96"/>
      <c r="MJ946" s="96"/>
      <c r="MK946" s="96"/>
      <c r="ML946" s="96"/>
      <c r="MM946" s="96"/>
      <c r="MN946" s="96"/>
      <c r="MO946" s="96"/>
      <c r="MP946" s="96"/>
      <c r="MQ946" s="37"/>
      <c r="MR946" s="37"/>
      <c r="MS946" s="96"/>
      <c r="MT946" s="208"/>
      <c r="MU946" s="208"/>
      <c r="MW946" s="96"/>
      <c r="MX946" s="96"/>
      <c r="MY946" s="211" t="s">
        <v>1710</v>
      </c>
      <c r="MZ946" s="212">
        <v>16.25</v>
      </c>
      <c r="NI946" s="185"/>
      <c r="NJ946" s="185" t="s">
        <v>1728</v>
      </c>
      <c r="NK946" s="185" t="s">
        <v>1729</v>
      </c>
      <c r="NL946" s="185" t="s">
        <v>1730</v>
      </c>
      <c r="NM946" s="213" t="s">
        <v>1731</v>
      </c>
      <c r="NN946" s="185">
        <v>0</v>
      </c>
      <c r="NO946" s="185">
        <v>20</v>
      </c>
      <c r="NP946" s="185"/>
      <c r="NQ946" s="185"/>
      <c r="NR946" s="185"/>
      <c r="NS946" s="185"/>
      <c r="NT946" s="185"/>
      <c r="NU946" s="185" t="s">
        <v>1741</v>
      </c>
      <c r="NV946" s="185" t="s">
        <v>518</v>
      </c>
      <c r="NW946">
        <v>55.39</v>
      </c>
      <c r="NX946" s="185" t="s">
        <v>480</v>
      </c>
      <c r="NY946" s="147"/>
      <c r="NZ946" s="147"/>
      <c r="OA946" s="133"/>
      <c r="OB946" s="185">
        <v>3</v>
      </c>
      <c r="OC946" s="185"/>
      <c r="OD946" s="185"/>
      <c r="OE946" s="208"/>
      <c r="OF946" s="208"/>
      <c r="OG946" s="208"/>
      <c r="OH946" s="208"/>
      <c r="OI946" s="208"/>
      <c r="OJ946" s="208"/>
      <c r="OK946" s="208"/>
      <c r="OL946" s="208"/>
      <c r="OM946" s="208"/>
      <c r="ON946" s="208"/>
      <c r="OO946" s="208"/>
      <c r="OP946" s="208"/>
      <c r="OQ946" s="208"/>
      <c r="OR946" s="208"/>
      <c r="OS946" s="208"/>
      <c r="OT946" s="208"/>
      <c r="OU946" t="s">
        <v>1733</v>
      </c>
      <c r="OV946" s="185" t="s">
        <v>518</v>
      </c>
      <c r="OX946">
        <v>2021</v>
      </c>
      <c r="OY946">
        <v>2022</v>
      </c>
      <c r="OZ946" s="96"/>
      <c r="PA946" s="96"/>
      <c r="PB946" t="s">
        <v>522</v>
      </c>
      <c r="PC946" s="50">
        <v>46148</v>
      </c>
    </row>
    <row r="947" spans="1:419" ht="17.25" thickBot="1">
      <c r="A947" s="205" t="s">
        <v>861</v>
      </c>
      <c r="B947" s="2" t="s">
        <v>1700</v>
      </c>
      <c r="C947" s="2" t="s">
        <v>1387</v>
      </c>
      <c r="D947" s="88" t="s">
        <v>668</v>
      </c>
      <c r="E947" s="2" t="s">
        <v>1701</v>
      </c>
      <c r="F947" s="88" t="s">
        <v>1702</v>
      </c>
      <c r="G947" s="2" t="s">
        <v>475</v>
      </c>
      <c r="H947" s="2" t="s">
        <v>476</v>
      </c>
      <c r="I947" s="88">
        <v>-11.474220000000001</v>
      </c>
      <c r="J947" s="88" t="s">
        <v>1703</v>
      </c>
      <c r="K947" s="88">
        <v>1000</v>
      </c>
      <c r="L947" s="2"/>
      <c r="M947" s="88"/>
      <c r="N947" s="2"/>
      <c r="O947" s="2"/>
      <c r="P947" s="2"/>
      <c r="Q947" s="2"/>
      <c r="R947" s="2"/>
      <c r="S947" s="2"/>
      <c r="T947" s="2"/>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c r="AV947" s="2" t="s">
        <v>1704</v>
      </c>
      <c r="AW947" s="2">
        <v>28</v>
      </c>
      <c r="AX947" s="2" t="s">
        <v>480</v>
      </c>
      <c r="AY947" s="2">
        <v>2</v>
      </c>
      <c r="AZ947" s="185" t="s">
        <v>1705</v>
      </c>
      <c r="BA947" s="185">
        <v>2020</v>
      </c>
      <c r="BB947" s="185">
        <v>2022</v>
      </c>
      <c r="BC947" s="185"/>
      <c r="BD947" s="185" t="s">
        <v>1742</v>
      </c>
      <c r="BE947" s="185" t="s">
        <v>553</v>
      </c>
      <c r="BF947" s="185" t="s">
        <v>484</v>
      </c>
      <c r="BG947" s="185" t="s">
        <v>1707</v>
      </c>
      <c r="BH947" s="185" t="s">
        <v>1708</v>
      </c>
      <c r="BI947" s="206" t="s">
        <v>1709</v>
      </c>
      <c r="BJ947" s="207">
        <v>4.4000000000000004</v>
      </c>
      <c r="BK947" s="185" t="s">
        <v>537</v>
      </c>
      <c r="BL947" s="185" t="s">
        <v>485</v>
      </c>
      <c r="BM947" s="185" t="s">
        <v>1719</v>
      </c>
      <c r="BN947" s="206" t="s">
        <v>1709</v>
      </c>
      <c r="BO947" s="207">
        <v>4.4000000000000004</v>
      </c>
      <c r="BP947" s="185"/>
      <c r="BQ947" s="185"/>
      <c r="BR947" s="185"/>
      <c r="BS947" s="185"/>
      <c r="BT947" s="185"/>
      <c r="BU947" s="185"/>
      <c r="BV947" s="3"/>
      <c r="BW947" s="3"/>
      <c r="BX947" s="3"/>
      <c r="BY947" s="3"/>
      <c r="BZ947" s="3"/>
      <c r="CA947" s="3"/>
      <c r="CB947" s="3"/>
      <c r="CC947" s="3"/>
      <c r="CD947" s="3"/>
      <c r="CE947" s="3"/>
      <c r="CF947" s="3"/>
      <c r="CG947" s="3"/>
      <c r="CH947" s="3"/>
      <c r="CI947" s="3"/>
      <c r="CJ947" s="3"/>
      <c r="CK947" s="3"/>
      <c r="CL947" s="3"/>
      <c r="CM947" s="3"/>
      <c r="CN947" s="3"/>
      <c r="CO947" s="3"/>
      <c r="CP947" s="3"/>
      <c r="CQ947" s="3"/>
      <c r="CR947" s="3"/>
      <c r="CS947" s="3"/>
      <c r="CT947" s="3"/>
      <c r="CU947" s="3"/>
      <c r="CV947" s="3"/>
      <c r="CW947" s="3"/>
      <c r="CX947" s="3"/>
      <c r="CY947" s="3"/>
      <c r="CZ947" s="3"/>
      <c r="DA947" s="3"/>
      <c r="DB947" s="3"/>
      <c r="DC947" s="3"/>
      <c r="DD947" s="3"/>
      <c r="DE947" s="3"/>
      <c r="DF947" s="3"/>
      <c r="DG947" s="3"/>
      <c r="DH947" s="3"/>
      <c r="DI947" s="3"/>
      <c r="DJ947" s="3"/>
      <c r="DK947" s="3"/>
      <c r="DL947" s="3"/>
      <c r="DM947" s="3"/>
      <c r="DN947" s="3"/>
      <c r="DO947" s="3"/>
      <c r="DP947" s="3"/>
      <c r="DQ947" s="3"/>
      <c r="DR947" s="3"/>
      <c r="DS947" s="3"/>
      <c r="DT947" s="3"/>
      <c r="DU947" s="3"/>
      <c r="DV947" s="3"/>
      <c r="DW947" s="3"/>
      <c r="DX947" s="3"/>
      <c r="DY947" s="3"/>
      <c r="DZ947" s="3"/>
      <c r="EA947" s="3"/>
      <c r="EB947" s="3"/>
      <c r="EC947" s="3"/>
      <c r="ED947" s="2"/>
      <c r="EE947" s="185"/>
      <c r="EF947" s="185"/>
      <c r="EG947" s="185"/>
      <c r="EH947" s="185"/>
      <c r="EI947" s="185"/>
      <c r="EJ947" s="185"/>
      <c r="EK947" s="185"/>
      <c r="EL947" s="3"/>
      <c r="EM947" s="3"/>
      <c r="EN947" s="3"/>
      <c r="EO947" s="3"/>
      <c r="EP947" s="3"/>
      <c r="EQ947" s="3"/>
      <c r="ER947" s="3"/>
      <c r="ES947" s="3"/>
      <c r="ET947" s="3"/>
      <c r="EU947" s="3"/>
      <c r="EV947" s="3"/>
      <c r="EW947" s="3"/>
      <c r="EX947" s="3"/>
      <c r="EY947" s="3"/>
      <c r="EZ947" s="3"/>
      <c r="FA947" s="3"/>
      <c r="FB947" s="3"/>
      <c r="FC947" s="3"/>
      <c r="FD947" s="3"/>
      <c r="FE947" s="3"/>
      <c r="FF947" s="3"/>
      <c r="FG947" s="3"/>
      <c r="FH947" s="3"/>
      <c r="FI947" s="3"/>
      <c r="FJ947" s="3"/>
      <c r="FK947" s="3"/>
      <c r="FL947" s="3"/>
      <c r="FM947" s="3"/>
      <c r="FN947" s="3"/>
      <c r="FO947" s="3"/>
      <c r="FP947" s="3"/>
      <c r="FQ947" s="3"/>
      <c r="FR947" s="3"/>
      <c r="FS947" s="3"/>
      <c r="FT947" s="3"/>
      <c r="FU947" s="3"/>
      <c r="FV947" s="3"/>
      <c r="FW947" s="3"/>
      <c r="FX947" s="3"/>
      <c r="FY947" s="3"/>
      <c r="FZ947" s="3"/>
      <c r="GA947" s="3"/>
      <c r="GB947" s="3"/>
      <c r="GC947" s="3"/>
      <c r="GD947" s="3"/>
      <c r="GE947" s="3"/>
      <c r="GF947" s="3"/>
      <c r="GG947" s="3"/>
      <c r="GH947" s="3"/>
      <c r="GI947" s="3"/>
      <c r="GJ947" s="3"/>
      <c r="GK947" s="3"/>
      <c r="GL947" s="3"/>
      <c r="GM947" s="3"/>
      <c r="GN947" s="3"/>
      <c r="GO947" s="3"/>
      <c r="GP947" s="3"/>
      <c r="GQ947" s="3"/>
      <c r="GR947" s="3"/>
      <c r="GS947" s="3"/>
      <c r="GT947" s="3"/>
      <c r="GU947" s="3"/>
      <c r="GV947" s="3"/>
      <c r="GW947" s="3"/>
      <c r="GX947" s="3"/>
      <c r="GY947" s="3"/>
      <c r="GZ947" s="3"/>
      <c r="HA947" s="3"/>
      <c r="HB947" s="3"/>
      <c r="HC947" s="3"/>
      <c r="HD947" s="3"/>
      <c r="HE947" s="3"/>
      <c r="HF947" s="3"/>
      <c r="HG947" s="3"/>
      <c r="HH947" s="3"/>
      <c r="HI947" s="3"/>
      <c r="HJ947" s="3"/>
      <c r="HK947" s="185" t="s">
        <v>1726</v>
      </c>
      <c r="HL947" s="185" t="s">
        <v>1546</v>
      </c>
      <c r="HM947" s="127" t="s">
        <v>480</v>
      </c>
      <c r="HN947" s="127" t="s">
        <v>480</v>
      </c>
      <c r="HO947" s="127" t="s">
        <v>480</v>
      </c>
      <c r="HP947" s="127" t="s">
        <v>480</v>
      </c>
      <c r="HQ947" s="185"/>
      <c r="HR947" s="185"/>
      <c r="HS947" s="206"/>
      <c r="HT947" s="185"/>
      <c r="HU947" s="185"/>
      <c r="HV947" s="185"/>
      <c r="HW947" s="185"/>
      <c r="HX947" s="215"/>
      <c r="HY947" s="185"/>
      <c r="HZ947" s="185"/>
      <c r="IA947" s="185"/>
      <c r="IB947" s="185"/>
      <c r="IC947" s="185"/>
      <c r="ID947" s="185"/>
      <c r="IE947" s="185"/>
      <c r="IF947" s="185"/>
      <c r="IG947" s="185"/>
      <c r="IH947" s="185" t="s">
        <v>1718</v>
      </c>
      <c r="II947" s="148" t="s">
        <v>1714</v>
      </c>
      <c r="IJ947" s="148" t="s">
        <v>542</v>
      </c>
      <c r="IK947" s="210" t="s">
        <v>1715</v>
      </c>
      <c r="IL947" s="185">
        <v>2020</v>
      </c>
      <c r="IM947" s="185"/>
      <c r="IN947" s="185" t="s">
        <v>1716</v>
      </c>
      <c r="IO947" s="185"/>
      <c r="IP947" s="185"/>
      <c r="IQ947" s="185"/>
      <c r="IR947" s="185"/>
      <c r="IS947" s="185"/>
      <c r="IT947" s="185"/>
      <c r="IU947" s="185"/>
      <c r="IV947" s="185"/>
      <c r="IW947" s="185"/>
      <c r="IX947" s="2"/>
      <c r="IY947" s="2"/>
      <c r="IZ947" s="2"/>
      <c r="JA947" s="2"/>
      <c r="JB947" s="2"/>
      <c r="JC947" s="2"/>
      <c r="JD947" s="2"/>
      <c r="JE947" s="2"/>
      <c r="JF947" s="2"/>
      <c r="JG947" s="2"/>
      <c r="JH947" s="2"/>
      <c r="JI947" s="2"/>
      <c r="JJ947" s="2" t="s">
        <v>1727</v>
      </c>
      <c r="JK947" s="2" t="s">
        <v>682</v>
      </c>
      <c r="JL947" s="151"/>
      <c r="JM947" s="140"/>
      <c r="JN947" s="206"/>
      <c r="JO947" s="185"/>
      <c r="JP947" s="206"/>
      <c r="JQ947" s="185"/>
      <c r="JR947" s="185"/>
      <c r="JS947" s="185"/>
      <c r="JT947" s="185"/>
      <c r="JU947" s="185"/>
      <c r="JV947" s="140"/>
      <c r="JW947" s="140"/>
      <c r="JX947" s="206"/>
      <c r="JY947" s="185"/>
      <c r="JZ947" s="206"/>
      <c r="KA947" s="185"/>
      <c r="KB947" s="185"/>
      <c r="KC947" s="185"/>
      <c r="KD947" s="206"/>
      <c r="KE947" s="206"/>
      <c r="KF947" s="148"/>
      <c r="KG947" s="216"/>
      <c r="KH947" s="185"/>
      <c r="KI947" s="185"/>
      <c r="KJ947" s="185"/>
      <c r="KK947" s="185"/>
      <c r="KL947" s="206"/>
      <c r="KM947" s="185"/>
      <c r="KN947" s="148"/>
      <c r="KO947" s="216"/>
      <c r="KP947" s="185"/>
      <c r="KQ947" s="185"/>
      <c r="KR947" s="148"/>
      <c r="KS947" s="216"/>
      <c r="KT947" s="185"/>
      <c r="KU947" s="185"/>
      <c r="KV947" s="185"/>
      <c r="KW947" s="3"/>
      <c r="KX947" s="3"/>
      <c r="KY947" s="3"/>
      <c r="KZ947" s="3"/>
      <c r="LA947" s="206"/>
      <c r="LB947" s="206"/>
      <c r="LC947" s="206"/>
      <c r="LD947" s="206"/>
      <c r="LE947" s="206"/>
      <c r="LF947" s="206"/>
      <c r="LG947" s="206"/>
      <c r="LH947" s="206"/>
      <c r="LI947" s="206"/>
      <c r="LJ947" s="206"/>
      <c r="LK947" s="206"/>
      <c r="LL947" s="206"/>
      <c r="LM947" s="206"/>
      <c r="LN947" s="185"/>
      <c r="LO947" s="185"/>
      <c r="LP947" s="185"/>
      <c r="LQ947" s="185"/>
      <c r="LR947" s="185"/>
      <c r="LS947" s="185"/>
      <c r="LT947" s="185"/>
      <c r="LU947" s="185"/>
      <c r="LW947" s="2"/>
      <c r="LX947" s="2"/>
      <c r="LY947" s="2"/>
      <c r="LZ947" s="2"/>
      <c r="MA947" s="2"/>
      <c r="ME947" s="2"/>
      <c r="MF947" s="185"/>
      <c r="MG947" s="185"/>
      <c r="MH947" s="185"/>
      <c r="MI947" s="2"/>
      <c r="MJ947" s="2"/>
      <c r="MK947" s="2"/>
      <c r="ML947" s="2"/>
      <c r="MM947" s="2"/>
      <c r="MN947" s="2"/>
      <c r="MO947" s="2"/>
      <c r="MP947" s="2"/>
      <c r="MQ947" s="185"/>
      <c r="MR947" s="185"/>
      <c r="MS947" s="185"/>
      <c r="MT947" s="185"/>
      <c r="MU947" s="185"/>
      <c r="MV947" s="185"/>
      <c r="MW947" s="185"/>
      <c r="MX947" s="185"/>
      <c r="MY947" s="211" t="s">
        <v>1710</v>
      </c>
      <c r="MZ947" s="212">
        <v>16.25</v>
      </c>
      <c r="NI947" s="185"/>
      <c r="NJ947" s="185" t="s">
        <v>1728</v>
      </c>
      <c r="NK947" s="185" t="s">
        <v>1729</v>
      </c>
      <c r="NL947" s="185" t="s">
        <v>1730</v>
      </c>
      <c r="NM947" s="213" t="s">
        <v>1731</v>
      </c>
      <c r="NN947" s="185">
        <v>0</v>
      </c>
      <c r="NO947" s="185">
        <v>20</v>
      </c>
      <c r="NP947" s="185"/>
      <c r="NQ947" s="185"/>
      <c r="NR947" s="185"/>
      <c r="NS947" s="185"/>
      <c r="NT947" s="185"/>
      <c r="NU947" s="185"/>
      <c r="NV947" s="185" t="s">
        <v>518</v>
      </c>
      <c r="NW947">
        <v>54.74</v>
      </c>
      <c r="NX947" s="185" t="s">
        <v>480</v>
      </c>
      <c r="NY947" s="147"/>
      <c r="NZ947" s="147"/>
      <c r="OA947" s="133"/>
      <c r="OB947" s="185">
        <v>3</v>
      </c>
      <c r="OC947" s="185"/>
      <c r="OD947" s="185"/>
      <c r="OE947" s="185"/>
      <c r="OF947" s="185"/>
      <c r="OG947" s="185"/>
      <c r="OH947" s="185"/>
      <c r="OI947" s="185"/>
      <c r="OJ947" s="185"/>
      <c r="OK947" s="185"/>
      <c r="OL947" s="185"/>
      <c r="OM947" s="185"/>
      <c r="ON947" s="185"/>
      <c r="OO947" s="185"/>
      <c r="OP947" s="185"/>
      <c r="OQ947" s="185"/>
      <c r="OR947" s="185"/>
      <c r="OS947" s="185"/>
      <c r="OT947" s="185"/>
      <c r="OU947" t="s">
        <v>1733</v>
      </c>
      <c r="OV947" s="185" t="s">
        <v>518</v>
      </c>
      <c r="OX947">
        <v>2021</v>
      </c>
      <c r="OY947">
        <v>2022</v>
      </c>
      <c r="PB947" t="s">
        <v>522</v>
      </c>
      <c r="PC947" s="50">
        <v>46148</v>
      </c>
    </row>
    <row r="948" spans="1:419" ht="17.25" thickBot="1">
      <c r="A948" s="205" t="s">
        <v>861</v>
      </c>
      <c r="B948" s="2" t="s">
        <v>1700</v>
      </c>
      <c r="C948" s="2" t="s">
        <v>1387</v>
      </c>
      <c r="D948" s="88" t="s">
        <v>668</v>
      </c>
      <c r="E948" s="2" t="s">
        <v>1701</v>
      </c>
      <c r="F948" s="88" t="s">
        <v>1702</v>
      </c>
      <c r="G948" s="2" t="s">
        <v>475</v>
      </c>
      <c r="H948" s="2" t="s">
        <v>476</v>
      </c>
      <c r="I948" s="88">
        <v>-11.474220000000001</v>
      </c>
      <c r="J948" s="88" t="s">
        <v>1703</v>
      </c>
      <c r="K948" s="88">
        <v>1000</v>
      </c>
      <c r="L948" s="2"/>
      <c r="M948" s="88"/>
      <c r="N948" s="2"/>
      <c r="O948" s="2"/>
      <c r="P948" s="2"/>
      <c r="Q948" s="2"/>
      <c r="R948" s="2"/>
      <c r="S948" s="2"/>
      <c r="T948" s="2"/>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c r="AV948" s="2" t="s">
        <v>1704</v>
      </c>
      <c r="AW948" s="2">
        <v>28</v>
      </c>
      <c r="AX948" s="2" t="s">
        <v>480</v>
      </c>
      <c r="AY948" s="2">
        <v>2</v>
      </c>
      <c r="AZ948" s="185" t="s">
        <v>1705</v>
      </c>
      <c r="BA948" s="185">
        <v>2020</v>
      </c>
      <c r="BB948" s="185">
        <v>2022</v>
      </c>
      <c r="BC948" s="185"/>
      <c r="BD948" s="185" t="s">
        <v>1743</v>
      </c>
      <c r="BE948" s="185" t="s">
        <v>607</v>
      </c>
      <c r="BF948" s="185" t="s">
        <v>484</v>
      </c>
      <c r="BG948" s="185" t="s">
        <v>538</v>
      </c>
      <c r="BH948" s="185" t="s">
        <v>1713</v>
      </c>
      <c r="BI948" s="206" t="s">
        <v>1709</v>
      </c>
      <c r="BJ948" s="207">
        <v>13.3</v>
      </c>
      <c r="BK948" s="185" t="s">
        <v>537</v>
      </c>
      <c r="BL948" s="185" t="s">
        <v>485</v>
      </c>
      <c r="BM948" s="185" t="s">
        <v>1719</v>
      </c>
      <c r="BN948" s="206" t="s">
        <v>1709</v>
      </c>
      <c r="BO948" s="207">
        <v>4.4000000000000004</v>
      </c>
      <c r="BP948" s="185"/>
      <c r="BQ948" s="185"/>
      <c r="BR948" s="185"/>
      <c r="BS948" s="185"/>
      <c r="BT948" s="185"/>
      <c r="BU948" s="185"/>
      <c r="BV948" s="3"/>
      <c r="BW948" s="3"/>
      <c r="BX948" s="3"/>
      <c r="BY948" s="3"/>
      <c r="BZ948" s="3"/>
      <c r="CA948" s="3"/>
      <c r="CB948" s="3"/>
      <c r="CC948" s="3"/>
      <c r="CD948" s="3"/>
      <c r="CE948" s="3"/>
      <c r="CF948" s="3"/>
      <c r="CG948" s="3"/>
      <c r="CH948" s="3"/>
      <c r="CI948" s="3"/>
      <c r="CJ948" s="3"/>
      <c r="CK948" s="3"/>
      <c r="CL948" s="3"/>
      <c r="CM948" s="3"/>
      <c r="CN948" s="3"/>
      <c r="CO948" s="3"/>
      <c r="CP948" s="3"/>
      <c r="CQ948" s="3"/>
      <c r="CR948" s="3"/>
      <c r="CS948" s="3"/>
      <c r="CT948" s="3"/>
      <c r="CU948" s="3"/>
      <c r="CV948" s="3"/>
      <c r="CW948" s="3"/>
      <c r="CX948" s="3"/>
      <c r="CY948" s="3"/>
      <c r="CZ948" s="3"/>
      <c r="DA948" s="3"/>
      <c r="DB948" s="3"/>
      <c r="DC948" s="3"/>
      <c r="DD948" s="3"/>
      <c r="DE948" s="3"/>
      <c r="DF948" s="3"/>
      <c r="DG948" s="3"/>
      <c r="DH948" s="3"/>
      <c r="DI948" s="3"/>
      <c r="DJ948" s="3"/>
      <c r="DK948" s="3"/>
      <c r="DL948" s="3"/>
      <c r="DM948" s="3"/>
      <c r="DN948" s="3"/>
      <c r="DO948" s="3"/>
      <c r="DP948" s="3"/>
      <c r="DQ948" s="3"/>
      <c r="DR948" s="3"/>
      <c r="DS948" s="3"/>
      <c r="DT948" s="3"/>
      <c r="DU948" s="3"/>
      <c r="DV948" s="3"/>
      <c r="DW948" s="3"/>
      <c r="DX948" s="3"/>
      <c r="DY948" s="3"/>
      <c r="DZ948" s="3"/>
      <c r="EA948" s="3"/>
      <c r="EB948" s="3"/>
      <c r="EC948" s="3"/>
      <c r="ED948" s="2"/>
      <c r="EE948" s="185"/>
      <c r="EF948" s="185"/>
      <c r="EG948" s="185"/>
      <c r="EH948" s="185"/>
      <c r="EI948" s="185"/>
      <c r="EJ948" s="185"/>
      <c r="EK948" s="185"/>
      <c r="EL948" s="3"/>
      <c r="EM948" s="3"/>
      <c r="EN948" s="3"/>
      <c r="EO948" s="3"/>
      <c r="EP948" s="3"/>
      <c r="EQ948" s="3"/>
      <c r="ER948" s="3"/>
      <c r="ES948" s="3"/>
      <c r="ET948" s="3"/>
      <c r="EU948" s="3"/>
      <c r="EV948" s="3"/>
      <c r="EW948" s="3"/>
      <c r="EX948" s="3"/>
      <c r="EY948" s="3"/>
      <c r="EZ948" s="3"/>
      <c r="FA948" s="3"/>
      <c r="FB948" s="3"/>
      <c r="FC948" s="3"/>
      <c r="FD948" s="3"/>
      <c r="FE948" s="3"/>
      <c r="FF948" s="3"/>
      <c r="FG948" s="3"/>
      <c r="FH948" s="3"/>
      <c r="FI948" s="3"/>
      <c r="FJ948" s="3"/>
      <c r="FK948" s="3"/>
      <c r="FL948" s="3"/>
      <c r="FM948" s="3"/>
      <c r="FN948" s="3"/>
      <c r="FO948" s="3"/>
      <c r="FP948" s="3"/>
      <c r="FQ948" s="3"/>
      <c r="FR948" s="3"/>
      <c r="FS948" s="3"/>
      <c r="FT948" s="3"/>
      <c r="FU948" s="3"/>
      <c r="FV948" s="3"/>
      <c r="FW948" s="3"/>
      <c r="FX948" s="3"/>
      <c r="FY948" s="3"/>
      <c r="FZ948" s="3"/>
      <c r="GA948" s="3"/>
      <c r="GB948" s="3"/>
      <c r="GC948" s="3"/>
      <c r="GD948" s="3"/>
      <c r="GE948" s="3"/>
      <c r="GF948" s="3"/>
      <c r="GG948" s="3"/>
      <c r="GH948" s="3"/>
      <c r="GI948" s="3"/>
      <c r="GJ948" s="3"/>
      <c r="GK948" s="3"/>
      <c r="GL948" s="3"/>
      <c r="GM948" s="3"/>
      <c r="GN948" s="3"/>
      <c r="GO948" s="3"/>
      <c r="GP948" s="3"/>
      <c r="GQ948" s="3"/>
      <c r="GR948" s="3"/>
      <c r="GS948" s="3"/>
      <c r="GT948" s="3"/>
      <c r="GU948" s="3"/>
      <c r="GV948" s="3"/>
      <c r="GW948" s="3"/>
      <c r="GX948" s="3"/>
      <c r="GY948" s="3"/>
      <c r="GZ948" s="3"/>
      <c r="HA948" s="3"/>
      <c r="HB948" s="3"/>
      <c r="HC948" s="3"/>
      <c r="HD948" s="3"/>
      <c r="HE948" s="3"/>
      <c r="HF948" s="3"/>
      <c r="HG948" s="3"/>
      <c r="HH948" s="3"/>
      <c r="HI948" s="3"/>
      <c r="HJ948" s="3"/>
      <c r="HK948" s="185" t="s">
        <v>1726</v>
      </c>
      <c r="HL948" s="185" t="s">
        <v>1546</v>
      </c>
      <c r="HM948" s="127" t="s">
        <v>480</v>
      </c>
      <c r="HN948" s="127" t="s">
        <v>480</v>
      </c>
      <c r="HO948" s="127" t="s">
        <v>480</v>
      </c>
      <c r="HP948" s="127" t="s">
        <v>480</v>
      </c>
      <c r="HQ948" s="185"/>
      <c r="HR948" s="185"/>
      <c r="HS948" s="206"/>
      <c r="HT948" s="185"/>
      <c r="HU948" s="185"/>
      <c r="HV948" s="185"/>
      <c r="HW948" s="185"/>
      <c r="HX948" s="215"/>
      <c r="HY948" s="185"/>
      <c r="HZ948" s="185"/>
      <c r="IA948" s="185"/>
      <c r="IB948" s="185"/>
      <c r="IC948" s="185"/>
      <c r="ID948" s="185"/>
      <c r="IE948" s="185"/>
      <c r="IF948" s="185"/>
      <c r="IG948" s="185"/>
      <c r="IH948" s="185" t="s">
        <v>1720</v>
      </c>
      <c r="II948" s="75" t="s">
        <v>929</v>
      </c>
      <c r="IJ948" s="148" t="s">
        <v>542</v>
      </c>
      <c r="IK948" s="210" t="s">
        <v>1715</v>
      </c>
      <c r="IL948" s="185">
        <v>2020</v>
      </c>
      <c r="IM948" s="185"/>
      <c r="IN948" s="185" t="s">
        <v>1716</v>
      </c>
      <c r="IO948" s="185"/>
      <c r="IP948" s="185"/>
      <c r="IQ948" s="185"/>
      <c r="IR948" s="185"/>
      <c r="IS948" s="185"/>
      <c r="IT948" s="185"/>
      <c r="IU948" s="185"/>
      <c r="IV948" s="185"/>
      <c r="IW948" s="185"/>
      <c r="IX948" s="2"/>
      <c r="IY948" s="2"/>
      <c r="IZ948" s="2"/>
      <c r="JA948" s="2"/>
      <c r="JB948" s="2"/>
      <c r="JC948" s="2"/>
      <c r="JD948" s="2"/>
      <c r="JE948" s="2"/>
      <c r="JF948" s="2"/>
      <c r="JG948" s="2"/>
      <c r="JH948" s="2"/>
      <c r="JI948" s="2"/>
      <c r="JJ948" s="2" t="s">
        <v>1727</v>
      </c>
      <c r="JK948" s="2" t="s">
        <v>682</v>
      </c>
      <c r="JL948" s="151"/>
      <c r="JM948" s="140"/>
      <c r="JN948" s="206"/>
      <c r="JO948" s="185"/>
      <c r="JP948" s="206"/>
      <c r="JQ948" s="185"/>
      <c r="JR948" s="185"/>
      <c r="JS948" s="185"/>
      <c r="JT948" s="185"/>
      <c r="JU948" s="185"/>
      <c r="JV948" s="140"/>
      <c r="JW948" s="140"/>
      <c r="JX948" s="206"/>
      <c r="JY948" s="185"/>
      <c r="JZ948" s="206"/>
      <c r="KA948" s="185"/>
      <c r="KB948" s="185"/>
      <c r="KC948" s="185"/>
      <c r="KD948" s="206"/>
      <c r="KE948" s="206"/>
      <c r="KF948" s="148"/>
      <c r="KG948" s="216"/>
      <c r="KH948" s="185"/>
      <c r="KI948" s="185"/>
      <c r="KJ948" s="185"/>
      <c r="KK948" s="185"/>
      <c r="KL948" s="206"/>
      <c r="KM948" s="185"/>
      <c r="KN948" s="148"/>
      <c r="KO948" s="216"/>
      <c r="KP948" s="185"/>
      <c r="KQ948" s="185"/>
      <c r="KR948" s="148"/>
      <c r="KS948" s="216"/>
      <c r="KT948" s="185"/>
      <c r="KU948" s="185"/>
      <c r="KV948" s="185"/>
      <c r="KW948" s="3"/>
      <c r="KX948" s="3"/>
      <c r="KY948" s="3"/>
      <c r="KZ948" s="3"/>
      <c r="LA948" s="206"/>
      <c r="LB948" s="206"/>
      <c r="LC948" s="206"/>
      <c r="LD948" s="206"/>
      <c r="LE948" s="206"/>
      <c r="LF948" s="206"/>
      <c r="LG948" s="206"/>
      <c r="LH948" s="206"/>
      <c r="LI948" s="206"/>
      <c r="LJ948" s="206"/>
      <c r="LK948" s="206"/>
      <c r="LL948" s="206"/>
      <c r="LM948" s="206"/>
      <c r="LN948" s="185"/>
      <c r="LO948" s="185"/>
      <c r="LP948" s="185"/>
      <c r="LQ948" s="185"/>
      <c r="LR948" s="185"/>
      <c r="LS948" s="185"/>
      <c r="LT948" s="185"/>
      <c r="LU948" s="185"/>
      <c r="LW948" s="2"/>
      <c r="LX948" s="2"/>
      <c r="LY948" s="2"/>
      <c r="LZ948" s="2"/>
      <c r="MA948" s="2"/>
      <c r="ME948" s="2"/>
      <c r="MF948" s="185"/>
      <c r="MG948" s="185"/>
      <c r="MH948" s="185"/>
      <c r="MI948" s="2"/>
      <c r="MJ948" s="2"/>
      <c r="MK948" s="2"/>
      <c r="ML948" s="2"/>
      <c r="MM948" s="2"/>
      <c r="MN948" s="2"/>
      <c r="MO948" s="2"/>
      <c r="MP948" s="2"/>
      <c r="MQ948" s="185"/>
      <c r="MR948" s="185"/>
      <c r="MS948" s="185"/>
      <c r="MT948" s="185"/>
      <c r="MU948" s="185"/>
      <c r="MV948" s="185"/>
      <c r="MW948" s="185"/>
      <c r="MX948" s="185"/>
      <c r="MY948" s="211" t="s">
        <v>1710</v>
      </c>
      <c r="MZ948" s="212">
        <v>16.25</v>
      </c>
      <c r="NI948" s="185"/>
      <c r="NJ948" s="185" t="s">
        <v>1728</v>
      </c>
      <c r="NK948" s="185" t="s">
        <v>1729</v>
      </c>
      <c r="NL948" s="185" t="s">
        <v>1730</v>
      </c>
      <c r="NM948" s="213" t="s">
        <v>1731</v>
      </c>
      <c r="NN948" s="185">
        <v>0</v>
      </c>
      <c r="NO948" s="185">
        <v>20</v>
      </c>
      <c r="NP948" s="185"/>
      <c r="NQ948" s="185"/>
      <c r="NR948" s="185"/>
      <c r="NS948" s="185"/>
      <c r="NT948" s="185"/>
      <c r="NU948" s="185"/>
      <c r="NV948" s="185" t="s">
        <v>518</v>
      </c>
      <c r="NW948">
        <v>54.8</v>
      </c>
      <c r="NX948" s="185" t="s">
        <v>480</v>
      </c>
      <c r="NY948" s="147"/>
      <c r="NZ948" s="147"/>
      <c r="OA948" s="133"/>
      <c r="OB948" s="185">
        <v>3</v>
      </c>
      <c r="OD948" s="185"/>
      <c r="OE948" s="185"/>
      <c r="OF948" s="185"/>
      <c r="OG948" s="185"/>
      <c r="OH948" s="185"/>
      <c r="OI948" s="185"/>
      <c r="OJ948" s="185"/>
      <c r="OK948" s="185"/>
      <c r="OL948" s="185"/>
      <c r="OM948" s="185"/>
      <c r="ON948" s="185"/>
      <c r="OO948" s="185"/>
      <c r="OP948" s="185"/>
      <c r="OQ948" s="185"/>
      <c r="OR948" s="185"/>
      <c r="OS948" s="185"/>
      <c r="OT948" s="185"/>
      <c r="OU948" t="s">
        <v>1733</v>
      </c>
      <c r="OV948" s="185" t="s">
        <v>518</v>
      </c>
      <c r="OX948">
        <v>2021</v>
      </c>
      <c r="OY948">
        <v>2022</v>
      </c>
      <c r="PB948" t="s">
        <v>522</v>
      </c>
      <c r="PC948" s="50">
        <v>46148</v>
      </c>
    </row>
    <row r="949" spans="1:419" ht="17.25" thickBot="1">
      <c r="A949" s="205" t="s">
        <v>861</v>
      </c>
      <c r="B949" s="2" t="s">
        <v>1700</v>
      </c>
      <c r="C949" s="2" t="s">
        <v>1387</v>
      </c>
      <c r="D949" s="88" t="s">
        <v>668</v>
      </c>
      <c r="E949" s="2" t="s">
        <v>1701</v>
      </c>
      <c r="F949" s="88" t="s">
        <v>1702</v>
      </c>
      <c r="G949" s="2" t="s">
        <v>475</v>
      </c>
      <c r="H949" s="2" t="s">
        <v>476</v>
      </c>
      <c r="I949" s="88">
        <v>-11.474220000000001</v>
      </c>
      <c r="J949" s="88" t="s">
        <v>1703</v>
      </c>
      <c r="K949" s="88">
        <v>1000</v>
      </c>
      <c r="L949" s="2"/>
      <c r="M949" s="88"/>
      <c r="N949" s="2"/>
      <c r="O949" s="2"/>
      <c r="P949" s="2"/>
      <c r="Q949" s="2"/>
      <c r="R949" s="2"/>
      <c r="S949" s="2"/>
      <c r="T949" s="2"/>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c r="AV949" s="2" t="s">
        <v>1704</v>
      </c>
      <c r="AW949" s="2">
        <v>28</v>
      </c>
      <c r="AX949" s="2" t="s">
        <v>480</v>
      </c>
      <c r="AY949" s="2">
        <v>2</v>
      </c>
      <c r="AZ949" s="185" t="s">
        <v>1705</v>
      </c>
      <c r="BA949" s="185">
        <v>2020</v>
      </c>
      <c r="BB949" s="185">
        <v>2022</v>
      </c>
      <c r="BC949" s="185"/>
      <c r="BD949" s="185" t="s">
        <v>1744</v>
      </c>
      <c r="BE949" s="185" t="s">
        <v>611</v>
      </c>
      <c r="BF949" s="185" t="s">
        <v>484</v>
      </c>
      <c r="BG949" s="185" t="s">
        <v>1707</v>
      </c>
      <c r="BH949" s="185" t="s">
        <v>1708</v>
      </c>
      <c r="BI949" s="206" t="s">
        <v>1709</v>
      </c>
      <c r="BJ949" s="207">
        <v>4.4000000000000004</v>
      </c>
      <c r="BK949" s="185" t="s">
        <v>537</v>
      </c>
      <c r="BL949" s="185" t="s">
        <v>538</v>
      </c>
      <c r="BM949" s="185" t="s">
        <v>1713</v>
      </c>
      <c r="BN949" s="206" t="s">
        <v>1709</v>
      </c>
      <c r="BO949" s="207">
        <v>13.3</v>
      </c>
      <c r="BP949" s="185"/>
      <c r="BQ949" s="185"/>
      <c r="BR949" s="185"/>
      <c r="BS949" s="185"/>
      <c r="BT949" s="185"/>
      <c r="BU949" s="185"/>
      <c r="BV949" s="3"/>
      <c r="BW949" s="3"/>
      <c r="BX949" s="3"/>
      <c r="BY949" s="3"/>
      <c r="BZ949" s="3"/>
      <c r="CA949" s="3"/>
      <c r="CB949" s="3"/>
      <c r="CC949" s="3"/>
      <c r="CD949" s="3"/>
      <c r="CE949" s="3"/>
      <c r="CF949" s="3"/>
      <c r="CG949" s="3"/>
      <c r="CH949" s="3"/>
      <c r="CI949" s="3"/>
      <c r="CJ949" s="3"/>
      <c r="CK949" s="3"/>
      <c r="CL949" s="3"/>
      <c r="CM949" s="3"/>
      <c r="CN949" s="3"/>
      <c r="CO949" s="3"/>
      <c r="CP949" s="3"/>
      <c r="CQ949" s="3"/>
      <c r="CR949" s="3"/>
      <c r="CS949" s="3"/>
      <c r="CT949" s="3"/>
      <c r="CU949" s="3"/>
      <c r="CV949" s="3"/>
      <c r="CW949" s="3"/>
      <c r="CX949" s="3"/>
      <c r="CY949" s="3"/>
      <c r="CZ949" s="3"/>
      <c r="DA949" s="3"/>
      <c r="DB949" s="3"/>
      <c r="DC949" s="3"/>
      <c r="DD949" s="3"/>
      <c r="DE949" s="3"/>
      <c r="DF949" s="3"/>
      <c r="DG949" s="3"/>
      <c r="DH949" s="3"/>
      <c r="DI949" s="3"/>
      <c r="DJ949" s="3"/>
      <c r="DK949" s="3"/>
      <c r="DL949" s="3"/>
      <c r="DM949" s="3"/>
      <c r="DN949" s="3"/>
      <c r="DO949" s="3"/>
      <c r="DP949" s="3"/>
      <c r="DQ949" s="3"/>
      <c r="DR949" s="3"/>
      <c r="DS949" s="3"/>
      <c r="DT949" s="3"/>
      <c r="DU949" s="3"/>
      <c r="DV949" s="3"/>
      <c r="DW949" s="3"/>
      <c r="DX949" s="3"/>
      <c r="DY949" s="3"/>
      <c r="DZ949" s="3"/>
      <c r="EA949" s="3"/>
      <c r="EB949" s="3"/>
      <c r="EC949" s="3"/>
      <c r="ED949" s="2"/>
      <c r="EE949" s="185"/>
      <c r="EF949" s="185"/>
      <c r="EG949" s="185"/>
      <c r="EH949" s="185"/>
      <c r="EI949" s="185"/>
      <c r="EJ949" s="185"/>
      <c r="EK949" s="185"/>
      <c r="EL949" s="3"/>
      <c r="EM949" s="3"/>
      <c r="EN949" s="3"/>
      <c r="EO949" s="3"/>
      <c r="EP949" s="3"/>
      <c r="EQ949" s="3"/>
      <c r="ER949" s="3"/>
      <c r="ES949" s="3"/>
      <c r="ET949" s="3"/>
      <c r="EU949" s="3"/>
      <c r="EV949" s="3"/>
      <c r="EW949" s="3"/>
      <c r="EX949" s="3"/>
      <c r="EY949" s="3"/>
      <c r="EZ949" s="3"/>
      <c r="FA949" s="3"/>
      <c r="FB949" s="3"/>
      <c r="FC949" s="3"/>
      <c r="FD949" s="3"/>
      <c r="FE949" s="3"/>
      <c r="FF949" s="3"/>
      <c r="FG949" s="3"/>
      <c r="FH949" s="3"/>
      <c r="FI949" s="3"/>
      <c r="FJ949" s="3"/>
      <c r="FK949" s="3"/>
      <c r="FL949" s="3"/>
      <c r="FM949" s="3"/>
      <c r="FN949" s="3"/>
      <c r="FO949" s="3"/>
      <c r="FP949" s="3"/>
      <c r="FQ949" s="3"/>
      <c r="FR949" s="3"/>
      <c r="FS949" s="3"/>
      <c r="FT949" s="3"/>
      <c r="FU949" s="3"/>
      <c r="FV949" s="3"/>
      <c r="FW949" s="3"/>
      <c r="FX949" s="3"/>
      <c r="FY949" s="3"/>
      <c r="FZ949" s="3"/>
      <c r="GA949" s="3"/>
      <c r="GB949" s="3"/>
      <c r="GC949" s="3"/>
      <c r="GD949" s="3"/>
      <c r="GE949" s="3"/>
      <c r="GF949" s="3"/>
      <c r="GG949" s="3"/>
      <c r="GH949" s="3"/>
      <c r="GI949" s="3"/>
      <c r="GJ949" s="3"/>
      <c r="GK949" s="3"/>
      <c r="GL949" s="3"/>
      <c r="GM949" s="3"/>
      <c r="GN949" s="3"/>
      <c r="GO949" s="3"/>
      <c r="GP949" s="3"/>
      <c r="GQ949" s="3"/>
      <c r="GR949" s="3"/>
      <c r="GS949" s="3"/>
      <c r="GT949" s="3"/>
      <c r="GU949" s="3"/>
      <c r="GV949" s="3"/>
      <c r="GW949" s="3"/>
      <c r="GX949" s="3"/>
      <c r="GY949" s="3"/>
      <c r="GZ949" s="3"/>
      <c r="HA949" s="3"/>
      <c r="HB949" s="3"/>
      <c r="HC949" s="3"/>
      <c r="HD949" s="3"/>
      <c r="HE949" s="3"/>
      <c r="HF949" s="3"/>
      <c r="HG949" s="3"/>
      <c r="HH949" s="3"/>
      <c r="HI949" s="3"/>
      <c r="HJ949" s="3"/>
      <c r="HK949" s="185" t="s">
        <v>1726</v>
      </c>
      <c r="HL949" s="185" t="s">
        <v>1546</v>
      </c>
      <c r="HM949" s="127" t="s">
        <v>480</v>
      </c>
      <c r="HN949" s="127" t="s">
        <v>480</v>
      </c>
      <c r="HO949" s="127" t="s">
        <v>480</v>
      </c>
      <c r="HP949" s="127" t="s">
        <v>480</v>
      </c>
      <c r="HQ949" s="185"/>
      <c r="HR949" s="185"/>
      <c r="HS949" s="206"/>
      <c r="HT949" s="185"/>
      <c r="HU949" s="185"/>
      <c r="HV949" s="185"/>
      <c r="HW949" s="185"/>
      <c r="HX949" s="215"/>
      <c r="HY949" s="185"/>
      <c r="HZ949" s="185"/>
      <c r="IA949" s="185"/>
      <c r="IB949" s="185"/>
      <c r="IC949" s="185"/>
      <c r="ID949" s="185"/>
      <c r="IE949" s="185"/>
      <c r="IF949" s="185"/>
      <c r="IG949" s="185"/>
      <c r="IH949" s="185" t="s">
        <v>1712</v>
      </c>
      <c r="II949" s="75" t="s">
        <v>929</v>
      </c>
      <c r="IJ949" s="148" t="s">
        <v>542</v>
      </c>
      <c r="IK949" s="210" t="s">
        <v>1715</v>
      </c>
      <c r="IL949" s="185">
        <v>2020</v>
      </c>
      <c r="IM949" s="185"/>
      <c r="IN949" s="185" t="s">
        <v>1716</v>
      </c>
      <c r="IO949" s="185"/>
      <c r="IP949" s="185"/>
      <c r="IQ949" s="185"/>
      <c r="IR949" s="185"/>
      <c r="IS949" s="185"/>
      <c r="IT949" s="185"/>
      <c r="IU949" s="185"/>
      <c r="IV949" s="185"/>
      <c r="IW949" s="185"/>
      <c r="IX949" s="2"/>
      <c r="IY949" s="2"/>
      <c r="IZ949" s="2"/>
      <c r="JA949" s="2"/>
      <c r="JB949" s="2"/>
      <c r="JC949" s="2"/>
      <c r="JD949" s="2"/>
      <c r="JE949" s="2"/>
      <c r="JF949" s="2"/>
      <c r="JG949" s="2"/>
      <c r="JH949" s="2"/>
      <c r="JI949" s="2"/>
      <c r="JJ949" s="2" t="s">
        <v>1727</v>
      </c>
      <c r="JK949" s="2" t="s">
        <v>682</v>
      </c>
      <c r="JL949" s="151"/>
      <c r="JM949" s="140"/>
      <c r="JN949" s="206"/>
      <c r="JO949" s="185"/>
      <c r="JP949" s="206"/>
      <c r="JQ949" s="185"/>
      <c r="JR949" s="185"/>
      <c r="JS949" s="185"/>
      <c r="JT949" s="185"/>
      <c r="JU949" s="185"/>
      <c r="JV949" s="140"/>
      <c r="JW949" s="140"/>
      <c r="JX949" s="206"/>
      <c r="JY949" s="185"/>
      <c r="JZ949" s="206"/>
      <c r="KA949" s="185"/>
      <c r="KB949" s="185"/>
      <c r="KC949" s="185"/>
      <c r="KD949" s="206"/>
      <c r="KE949" s="206"/>
      <c r="KF949" s="148"/>
      <c r="KG949" s="216"/>
      <c r="KH949" s="185"/>
      <c r="KI949" s="185"/>
      <c r="KJ949" s="185"/>
      <c r="KK949" s="185"/>
      <c r="KL949" s="206"/>
      <c r="KM949" s="185"/>
      <c r="KN949" s="148"/>
      <c r="KO949" s="216"/>
      <c r="KP949" s="185"/>
      <c r="KQ949" s="185"/>
      <c r="KR949" s="148"/>
      <c r="KS949" s="216"/>
      <c r="KT949" s="185"/>
      <c r="KU949" s="185"/>
      <c r="KV949" s="185"/>
      <c r="KW949" s="3"/>
      <c r="KX949" s="3"/>
      <c r="KY949" s="3"/>
      <c r="KZ949" s="3"/>
      <c r="LA949" s="206"/>
      <c r="LB949" s="206"/>
      <c r="LC949" s="206"/>
      <c r="LD949" s="206"/>
      <c r="LE949" s="206"/>
      <c r="LF949" s="206"/>
      <c r="LG949" s="206"/>
      <c r="LH949" s="206"/>
      <c r="LI949" s="206"/>
      <c r="LJ949" s="206"/>
      <c r="LK949" s="206"/>
      <c r="LL949" s="206"/>
      <c r="LM949" s="206"/>
      <c r="LN949" s="185"/>
      <c r="LO949" s="185"/>
      <c r="LP949" s="185"/>
      <c r="LQ949" s="185"/>
      <c r="LR949" s="185"/>
      <c r="LS949" s="185"/>
      <c r="LT949" s="185"/>
      <c r="LU949" s="185"/>
      <c r="LW949" s="2"/>
      <c r="LX949" s="2"/>
      <c r="LY949" s="2"/>
      <c r="LZ949" s="2"/>
      <c r="MA949" s="2"/>
      <c r="ME949" s="2"/>
      <c r="MF949" s="185"/>
      <c r="MG949" s="185"/>
      <c r="MH949" s="185"/>
      <c r="MI949" s="2"/>
      <c r="MJ949" s="2"/>
      <c r="MK949" s="2"/>
      <c r="ML949" s="2"/>
      <c r="MM949" s="2"/>
      <c r="MN949" s="2"/>
      <c r="MO949" s="2"/>
      <c r="MP949" s="2"/>
      <c r="MQ949" s="185"/>
      <c r="MR949" s="185"/>
      <c r="MS949" s="185"/>
      <c r="MT949" s="185"/>
      <c r="MU949" s="185"/>
      <c r="MV949" s="185"/>
      <c r="MW949" s="185"/>
      <c r="MX949" s="185"/>
      <c r="MY949" s="211" t="s">
        <v>1710</v>
      </c>
      <c r="MZ949" s="212">
        <v>16.25</v>
      </c>
      <c r="NI949" s="185"/>
      <c r="NJ949" s="185" t="s">
        <v>1728</v>
      </c>
      <c r="NK949" s="185" t="s">
        <v>1729</v>
      </c>
      <c r="NL949" s="185" t="s">
        <v>1730</v>
      </c>
      <c r="NM949" s="213" t="s">
        <v>1731</v>
      </c>
      <c r="NN949" s="185">
        <v>0</v>
      </c>
      <c r="NO949" s="185">
        <v>20</v>
      </c>
      <c r="NP949" s="185"/>
      <c r="NQ949" s="185"/>
      <c r="NR949" s="185"/>
      <c r="NS949" s="185"/>
      <c r="NT949" s="185"/>
      <c r="NU949" s="185"/>
      <c r="NV949" s="185" t="s">
        <v>518</v>
      </c>
      <c r="NW949">
        <v>62.04</v>
      </c>
      <c r="NX949" s="185" t="s">
        <v>480</v>
      </c>
      <c r="NY949" s="147"/>
      <c r="NZ949" s="147"/>
      <c r="OA949" s="133"/>
      <c r="OB949" s="185">
        <v>3</v>
      </c>
      <c r="OC949" s="185"/>
      <c r="OD949" s="185"/>
      <c r="OE949" s="185"/>
      <c r="OF949" s="185"/>
      <c r="OG949" s="185"/>
      <c r="OH949" s="185"/>
      <c r="OI949" s="185"/>
      <c r="OJ949" s="185"/>
      <c r="OK949" s="185"/>
      <c r="OL949" s="185"/>
      <c r="OM949" s="185"/>
      <c r="ON949" s="185"/>
      <c r="OO949" s="185"/>
      <c r="OP949" s="185"/>
      <c r="OQ949" s="185"/>
      <c r="OR949" s="185"/>
      <c r="OS949" s="185"/>
      <c r="OT949" s="185"/>
      <c r="OU949" t="s">
        <v>1733</v>
      </c>
      <c r="OV949" s="185" t="s">
        <v>518</v>
      </c>
      <c r="OX949">
        <v>2021</v>
      </c>
      <c r="OY949">
        <v>2022</v>
      </c>
      <c r="PB949" t="s">
        <v>522</v>
      </c>
      <c r="PC949" s="50">
        <v>46148</v>
      </c>
    </row>
    <row r="950" spans="1:419" ht="17.25" thickBot="1">
      <c r="A950" s="205" t="s">
        <v>861</v>
      </c>
      <c r="B950" s="2" t="s">
        <v>1700</v>
      </c>
      <c r="C950" s="2" t="s">
        <v>1387</v>
      </c>
      <c r="D950" s="88" t="s">
        <v>668</v>
      </c>
      <c r="E950" s="2" t="s">
        <v>1701</v>
      </c>
      <c r="F950" s="88" t="s">
        <v>1702</v>
      </c>
      <c r="G950" s="2" t="s">
        <v>475</v>
      </c>
      <c r="H950" s="2" t="s">
        <v>476</v>
      </c>
      <c r="I950" s="88">
        <v>-11.474220000000001</v>
      </c>
      <c r="J950" s="88" t="s">
        <v>1703</v>
      </c>
      <c r="K950" s="88">
        <v>1000</v>
      </c>
      <c r="L950" s="2"/>
      <c r="M950" s="88"/>
      <c r="N950" s="2"/>
      <c r="O950" s="2"/>
      <c r="P950" s="2"/>
      <c r="Q950" s="2"/>
      <c r="R950" s="2"/>
      <c r="S950" s="2"/>
      <c r="T950" s="2"/>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c r="AV950" s="2" t="s">
        <v>1704</v>
      </c>
      <c r="AW950" s="2">
        <v>28</v>
      </c>
      <c r="AX950" s="2" t="s">
        <v>480</v>
      </c>
      <c r="AY950" s="2">
        <v>2</v>
      </c>
      <c r="AZ950" s="185" t="s">
        <v>1705</v>
      </c>
      <c r="BA950" s="185">
        <v>2020</v>
      </c>
      <c r="BB950" s="185">
        <v>2022</v>
      </c>
      <c r="BC950" s="185"/>
      <c r="BD950" s="185" t="s">
        <v>1745</v>
      </c>
      <c r="BE950" s="185" t="s">
        <v>1746</v>
      </c>
      <c r="BF950" s="185" t="s">
        <v>484</v>
      </c>
      <c r="BG950" s="185" t="s">
        <v>485</v>
      </c>
      <c r="BH950" s="185" t="s">
        <v>1719</v>
      </c>
      <c r="BI950" s="206" t="s">
        <v>1709</v>
      </c>
      <c r="BJ950" s="207">
        <v>4.4000000000000004</v>
      </c>
      <c r="BK950" s="185"/>
      <c r="BL950" s="185"/>
      <c r="BM950" s="185"/>
      <c r="BN950" s="185"/>
      <c r="BO950" s="185"/>
      <c r="BP950" s="185"/>
      <c r="BQ950" s="185"/>
      <c r="BR950" s="185"/>
      <c r="BS950" s="185"/>
      <c r="BT950" s="185"/>
      <c r="BU950" s="185"/>
      <c r="BV950" s="3"/>
      <c r="BW950" s="3"/>
      <c r="BX950" s="3"/>
      <c r="BY950" s="3"/>
      <c r="BZ950" s="3"/>
      <c r="CA950" s="3"/>
      <c r="CB950" s="3"/>
      <c r="CC950" s="3"/>
      <c r="CD950" s="3"/>
      <c r="CE950" s="3"/>
      <c r="CF950" s="3"/>
      <c r="CG950" s="3"/>
      <c r="CH950" s="3"/>
      <c r="CI950" s="3"/>
      <c r="CJ950" s="3"/>
      <c r="CK950" s="3"/>
      <c r="CL950" s="3"/>
      <c r="CM950" s="3"/>
      <c r="CN950" s="3"/>
      <c r="CO950" s="3"/>
      <c r="CP950" s="3"/>
      <c r="CQ950" s="3"/>
      <c r="CR950" s="3"/>
      <c r="CS950" s="3"/>
      <c r="CT950" s="3"/>
      <c r="CU950" s="3"/>
      <c r="CV950" s="3"/>
      <c r="CW950" s="3"/>
      <c r="CX950" s="3"/>
      <c r="CY950" s="3"/>
      <c r="CZ950" s="3"/>
      <c r="DA950" s="3"/>
      <c r="DB950" s="3"/>
      <c r="DC950" s="3"/>
      <c r="DD950" s="3"/>
      <c r="DE950" s="3"/>
      <c r="DF950" s="3"/>
      <c r="DG950" s="3"/>
      <c r="DH950" s="3"/>
      <c r="DI950" s="3"/>
      <c r="DJ950" s="3"/>
      <c r="DK950" s="3"/>
      <c r="DL950" s="3"/>
      <c r="DM950" s="3"/>
      <c r="DN950" s="3"/>
      <c r="DO950" s="3"/>
      <c r="DP950" s="3"/>
      <c r="DQ950" s="3"/>
      <c r="DR950" s="3"/>
      <c r="DS950" s="3"/>
      <c r="DT950" s="3"/>
      <c r="DU950" s="3"/>
      <c r="DV950" s="3"/>
      <c r="DW950" s="3"/>
      <c r="DX950" s="3"/>
      <c r="DY950" s="3"/>
      <c r="DZ950" s="3"/>
      <c r="EA950" s="3"/>
      <c r="EB950" s="3"/>
      <c r="EC950" s="3"/>
      <c r="ED950" s="2"/>
      <c r="EE950" s="185"/>
      <c r="EF950" s="185"/>
      <c r="EG950" s="185"/>
      <c r="EH950" s="185"/>
      <c r="EI950" s="185"/>
      <c r="EJ950" s="185"/>
      <c r="EK950" s="185"/>
      <c r="EL950" s="3"/>
      <c r="EM950" s="3"/>
      <c r="EN950" s="3"/>
      <c r="EO950" s="3"/>
      <c r="EP950" s="3"/>
      <c r="EQ950" s="3"/>
      <c r="ER950" s="3"/>
      <c r="ES950" s="3"/>
      <c r="ET950" s="3"/>
      <c r="EU950" s="3"/>
      <c r="EV950" s="3"/>
      <c r="EW950" s="3"/>
      <c r="EX950" s="3"/>
      <c r="EY950" s="3"/>
      <c r="EZ950" s="3"/>
      <c r="FA950" s="3"/>
      <c r="FB950" s="3"/>
      <c r="FC950" s="3"/>
      <c r="FD950" s="3"/>
      <c r="FE950" s="3"/>
      <c r="FF950" s="3"/>
      <c r="FG950" s="3"/>
      <c r="FH950" s="3"/>
      <c r="FI950" s="3"/>
      <c r="FJ950" s="3"/>
      <c r="FK950" s="3"/>
      <c r="FL950" s="3"/>
      <c r="FM950" s="3"/>
      <c r="FN950" s="3"/>
      <c r="FO950" s="3"/>
      <c r="FP950" s="3"/>
      <c r="FQ950" s="3"/>
      <c r="FR950" s="3"/>
      <c r="FS950" s="3"/>
      <c r="FT950" s="3"/>
      <c r="FU950" s="3"/>
      <c r="FV950" s="3"/>
      <c r="FW950" s="3"/>
      <c r="FX950" s="3"/>
      <c r="FY950" s="3"/>
      <c r="FZ950" s="3"/>
      <c r="GA950" s="3"/>
      <c r="GB950" s="3"/>
      <c r="GC950" s="3"/>
      <c r="GD950" s="3"/>
      <c r="GE950" s="3"/>
      <c r="GF950" s="3"/>
      <c r="GG950" s="3"/>
      <c r="GH950" s="3"/>
      <c r="GI950" s="3"/>
      <c r="GJ950" s="3"/>
      <c r="GK950" s="3"/>
      <c r="GL950" s="3"/>
      <c r="GM950" s="3"/>
      <c r="GN950" s="3"/>
      <c r="GO950" s="3"/>
      <c r="GP950" s="3"/>
      <c r="GQ950" s="3"/>
      <c r="GR950" s="3"/>
      <c r="GS950" s="3"/>
      <c r="GT950" s="3"/>
      <c r="GU950" s="3"/>
      <c r="GV950" s="3"/>
      <c r="GW950" s="3"/>
      <c r="GX950" s="3"/>
      <c r="GY950" s="3"/>
      <c r="GZ950" s="3"/>
      <c r="HA950" s="3"/>
      <c r="HB950" s="3"/>
      <c r="HC950" s="3"/>
      <c r="HD950" s="3"/>
      <c r="HE950" s="3"/>
      <c r="HF950" s="3"/>
      <c r="HG950" s="3"/>
      <c r="HH950" s="3"/>
      <c r="HI950" s="3"/>
      <c r="HJ950" s="3"/>
      <c r="HK950" s="185" t="s">
        <v>1747</v>
      </c>
      <c r="HL950" s="185" t="s">
        <v>526</v>
      </c>
      <c r="HM950" s="127" t="s">
        <v>480</v>
      </c>
      <c r="HN950" s="127" t="s">
        <v>480</v>
      </c>
      <c r="HO950" s="185" t="s">
        <v>480</v>
      </c>
      <c r="HP950" s="127" t="s">
        <v>480</v>
      </c>
      <c r="HQ950" s="185"/>
      <c r="HR950" s="185"/>
      <c r="HS950" s="206"/>
      <c r="HT950" s="185"/>
      <c r="HU950" s="185"/>
      <c r="HV950" s="185"/>
      <c r="HW950" s="185"/>
      <c r="HX950" s="215"/>
      <c r="HY950" s="185"/>
      <c r="HZ950" s="185"/>
      <c r="IA950" s="185"/>
      <c r="IB950" s="185"/>
      <c r="IC950" s="185"/>
      <c r="ID950" s="185"/>
      <c r="IE950" s="185"/>
      <c r="IF950" s="185"/>
      <c r="IG950" s="185"/>
      <c r="IH950" s="185" t="s">
        <v>1723</v>
      </c>
      <c r="II950" s="148" t="s">
        <v>492</v>
      </c>
      <c r="IJ950" s="148"/>
      <c r="IK950" s="210"/>
      <c r="IL950" s="185"/>
      <c r="IM950" s="185"/>
      <c r="IN950" s="185"/>
      <c r="IO950" s="185"/>
      <c r="IP950" s="185"/>
      <c r="IQ950" s="185"/>
      <c r="IR950" s="185"/>
      <c r="IS950" s="185"/>
      <c r="IT950" s="185"/>
      <c r="IU950" s="185"/>
      <c r="IV950" s="185"/>
      <c r="IW950" s="185"/>
      <c r="IX950" s="2"/>
      <c r="IY950" s="2"/>
      <c r="IZ950" s="2"/>
      <c r="JA950" s="2"/>
      <c r="JB950" s="2"/>
      <c r="JC950" s="2"/>
      <c r="JD950" s="2"/>
      <c r="JE950" s="2"/>
      <c r="JF950" s="2"/>
      <c r="JG950" s="2"/>
      <c r="JH950" s="2"/>
      <c r="JI950" s="2"/>
      <c r="JJ950" s="2" t="s">
        <v>1727</v>
      </c>
      <c r="JK950" s="2" t="s">
        <v>682</v>
      </c>
      <c r="JL950" s="151"/>
      <c r="JM950" s="140"/>
      <c r="JN950" s="206"/>
      <c r="JO950" s="185"/>
      <c r="JP950" s="206"/>
      <c r="JQ950" s="185"/>
      <c r="JR950" s="185"/>
      <c r="JS950" s="185"/>
      <c r="JT950" s="185"/>
      <c r="JU950" s="185"/>
      <c r="JV950" s="140"/>
      <c r="JW950" s="140"/>
      <c r="JX950" s="206"/>
      <c r="JY950" s="185"/>
      <c r="JZ950" s="206"/>
      <c r="KA950" s="185"/>
      <c r="KB950" s="185"/>
      <c r="KC950" s="185"/>
      <c r="KD950" s="206"/>
      <c r="KE950" s="206"/>
      <c r="KF950" s="148"/>
      <c r="KG950" s="216"/>
      <c r="KH950" s="185"/>
      <c r="KI950" s="185"/>
      <c r="KJ950" s="185"/>
      <c r="KK950" s="185"/>
      <c r="KL950" s="206"/>
      <c r="KM950" s="185"/>
      <c r="KN950" s="148"/>
      <c r="KO950" s="216"/>
      <c r="KP950" s="185"/>
      <c r="KQ950" s="185"/>
      <c r="KR950" s="148"/>
      <c r="KS950" s="216"/>
      <c r="KT950" s="185"/>
      <c r="KU950" s="185"/>
      <c r="KV950" s="185"/>
      <c r="KW950" s="3"/>
      <c r="KX950" s="3"/>
      <c r="KY950" s="3"/>
      <c r="KZ950" s="3"/>
      <c r="LA950" s="206"/>
      <c r="LB950" s="206"/>
      <c r="LC950" s="206"/>
      <c r="LD950" s="206"/>
      <c r="LE950" s="206"/>
      <c r="LF950" s="206"/>
      <c r="LG950" s="206"/>
      <c r="LH950" s="206"/>
      <c r="LI950" s="206"/>
      <c r="LJ950" s="206"/>
      <c r="LK950" s="206"/>
      <c r="LL950" s="206"/>
      <c r="LM950" s="206"/>
      <c r="LN950" s="185"/>
      <c r="LO950" s="185"/>
      <c r="LP950" s="185"/>
      <c r="LQ950" s="185"/>
      <c r="LR950" s="185"/>
      <c r="LS950" s="185"/>
      <c r="LT950" s="185"/>
      <c r="LU950" s="185"/>
      <c r="LW950" s="2"/>
      <c r="LX950" s="2"/>
      <c r="LY950" s="2"/>
      <c r="LZ950" s="2"/>
      <c r="MA950" s="2"/>
      <c r="ME950" s="2"/>
      <c r="MF950" s="185"/>
      <c r="MG950" s="185"/>
      <c r="MH950" s="185"/>
      <c r="MI950" s="2"/>
      <c r="MJ950" s="2"/>
      <c r="MK950" s="2"/>
      <c r="ML950" s="2"/>
      <c r="MM950" s="2"/>
      <c r="MN950" s="2"/>
      <c r="MO950" s="2"/>
      <c r="MP950" s="2"/>
      <c r="MQ950" s="185"/>
      <c r="MR950" s="185"/>
      <c r="MS950" s="185"/>
      <c r="MT950" s="185"/>
      <c r="MU950" s="185"/>
      <c r="MV950" s="185"/>
      <c r="MW950" s="185"/>
      <c r="MX950" s="185"/>
      <c r="MY950" s="211" t="s">
        <v>1710</v>
      </c>
      <c r="MZ950" s="212">
        <v>16.25</v>
      </c>
      <c r="NI950" s="185"/>
      <c r="NJ950" s="185" t="s">
        <v>1728</v>
      </c>
      <c r="NK950" s="185" t="s">
        <v>1729</v>
      </c>
      <c r="NL950" s="185" t="s">
        <v>1730</v>
      </c>
      <c r="NM950" s="213" t="s">
        <v>1731</v>
      </c>
      <c r="NN950" s="185">
        <v>0</v>
      </c>
      <c r="NO950" s="185">
        <v>20</v>
      </c>
      <c r="NP950" s="185"/>
      <c r="NQ950" s="185"/>
      <c r="NR950" s="185"/>
      <c r="NS950" s="185"/>
      <c r="NT950" s="185"/>
      <c r="NU950" s="185" t="s">
        <v>1748</v>
      </c>
      <c r="NV950" s="185" t="s">
        <v>518</v>
      </c>
      <c r="NW950" s="133">
        <v>23.7</v>
      </c>
      <c r="NX950" s="185" t="s">
        <v>480</v>
      </c>
      <c r="NY950" s="147"/>
      <c r="NZ950" s="147"/>
      <c r="OB950" s="185">
        <v>3</v>
      </c>
      <c r="OD950" s="185"/>
      <c r="OF950" s="185"/>
      <c r="OG950" s="185"/>
      <c r="OH950" s="185"/>
      <c r="OI950" s="185"/>
      <c r="OJ950" s="185"/>
      <c r="OK950" s="185"/>
      <c r="OL950" s="185"/>
      <c r="OM950" s="185"/>
      <c r="ON950" s="185"/>
      <c r="OO950" s="185"/>
      <c r="OP950" s="185"/>
      <c r="OQ950" s="185"/>
      <c r="OR950" s="185"/>
      <c r="OS950" s="185"/>
      <c r="OT950" s="185"/>
      <c r="OU950" t="s">
        <v>1733</v>
      </c>
      <c r="OV950" s="185" t="s">
        <v>518</v>
      </c>
      <c r="OX950">
        <v>2021</v>
      </c>
      <c r="OY950">
        <v>2022</v>
      </c>
      <c r="PB950" t="s">
        <v>522</v>
      </c>
      <c r="PC950" s="50">
        <v>46148</v>
      </c>
    </row>
    <row r="951" spans="1:419" ht="17.25" thickBot="1">
      <c r="A951" s="205" t="s">
        <v>861</v>
      </c>
      <c r="B951" s="2" t="s">
        <v>1700</v>
      </c>
      <c r="C951" s="2" t="s">
        <v>1387</v>
      </c>
      <c r="D951" s="88" t="s">
        <v>668</v>
      </c>
      <c r="E951" s="2" t="s">
        <v>1701</v>
      </c>
      <c r="F951" s="88" t="s">
        <v>1702</v>
      </c>
      <c r="G951" s="2" t="s">
        <v>475</v>
      </c>
      <c r="H951" s="2" t="s">
        <v>476</v>
      </c>
      <c r="I951" s="88">
        <v>-11.474220000000001</v>
      </c>
      <c r="J951" s="88" t="s">
        <v>1703</v>
      </c>
      <c r="K951" s="88">
        <v>1000</v>
      </c>
      <c r="L951" s="2"/>
      <c r="M951" s="88"/>
      <c r="N951" s="2"/>
      <c r="O951" s="2"/>
      <c r="P951" s="2"/>
      <c r="Q951" s="2"/>
      <c r="R951" s="2"/>
      <c r="S951" s="2"/>
      <c r="T951" s="2"/>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c r="AV951" s="2" t="s">
        <v>1704</v>
      </c>
      <c r="AW951" s="2">
        <v>28</v>
      </c>
      <c r="AX951" s="2" t="s">
        <v>480</v>
      </c>
      <c r="AY951" s="2">
        <v>2</v>
      </c>
      <c r="AZ951" s="185" t="s">
        <v>1705</v>
      </c>
      <c r="BA951" s="185">
        <v>2020</v>
      </c>
      <c r="BB951" s="185">
        <v>2022</v>
      </c>
      <c r="BC951" s="185"/>
      <c r="BD951" s="185" t="s">
        <v>1749</v>
      </c>
      <c r="BE951" s="185" t="s">
        <v>1750</v>
      </c>
      <c r="BF951" s="185" t="s">
        <v>484</v>
      </c>
      <c r="BG951" s="185" t="s">
        <v>485</v>
      </c>
      <c r="BH951" s="185" t="s">
        <v>1719</v>
      </c>
      <c r="BI951" s="206" t="s">
        <v>1709</v>
      </c>
      <c r="BJ951" s="207">
        <v>4.4000000000000004</v>
      </c>
      <c r="BK951" s="185"/>
      <c r="BL951" s="185"/>
      <c r="BM951" s="185"/>
      <c r="BN951" s="185"/>
      <c r="BO951" s="185"/>
      <c r="BP951" s="185"/>
      <c r="BQ951" s="185"/>
      <c r="BR951" s="185"/>
      <c r="BS951" s="185"/>
      <c r="BT951" s="185"/>
      <c r="BU951" s="185"/>
      <c r="BV951" s="3"/>
      <c r="BW951" s="3"/>
      <c r="BX951" s="3"/>
      <c r="BY951" s="3"/>
      <c r="BZ951" s="3"/>
      <c r="CA951" s="3"/>
      <c r="CB951" s="3"/>
      <c r="CC951" s="3"/>
      <c r="CD951" s="3"/>
      <c r="CE951" s="3"/>
      <c r="CF951" s="3"/>
      <c r="CG951" s="3"/>
      <c r="CH951" s="3"/>
      <c r="CI951" s="3"/>
      <c r="CJ951" s="3"/>
      <c r="CK951" s="3"/>
      <c r="CL951" s="3"/>
      <c r="CM951" s="3"/>
      <c r="CN951" s="3"/>
      <c r="CO951" s="3"/>
      <c r="CP951" s="3"/>
      <c r="CQ951" s="3"/>
      <c r="CR951" s="3"/>
      <c r="CS951" s="3"/>
      <c r="CT951" s="3"/>
      <c r="CU951" s="3"/>
      <c r="CV951" s="3"/>
      <c r="CW951" s="3"/>
      <c r="CX951" s="3"/>
      <c r="CY951" s="3"/>
      <c r="CZ951" s="3"/>
      <c r="DA951" s="3"/>
      <c r="DB951" s="3"/>
      <c r="DC951" s="3"/>
      <c r="DD951" s="3"/>
      <c r="DE951" s="3"/>
      <c r="DF951" s="3"/>
      <c r="DG951" s="3"/>
      <c r="DH951" s="3"/>
      <c r="DI951" s="3"/>
      <c r="DJ951" s="3"/>
      <c r="DK951" s="3"/>
      <c r="DL951" s="3"/>
      <c r="DM951" s="3"/>
      <c r="DN951" s="3"/>
      <c r="DO951" s="3"/>
      <c r="DP951" s="3"/>
      <c r="DQ951" s="3"/>
      <c r="DR951" s="3"/>
      <c r="DS951" s="3"/>
      <c r="DT951" s="3"/>
      <c r="DU951" s="3"/>
      <c r="DV951" s="3"/>
      <c r="DW951" s="3"/>
      <c r="DX951" s="3"/>
      <c r="DY951" s="3"/>
      <c r="DZ951" s="3"/>
      <c r="EA951" s="3"/>
      <c r="EB951" s="3"/>
      <c r="EC951" s="3"/>
      <c r="ED951" s="2"/>
      <c r="EE951" s="185"/>
      <c r="EF951" s="185"/>
      <c r="EG951" s="185"/>
      <c r="EH951" s="185"/>
      <c r="EI951" s="185"/>
      <c r="EJ951" s="185"/>
      <c r="EK951" s="185"/>
      <c r="EL951" s="3"/>
      <c r="EM951" s="3"/>
      <c r="EN951" s="3"/>
      <c r="EO951" s="3"/>
      <c r="EP951" s="3"/>
      <c r="EQ951" s="3"/>
      <c r="ER951" s="3"/>
      <c r="ES951" s="3"/>
      <c r="ET951" s="3"/>
      <c r="EU951" s="3"/>
      <c r="EV951" s="3"/>
      <c r="EW951" s="3"/>
      <c r="EX951" s="3"/>
      <c r="EY951" s="3"/>
      <c r="EZ951" s="3"/>
      <c r="FA951" s="3"/>
      <c r="FB951" s="3"/>
      <c r="FC951" s="3"/>
      <c r="FD951" s="3"/>
      <c r="FE951" s="3"/>
      <c r="FF951" s="3"/>
      <c r="FG951" s="3"/>
      <c r="FH951" s="3"/>
      <c r="FI951" s="3"/>
      <c r="FJ951" s="3"/>
      <c r="FK951" s="3"/>
      <c r="FL951" s="3"/>
      <c r="FM951" s="3"/>
      <c r="FN951" s="3"/>
      <c r="FO951" s="3"/>
      <c r="FP951" s="3"/>
      <c r="FQ951" s="3"/>
      <c r="FR951" s="3"/>
      <c r="FS951" s="3"/>
      <c r="FT951" s="3"/>
      <c r="FU951" s="3"/>
      <c r="FV951" s="3"/>
      <c r="FW951" s="3"/>
      <c r="FX951" s="3"/>
      <c r="FY951" s="3"/>
      <c r="FZ951" s="3"/>
      <c r="GA951" s="3"/>
      <c r="GB951" s="3"/>
      <c r="GC951" s="3"/>
      <c r="GD951" s="3"/>
      <c r="GE951" s="3"/>
      <c r="GF951" s="3"/>
      <c r="GG951" s="3"/>
      <c r="GH951" s="3"/>
      <c r="GI951" s="3"/>
      <c r="GJ951" s="3"/>
      <c r="GK951" s="3"/>
      <c r="GL951" s="3"/>
      <c r="GM951" s="3"/>
      <c r="GN951" s="3"/>
      <c r="GO951" s="3"/>
      <c r="GP951" s="3"/>
      <c r="GQ951" s="3"/>
      <c r="GR951" s="3"/>
      <c r="GS951" s="3"/>
      <c r="GT951" s="3"/>
      <c r="GU951" s="3"/>
      <c r="GV951" s="3"/>
      <c r="GW951" s="3"/>
      <c r="GX951" s="3"/>
      <c r="GY951" s="3"/>
      <c r="GZ951" s="3"/>
      <c r="HA951" s="3"/>
      <c r="HB951" s="3"/>
      <c r="HC951" s="3"/>
      <c r="HD951" s="3"/>
      <c r="HE951" s="3"/>
      <c r="HF951" s="3"/>
      <c r="HG951" s="3"/>
      <c r="HH951" s="3"/>
      <c r="HI951" s="3"/>
      <c r="HJ951" s="3"/>
      <c r="HK951" s="185" t="s">
        <v>1747</v>
      </c>
      <c r="HL951" s="185" t="s">
        <v>526</v>
      </c>
      <c r="HM951" s="127" t="s">
        <v>480</v>
      </c>
      <c r="HN951" s="127" t="s">
        <v>480</v>
      </c>
      <c r="HO951" s="185" t="s">
        <v>480</v>
      </c>
      <c r="HP951" s="127" t="s">
        <v>480</v>
      </c>
      <c r="HQ951" s="185"/>
      <c r="HR951" s="185"/>
      <c r="HS951" s="206"/>
      <c r="HT951" s="185"/>
      <c r="HU951" s="185"/>
      <c r="HV951" s="185"/>
      <c r="HW951" s="185"/>
      <c r="HX951" s="215"/>
      <c r="HY951" s="185"/>
      <c r="HZ951" s="185"/>
      <c r="IA951" s="185"/>
      <c r="IB951" s="185"/>
      <c r="IC951" s="185"/>
      <c r="ID951" s="185"/>
      <c r="IE951" s="185"/>
      <c r="IF951" s="185"/>
      <c r="IG951" s="185"/>
      <c r="IH951" s="185"/>
      <c r="II951" s="148"/>
      <c r="IJ951" s="148"/>
      <c r="IK951" s="210"/>
      <c r="IL951" s="185"/>
      <c r="IM951" s="185"/>
      <c r="IN951" s="185"/>
      <c r="IO951" s="185"/>
      <c r="IP951" s="185"/>
      <c r="IQ951" s="185"/>
      <c r="IR951" s="185"/>
      <c r="IS951" s="185"/>
      <c r="IT951" s="185"/>
      <c r="IU951" s="185"/>
      <c r="IV951" s="185"/>
      <c r="IW951" s="185"/>
      <c r="IX951" s="2"/>
      <c r="IY951" s="2"/>
      <c r="IZ951" s="2"/>
      <c r="JA951" s="2"/>
      <c r="JB951" s="2"/>
      <c r="JC951" s="2"/>
      <c r="JD951" s="2"/>
      <c r="JE951" s="2"/>
      <c r="JF951" s="2"/>
      <c r="JG951" s="2"/>
      <c r="JH951" s="2"/>
      <c r="JI951" s="2"/>
      <c r="JJ951" s="2" t="s">
        <v>1736</v>
      </c>
      <c r="JK951" s="2" t="s">
        <v>494</v>
      </c>
      <c r="JL951" s="151" t="s">
        <v>495</v>
      </c>
      <c r="JM951" s="140"/>
      <c r="JN951" s="206"/>
      <c r="JO951" s="185"/>
      <c r="JP951" s="206" t="s">
        <v>508</v>
      </c>
      <c r="JQ951" s="185">
        <v>90</v>
      </c>
      <c r="JR951" s="185"/>
      <c r="JS951" s="185"/>
      <c r="JT951" s="185"/>
      <c r="JU951" s="185"/>
      <c r="JV951" s="140"/>
      <c r="JW951" s="140"/>
      <c r="JX951" s="206"/>
      <c r="JY951" s="185"/>
      <c r="JZ951" s="206"/>
      <c r="KA951" s="185"/>
      <c r="KB951" s="185"/>
      <c r="KC951" s="185"/>
      <c r="KD951" s="206"/>
      <c r="KE951" s="206"/>
      <c r="KF951" s="148"/>
      <c r="KG951" s="216"/>
      <c r="KH951" s="185"/>
      <c r="KI951" s="185"/>
      <c r="KJ951" s="185"/>
      <c r="KK951" s="185"/>
      <c r="KL951" s="206"/>
      <c r="KM951" s="185"/>
      <c r="KN951" s="148"/>
      <c r="KO951" s="216"/>
      <c r="KP951" s="185"/>
      <c r="KQ951" s="185"/>
      <c r="KR951" s="148"/>
      <c r="KS951" s="216"/>
      <c r="KT951" s="185"/>
      <c r="KU951" s="185"/>
      <c r="KV951" s="185"/>
      <c r="KW951" s="3"/>
      <c r="KX951" s="3"/>
      <c r="KY951" s="3"/>
      <c r="KZ951" s="3"/>
      <c r="LA951" s="206"/>
      <c r="LB951" s="206"/>
      <c r="LC951" s="206"/>
      <c r="LD951" s="206"/>
      <c r="LE951" s="206"/>
      <c r="LF951" s="206"/>
      <c r="LG951" s="206"/>
      <c r="LH951" s="206"/>
      <c r="LI951" s="206"/>
      <c r="LJ951" s="206"/>
      <c r="LK951" s="206"/>
      <c r="LL951" s="206"/>
      <c r="LM951" s="206"/>
      <c r="LN951" s="185"/>
      <c r="LO951" s="185"/>
      <c r="LP951" s="185"/>
      <c r="LQ951" s="185"/>
      <c r="LR951" s="185"/>
      <c r="LS951" s="185"/>
      <c r="LT951" s="185"/>
      <c r="LU951" s="185"/>
      <c r="LW951" s="2"/>
      <c r="LX951" s="2"/>
      <c r="LY951" s="2"/>
      <c r="LZ951" s="2"/>
      <c r="MA951" s="2"/>
      <c r="ME951" s="2"/>
      <c r="MF951" s="185"/>
      <c r="MG951" s="185"/>
      <c r="MH951" s="185"/>
      <c r="MI951" s="2"/>
      <c r="MJ951" s="2"/>
      <c r="MK951" s="2"/>
      <c r="ML951" s="2"/>
      <c r="MM951" s="2"/>
      <c r="MN951" s="2"/>
      <c r="MO951" s="2"/>
      <c r="MP951" s="2"/>
      <c r="MQ951" s="185"/>
      <c r="MR951" s="185"/>
      <c r="MS951" s="185"/>
      <c r="MT951" s="185"/>
      <c r="MU951" s="185"/>
      <c r="MV951" s="185"/>
      <c r="MW951" s="185"/>
      <c r="MX951" s="185"/>
      <c r="MY951" s="217"/>
      <c r="MZ951" s="218"/>
      <c r="NI951" s="185"/>
      <c r="NJ951" s="185" t="s">
        <v>1728</v>
      </c>
      <c r="NK951" s="185" t="s">
        <v>1729</v>
      </c>
      <c r="NL951" s="185" t="s">
        <v>1730</v>
      </c>
      <c r="NM951" s="213" t="s">
        <v>1731</v>
      </c>
      <c r="NN951" s="185">
        <v>0</v>
      </c>
      <c r="NO951" s="185">
        <v>20</v>
      </c>
      <c r="NP951" s="185"/>
      <c r="NQ951" s="185"/>
      <c r="NR951" s="185"/>
      <c r="NS951" s="185"/>
      <c r="NT951" s="185"/>
      <c r="NU951" s="185" t="s">
        <v>1751</v>
      </c>
      <c r="NV951" s="185" t="s">
        <v>518</v>
      </c>
      <c r="NW951" s="133">
        <v>30.939999999999998</v>
      </c>
      <c r="NX951" s="185" t="s">
        <v>480</v>
      </c>
      <c r="NY951" s="147"/>
      <c r="NZ951" s="147"/>
      <c r="OB951" s="185">
        <v>3</v>
      </c>
      <c r="OC951" s="185"/>
      <c r="OD951" s="185"/>
      <c r="OE951" s="185"/>
      <c r="OF951" s="185"/>
      <c r="OG951" s="185"/>
      <c r="OH951" s="185"/>
      <c r="OI951" s="185"/>
      <c r="OJ951" s="185"/>
      <c r="OK951" s="185"/>
      <c r="OL951" s="185"/>
      <c r="OM951" s="185"/>
      <c r="ON951" s="185"/>
      <c r="OO951" s="185"/>
      <c r="OP951" s="185"/>
      <c r="OQ951" s="185"/>
      <c r="OR951" s="185"/>
      <c r="OS951" s="185"/>
      <c r="OT951" s="185"/>
      <c r="OU951" t="s">
        <v>1733</v>
      </c>
      <c r="OV951" s="185" t="s">
        <v>518</v>
      </c>
      <c r="OW951" s="185"/>
      <c r="OX951">
        <v>2021</v>
      </c>
      <c r="OY951">
        <v>2022</v>
      </c>
      <c r="OZ951" s="185"/>
      <c r="PA951" s="185"/>
      <c r="PB951" t="s">
        <v>522</v>
      </c>
      <c r="PC951" s="50">
        <v>46148</v>
      </c>
    </row>
    <row r="952" spans="1:419" ht="17.25" thickBot="1">
      <c r="A952" s="205" t="s">
        <v>861</v>
      </c>
      <c r="B952" s="2" t="s">
        <v>1700</v>
      </c>
      <c r="C952" s="2" t="s">
        <v>1387</v>
      </c>
      <c r="D952" s="88" t="s">
        <v>668</v>
      </c>
      <c r="E952" s="2" t="s">
        <v>1701</v>
      </c>
      <c r="F952" s="88" t="s">
        <v>1702</v>
      </c>
      <c r="G952" s="2" t="s">
        <v>475</v>
      </c>
      <c r="H952" s="2" t="s">
        <v>476</v>
      </c>
      <c r="I952" s="88">
        <v>-11.474220000000001</v>
      </c>
      <c r="J952" s="88" t="s">
        <v>1703</v>
      </c>
      <c r="K952" s="88">
        <v>1000</v>
      </c>
      <c r="L952" s="2"/>
      <c r="M952" s="88"/>
      <c r="N952" s="2"/>
      <c r="O952" s="2"/>
      <c r="P952" s="2"/>
      <c r="Q952" s="2"/>
      <c r="R952" s="2"/>
      <c r="S952" s="2"/>
      <c r="T952" s="2"/>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c r="AV952" s="2" t="s">
        <v>1704</v>
      </c>
      <c r="AW952" s="2">
        <v>28</v>
      </c>
      <c r="AX952" s="2" t="s">
        <v>480</v>
      </c>
      <c r="AY952" s="2">
        <v>2</v>
      </c>
      <c r="AZ952" s="185" t="s">
        <v>1705</v>
      </c>
      <c r="BA952" s="185">
        <v>2020</v>
      </c>
      <c r="BB952" s="185">
        <v>2022</v>
      </c>
      <c r="BC952" s="185"/>
      <c r="BD952" s="185" t="s">
        <v>1752</v>
      </c>
      <c r="BE952" s="185" t="s">
        <v>1753</v>
      </c>
      <c r="BF952" s="185" t="s">
        <v>484</v>
      </c>
      <c r="BG952" s="185" t="s">
        <v>538</v>
      </c>
      <c r="BH952" s="185" t="s">
        <v>1713</v>
      </c>
      <c r="BI952" s="206" t="s">
        <v>1709</v>
      </c>
      <c r="BJ952" s="207">
        <v>13.3</v>
      </c>
      <c r="BK952" s="185"/>
      <c r="BL952" s="185"/>
      <c r="BM952" s="185"/>
      <c r="BN952" s="185"/>
      <c r="BO952" s="185"/>
      <c r="BP952" s="185"/>
      <c r="BQ952" s="185"/>
      <c r="BR952" s="185"/>
      <c r="BS952" s="185"/>
      <c r="BT952" s="185"/>
      <c r="BU952" s="185"/>
      <c r="BV952" s="3"/>
      <c r="BW952" s="3"/>
      <c r="BX952" s="3"/>
      <c r="BY952" s="3"/>
      <c r="BZ952" s="3"/>
      <c r="CA952" s="3"/>
      <c r="CB952" s="3"/>
      <c r="CC952" s="3"/>
      <c r="CD952" s="3"/>
      <c r="CE952" s="3"/>
      <c r="CF952" s="3"/>
      <c r="CG952" s="3"/>
      <c r="CH952" s="3"/>
      <c r="CI952" s="3"/>
      <c r="CJ952" s="3"/>
      <c r="CK952" s="3"/>
      <c r="CL952" s="3"/>
      <c r="CM952" s="3"/>
      <c r="CN952" s="3"/>
      <c r="CO952" s="3"/>
      <c r="CP952" s="3"/>
      <c r="CQ952" s="3"/>
      <c r="CR952" s="3"/>
      <c r="CS952" s="3"/>
      <c r="CT952" s="3"/>
      <c r="CU952" s="3"/>
      <c r="CV952" s="3"/>
      <c r="CW952" s="3"/>
      <c r="CX952" s="3"/>
      <c r="CY952" s="3"/>
      <c r="CZ952" s="3"/>
      <c r="DA952" s="3"/>
      <c r="DB952" s="3"/>
      <c r="DC952" s="3"/>
      <c r="DD952" s="3"/>
      <c r="DE952" s="3"/>
      <c r="DF952" s="3"/>
      <c r="DG952" s="3"/>
      <c r="DH952" s="3"/>
      <c r="DI952" s="3"/>
      <c r="DJ952" s="3"/>
      <c r="DK952" s="3"/>
      <c r="DL952" s="3"/>
      <c r="DM952" s="3"/>
      <c r="DN952" s="3"/>
      <c r="DO952" s="3"/>
      <c r="DP952" s="3"/>
      <c r="DQ952" s="3"/>
      <c r="DR952" s="3"/>
      <c r="DS952" s="3"/>
      <c r="DT952" s="3"/>
      <c r="DU952" s="3"/>
      <c r="DV952" s="3"/>
      <c r="DW952" s="3"/>
      <c r="DX952" s="3"/>
      <c r="DY952" s="3"/>
      <c r="DZ952" s="3"/>
      <c r="EA952" s="3"/>
      <c r="EB952" s="3"/>
      <c r="EC952" s="3"/>
      <c r="ED952" s="2"/>
      <c r="EE952" s="185"/>
      <c r="EF952" s="185"/>
      <c r="EG952" s="185"/>
      <c r="EH952" s="185"/>
      <c r="EI952" s="185"/>
      <c r="EJ952" s="185"/>
      <c r="EK952" s="185"/>
      <c r="EL952" s="3"/>
      <c r="EM952" s="3"/>
      <c r="EN952" s="3"/>
      <c r="EO952" s="3"/>
      <c r="EP952" s="3"/>
      <c r="EQ952" s="3"/>
      <c r="ER952" s="3"/>
      <c r="ES952" s="3"/>
      <c r="ET952" s="3"/>
      <c r="EU952" s="3"/>
      <c r="EV952" s="3"/>
      <c r="EW952" s="3"/>
      <c r="EX952" s="3"/>
      <c r="EY952" s="3"/>
      <c r="EZ952" s="3"/>
      <c r="FA952" s="3"/>
      <c r="FB952" s="3"/>
      <c r="FC952" s="3"/>
      <c r="FD952" s="3"/>
      <c r="FE952" s="3"/>
      <c r="FF952" s="3"/>
      <c r="FG952" s="3"/>
      <c r="FH952" s="3"/>
      <c r="FI952" s="3"/>
      <c r="FJ952" s="3"/>
      <c r="FK952" s="3"/>
      <c r="FL952" s="3"/>
      <c r="FM952" s="3"/>
      <c r="FN952" s="3"/>
      <c r="FO952" s="3"/>
      <c r="FP952" s="3"/>
      <c r="FQ952" s="3"/>
      <c r="FR952" s="3"/>
      <c r="FS952" s="3"/>
      <c r="FT952" s="3"/>
      <c r="FU952" s="3"/>
      <c r="FV952" s="3"/>
      <c r="FW952" s="3"/>
      <c r="FX952" s="3"/>
      <c r="FY952" s="3"/>
      <c r="FZ952" s="3"/>
      <c r="GA952" s="3"/>
      <c r="GB952" s="3"/>
      <c r="GC952" s="3"/>
      <c r="GD952" s="3"/>
      <c r="GE952" s="3"/>
      <c r="GF952" s="3"/>
      <c r="GG952" s="3"/>
      <c r="GH952" s="3"/>
      <c r="GI952" s="3"/>
      <c r="GJ952" s="3"/>
      <c r="GK952" s="3"/>
      <c r="GL952" s="3"/>
      <c r="GM952" s="3"/>
      <c r="GN952" s="3"/>
      <c r="GO952" s="3"/>
      <c r="GP952" s="3"/>
      <c r="GQ952" s="3"/>
      <c r="GR952" s="3"/>
      <c r="GS952" s="3"/>
      <c r="GT952" s="3"/>
      <c r="GU952" s="3"/>
      <c r="GV952" s="3"/>
      <c r="GW952" s="3"/>
      <c r="GX952" s="3"/>
      <c r="GY952" s="3"/>
      <c r="GZ952" s="3"/>
      <c r="HA952" s="3"/>
      <c r="HB952" s="3"/>
      <c r="HC952" s="3"/>
      <c r="HD952" s="3"/>
      <c r="HE952" s="3"/>
      <c r="HF952" s="3"/>
      <c r="HG952" s="3"/>
      <c r="HH952" s="3"/>
      <c r="HI952" s="3"/>
      <c r="HJ952" s="3"/>
      <c r="HK952" s="185" t="s">
        <v>1747</v>
      </c>
      <c r="HL952" s="185" t="s">
        <v>526</v>
      </c>
      <c r="HM952" s="127" t="s">
        <v>480</v>
      </c>
      <c r="HN952" s="127" t="s">
        <v>480</v>
      </c>
      <c r="HO952" s="185" t="s">
        <v>480</v>
      </c>
      <c r="HP952" s="127" t="s">
        <v>480</v>
      </c>
      <c r="HQ952" s="185"/>
      <c r="HR952" s="185"/>
      <c r="HS952" s="206"/>
      <c r="HT952" s="185"/>
      <c r="HU952" s="185"/>
      <c r="HV952" s="185"/>
      <c r="HW952" s="185"/>
      <c r="HX952" s="215"/>
      <c r="HY952" s="185"/>
      <c r="HZ952" s="185"/>
      <c r="IA952" s="185"/>
      <c r="IB952" s="185"/>
      <c r="IC952" s="185"/>
      <c r="ID952" s="185"/>
      <c r="IE952" s="185"/>
      <c r="IF952" s="185"/>
      <c r="IG952" s="185"/>
      <c r="IH952" s="185" t="s">
        <v>1721</v>
      </c>
      <c r="II952" s="148" t="s">
        <v>492</v>
      </c>
      <c r="IJ952" s="148"/>
      <c r="IK952" s="210"/>
      <c r="IL952" s="185"/>
      <c r="IM952" s="185"/>
      <c r="IN952" s="185"/>
      <c r="IO952" s="185"/>
      <c r="IP952" s="185"/>
      <c r="IQ952" s="185"/>
      <c r="IR952" s="185"/>
      <c r="IS952" s="185"/>
      <c r="IT952" s="185"/>
      <c r="IU952" s="185"/>
      <c r="IV952" s="185"/>
      <c r="IW952" s="185"/>
      <c r="IX952" s="2"/>
      <c r="IY952" s="2"/>
      <c r="IZ952" s="2"/>
      <c r="JA952" s="2"/>
      <c r="JB952" s="2"/>
      <c r="JC952" s="2"/>
      <c r="JD952" s="2"/>
      <c r="JE952" s="2"/>
      <c r="JF952" s="2"/>
      <c r="JG952" s="2"/>
      <c r="JH952" s="2"/>
      <c r="JI952" s="2"/>
      <c r="JJ952" s="2" t="s">
        <v>1727</v>
      </c>
      <c r="JK952" s="2" t="s">
        <v>682</v>
      </c>
      <c r="JL952" s="151"/>
      <c r="JM952" s="140"/>
      <c r="JN952" s="206"/>
      <c r="JO952" s="185"/>
      <c r="JP952" s="206"/>
      <c r="JQ952" s="185"/>
      <c r="JR952" s="185"/>
      <c r="JS952" s="185"/>
      <c r="JT952" s="185"/>
      <c r="JU952" s="185"/>
      <c r="JV952" s="140"/>
      <c r="JW952" s="140"/>
      <c r="JX952" s="206"/>
      <c r="JY952" s="185"/>
      <c r="JZ952" s="206"/>
      <c r="KA952" s="185"/>
      <c r="KB952" s="185"/>
      <c r="KC952" s="185"/>
      <c r="KD952" s="206"/>
      <c r="KE952" s="206"/>
      <c r="KF952" s="148"/>
      <c r="KG952" s="216"/>
      <c r="KH952" s="185"/>
      <c r="KI952" s="185"/>
      <c r="KJ952" s="185"/>
      <c r="KK952" s="185"/>
      <c r="KL952" s="206"/>
      <c r="KM952" s="185"/>
      <c r="KN952" s="148"/>
      <c r="KO952" s="216"/>
      <c r="KP952" s="185"/>
      <c r="KQ952" s="185"/>
      <c r="KR952" s="148"/>
      <c r="KS952" s="216"/>
      <c r="KT952" s="185"/>
      <c r="KU952" s="185"/>
      <c r="KV952" s="185"/>
      <c r="KW952" s="3"/>
      <c r="KX952" s="3"/>
      <c r="KY952" s="3"/>
      <c r="KZ952" s="3"/>
      <c r="LA952" s="206"/>
      <c r="LB952" s="206"/>
      <c r="LC952" s="206"/>
      <c r="LD952" s="206"/>
      <c r="LE952" s="206"/>
      <c r="LF952" s="206"/>
      <c r="LG952" s="206"/>
      <c r="LH952" s="206"/>
      <c r="LI952" s="206"/>
      <c r="LJ952" s="206"/>
      <c r="LK952" s="206"/>
      <c r="LL952" s="206"/>
      <c r="LM952" s="206"/>
      <c r="LN952" s="185"/>
      <c r="LO952" s="185"/>
      <c r="LP952" s="185"/>
      <c r="LQ952" s="185"/>
      <c r="LR952" s="185"/>
      <c r="LS952" s="185"/>
      <c r="LT952" s="185"/>
      <c r="LU952" s="185"/>
      <c r="LW952" s="2"/>
      <c r="LX952" s="2"/>
      <c r="LY952" s="2"/>
      <c r="LZ952" s="2"/>
      <c r="MA952" s="2"/>
      <c r="ME952" s="2"/>
      <c r="MF952" s="185"/>
      <c r="MG952" s="185"/>
      <c r="MH952" s="185"/>
      <c r="MI952" s="2"/>
      <c r="MJ952" s="2"/>
      <c r="MK952" s="2"/>
      <c r="ML952" s="2"/>
      <c r="MM952" s="2"/>
      <c r="MN952" s="2"/>
      <c r="MO952" s="2"/>
      <c r="MP952" s="2"/>
      <c r="MQ952" s="185"/>
      <c r="MR952" s="185"/>
      <c r="MS952" s="185"/>
      <c r="MT952" s="185"/>
      <c r="MU952" s="185"/>
      <c r="MV952" s="185"/>
      <c r="MW952" s="185"/>
      <c r="MX952" s="185"/>
      <c r="MY952" s="211" t="s">
        <v>1710</v>
      </c>
      <c r="MZ952" s="212">
        <v>16.25</v>
      </c>
      <c r="NI952" s="185"/>
      <c r="NJ952" s="185" t="s">
        <v>1728</v>
      </c>
      <c r="NK952" s="185" t="s">
        <v>1729</v>
      </c>
      <c r="NL952" s="185" t="s">
        <v>1730</v>
      </c>
      <c r="NM952" s="213" t="s">
        <v>1731</v>
      </c>
      <c r="NN952" s="185">
        <v>0</v>
      </c>
      <c r="NO952" s="185">
        <v>20</v>
      </c>
      <c r="NP952" s="185"/>
      <c r="NQ952" s="185"/>
      <c r="NR952" s="185"/>
      <c r="NS952" s="185"/>
      <c r="NT952" s="185"/>
      <c r="NU952" s="185" t="s">
        <v>1754</v>
      </c>
      <c r="NV952" s="185" t="s">
        <v>518</v>
      </c>
      <c r="NW952" s="133">
        <v>48.519999999999996</v>
      </c>
      <c r="NX952" s="185" t="s">
        <v>480</v>
      </c>
      <c r="NY952" s="147"/>
      <c r="NZ952" s="147"/>
      <c r="OB952" s="185">
        <v>3</v>
      </c>
      <c r="OD952" s="185"/>
      <c r="OE952" s="185"/>
      <c r="OF952" s="185"/>
      <c r="OG952" s="185"/>
      <c r="OH952" s="185"/>
      <c r="OI952" s="185"/>
      <c r="OJ952" s="185"/>
      <c r="OK952" s="185"/>
      <c r="OL952" s="185"/>
      <c r="OM952" s="185"/>
      <c r="ON952" s="185"/>
      <c r="OO952" s="185"/>
      <c r="OP952" s="185"/>
      <c r="OQ952" s="185"/>
      <c r="OR952" s="185"/>
      <c r="OS952" s="185"/>
      <c r="OT952" s="185"/>
      <c r="OU952" t="s">
        <v>1733</v>
      </c>
      <c r="OV952" s="185" t="s">
        <v>518</v>
      </c>
      <c r="OX952">
        <v>2021</v>
      </c>
      <c r="OY952">
        <v>2022</v>
      </c>
      <c r="PB952" t="s">
        <v>522</v>
      </c>
      <c r="PC952" s="50">
        <v>46148</v>
      </c>
    </row>
    <row r="953" spans="1:419" ht="15" customHeight="1" thickBot="1">
      <c r="A953" s="205" t="s">
        <v>861</v>
      </c>
      <c r="B953" s="2" t="s">
        <v>1700</v>
      </c>
      <c r="C953" s="2" t="s">
        <v>1387</v>
      </c>
      <c r="D953" s="88" t="s">
        <v>668</v>
      </c>
      <c r="E953" s="2" t="s">
        <v>1701</v>
      </c>
      <c r="F953" s="88" t="s">
        <v>1702</v>
      </c>
      <c r="G953" s="2" t="s">
        <v>475</v>
      </c>
      <c r="H953" s="2" t="s">
        <v>476</v>
      </c>
      <c r="I953" s="88">
        <v>-11.474220000000001</v>
      </c>
      <c r="J953" s="88" t="s">
        <v>1703</v>
      </c>
      <c r="K953" s="88">
        <v>1000</v>
      </c>
      <c r="L953" s="2"/>
      <c r="M953" s="88"/>
      <c r="N953" s="2"/>
      <c r="O953" s="2"/>
      <c r="P953" s="2"/>
      <c r="Q953" s="2"/>
      <c r="R953" s="2"/>
      <c r="S953" s="2"/>
      <c r="T953" s="2"/>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c r="AV953" s="2" t="s">
        <v>1704</v>
      </c>
      <c r="AW953" s="2">
        <v>28</v>
      </c>
      <c r="AX953" s="2" t="s">
        <v>480</v>
      </c>
      <c r="AY953" s="2">
        <v>2</v>
      </c>
      <c r="AZ953" s="185" t="s">
        <v>1705</v>
      </c>
      <c r="BA953" s="185">
        <v>2020</v>
      </c>
      <c r="BB953" s="185">
        <v>2022</v>
      </c>
      <c r="BC953" s="185"/>
      <c r="BD953" s="185" t="s">
        <v>1755</v>
      </c>
      <c r="BE953" s="185" t="s">
        <v>1756</v>
      </c>
      <c r="BF953" s="185" t="s">
        <v>484</v>
      </c>
      <c r="BG953" s="185" t="s">
        <v>1707</v>
      </c>
      <c r="BH953" s="185" t="s">
        <v>1708</v>
      </c>
      <c r="BI953" s="206" t="s">
        <v>1709</v>
      </c>
      <c r="BJ953" s="207">
        <v>4.4000000000000004</v>
      </c>
      <c r="BK953" s="185"/>
      <c r="BL953" s="185"/>
      <c r="BM953" s="208"/>
      <c r="BN953" s="208"/>
      <c r="BO953" s="208"/>
      <c r="BP953" s="208"/>
      <c r="BQ953" s="208"/>
      <c r="BR953" s="208"/>
      <c r="BS953" s="208"/>
      <c r="BT953" s="208"/>
      <c r="BU953" s="208"/>
      <c r="BV953" s="96"/>
      <c r="BW953" s="96"/>
      <c r="BX953" s="96"/>
      <c r="BY953" s="96"/>
      <c r="BZ953" s="96"/>
      <c r="CA953" s="96"/>
      <c r="CB953" s="96"/>
      <c r="CC953" s="96"/>
      <c r="CD953" s="96"/>
      <c r="CE953" s="96"/>
      <c r="CF953" s="96"/>
      <c r="CG953" s="96"/>
      <c r="CH953" s="96"/>
      <c r="CI953" s="96"/>
      <c r="CJ953" s="96"/>
      <c r="CK953" s="96"/>
      <c r="CL953" s="96"/>
      <c r="CM953" s="96"/>
      <c r="CN953" s="96"/>
      <c r="CO953" s="96"/>
      <c r="CP953" s="96"/>
      <c r="CQ953" s="96"/>
      <c r="CR953" s="96"/>
      <c r="CS953" s="96"/>
      <c r="CT953" s="96"/>
      <c r="CU953" s="96"/>
      <c r="CV953" s="96"/>
      <c r="CW953" s="96"/>
      <c r="CX953" s="96"/>
      <c r="CY953" s="96"/>
      <c r="CZ953" s="96"/>
      <c r="DA953" s="96"/>
      <c r="DB953" s="96"/>
      <c r="DC953" s="96"/>
      <c r="DD953" s="96"/>
      <c r="DE953" s="96"/>
      <c r="DF953" s="96"/>
      <c r="DG953" s="96"/>
      <c r="DH953" s="96"/>
      <c r="DI953" s="96"/>
      <c r="DJ953" s="96"/>
      <c r="DK953" s="96"/>
      <c r="DL953" s="96"/>
      <c r="DM953" s="96"/>
      <c r="DN953" s="96"/>
      <c r="DO953" s="96"/>
      <c r="DP953" s="96"/>
      <c r="DQ953" s="96"/>
      <c r="DR953" s="96"/>
      <c r="DS953" s="96"/>
      <c r="DT953" s="96"/>
      <c r="DU953" s="96"/>
      <c r="DV953" s="96"/>
      <c r="DW953" s="96"/>
      <c r="DX953" s="96"/>
      <c r="DY953" s="96"/>
      <c r="DZ953" s="96"/>
      <c r="EA953" s="96"/>
      <c r="EB953" s="96"/>
      <c r="EC953" s="96"/>
      <c r="ED953" s="96"/>
      <c r="EE953" s="208"/>
      <c r="EF953" s="208"/>
      <c r="EG953" s="208"/>
      <c r="EH953" s="208"/>
      <c r="EI953" s="208"/>
      <c r="EJ953" s="208"/>
      <c r="EK953" s="208"/>
      <c r="EL953" s="96"/>
      <c r="EM953" s="96"/>
      <c r="EN953" s="96"/>
      <c r="EO953" s="96"/>
      <c r="EP953" s="96"/>
      <c r="EQ953" s="96"/>
      <c r="ER953" s="96"/>
      <c r="ES953" s="96"/>
      <c r="ET953" s="96"/>
      <c r="EU953" s="96"/>
      <c r="EV953" s="96"/>
      <c r="EW953" s="96"/>
      <c r="EX953" s="96"/>
      <c r="EY953" s="96"/>
      <c r="EZ953" s="96"/>
      <c r="FA953" s="96"/>
      <c r="FB953" s="96"/>
      <c r="FC953" s="96"/>
      <c r="FD953" s="96"/>
      <c r="FE953" s="96"/>
      <c r="FF953" s="96"/>
      <c r="FG953" s="96"/>
      <c r="FH953" s="96"/>
      <c r="FI953" s="96"/>
      <c r="FJ953" s="96"/>
      <c r="FK953" s="96"/>
      <c r="FL953" s="96"/>
      <c r="FM953" s="96"/>
      <c r="FN953" s="96"/>
      <c r="FO953" s="96"/>
      <c r="FP953" s="96"/>
      <c r="FQ953" s="96"/>
      <c r="FR953" s="96"/>
      <c r="FS953" s="96"/>
      <c r="FT953" s="96"/>
      <c r="FU953" s="96"/>
      <c r="FV953" s="96"/>
      <c r="FW953" s="96"/>
      <c r="FX953" s="96"/>
      <c r="FY953" s="96"/>
      <c r="FZ953" s="96"/>
      <c r="GA953" s="96"/>
      <c r="GB953" s="96"/>
      <c r="GC953" s="96"/>
      <c r="GD953" s="96"/>
      <c r="GE953" s="96"/>
      <c r="GF953" s="96"/>
      <c r="GG953" s="96"/>
      <c r="GH953" s="96"/>
      <c r="GI953" s="96"/>
      <c r="GJ953" s="96"/>
      <c r="GK953" s="96"/>
      <c r="GL953" s="96"/>
      <c r="GM953" s="96"/>
      <c r="GN953" s="96"/>
      <c r="GO953" s="96"/>
      <c r="GP953" s="96"/>
      <c r="GQ953" s="96"/>
      <c r="GR953" s="96"/>
      <c r="GS953" s="96"/>
      <c r="GT953" s="96"/>
      <c r="GU953" s="96"/>
      <c r="GV953" s="96"/>
      <c r="GW953" s="96"/>
      <c r="GX953" s="96"/>
      <c r="GY953" s="96"/>
      <c r="GZ953" s="96"/>
      <c r="HA953" s="96"/>
      <c r="HB953" s="96"/>
      <c r="HC953" s="96"/>
      <c r="HD953" s="96"/>
      <c r="HE953" s="96"/>
      <c r="HF953" s="96"/>
      <c r="HG953" s="96"/>
      <c r="HH953" s="96"/>
      <c r="HI953" s="96"/>
      <c r="HJ953" s="96"/>
      <c r="HK953" s="185" t="s">
        <v>1747</v>
      </c>
      <c r="HL953" s="185" t="s">
        <v>526</v>
      </c>
      <c r="HM953" s="127" t="s">
        <v>480</v>
      </c>
      <c r="HN953" s="127" t="s">
        <v>480</v>
      </c>
      <c r="HO953" s="185" t="s">
        <v>480</v>
      </c>
      <c r="HP953" s="127" t="s">
        <v>480</v>
      </c>
      <c r="HQ953" s="208"/>
      <c r="HR953" s="208"/>
      <c r="HS953" s="208"/>
      <c r="HT953" s="37"/>
      <c r="HU953" s="37"/>
      <c r="HV953" s="208"/>
      <c r="HW953" s="208"/>
      <c r="HX953" s="208"/>
      <c r="HY953" s="208"/>
      <c r="HZ953" s="208"/>
      <c r="IA953" s="208"/>
      <c r="IB953" s="208"/>
      <c r="IC953" s="208"/>
      <c r="ID953" s="208"/>
      <c r="IE953" s="208"/>
      <c r="IF953" s="208"/>
      <c r="IG953" s="208"/>
      <c r="IH953" s="185" t="s">
        <v>1706</v>
      </c>
      <c r="II953" s="209" t="s">
        <v>492</v>
      </c>
      <c r="IJ953" s="209"/>
      <c r="IK953" s="208"/>
      <c r="IL953" s="208"/>
      <c r="IM953" s="208"/>
      <c r="IN953" s="185"/>
      <c r="IO953" s="208"/>
      <c r="IP953" s="208"/>
      <c r="IQ953" s="208"/>
      <c r="IR953" s="208"/>
      <c r="IS953" s="208"/>
      <c r="IT953" s="208"/>
      <c r="IU953" s="208"/>
      <c r="IV953" s="208"/>
      <c r="IW953" s="208"/>
      <c r="IX953" s="96"/>
      <c r="IY953" s="96"/>
      <c r="IZ953" s="96"/>
      <c r="JA953" s="96"/>
      <c r="JB953" s="96"/>
      <c r="JC953" s="96"/>
      <c r="JD953" s="96"/>
      <c r="JE953" s="96"/>
      <c r="JF953" s="96"/>
      <c r="JG953" s="96"/>
      <c r="JH953" s="96"/>
      <c r="JI953" s="96"/>
      <c r="JJ953" s="96" t="s">
        <v>1727</v>
      </c>
      <c r="JK953" s="2" t="s">
        <v>682</v>
      </c>
      <c r="JL953" s="96"/>
      <c r="JM953" s="208"/>
      <c r="JN953" s="206"/>
      <c r="JO953" s="208"/>
      <c r="JP953" s="206"/>
      <c r="JQ953" s="208"/>
      <c r="JR953" s="208"/>
      <c r="JS953" s="208"/>
      <c r="JT953" s="208"/>
      <c r="JU953" s="208"/>
      <c r="JV953" s="208"/>
      <c r="JW953" s="208"/>
      <c r="JX953" s="208"/>
      <c r="JY953" s="208"/>
      <c r="JZ953" s="208"/>
      <c r="KA953" s="208"/>
      <c r="KB953" s="208"/>
      <c r="KC953" s="208"/>
      <c r="KD953" s="208"/>
      <c r="KE953" s="208"/>
      <c r="KF953" s="148"/>
      <c r="KG953" s="148"/>
      <c r="KH953" s="210"/>
      <c r="KI953" s="185"/>
      <c r="KJ953" s="210"/>
      <c r="KK953" s="210"/>
      <c r="KL953" s="210"/>
      <c r="KM953" s="210"/>
      <c r="KN953" s="148"/>
      <c r="KO953" s="148"/>
      <c r="KP953" s="210"/>
      <c r="KQ953" s="210"/>
      <c r="KR953" s="148"/>
      <c r="KS953" s="148"/>
      <c r="KT953" s="210"/>
      <c r="KU953" s="210"/>
      <c r="KV953" s="210"/>
      <c r="KW953" s="38"/>
      <c r="KX953" s="38"/>
      <c r="KY953" s="38"/>
      <c r="KZ953" s="38"/>
      <c r="LA953" s="206"/>
      <c r="LB953" s="206"/>
      <c r="LC953" s="206"/>
      <c r="LD953" s="206"/>
      <c r="LE953" s="206"/>
      <c r="LF953" s="206"/>
      <c r="LG953" s="206"/>
      <c r="LH953" s="206"/>
      <c r="LI953" s="208"/>
      <c r="LJ953" s="208"/>
      <c r="LK953" s="208"/>
      <c r="LL953" s="208"/>
      <c r="LM953" s="208"/>
      <c r="LN953" s="208"/>
      <c r="LO953" s="208"/>
      <c r="LP953" s="208"/>
      <c r="LQ953" s="208"/>
      <c r="LR953" s="208"/>
      <c r="LS953" s="208"/>
      <c r="LT953" s="208"/>
      <c r="LU953" s="208"/>
      <c r="LV953" s="96"/>
      <c r="LW953" s="96"/>
      <c r="LX953" s="96"/>
      <c r="LY953" s="96"/>
      <c r="LZ953" s="96"/>
      <c r="MA953" s="96"/>
      <c r="MB953" s="96"/>
      <c r="MC953" s="96"/>
      <c r="MD953" s="96"/>
      <c r="ME953" s="96"/>
      <c r="MF953" s="96"/>
      <c r="MG953" s="208"/>
      <c r="MH953" s="208"/>
      <c r="MI953" s="96"/>
      <c r="MJ953" s="96"/>
      <c r="MK953" s="96"/>
      <c r="ML953" s="96"/>
      <c r="MM953" s="96"/>
      <c r="MN953" s="96"/>
      <c r="MO953" s="96"/>
      <c r="MP953" s="96"/>
      <c r="MQ953" s="37"/>
      <c r="MR953" s="37"/>
      <c r="MS953" s="96"/>
      <c r="MT953" s="208"/>
      <c r="MU953" s="208"/>
      <c r="MW953" s="96"/>
      <c r="MX953" s="96"/>
      <c r="MY953" s="211" t="s">
        <v>1710</v>
      </c>
      <c r="MZ953" s="212">
        <v>16.25</v>
      </c>
      <c r="NI953" s="185"/>
      <c r="NJ953" s="185" t="s">
        <v>1728</v>
      </c>
      <c r="NK953" s="185" t="s">
        <v>1729</v>
      </c>
      <c r="NL953" s="185" t="s">
        <v>1730</v>
      </c>
      <c r="NM953" s="213" t="s">
        <v>1731</v>
      </c>
      <c r="NN953" s="185">
        <v>0</v>
      </c>
      <c r="NO953" s="185">
        <v>20</v>
      </c>
      <c r="NP953" s="185"/>
      <c r="NQ953" s="185"/>
      <c r="NR953" s="185"/>
      <c r="NS953" s="185"/>
      <c r="NT953" s="185"/>
      <c r="NU953" s="185" t="s">
        <v>1757</v>
      </c>
      <c r="NV953" s="185" t="s">
        <v>518</v>
      </c>
      <c r="NW953" s="133">
        <v>46.44</v>
      </c>
      <c r="NX953" s="185" t="s">
        <v>480</v>
      </c>
      <c r="NY953" s="147"/>
      <c r="NZ953" s="147"/>
      <c r="OB953" s="185">
        <v>3</v>
      </c>
      <c r="OC953" s="185"/>
      <c r="OD953" s="185"/>
      <c r="OE953" s="208"/>
      <c r="OF953" s="208"/>
      <c r="OG953" s="208"/>
      <c r="OH953" s="208"/>
      <c r="OI953" s="208"/>
      <c r="OJ953" s="208"/>
      <c r="OK953" s="208"/>
      <c r="OL953" s="208"/>
      <c r="OM953" s="208"/>
      <c r="ON953" s="208"/>
      <c r="OO953" s="208"/>
      <c r="OP953" s="208"/>
      <c r="OQ953" s="208"/>
      <c r="OR953" s="208"/>
      <c r="OS953" s="208"/>
      <c r="OT953" s="208"/>
      <c r="OU953" t="s">
        <v>1733</v>
      </c>
      <c r="OV953" s="185" t="s">
        <v>518</v>
      </c>
      <c r="OX953">
        <v>2021</v>
      </c>
      <c r="OY953">
        <v>2022</v>
      </c>
      <c r="OZ953" s="96"/>
      <c r="PA953" s="96"/>
      <c r="PB953" t="s">
        <v>522</v>
      </c>
      <c r="PC953" s="50">
        <v>46148</v>
      </c>
    </row>
    <row r="954" spans="1:419" ht="17.25" thickBot="1">
      <c r="A954" s="205" t="s">
        <v>861</v>
      </c>
      <c r="B954" s="2" t="s">
        <v>1700</v>
      </c>
      <c r="C954" s="2" t="s">
        <v>1387</v>
      </c>
      <c r="D954" s="88" t="s">
        <v>668</v>
      </c>
      <c r="E954" s="2" t="s">
        <v>1701</v>
      </c>
      <c r="F954" s="88" t="s">
        <v>1702</v>
      </c>
      <c r="G954" s="2" t="s">
        <v>475</v>
      </c>
      <c r="H954" s="2" t="s">
        <v>476</v>
      </c>
      <c r="I954" s="88">
        <v>-11.474220000000001</v>
      </c>
      <c r="J954" s="88" t="s">
        <v>1703</v>
      </c>
      <c r="K954" s="88">
        <v>1000</v>
      </c>
      <c r="L954" s="2"/>
      <c r="M954" s="88"/>
      <c r="N954" s="2"/>
      <c r="O954" s="2"/>
      <c r="P954" s="2"/>
      <c r="Q954" s="2"/>
      <c r="R954" s="2"/>
      <c r="S954" s="2"/>
      <c r="T954" s="2"/>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c r="AV954" s="2" t="s">
        <v>1704</v>
      </c>
      <c r="AW954" s="2">
        <v>28</v>
      </c>
      <c r="AX954" s="2" t="s">
        <v>480</v>
      </c>
      <c r="AY954" s="2">
        <v>2</v>
      </c>
      <c r="AZ954" s="185" t="s">
        <v>1705</v>
      </c>
      <c r="BA954" s="185">
        <v>2020</v>
      </c>
      <c r="BB954" s="185">
        <v>2022</v>
      </c>
      <c r="BC954" s="185"/>
      <c r="BD954" s="185" t="s">
        <v>1758</v>
      </c>
      <c r="BE954" s="185" t="s">
        <v>615</v>
      </c>
      <c r="BF954" s="185" t="s">
        <v>484</v>
      </c>
      <c r="BG954" s="185" t="s">
        <v>1707</v>
      </c>
      <c r="BH954" s="185" t="s">
        <v>1708</v>
      </c>
      <c r="BI954" s="206" t="s">
        <v>1709</v>
      </c>
      <c r="BJ954" s="207">
        <v>4.4000000000000004</v>
      </c>
      <c r="BK954" s="185" t="s">
        <v>537</v>
      </c>
      <c r="BL954" s="185" t="s">
        <v>485</v>
      </c>
      <c r="BM954" s="185" t="s">
        <v>1719</v>
      </c>
      <c r="BN954" s="206" t="s">
        <v>1709</v>
      </c>
      <c r="BO954" s="207">
        <v>4.4000000000000004</v>
      </c>
      <c r="BP954" s="185"/>
      <c r="BQ954" s="185"/>
      <c r="BR954" s="185"/>
      <c r="BS954" s="185"/>
      <c r="BT954" s="185"/>
      <c r="BU954" s="185"/>
      <c r="BV954" s="3"/>
      <c r="BW954" s="3"/>
      <c r="BX954" s="3"/>
      <c r="BY954" s="3"/>
      <c r="BZ954" s="3"/>
      <c r="CA954" s="3"/>
      <c r="CB954" s="3"/>
      <c r="CC954" s="3"/>
      <c r="CD954" s="3"/>
      <c r="CE954" s="3"/>
      <c r="CF954" s="3"/>
      <c r="CG954" s="3"/>
      <c r="CH954" s="3"/>
      <c r="CI954" s="3"/>
      <c r="CJ954" s="3"/>
      <c r="CK954" s="3"/>
      <c r="CL954" s="3"/>
      <c r="CM954" s="3"/>
      <c r="CN954" s="3"/>
      <c r="CO954" s="3"/>
      <c r="CP954" s="3"/>
      <c r="CQ954" s="3"/>
      <c r="CR954" s="3"/>
      <c r="CS954" s="3"/>
      <c r="CT954" s="3"/>
      <c r="CU954" s="3"/>
      <c r="CV954" s="3"/>
      <c r="CW954" s="3"/>
      <c r="CX954" s="3"/>
      <c r="CY954" s="3"/>
      <c r="CZ954" s="3"/>
      <c r="DA954" s="3"/>
      <c r="DB954" s="3"/>
      <c r="DC954" s="3"/>
      <c r="DD954" s="3"/>
      <c r="DE954" s="3"/>
      <c r="DF954" s="3"/>
      <c r="DG954" s="3"/>
      <c r="DH954" s="3"/>
      <c r="DI954" s="3"/>
      <c r="DJ954" s="3"/>
      <c r="DK954" s="3"/>
      <c r="DL954" s="3"/>
      <c r="DM954" s="3"/>
      <c r="DN954" s="3"/>
      <c r="DO954" s="3"/>
      <c r="DP954" s="3"/>
      <c r="DQ954" s="3"/>
      <c r="DR954" s="3"/>
      <c r="DS954" s="3"/>
      <c r="DT954" s="3"/>
      <c r="DU954" s="3"/>
      <c r="DV954" s="3"/>
      <c r="DW954" s="3"/>
      <c r="DX954" s="3"/>
      <c r="DY954" s="3"/>
      <c r="DZ954" s="3"/>
      <c r="EA954" s="3"/>
      <c r="EB954" s="3"/>
      <c r="EC954" s="3"/>
      <c r="ED954" s="2"/>
      <c r="EE954" s="185"/>
      <c r="EF954" s="185"/>
      <c r="EG954" s="185"/>
      <c r="EH954" s="185"/>
      <c r="EI954" s="185"/>
      <c r="EJ954" s="185"/>
      <c r="EK954" s="185"/>
      <c r="EL954" s="3"/>
      <c r="EM954" s="3"/>
      <c r="EN954" s="3"/>
      <c r="EO954" s="3"/>
      <c r="EP954" s="3"/>
      <c r="EQ954" s="3"/>
      <c r="ER954" s="3"/>
      <c r="ES954" s="3"/>
      <c r="ET954" s="3"/>
      <c r="EU954" s="3"/>
      <c r="EV954" s="3"/>
      <c r="EW954" s="3"/>
      <c r="EX954" s="3"/>
      <c r="EY954" s="3"/>
      <c r="EZ954" s="3"/>
      <c r="FA954" s="3"/>
      <c r="FB954" s="3"/>
      <c r="FC954" s="3"/>
      <c r="FD954" s="3"/>
      <c r="FE954" s="3"/>
      <c r="FF954" s="3"/>
      <c r="FG954" s="3"/>
      <c r="FH954" s="3"/>
      <c r="FI954" s="3"/>
      <c r="FJ954" s="3"/>
      <c r="FK954" s="3"/>
      <c r="FL954" s="3"/>
      <c r="FM954" s="3"/>
      <c r="FN954" s="3"/>
      <c r="FO954" s="3"/>
      <c r="FP954" s="3"/>
      <c r="FQ954" s="3"/>
      <c r="FR954" s="3"/>
      <c r="FS954" s="3"/>
      <c r="FT954" s="3"/>
      <c r="FU954" s="3"/>
      <c r="FV954" s="3"/>
      <c r="FW954" s="3"/>
      <c r="FX954" s="3"/>
      <c r="FY954" s="3"/>
      <c r="FZ954" s="3"/>
      <c r="GA954" s="3"/>
      <c r="GB954" s="3"/>
      <c r="GC954" s="3"/>
      <c r="GD954" s="3"/>
      <c r="GE954" s="3"/>
      <c r="GF954" s="3"/>
      <c r="GG954" s="3"/>
      <c r="GH954" s="3"/>
      <c r="GI954" s="3"/>
      <c r="GJ954" s="3"/>
      <c r="GK954" s="3"/>
      <c r="GL954" s="3"/>
      <c r="GM954" s="3"/>
      <c r="GN954" s="3"/>
      <c r="GO954" s="3"/>
      <c r="GP954" s="3"/>
      <c r="GQ954" s="3"/>
      <c r="GR954" s="3"/>
      <c r="GS954" s="3"/>
      <c r="GT954" s="3"/>
      <c r="GU954" s="3"/>
      <c r="GV954" s="3"/>
      <c r="GW954" s="3"/>
      <c r="GX954" s="3"/>
      <c r="GY954" s="3"/>
      <c r="GZ954" s="3"/>
      <c r="HA954" s="3"/>
      <c r="HB954" s="3"/>
      <c r="HC954" s="3"/>
      <c r="HD954" s="3"/>
      <c r="HE954" s="3"/>
      <c r="HF954" s="3"/>
      <c r="HG954" s="3"/>
      <c r="HH954" s="3"/>
      <c r="HI954" s="3"/>
      <c r="HJ954" s="3"/>
      <c r="HK954" s="185" t="s">
        <v>1747</v>
      </c>
      <c r="HL954" s="185" t="s">
        <v>526</v>
      </c>
      <c r="HM954" s="127" t="s">
        <v>480</v>
      </c>
      <c r="HN954" s="127" t="s">
        <v>480</v>
      </c>
      <c r="HO954" s="185" t="s">
        <v>480</v>
      </c>
      <c r="HP954" s="127" t="s">
        <v>480</v>
      </c>
      <c r="HQ954" s="185"/>
      <c r="HR954" s="185"/>
      <c r="HS954" s="206"/>
      <c r="HT954" s="185"/>
      <c r="HU954" s="185"/>
      <c r="HV954" s="185"/>
      <c r="HW954" s="185"/>
      <c r="HX954" s="215"/>
      <c r="HY954" s="185"/>
      <c r="HZ954" s="185"/>
      <c r="IA954" s="185"/>
      <c r="IB954" s="185"/>
      <c r="IC954" s="185"/>
      <c r="ID954" s="185"/>
      <c r="IE954" s="185"/>
      <c r="IF954" s="185"/>
      <c r="IG954" s="185"/>
      <c r="IH954" s="185" t="s">
        <v>1718</v>
      </c>
      <c r="II954" s="148" t="s">
        <v>1714</v>
      </c>
      <c r="IJ954" s="148" t="s">
        <v>542</v>
      </c>
      <c r="IK954" s="210" t="s">
        <v>1715</v>
      </c>
      <c r="IL954" s="185">
        <v>2020</v>
      </c>
      <c r="IM954" s="185"/>
      <c r="IN954" s="185" t="s">
        <v>1716</v>
      </c>
      <c r="IO954" s="185"/>
      <c r="IP954" s="185"/>
      <c r="IQ954" s="185"/>
      <c r="IR954" s="185"/>
      <c r="IS954" s="185"/>
      <c r="IT954" s="185"/>
      <c r="IU954" s="185"/>
      <c r="IV954" s="185"/>
      <c r="IW954" s="185"/>
      <c r="IX954" s="2"/>
      <c r="IY954" s="2"/>
      <c r="IZ954" s="2"/>
      <c r="JA954" s="2"/>
      <c r="JB954" s="2"/>
      <c r="JC954" s="2"/>
      <c r="JD954" s="2"/>
      <c r="JE954" s="2"/>
      <c r="JF954" s="2"/>
      <c r="JG954" s="2"/>
      <c r="JH954" s="2"/>
      <c r="JI954" s="2"/>
      <c r="JJ954" s="2" t="s">
        <v>1727</v>
      </c>
      <c r="JK954" s="2" t="s">
        <v>682</v>
      </c>
      <c r="JL954" s="151"/>
      <c r="JM954" s="140"/>
      <c r="JN954" s="206"/>
      <c r="JO954" s="185"/>
      <c r="JP954" s="206"/>
      <c r="JQ954" s="185"/>
      <c r="JR954" s="185"/>
      <c r="JS954" s="185"/>
      <c r="JT954" s="185"/>
      <c r="JU954" s="185"/>
      <c r="JV954" s="140"/>
      <c r="JW954" s="140"/>
      <c r="JX954" s="206"/>
      <c r="JY954" s="185"/>
      <c r="JZ954" s="206"/>
      <c r="KA954" s="185"/>
      <c r="KB954" s="185"/>
      <c r="KC954" s="185"/>
      <c r="KD954" s="206"/>
      <c r="KE954" s="206"/>
      <c r="KF954" s="148"/>
      <c r="KG954" s="216"/>
      <c r="KH954" s="185"/>
      <c r="KI954" s="185"/>
      <c r="KJ954" s="185"/>
      <c r="KK954" s="185"/>
      <c r="KL954" s="206"/>
      <c r="KM954" s="185"/>
      <c r="KN954" s="148"/>
      <c r="KO954" s="216"/>
      <c r="KP954" s="185"/>
      <c r="KQ954" s="185"/>
      <c r="KR954" s="148"/>
      <c r="KS954" s="216"/>
      <c r="KT954" s="185"/>
      <c r="KU954" s="185"/>
      <c r="KV954" s="185"/>
      <c r="KW954" s="3"/>
      <c r="KX954" s="3"/>
      <c r="KY954" s="3"/>
      <c r="KZ954" s="3"/>
      <c r="LA954" s="206"/>
      <c r="LB954" s="206"/>
      <c r="LC954" s="206"/>
      <c r="LD954" s="206"/>
      <c r="LE954" s="206"/>
      <c r="LF954" s="206"/>
      <c r="LG954" s="206"/>
      <c r="LH954" s="206"/>
      <c r="LI954" s="206"/>
      <c r="LJ954" s="206"/>
      <c r="LK954" s="206"/>
      <c r="LL954" s="206"/>
      <c r="LM954" s="206"/>
      <c r="LN954" s="185"/>
      <c r="LO954" s="185"/>
      <c r="LP954" s="185"/>
      <c r="LQ954" s="185"/>
      <c r="LR954" s="185"/>
      <c r="LS954" s="185"/>
      <c r="LT954" s="185"/>
      <c r="LU954" s="185"/>
      <c r="LW954" s="2"/>
      <c r="LX954" s="2"/>
      <c r="LY954" s="2"/>
      <c r="LZ954" s="2"/>
      <c r="MA954" s="2"/>
      <c r="ME954" s="2"/>
      <c r="MF954" s="185"/>
      <c r="MG954" s="185"/>
      <c r="MH954" s="185"/>
      <c r="MI954" s="2"/>
      <c r="MJ954" s="2"/>
      <c r="MK954" s="2"/>
      <c r="ML954" s="2"/>
      <c r="MM954" s="2"/>
      <c r="MN954" s="2"/>
      <c r="MO954" s="2"/>
      <c r="MP954" s="2"/>
      <c r="MQ954" s="185"/>
      <c r="MR954" s="185"/>
      <c r="MS954" s="185"/>
      <c r="MT954" s="185"/>
      <c r="MU954" s="185"/>
      <c r="MV954" s="185"/>
      <c r="MW954" s="185"/>
      <c r="MX954" s="185"/>
      <c r="MY954" s="211" t="s">
        <v>1710</v>
      </c>
      <c r="MZ954" s="212">
        <v>16.25</v>
      </c>
      <c r="NI954" s="185"/>
      <c r="NJ954" s="185" t="s">
        <v>1728</v>
      </c>
      <c r="NK954" s="185" t="s">
        <v>1729</v>
      </c>
      <c r="NL954" s="185" t="s">
        <v>1730</v>
      </c>
      <c r="NM954" s="213" t="s">
        <v>1731</v>
      </c>
      <c r="NN954" s="185">
        <v>0</v>
      </c>
      <c r="NO954" s="185">
        <v>20</v>
      </c>
      <c r="NP954" s="185"/>
      <c r="NQ954" s="185"/>
      <c r="NR954" s="185"/>
      <c r="NS954" s="185"/>
      <c r="NT954" s="185"/>
      <c r="NU954" s="185" t="s">
        <v>553</v>
      </c>
      <c r="NV954" s="185" t="s">
        <v>518</v>
      </c>
      <c r="NW954" s="133">
        <v>47.01</v>
      </c>
      <c r="NX954" s="185" t="s">
        <v>480</v>
      </c>
      <c r="NY954" s="147"/>
      <c r="NZ954" s="147"/>
      <c r="OB954" s="185">
        <v>3</v>
      </c>
      <c r="OC954" s="185"/>
      <c r="OD954" s="185"/>
      <c r="OE954" s="185"/>
      <c r="OF954" s="185"/>
      <c r="OG954" s="185"/>
      <c r="OH954" s="185"/>
      <c r="OI954" s="185"/>
      <c r="OJ954" s="185"/>
      <c r="OK954" s="185"/>
      <c r="OL954" s="185"/>
      <c r="OM954" s="185"/>
      <c r="ON954" s="185"/>
      <c r="OO954" s="185"/>
      <c r="OP954" s="185"/>
      <c r="OQ954" s="185"/>
      <c r="OR954" s="185"/>
      <c r="OS954" s="185"/>
      <c r="OT954" s="185"/>
      <c r="OU954" t="s">
        <v>1733</v>
      </c>
      <c r="OV954" s="185" t="s">
        <v>518</v>
      </c>
      <c r="OX954">
        <v>2021</v>
      </c>
      <c r="OY954">
        <v>2022</v>
      </c>
      <c r="PB954" t="s">
        <v>522</v>
      </c>
      <c r="PC954" s="50">
        <v>46148</v>
      </c>
    </row>
    <row r="955" spans="1:419" ht="17.25" thickBot="1">
      <c r="A955" s="205" t="s">
        <v>861</v>
      </c>
      <c r="B955" s="2" t="s">
        <v>1700</v>
      </c>
      <c r="C955" s="2" t="s">
        <v>1387</v>
      </c>
      <c r="D955" s="88" t="s">
        <v>668</v>
      </c>
      <c r="E955" s="2" t="s">
        <v>1701</v>
      </c>
      <c r="F955" s="88" t="s">
        <v>1702</v>
      </c>
      <c r="G955" s="2" t="s">
        <v>475</v>
      </c>
      <c r="H955" s="2" t="s">
        <v>476</v>
      </c>
      <c r="I955" s="88">
        <v>-11.474220000000001</v>
      </c>
      <c r="J955" s="88" t="s">
        <v>1703</v>
      </c>
      <c r="K955" s="88">
        <v>1000</v>
      </c>
      <c r="L955" s="2"/>
      <c r="M955" s="88"/>
      <c r="N955" s="2"/>
      <c r="O955" s="2"/>
      <c r="P955" s="2"/>
      <c r="Q955" s="2"/>
      <c r="R955" s="2"/>
      <c r="S955" s="2"/>
      <c r="T955" s="2"/>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c r="AV955" s="2" t="s">
        <v>1704</v>
      </c>
      <c r="AW955" s="2">
        <v>28</v>
      </c>
      <c r="AX955" s="2" t="s">
        <v>480</v>
      </c>
      <c r="AY955" s="2">
        <v>2</v>
      </c>
      <c r="AZ955" s="185" t="s">
        <v>1705</v>
      </c>
      <c r="BA955" s="185">
        <v>2020</v>
      </c>
      <c r="BB955" s="185">
        <v>2022</v>
      </c>
      <c r="BC955" s="185"/>
      <c r="BD955" s="185" t="s">
        <v>1759</v>
      </c>
      <c r="BE955" s="185" t="s">
        <v>617</v>
      </c>
      <c r="BF955" s="185" t="s">
        <v>484</v>
      </c>
      <c r="BG955" s="185" t="s">
        <v>538</v>
      </c>
      <c r="BH955" s="185" t="s">
        <v>1713</v>
      </c>
      <c r="BI955" s="206" t="s">
        <v>1709</v>
      </c>
      <c r="BJ955" s="207">
        <v>13.3</v>
      </c>
      <c r="BK955" s="185" t="s">
        <v>537</v>
      </c>
      <c r="BL955" s="185" t="s">
        <v>485</v>
      </c>
      <c r="BM955" s="185" t="s">
        <v>1719</v>
      </c>
      <c r="BN955" s="206" t="s">
        <v>1709</v>
      </c>
      <c r="BO955" s="207">
        <v>4.4000000000000004</v>
      </c>
      <c r="BP955" s="185"/>
      <c r="BQ955" s="185"/>
      <c r="BR955" s="185"/>
      <c r="BS955" s="185"/>
      <c r="BT955" s="185"/>
      <c r="BU955" s="185"/>
      <c r="BV955" s="3"/>
      <c r="BW955" s="3"/>
      <c r="BX955" s="3"/>
      <c r="BY955" s="3"/>
      <c r="BZ955" s="3"/>
      <c r="CA955" s="3"/>
      <c r="CB955" s="3"/>
      <c r="CC955" s="3"/>
      <c r="CD955" s="3"/>
      <c r="CE955" s="3"/>
      <c r="CF955" s="3"/>
      <c r="CG955" s="3"/>
      <c r="CH955" s="3"/>
      <c r="CI955" s="3"/>
      <c r="CJ955" s="3"/>
      <c r="CK955" s="3"/>
      <c r="CL955" s="3"/>
      <c r="CM955" s="3"/>
      <c r="CN955" s="3"/>
      <c r="CO955" s="3"/>
      <c r="CP955" s="3"/>
      <c r="CQ955" s="3"/>
      <c r="CR955" s="3"/>
      <c r="CS955" s="3"/>
      <c r="CT955" s="3"/>
      <c r="CU955" s="3"/>
      <c r="CV955" s="3"/>
      <c r="CW955" s="3"/>
      <c r="CX955" s="3"/>
      <c r="CY955" s="3"/>
      <c r="CZ955" s="3"/>
      <c r="DA955" s="3"/>
      <c r="DB955" s="3"/>
      <c r="DC955" s="3"/>
      <c r="DD955" s="3"/>
      <c r="DE955" s="3"/>
      <c r="DF955" s="3"/>
      <c r="DG955" s="3"/>
      <c r="DH955" s="3"/>
      <c r="DI955" s="3"/>
      <c r="DJ955" s="3"/>
      <c r="DK955" s="3"/>
      <c r="DL955" s="3"/>
      <c r="DM955" s="3"/>
      <c r="DN955" s="3"/>
      <c r="DO955" s="3"/>
      <c r="DP955" s="3"/>
      <c r="DQ955" s="3"/>
      <c r="DR955" s="3"/>
      <c r="DS955" s="3"/>
      <c r="DT955" s="3"/>
      <c r="DU955" s="3"/>
      <c r="DV955" s="3"/>
      <c r="DW955" s="3"/>
      <c r="DX955" s="3"/>
      <c r="DY955" s="3"/>
      <c r="DZ955" s="3"/>
      <c r="EA955" s="3"/>
      <c r="EB955" s="3"/>
      <c r="EC955" s="3"/>
      <c r="ED955" s="2"/>
      <c r="EE955" s="185"/>
      <c r="EF955" s="185"/>
      <c r="EG955" s="185"/>
      <c r="EH955" s="185"/>
      <c r="EI955" s="185"/>
      <c r="EJ955" s="185"/>
      <c r="EK955" s="185"/>
      <c r="EL955" s="3"/>
      <c r="EM955" s="3"/>
      <c r="EN955" s="3"/>
      <c r="EO955" s="3"/>
      <c r="EP955" s="3"/>
      <c r="EQ955" s="3"/>
      <c r="ER955" s="3"/>
      <c r="ES955" s="3"/>
      <c r="ET955" s="3"/>
      <c r="EU955" s="3"/>
      <c r="EV955" s="3"/>
      <c r="EW955" s="3"/>
      <c r="EX955" s="3"/>
      <c r="EY955" s="3"/>
      <c r="EZ955" s="3"/>
      <c r="FA955" s="3"/>
      <c r="FB955" s="3"/>
      <c r="FC955" s="3"/>
      <c r="FD955" s="3"/>
      <c r="FE955" s="3"/>
      <c r="FF955" s="3"/>
      <c r="FG955" s="3"/>
      <c r="FH955" s="3"/>
      <c r="FI955" s="3"/>
      <c r="FJ955" s="3"/>
      <c r="FK955" s="3"/>
      <c r="FL955" s="3"/>
      <c r="FM955" s="3"/>
      <c r="FN955" s="3"/>
      <c r="FO955" s="3"/>
      <c r="FP955" s="3"/>
      <c r="FQ955" s="3"/>
      <c r="FR955" s="3"/>
      <c r="FS955" s="3"/>
      <c r="FT955" s="3"/>
      <c r="FU955" s="3"/>
      <c r="FV955" s="3"/>
      <c r="FW955" s="3"/>
      <c r="FX955" s="3"/>
      <c r="FY955" s="3"/>
      <c r="FZ955" s="3"/>
      <c r="GA955" s="3"/>
      <c r="GB955" s="3"/>
      <c r="GC955" s="3"/>
      <c r="GD955" s="3"/>
      <c r="GE955" s="3"/>
      <c r="GF955" s="3"/>
      <c r="GG955" s="3"/>
      <c r="GH955" s="3"/>
      <c r="GI955" s="3"/>
      <c r="GJ955" s="3"/>
      <c r="GK955" s="3"/>
      <c r="GL955" s="3"/>
      <c r="GM955" s="3"/>
      <c r="GN955" s="3"/>
      <c r="GO955" s="3"/>
      <c r="GP955" s="3"/>
      <c r="GQ955" s="3"/>
      <c r="GR955" s="3"/>
      <c r="GS955" s="3"/>
      <c r="GT955" s="3"/>
      <c r="GU955" s="3"/>
      <c r="GV955" s="3"/>
      <c r="GW955" s="3"/>
      <c r="GX955" s="3"/>
      <c r="GY955" s="3"/>
      <c r="GZ955" s="3"/>
      <c r="HA955" s="3"/>
      <c r="HB955" s="3"/>
      <c r="HC955" s="3"/>
      <c r="HD955" s="3"/>
      <c r="HE955" s="3"/>
      <c r="HF955" s="3"/>
      <c r="HG955" s="3"/>
      <c r="HH955" s="3"/>
      <c r="HI955" s="3"/>
      <c r="HJ955" s="3"/>
      <c r="HK955" s="185" t="s">
        <v>1747</v>
      </c>
      <c r="HL955" s="185" t="s">
        <v>526</v>
      </c>
      <c r="HM955" s="127" t="s">
        <v>480</v>
      </c>
      <c r="HN955" s="127" t="s">
        <v>480</v>
      </c>
      <c r="HO955" s="185" t="s">
        <v>480</v>
      </c>
      <c r="HP955" s="127" t="s">
        <v>480</v>
      </c>
      <c r="HQ955" s="185"/>
      <c r="HR955" s="185"/>
      <c r="HS955" s="206"/>
      <c r="HT955" s="185"/>
      <c r="HU955" s="185"/>
      <c r="HV955" s="185"/>
      <c r="HW955" s="185"/>
      <c r="HX955" s="215"/>
      <c r="HY955" s="185"/>
      <c r="HZ955" s="185"/>
      <c r="IA955" s="185"/>
      <c r="IB955" s="185"/>
      <c r="IC955" s="185"/>
      <c r="ID955" s="185"/>
      <c r="IE955" s="185"/>
      <c r="IF955" s="185"/>
      <c r="IG955" s="185"/>
      <c r="IH955" s="185" t="s">
        <v>1720</v>
      </c>
      <c r="II955" s="148" t="s">
        <v>1714</v>
      </c>
      <c r="IJ955" s="148" t="s">
        <v>542</v>
      </c>
      <c r="IK955" s="210" t="s">
        <v>1715</v>
      </c>
      <c r="IL955" s="185">
        <v>2020</v>
      </c>
      <c r="IM955" s="185"/>
      <c r="IN955" s="185" t="s">
        <v>1716</v>
      </c>
      <c r="IO955" s="185"/>
      <c r="IP955" s="185"/>
      <c r="IQ955" s="185"/>
      <c r="IR955" s="185"/>
      <c r="IS955" s="185"/>
      <c r="IT955" s="185"/>
      <c r="IU955" s="185"/>
      <c r="IV955" s="185"/>
      <c r="IW955" s="185"/>
      <c r="IX955" s="2"/>
      <c r="IY955" s="2"/>
      <c r="IZ955" s="2"/>
      <c r="JA955" s="2"/>
      <c r="JB955" s="2"/>
      <c r="JC955" s="2"/>
      <c r="JD955" s="2"/>
      <c r="JE955" s="2"/>
      <c r="JF955" s="2"/>
      <c r="JG955" s="2"/>
      <c r="JH955" s="2"/>
      <c r="JI955" s="2"/>
      <c r="JJ955" s="2" t="s">
        <v>1727</v>
      </c>
      <c r="JK955" s="2" t="s">
        <v>682</v>
      </c>
      <c r="JL955" s="151"/>
      <c r="JM955" s="140"/>
      <c r="JN955" s="206"/>
      <c r="JO955" s="185"/>
      <c r="JP955" s="206"/>
      <c r="JQ955" s="185"/>
      <c r="JR955" s="185"/>
      <c r="JS955" s="185"/>
      <c r="JT955" s="185"/>
      <c r="JU955" s="185"/>
      <c r="JV955" s="140"/>
      <c r="JW955" s="140"/>
      <c r="JX955" s="206"/>
      <c r="JY955" s="185"/>
      <c r="JZ955" s="206"/>
      <c r="KA955" s="185"/>
      <c r="KB955" s="185"/>
      <c r="KC955" s="185"/>
      <c r="KD955" s="206"/>
      <c r="KE955" s="206"/>
      <c r="KF955" s="148"/>
      <c r="KG955" s="216"/>
      <c r="KH955" s="185"/>
      <c r="KI955" s="185"/>
      <c r="KJ955" s="185"/>
      <c r="KK955" s="185"/>
      <c r="KL955" s="206"/>
      <c r="KM955" s="185"/>
      <c r="KN955" s="148"/>
      <c r="KO955" s="216"/>
      <c r="KP955" s="185"/>
      <c r="KQ955" s="185"/>
      <c r="KR955" s="148"/>
      <c r="KS955" s="216"/>
      <c r="KT955" s="185"/>
      <c r="KU955" s="185"/>
      <c r="KV955" s="185"/>
      <c r="KW955" s="3"/>
      <c r="KX955" s="3"/>
      <c r="KY955" s="3"/>
      <c r="KZ955" s="3"/>
      <c r="LA955" s="206"/>
      <c r="LB955" s="206"/>
      <c r="LC955" s="206"/>
      <c r="LD955" s="206"/>
      <c r="LE955" s="206"/>
      <c r="LF955" s="206"/>
      <c r="LG955" s="206"/>
      <c r="LH955" s="206"/>
      <c r="LI955" s="206"/>
      <c r="LJ955" s="206"/>
      <c r="LK955" s="206"/>
      <c r="LL955" s="206"/>
      <c r="LM955" s="206"/>
      <c r="LN955" s="185"/>
      <c r="LO955" s="185"/>
      <c r="LP955" s="185"/>
      <c r="LQ955" s="185"/>
      <c r="LR955" s="185"/>
      <c r="LS955" s="185"/>
      <c r="LT955" s="185"/>
      <c r="LU955" s="185"/>
      <c r="LW955" s="2"/>
      <c r="LX955" s="2"/>
      <c r="LY955" s="2"/>
      <c r="LZ955" s="2"/>
      <c r="MA955" s="2"/>
      <c r="ME955" s="2"/>
      <c r="MF955" s="185"/>
      <c r="MG955" s="185"/>
      <c r="MH955" s="185"/>
      <c r="MI955" s="2"/>
      <c r="MJ955" s="2"/>
      <c r="MK955" s="2"/>
      <c r="ML955" s="2"/>
      <c r="MM955" s="2"/>
      <c r="MN955" s="2"/>
      <c r="MO955" s="2"/>
      <c r="MP955" s="2"/>
      <c r="MQ955" s="185"/>
      <c r="MR955" s="185"/>
      <c r="MS955" s="185"/>
      <c r="MT955" s="185"/>
      <c r="MU955" s="185"/>
      <c r="MV955" s="185"/>
      <c r="MW955" s="185"/>
      <c r="MX955" s="185"/>
      <c r="MY955" s="211" t="s">
        <v>1710</v>
      </c>
      <c r="MZ955" s="212">
        <v>16.25</v>
      </c>
      <c r="NI955" s="185"/>
      <c r="NJ955" s="185" t="s">
        <v>1728</v>
      </c>
      <c r="NK955" s="185" t="s">
        <v>1729</v>
      </c>
      <c r="NL955" s="185" t="s">
        <v>1730</v>
      </c>
      <c r="NM955" s="213" t="s">
        <v>1731</v>
      </c>
      <c r="NN955" s="185">
        <v>0</v>
      </c>
      <c r="NO955" s="185">
        <v>20</v>
      </c>
      <c r="NP955" s="185"/>
      <c r="NQ955" s="185"/>
      <c r="NR955" s="185"/>
      <c r="NS955" s="185"/>
      <c r="NT955" s="185"/>
      <c r="NU955" s="185" t="s">
        <v>607</v>
      </c>
      <c r="NV955" s="185" t="s">
        <v>518</v>
      </c>
      <c r="NW955" s="133">
        <v>48.269999999999996</v>
      </c>
      <c r="NX955" s="185" t="s">
        <v>480</v>
      </c>
      <c r="NY955" s="147"/>
      <c r="NZ955" s="147"/>
      <c r="OB955" s="185">
        <v>3</v>
      </c>
      <c r="OD955" s="185"/>
      <c r="OE955" s="185"/>
      <c r="OF955" s="185"/>
      <c r="OG955" s="185"/>
      <c r="OH955" s="185"/>
      <c r="OI955" s="185"/>
      <c r="OJ955" s="185"/>
      <c r="OK955" s="185"/>
      <c r="OL955" s="185"/>
      <c r="OM955" s="185"/>
      <c r="ON955" s="185"/>
      <c r="OO955" s="185"/>
      <c r="OP955" s="185"/>
      <c r="OQ955" s="185"/>
      <c r="OR955" s="185"/>
      <c r="OS955" s="185"/>
      <c r="OT955" s="185"/>
      <c r="OU955" t="s">
        <v>1733</v>
      </c>
      <c r="OV955" s="185" t="s">
        <v>518</v>
      </c>
      <c r="OX955">
        <v>2021</v>
      </c>
      <c r="OY955">
        <v>2022</v>
      </c>
      <c r="PB955" t="s">
        <v>522</v>
      </c>
      <c r="PC955" s="50">
        <v>46148</v>
      </c>
    </row>
    <row r="956" spans="1:419" ht="17.25" thickBot="1">
      <c r="A956" s="205" t="s">
        <v>861</v>
      </c>
      <c r="B956" s="2" t="s">
        <v>1700</v>
      </c>
      <c r="C956" s="2" t="s">
        <v>1387</v>
      </c>
      <c r="D956" s="88" t="s">
        <v>668</v>
      </c>
      <c r="E956" s="2" t="s">
        <v>1701</v>
      </c>
      <c r="F956" s="88" t="s">
        <v>1702</v>
      </c>
      <c r="G956" s="2" t="s">
        <v>475</v>
      </c>
      <c r="H956" s="2" t="s">
        <v>476</v>
      </c>
      <c r="I956" s="88">
        <v>-11.474220000000001</v>
      </c>
      <c r="J956" s="88" t="s">
        <v>1703</v>
      </c>
      <c r="K956" s="88">
        <v>1000</v>
      </c>
      <c r="L956" s="2"/>
      <c r="M956" s="88"/>
      <c r="N956" s="2"/>
      <c r="O956" s="2"/>
      <c r="P956" s="2"/>
      <c r="Q956" s="2"/>
      <c r="R956" s="2"/>
      <c r="S956" s="2"/>
      <c r="T956" s="2"/>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c r="AV956" s="2" t="s">
        <v>1704</v>
      </c>
      <c r="AW956" s="2">
        <v>28</v>
      </c>
      <c r="AX956" s="2" t="s">
        <v>480</v>
      </c>
      <c r="AY956" s="2">
        <v>2</v>
      </c>
      <c r="AZ956" s="185" t="s">
        <v>1705</v>
      </c>
      <c r="BA956" s="185">
        <v>2020</v>
      </c>
      <c r="BB956" s="185">
        <v>2022</v>
      </c>
      <c r="BC956" s="185"/>
      <c r="BD956" s="185" t="s">
        <v>1760</v>
      </c>
      <c r="BE956" s="185" t="s">
        <v>636</v>
      </c>
      <c r="BF956" s="185" t="s">
        <v>484</v>
      </c>
      <c r="BG956" s="185" t="s">
        <v>1707</v>
      </c>
      <c r="BH956" s="185" t="s">
        <v>1708</v>
      </c>
      <c r="BI956" s="206" t="s">
        <v>1709</v>
      </c>
      <c r="BJ956" s="207">
        <v>4.4000000000000004</v>
      </c>
      <c r="BK956" s="185" t="s">
        <v>537</v>
      </c>
      <c r="BL956" s="185" t="s">
        <v>538</v>
      </c>
      <c r="BM956" s="185" t="s">
        <v>1713</v>
      </c>
      <c r="BN956" s="206" t="s">
        <v>1709</v>
      </c>
      <c r="BO956" s="207">
        <v>13.3</v>
      </c>
      <c r="BP956" s="185"/>
      <c r="BQ956" s="185"/>
      <c r="BR956" s="185"/>
      <c r="BS956" s="185"/>
      <c r="BT956" s="185"/>
      <c r="BU956" s="185"/>
      <c r="BV956" s="3"/>
      <c r="BW956" s="3"/>
      <c r="BX956" s="3"/>
      <c r="BY956" s="3"/>
      <c r="BZ956" s="3"/>
      <c r="CA956" s="3"/>
      <c r="CB956" s="3"/>
      <c r="CC956" s="3"/>
      <c r="CD956" s="3"/>
      <c r="CE956" s="3"/>
      <c r="CF956" s="3"/>
      <c r="CG956" s="3"/>
      <c r="CH956" s="3"/>
      <c r="CI956" s="3"/>
      <c r="CJ956" s="3"/>
      <c r="CK956" s="3"/>
      <c r="CL956" s="3"/>
      <c r="CM956" s="3"/>
      <c r="CN956" s="3"/>
      <c r="CO956" s="3"/>
      <c r="CP956" s="3"/>
      <c r="CQ956" s="3"/>
      <c r="CR956" s="3"/>
      <c r="CS956" s="3"/>
      <c r="CT956" s="3"/>
      <c r="CU956" s="3"/>
      <c r="CV956" s="3"/>
      <c r="CW956" s="3"/>
      <c r="CX956" s="3"/>
      <c r="CY956" s="3"/>
      <c r="CZ956" s="3"/>
      <c r="DA956" s="3"/>
      <c r="DB956" s="3"/>
      <c r="DC956" s="3"/>
      <c r="DD956" s="3"/>
      <c r="DE956" s="3"/>
      <c r="DF956" s="3"/>
      <c r="DG956" s="3"/>
      <c r="DH956" s="3"/>
      <c r="DI956" s="3"/>
      <c r="DJ956" s="3"/>
      <c r="DK956" s="3"/>
      <c r="DL956" s="3"/>
      <c r="DM956" s="3"/>
      <c r="DN956" s="3"/>
      <c r="DO956" s="3"/>
      <c r="DP956" s="3"/>
      <c r="DQ956" s="3"/>
      <c r="DR956" s="3"/>
      <c r="DS956" s="3"/>
      <c r="DT956" s="3"/>
      <c r="DU956" s="3"/>
      <c r="DV956" s="3"/>
      <c r="DW956" s="3"/>
      <c r="DX956" s="3"/>
      <c r="DY956" s="3"/>
      <c r="DZ956" s="3"/>
      <c r="EA956" s="3"/>
      <c r="EB956" s="3"/>
      <c r="EC956" s="3"/>
      <c r="ED956" s="2"/>
      <c r="EE956" s="185"/>
      <c r="EF956" s="185"/>
      <c r="EG956" s="185"/>
      <c r="EH956" s="185"/>
      <c r="EI956" s="185"/>
      <c r="EJ956" s="185"/>
      <c r="EK956" s="185"/>
      <c r="EL956" s="3"/>
      <c r="EM956" s="3"/>
      <c r="EN956" s="3"/>
      <c r="EO956" s="3"/>
      <c r="EP956" s="3"/>
      <c r="EQ956" s="3"/>
      <c r="ER956" s="3"/>
      <c r="ES956" s="3"/>
      <c r="ET956" s="3"/>
      <c r="EU956" s="3"/>
      <c r="EV956" s="3"/>
      <c r="EW956" s="3"/>
      <c r="EX956" s="3"/>
      <c r="EY956" s="3"/>
      <c r="EZ956" s="3"/>
      <c r="FA956" s="3"/>
      <c r="FB956" s="3"/>
      <c r="FC956" s="3"/>
      <c r="FD956" s="3"/>
      <c r="FE956" s="3"/>
      <c r="FF956" s="3"/>
      <c r="FG956" s="3"/>
      <c r="FH956" s="3"/>
      <c r="FI956" s="3"/>
      <c r="FJ956" s="3"/>
      <c r="FK956" s="3"/>
      <c r="FL956" s="3"/>
      <c r="FM956" s="3"/>
      <c r="FN956" s="3"/>
      <c r="FO956" s="3"/>
      <c r="FP956" s="3"/>
      <c r="FQ956" s="3"/>
      <c r="FR956" s="3"/>
      <c r="FS956" s="3"/>
      <c r="FT956" s="3"/>
      <c r="FU956" s="3"/>
      <c r="FV956" s="3"/>
      <c r="FW956" s="3"/>
      <c r="FX956" s="3"/>
      <c r="FY956" s="3"/>
      <c r="FZ956" s="3"/>
      <c r="GA956" s="3"/>
      <c r="GB956" s="3"/>
      <c r="GC956" s="3"/>
      <c r="GD956" s="3"/>
      <c r="GE956" s="3"/>
      <c r="GF956" s="3"/>
      <c r="GG956" s="3"/>
      <c r="GH956" s="3"/>
      <c r="GI956" s="3"/>
      <c r="GJ956" s="3"/>
      <c r="GK956" s="3"/>
      <c r="GL956" s="3"/>
      <c r="GM956" s="3"/>
      <c r="GN956" s="3"/>
      <c r="GO956" s="3"/>
      <c r="GP956" s="3"/>
      <c r="GQ956" s="3"/>
      <c r="GR956" s="3"/>
      <c r="GS956" s="3"/>
      <c r="GT956" s="3"/>
      <c r="GU956" s="3"/>
      <c r="GV956" s="3"/>
      <c r="GW956" s="3"/>
      <c r="GX956" s="3"/>
      <c r="GY956" s="3"/>
      <c r="GZ956" s="3"/>
      <c r="HA956" s="3"/>
      <c r="HB956" s="3"/>
      <c r="HC956" s="3"/>
      <c r="HD956" s="3"/>
      <c r="HE956" s="3"/>
      <c r="HF956" s="3"/>
      <c r="HG956" s="3"/>
      <c r="HH956" s="3"/>
      <c r="HI956" s="3"/>
      <c r="HJ956" s="3"/>
      <c r="HK956" s="185" t="s">
        <v>1747</v>
      </c>
      <c r="HL956" s="185" t="s">
        <v>526</v>
      </c>
      <c r="HM956" s="127" t="s">
        <v>480</v>
      </c>
      <c r="HN956" s="127" t="s">
        <v>480</v>
      </c>
      <c r="HO956" s="185" t="s">
        <v>480</v>
      </c>
      <c r="HP956" s="127" t="s">
        <v>480</v>
      </c>
      <c r="HQ956" s="185"/>
      <c r="HR956" s="185"/>
      <c r="HS956" s="206"/>
      <c r="HT956" s="185"/>
      <c r="HU956" s="185"/>
      <c r="HV956" s="185"/>
      <c r="HW956" s="185"/>
      <c r="HX956" s="215"/>
      <c r="HY956" s="185"/>
      <c r="HZ956" s="185"/>
      <c r="IA956" s="185"/>
      <c r="IB956" s="185"/>
      <c r="IC956" s="185"/>
      <c r="ID956" s="185"/>
      <c r="IE956" s="185"/>
      <c r="IF956" s="185"/>
      <c r="IG956" s="185"/>
      <c r="IH956" s="185" t="s">
        <v>1712</v>
      </c>
      <c r="II956" s="148" t="s">
        <v>1714</v>
      </c>
      <c r="IJ956" s="148" t="s">
        <v>542</v>
      </c>
      <c r="IK956" s="210" t="s">
        <v>1715</v>
      </c>
      <c r="IL956" s="185">
        <v>2020</v>
      </c>
      <c r="IM956" s="185"/>
      <c r="IN956" s="185" t="s">
        <v>1716</v>
      </c>
      <c r="IO956" s="185"/>
      <c r="IP956" s="185"/>
      <c r="IQ956" s="185"/>
      <c r="IR956" s="185"/>
      <c r="IS956" s="185"/>
      <c r="IT956" s="185"/>
      <c r="IU956" s="185"/>
      <c r="IV956" s="185"/>
      <c r="IW956" s="185"/>
      <c r="IX956" s="2"/>
      <c r="IY956" s="2"/>
      <c r="IZ956" s="2"/>
      <c r="JA956" s="2"/>
      <c r="JB956" s="2"/>
      <c r="JC956" s="2"/>
      <c r="JD956" s="2"/>
      <c r="JE956" s="2"/>
      <c r="JF956" s="2"/>
      <c r="JG956" s="2"/>
      <c r="JH956" s="2"/>
      <c r="JI956" s="2"/>
      <c r="JJ956" s="2" t="s">
        <v>1727</v>
      </c>
      <c r="JK956" s="2" t="s">
        <v>682</v>
      </c>
      <c r="JL956" s="151"/>
      <c r="JM956" s="140"/>
      <c r="JN956" s="206"/>
      <c r="JO956" s="185"/>
      <c r="JP956" s="206"/>
      <c r="JQ956" s="185"/>
      <c r="JR956" s="185"/>
      <c r="JS956" s="185"/>
      <c r="JT956" s="185"/>
      <c r="JU956" s="185"/>
      <c r="JV956" s="140"/>
      <c r="JW956" s="140"/>
      <c r="JX956" s="206"/>
      <c r="JY956" s="185"/>
      <c r="JZ956" s="206"/>
      <c r="KA956" s="185"/>
      <c r="KB956" s="185"/>
      <c r="KC956" s="185"/>
      <c r="KD956" s="206"/>
      <c r="KE956" s="206"/>
      <c r="KF956" s="148"/>
      <c r="KG956" s="216"/>
      <c r="KH956" s="185"/>
      <c r="KI956" s="185"/>
      <c r="KJ956" s="185"/>
      <c r="KK956" s="185"/>
      <c r="KL956" s="206"/>
      <c r="KM956" s="185"/>
      <c r="KN956" s="148"/>
      <c r="KO956" s="216"/>
      <c r="KP956" s="185"/>
      <c r="KQ956" s="185"/>
      <c r="KR956" s="148"/>
      <c r="KS956" s="216"/>
      <c r="KT956" s="185"/>
      <c r="KU956" s="185"/>
      <c r="KV956" s="185"/>
      <c r="KW956" s="3"/>
      <c r="KX956" s="3"/>
      <c r="KY956" s="3"/>
      <c r="KZ956" s="3"/>
      <c r="LA956" s="206"/>
      <c r="LB956" s="206"/>
      <c r="LC956" s="206"/>
      <c r="LD956" s="206"/>
      <c r="LE956" s="206"/>
      <c r="LF956" s="206"/>
      <c r="LG956" s="206"/>
      <c r="LH956" s="206"/>
      <c r="LI956" s="206"/>
      <c r="LJ956" s="206"/>
      <c r="LK956" s="206"/>
      <c r="LL956" s="206"/>
      <c r="LM956" s="206"/>
      <c r="LN956" s="185"/>
      <c r="LO956" s="185"/>
      <c r="LP956" s="185"/>
      <c r="LQ956" s="185"/>
      <c r="LR956" s="185"/>
      <c r="LS956" s="185"/>
      <c r="LT956" s="185"/>
      <c r="LU956" s="185"/>
      <c r="LW956" s="2"/>
      <c r="LX956" s="2"/>
      <c r="LY956" s="2"/>
      <c r="LZ956" s="2"/>
      <c r="MA956" s="2"/>
      <c r="ME956" s="2"/>
      <c r="MF956" s="185"/>
      <c r="MG956" s="185"/>
      <c r="MH956" s="185"/>
      <c r="MI956" s="2"/>
      <c r="MJ956" s="2"/>
      <c r="MK956" s="2"/>
      <c r="ML956" s="2"/>
      <c r="MM956" s="2"/>
      <c r="MN956" s="2"/>
      <c r="MO956" s="2"/>
      <c r="MP956" s="2"/>
      <c r="MQ956" s="185"/>
      <c r="MR956" s="185"/>
      <c r="MS956" s="185"/>
      <c r="MT956" s="185"/>
      <c r="MU956" s="185"/>
      <c r="MV956" s="185"/>
      <c r="MW956" s="185"/>
      <c r="MX956" s="185"/>
      <c r="MY956" s="211" t="s">
        <v>1710</v>
      </c>
      <c r="MZ956" s="212">
        <v>16.25</v>
      </c>
      <c r="NI956" s="185"/>
      <c r="NJ956" s="185" t="s">
        <v>1728</v>
      </c>
      <c r="NK956" s="185" t="s">
        <v>1729</v>
      </c>
      <c r="NL956" s="185" t="s">
        <v>1730</v>
      </c>
      <c r="NM956" s="213" t="s">
        <v>1731</v>
      </c>
      <c r="NN956" s="185">
        <v>0</v>
      </c>
      <c r="NO956" s="185">
        <v>20</v>
      </c>
      <c r="NP956" s="185"/>
      <c r="NQ956" s="185"/>
      <c r="NR956" s="185"/>
      <c r="NS956" s="185"/>
      <c r="NT956" s="185"/>
      <c r="NU956" s="185" t="s">
        <v>611</v>
      </c>
      <c r="NV956" s="185" t="s">
        <v>518</v>
      </c>
      <c r="NW956" s="133">
        <v>50.79</v>
      </c>
      <c r="NX956" s="185" t="s">
        <v>480</v>
      </c>
      <c r="NY956" s="147"/>
      <c r="NZ956" s="147"/>
      <c r="OB956" s="185">
        <v>3</v>
      </c>
      <c r="OC956" s="185"/>
      <c r="OD956" s="185"/>
      <c r="OE956" s="185"/>
      <c r="OF956" s="185"/>
      <c r="OG956" s="185"/>
      <c r="OH956" s="185"/>
      <c r="OI956" s="185"/>
      <c r="OJ956" s="185"/>
      <c r="OK956" s="185"/>
      <c r="OL956" s="185"/>
      <c r="OM956" s="185"/>
      <c r="ON956" s="185"/>
      <c r="OO956" s="185"/>
      <c r="OP956" s="185"/>
      <c r="OQ956" s="185"/>
      <c r="OR956" s="185"/>
      <c r="OS956" s="185"/>
      <c r="OT956" s="185"/>
      <c r="OU956" t="s">
        <v>1733</v>
      </c>
      <c r="OV956" s="185" t="s">
        <v>518</v>
      </c>
      <c r="OX956">
        <v>2021</v>
      </c>
      <c r="OY956">
        <v>2022</v>
      </c>
      <c r="PB956" t="s">
        <v>522</v>
      </c>
      <c r="PC956" s="50">
        <v>46148</v>
      </c>
    </row>
    <row r="957" spans="1:419" ht="17.25" thickBot="1">
      <c r="A957" s="205" t="s">
        <v>861</v>
      </c>
      <c r="B957" s="2" t="s">
        <v>1700</v>
      </c>
      <c r="C957" s="2" t="s">
        <v>1387</v>
      </c>
      <c r="D957" s="88" t="s">
        <v>668</v>
      </c>
      <c r="E957" s="2" t="s">
        <v>1701</v>
      </c>
      <c r="F957" s="88" t="s">
        <v>1702</v>
      </c>
      <c r="G957" s="2" t="s">
        <v>475</v>
      </c>
      <c r="H957" s="2" t="s">
        <v>476</v>
      </c>
      <c r="I957" s="88">
        <v>-11.474220000000001</v>
      </c>
      <c r="J957" s="88" t="s">
        <v>1703</v>
      </c>
      <c r="K957" s="88">
        <v>1000</v>
      </c>
      <c r="L957" s="2"/>
      <c r="M957" s="88"/>
      <c r="N957" s="2"/>
      <c r="O957" s="2"/>
      <c r="P957" s="2"/>
      <c r="Q957" s="2"/>
      <c r="R957" s="2"/>
      <c r="S957" s="2"/>
      <c r="T957" s="2"/>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c r="AV957" s="2" t="s">
        <v>1704</v>
      </c>
      <c r="AW957" s="2">
        <v>28</v>
      </c>
      <c r="AX957" s="2" t="s">
        <v>480</v>
      </c>
      <c r="AY957" s="2">
        <v>2</v>
      </c>
      <c r="AZ957" s="185" t="s">
        <v>1705</v>
      </c>
      <c r="BA957" s="185">
        <v>2020</v>
      </c>
      <c r="BB957" s="185">
        <v>2022</v>
      </c>
      <c r="BC957" s="185"/>
      <c r="BD957" s="185" t="s">
        <v>1725</v>
      </c>
      <c r="BE957" s="185" t="s">
        <v>602</v>
      </c>
      <c r="BF957" s="185" t="s">
        <v>484</v>
      </c>
      <c r="BG957" s="185" t="s">
        <v>485</v>
      </c>
      <c r="BH957" s="185" t="s">
        <v>1719</v>
      </c>
      <c r="BI957" s="206" t="s">
        <v>1709</v>
      </c>
      <c r="BJ957" s="207">
        <v>4.4000000000000004</v>
      </c>
      <c r="BK957" s="185"/>
      <c r="BL957" s="185"/>
      <c r="BM957" s="185"/>
      <c r="BN957" s="185"/>
      <c r="BO957" s="185"/>
      <c r="BP957" s="185"/>
      <c r="BQ957" s="185"/>
      <c r="BR957" s="185"/>
      <c r="BS957" s="185"/>
      <c r="BT957" s="185"/>
      <c r="BU957" s="185"/>
      <c r="BV957" s="3"/>
      <c r="BW957" s="3"/>
      <c r="BX957" s="3"/>
      <c r="BY957" s="3"/>
      <c r="BZ957" s="3"/>
      <c r="CA957" s="3"/>
      <c r="CB957" s="3"/>
      <c r="CC957" s="3"/>
      <c r="CD957" s="3"/>
      <c r="CE957" s="3"/>
      <c r="CF957" s="3"/>
      <c r="CG957" s="3"/>
      <c r="CH957" s="3"/>
      <c r="CI957" s="3"/>
      <c r="CJ957" s="3"/>
      <c r="CK957" s="3"/>
      <c r="CL957" s="3"/>
      <c r="CM957" s="3"/>
      <c r="CN957" s="3"/>
      <c r="CO957" s="3"/>
      <c r="CP957" s="3"/>
      <c r="CQ957" s="3"/>
      <c r="CR957" s="3"/>
      <c r="CS957" s="3"/>
      <c r="CT957" s="3"/>
      <c r="CU957" s="3"/>
      <c r="CV957" s="3"/>
      <c r="CW957" s="3"/>
      <c r="CX957" s="3"/>
      <c r="CY957" s="3"/>
      <c r="CZ957" s="3"/>
      <c r="DA957" s="3"/>
      <c r="DB957" s="3"/>
      <c r="DC957" s="3"/>
      <c r="DD957" s="3"/>
      <c r="DE957" s="3"/>
      <c r="DF957" s="3"/>
      <c r="DG957" s="3"/>
      <c r="DH957" s="3"/>
      <c r="DI957" s="3"/>
      <c r="DJ957" s="3"/>
      <c r="DK957" s="3"/>
      <c r="DL957" s="3"/>
      <c r="DM957" s="3"/>
      <c r="DN957" s="3"/>
      <c r="DO957" s="3"/>
      <c r="DP957" s="3"/>
      <c r="DQ957" s="3"/>
      <c r="DR957" s="3"/>
      <c r="DS957" s="3"/>
      <c r="DT957" s="3"/>
      <c r="DU957" s="3"/>
      <c r="DV957" s="3"/>
      <c r="DW957" s="3"/>
      <c r="DX957" s="3"/>
      <c r="DY957" s="3"/>
      <c r="DZ957" s="3"/>
      <c r="EA957" s="3"/>
      <c r="EB957" s="3"/>
      <c r="EC957" s="3"/>
      <c r="ED957" s="2"/>
      <c r="EE957" s="185"/>
      <c r="EF957" s="185"/>
      <c r="EG957" s="185"/>
      <c r="EH957" s="185"/>
      <c r="EI957" s="185"/>
      <c r="EJ957" s="185"/>
      <c r="EK957" s="185"/>
      <c r="EL957" s="3"/>
      <c r="EM957" s="3"/>
      <c r="EN957" s="3"/>
      <c r="EO957" s="3"/>
      <c r="EP957" s="3"/>
      <c r="EQ957" s="3"/>
      <c r="ER957" s="3"/>
      <c r="ES957" s="3"/>
      <c r="ET957" s="3"/>
      <c r="EU957" s="3"/>
      <c r="EV957" s="3"/>
      <c r="EW957" s="3"/>
      <c r="EX957" s="3"/>
      <c r="EY957" s="3"/>
      <c r="EZ957" s="3"/>
      <c r="FA957" s="3"/>
      <c r="FB957" s="3"/>
      <c r="FC957" s="3"/>
      <c r="FD957" s="3"/>
      <c r="FE957" s="3"/>
      <c r="FF957" s="3"/>
      <c r="FG957" s="3"/>
      <c r="FH957" s="3"/>
      <c r="FI957" s="3"/>
      <c r="FJ957" s="3"/>
      <c r="FK957" s="3"/>
      <c r="FL957" s="3"/>
      <c r="FM957" s="3"/>
      <c r="FN957" s="3"/>
      <c r="FO957" s="3"/>
      <c r="FP957" s="3"/>
      <c r="FQ957" s="3"/>
      <c r="FR957" s="3"/>
      <c r="FS957" s="3"/>
      <c r="FT957" s="3"/>
      <c r="FU957" s="3"/>
      <c r="FV957" s="3"/>
      <c r="FW957" s="3"/>
      <c r="FX957" s="3"/>
      <c r="FY957" s="3"/>
      <c r="FZ957" s="3"/>
      <c r="GA957" s="3"/>
      <c r="GB957" s="3"/>
      <c r="GC957" s="3"/>
      <c r="GD957" s="3"/>
      <c r="GE957" s="3"/>
      <c r="GF957" s="3"/>
      <c r="GG957" s="3"/>
      <c r="GH957" s="3"/>
      <c r="GI957" s="3"/>
      <c r="GJ957" s="3"/>
      <c r="GK957" s="3"/>
      <c r="GL957" s="3"/>
      <c r="GM957" s="3"/>
      <c r="GN957" s="3"/>
      <c r="GO957" s="3"/>
      <c r="GP957" s="3"/>
      <c r="GQ957" s="3"/>
      <c r="GR957" s="3"/>
      <c r="GS957" s="3"/>
      <c r="GT957" s="3"/>
      <c r="GU957" s="3"/>
      <c r="GV957" s="3"/>
      <c r="GW957" s="3"/>
      <c r="GX957" s="3"/>
      <c r="GY957" s="3"/>
      <c r="GZ957" s="3"/>
      <c r="HA957" s="3"/>
      <c r="HB957" s="3"/>
      <c r="HC957" s="3"/>
      <c r="HD957" s="3"/>
      <c r="HE957" s="3"/>
      <c r="HF957" s="3"/>
      <c r="HG957" s="3"/>
      <c r="HH957" s="3"/>
      <c r="HI957" s="3"/>
      <c r="HJ957" s="3"/>
      <c r="HK957" s="185" t="s">
        <v>1726</v>
      </c>
      <c r="HL957" s="185" t="s">
        <v>1546</v>
      </c>
      <c r="HM957" s="127" t="s">
        <v>480</v>
      </c>
      <c r="HN957" s="127" t="s">
        <v>480</v>
      </c>
      <c r="HO957" s="127" t="s">
        <v>480</v>
      </c>
      <c r="HP957" s="127" t="s">
        <v>480</v>
      </c>
      <c r="HQ957" s="185"/>
      <c r="HR957" s="185"/>
      <c r="HS957" s="206"/>
      <c r="HT957" s="185"/>
      <c r="HU957" s="185"/>
      <c r="HV957" s="185"/>
      <c r="HW957" s="185"/>
      <c r="HX957" s="215"/>
      <c r="HY957" s="185"/>
      <c r="HZ957" s="185"/>
      <c r="IA957" s="185"/>
      <c r="IB957" s="185"/>
      <c r="IC957" s="185"/>
      <c r="ID957" s="185"/>
      <c r="IE957" s="185"/>
      <c r="IF957" s="185"/>
      <c r="IG957" s="185"/>
      <c r="IH957" s="185" t="s">
        <v>1723</v>
      </c>
      <c r="II957" s="148" t="s">
        <v>492</v>
      </c>
      <c r="IJ957" s="148"/>
      <c r="IK957" s="210"/>
      <c r="IL957" s="185"/>
      <c r="IM957" s="185"/>
      <c r="IN957" s="185"/>
      <c r="IO957" s="185"/>
      <c r="IP957" s="185"/>
      <c r="IQ957" s="185"/>
      <c r="IR957" s="185"/>
      <c r="IS957" s="185"/>
      <c r="IT957" s="185"/>
      <c r="IU957" s="185"/>
      <c r="IV957" s="185"/>
      <c r="IW957" s="185"/>
      <c r="IX957" s="2"/>
      <c r="IY957" s="2"/>
      <c r="IZ957" s="2"/>
      <c r="JA957" s="2"/>
      <c r="JB957" s="2"/>
      <c r="JC957" s="2"/>
      <c r="JD957" s="2"/>
      <c r="JE957" s="2"/>
      <c r="JF957" s="2"/>
      <c r="JG957" s="2"/>
      <c r="JH957" s="2"/>
      <c r="JI957" s="2"/>
      <c r="JJ957" s="2" t="s">
        <v>1727</v>
      </c>
      <c r="JK957" s="2" t="s">
        <v>682</v>
      </c>
      <c r="JL957" s="151"/>
      <c r="JM957" s="140"/>
      <c r="JN957" s="206"/>
      <c r="JO957" s="185"/>
      <c r="JP957" s="206"/>
      <c r="JQ957" s="185"/>
      <c r="JR957" s="185"/>
      <c r="JS957" s="185"/>
      <c r="JT957" s="185"/>
      <c r="JU957" s="185"/>
      <c r="JV957" s="140"/>
      <c r="JW957" s="140"/>
      <c r="JX957" s="206"/>
      <c r="JY957" s="185"/>
      <c r="JZ957" s="206"/>
      <c r="KA957" s="185"/>
      <c r="KB957" s="185"/>
      <c r="KC957" s="185"/>
      <c r="KD957" s="206"/>
      <c r="KE957" s="206"/>
      <c r="KF957" s="148"/>
      <c r="KG957" s="216"/>
      <c r="KH957" s="185"/>
      <c r="KI957" s="185"/>
      <c r="KJ957" s="185"/>
      <c r="KK957" s="185"/>
      <c r="KL957" s="206"/>
      <c r="KM957" s="185"/>
      <c r="KN957" s="148"/>
      <c r="KO957" s="216"/>
      <c r="KP957" s="185"/>
      <c r="KQ957" s="185"/>
      <c r="KR957" s="148"/>
      <c r="KS957" s="216"/>
      <c r="KT957" s="185"/>
      <c r="KU957" s="185"/>
      <c r="KV957" s="185"/>
      <c r="KW957" s="3"/>
      <c r="KX957" s="3"/>
      <c r="KY957" s="3"/>
      <c r="KZ957" s="3"/>
      <c r="LA957" s="206"/>
      <c r="LB957" s="206"/>
      <c r="LC957" s="206"/>
      <c r="LD957" s="206"/>
      <c r="LE957" s="206"/>
      <c r="LF957" s="206"/>
      <c r="LG957" s="206"/>
      <c r="LH957" s="206"/>
      <c r="LI957" s="206"/>
      <c r="LJ957" s="206"/>
      <c r="LK957" s="206"/>
      <c r="LL957" s="206"/>
      <c r="LM957" s="206"/>
      <c r="LN957" s="185"/>
      <c r="LO957" s="185"/>
      <c r="LP957" s="185"/>
      <c r="LQ957" s="185"/>
      <c r="LR957" s="185"/>
      <c r="LS957" s="185"/>
      <c r="LT957" s="185"/>
      <c r="LU957" s="185"/>
      <c r="LW957" s="2"/>
      <c r="LX957" s="2"/>
      <c r="LY957" s="2"/>
      <c r="LZ957" s="2"/>
      <c r="MA957" s="2"/>
      <c r="ME957" s="2"/>
      <c r="MF957" s="185"/>
      <c r="MG957" s="185"/>
      <c r="MH957" s="185"/>
      <c r="MI957" s="2"/>
      <c r="MJ957" s="2"/>
      <c r="MK957" s="2"/>
      <c r="ML957" s="2"/>
      <c r="MM957" s="2"/>
      <c r="MN957" s="2"/>
      <c r="MO957" s="2"/>
      <c r="MP957" s="2"/>
      <c r="MQ957" s="185"/>
      <c r="MR957" s="185"/>
      <c r="MS957" s="185"/>
      <c r="MT957" s="185"/>
      <c r="MU957" s="185"/>
      <c r="MV957" s="185"/>
      <c r="MW957" s="185"/>
      <c r="MX957" s="185"/>
      <c r="MY957" s="211" t="s">
        <v>1710</v>
      </c>
      <c r="MZ957" s="212">
        <v>16.25</v>
      </c>
      <c r="NI957" s="185"/>
      <c r="NJ957" s="185" t="s">
        <v>1728</v>
      </c>
      <c r="NK957" s="185" t="s">
        <v>1761</v>
      </c>
      <c r="NL957" s="185" t="s">
        <v>1762</v>
      </c>
      <c r="NM957" s="213" t="s">
        <v>1731</v>
      </c>
      <c r="NN957" s="185">
        <v>0</v>
      </c>
      <c r="NO957" s="185">
        <v>20</v>
      </c>
      <c r="NP957" s="185"/>
      <c r="NQ957" s="185"/>
      <c r="NR957" s="185"/>
      <c r="NS957" s="185"/>
      <c r="NT957" s="185"/>
      <c r="NU957" s="185" t="s">
        <v>1732</v>
      </c>
      <c r="NV957" s="185" t="s">
        <v>518</v>
      </c>
      <c r="NW957" s="185">
        <v>19.350000000000001</v>
      </c>
      <c r="NX957" s="185" t="s">
        <v>480</v>
      </c>
      <c r="NY957" s="147"/>
      <c r="NZ957" s="147"/>
      <c r="OA957" s="133"/>
      <c r="OB957" s="185">
        <v>3</v>
      </c>
      <c r="OD957" s="185"/>
      <c r="OF957" s="185"/>
      <c r="OG957" s="185"/>
      <c r="OH957" s="185"/>
      <c r="OI957" s="185"/>
      <c r="OJ957" s="185"/>
      <c r="OK957" s="185"/>
      <c r="OL957" s="185"/>
      <c r="OM957" s="185"/>
      <c r="ON957" s="185"/>
      <c r="OO957" s="185"/>
      <c r="OP957" s="185"/>
      <c r="OQ957" s="185"/>
      <c r="OR957" s="185"/>
      <c r="OS957" s="185"/>
      <c r="OT957" s="185"/>
      <c r="OU957" t="s">
        <v>1763</v>
      </c>
      <c r="OV957" s="185" t="s">
        <v>518</v>
      </c>
      <c r="OX957">
        <v>2020</v>
      </c>
      <c r="OY957">
        <v>2021</v>
      </c>
      <c r="PB957" t="s">
        <v>522</v>
      </c>
      <c r="PC957" s="50">
        <v>46148</v>
      </c>
    </row>
    <row r="958" spans="1:419" ht="17.25" thickBot="1">
      <c r="A958" s="205" t="s">
        <v>861</v>
      </c>
      <c r="B958" s="2" t="s">
        <v>1700</v>
      </c>
      <c r="C958" s="2" t="s">
        <v>1387</v>
      </c>
      <c r="D958" s="88" t="s">
        <v>668</v>
      </c>
      <c r="E958" s="2" t="s">
        <v>1701</v>
      </c>
      <c r="F958" s="88" t="s">
        <v>1702</v>
      </c>
      <c r="G958" s="2" t="s">
        <v>475</v>
      </c>
      <c r="H958" s="2" t="s">
        <v>476</v>
      </c>
      <c r="I958" s="88">
        <v>-11.474220000000001</v>
      </c>
      <c r="J958" s="88" t="s">
        <v>1703</v>
      </c>
      <c r="K958" s="88">
        <v>1000</v>
      </c>
      <c r="L958" s="2"/>
      <c r="M958" s="88"/>
      <c r="N958" s="2"/>
      <c r="O958" s="2"/>
      <c r="P958" s="2"/>
      <c r="Q958" s="2"/>
      <c r="R958" s="2"/>
      <c r="S958" s="2"/>
      <c r="T958" s="2"/>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c r="AV958" s="2" t="s">
        <v>1704</v>
      </c>
      <c r="AW958" s="2">
        <v>28</v>
      </c>
      <c r="AX958" s="2" t="s">
        <v>480</v>
      </c>
      <c r="AY958" s="2">
        <v>2</v>
      </c>
      <c r="AZ958" s="185" t="s">
        <v>1705</v>
      </c>
      <c r="BA958" s="185">
        <v>2020</v>
      </c>
      <c r="BB958" s="185">
        <v>2022</v>
      </c>
      <c r="BC958" s="185"/>
      <c r="BD958" s="185" t="s">
        <v>1734</v>
      </c>
      <c r="BE958" s="185" t="s">
        <v>621</v>
      </c>
      <c r="BF958" s="185" t="s">
        <v>484</v>
      </c>
      <c r="BG958" s="185" t="s">
        <v>485</v>
      </c>
      <c r="BH958" s="185" t="s">
        <v>1719</v>
      </c>
      <c r="BI958" s="206" t="s">
        <v>1709</v>
      </c>
      <c r="BJ958" s="207">
        <v>4.4000000000000004</v>
      </c>
      <c r="BK958" s="185"/>
      <c r="BL958" s="185"/>
      <c r="BM958" s="185"/>
      <c r="BN958" s="185"/>
      <c r="BO958" s="185"/>
      <c r="BP958" s="185"/>
      <c r="BQ958" s="185"/>
      <c r="BR958" s="185"/>
      <c r="BS958" s="185"/>
      <c r="BT958" s="185"/>
      <c r="BU958" s="185"/>
      <c r="BV958" s="3"/>
      <c r="BW958" s="3"/>
      <c r="BX958" s="3"/>
      <c r="BY958" s="3"/>
      <c r="BZ958" s="3"/>
      <c r="CA958" s="3"/>
      <c r="CB958" s="3"/>
      <c r="CC958" s="3"/>
      <c r="CD958" s="3"/>
      <c r="CE958" s="3"/>
      <c r="CF958" s="3"/>
      <c r="CG958" s="3"/>
      <c r="CH958" s="3"/>
      <c r="CI958" s="3"/>
      <c r="CJ958" s="3"/>
      <c r="CK958" s="3"/>
      <c r="CL958" s="3"/>
      <c r="CM958" s="3"/>
      <c r="CN958" s="3"/>
      <c r="CO958" s="3"/>
      <c r="CP958" s="3"/>
      <c r="CQ958" s="3"/>
      <c r="CR958" s="3"/>
      <c r="CS958" s="3"/>
      <c r="CT958" s="3"/>
      <c r="CU958" s="3"/>
      <c r="CV958" s="3"/>
      <c r="CW958" s="3"/>
      <c r="CX958" s="3"/>
      <c r="CY958" s="3"/>
      <c r="CZ958" s="3"/>
      <c r="DA958" s="3"/>
      <c r="DB958" s="3"/>
      <c r="DC958" s="3"/>
      <c r="DD958" s="3"/>
      <c r="DE958" s="3"/>
      <c r="DF958" s="3"/>
      <c r="DG958" s="3"/>
      <c r="DH958" s="3"/>
      <c r="DI958" s="3"/>
      <c r="DJ958" s="3"/>
      <c r="DK958" s="3"/>
      <c r="DL958" s="3"/>
      <c r="DM958" s="3"/>
      <c r="DN958" s="3"/>
      <c r="DO958" s="3"/>
      <c r="DP958" s="3"/>
      <c r="DQ958" s="3"/>
      <c r="DR958" s="3"/>
      <c r="DS958" s="3"/>
      <c r="DT958" s="3"/>
      <c r="DU958" s="3"/>
      <c r="DV958" s="3"/>
      <c r="DW958" s="3"/>
      <c r="DX958" s="3"/>
      <c r="DY958" s="3"/>
      <c r="DZ958" s="3"/>
      <c r="EA958" s="3"/>
      <c r="EB958" s="3"/>
      <c r="EC958" s="3"/>
      <c r="ED958" s="2"/>
      <c r="EE958" s="185"/>
      <c r="EF958" s="185"/>
      <c r="EG958" s="185"/>
      <c r="EH958" s="185"/>
      <c r="EI958" s="185"/>
      <c r="EJ958" s="185"/>
      <c r="EK958" s="185"/>
      <c r="EL958" s="3"/>
      <c r="EM958" s="3"/>
      <c r="EN958" s="3"/>
      <c r="EO958" s="3"/>
      <c r="EP958" s="3"/>
      <c r="EQ958" s="3"/>
      <c r="ER958" s="3"/>
      <c r="ES958" s="3"/>
      <c r="ET958" s="3"/>
      <c r="EU958" s="3"/>
      <c r="EV958" s="3"/>
      <c r="EW958" s="3"/>
      <c r="EX958" s="3"/>
      <c r="EY958" s="3"/>
      <c r="EZ958" s="3"/>
      <c r="FA958" s="3"/>
      <c r="FB958" s="3"/>
      <c r="FC958" s="3"/>
      <c r="FD958" s="3"/>
      <c r="FE958" s="3"/>
      <c r="FF958" s="3"/>
      <c r="FG958" s="3"/>
      <c r="FH958" s="3"/>
      <c r="FI958" s="3"/>
      <c r="FJ958" s="3"/>
      <c r="FK958" s="3"/>
      <c r="FL958" s="3"/>
      <c r="FM958" s="3"/>
      <c r="FN958" s="3"/>
      <c r="FO958" s="3"/>
      <c r="FP958" s="3"/>
      <c r="FQ958" s="3"/>
      <c r="FR958" s="3"/>
      <c r="FS958" s="3"/>
      <c r="FT958" s="3"/>
      <c r="FU958" s="3"/>
      <c r="FV958" s="3"/>
      <c r="FW958" s="3"/>
      <c r="FX958" s="3"/>
      <c r="FY958" s="3"/>
      <c r="FZ958" s="3"/>
      <c r="GA958" s="3"/>
      <c r="GB958" s="3"/>
      <c r="GC958" s="3"/>
      <c r="GD958" s="3"/>
      <c r="GE958" s="3"/>
      <c r="GF958" s="3"/>
      <c r="GG958" s="3"/>
      <c r="GH958" s="3"/>
      <c r="GI958" s="3"/>
      <c r="GJ958" s="3"/>
      <c r="GK958" s="3"/>
      <c r="GL958" s="3"/>
      <c r="GM958" s="3"/>
      <c r="GN958" s="3"/>
      <c r="GO958" s="3"/>
      <c r="GP958" s="3"/>
      <c r="GQ958" s="3"/>
      <c r="GR958" s="3"/>
      <c r="GS958" s="3"/>
      <c r="GT958" s="3"/>
      <c r="GU958" s="3"/>
      <c r="GV958" s="3"/>
      <c r="GW958" s="3"/>
      <c r="GX958" s="3"/>
      <c r="GY958" s="3"/>
      <c r="GZ958" s="3"/>
      <c r="HA958" s="3"/>
      <c r="HB958" s="3"/>
      <c r="HC958" s="3"/>
      <c r="HD958" s="3"/>
      <c r="HE958" s="3"/>
      <c r="HF958" s="3"/>
      <c r="HG958" s="3"/>
      <c r="HH958" s="3"/>
      <c r="HI958" s="3"/>
      <c r="HJ958" s="3"/>
      <c r="HK958" s="185" t="s">
        <v>1726</v>
      </c>
      <c r="HL958" s="185" t="s">
        <v>1546</v>
      </c>
      <c r="HM958" s="127" t="s">
        <v>480</v>
      </c>
      <c r="HN958" s="127" t="s">
        <v>480</v>
      </c>
      <c r="HO958" s="127" t="s">
        <v>480</v>
      </c>
      <c r="HP958" s="127" t="s">
        <v>480</v>
      </c>
      <c r="HQ958" s="185"/>
      <c r="HR958" s="185"/>
      <c r="HS958" s="206"/>
      <c r="HT958" s="185"/>
      <c r="HU958" s="185"/>
      <c r="HV958" s="185"/>
      <c r="HW958" s="185"/>
      <c r="HX958" s="215"/>
      <c r="HY958" s="185"/>
      <c r="HZ958" s="185"/>
      <c r="IA958" s="185"/>
      <c r="IB958" s="185"/>
      <c r="IC958" s="185"/>
      <c r="ID958" s="185"/>
      <c r="IE958" s="185"/>
      <c r="IF958" s="185"/>
      <c r="IG958" s="185"/>
      <c r="IH958" s="185" t="s">
        <v>1735</v>
      </c>
      <c r="II958" s="148" t="s">
        <v>492</v>
      </c>
      <c r="IJ958" s="148"/>
      <c r="IK958" s="210"/>
      <c r="IL958" s="185"/>
      <c r="IM958" s="185"/>
      <c r="IN958" s="185"/>
      <c r="IO958" s="185"/>
      <c r="IP958" s="185"/>
      <c r="IQ958" s="185"/>
      <c r="IR958" s="185"/>
      <c r="IS958" s="185"/>
      <c r="IT958" s="185"/>
      <c r="IU958" s="185"/>
      <c r="IV958" s="185"/>
      <c r="IW958" s="185"/>
      <c r="IX958" s="2"/>
      <c r="IY958" s="2"/>
      <c r="IZ958" s="2"/>
      <c r="JA958" s="2"/>
      <c r="JB958" s="2"/>
      <c r="JC958" s="2"/>
      <c r="JD958" s="2"/>
      <c r="JE958" s="2"/>
      <c r="JF958" s="2"/>
      <c r="JG958" s="2"/>
      <c r="JH958" s="2"/>
      <c r="JI958" s="2"/>
      <c r="JJ958" s="2" t="s">
        <v>1736</v>
      </c>
      <c r="JK958" s="2" t="s">
        <v>494</v>
      </c>
      <c r="JL958" s="151" t="s">
        <v>495</v>
      </c>
      <c r="JM958" s="140"/>
      <c r="JN958" s="206"/>
      <c r="JO958" s="185"/>
      <c r="JP958" s="206" t="s">
        <v>508</v>
      </c>
      <c r="JQ958" s="185">
        <v>90</v>
      </c>
      <c r="JR958" s="185"/>
      <c r="JS958" s="185"/>
      <c r="JT958" s="185"/>
      <c r="JU958" s="185"/>
      <c r="JV958" s="140"/>
      <c r="JW958" s="140"/>
      <c r="JX958" s="206"/>
      <c r="JY958" s="185"/>
      <c r="JZ958" s="206"/>
      <c r="KA958" s="185"/>
      <c r="KB958" s="185"/>
      <c r="KC958" s="185"/>
      <c r="KD958" s="206"/>
      <c r="KE958" s="206"/>
      <c r="KF958" s="148"/>
      <c r="KG958" s="216"/>
      <c r="KH958" s="185"/>
      <c r="KI958" s="185"/>
      <c r="KJ958" s="185"/>
      <c r="KK958" s="185"/>
      <c r="KL958" s="206"/>
      <c r="KM958" s="185"/>
      <c r="KN958" s="148"/>
      <c r="KO958" s="216"/>
      <c r="KP958" s="185"/>
      <c r="KQ958" s="185"/>
      <c r="KR958" s="148"/>
      <c r="KS958" s="216"/>
      <c r="KT958" s="185"/>
      <c r="KU958" s="185"/>
      <c r="KV958" s="185"/>
      <c r="KW958" s="3"/>
      <c r="KX958" s="3"/>
      <c r="KY958" s="3"/>
      <c r="KZ958" s="3"/>
      <c r="LA958" s="206"/>
      <c r="LB958" s="206"/>
      <c r="LC958" s="206"/>
      <c r="LD958" s="206"/>
      <c r="LE958" s="206"/>
      <c r="LF958" s="206"/>
      <c r="LG958" s="206"/>
      <c r="LH958" s="206"/>
      <c r="LI958" s="206"/>
      <c r="LJ958" s="206"/>
      <c r="LK958" s="206"/>
      <c r="LL958" s="206"/>
      <c r="LM958" s="206"/>
      <c r="LN958" s="185"/>
      <c r="LO958" s="185"/>
      <c r="LP958" s="185"/>
      <c r="LQ958" s="185"/>
      <c r="LR958" s="185"/>
      <c r="LS958" s="185"/>
      <c r="LT958" s="185"/>
      <c r="LU958" s="185"/>
      <c r="LW958" s="2"/>
      <c r="LX958" s="2"/>
      <c r="LY958" s="2"/>
      <c r="LZ958" s="2"/>
      <c r="MA958" s="2"/>
      <c r="ME958" s="2"/>
      <c r="MF958" s="185"/>
      <c r="MG958" s="185"/>
      <c r="MH958" s="185"/>
      <c r="MI958" s="2"/>
      <c r="MJ958" s="2"/>
      <c r="MK958" s="2"/>
      <c r="ML958" s="2"/>
      <c r="MM958" s="2"/>
      <c r="MN958" s="2"/>
      <c r="MO958" s="2"/>
      <c r="MP958" s="2"/>
      <c r="MQ958" s="185"/>
      <c r="MR958" s="185"/>
      <c r="MS958" s="185"/>
      <c r="MT958" s="185"/>
      <c r="MU958" s="185"/>
      <c r="MV958" s="185"/>
      <c r="MW958" s="185"/>
      <c r="MX958" s="185"/>
      <c r="MY958" s="217"/>
      <c r="MZ958" s="218"/>
      <c r="NI958" s="185"/>
      <c r="NJ958" s="185" t="s">
        <v>1728</v>
      </c>
      <c r="NK958" s="185" t="s">
        <v>1761</v>
      </c>
      <c r="NL958" s="185" t="s">
        <v>1762</v>
      </c>
      <c r="NM958" s="213" t="s">
        <v>1731</v>
      </c>
      <c r="NN958" s="185">
        <v>0</v>
      </c>
      <c r="NO958" s="185">
        <v>20</v>
      </c>
      <c r="NP958" s="185"/>
      <c r="NQ958" s="185"/>
      <c r="NR958" s="185"/>
      <c r="NS958" s="185"/>
      <c r="NT958" s="185"/>
      <c r="NU958" s="185" t="s">
        <v>1737</v>
      </c>
      <c r="NV958" s="185" t="s">
        <v>518</v>
      </c>
      <c r="NW958" s="185">
        <v>19.809999999999999</v>
      </c>
      <c r="NX958" s="185" t="s">
        <v>480</v>
      </c>
      <c r="NY958" s="147"/>
      <c r="NZ958" s="147"/>
      <c r="OA958" s="133"/>
      <c r="OB958" s="185">
        <v>3</v>
      </c>
      <c r="OC958" s="185"/>
      <c r="OD958" s="185"/>
      <c r="OE958" s="185"/>
      <c r="OF958" s="185"/>
      <c r="OG958" s="185"/>
      <c r="OH958" s="185"/>
      <c r="OI958" s="185"/>
      <c r="OJ958" s="185"/>
      <c r="OK958" s="185"/>
      <c r="OL958" s="185"/>
      <c r="OM958" s="185"/>
      <c r="ON958" s="185"/>
      <c r="OO958" s="185"/>
      <c r="OP958" s="185"/>
      <c r="OQ958" s="185"/>
      <c r="OR958" s="185"/>
      <c r="OS958" s="185"/>
      <c r="OT958" s="185"/>
      <c r="OU958" t="s">
        <v>1763</v>
      </c>
      <c r="OV958" s="185" t="s">
        <v>518</v>
      </c>
      <c r="OW958" s="185"/>
      <c r="OX958">
        <v>2020</v>
      </c>
      <c r="OY958">
        <v>2021</v>
      </c>
      <c r="OZ958" s="185"/>
      <c r="PA958" s="185"/>
      <c r="PB958" t="s">
        <v>522</v>
      </c>
      <c r="PC958" s="50">
        <v>46148</v>
      </c>
    </row>
    <row r="959" spans="1:419" ht="17.25" thickBot="1">
      <c r="A959" s="205" t="s">
        <v>861</v>
      </c>
      <c r="B959" s="2" t="s">
        <v>1700</v>
      </c>
      <c r="C959" s="2" t="s">
        <v>1387</v>
      </c>
      <c r="D959" s="88" t="s">
        <v>668</v>
      </c>
      <c r="E959" s="2" t="s">
        <v>1701</v>
      </c>
      <c r="F959" s="88" t="s">
        <v>1702</v>
      </c>
      <c r="G959" s="2" t="s">
        <v>475</v>
      </c>
      <c r="H959" s="2" t="s">
        <v>476</v>
      </c>
      <c r="I959" s="88">
        <v>-11.474220000000001</v>
      </c>
      <c r="J959" s="88" t="s">
        <v>1703</v>
      </c>
      <c r="K959" s="88">
        <v>1000</v>
      </c>
      <c r="L959" s="2"/>
      <c r="M959" s="88"/>
      <c r="N959" s="2"/>
      <c r="O959" s="2"/>
      <c r="P959" s="2"/>
      <c r="Q959" s="2"/>
      <c r="R959" s="2"/>
      <c r="S959" s="2"/>
      <c r="T959" s="2"/>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c r="AV959" s="2" t="s">
        <v>1704</v>
      </c>
      <c r="AW959" s="2">
        <v>28</v>
      </c>
      <c r="AX959" s="2" t="s">
        <v>480</v>
      </c>
      <c r="AY959" s="2">
        <v>2</v>
      </c>
      <c r="AZ959" s="185" t="s">
        <v>1705</v>
      </c>
      <c r="BA959" s="185">
        <v>2020</v>
      </c>
      <c r="BB959" s="185">
        <v>2022</v>
      </c>
      <c r="BC959" s="185"/>
      <c r="BD959" s="185" t="s">
        <v>1738</v>
      </c>
      <c r="BE959" s="185" t="s">
        <v>630</v>
      </c>
      <c r="BF959" s="185" t="s">
        <v>484</v>
      </c>
      <c r="BG959" s="185" t="s">
        <v>538</v>
      </c>
      <c r="BH959" s="185" t="s">
        <v>1713</v>
      </c>
      <c r="BI959" s="206" t="s">
        <v>1709</v>
      </c>
      <c r="BJ959" s="207">
        <v>13.3</v>
      </c>
      <c r="BK959" s="185"/>
      <c r="BL959" s="185"/>
      <c r="BM959" s="185"/>
      <c r="BN959" s="185"/>
      <c r="BO959" s="185"/>
      <c r="BP959" s="185"/>
      <c r="BQ959" s="185"/>
      <c r="BR959" s="185"/>
      <c r="BS959" s="185"/>
      <c r="BT959" s="185"/>
      <c r="BU959" s="185"/>
      <c r="BV959" s="3"/>
      <c r="BW959" s="3"/>
      <c r="BX959" s="3"/>
      <c r="BY959" s="3"/>
      <c r="BZ959" s="3"/>
      <c r="CA959" s="3"/>
      <c r="CB959" s="3"/>
      <c r="CC959" s="3"/>
      <c r="CD959" s="3"/>
      <c r="CE959" s="3"/>
      <c r="CF959" s="3"/>
      <c r="CG959" s="3"/>
      <c r="CH959" s="3"/>
      <c r="CI959" s="3"/>
      <c r="CJ959" s="3"/>
      <c r="CK959" s="3"/>
      <c r="CL959" s="3"/>
      <c r="CM959" s="3"/>
      <c r="CN959" s="3"/>
      <c r="CO959" s="3"/>
      <c r="CP959" s="3"/>
      <c r="CQ959" s="3"/>
      <c r="CR959" s="3"/>
      <c r="CS959" s="3"/>
      <c r="CT959" s="3"/>
      <c r="CU959" s="3"/>
      <c r="CV959" s="3"/>
      <c r="CW959" s="3"/>
      <c r="CX959" s="3"/>
      <c r="CY959" s="3"/>
      <c r="CZ959" s="3"/>
      <c r="DA959" s="3"/>
      <c r="DB959" s="3"/>
      <c r="DC959" s="3"/>
      <c r="DD959" s="3"/>
      <c r="DE959" s="3"/>
      <c r="DF959" s="3"/>
      <c r="DG959" s="3"/>
      <c r="DH959" s="3"/>
      <c r="DI959" s="3"/>
      <c r="DJ959" s="3"/>
      <c r="DK959" s="3"/>
      <c r="DL959" s="3"/>
      <c r="DM959" s="3"/>
      <c r="DN959" s="3"/>
      <c r="DO959" s="3"/>
      <c r="DP959" s="3"/>
      <c r="DQ959" s="3"/>
      <c r="DR959" s="3"/>
      <c r="DS959" s="3"/>
      <c r="DT959" s="3"/>
      <c r="DU959" s="3"/>
      <c r="DV959" s="3"/>
      <c r="DW959" s="3"/>
      <c r="DX959" s="3"/>
      <c r="DY959" s="3"/>
      <c r="DZ959" s="3"/>
      <c r="EA959" s="3"/>
      <c r="EB959" s="3"/>
      <c r="EC959" s="3"/>
      <c r="ED959" s="2"/>
      <c r="EE959" s="185"/>
      <c r="EF959" s="185"/>
      <c r="EG959" s="185"/>
      <c r="EH959" s="185"/>
      <c r="EI959" s="185"/>
      <c r="EJ959" s="185"/>
      <c r="EK959" s="185"/>
      <c r="EL959" s="3"/>
      <c r="EM959" s="3"/>
      <c r="EN959" s="3"/>
      <c r="EO959" s="3"/>
      <c r="EP959" s="3"/>
      <c r="EQ959" s="3"/>
      <c r="ER959" s="3"/>
      <c r="ES959" s="3"/>
      <c r="ET959" s="3"/>
      <c r="EU959" s="3"/>
      <c r="EV959" s="3"/>
      <c r="EW959" s="3"/>
      <c r="EX959" s="3"/>
      <c r="EY959" s="3"/>
      <c r="EZ959" s="3"/>
      <c r="FA959" s="3"/>
      <c r="FB959" s="3"/>
      <c r="FC959" s="3"/>
      <c r="FD959" s="3"/>
      <c r="FE959" s="3"/>
      <c r="FF959" s="3"/>
      <c r="FG959" s="3"/>
      <c r="FH959" s="3"/>
      <c r="FI959" s="3"/>
      <c r="FJ959" s="3"/>
      <c r="FK959" s="3"/>
      <c r="FL959" s="3"/>
      <c r="FM959" s="3"/>
      <c r="FN959" s="3"/>
      <c r="FO959" s="3"/>
      <c r="FP959" s="3"/>
      <c r="FQ959" s="3"/>
      <c r="FR959" s="3"/>
      <c r="FS959" s="3"/>
      <c r="FT959" s="3"/>
      <c r="FU959" s="3"/>
      <c r="FV959" s="3"/>
      <c r="FW959" s="3"/>
      <c r="FX959" s="3"/>
      <c r="FY959" s="3"/>
      <c r="FZ959" s="3"/>
      <c r="GA959" s="3"/>
      <c r="GB959" s="3"/>
      <c r="GC959" s="3"/>
      <c r="GD959" s="3"/>
      <c r="GE959" s="3"/>
      <c r="GF959" s="3"/>
      <c r="GG959" s="3"/>
      <c r="GH959" s="3"/>
      <c r="GI959" s="3"/>
      <c r="GJ959" s="3"/>
      <c r="GK959" s="3"/>
      <c r="GL959" s="3"/>
      <c r="GM959" s="3"/>
      <c r="GN959" s="3"/>
      <c r="GO959" s="3"/>
      <c r="GP959" s="3"/>
      <c r="GQ959" s="3"/>
      <c r="GR959" s="3"/>
      <c r="GS959" s="3"/>
      <c r="GT959" s="3"/>
      <c r="GU959" s="3"/>
      <c r="GV959" s="3"/>
      <c r="GW959" s="3"/>
      <c r="GX959" s="3"/>
      <c r="GY959" s="3"/>
      <c r="GZ959" s="3"/>
      <c r="HA959" s="3"/>
      <c r="HB959" s="3"/>
      <c r="HC959" s="3"/>
      <c r="HD959" s="3"/>
      <c r="HE959" s="3"/>
      <c r="HF959" s="3"/>
      <c r="HG959" s="3"/>
      <c r="HH959" s="3"/>
      <c r="HI959" s="3"/>
      <c r="HJ959" s="3"/>
      <c r="HK959" s="185" t="s">
        <v>1726</v>
      </c>
      <c r="HL959" s="185" t="s">
        <v>1546</v>
      </c>
      <c r="HM959" s="127" t="s">
        <v>480</v>
      </c>
      <c r="HN959" s="127" t="s">
        <v>480</v>
      </c>
      <c r="HO959" s="127" t="s">
        <v>480</v>
      </c>
      <c r="HP959" s="127" t="s">
        <v>480</v>
      </c>
      <c r="HQ959" s="185"/>
      <c r="HR959" s="185"/>
      <c r="HS959" s="206"/>
      <c r="HT959" s="185"/>
      <c r="HU959" s="185"/>
      <c r="HV959" s="185"/>
      <c r="HW959" s="185"/>
      <c r="HX959" s="215"/>
      <c r="HY959" s="185"/>
      <c r="HZ959" s="185"/>
      <c r="IA959" s="185"/>
      <c r="IB959" s="185"/>
      <c r="IC959" s="185"/>
      <c r="ID959" s="185"/>
      <c r="IE959" s="185"/>
      <c r="IF959" s="185"/>
      <c r="IG959" s="185"/>
      <c r="IH959" s="185" t="s">
        <v>1721</v>
      </c>
      <c r="II959" s="148" t="s">
        <v>492</v>
      </c>
      <c r="IJ959" s="148"/>
      <c r="IK959" s="210"/>
      <c r="IL959" s="185"/>
      <c r="IM959" s="185"/>
      <c r="IN959" s="185"/>
      <c r="IO959" s="185"/>
      <c r="IP959" s="185"/>
      <c r="IQ959" s="185"/>
      <c r="IR959" s="185"/>
      <c r="IS959" s="185"/>
      <c r="IT959" s="185"/>
      <c r="IU959" s="185"/>
      <c r="IV959" s="185"/>
      <c r="IW959" s="185"/>
      <c r="IX959" s="2"/>
      <c r="IY959" s="2"/>
      <c r="IZ959" s="2"/>
      <c r="JA959" s="2"/>
      <c r="JB959" s="2"/>
      <c r="JC959" s="2"/>
      <c r="JD959" s="2"/>
      <c r="JE959" s="2"/>
      <c r="JF959" s="2"/>
      <c r="JG959" s="2"/>
      <c r="JH959" s="2"/>
      <c r="JI959" s="2"/>
      <c r="JJ959" s="2" t="s">
        <v>1727</v>
      </c>
      <c r="JK959" s="2" t="s">
        <v>682</v>
      </c>
      <c r="JL959" s="151"/>
      <c r="JM959" s="140"/>
      <c r="JN959" s="206"/>
      <c r="JO959" s="185"/>
      <c r="JP959" s="206"/>
      <c r="JQ959" s="185"/>
      <c r="JR959" s="185"/>
      <c r="JS959" s="185"/>
      <c r="JT959" s="185"/>
      <c r="JU959" s="185"/>
      <c r="JV959" s="140"/>
      <c r="JW959" s="140"/>
      <c r="JX959" s="206"/>
      <c r="JY959" s="185"/>
      <c r="JZ959" s="206"/>
      <c r="KA959" s="185"/>
      <c r="KB959" s="185"/>
      <c r="KC959" s="185"/>
      <c r="KD959" s="206"/>
      <c r="KE959" s="206"/>
      <c r="KF959" s="148"/>
      <c r="KG959" s="216"/>
      <c r="KH959" s="185"/>
      <c r="KI959" s="185"/>
      <c r="KJ959" s="185"/>
      <c r="KK959" s="185"/>
      <c r="KL959" s="206"/>
      <c r="KM959" s="185"/>
      <c r="KN959" s="148"/>
      <c r="KO959" s="216"/>
      <c r="KP959" s="185"/>
      <c r="KQ959" s="185"/>
      <c r="KR959" s="148"/>
      <c r="KS959" s="216"/>
      <c r="KT959" s="185"/>
      <c r="KU959" s="185"/>
      <c r="KV959" s="185"/>
      <c r="KW959" s="3"/>
      <c r="KX959" s="3"/>
      <c r="KY959" s="3"/>
      <c r="KZ959" s="3"/>
      <c r="LA959" s="206"/>
      <c r="LB959" s="206"/>
      <c r="LC959" s="206"/>
      <c r="LD959" s="206"/>
      <c r="LE959" s="206"/>
      <c r="LF959" s="206"/>
      <c r="LG959" s="206"/>
      <c r="LH959" s="206"/>
      <c r="LI959" s="206"/>
      <c r="LJ959" s="206"/>
      <c r="LK959" s="206"/>
      <c r="LL959" s="206"/>
      <c r="LM959" s="206"/>
      <c r="LN959" s="185"/>
      <c r="LO959" s="185"/>
      <c r="LP959" s="185"/>
      <c r="LQ959" s="185"/>
      <c r="LR959" s="185"/>
      <c r="LS959" s="185"/>
      <c r="LT959" s="185"/>
      <c r="LU959" s="185"/>
      <c r="LW959" s="2"/>
      <c r="LX959" s="2"/>
      <c r="LY959" s="2"/>
      <c r="LZ959" s="2"/>
      <c r="MA959" s="2"/>
      <c r="ME959" s="2"/>
      <c r="MF959" s="185"/>
      <c r="MG959" s="185"/>
      <c r="MH959" s="185"/>
      <c r="MI959" s="2"/>
      <c r="MJ959" s="2"/>
      <c r="MK959" s="2"/>
      <c r="ML959" s="2"/>
      <c r="MM959" s="2"/>
      <c r="MN959" s="2"/>
      <c r="MO959" s="2"/>
      <c r="MP959" s="2"/>
      <c r="MQ959" s="185"/>
      <c r="MR959" s="185"/>
      <c r="MS959" s="185"/>
      <c r="MT959" s="185"/>
      <c r="MU959" s="185"/>
      <c r="MV959" s="185"/>
      <c r="MW959" s="185"/>
      <c r="MX959" s="185"/>
      <c r="MY959" s="211" t="s">
        <v>1710</v>
      </c>
      <c r="MZ959" s="212">
        <v>16.25</v>
      </c>
      <c r="NI959" s="185"/>
      <c r="NJ959" s="185" t="s">
        <v>1728</v>
      </c>
      <c r="NK959" s="185" t="s">
        <v>1761</v>
      </c>
      <c r="NL959" s="185" t="s">
        <v>1762</v>
      </c>
      <c r="NM959" s="213" t="s">
        <v>1731</v>
      </c>
      <c r="NN959" s="185">
        <v>0</v>
      </c>
      <c r="NO959" s="185">
        <v>20</v>
      </c>
      <c r="NP959" s="185"/>
      <c r="NQ959" s="185"/>
      <c r="NR959" s="185"/>
      <c r="NS959" s="185"/>
      <c r="NT959" s="185"/>
      <c r="NU959" s="185" t="s">
        <v>664</v>
      </c>
      <c r="NV959" s="185" t="s">
        <v>518</v>
      </c>
      <c r="NW959" s="185">
        <v>25.04</v>
      </c>
      <c r="NX959" s="185" t="s">
        <v>480</v>
      </c>
      <c r="NY959" s="147"/>
      <c r="NZ959" s="147"/>
      <c r="OA959" s="133"/>
      <c r="OB959" s="185">
        <v>3</v>
      </c>
      <c r="OD959" s="185"/>
      <c r="OE959" s="185"/>
      <c r="OF959" s="185"/>
      <c r="OG959" s="185"/>
      <c r="OH959" s="185"/>
      <c r="OI959" s="185"/>
      <c r="OJ959" s="185"/>
      <c r="OK959" s="185"/>
      <c r="OL959" s="185"/>
      <c r="OM959" s="185"/>
      <c r="ON959" s="185"/>
      <c r="OO959" s="185"/>
      <c r="OP959" s="185"/>
      <c r="OQ959" s="185"/>
      <c r="OR959" s="185"/>
      <c r="OS959" s="185"/>
      <c r="OT959" s="185"/>
      <c r="OU959" t="s">
        <v>1763</v>
      </c>
      <c r="OV959" s="185" t="s">
        <v>518</v>
      </c>
      <c r="OX959">
        <v>2020</v>
      </c>
      <c r="OY959">
        <v>2021</v>
      </c>
      <c r="PB959" t="s">
        <v>522</v>
      </c>
      <c r="PC959" s="50">
        <v>46148</v>
      </c>
    </row>
    <row r="960" spans="1:419" ht="15" customHeight="1" thickBot="1">
      <c r="A960" s="205" t="s">
        <v>861</v>
      </c>
      <c r="B960" s="2" t="s">
        <v>1700</v>
      </c>
      <c r="C960" s="2" t="s">
        <v>1387</v>
      </c>
      <c r="D960" s="88" t="s">
        <v>668</v>
      </c>
      <c r="E960" s="2" t="s">
        <v>1701</v>
      </c>
      <c r="F960" s="88" t="s">
        <v>1702</v>
      </c>
      <c r="G960" s="2" t="s">
        <v>475</v>
      </c>
      <c r="H960" s="2" t="s">
        <v>476</v>
      </c>
      <c r="I960" s="88">
        <v>-11.474220000000001</v>
      </c>
      <c r="J960" s="88" t="s">
        <v>1703</v>
      </c>
      <c r="K960" s="88">
        <v>1000</v>
      </c>
      <c r="L960" s="2"/>
      <c r="M960" s="88"/>
      <c r="N960" s="2"/>
      <c r="O960" s="2"/>
      <c r="P960" s="2"/>
      <c r="Q960" s="2"/>
      <c r="R960" s="2"/>
      <c r="S960" s="2"/>
      <c r="T960" s="2"/>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c r="AV960" s="2" t="s">
        <v>1704</v>
      </c>
      <c r="AW960" s="2">
        <v>28</v>
      </c>
      <c r="AX960" s="2" t="s">
        <v>480</v>
      </c>
      <c r="AY960" s="2">
        <v>2</v>
      </c>
      <c r="AZ960" s="185" t="s">
        <v>1705</v>
      </c>
      <c r="BA960" s="185">
        <v>2020</v>
      </c>
      <c r="BB960" s="185">
        <v>2022</v>
      </c>
      <c r="BC960" s="185"/>
      <c r="BD960" s="185" t="s">
        <v>1739</v>
      </c>
      <c r="BE960" s="185" t="s">
        <v>1740</v>
      </c>
      <c r="BF960" s="185" t="s">
        <v>484</v>
      </c>
      <c r="BG960" s="185" t="s">
        <v>1707</v>
      </c>
      <c r="BH960" s="185" t="s">
        <v>1708</v>
      </c>
      <c r="BI960" s="206" t="s">
        <v>1709</v>
      </c>
      <c r="BJ960" s="207">
        <v>4.4000000000000004</v>
      </c>
      <c r="BK960" s="185"/>
      <c r="BL960" s="185"/>
      <c r="BM960" s="208"/>
      <c r="BN960" s="208"/>
      <c r="BO960" s="208"/>
      <c r="BP960" s="208"/>
      <c r="BQ960" s="208"/>
      <c r="BR960" s="208"/>
      <c r="BS960" s="208"/>
      <c r="BT960" s="208"/>
      <c r="BU960" s="208"/>
      <c r="BV960" s="96"/>
      <c r="BW960" s="96"/>
      <c r="BX960" s="96"/>
      <c r="BY960" s="96"/>
      <c r="BZ960" s="96"/>
      <c r="CA960" s="96"/>
      <c r="CB960" s="96"/>
      <c r="CC960" s="96"/>
      <c r="CD960" s="96"/>
      <c r="CE960" s="96"/>
      <c r="CF960" s="96"/>
      <c r="CG960" s="96"/>
      <c r="CH960" s="96"/>
      <c r="CI960" s="96"/>
      <c r="CJ960" s="96"/>
      <c r="CK960" s="96"/>
      <c r="CL960" s="96"/>
      <c r="CM960" s="96"/>
      <c r="CN960" s="96"/>
      <c r="CO960" s="96"/>
      <c r="CP960" s="96"/>
      <c r="CQ960" s="96"/>
      <c r="CR960" s="96"/>
      <c r="CS960" s="96"/>
      <c r="CT960" s="96"/>
      <c r="CU960" s="96"/>
      <c r="CV960" s="96"/>
      <c r="CW960" s="96"/>
      <c r="CX960" s="96"/>
      <c r="CY960" s="96"/>
      <c r="CZ960" s="96"/>
      <c r="DA960" s="96"/>
      <c r="DB960" s="96"/>
      <c r="DC960" s="96"/>
      <c r="DD960" s="96"/>
      <c r="DE960" s="96"/>
      <c r="DF960" s="96"/>
      <c r="DG960" s="96"/>
      <c r="DH960" s="96"/>
      <c r="DI960" s="96"/>
      <c r="DJ960" s="96"/>
      <c r="DK960" s="96"/>
      <c r="DL960" s="96"/>
      <c r="DM960" s="96"/>
      <c r="DN960" s="96"/>
      <c r="DO960" s="96"/>
      <c r="DP960" s="96"/>
      <c r="DQ960" s="96"/>
      <c r="DR960" s="96"/>
      <c r="DS960" s="96"/>
      <c r="DT960" s="96"/>
      <c r="DU960" s="96"/>
      <c r="DV960" s="96"/>
      <c r="DW960" s="96"/>
      <c r="DX960" s="96"/>
      <c r="DY960" s="96"/>
      <c r="DZ960" s="96"/>
      <c r="EA960" s="96"/>
      <c r="EB960" s="96"/>
      <c r="EC960" s="96"/>
      <c r="ED960" s="96"/>
      <c r="EE960" s="208"/>
      <c r="EF960" s="208"/>
      <c r="EG960" s="208"/>
      <c r="EH960" s="208"/>
      <c r="EI960" s="208"/>
      <c r="EJ960" s="208"/>
      <c r="EK960" s="208"/>
      <c r="EL960" s="96"/>
      <c r="EM960" s="96"/>
      <c r="EN960" s="96"/>
      <c r="EO960" s="96"/>
      <c r="EP960" s="96"/>
      <c r="EQ960" s="96"/>
      <c r="ER960" s="96"/>
      <c r="ES960" s="96"/>
      <c r="ET960" s="96"/>
      <c r="EU960" s="96"/>
      <c r="EV960" s="96"/>
      <c r="EW960" s="96"/>
      <c r="EX960" s="96"/>
      <c r="EY960" s="96"/>
      <c r="EZ960" s="96"/>
      <c r="FA960" s="96"/>
      <c r="FB960" s="96"/>
      <c r="FC960" s="96"/>
      <c r="FD960" s="96"/>
      <c r="FE960" s="96"/>
      <c r="FF960" s="96"/>
      <c r="FG960" s="96"/>
      <c r="FH960" s="96"/>
      <c r="FI960" s="96"/>
      <c r="FJ960" s="96"/>
      <c r="FK960" s="96"/>
      <c r="FL960" s="96"/>
      <c r="FM960" s="96"/>
      <c r="FN960" s="96"/>
      <c r="FO960" s="96"/>
      <c r="FP960" s="96"/>
      <c r="FQ960" s="96"/>
      <c r="FR960" s="96"/>
      <c r="FS960" s="96"/>
      <c r="FT960" s="96"/>
      <c r="FU960" s="96"/>
      <c r="FV960" s="96"/>
      <c r="FW960" s="96"/>
      <c r="FX960" s="96"/>
      <c r="FY960" s="96"/>
      <c r="FZ960" s="96"/>
      <c r="GA960" s="96"/>
      <c r="GB960" s="96"/>
      <c r="GC960" s="96"/>
      <c r="GD960" s="96"/>
      <c r="GE960" s="96"/>
      <c r="GF960" s="96"/>
      <c r="GG960" s="96"/>
      <c r="GH960" s="96"/>
      <c r="GI960" s="96"/>
      <c r="GJ960" s="96"/>
      <c r="GK960" s="96"/>
      <c r="GL960" s="96"/>
      <c r="GM960" s="96"/>
      <c r="GN960" s="96"/>
      <c r="GO960" s="96"/>
      <c r="GP960" s="96"/>
      <c r="GQ960" s="96"/>
      <c r="GR960" s="96"/>
      <c r="GS960" s="96"/>
      <c r="GT960" s="96"/>
      <c r="GU960" s="96"/>
      <c r="GV960" s="96"/>
      <c r="GW960" s="96"/>
      <c r="GX960" s="96"/>
      <c r="GY960" s="96"/>
      <c r="GZ960" s="96"/>
      <c r="HA960" s="96"/>
      <c r="HB960" s="96"/>
      <c r="HC960" s="96"/>
      <c r="HD960" s="96"/>
      <c r="HE960" s="96"/>
      <c r="HF960" s="96"/>
      <c r="HG960" s="96"/>
      <c r="HH960" s="96"/>
      <c r="HI960" s="96"/>
      <c r="HJ960" s="96"/>
      <c r="HK960" s="185" t="s">
        <v>1726</v>
      </c>
      <c r="HL960" s="185" t="s">
        <v>1546</v>
      </c>
      <c r="HM960" s="127" t="s">
        <v>480</v>
      </c>
      <c r="HN960" s="127" t="s">
        <v>480</v>
      </c>
      <c r="HO960" s="127" t="s">
        <v>480</v>
      </c>
      <c r="HP960" s="127" t="s">
        <v>480</v>
      </c>
      <c r="HQ960" s="208"/>
      <c r="HR960" s="208"/>
      <c r="HS960" s="208"/>
      <c r="HT960" s="37"/>
      <c r="HU960" s="37"/>
      <c r="HV960" s="208"/>
      <c r="HW960" s="208"/>
      <c r="HX960" s="208"/>
      <c r="HY960" s="208"/>
      <c r="HZ960" s="208"/>
      <c r="IA960" s="208"/>
      <c r="IB960" s="208"/>
      <c r="IC960" s="208"/>
      <c r="ID960" s="208"/>
      <c r="IE960" s="208"/>
      <c r="IF960" s="208"/>
      <c r="IG960" s="208"/>
      <c r="IH960" s="185" t="s">
        <v>1706</v>
      </c>
      <c r="II960" s="209" t="s">
        <v>492</v>
      </c>
      <c r="IJ960" s="209"/>
      <c r="IK960" s="208"/>
      <c r="IL960" s="208"/>
      <c r="IM960" s="208"/>
      <c r="IN960" s="185"/>
      <c r="IO960" s="208"/>
      <c r="IP960" s="208"/>
      <c r="IQ960" s="208"/>
      <c r="IR960" s="208"/>
      <c r="IS960" s="208"/>
      <c r="IT960" s="208"/>
      <c r="IU960" s="208"/>
      <c r="IV960" s="208"/>
      <c r="IW960" s="208"/>
      <c r="IX960" s="96"/>
      <c r="IY960" s="96"/>
      <c r="IZ960" s="96"/>
      <c r="JA960" s="96"/>
      <c r="JB960" s="96"/>
      <c r="JC960" s="96"/>
      <c r="JD960" s="96"/>
      <c r="JE960" s="96"/>
      <c r="JF960" s="96"/>
      <c r="JG960" s="96"/>
      <c r="JH960" s="96"/>
      <c r="JI960" s="96"/>
      <c r="JJ960" s="96" t="s">
        <v>1727</v>
      </c>
      <c r="JK960" s="2" t="s">
        <v>682</v>
      </c>
      <c r="JL960" s="151"/>
      <c r="JM960" s="208"/>
      <c r="JN960" s="206"/>
      <c r="JO960" s="208"/>
      <c r="JP960" s="206"/>
      <c r="JQ960" s="208"/>
      <c r="JR960" s="208"/>
      <c r="JS960" s="208"/>
      <c r="JT960" s="208"/>
      <c r="JU960" s="208"/>
      <c r="JV960" s="208"/>
      <c r="JW960" s="208"/>
      <c r="JX960" s="208"/>
      <c r="JY960" s="208"/>
      <c r="JZ960" s="208"/>
      <c r="KA960" s="208"/>
      <c r="KB960" s="208"/>
      <c r="KC960" s="208"/>
      <c r="KD960" s="208"/>
      <c r="KE960" s="208"/>
      <c r="KF960" s="148"/>
      <c r="KG960" s="148"/>
      <c r="KH960" s="210"/>
      <c r="KI960" s="185"/>
      <c r="KJ960" s="210"/>
      <c r="KK960" s="210"/>
      <c r="KL960" s="210"/>
      <c r="KM960" s="210"/>
      <c r="KN960" s="148"/>
      <c r="KO960" s="148"/>
      <c r="KP960" s="210"/>
      <c r="KQ960" s="210"/>
      <c r="KR960" s="148"/>
      <c r="KS960" s="148"/>
      <c r="KT960" s="210"/>
      <c r="KU960" s="210"/>
      <c r="KV960" s="210"/>
      <c r="KW960" s="38"/>
      <c r="KX960" s="38"/>
      <c r="KY960" s="38"/>
      <c r="KZ960" s="38"/>
      <c r="LA960" s="206"/>
      <c r="LB960" s="206"/>
      <c r="LC960" s="206"/>
      <c r="LD960" s="206"/>
      <c r="LE960" s="206"/>
      <c r="LF960" s="206"/>
      <c r="LG960" s="206"/>
      <c r="LH960" s="206"/>
      <c r="LI960" s="208"/>
      <c r="LJ960" s="208"/>
      <c r="LK960" s="208"/>
      <c r="LL960" s="208"/>
      <c r="LM960" s="208"/>
      <c r="LN960" s="208"/>
      <c r="LO960" s="208"/>
      <c r="LP960" s="208"/>
      <c r="LQ960" s="208"/>
      <c r="LR960" s="208"/>
      <c r="LS960" s="208"/>
      <c r="LT960" s="208"/>
      <c r="LU960" s="208"/>
      <c r="LV960" s="96"/>
      <c r="LW960" s="96"/>
      <c r="LX960" s="96"/>
      <c r="LY960" s="96"/>
      <c r="LZ960" s="96"/>
      <c r="MA960" s="96"/>
      <c r="MB960" s="96"/>
      <c r="MC960" s="96"/>
      <c r="MD960" s="96"/>
      <c r="ME960" s="96"/>
      <c r="MF960" s="96"/>
      <c r="MG960" s="208"/>
      <c r="MH960" s="208"/>
      <c r="MI960" s="96"/>
      <c r="MJ960" s="96"/>
      <c r="MK960" s="96"/>
      <c r="ML960" s="96"/>
      <c r="MM960" s="96"/>
      <c r="MN960" s="96"/>
      <c r="MO960" s="96"/>
      <c r="MP960" s="96"/>
      <c r="MQ960" s="37"/>
      <c r="MR960" s="37"/>
      <c r="MS960" s="96"/>
      <c r="MT960" s="208"/>
      <c r="MU960" s="208"/>
      <c r="MW960" s="96"/>
      <c r="MX960" s="96"/>
      <c r="MY960" s="211" t="s">
        <v>1710</v>
      </c>
      <c r="MZ960" s="212">
        <v>16.25</v>
      </c>
      <c r="NI960" s="185"/>
      <c r="NJ960" s="185" t="s">
        <v>1728</v>
      </c>
      <c r="NK960" s="185" t="s">
        <v>1761</v>
      </c>
      <c r="NL960" s="185" t="s">
        <v>1762</v>
      </c>
      <c r="NM960" s="213" t="s">
        <v>1731</v>
      </c>
      <c r="NN960" s="185">
        <v>0</v>
      </c>
      <c r="NO960" s="185">
        <v>20</v>
      </c>
      <c r="NP960" s="185"/>
      <c r="NQ960" s="185"/>
      <c r="NR960" s="185"/>
      <c r="NS960" s="185"/>
      <c r="NT960" s="185"/>
      <c r="NU960" s="185" t="s">
        <v>1741</v>
      </c>
      <c r="NV960" s="185" t="s">
        <v>518</v>
      </c>
      <c r="NW960" s="185">
        <v>23.61</v>
      </c>
      <c r="NX960" s="185" t="s">
        <v>480</v>
      </c>
      <c r="NY960" s="147"/>
      <c r="NZ960" s="147"/>
      <c r="OA960" s="133"/>
      <c r="OB960" s="185">
        <v>3</v>
      </c>
      <c r="OC960" s="185"/>
      <c r="OD960" s="185"/>
      <c r="OE960" s="208"/>
      <c r="OF960" s="208"/>
      <c r="OG960" s="208"/>
      <c r="OH960" s="208"/>
      <c r="OI960" s="208"/>
      <c r="OJ960" s="208"/>
      <c r="OK960" s="208"/>
      <c r="OL960" s="208"/>
      <c r="OM960" s="208"/>
      <c r="ON960" s="208"/>
      <c r="OO960" s="208"/>
      <c r="OP960" s="208"/>
      <c r="OQ960" s="208"/>
      <c r="OR960" s="208"/>
      <c r="OS960" s="208"/>
      <c r="OT960" s="208"/>
      <c r="OU960" t="s">
        <v>1763</v>
      </c>
      <c r="OV960" s="185" t="s">
        <v>518</v>
      </c>
      <c r="OX960">
        <v>2020</v>
      </c>
      <c r="OY960">
        <v>2021</v>
      </c>
      <c r="OZ960" s="96"/>
      <c r="PA960" s="96"/>
      <c r="PB960" t="s">
        <v>522</v>
      </c>
      <c r="PC960" s="50">
        <v>46148</v>
      </c>
    </row>
    <row r="961" spans="1:419" ht="17.25" thickBot="1">
      <c r="A961" s="205" t="s">
        <v>861</v>
      </c>
      <c r="B961" s="2" t="s">
        <v>1700</v>
      </c>
      <c r="C961" s="2" t="s">
        <v>1387</v>
      </c>
      <c r="D961" s="88" t="s">
        <v>668</v>
      </c>
      <c r="E961" s="2" t="s">
        <v>1701</v>
      </c>
      <c r="F961" s="88" t="s">
        <v>1702</v>
      </c>
      <c r="G961" s="2" t="s">
        <v>475</v>
      </c>
      <c r="H961" s="2" t="s">
        <v>476</v>
      </c>
      <c r="I961" s="88">
        <v>-11.474220000000001</v>
      </c>
      <c r="J961" s="88" t="s">
        <v>1703</v>
      </c>
      <c r="K961" s="88">
        <v>1000</v>
      </c>
      <c r="L961" s="2"/>
      <c r="M961" s="88"/>
      <c r="N961" s="2"/>
      <c r="O961" s="2"/>
      <c r="P961" s="2"/>
      <c r="Q961" s="2"/>
      <c r="R961" s="2"/>
      <c r="S961" s="2"/>
      <c r="T961" s="2"/>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c r="AV961" s="2" t="s">
        <v>1704</v>
      </c>
      <c r="AW961" s="2">
        <v>28</v>
      </c>
      <c r="AX961" s="2" t="s">
        <v>480</v>
      </c>
      <c r="AY961" s="2">
        <v>2</v>
      </c>
      <c r="AZ961" s="185" t="s">
        <v>1705</v>
      </c>
      <c r="BA961" s="185">
        <v>2020</v>
      </c>
      <c r="BB961" s="185">
        <v>2022</v>
      </c>
      <c r="BC961" s="185"/>
      <c r="BD961" s="185" t="s">
        <v>1742</v>
      </c>
      <c r="BE961" s="185" t="s">
        <v>553</v>
      </c>
      <c r="BF961" s="185" t="s">
        <v>484</v>
      </c>
      <c r="BG961" s="185" t="s">
        <v>1707</v>
      </c>
      <c r="BH961" s="185" t="s">
        <v>1708</v>
      </c>
      <c r="BI961" s="206" t="s">
        <v>1709</v>
      </c>
      <c r="BJ961" s="207">
        <v>4.4000000000000004</v>
      </c>
      <c r="BK961" s="185" t="s">
        <v>537</v>
      </c>
      <c r="BL961" s="185" t="s">
        <v>485</v>
      </c>
      <c r="BM961" s="185" t="s">
        <v>1719</v>
      </c>
      <c r="BN961" s="206" t="s">
        <v>1709</v>
      </c>
      <c r="BO961" s="207">
        <v>4.4000000000000004</v>
      </c>
      <c r="BP961" s="185"/>
      <c r="BQ961" s="185"/>
      <c r="BR961" s="185"/>
      <c r="BS961" s="185"/>
      <c r="BT961" s="185"/>
      <c r="BU961" s="185"/>
      <c r="BV961" s="3"/>
      <c r="BW961" s="3"/>
      <c r="BX961" s="3"/>
      <c r="BY961" s="3"/>
      <c r="BZ961" s="3"/>
      <c r="CA961" s="3"/>
      <c r="CB961" s="3"/>
      <c r="CC961" s="3"/>
      <c r="CD961" s="3"/>
      <c r="CE961" s="3"/>
      <c r="CF961" s="3"/>
      <c r="CG961" s="3"/>
      <c r="CH961" s="3"/>
      <c r="CI961" s="3"/>
      <c r="CJ961" s="3"/>
      <c r="CK961" s="3"/>
      <c r="CL961" s="3"/>
      <c r="CM961" s="3"/>
      <c r="CN961" s="3"/>
      <c r="CO961" s="3"/>
      <c r="CP961" s="3"/>
      <c r="CQ961" s="3"/>
      <c r="CR961" s="3"/>
      <c r="CS961" s="3"/>
      <c r="CT961" s="3"/>
      <c r="CU961" s="3"/>
      <c r="CV961" s="3"/>
      <c r="CW961" s="3"/>
      <c r="CX961" s="3"/>
      <c r="CY961" s="3"/>
      <c r="CZ961" s="3"/>
      <c r="DA961" s="3"/>
      <c r="DB961" s="3"/>
      <c r="DC961" s="3"/>
      <c r="DD961" s="3"/>
      <c r="DE961" s="3"/>
      <c r="DF961" s="3"/>
      <c r="DG961" s="3"/>
      <c r="DH961" s="3"/>
      <c r="DI961" s="3"/>
      <c r="DJ961" s="3"/>
      <c r="DK961" s="3"/>
      <c r="DL961" s="3"/>
      <c r="DM961" s="3"/>
      <c r="DN961" s="3"/>
      <c r="DO961" s="3"/>
      <c r="DP961" s="3"/>
      <c r="DQ961" s="3"/>
      <c r="DR961" s="3"/>
      <c r="DS961" s="3"/>
      <c r="DT961" s="3"/>
      <c r="DU961" s="3"/>
      <c r="DV961" s="3"/>
      <c r="DW961" s="3"/>
      <c r="DX961" s="3"/>
      <c r="DY961" s="3"/>
      <c r="DZ961" s="3"/>
      <c r="EA961" s="3"/>
      <c r="EB961" s="3"/>
      <c r="EC961" s="3"/>
      <c r="ED961" s="2"/>
      <c r="EE961" s="185"/>
      <c r="EF961" s="185"/>
      <c r="EG961" s="185"/>
      <c r="EH961" s="185"/>
      <c r="EI961" s="185"/>
      <c r="EJ961" s="185"/>
      <c r="EK961" s="185"/>
      <c r="EL961" s="3"/>
      <c r="EM961" s="3"/>
      <c r="EN961" s="3"/>
      <c r="EO961" s="3"/>
      <c r="EP961" s="3"/>
      <c r="EQ961" s="3"/>
      <c r="ER961" s="3"/>
      <c r="ES961" s="3"/>
      <c r="ET961" s="3"/>
      <c r="EU961" s="3"/>
      <c r="EV961" s="3"/>
      <c r="EW961" s="3"/>
      <c r="EX961" s="3"/>
      <c r="EY961" s="3"/>
      <c r="EZ961" s="3"/>
      <c r="FA961" s="3"/>
      <c r="FB961" s="3"/>
      <c r="FC961" s="3"/>
      <c r="FD961" s="3"/>
      <c r="FE961" s="3"/>
      <c r="FF961" s="3"/>
      <c r="FG961" s="3"/>
      <c r="FH961" s="3"/>
      <c r="FI961" s="3"/>
      <c r="FJ961" s="3"/>
      <c r="FK961" s="3"/>
      <c r="FL961" s="3"/>
      <c r="FM961" s="3"/>
      <c r="FN961" s="3"/>
      <c r="FO961" s="3"/>
      <c r="FP961" s="3"/>
      <c r="FQ961" s="3"/>
      <c r="FR961" s="3"/>
      <c r="FS961" s="3"/>
      <c r="FT961" s="3"/>
      <c r="FU961" s="3"/>
      <c r="FV961" s="3"/>
      <c r="FW961" s="3"/>
      <c r="FX961" s="3"/>
      <c r="FY961" s="3"/>
      <c r="FZ961" s="3"/>
      <c r="GA961" s="3"/>
      <c r="GB961" s="3"/>
      <c r="GC961" s="3"/>
      <c r="GD961" s="3"/>
      <c r="GE961" s="3"/>
      <c r="GF961" s="3"/>
      <c r="GG961" s="3"/>
      <c r="GH961" s="3"/>
      <c r="GI961" s="3"/>
      <c r="GJ961" s="3"/>
      <c r="GK961" s="3"/>
      <c r="GL961" s="3"/>
      <c r="GM961" s="3"/>
      <c r="GN961" s="3"/>
      <c r="GO961" s="3"/>
      <c r="GP961" s="3"/>
      <c r="GQ961" s="3"/>
      <c r="GR961" s="3"/>
      <c r="GS961" s="3"/>
      <c r="GT961" s="3"/>
      <c r="GU961" s="3"/>
      <c r="GV961" s="3"/>
      <c r="GW961" s="3"/>
      <c r="GX961" s="3"/>
      <c r="GY961" s="3"/>
      <c r="GZ961" s="3"/>
      <c r="HA961" s="3"/>
      <c r="HB961" s="3"/>
      <c r="HC961" s="3"/>
      <c r="HD961" s="3"/>
      <c r="HE961" s="3"/>
      <c r="HF961" s="3"/>
      <c r="HG961" s="3"/>
      <c r="HH961" s="3"/>
      <c r="HI961" s="3"/>
      <c r="HJ961" s="3"/>
      <c r="HK961" s="185" t="s">
        <v>1726</v>
      </c>
      <c r="HL961" s="185" t="s">
        <v>1546</v>
      </c>
      <c r="HM961" s="127" t="s">
        <v>480</v>
      </c>
      <c r="HN961" s="127" t="s">
        <v>480</v>
      </c>
      <c r="HO961" s="127" t="s">
        <v>480</v>
      </c>
      <c r="HP961" s="127" t="s">
        <v>480</v>
      </c>
      <c r="HQ961" s="185"/>
      <c r="HR961" s="185"/>
      <c r="HS961" s="206"/>
      <c r="HT961" s="185"/>
      <c r="HU961" s="185"/>
      <c r="HV961" s="185"/>
      <c r="HW961" s="185"/>
      <c r="HX961" s="215"/>
      <c r="HY961" s="185"/>
      <c r="HZ961" s="185"/>
      <c r="IA961" s="185"/>
      <c r="IB961" s="185"/>
      <c r="IC961" s="185"/>
      <c r="ID961" s="185"/>
      <c r="IE961" s="185"/>
      <c r="IF961" s="185"/>
      <c r="IG961" s="185"/>
      <c r="IH961" s="185" t="s">
        <v>1718</v>
      </c>
      <c r="II961" s="148" t="s">
        <v>1714</v>
      </c>
      <c r="IJ961" s="148" t="s">
        <v>542</v>
      </c>
      <c r="IK961" s="210" t="s">
        <v>1715</v>
      </c>
      <c r="IL961" s="185">
        <v>2020</v>
      </c>
      <c r="IM961" s="185"/>
      <c r="IN961" s="185" t="s">
        <v>1716</v>
      </c>
      <c r="IO961" s="185"/>
      <c r="IP961" s="185"/>
      <c r="IQ961" s="185"/>
      <c r="IR961" s="185"/>
      <c r="IS961" s="185"/>
      <c r="IT961" s="185"/>
      <c r="IU961" s="185"/>
      <c r="IV961" s="185"/>
      <c r="IW961" s="185"/>
      <c r="IX961" s="2"/>
      <c r="IY961" s="2"/>
      <c r="IZ961" s="2"/>
      <c r="JA961" s="2"/>
      <c r="JB961" s="2"/>
      <c r="JC961" s="2"/>
      <c r="JD961" s="2"/>
      <c r="JE961" s="2"/>
      <c r="JF961" s="2"/>
      <c r="JG961" s="2"/>
      <c r="JH961" s="2"/>
      <c r="JI961" s="2"/>
      <c r="JJ961" s="2" t="s">
        <v>1727</v>
      </c>
      <c r="JK961" s="2" t="s">
        <v>682</v>
      </c>
      <c r="JL961" s="151"/>
      <c r="JM961" s="140"/>
      <c r="JN961" s="206"/>
      <c r="JO961" s="185"/>
      <c r="JP961" s="206"/>
      <c r="JQ961" s="185"/>
      <c r="JR961" s="185"/>
      <c r="JS961" s="185"/>
      <c r="JT961" s="185"/>
      <c r="JU961" s="185"/>
      <c r="JV961" s="140"/>
      <c r="JW961" s="140"/>
      <c r="JX961" s="206"/>
      <c r="JY961" s="185"/>
      <c r="JZ961" s="206"/>
      <c r="KA961" s="185"/>
      <c r="KB961" s="185"/>
      <c r="KC961" s="185"/>
      <c r="KD961" s="206"/>
      <c r="KE961" s="206"/>
      <c r="KF961" s="148"/>
      <c r="KG961" s="216"/>
      <c r="KH961" s="185"/>
      <c r="KI961" s="185"/>
      <c r="KJ961" s="185"/>
      <c r="KK961" s="185"/>
      <c r="KL961" s="206"/>
      <c r="KM961" s="185"/>
      <c r="KN961" s="148"/>
      <c r="KO961" s="216"/>
      <c r="KP961" s="185"/>
      <c r="KQ961" s="185"/>
      <c r="KR961" s="148"/>
      <c r="KS961" s="216"/>
      <c r="KT961" s="185"/>
      <c r="KU961" s="185"/>
      <c r="KV961" s="185"/>
      <c r="KW961" s="3"/>
      <c r="KX961" s="3"/>
      <c r="KY961" s="3"/>
      <c r="KZ961" s="3"/>
      <c r="LA961" s="206"/>
      <c r="LB961" s="206"/>
      <c r="LC961" s="206"/>
      <c r="LD961" s="206"/>
      <c r="LE961" s="206"/>
      <c r="LF961" s="206"/>
      <c r="LG961" s="206"/>
      <c r="LH961" s="206"/>
      <c r="LI961" s="206"/>
      <c r="LJ961" s="206"/>
      <c r="LK961" s="206"/>
      <c r="LL961" s="206"/>
      <c r="LM961" s="206"/>
      <c r="LN961" s="185"/>
      <c r="LO961" s="185"/>
      <c r="LP961" s="185"/>
      <c r="LQ961" s="185"/>
      <c r="LR961" s="185"/>
      <c r="LS961" s="185"/>
      <c r="LT961" s="185"/>
      <c r="LU961" s="185"/>
      <c r="LW961" s="2"/>
      <c r="LX961" s="2"/>
      <c r="LY961" s="2"/>
      <c r="LZ961" s="2"/>
      <c r="MA961" s="2"/>
      <c r="ME961" s="2"/>
      <c r="MF961" s="185"/>
      <c r="MG961" s="185"/>
      <c r="MH961" s="185"/>
      <c r="MI961" s="2"/>
      <c r="MJ961" s="2"/>
      <c r="MK961" s="2"/>
      <c r="ML961" s="2"/>
      <c r="MM961" s="2"/>
      <c r="MN961" s="2"/>
      <c r="MO961" s="2"/>
      <c r="MP961" s="2"/>
      <c r="MQ961" s="185"/>
      <c r="MR961" s="185"/>
      <c r="MS961" s="185"/>
      <c r="MT961" s="185"/>
      <c r="MU961" s="185"/>
      <c r="MV961" s="185"/>
      <c r="MW961" s="185"/>
      <c r="MX961" s="185"/>
      <c r="MY961" s="211" t="s">
        <v>1710</v>
      </c>
      <c r="MZ961" s="212">
        <v>16.25</v>
      </c>
      <c r="NI961" s="185"/>
      <c r="NJ961" s="185" t="s">
        <v>1728</v>
      </c>
      <c r="NK961" s="185" t="s">
        <v>1761</v>
      </c>
      <c r="NL961" s="185" t="s">
        <v>1762</v>
      </c>
      <c r="NM961" s="213" t="s">
        <v>1731</v>
      </c>
      <c r="NN961" s="185">
        <v>0</v>
      </c>
      <c r="NO961" s="185">
        <v>20</v>
      </c>
      <c r="NP961" s="185"/>
      <c r="NQ961" s="185"/>
      <c r="NR961" s="185"/>
      <c r="NS961" s="185"/>
      <c r="NT961" s="185"/>
      <c r="NU961" s="185"/>
      <c r="NV961" s="185" t="s">
        <v>518</v>
      </c>
      <c r="NW961" s="185">
        <v>25.06</v>
      </c>
      <c r="NX961" s="185" t="s">
        <v>480</v>
      </c>
      <c r="NY961" s="147"/>
      <c r="NZ961" s="147"/>
      <c r="OA961" s="133"/>
      <c r="OB961" s="185">
        <v>3</v>
      </c>
      <c r="OC961" s="185"/>
      <c r="OD961" s="185"/>
      <c r="OE961" s="185"/>
      <c r="OF961" s="185"/>
      <c r="OG961" s="185"/>
      <c r="OH961" s="185"/>
      <c r="OI961" s="185"/>
      <c r="OJ961" s="185"/>
      <c r="OK961" s="185"/>
      <c r="OL961" s="185"/>
      <c r="OM961" s="185"/>
      <c r="ON961" s="185"/>
      <c r="OO961" s="185"/>
      <c r="OP961" s="185"/>
      <c r="OQ961" s="185"/>
      <c r="OR961" s="185"/>
      <c r="OS961" s="185"/>
      <c r="OT961" s="185"/>
      <c r="OU961" t="s">
        <v>1763</v>
      </c>
      <c r="OV961" s="185" t="s">
        <v>518</v>
      </c>
      <c r="OX961">
        <v>2020</v>
      </c>
      <c r="OY961">
        <v>2021</v>
      </c>
      <c r="PB961" t="s">
        <v>522</v>
      </c>
      <c r="PC961" s="50">
        <v>46148</v>
      </c>
    </row>
    <row r="962" spans="1:419" ht="17.25" thickBot="1">
      <c r="A962" s="205" t="s">
        <v>861</v>
      </c>
      <c r="B962" s="2" t="s">
        <v>1700</v>
      </c>
      <c r="C962" s="2" t="s">
        <v>1387</v>
      </c>
      <c r="D962" s="88" t="s">
        <v>668</v>
      </c>
      <c r="E962" s="2" t="s">
        <v>1701</v>
      </c>
      <c r="F962" s="88" t="s">
        <v>1702</v>
      </c>
      <c r="G962" s="2" t="s">
        <v>475</v>
      </c>
      <c r="H962" s="2" t="s">
        <v>476</v>
      </c>
      <c r="I962" s="88">
        <v>-11.474220000000001</v>
      </c>
      <c r="J962" s="88" t="s">
        <v>1703</v>
      </c>
      <c r="K962" s="88">
        <v>1000</v>
      </c>
      <c r="L962" s="2"/>
      <c r="M962" s="88"/>
      <c r="N962" s="2"/>
      <c r="O962" s="2"/>
      <c r="P962" s="2"/>
      <c r="Q962" s="2"/>
      <c r="R962" s="2"/>
      <c r="S962" s="2"/>
      <c r="T962" s="2"/>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c r="AV962" s="2" t="s">
        <v>1704</v>
      </c>
      <c r="AW962" s="2">
        <v>28</v>
      </c>
      <c r="AX962" s="2" t="s">
        <v>480</v>
      </c>
      <c r="AY962" s="2">
        <v>2</v>
      </c>
      <c r="AZ962" s="185" t="s">
        <v>1705</v>
      </c>
      <c r="BA962" s="185">
        <v>2020</v>
      </c>
      <c r="BB962" s="185">
        <v>2022</v>
      </c>
      <c r="BC962" s="185"/>
      <c r="BD962" s="185" t="s">
        <v>1743</v>
      </c>
      <c r="BE962" s="185" t="s">
        <v>607</v>
      </c>
      <c r="BF962" s="185" t="s">
        <v>484</v>
      </c>
      <c r="BG962" s="185" t="s">
        <v>538</v>
      </c>
      <c r="BH962" s="185" t="s">
        <v>1713</v>
      </c>
      <c r="BI962" s="206" t="s">
        <v>1709</v>
      </c>
      <c r="BJ962" s="207">
        <v>13.3</v>
      </c>
      <c r="BK962" s="185" t="s">
        <v>537</v>
      </c>
      <c r="BL962" s="185" t="s">
        <v>485</v>
      </c>
      <c r="BM962" s="185" t="s">
        <v>1719</v>
      </c>
      <c r="BN962" s="206" t="s">
        <v>1709</v>
      </c>
      <c r="BO962" s="207">
        <v>4.4000000000000004</v>
      </c>
      <c r="BP962" s="185"/>
      <c r="BQ962" s="185"/>
      <c r="BR962" s="185"/>
      <c r="BS962" s="185"/>
      <c r="BT962" s="185"/>
      <c r="BU962" s="185"/>
      <c r="BV962" s="3"/>
      <c r="BW962" s="3"/>
      <c r="BX962" s="3"/>
      <c r="BY962" s="3"/>
      <c r="BZ962" s="3"/>
      <c r="CA962" s="3"/>
      <c r="CB962" s="3"/>
      <c r="CC962" s="3"/>
      <c r="CD962" s="3"/>
      <c r="CE962" s="3"/>
      <c r="CF962" s="3"/>
      <c r="CG962" s="3"/>
      <c r="CH962" s="3"/>
      <c r="CI962" s="3"/>
      <c r="CJ962" s="3"/>
      <c r="CK962" s="3"/>
      <c r="CL962" s="3"/>
      <c r="CM962" s="3"/>
      <c r="CN962" s="3"/>
      <c r="CO962" s="3"/>
      <c r="CP962" s="3"/>
      <c r="CQ962" s="3"/>
      <c r="CR962" s="3"/>
      <c r="CS962" s="3"/>
      <c r="CT962" s="3"/>
      <c r="CU962" s="3"/>
      <c r="CV962" s="3"/>
      <c r="CW962" s="3"/>
      <c r="CX962" s="3"/>
      <c r="CY962" s="3"/>
      <c r="CZ962" s="3"/>
      <c r="DA962" s="3"/>
      <c r="DB962" s="3"/>
      <c r="DC962" s="3"/>
      <c r="DD962" s="3"/>
      <c r="DE962" s="3"/>
      <c r="DF962" s="3"/>
      <c r="DG962" s="3"/>
      <c r="DH962" s="3"/>
      <c r="DI962" s="3"/>
      <c r="DJ962" s="3"/>
      <c r="DK962" s="3"/>
      <c r="DL962" s="3"/>
      <c r="DM962" s="3"/>
      <c r="DN962" s="3"/>
      <c r="DO962" s="3"/>
      <c r="DP962" s="3"/>
      <c r="DQ962" s="3"/>
      <c r="DR962" s="3"/>
      <c r="DS962" s="3"/>
      <c r="DT962" s="3"/>
      <c r="DU962" s="3"/>
      <c r="DV962" s="3"/>
      <c r="DW962" s="3"/>
      <c r="DX962" s="3"/>
      <c r="DY962" s="3"/>
      <c r="DZ962" s="3"/>
      <c r="EA962" s="3"/>
      <c r="EB962" s="3"/>
      <c r="EC962" s="3"/>
      <c r="ED962" s="2"/>
      <c r="EE962" s="185"/>
      <c r="EF962" s="185"/>
      <c r="EG962" s="185"/>
      <c r="EH962" s="185"/>
      <c r="EI962" s="185"/>
      <c r="EJ962" s="185"/>
      <c r="EK962" s="185"/>
      <c r="EL962" s="3"/>
      <c r="EM962" s="3"/>
      <c r="EN962" s="3"/>
      <c r="EO962" s="3"/>
      <c r="EP962" s="3"/>
      <c r="EQ962" s="3"/>
      <c r="ER962" s="3"/>
      <c r="ES962" s="3"/>
      <c r="ET962" s="3"/>
      <c r="EU962" s="3"/>
      <c r="EV962" s="3"/>
      <c r="EW962" s="3"/>
      <c r="EX962" s="3"/>
      <c r="EY962" s="3"/>
      <c r="EZ962" s="3"/>
      <c r="FA962" s="3"/>
      <c r="FB962" s="3"/>
      <c r="FC962" s="3"/>
      <c r="FD962" s="3"/>
      <c r="FE962" s="3"/>
      <c r="FF962" s="3"/>
      <c r="FG962" s="3"/>
      <c r="FH962" s="3"/>
      <c r="FI962" s="3"/>
      <c r="FJ962" s="3"/>
      <c r="FK962" s="3"/>
      <c r="FL962" s="3"/>
      <c r="FM962" s="3"/>
      <c r="FN962" s="3"/>
      <c r="FO962" s="3"/>
      <c r="FP962" s="3"/>
      <c r="FQ962" s="3"/>
      <c r="FR962" s="3"/>
      <c r="FS962" s="3"/>
      <c r="FT962" s="3"/>
      <c r="FU962" s="3"/>
      <c r="FV962" s="3"/>
      <c r="FW962" s="3"/>
      <c r="FX962" s="3"/>
      <c r="FY962" s="3"/>
      <c r="FZ962" s="3"/>
      <c r="GA962" s="3"/>
      <c r="GB962" s="3"/>
      <c r="GC962" s="3"/>
      <c r="GD962" s="3"/>
      <c r="GE962" s="3"/>
      <c r="GF962" s="3"/>
      <c r="GG962" s="3"/>
      <c r="GH962" s="3"/>
      <c r="GI962" s="3"/>
      <c r="GJ962" s="3"/>
      <c r="GK962" s="3"/>
      <c r="GL962" s="3"/>
      <c r="GM962" s="3"/>
      <c r="GN962" s="3"/>
      <c r="GO962" s="3"/>
      <c r="GP962" s="3"/>
      <c r="GQ962" s="3"/>
      <c r="GR962" s="3"/>
      <c r="GS962" s="3"/>
      <c r="GT962" s="3"/>
      <c r="GU962" s="3"/>
      <c r="GV962" s="3"/>
      <c r="GW962" s="3"/>
      <c r="GX962" s="3"/>
      <c r="GY962" s="3"/>
      <c r="GZ962" s="3"/>
      <c r="HA962" s="3"/>
      <c r="HB962" s="3"/>
      <c r="HC962" s="3"/>
      <c r="HD962" s="3"/>
      <c r="HE962" s="3"/>
      <c r="HF962" s="3"/>
      <c r="HG962" s="3"/>
      <c r="HH962" s="3"/>
      <c r="HI962" s="3"/>
      <c r="HJ962" s="3"/>
      <c r="HK962" s="185" t="s">
        <v>1726</v>
      </c>
      <c r="HL962" s="185" t="s">
        <v>1546</v>
      </c>
      <c r="HM962" s="127" t="s">
        <v>480</v>
      </c>
      <c r="HN962" s="127" t="s">
        <v>480</v>
      </c>
      <c r="HO962" s="127" t="s">
        <v>480</v>
      </c>
      <c r="HP962" s="127" t="s">
        <v>480</v>
      </c>
      <c r="HQ962" s="185"/>
      <c r="HR962" s="185"/>
      <c r="HS962" s="206"/>
      <c r="HT962" s="185"/>
      <c r="HU962" s="185"/>
      <c r="HV962" s="185"/>
      <c r="HW962" s="185"/>
      <c r="HX962" s="215"/>
      <c r="HY962" s="185"/>
      <c r="HZ962" s="185"/>
      <c r="IA962" s="185"/>
      <c r="IB962" s="185"/>
      <c r="IC962" s="185"/>
      <c r="ID962" s="185"/>
      <c r="IE962" s="185"/>
      <c r="IF962" s="185"/>
      <c r="IG962" s="185"/>
      <c r="IH962" s="185" t="s">
        <v>1720</v>
      </c>
      <c r="II962" s="148" t="s">
        <v>1714</v>
      </c>
      <c r="IJ962" s="148" t="s">
        <v>542</v>
      </c>
      <c r="IK962" s="210" t="s">
        <v>1715</v>
      </c>
      <c r="IL962" s="185">
        <v>2020</v>
      </c>
      <c r="IM962" s="185"/>
      <c r="IN962" s="185" t="s">
        <v>1716</v>
      </c>
      <c r="IO962" s="185"/>
      <c r="IP962" s="185"/>
      <c r="IQ962" s="185"/>
      <c r="IR962" s="185"/>
      <c r="IS962" s="185"/>
      <c r="IT962" s="185"/>
      <c r="IU962" s="185"/>
      <c r="IV962" s="185"/>
      <c r="IW962" s="185"/>
      <c r="IX962" s="2"/>
      <c r="IY962" s="2"/>
      <c r="IZ962" s="2"/>
      <c r="JA962" s="2"/>
      <c r="JB962" s="2"/>
      <c r="JC962" s="2"/>
      <c r="JD962" s="2"/>
      <c r="JE962" s="2"/>
      <c r="JF962" s="2"/>
      <c r="JG962" s="2"/>
      <c r="JH962" s="2"/>
      <c r="JI962" s="2"/>
      <c r="JJ962" s="2" t="s">
        <v>1727</v>
      </c>
      <c r="JK962" s="2" t="s">
        <v>682</v>
      </c>
      <c r="JL962" s="151"/>
      <c r="JM962" s="140"/>
      <c r="JN962" s="206"/>
      <c r="JO962" s="185"/>
      <c r="JP962" s="206"/>
      <c r="JQ962" s="185"/>
      <c r="JR962" s="185"/>
      <c r="JS962" s="185"/>
      <c r="JT962" s="185"/>
      <c r="JU962" s="185"/>
      <c r="JV962" s="140"/>
      <c r="JW962" s="140"/>
      <c r="JX962" s="206"/>
      <c r="JY962" s="185"/>
      <c r="JZ962" s="206"/>
      <c r="KA962" s="185"/>
      <c r="KB962" s="185"/>
      <c r="KC962" s="185"/>
      <c r="KD962" s="206"/>
      <c r="KE962" s="206"/>
      <c r="KF962" s="148"/>
      <c r="KG962" s="216"/>
      <c r="KH962" s="185"/>
      <c r="KI962" s="185"/>
      <c r="KJ962" s="185"/>
      <c r="KK962" s="185"/>
      <c r="KL962" s="206"/>
      <c r="KM962" s="185"/>
      <c r="KN962" s="148"/>
      <c r="KO962" s="216"/>
      <c r="KP962" s="185"/>
      <c r="KQ962" s="185"/>
      <c r="KR962" s="148"/>
      <c r="KS962" s="216"/>
      <c r="KT962" s="185"/>
      <c r="KU962" s="185"/>
      <c r="KV962" s="185"/>
      <c r="KW962" s="3"/>
      <c r="KX962" s="3"/>
      <c r="KY962" s="3"/>
      <c r="KZ962" s="3"/>
      <c r="LA962" s="206"/>
      <c r="LB962" s="206"/>
      <c r="LC962" s="206"/>
      <c r="LD962" s="206"/>
      <c r="LE962" s="206"/>
      <c r="LF962" s="206"/>
      <c r="LG962" s="206"/>
      <c r="LH962" s="206"/>
      <c r="LI962" s="206"/>
      <c r="LJ962" s="206"/>
      <c r="LK962" s="206"/>
      <c r="LL962" s="206"/>
      <c r="LM962" s="206"/>
      <c r="LN962" s="185"/>
      <c r="LO962" s="185"/>
      <c r="LP962" s="185"/>
      <c r="LQ962" s="185"/>
      <c r="LR962" s="185"/>
      <c r="LS962" s="185"/>
      <c r="LT962" s="185"/>
      <c r="LU962" s="185"/>
      <c r="LW962" s="2"/>
      <c r="LX962" s="2"/>
      <c r="LY962" s="2"/>
      <c r="LZ962" s="2"/>
      <c r="MA962" s="2"/>
      <c r="ME962" s="2"/>
      <c r="MF962" s="185"/>
      <c r="MG962" s="185"/>
      <c r="MH962" s="185"/>
      <c r="MI962" s="2"/>
      <c r="MJ962" s="2"/>
      <c r="MK962" s="2"/>
      <c r="ML962" s="2"/>
      <c r="MM962" s="2"/>
      <c r="MN962" s="2"/>
      <c r="MO962" s="2"/>
      <c r="MP962" s="2"/>
      <c r="MQ962" s="185"/>
      <c r="MR962" s="185"/>
      <c r="MS962" s="185"/>
      <c r="MT962" s="185"/>
      <c r="MU962" s="185"/>
      <c r="MV962" s="185"/>
      <c r="MW962" s="185"/>
      <c r="MX962" s="185"/>
      <c r="MY962" s="211" t="s">
        <v>1710</v>
      </c>
      <c r="MZ962" s="212">
        <v>16.25</v>
      </c>
      <c r="NI962" s="185"/>
      <c r="NJ962" s="185" t="s">
        <v>1728</v>
      </c>
      <c r="NK962" s="185" t="s">
        <v>1761</v>
      </c>
      <c r="NL962" s="185" t="s">
        <v>1762</v>
      </c>
      <c r="NM962" s="213" t="s">
        <v>1731</v>
      </c>
      <c r="NN962" s="185">
        <v>0</v>
      </c>
      <c r="NO962" s="185">
        <v>20</v>
      </c>
      <c r="NP962" s="185"/>
      <c r="NQ962" s="185"/>
      <c r="NR962" s="185"/>
      <c r="NS962" s="185"/>
      <c r="NT962" s="185"/>
      <c r="NU962" s="185"/>
      <c r="NV962" s="185" t="s">
        <v>518</v>
      </c>
      <c r="NW962" s="185">
        <v>25.53</v>
      </c>
      <c r="NX962" s="185" t="s">
        <v>480</v>
      </c>
      <c r="NY962" s="147"/>
      <c r="NZ962" s="147"/>
      <c r="OA962" s="133"/>
      <c r="OB962" s="185">
        <v>3</v>
      </c>
      <c r="OD962" s="185"/>
      <c r="OE962" s="185"/>
      <c r="OF962" s="185"/>
      <c r="OG962" s="185"/>
      <c r="OH962" s="185"/>
      <c r="OI962" s="185"/>
      <c r="OJ962" s="185"/>
      <c r="OK962" s="185"/>
      <c r="OL962" s="185"/>
      <c r="OM962" s="185"/>
      <c r="ON962" s="185"/>
      <c r="OO962" s="185"/>
      <c r="OP962" s="185"/>
      <c r="OQ962" s="185"/>
      <c r="OR962" s="185"/>
      <c r="OS962" s="185"/>
      <c r="OT962" s="185"/>
      <c r="OU962" t="s">
        <v>1763</v>
      </c>
      <c r="OV962" s="185" t="s">
        <v>518</v>
      </c>
      <c r="OX962">
        <v>2020</v>
      </c>
      <c r="OY962">
        <v>2021</v>
      </c>
      <c r="PB962" t="s">
        <v>522</v>
      </c>
      <c r="PC962" s="50">
        <v>46148</v>
      </c>
    </row>
    <row r="963" spans="1:419" ht="17.25" thickBot="1">
      <c r="A963" s="205" t="s">
        <v>861</v>
      </c>
      <c r="B963" s="2" t="s">
        <v>1700</v>
      </c>
      <c r="C963" s="2" t="s">
        <v>1387</v>
      </c>
      <c r="D963" s="88" t="s">
        <v>668</v>
      </c>
      <c r="E963" s="2" t="s">
        <v>1701</v>
      </c>
      <c r="F963" s="88" t="s">
        <v>1702</v>
      </c>
      <c r="G963" s="2" t="s">
        <v>475</v>
      </c>
      <c r="H963" s="2" t="s">
        <v>476</v>
      </c>
      <c r="I963" s="88">
        <v>-11.474220000000001</v>
      </c>
      <c r="J963" s="88" t="s">
        <v>1703</v>
      </c>
      <c r="K963" s="88">
        <v>1000</v>
      </c>
      <c r="L963" s="2"/>
      <c r="M963" s="88"/>
      <c r="N963" s="2"/>
      <c r="O963" s="2"/>
      <c r="P963" s="2"/>
      <c r="Q963" s="2"/>
      <c r="R963" s="2"/>
      <c r="S963" s="2"/>
      <c r="T963" s="2"/>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c r="AV963" s="2" t="s">
        <v>1704</v>
      </c>
      <c r="AW963" s="2">
        <v>28</v>
      </c>
      <c r="AX963" s="2" t="s">
        <v>480</v>
      </c>
      <c r="AY963" s="2">
        <v>2</v>
      </c>
      <c r="AZ963" s="185" t="s">
        <v>1705</v>
      </c>
      <c r="BA963" s="185">
        <v>2020</v>
      </c>
      <c r="BB963" s="185">
        <v>2022</v>
      </c>
      <c r="BC963" s="185"/>
      <c r="BD963" s="185" t="s">
        <v>1744</v>
      </c>
      <c r="BE963" s="185" t="s">
        <v>611</v>
      </c>
      <c r="BF963" s="185" t="s">
        <v>484</v>
      </c>
      <c r="BG963" s="185" t="s">
        <v>1707</v>
      </c>
      <c r="BH963" s="185" t="s">
        <v>1708</v>
      </c>
      <c r="BI963" s="206" t="s">
        <v>1709</v>
      </c>
      <c r="BJ963" s="207">
        <v>4.4000000000000004</v>
      </c>
      <c r="BK963" s="185" t="s">
        <v>537</v>
      </c>
      <c r="BL963" s="185" t="s">
        <v>538</v>
      </c>
      <c r="BM963" s="185" t="s">
        <v>1713</v>
      </c>
      <c r="BN963" s="206" t="s">
        <v>1709</v>
      </c>
      <c r="BO963" s="207">
        <v>13.3</v>
      </c>
      <c r="BP963" s="185"/>
      <c r="BQ963" s="185"/>
      <c r="BR963" s="185"/>
      <c r="BS963" s="185"/>
      <c r="BT963" s="185"/>
      <c r="BU963" s="185"/>
      <c r="BV963" s="3"/>
      <c r="BW963" s="3"/>
      <c r="BX963" s="3"/>
      <c r="BY963" s="3"/>
      <c r="BZ963" s="3"/>
      <c r="CA963" s="3"/>
      <c r="CB963" s="3"/>
      <c r="CC963" s="3"/>
      <c r="CD963" s="3"/>
      <c r="CE963" s="3"/>
      <c r="CF963" s="3"/>
      <c r="CG963" s="3"/>
      <c r="CH963" s="3"/>
      <c r="CI963" s="3"/>
      <c r="CJ963" s="3"/>
      <c r="CK963" s="3"/>
      <c r="CL963" s="3"/>
      <c r="CM963" s="3"/>
      <c r="CN963" s="3"/>
      <c r="CO963" s="3"/>
      <c r="CP963" s="3"/>
      <c r="CQ963" s="3"/>
      <c r="CR963" s="3"/>
      <c r="CS963" s="3"/>
      <c r="CT963" s="3"/>
      <c r="CU963" s="3"/>
      <c r="CV963" s="3"/>
      <c r="CW963" s="3"/>
      <c r="CX963" s="3"/>
      <c r="CY963" s="3"/>
      <c r="CZ963" s="3"/>
      <c r="DA963" s="3"/>
      <c r="DB963" s="3"/>
      <c r="DC963" s="3"/>
      <c r="DD963" s="3"/>
      <c r="DE963" s="3"/>
      <c r="DF963" s="3"/>
      <c r="DG963" s="3"/>
      <c r="DH963" s="3"/>
      <c r="DI963" s="3"/>
      <c r="DJ963" s="3"/>
      <c r="DK963" s="3"/>
      <c r="DL963" s="3"/>
      <c r="DM963" s="3"/>
      <c r="DN963" s="3"/>
      <c r="DO963" s="3"/>
      <c r="DP963" s="3"/>
      <c r="DQ963" s="3"/>
      <c r="DR963" s="3"/>
      <c r="DS963" s="3"/>
      <c r="DT963" s="3"/>
      <c r="DU963" s="3"/>
      <c r="DV963" s="3"/>
      <c r="DW963" s="3"/>
      <c r="DX963" s="3"/>
      <c r="DY963" s="3"/>
      <c r="DZ963" s="3"/>
      <c r="EA963" s="3"/>
      <c r="EB963" s="3"/>
      <c r="EC963" s="3"/>
      <c r="ED963" s="2"/>
      <c r="EE963" s="185"/>
      <c r="EF963" s="185"/>
      <c r="EG963" s="185"/>
      <c r="EH963" s="185"/>
      <c r="EI963" s="185"/>
      <c r="EJ963" s="185"/>
      <c r="EK963" s="185"/>
      <c r="EL963" s="3"/>
      <c r="EM963" s="3"/>
      <c r="EN963" s="3"/>
      <c r="EO963" s="3"/>
      <c r="EP963" s="3"/>
      <c r="EQ963" s="3"/>
      <c r="ER963" s="3"/>
      <c r="ES963" s="3"/>
      <c r="ET963" s="3"/>
      <c r="EU963" s="3"/>
      <c r="EV963" s="3"/>
      <c r="EW963" s="3"/>
      <c r="EX963" s="3"/>
      <c r="EY963" s="3"/>
      <c r="EZ963" s="3"/>
      <c r="FA963" s="3"/>
      <c r="FB963" s="3"/>
      <c r="FC963" s="3"/>
      <c r="FD963" s="3"/>
      <c r="FE963" s="3"/>
      <c r="FF963" s="3"/>
      <c r="FG963" s="3"/>
      <c r="FH963" s="3"/>
      <c r="FI963" s="3"/>
      <c r="FJ963" s="3"/>
      <c r="FK963" s="3"/>
      <c r="FL963" s="3"/>
      <c r="FM963" s="3"/>
      <c r="FN963" s="3"/>
      <c r="FO963" s="3"/>
      <c r="FP963" s="3"/>
      <c r="FQ963" s="3"/>
      <c r="FR963" s="3"/>
      <c r="FS963" s="3"/>
      <c r="FT963" s="3"/>
      <c r="FU963" s="3"/>
      <c r="FV963" s="3"/>
      <c r="FW963" s="3"/>
      <c r="FX963" s="3"/>
      <c r="FY963" s="3"/>
      <c r="FZ963" s="3"/>
      <c r="GA963" s="3"/>
      <c r="GB963" s="3"/>
      <c r="GC963" s="3"/>
      <c r="GD963" s="3"/>
      <c r="GE963" s="3"/>
      <c r="GF963" s="3"/>
      <c r="GG963" s="3"/>
      <c r="GH963" s="3"/>
      <c r="GI963" s="3"/>
      <c r="GJ963" s="3"/>
      <c r="GK963" s="3"/>
      <c r="GL963" s="3"/>
      <c r="GM963" s="3"/>
      <c r="GN963" s="3"/>
      <c r="GO963" s="3"/>
      <c r="GP963" s="3"/>
      <c r="GQ963" s="3"/>
      <c r="GR963" s="3"/>
      <c r="GS963" s="3"/>
      <c r="GT963" s="3"/>
      <c r="GU963" s="3"/>
      <c r="GV963" s="3"/>
      <c r="GW963" s="3"/>
      <c r="GX963" s="3"/>
      <c r="GY963" s="3"/>
      <c r="GZ963" s="3"/>
      <c r="HA963" s="3"/>
      <c r="HB963" s="3"/>
      <c r="HC963" s="3"/>
      <c r="HD963" s="3"/>
      <c r="HE963" s="3"/>
      <c r="HF963" s="3"/>
      <c r="HG963" s="3"/>
      <c r="HH963" s="3"/>
      <c r="HI963" s="3"/>
      <c r="HJ963" s="3"/>
      <c r="HK963" s="185" t="s">
        <v>1726</v>
      </c>
      <c r="HL963" s="185" t="s">
        <v>1546</v>
      </c>
      <c r="HM963" s="127" t="s">
        <v>480</v>
      </c>
      <c r="HN963" s="127" t="s">
        <v>480</v>
      </c>
      <c r="HO963" s="127" t="s">
        <v>480</v>
      </c>
      <c r="HP963" s="127" t="s">
        <v>480</v>
      </c>
      <c r="HQ963" s="185"/>
      <c r="HR963" s="185"/>
      <c r="HS963" s="206"/>
      <c r="HT963" s="185"/>
      <c r="HU963" s="185"/>
      <c r="HV963" s="185"/>
      <c r="HW963" s="185"/>
      <c r="HX963" s="215"/>
      <c r="HY963" s="185"/>
      <c r="HZ963" s="185"/>
      <c r="IA963" s="185"/>
      <c r="IB963" s="185"/>
      <c r="IC963" s="185"/>
      <c r="ID963" s="185"/>
      <c r="IE963" s="185"/>
      <c r="IF963" s="185"/>
      <c r="IG963" s="185"/>
      <c r="IH963" s="185" t="s">
        <v>1712</v>
      </c>
      <c r="II963" s="148" t="s">
        <v>1714</v>
      </c>
      <c r="IJ963" s="148" t="s">
        <v>542</v>
      </c>
      <c r="IK963" s="210" t="s">
        <v>1715</v>
      </c>
      <c r="IL963" s="185">
        <v>2020</v>
      </c>
      <c r="IM963" s="185"/>
      <c r="IN963" s="185" t="s">
        <v>1716</v>
      </c>
      <c r="IO963" s="185"/>
      <c r="IP963" s="185"/>
      <c r="IQ963" s="185"/>
      <c r="IR963" s="185"/>
      <c r="IS963" s="185"/>
      <c r="IT963" s="185"/>
      <c r="IU963" s="185"/>
      <c r="IV963" s="185"/>
      <c r="IW963" s="185"/>
      <c r="IX963" s="2"/>
      <c r="IY963" s="2"/>
      <c r="IZ963" s="2"/>
      <c r="JA963" s="2"/>
      <c r="JB963" s="2"/>
      <c r="JC963" s="2"/>
      <c r="JD963" s="2"/>
      <c r="JE963" s="2"/>
      <c r="JF963" s="2"/>
      <c r="JG963" s="2"/>
      <c r="JH963" s="2"/>
      <c r="JI963" s="2"/>
      <c r="JJ963" s="2" t="s">
        <v>1727</v>
      </c>
      <c r="JK963" s="2" t="s">
        <v>682</v>
      </c>
      <c r="JL963" s="151"/>
      <c r="JM963" s="140"/>
      <c r="JN963" s="206"/>
      <c r="JO963" s="185"/>
      <c r="JP963" s="206"/>
      <c r="JQ963" s="185"/>
      <c r="JR963" s="185"/>
      <c r="JS963" s="185"/>
      <c r="JT963" s="185"/>
      <c r="JU963" s="185"/>
      <c r="JV963" s="140"/>
      <c r="JW963" s="140"/>
      <c r="JX963" s="206"/>
      <c r="JY963" s="185"/>
      <c r="JZ963" s="206"/>
      <c r="KA963" s="185"/>
      <c r="KB963" s="185"/>
      <c r="KC963" s="185"/>
      <c r="KD963" s="206"/>
      <c r="KE963" s="206"/>
      <c r="KF963" s="148"/>
      <c r="KG963" s="216"/>
      <c r="KH963" s="185"/>
      <c r="KI963" s="185"/>
      <c r="KJ963" s="185"/>
      <c r="KK963" s="185"/>
      <c r="KL963" s="206"/>
      <c r="KM963" s="185"/>
      <c r="KN963" s="148"/>
      <c r="KO963" s="216"/>
      <c r="KP963" s="185"/>
      <c r="KQ963" s="185"/>
      <c r="KR963" s="148"/>
      <c r="KS963" s="216"/>
      <c r="KT963" s="185"/>
      <c r="KU963" s="185"/>
      <c r="KV963" s="185"/>
      <c r="KW963" s="3"/>
      <c r="KX963" s="3"/>
      <c r="KY963" s="3"/>
      <c r="KZ963" s="3"/>
      <c r="LA963" s="206"/>
      <c r="LB963" s="206"/>
      <c r="LC963" s="206"/>
      <c r="LD963" s="206"/>
      <c r="LE963" s="206"/>
      <c r="LF963" s="206"/>
      <c r="LG963" s="206"/>
      <c r="LH963" s="206"/>
      <c r="LI963" s="206"/>
      <c r="LJ963" s="206"/>
      <c r="LK963" s="206"/>
      <c r="LL963" s="206"/>
      <c r="LM963" s="206"/>
      <c r="LN963" s="185"/>
      <c r="LO963" s="185"/>
      <c r="LP963" s="185"/>
      <c r="LQ963" s="185"/>
      <c r="LR963" s="185"/>
      <c r="LS963" s="185"/>
      <c r="LT963" s="185"/>
      <c r="LU963" s="185"/>
      <c r="LW963" s="2"/>
      <c r="LX963" s="2"/>
      <c r="LY963" s="2"/>
      <c r="LZ963" s="2"/>
      <c r="MA963" s="2"/>
      <c r="ME963" s="2"/>
      <c r="MF963" s="185"/>
      <c r="MG963" s="185"/>
      <c r="MH963" s="185"/>
      <c r="MI963" s="2"/>
      <c r="MJ963" s="2"/>
      <c r="MK963" s="2"/>
      <c r="ML963" s="2"/>
      <c r="MM963" s="2"/>
      <c r="MN963" s="2"/>
      <c r="MO963" s="2"/>
      <c r="MP963" s="2"/>
      <c r="MQ963" s="185"/>
      <c r="MR963" s="185"/>
      <c r="MS963" s="185"/>
      <c r="MT963" s="185"/>
      <c r="MU963" s="185"/>
      <c r="MV963" s="185"/>
      <c r="MW963" s="185"/>
      <c r="MX963" s="185"/>
      <c r="MY963" s="211" t="s">
        <v>1710</v>
      </c>
      <c r="MZ963" s="212">
        <v>16.25</v>
      </c>
      <c r="NI963" s="185"/>
      <c r="NJ963" s="185" t="s">
        <v>1728</v>
      </c>
      <c r="NK963" s="185" t="s">
        <v>1761</v>
      </c>
      <c r="NL963" s="185" t="s">
        <v>1762</v>
      </c>
      <c r="NM963" s="213" t="s">
        <v>1731</v>
      </c>
      <c r="NN963" s="185">
        <v>0</v>
      </c>
      <c r="NO963" s="185">
        <v>20</v>
      </c>
      <c r="NP963" s="185"/>
      <c r="NQ963" s="185"/>
      <c r="NR963" s="185"/>
      <c r="NS963" s="185"/>
      <c r="NT963" s="185"/>
      <c r="NU963" s="185"/>
      <c r="NV963" s="185" t="s">
        <v>518</v>
      </c>
      <c r="NW963" s="185">
        <v>27.44</v>
      </c>
      <c r="NX963" s="185" t="s">
        <v>480</v>
      </c>
      <c r="NY963" s="147"/>
      <c r="NZ963" s="147"/>
      <c r="OA963" s="133"/>
      <c r="OB963" s="185">
        <v>3</v>
      </c>
      <c r="OC963" s="185"/>
      <c r="OD963" s="185"/>
      <c r="OE963" s="185"/>
      <c r="OF963" s="185"/>
      <c r="OG963" s="185"/>
      <c r="OH963" s="185"/>
      <c r="OI963" s="185"/>
      <c r="OJ963" s="185"/>
      <c r="OK963" s="185"/>
      <c r="OL963" s="185"/>
      <c r="OM963" s="185"/>
      <c r="ON963" s="185"/>
      <c r="OO963" s="185"/>
      <c r="OP963" s="185"/>
      <c r="OQ963" s="185"/>
      <c r="OR963" s="185"/>
      <c r="OS963" s="185"/>
      <c r="OT963" s="185"/>
      <c r="OU963" t="s">
        <v>1763</v>
      </c>
      <c r="OV963" s="185" t="s">
        <v>518</v>
      </c>
      <c r="OX963">
        <v>2020</v>
      </c>
      <c r="OY963">
        <v>2021</v>
      </c>
      <c r="PB963" t="s">
        <v>522</v>
      </c>
      <c r="PC963" s="50">
        <v>46148</v>
      </c>
    </row>
    <row r="964" spans="1:419" ht="17.25" thickBot="1">
      <c r="A964" s="205" t="s">
        <v>861</v>
      </c>
      <c r="B964" s="2" t="s">
        <v>1700</v>
      </c>
      <c r="C964" s="2" t="s">
        <v>1387</v>
      </c>
      <c r="D964" s="88" t="s">
        <v>668</v>
      </c>
      <c r="E964" s="2" t="s">
        <v>1701</v>
      </c>
      <c r="F964" s="88" t="s">
        <v>1702</v>
      </c>
      <c r="G964" s="2" t="s">
        <v>475</v>
      </c>
      <c r="H964" s="2" t="s">
        <v>476</v>
      </c>
      <c r="I964" s="88">
        <v>-11.474220000000001</v>
      </c>
      <c r="J964" s="88" t="s">
        <v>1703</v>
      </c>
      <c r="K964" s="88">
        <v>1000</v>
      </c>
      <c r="L964" s="2"/>
      <c r="M964" s="88"/>
      <c r="N964" s="2"/>
      <c r="O964" s="2"/>
      <c r="P964" s="2"/>
      <c r="Q964" s="2"/>
      <c r="R964" s="2"/>
      <c r="S964" s="2"/>
      <c r="T964" s="2"/>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c r="AV964" s="2" t="s">
        <v>1704</v>
      </c>
      <c r="AW964" s="2">
        <v>28</v>
      </c>
      <c r="AX964" s="2" t="s">
        <v>480</v>
      </c>
      <c r="AY964" s="2">
        <v>2</v>
      </c>
      <c r="AZ964" s="185" t="s">
        <v>1705</v>
      </c>
      <c r="BA964" s="185">
        <v>2020</v>
      </c>
      <c r="BB964" s="185">
        <v>2022</v>
      </c>
      <c r="BC964" s="185"/>
      <c r="BD964" s="185" t="s">
        <v>1745</v>
      </c>
      <c r="BE964" s="185" t="s">
        <v>1746</v>
      </c>
      <c r="BF964" s="185" t="s">
        <v>484</v>
      </c>
      <c r="BG964" s="185" t="s">
        <v>485</v>
      </c>
      <c r="BH964" s="185" t="s">
        <v>1719</v>
      </c>
      <c r="BI964" s="206" t="s">
        <v>1709</v>
      </c>
      <c r="BJ964" s="207">
        <v>4.4000000000000004</v>
      </c>
      <c r="BK964" s="185"/>
      <c r="BL964" s="185"/>
      <c r="BM964" s="185"/>
      <c r="BN964" s="185"/>
      <c r="BO964" s="185"/>
      <c r="BP964" s="185"/>
      <c r="BQ964" s="185"/>
      <c r="BR964" s="185"/>
      <c r="BS964" s="185"/>
      <c r="BT964" s="185"/>
      <c r="BU964" s="185"/>
      <c r="BV964" s="3"/>
      <c r="BW964" s="3"/>
      <c r="BX964" s="3"/>
      <c r="BY964" s="3"/>
      <c r="BZ964" s="3"/>
      <c r="CA964" s="3"/>
      <c r="CB964" s="3"/>
      <c r="CC964" s="3"/>
      <c r="CD964" s="3"/>
      <c r="CE964" s="3"/>
      <c r="CF964" s="3"/>
      <c r="CG964" s="3"/>
      <c r="CH964" s="3"/>
      <c r="CI964" s="3"/>
      <c r="CJ964" s="3"/>
      <c r="CK964" s="3"/>
      <c r="CL964" s="3"/>
      <c r="CM964" s="3"/>
      <c r="CN964" s="3"/>
      <c r="CO964" s="3"/>
      <c r="CP964" s="3"/>
      <c r="CQ964" s="3"/>
      <c r="CR964" s="3"/>
      <c r="CS964" s="3"/>
      <c r="CT964" s="3"/>
      <c r="CU964" s="3"/>
      <c r="CV964" s="3"/>
      <c r="CW964" s="3"/>
      <c r="CX964" s="3"/>
      <c r="CY964" s="3"/>
      <c r="CZ964" s="3"/>
      <c r="DA964" s="3"/>
      <c r="DB964" s="3"/>
      <c r="DC964" s="3"/>
      <c r="DD964" s="3"/>
      <c r="DE964" s="3"/>
      <c r="DF964" s="3"/>
      <c r="DG964" s="3"/>
      <c r="DH964" s="3"/>
      <c r="DI964" s="3"/>
      <c r="DJ964" s="3"/>
      <c r="DK964" s="3"/>
      <c r="DL964" s="3"/>
      <c r="DM964" s="3"/>
      <c r="DN964" s="3"/>
      <c r="DO964" s="3"/>
      <c r="DP964" s="3"/>
      <c r="DQ964" s="3"/>
      <c r="DR964" s="3"/>
      <c r="DS964" s="3"/>
      <c r="DT964" s="3"/>
      <c r="DU964" s="3"/>
      <c r="DV964" s="3"/>
      <c r="DW964" s="3"/>
      <c r="DX964" s="3"/>
      <c r="DY964" s="3"/>
      <c r="DZ964" s="3"/>
      <c r="EA964" s="3"/>
      <c r="EB964" s="3"/>
      <c r="EC964" s="3"/>
      <c r="ED964" s="2"/>
      <c r="EE964" s="185"/>
      <c r="EF964" s="185"/>
      <c r="EG964" s="185"/>
      <c r="EH964" s="185"/>
      <c r="EI964" s="185"/>
      <c r="EJ964" s="185"/>
      <c r="EK964" s="185"/>
      <c r="EL964" s="3"/>
      <c r="EM964" s="3"/>
      <c r="EN964" s="3"/>
      <c r="EO964" s="3"/>
      <c r="EP964" s="3"/>
      <c r="EQ964" s="3"/>
      <c r="ER964" s="3"/>
      <c r="ES964" s="3"/>
      <c r="ET964" s="3"/>
      <c r="EU964" s="3"/>
      <c r="EV964" s="3"/>
      <c r="EW964" s="3"/>
      <c r="EX964" s="3"/>
      <c r="EY964" s="3"/>
      <c r="EZ964" s="3"/>
      <c r="FA964" s="3"/>
      <c r="FB964" s="3"/>
      <c r="FC964" s="3"/>
      <c r="FD964" s="3"/>
      <c r="FE964" s="3"/>
      <c r="FF964" s="3"/>
      <c r="FG964" s="3"/>
      <c r="FH964" s="3"/>
      <c r="FI964" s="3"/>
      <c r="FJ964" s="3"/>
      <c r="FK964" s="3"/>
      <c r="FL964" s="3"/>
      <c r="FM964" s="3"/>
      <c r="FN964" s="3"/>
      <c r="FO964" s="3"/>
      <c r="FP964" s="3"/>
      <c r="FQ964" s="3"/>
      <c r="FR964" s="3"/>
      <c r="FS964" s="3"/>
      <c r="FT964" s="3"/>
      <c r="FU964" s="3"/>
      <c r="FV964" s="3"/>
      <c r="FW964" s="3"/>
      <c r="FX964" s="3"/>
      <c r="FY964" s="3"/>
      <c r="FZ964" s="3"/>
      <c r="GA964" s="3"/>
      <c r="GB964" s="3"/>
      <c r="GC964" s="3"/>
      <c r="GD964" s="3"/>
      <c r="GE964" s="3"/>
      <c r="GF964" s="3"/>
      <c r="GG964" s="3"/>
      <c r="GH964" s="3"/>
      <c r="GI964" s="3"/>
      <c r="GJ964" s="3"/>
      <c r="GK964" s="3"/>
      <c r="GL964" s="3"/>
      <c r="GM964" s="3"/>
      <c r="GN964" s="3"/>
      <c r="GO964" s="3"/>
      <c r="GP964" s="3"/>
      <c r="GQ964" s="3"/>
      <c r="GR964" s="3"/>
      <c r="GS964" s="3"/>
      <c r="GT964" s="3"/>
      <c r="GU964" s="3"/>
      <c r="GV964" s="3"/>
      <c r="GW964" s="3"/>
      <c r="GX964" s="3"/>
      <c r="GY964" s="3"/>
      <c r="GZ964" s="3"/>
      <c r="HA964" s="3"/>
      <c r="HB964" s="3"/>
      <c r="HC964" s="3"/>
      <c r="HD964" s="3"/>
      <c r="HE964" s="3"/>
      <c r="HF964" s="3"/>
      <c r="HG964" s="3"/>
      <c r="HH964" s="3"/>
      <c r="HI964" s="3"/>
      <c r="HJ964" s="3"/>
      <c r="HK964" s="185" t="s">
        <v>1747</v>
      </c>
      <c r="HL964" s="185" t="s">
        <v>526</v>
      </c>
      <c r="HM964" s="127" t="s">
        <v>480</v>
      </c>
      <c r="HN964" s="127" t="s">
        <v>480</v>
      </c>
      <c r="HO964" s="185" t="s">
        <v>480</v>
      </c>
      <c r="HP964" s="127" t="s">
        <v>480</v>
      </c>
      <c r="HQ964" s="185"/>
      <c r="HR964" s="185"/>
      <c r="HS964" s="206"/>
      <c r="HT964" s="185"/>
      <c r="HU964" s="185"/>
      <c r="HV964" s="185"/>
      <c r="HW964" s="185"/>
      <c r="HX964" s="215"/>
      <c r="HY964" s="185"/>
      <c r="HZ964" s="185"/>
      <c r="IA964" s="185"/>
      <c r="IB964" s="185"/>
      <c r="IC964" s="185"/>
      <c r="ID964" s="185"/>
      <c r="IE964" s="185"/>
      <c r="IF964" s="185"/>
      <c r="IG964" s="185"/>
      <c r="IH964" s="185" t="s">
        <v>1723</v>
      </c>
      <c r="II964" s="148" t="s">
        <v>492</v>
      </c>
      <c r="IJ964" s="148"/>
      <c r="IK964" s="210"/>
      <c r="IL964" s="185"/>
      <c r="IM964" s="185"/>
      <c r="IN964" s="185"/>
      <c r="IO964" s="185"/>
      <c r="IP964" s="185"/>
      <c r="IQ964" s="185"/>
      <c r="IR964" s="185"/>
      <c r="IS964" s="185"/>
      <c r="IT964" s="185"/>
      <c r="IU964" s="185"/>
      <c r="IV964" s="185"/>
      <c r="IW964" s="185"/>
      <c r="IX964" s="2"/>
      <c r="IY964" s="2"/>
      <c r="IZ964" s="2"/>
      <c r="JA964" s="2"/>
      <c r="JB964" s="2"/>
      <c r="JC964" s="2"/>
      <c r="JD964" s="2"/>
      <c r="JE964" s="2"/>
      <c r="JF964" s="2"/>
      <c r="JG964" s="2"/>
      <c r="JH964" s="2"/>
      <c r="JI964" s="2"/>
      <c r="JJ964" s="2" t="s">
        <v>1727</v>
      </c>
      <c r="JK964" s="2" t="s">
        <v>682</v>
      </c>
      <c r="JL964" s="151"/>
      <c r="JM964" s="140"/>
      <c r="JN964" s="206"/>
      <c r="JO964" s="185"/>
      <c r="JP964" s="206"/>
      <c r="JQ964" s="185"/>
      <c r="JR964" s="185"/>
      <c r="JS964" s="185"/>
      <c r="JT964" s="185"/>
      <c r="JU964" s="185"/>
      <c r="JV964" s="140"/>
      <c r="JW964" s="140"/>
      <c r="JX964" s="206"/>
      <c r="JY964" s="185"/>
      <c r="JZ964" s="206"/>
      <c r="KA964" s="185"/>
      <c r="KB964" s="185"/>
      <c r="KC964" s="185"/>
      <c r="KD964" s="206"/>
      <c r="KE964" s="206"/>
      <c r="KF964" s="148"/>
      <c r="KG964" s="216"/>
      <c r="KH964" s="185"/>
      <c r="KI964" s="185"/>
      <c r="KJ964" s="185"/>
      <c r="KK964" s="185"/>
      <c r="KL964" s="206"/>
      <c r="KM964" s="185"/>
      <c r="KN964" s="148"/>
      <c r="KO964" s="216"/>
      <c r="KP964" s="185"/>
      <c r="KQ964" s="185"/>
      <c r="KR964" s="148"/>
      <c r="KS964" s="216"/>
      <c r="KT964" s="185"/>
      <c r="KU964" s="185"/>
      <c r="KV964" s="185"/>
      <c r="KW964" s="3"/>
      <c r="KX964" s="3"/>
      <c r="KY964" s="3"/>
      <c r="KZ964" s="3"/>
      <c r="LA964" s="206"/>
      <c r="LB964" s="206"/>
      <c r="LC964" s="206"/>
      <c r="LD964" s="206"/>
      <c r="LE964" s="206"/>
      <c r="LF964" s="206"/>
      <c r="LG964" s="206"/>
      <c r="LH964" s="206"/>
      <c r="LI964" s="206"/>
      <c r="LJ964" s="206"/>
      <c r="LK964" s="206"/>
      <c r="LL964" s="206"/>
      <c r="LM964" s="206"/>
      <c r="LN964" s="185"/>
      <c r="LO964" s="185"/>
      <c r="LP964" s="185"/>
      <c r="LQ964" s="185"/>
      <c r="LR964" s="185"/>
      <c r="LS964" s="185"/>
      <c r="LT964" s="185"/>
      <c r="LU964" s="185"/>
      <c r="LW964" s="2"/>
      <c r="LX964" s="2"/>
      <c r="LY964" s="2"/>
      <c r="LZ964" s="2"/>
      <c r="MA964" s="2"/>
      <c r="ME964" s="2"/>
      <c r="MF964" s="185"/>
      <c r="MG964" s="185"/>
      <c r="MH964" s="185"/>
      <c r="MI964" s="2"/>
      <c r="MJ964" s="2"/>
      <c r="MK964" s="2"/>
      <c r="ML964" s="2"/>
      <c r="MM964" s="2"/>
      <c r="MN964" s="2"/>
      <c r="MO964" s="2"/>
      <c r="MP964" s="2"/>
      <c r="MQ964" s="185"/>
      <c r="MR964" s="185"/>
      <c r="MS964" s="185"/>
      <c r="MT964" s="185"/>
      <c r="MU964" s="185"/>
      <c r="MV964" s="185"/>
      <c r="MW964" s="185"/>
      <c r="MX964" s="185"/>
      <c r="MY964" s="211" t="s">
        <v>1710</v>
      </c>
      <c r="MZ964" s="212">
        <v>16.25</v>
      </c>
      <c r="NI964" s="185"/>
      <c r="NJ964" s="185" t="s">
        <v>1728</v>
      </c>
      <c r="NK964" s="185" t="s">
        <v>1761</v>
      </c>
      <c r="NL964" s="185" t="s">
        <v>1762</v>
      </c>
      <c r="NM964" s="213" t="s">
        <v>1731</v>
      </c>
      <c r="NN964" s="185">
        <v>0</v>
      </c>
      <c r="NO964" s="185">
        <v>20</v>
      </c>
      <c r="NP964" s="185"/>
      <c r="NQ964" s="185"/>
      <c r="NR964" s="185"/>
      <c r="NS964" s="185"/>
      <c r="NT964" s="185"/>
      <c r="NU964" s="185" t="s">
        <v>1748</v>
      </c>
      <c r="NV964" s="185" t="s">
        <v>518</v>
      </c>
      <c r="NW964" s="185">
        <v>15.2</v>
      </c>
      <c r="NX964" s="185" t="s">
        <v>480</v>
      </c>
      <c r="NY964" s="147"/>
      <c r="NZ964" s="147"/>
      <c r="OA964" s="133"/>
      <c r="OB964" s="185">
        <v>3</v>
      </c>
      <c r="OD964" s="185"/>
      <c r="OF964" s="185"/>
      <c r="OG964" s="185"/>
      <c r="OH964" s="185"/>
      <c r="OI964" s="185"/>
      <c r="OJ964" s="185"/>
      <c r="OK964" s="185"/>
      <c r="OL964" s="185"/>
      <c r="OM964" s="185"/>
      <c r="ON964" s="185"/>
      <c r="OO964" s="185"/>
      <c r="OP964" s="185"/>
      <c r="OQ964" s="185"/>
      <c r="OR964" s="185"/>
      <c r="OS964" s="185"/>
      <c r="OT964" s="185"/>
      <c r="OU964" t="s">
        <v>1763</v>
      </c>
      <c r="OV964" s="185" t="s">
        <v>518</v>
      </c>
      <c r="OX964">
        <v>2020</v>
      </c>
      <c r="OY964">
        <v>2021</v>
      </c>
      <c r="PB964" t="s">
        <v>522</v>
      </c>
      <c r="PC964" s="50">
        <v>46148</v>
      </c>
    </row>
    <row r="965" spans="1:419" ht="17.25" thickBot="1">
      <c r="A965" s="205" t="s">
        <v>861</v>
      </c>
      <c r="B965" s="2" t="s">
        <v>1700</v>
      </c>
      <c r="C965" s="2" t="s">
        <v>1387</v>
      </c>
      <c r="D965" s="88" t="s">
        <v>668</v>
      </c>
      <c r="E965" s="2" t="s">
        <v>1701</v>
      </c>
      <c r="F965" s="88" t="s">
        <v>1702</v>
      </c>
      <c r="G965" s="2" t="s">
        <v>475</v>
      </c>
      <c r="H965" s="2" t="s">
        <v>476</v>
      </c>
      <c r="I965" s="88">
        <v>-11.474220000000001</v>
      </c>
      <c r="J965" s="88" t="s">
        <v>1703</v>
      </c>
      <c r="K965" s="88">
        <v>1000</v>
      </c>
      <c r="L965" s="2"/>
      <c r="M965" s="88"/>
      <c r="N965" s="2"/>
      <c r="O965" s="2"/>
      <c r="P965" s="2"/>
      <c r="Q965" s="2"/>
      <c r="R965" s="2"/>
      <c r="S965" s="2"/>
      <c r="T965" s="2"/>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c r="AV965" s="2" t="s">
        <v>1704</v>
      </c>
      <c r="AW965" s="2">
        <v>28</v>
      </c>
      <c r="AX965" s="2" t="s">
        <v>480</v>
      </c>
      <c r="AY965" s="2">
        <v>2</v>
      </c>
      <c r="AZ965" s="185" t="s">
        <v>1705</v>
      </c>
      <c r="BA965" s="185">
        <v>2020</v>
      </c>
      <c r="BB965" s="185">
        <v>2022</v>
      </c>
      <c r="BC965" s="185"/>
      <c r="BD965" s="185" t="s">
        <v>1749</v>
      </c>
      <c r="BE965" s="185" t="s">
        <v>1750</v>
      </c>
      <c r="BF965" s="185" t="s">
        <v>484</v>
      </c>
      <c r="BG965" s="185" t="s">
        <v>485</v>
      </c>
      <c r="BH965" s="185" t="s">
        <v>1719</v>
      </c>
      <c r="BI965" s="206" t="s">
        <v>1709</v>
      </c>
      <c r="BJ965" s="207">
        <v>4.4000000000000004</v>
      </c>
      <c r="BK965" s="185"/>
      <c r="BL965" s="185"/>
      <c r="BM965" s="185"/>
      <c r="BN965" s="185"/>
      <c r="BO965" s="185"/>
      <c r="BP965" s="185"/>
      <c r="BQ965" s="185"/>
      <c r="BR965" s="185"/>
      <c r="BS965" s="185"/>
      <c r="BT965" s="185"/>
      <c r="BU965" s="185"/>
      <c r="BV965" s="3"/>
      <c r="BW965" s="3"/>
      <c r="BX965" s="3"/>
      <c r="BY965" s="3"/>
      <c r="BZ965" s="3"/>
      <c r="CA965" s="3"/>
      <c r="CB965" s="3"/>
      <c r="CC965" s="3"/>
      <c r="CD965" s="3"/>
      <c r="CE965" s="3"/>
      <c r="CF965" s="3"/>
      <c r="CG965" s="3"/>
      <c r="CH965" s="3"/>
      <c r="CI965" s="3"/>
      <c r="CJ965" s="3"/>
      <c r="CK965" s="3"/>
      <c r="CL965" s="3"/>
      <c r="CM965" s="3"/>
      <c r="CN965" s="3"/>
      <c r="CO965" s="3"/>
      <c r="CP965" s="3"/>
      <c r="CQ965" s="3"/>
      <c r="CR965" s="3"/>
      <c r="CS965" s="3"/>
      <c r="CT965" s="3"/>
      <c r="CU965" s="3"/>
      <c r="CV965" s="3"/>
      <c r="CW965" s="3"/>
      <c r="CX965" s="3"/>
      <c r="CY965" s="3"/>
      <c r="CZ965" s="3"/>
      <c r="DA965" s="3"/>
      <c r="DB965" s="3"/>
      <c r="DC965" s="3"/>
      <c r="DD965" s="3"/>
      <c r="DE965" s="3"/>
      <c r="DF965" s="3"/>
      <c r="DG965" s="3"/>
      <c r="DH965" s="3"/>
      <c r="DI965" s="3"/>
      <c r="DJ965" s="3"/>
      <c r="DK965" s="3"/>
      <c r="DL965" s="3"/>
      <c r="DM965" s="3"/>
      <c r="DN965" s="3"/>
      <c r="DO965" s="3"/>
      <c r="DP965" s="3"/>
      <c r="DQ965" s="3"/>
      <c r="DR965" s="3"/>
      <c r="DS965" s="3"/>
      <c r="DT965" s="3"/>
      <c r="DU965" s="3"/>
      <c r="DV965" s="3"/>
      <c r="DW965" s="3"/>
      <c r="DX965" s="3"/>
      <c r="DY965" s="3"/>
      <c r="DZ965" s="3"/>
      <c r="EA965" s="3"/>
      <c r="EB965" s="3"/>
      <c r="EC965" s="3"/>
      <c r="ED965" s="2"/>
      <c r="EE965" s="185"/>
      <c r="EF965" s="185"/>
      <c r="EG965" s="185"/>
      <c r="EH965" s="185"/>
      <c r="EI965" s="185"/>
      <c r="EJ965" s="185"/>
      <c r="EK965" s="185"/>
      <c r="EL965" s="3"/>
      <c r="EM965" s="3"/>
      <c r="EN965" s="3"/>
      <c r="EO965" s="3"/>
      <c r="EP965" s="3"/>
      <c r="EQ965" s="3"/>
      <c r="ER965" s="3"/>
      <c r="ES965" s="3"/>
      <c r="ET965" s="3"/>
      <c r="EU965" s="3"/>
      <c r="EV965" s="3"/>
      <c r="EW965" s="3"/>
      <c r="EX965" s="3"/>
      <c r="EY965" s="3"/>
      <c r="EZ965" s="3"/>
      <c r="FA965" s="3"/>
      <c r="FB965" s="3"/>
      <c r="FC965" s="3"/>
      <c r="FD965" s="3"/>
      <c r="FE965" s="3"/>
      <c r="FF965" s="3"/>
      <c r="FG965" s="3"/>
      <c r="FH965" s="3"/>
      <c r="FI965" s="3"/>
      <c r="FJ965" s="3"/>
      <c r="FK965" s="3"/>
      <c r="FL965" s="3"/>
      <c r="FM965" s="3"/>
      <c r="FN965" s="3"/>
      <c r="FO965" s="3"/>
      <c r="FP965" s="3"/>
      <c r="FQ965" s="3"/>
      <c r="FR965" s="3"/>
      <c r="FS965" s="3"/>
      <c r="FT965" s="3"/>
      <c r="FU965" s="3"/>
      <c r="FV965" s="3"/>
      <c r="FW965" s="3"/>
      <c r="FX965" s="3"/>
      <c r="FY965" s="3"/>
      <c r="FZ965" s="3"/>
      <c r="GA965" s="3"/>
      <c r="GB965" s="3"/>
      <c r="GC965" s="3"/>
      <c r="GD965" s="3"/>
      <c r="GE965" s="3"/>
      <c r="GF965" s="3"/>
      <c r="GG965" s="3"/>
      <c r="GH965" s="3"/>
      <c r="GI965" s="3"/>
      <c r="GJ965" s="3"/>
      <c r="GK965" s="3"/>
      <c r="GL965" s="3"/>
      <c r="GM965" s="3"/>
      <c r="GN965" s="3"/>
      <c r="GO965" s="3"/>
      <c r="GP965" s="3"/>
      <c r="GQ965" s="3"/>
      <c r="GR965" s="3"/>
      <c r="GS965" s="3"/>
      <c r="GT965" s="3"/>
      <c r="GU965" s="3"/>
      <c r="GV965" s="3"/>
      <c r="GW965" s="3"/>
      <c r="GX965" s="3"/>
      <c r="GY965" s="3"/>
      <c r="GZ965" s="3"/>
      <c r="HA965" s="3"/>
      <c r="HB965" s="3"/>
      <c r="HC965" s="3"/>
      <c r="HD965" s="3"/>
      <c r="HE965" s="3"/>
      <c r="HF965" s="3"/>
      <c r="HG965" s="3"/>
      <c r="HH965" s="3"/>
      <c r="HI965" s="3"/>
      <c r="HJ965" s="3"/>
      <c r="HK965" s="185" t="s">
        <v>1747</v>
      </c>
      <c r="HL965" s="185" t="s">
        <v>526</v>
      </c>
      <c r="HM965" s="127" t="s">
        <v>480</v>
      </c>
      <c r="HN965" s="127" t="s">
        <v>480</v>
      </c>
      <c r="HO965" s="185" t="s">
        <v>480</v>
      </c>
      <c r="HP965" s="127" t="s">
        <v>480</v>
      </c>
      <c r="HQ965" s="185"/>
      <c r="HR965" s="185"/>
      <c r="HS965" s="206"/>
      <c r="HT965" s="185"/>
      <c r="HU965" s="185"/>
      <c r="HV965" s="185"/>
      <c r="HW965" s="185"/>
      <c r="HX965" s="215"/>
      <c r="HY965" s="185"/>
      <c r="HZ965" s="185"/>
      <c r="IA965" s="185"/>
      <c r="IB965" s="185"/>
      <c r="IC965" s="185"/>
      <c r="ID965" s="185"/>
      <c r="IE965" s="185"/>
      <c r="IF965" s="185"/>
      <c r="IG965" s="185"/>
      <c r="IH965" s="185"/>
      <c r="II965" s="148"/>
      <c r="IJ965" s="148"/>
      <c r="IK965" s="210"/>
      <c r="IL965" s="185"/>
      <c r="IM965" s="185"/>
      <c r="IN965" s="185"/>
      <c r="IO965" s="185"/>
      <c r="IP965" s="185"/>
      <c r="IQ965" s="185"/>
      <c r="IR965" s="185"/>
      <c r="IS965" s="185"/>
      <c r="IT965" s="185"/>
      <c r="IU965" s="185"/>
      <c r="IV965" s="185"/>
      <c r="IW965" s="185"/>
      <c r="IX965" s="2"/>
      <c r="IY965" s="2"/>
      <c r="IZ965" s="2"/>
      <c r="JA965" s="2"/>
      <c r="JB965" s="2"/>
      <c r="JC965" s="2"/>
      <c r="JD965" s="2"/>
      <c r="JE965" s="2"/>
      <c r="JF965" s="2"/>
      <c r="JG965" s="2"/>
      <c r="JH965" s="2"/>
      <c r="JI965" s="2"/>
      <c r="JJ965" s="2" t="s">
        <v>1736</v>
      </c>
      <c r="JK965" s="2" t="s">
        <v>494</v>
      </c>
      <c r="JL965" s="151" t="s">
        <v>495</v>
      </c>
      <c r="JM965" s="140"/>
      <c r="JN965" s="206"/>
      <c r="JO965" s="185"/>
      <c r="JP965" s="206" t="s">
        <v>508</v>
      </c>
      <c r="JQ965" s="185">
        <v>90</v>
      </c>
      <c r="JR965" s="185"/>
      <c r="JS965" s="185"/>
      <c r="JT965" s="185"/>
      <c r="JU965" s="185"/>
      <c r="JV965" s="140"/>
      <c r="JW965" s="140"/>
      <c r="JX965" s="206"/>
      <c r="JY965" s="185"/>
      <c r="JZ965" s="206"/>
      <c r="KA965" s="185"/>
      <c r="KB965" s="185"/>
      <c r="KC965" s="185"/>
      <c r="KD965" s="206"/>
      <c r="KE965" s="206"/>
      <c r="KF965" s="148"/>
      <c r="KG965" s="216"/>
      <c r="KH965" s="185"/>
      <c r="KI965" s="185"/>
      <c r="KJ965" s="185"/>
      <c r="KK965" s="185"/>
      <c r="KL965" s="206"/>
      <c r="KM965" s="185"/>
      <c r="KN965" s="148"/>
      <c r="KO965" s="216"/>
      <c r="KP965" s="185"/>
      <c r="KQ965" s="185"/>
      <c r="KR965" s="148"/>
      <c r="KS965" s="216"/>
      <c r="KT965" s="185"/>
      <c r="KU965" s="185"/>
      <c r="KV965" s="185"/>
      <c r="KW965" s="3"/>
      <c r="KX965" s="3"/>
      <c r="KY965" s="3"/>
      <c r="KZ965" s="3"/>
      <c r="LA965" s="206"/>
      <c r="LB965" s="206"/>
      <c r="LC965" s="206"/>
      <c r="LD965" s="206"/>
      <c r="LE965" s="206"/>
      <c r="LF965" s="206"/>
      <c r="LG965" s="206"/>
      <c r="LH965" s="206"/>
      <c r="LI965" s="206"/>
      <c r="LJ965" s="206"/>
      <c r="LK965" s="206"/>
      <c r="LL965" s="206"/>
      <c r="LM965" s="206"/>
      <c r="LN965" s="185"/>
      <c r="LO965" s="185"/>
      <c r="LP965" s="185"/>
      <c r="LQ965" s="185"/>
      <c r="LR965" s="185"/>
      <c r="LS965" s="185"/>
      <c r="LT965" s="185"/>
      <c r="LU965" s="185"/>
      <c r="LW965" s="2"/>
      <c r="LX965" s="2"/>
      <c r="LY965" s="2"/>
      <c r="LZ965" s="2"/>
      <c r="MA965" s="2"/>
      <c r="ME965" s="2"/>
      <c r="MF965" s="185"/>
      <c r="MG965" s="185"/>
      <c r="MH965" s="185"/>
      <c r="MI965" s="2"/>
      <c r="MJ965" s="2"/>
      <c r="MK965" s="2"/>
      <c r="ML965" s="2"/>
      <c r="MM965" s="2"/>
      <c r="MN965" s="2"/>
      <c r="MO965" s="2"/>
      <c r="MP965" s="2"/>
      <c r="MQ965" s="185"/>
      <c r="MR965" s="185"/>
      <c r="MS965" s="185"/>
      <c r="MT965" s="185"/>
      <c r="MU965" s="185"/>
      <c r="MV965" s="185"/>
      <c r="MW965" s="185"/>
      <c r="MX965" s="185"/>
      <c r="MY965" s="217"/>
      <c r="MZ965" s="218"/>
      <c r="NI965" s="185"/>
      <c r="NJ965" s="185" t="s">
        <v>1728</v>
      </c>
      <c r="NK965" s="185" t="s">
        <v>1761</v>
      </c>
      <c r="NL965" s="185" t="s">
        <v>1762</v>
      </c>
      <c r="NM965" s="213" t="s">
        <v>1731</v>
      </c>
      <c r="NN965" s="185">
        <v>0</v>
      </c>
      <c r="NO965" s="185">
        <v>20</v>
      </c>
      <c r="NP965" s="185"/>
      <c r="NQ965" s="185"/>
      <c r="NR965" s="185"/>
      <c r="NS965" s="185"/>
      <c r="NT965" s="185"/>
      <c r="NU965" s="185" t="s">
        <v>1751</v>
      </c>
      <c r="NV965" s="185" t="s">
        <v>518</v>
      </c>
      <c r="NW965" s="185">
        <v>16.53</v>
      </c>
      <c r="NX965" s="185" t="s">
        <v>480</v>
      </c>
      <c r="NY965" s="147"/>
      <c r="NZ965" s="147"/>
      <c r="OA965" s="133"/>
      <c r="OB965" s="185">
        <v>3</v>
      </c>
      <c r="OC965" s="185"/>
      <c r="OD965" s="185"/>
      <c r="OE965" s="185"/>
      <c r="OF965" s="185"/>
      <c r="OG965" s="185"/>
      <c r="OH965" s="185"/>
      <c r="OI965" s="185"/>
      <c r="OJ965" s="185"/>
      <c r="OK965" s="185"/>
      <c r="OL965" s="185"/>
      <c r="OM965" s="185"/>
      <c r="ON965" s="185"/>
      <c r="OO965" s="185"/>
      <c r="OP965" s="185"/>
      <c r="OQ965" s="185"/>
      <c r="OR965" s="185"/>
      <c r="OS965" s="185"/>
      <c r="OT965" s="185"/>
      <c r="OU965" t="s">
        <v>1763</v>
      </c>
      <c r="OV965" s="185" t="s">
        <v>518</v>
      </c>
      <c r="OW965" s="185"/>
      <c r="OX965">
        <v>2020</v>
      </c>
      <c r="OY965">
        <v>2021</v>
      </c>
      <c r="OZ965" s="185"/>
      <c r="PA965" s="185"/>
      <c r="PB965" t="s">
        <v>522</v>
      </c>
      <c r="PC965" s="50">
        <v>46148</v>
      </c>
    </row>
    <row r="966" spans="1:419" ht="17.25" thickBot="1">
      <c r="A966" s="205" t="s">
        <v>861</v>
      </c>
      <c r="B966" s="2" t="s">
        <v>1700</v>
      </c>
      <c r="C966" s="2" t="s">
        <v>1387</v>
      </c>
      <c r="D966" s="88" t="s">
        <v>668</v>
      </c>
      <c r="E966" s="2" t="s">
        <v>1701</v>
      </c>
      <c r="F966" s="88" t="s">
        <v>1702</v>
      </c>
      <c r="G966" s="2" t="s">
        <v>475</v>
      </c>
      <c r="H966" s="2" t="s">
        <v>476</v>
      </c>
      <c r="I966" s="88">
        <v>-11.474220000000001</v>
      </c>
      <c r="J966" s="88" t="s">
        <v>1703</v>
      </c>
      <c r="K966" s="88">
        <v>1000</v>
      </c>
      <c r="L966" s="2"/>
      <c r="M966" s="88"/>
      <c r="N966" s="2"/>
      <c r="O966" s="2"/>
      <c r="P966" s="2"/>
      <c r="Q966" s="2"/>
      <c r="R966" s="2"/>
      <c r="S966" s="2"/>
      <c r="T966" s="2"/>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c r="AV966" s="2" t="s">
        <v>1704</v>
      </c>
      <c r="AW966" s="2">
        <v>28</v>
      </c>
      <c r="AX966" s="2" t="s">
        <v>480</v>
      </c>
      <c r="AY966" s="2">
        <v>2</v>
      </c>
      <c r="AZ966" s="185" t="s">
        <v>1705</v>
      </c>
      <c r="BA966" s="185">
        <v>2020</v>
      </c>
      <c r="BB966" s="185">
        <v>2022</v>
      </c>
      <c r="BC966" s="185"/>
      <c r="BD966" s="185" t="s">
        <v>1752</v>
      </c>
      <c r="BE966" s="185" t="s">
        <v>1753</v>
      </c>
      <c r="BF966" s="185" t="s">
        <v>484</v>
      </c>
      <c r="BG966" s="185" t="s">
        <v>538</v>
      </c>
      <c r="BH966" s="185" t="s">
        <v>1713</v>
      </c>
      <c r="BI966" s="206" t="s">
        <v>1709</v>
      </c>
      <c r="BJ966" s="207">
        <v>13.3</v>
      </c>
      <c r="BK966" s="185"/>
      <c r="BL966" s="185"/>
      <c r="BM966" s="185"/>
      <c r="BN966" s="185"/>
      <c r="BO966" s="185"/>
      <c r="BP966" s="185"/>
      <c r="BQ966" s="185"/>
      <c r="BR966" s="185"/>
      <c r="BS966" s="185"/>
      <c r="BT966" s="185"/>
      <c r="BU966" s="185"/>
      <c r="BV966" s="3"/>
      <c r="BW966" s="3"/>
      <c r="BX966" s="3"/>
      <c r="BY966" s="3"/>
      <c r="BZ966" s="3"/>
      <c r="CA966" s="3"/>
      <c r="CB966" s="3"/>
      <c r="CC966" s="3"/>
      <c r="CD966" s="3"/>
      <c r="CE966" s="3"/>
      <c r="CF966" s="3"/>
      <c r="CG966" s="3"/>
      <c r="CH966" s="3"/>
      <c r="CI966" s="3"/>
      <c r="CJ966" s="3"/>
      <c r="CK966" s="3"/>
      <c r="CL966" s="3"/>
      <c r="CM966" s="3"/>
      <c r="CN966" s="3"/>
      <c r="CO966" s="3"/>
      <c r="CP966" s="3"/>
      <c r="CQ966" s="3"/>
      <c r="CR966" s="3"/>
      <c r="CS966" s="3"/>
      <c r="CT966" s="3"/>
      <c r="CU966" s="3"/>
      <c r="CV966" s="3"/>
      <c r="CW966" s="3"/>
      <c r="CX966" s="3"/>
      <c r="CY966" s="3"/>
      <c r="CZ966" s="3"/>
      <c r="DA966" s="3"/>
      <c r="DB966" s="3"/>
      <c r="DC966" s="3"/>
      <c r="DD966" s="3"/>
      <c r="DE966" s="3"/>
      <c r="DF966" s="3"/>
      <c r="DG966" s="3"/>
      <c r="DH966" s="3"/>
      <c r="DI966" s="3"/>
      <c r="DJ966" s="3"/>
      <c r="DK966" s="3"/>
      <c r="DL966" s="3"/>
      <c r="DM966" s="3"/>
      <c r="DN966" s="3"/>
      <c r="DO966" s="3"/>
      <c r="DP966" s="3"/>
      <c r="DQ966" s="3"/>
      <c r="DR966" s="3"/>
      <c r="DS966" s="3"/>
      <c r="DT966" s="3"/>
      <c r="DU966" s="3"/>
      <c r="DV966" s="3"/>
      <c r="DW966" s="3"/>
      <c r="DX966" s="3"/>
      <c r="DY966" s="3"/>
      <c r="DZ966" s="3"/>
      <c r="EA966" s="3"/>
      <c r="EB966" s="3"/>
      <c r="EC966" s="3"/>
      <c r="ED966" s="2"/>
      <c r="EE966" s="185"/>
      <c r="EF966" s="185"/>
      <c r="EG966" s="185"/>
      <c r="EH966" s="185"/>
      <c r="EI966" s="185"/>
      <c r="EJ966" s="185"/>
      <c r="EK966" s="185"/>
      <c r="EL966" s="3"/>
      <c r="EM966" s="3"/>
      <c r="EN966" s="3"/>
      <c r="EO966" s="3"/>
      <c r="EP966" s="3"/>
      <c r="EQ966" s="3"/>
      <c r="ER966" s="3"/>
      <c r="ES966" s="3"/>
      <c r="ET966" s="3"/>
      <c r="EU966" s="3"/>
      <c r="EV966" s="3"/>
      <c r="EW966" s="3"/>
      <c r="EX966" s="3"/>
      <c r="EY966" s="3"/>
      <c r="EZ966" s="3"/>
      <c r="FA966" s="3"/>
      <c r="FB966" s="3"/>
      <c r="FC966" s="3"/>
      <c r="FD966" s="3"/>
      <c r="FE966" s="3"/>
      <c r="FF966" s="3"/>
      <c r="FG966" s="3"/>
      <c r="FH966" s="3"/>
      <c r="FI966" s="3"/>
      <c r="FJ966" s="3"/>
      <c r="FK966" s="3"/>
      <c r="FL966" s="3"/>
      <c r="FM966" s="3"/>
      <c r="FN966" s="3"/>
      <c r="FO966" s="3"/>
      <c r="FP966" s="3"/>
      <c r="FQ966" s="3"/>
      <c r="FR966" s="3"/>
      <c r="FS966" s="3"/>
      <c r="FT966" s="3"/>
      <c r="FU966" s="3"/>
      <c r="FV966" s="3"/>
      <c r="FW966" s="3"/>
      <c r="FX966" s="3"/>
      <c r="FY966" s="3"/>
      <c r="FZ966" s="3"/>
      <c r="GA966" s="3"/>
      <c r="GB966" s="3"/>
      <c r="GC966" s="3"/>
      <c r="GD966" s="3"/>
      <c r="GE966" s="3"/>
      <c r="GF966" s="3"/>
      <c r="GG966" s="3"/>
      <c r="GH966" s="3"/>
      <c r="GI966" s="3"/>
      <c r="GJ966" s="3"/>
      <c r="GK966" s="3"/>
      <c r="GL966" s="3"/>
      <c r="GM966" s="3"/>
      <c r="GN966" s="3"/>
      <c r="GO966" s="3"/>
      <c r="GP966" s="3"/>
      <c r="GQ966" s="3"/>
      <c r="GR966" s="3"/>
      <c r="GS966" s="3"/>
      <c r="GT966" s="3"/>
      <c r="GU966" s="3"/>
      <c r="GV966" s="3"/>
      <c r="GW966" s="3"/>
      <c r="GX966" s="3"/>
      <c r="GY966" s="3"/>
      <c r="GZ966" s="3"/>
      <c r="HA966" s="3"/>
      <c r="HB966" s="3"/>
      <c r="HC966" s="3"/>
      <c r="HD966" s="3"/>
      <c r="HE966" s="3"/>
      <c r="HF966" s="3"/>
      <c r="HG966" s="3"/>
      <c r="HH966" s="3"/>
      <c r="HI966" s="3"/>
      <c r="HJ966" s="3"/>
      <c r="HK966" s="185" t="s">
        <v>1747</v>
      </c>
      <c r="HL966" s="185" t="s">
        <v>526</v>
      </c>
      <c r="HM966" s="127" t="s">
        <v>480</v>
      </c>
      <c r="HN966" s="127" t="s">
        <v>480</v>
      </c>
      <c r="HO966" s="185" t="s">
        <v>480</v>
      </c>
      <c r="HP966" s="127" t="s">
        <v>480</v>
      </c>
      <c r="HQ966" s="185"/>
      <c r="HR966" s="185"/>
      <c r="HS966" s="206"/>
      <c r="HT966" s="185"/>
      <c r="HU966" s="185"/>
      <c r="HV966" s="185"/>
      <c r="HW966" s="185"/>
      <c r="HX966" s="215"/>
      <c r="HY966" s="185"/>
      <c r="HZ966" s="185"/>
      <c r="IA966" s="185"/>
      <c r="IB966" s="185"/>
      <c r="IC966" s="185"/>
      <c r="ID966" s="185"/>
      <c r="IE966" s="185"/>
      <c r="IF966" s="185"/>
      <c r="IG966" s="185"/>
      <c r="IH966" s="185" t="s">
        <v>1721</v>
      </c>
      <c r="II966" s="148" t="s">
        <v>492</v>
      </c>
      <c r="IJ966" s="148"/>
      <c r="IK966" s="210"/>
      <c r="IL966" s="185"/>
      <c r="IM966" s="185"/>
      <c r="IN966" s="185"/>
      <c r="IO966" s="185"/>
      <c r="IP966" s="185"/>
      <c r="IQ966" s="185"/>
      <c r="IR966" s="185"/>
      <c r="IS966" s="185"/>
      <c r="IT966" s="185"/>
      <c r="IU966" s="185"/>
      <c r="IV966" s="185"/>
      <c r="IW966" s="185"/>
      <c r="IX966" s="2"/>
      <c r="IY966" s="2"/>
      <c r="IZ966" s="2"/>
      <c r="JA966" s="2"/>
      <c r="JB966" s="2"/>
      <c r="JC966" s="2"/>
      <c r="JD966" s="2"/>
      <c r="JE966" s="2"/>
      <c r="JF966" s="2"/>
      <c r="JG966" s="2"/>
      <c r="JH966" s="2"/>
      <c r="JI966" s="2"/>
      <c r="JJ966" s="2" t="s">
        <v>1727</v>
      </c>
      <c r="JK966" s="2" t="s">
        <v>682</v>
      </c>
      <c r="JL966" s="151"/>
      <c r="JM966" s="140"/>
      <c r="JN966" s="206"/>
      <c r="JO966" s="185"/>
      <c r="JP966" s="206"/>
      <c r="JQ966" s="185"/>
      <c r="JR966" s="185"/>
      <c r="JS966" s="185"/>
      <c r="JT966" s="185"/>
      <c r="JU966" s="185"/>
      <c r="JV966" s="140"/>
      <c r="JW966" s="140"/>
      <c r="JX966" s="206"/>
      <c r="JY966" s="185"/>
      <c r="JZ966" s="206"/>
      <c r="KA966" s="185"/>
      <c r="KB966" s="185"/>
      <c r="KC966" s="185"/>
      <c r="KD966" s="206"/>
      <c r="KE966" s="206"/>
      <c r="KF966" s="148"/>
      <c r="KG966" s="216"/>
      <c r="KH966" s="185"/>
      <c r="KI966" s="185"/>
      <c r="KJ966" s="185"/>
      <c r="KK966" s="185"/>
      <c r="KL966" s="206"/>
      <c r="KM966" s="185"/>
      <c r="KN966" s="148"/>
      <c r="KO966" s="216"/>
      <c r="KP966" s="185"/>
      <c r="KQ966" s="185"/>
      <c r="KR966" s="148"/>
      <c r="KS966" s="216"/>
      <c r="KT966" s="185"/>
      <c r="KU966" s="185"/>
      <c r="KV966" s="185"/>
      <c r="KW966" s="3"/>
      <c r="KX966" s="3"/>
      <c r="KY966" s="3"/>
      <c r="KZ966" s="3"/>
      <c r="LA966" s="206"/>
      <c r="LB966" s="206"/>
      <c r="LC966" s="206"/>
      <c r="LD966" s="206"/>
      <c r="LE966" s="206"/>
      <c r="LF966" s="206"/>
      <c r="LG966" s="206"/>
      <c r="LH966" s="206"/>
      <c r="LI966" s="206"/>
      <c r="LJ966" s="206"/>
      <c r="LK966" s="206"/>
      <c r="LL966" s="206"/>
      <c r="LM966" s="206"/>
      <c r="LN966" s="185"/>
      <c r="LO966" s="185"/>
      <c r="LP966" s="185"/>
      <c r="LQ966" s="185"/>
      <c r="LR966" s="185"/>
      <c r="LS966" s="185"/>
      <c r="LT966" s="185"/>
      <c r="LU966" s="185"/>
      <c r="LW966" s="2"/>
      <c r="LX966" s="2"/>
      <c r="LY966" s="2"/>
      <c r="LZ966" s="2"/>
      <c r="MA966" s="2"/>
      <c r="ME966" s="2"/>
      <c r="MF966" s="185"/>
      <c r="MG966" s="185"/>
      <c r="MH966" s="185"/>
      <c r="MI966" s="2"/>
      <c r="MJ966" s="2"/>
      <c r="MK966" s="2"/>
      <c r="ML966" s="2"/>
      <c r="MM966" s="2"/>
      <c r="MN966" s="2"/>
      <c r="MO966" s="2"/>
      <c r="MP966" s="2"/>
      <c r="MQ966" s="185"/>
      <c r="MR966" s="185"/>
      <c r="MS966" s="185"/>
      <c r="MT966" s="185"/>
      <c r="MU966" s="185"/>
      <c r="MV966" s="185"/>
      <c r="MW966" s="185"/>
      <c r="MX966" s="185"/>
      <c r="MY966" s="211" t="s">
        <v>1710</v>
      </c>
      <c r="MZ966" s="212">
        <v>16.25</v>
      </c>
      <c r="NI966" s="185"/>
      <c r="NJ966" s="185" t="s">
        <v>1728</v>
      </c>
      <c r="NK966" s="185" t="s">
        <v>1761</v>
      </c>
      <c r="NL966" s="185" t="s">
        <v>1762</v>
      </c>
      <c r="NM966" s="213" t="s">
        <v>1731</v>
      </c>
      <c r="NN966" s="185">
        <v>0</v>
      </c>
      <c r="NO966" s="185">
        <v>20</v>
      </c>
      <c r="NP966" s="185"/>
      <c r="NQ966" s="185"/>
      <c r="NR966" s="185"/>
      <c r="NS966" s="185"/>
      <c r="NT966" s="185"/>
      <c r="NU966" s="185" t="s">
        <v>1754</v>
      </c>
      <c r="NV966" s="185" t="s">
        <v>518</v>
      </c>
      <c r="NW966" s="185">
        <v>23.28</v>
      </c>
      <c r="NX966" s="185" t="s">
        <v>480</v>
      </c>
      <c r="NY966" s="147"/>
      <c r="NZ966" s="147"/>
      <c r="OA966" s="133"/>
      <c r="OB966" s="185">
        <v>3</v>
      </c>
      <c r="OD966" s="185"/>
      <c r="OE966" s="185"/>
      <c r="OF966" s="185"/>
      <c r="OG966" s="185"/>
      <c r="OH966" s="185"/>
      <c r="OI966" s="185"/>
      <c r="OJ966" s="185"/>
      <c r="OK966" s="185"/>
      <c r="OL966" s="185"/>
      <c r="OM966" s="185"/>
      <c r="ON966" s="185"/>
      <c r="OO966" s="185"/>
      <c r="OP966" s="185"/>
      <c r="OQ966" s="185"/>
      <c r="OR966" s="185"/>
      <c r="OS966" s="185"/>
      <c r="OT966" s="185"/>
      <c r="OU966" t="s">
        <v>1763</v>
      </c>
      <c r="OV966" s="185" t="s">
        <v>518</v>
      </c>
      <c r="OX966">
        <v>2020</v>
      </c>
      <c r="OY966">
        <v>2021</v>
      </c>
      <c r="PB966" t="s">
        <v>522</v>
      </c>
      <c r="PC966" s="50">
        <v>46148</v>
      </c>
    </row>
    <row r="967" spans="1:419" ht="15" customHeight="1" thickBot="1">
      <c r="A967" s="205" t="s">
        <v>861</v>
      </c>
      <c r="B967" s="2" t="s">
        <v>1700</v>
      </c>
      <c r="C967" s="2" t="s">
        <v>1387</v>
      </c>
      <c r="D967" s="88" t="s">
        <v>668</v>
      </c>
      <c r="E967" s="2" t="s">
        <v>1701</v>
      </c>
      <c r="F967" s="88" t="s">
        <v>1702</v>
      </c>
      <c r="G967" s="2" t="s">
        <v>475</v>
      </c>
      <c r="H967" s="2" t="s">
        <v>476</v>
      </c>
      <c r="I967" s="88">
        <v>-11.474220000000001</v>
      </c>
      <c r="J967" s="88" t="s">
        <v>1703</v>
      </c>
      <c r="K967" s="88">
        <v>1000</v>
      </c>
      <c r="L967" s="2"/>
      <c r="M967" s="88"/>
      <c r="N967" s="2"/>
      <c r="O967" s="2"/>
      <c r="P967" s="2"/>
      <c r="Q967" s="2"/>
      <c r="R967" s="2"/>
      <c r="S967" s="2"/>
      <c r="T967" s="2"/>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c r="AV967" s="2" t="s">
        <v>1704</v>
      </c>
      <c r="AW967" s="2">
        <v>28</v>
      </c>
      <c r="AX967" s="2" t="s">
        <v>480</v>
      </c>
      <c r="AY967" s="2">
        <v>2</v>
      </c>
      <c r="AZ967" s="185" t="s">
        <v>1705</v>
      </c>
      <c r="BA967" s="185">
        <v>2020</v>
      </c>
      <c r="BB967" s="185">
        <v>2022</v>
      </c>
      <c r="BC967" s="185"/>
      <c r="BD967" s="185" t="s">
        <v>1755</v>
      </c>
      <c r="BE967" s="185" t="s">
        <v>1756</v>
      </c>
      <c r="BF967" s="185" t="s">
        <v>484</v>
      </c>
      <c r="BG967" s="185" t="s">
        <v>1707</v>
      </c>
      <c r="BH967" s="185" t="s">
        <v>1708</v>
      </c>
      <c r="BI967" s="206" t="s">
        <v>1709</v>
      </c>
      <c r="BJ967" s="207">
        <v>4.4000000000000004</v>
      </c>
      <c r="BK967" s="185"/>
      <c r="BL967" s="185"/>
      <c r="BM967" s="208"/>
      <c r="BN967" s="208"/>
      <c r="BO967" s="208"/>
      <c r="BP967" s="208"/>
      <c r="BQ967" s="208"/>
      <c r="BR967" s="208"/>
      <c r="BS967" s="208"/>
      <c r="BT967" s="208"/>
      <c r="BU967" s="208"/>
      <c r="BV967" s="96"/>
      <c r="BW967" s="96"/>
      <c r="BX967" s="96"/>
      <c r="BY967" s="96"/>
      <c r="BZ967" s="96"/>
      <c r="CA967" s="96"/>
      <c r="CB967" s="96"/>
      <c r="CC967" s="96"/>
      <c r="CD967" s="96"/>
      <c r="CE967" s="96"/>
      <c r="CF967" s="96"/>
      <c r="CG967" s="96"/>
      <c r="CH967" s="96"/>
      <c r="CI967" s="96"/>
      <c r="CJ967" s="96"/>
      <c r="CK967" s="96"/>
      <c r="CL967" s="96"/>
      <c r="CM967" s="96"/>
      <c r="CN967" s="96"/>
      <c r="CO967" s="96"/>
      <c r="CP967" s="96"/>
      <c r="CQ967" s="96"/>
      <c r="CR967" s="96"/>
      <c r="CS967" s="96"/>
      <c r="CT967" s="96"/>
      <c r="CU967" s="96"/>
      <c r="CV967" s="96"/>
      <c r="CW967" s="96"/>
      <c r="CX967" s="96"/>
      <c r="CY967" s="96"/>
      <c r="CZ967" s="96"/>
      <c r="DA967" s="96"/>
      <c r="DB967" s="96"/>
      <c r="DC967" s="96"/>
      <c r="DD967" s="96"/>
      <c r="DE967" s="96"/>
      <c r="DF967" s="96"/>
      <c r="DG967" s="96"/>
      <c r="DH967" s="96"/>
      <c r="DI967" s="96"/>
      <c r="DJ967" s="96"/>
      <c r="DK967" s="96"/>
      <c r="DL967" s="96"/>
      <c r="DM967" s="96"/>
      <c r="DN967" s="96"/>
      <c r="DO967" s="96"/>
      <c r="DP967" s="96"/>
      <c r="DQ967" s="96"/>
      <c r="DR967" s="96"/>
      <c r="DS967" s="96"/>
      <c r="DT967" s="96"/>
      <c r="DU967" s="96"/>
      <c r="DV967" s="96"/>
      <c r="DW967" s="96"/>
      <c r="DX967" s="96"/>
      <c r="DY967" s="96"/>
      <c r="DZ967" s="96"/>
      <c r="EA967" s="96"/>
      <c r="EB967" s="96"/>
      <c r="EC967" s="96"/>
      <c r="ED967" s="96"/>
      <c r="EE967" s="208"/>
      <c r="EF967" s="208"/>
      <c r="EG967" s="208"/>
      <c r="EH967" s="208"/>
      <c r="EI967" s="208"/>
      <c r="EJ967" s="208"/>
      <c r="EK967" s="208"/>
      <c r="EL967" s="96"/>
      <c r="EM967" s="96"/>
      <c r="EN967" s="96"/>
      <c r="EO967" s="96"/>
      <c r="EP967" s="96"/>
      <c r="EQ967" s="96"/>
      <c r="ER967" s="96"/>
      <c r="ES967" s="96"/>
      <c r="ET967" s="96"/>
      <c r="EU967" s="96"/>
      <c r="EV967" s="96"/>
      <c r="EW967" s="96"/>
      <c r="EX967" s="96"/>
      <c r="EY967" s="96"/>
      <c r="EZ967" s="96"/>
      <c r="FA967" s="96"/>
      <c r="FB967" s="96"/>
      <c r="FC967" s="96"/>
      <c r="FD967" s="96"/>
      <c r="FE967" s="96"/>
      <c r="FF967" s="96"/>
      <c r="FG967" s="96"/>
      <c r="FH967" s="96"/>
      <c r="FI967" s="96"/>
      <c r="FJ967" s="96"/>
      <c r="FK967" s="96"/>
      <c r="FL967" s="96"/>
      <c r="FM967" s="96"/>
      <c r="FN967" s="96"/>
      <c r="FO967" s="96"/>
      <c r="FP967" s="96"/>
      <c r="FQ967" s="96"/>
      <c r="FR967" s="96"/>
      <c r="FS967" s="96"/>
      <c r="FT967" s="96"/>
      <c r="FU967" s="96"/>
      <c r="FV967" s="96"/>
      <c r="FW967" s="96"/>
      <c r="FX967" s="96"/>
      <c r="FY967" s="96"/>
      <c r="FZ967" s="96"/>
      <c r="GA967" s="96"/>
      <c r="GB967" s="96"/>
      <c r="GC967" s="96"/>
      <c r="GD967" s="96"/>
      <c r="GE967" s="96"/>
      <c r="GF967" s="96"/>
      <c r="GG967" s="96"/>
      <c r="GH967" s="96"/>
      <c r="GI967" s="96"/>
      <c r="GJ967" s="96"/>
      <c r="GK967" s="96"/>
      <c r="GL967" s="96"/>
      <c r="GM967" s="96"/>
      <c r="GN967" s="96"/>
      <c r="GO967" s="96"/>
      <c r="GP967" s="96"/>
      <c r="GQ967" s="96"/>
      <c r="GR967" s="96"/>
      <c r="GS967" s="96"/>
      <c r="GT967" s="96"/>
      <c r="GU967" s="96"/>
      <c r="GV967" s="96"/>
      <c r="GW967" s="96"/>
      <c r="GX967" s="96"/>
      <c r="GY967" s="96"/>
      <c r="GZ967" s="96"/>
      <c r="HA967" s="96"/>
      <c r="HB967" s="96"/>
      <c r="HC967" s="96"/>
      <c r="HD967" s="96"/>
      <c r="HE967" s="96"/>
      <c r="HF967" s="96"/>
      <c r="HG967" s="96"/>
      <c r="HH967" s="96"/>
      <c r="HI967" s="96"/>
      <c r="HJ967" s="96"/>
      <c r="HK967" s="185" t="s">
        <v>1747</v>
      </c>
      <c r="HL967" s="185" t="s">
        <v>526</v>
      </c>
      <c r="HM967" s="127" t="s">
        <v>480</v>
      </c>
      <c r="HN967" s="127" t="s">
        <v>480</v>
      </c>
      <c r="HO967" s="185" t="s">
        <v>480</v>
      </c>
      <c r="HP967" s="127" t="s">
        <v>480</v>
      </c>
      <c r="HQ967" s="208"/>
      <c r="HR967" s="208"/>
      <c r="HS967" s="208"/>
      <c r="HT967" s="37"/>
      <c r="HU967" s="37"/>
      <c r="HV967" s="208"/>
      <c r="HW967" s="208"/>
      <c r="HX967" s="208"/>
      <c r="HY967" s="208"/>
      <c r="HZ967" s="208"/>
      <c r="IA967" s="208"/>
      <c r="IB967" s="208"/>
      <c r="IC967" s="208"/>
      <c r="ID967" s="208"/>
      <c r="IE967" s="208"/>
      <c r="IF967" s="208"/>
      <c r="IG967" s="208"/>
      <c r="IH967" s="185" t="s">
        <v>1706</v>
      </c>
      <c r="II967" s="209" t="s">
        <v>492</v>
      </c>
      <c r="IJ967" s="209"/>
      <c r="IK967" s="208"/>
      <c r="IL967" s="208"/>
      <c r="IM967" s="208"/>
      <c r="IN967" s="185"/>
      <c r="IO967" s="208"/>
      <c r="IP967" s="208"/>
      <c r="IQ967" s="208"/>
      <c r="IR967" s="208"/>
      <c r="IS967" s="208"/>
      <c r="IT967" s="208"/>
      <c r="IU967" s="208"/>
      <c r="IV967" s="208"/>
      <c r="IW967" s="208"/>
      <c r="IX967" s="96"/>
      <c r="IY967" s="96"/>
      <c r="IZ967" s="96"/>
      <c r="JA967" s="96"/>
      <c r="JB967" s="96"/>
      <c r="JC967" s="96"/>
      <c r="JD967" s="96"/>
      <c r="JE967" s="96"/>
      <c r="JF967" s="96"/>
      <c r="JG967" s="96"/>
      <c r="JH967" s="96"/>
      <c r="JI967" s="96"/>
      <c r="JJ967" s="96" t="s">
        <v>1727</v>
      </c>
      <c r="JK967" s="2" t="s">
        <v>682</v>
      </c>
      <c r="JL967" s="96"/>
      <c r="JM967" s="208"/>
      <c r="JN967" s="206"/>
      <c r="JO967" s="208"/>
      <c r="JP967" s="206"/>
      <c r="JQ967" s="208"/>
      <c r="JR967" s="208"/>
      <c r="JS967" s="208"/>
      <c r="JT967" s="208"/>
      <c r="JU967" s="208"/>
      <c r="JV967" s="208"/>
      <c r="JW967" s="208"/>
      <c r="JX967" s="208"/>
      <c r="JY967" s="208"/>
      <c r="JZ967" s="208"/>
      <c r="KA967" s="208"/>
      <c r="KB967" s="208"/>
      <c r="KC967" s="208"/>
      <c r="KD967" s="208"/>
      <c r="KE967" s="208"/>
      <c r="KF967" s="148"/>
      <c r="KG967" s="148"/>
      <c r="KH967" s="210"/>
      <c r="KI967" s="185"/>
      <c r="KJ967" s="210"/>
      <c r="KK967" s="210"/>
      <c r="KL967" s="210"/>
      <c r="KM967" s="210"/>
      <c r="KN967" s="148"/>
      <c r="KO967" s="148"/>
      <c r="KP967" s="210"/>
      <c r="KQ967" s="210"/>
      <c r="KR967" s="148"/>
      <c r="KS967" s="148"/>
      <c r="KT967" s="210"/>
      <c r="KU967" s="210"/>
      <c r="KV967" s="210"/>
      <c r="KW967" s="38"/>
      <c r="KX967" s="38"/>
      <c r="KY967" s="38"/>
      <c r="KZ967" s="38"/>
      <c r="LA967" s="206"/>
      <c r="LB967" s="206"/>
      <c r="LC967" s="206"/>
      <c r="LD967" s="206"/>
      <c r="LE967" s="206"/>
      <c r="LF967" s="206"/>
      <c r="LG967" s="206"/>
      <c r="LH967" s="206"/>
      <c r="LI967" s="208"/>
      <c r="LJ967" s="208"/>
      <c r="LK967" s="208"/>
      <c r="LL967" s="208"/>
      <c r="LM967" s="208"/>
      <c r="LN967" s="208"/>
      <c r="LO967" s="208"/>
      <c r="LP967" s="208"/>
      <c r="LQ967" s="208"/>
      <c r="LR967" s="208"/>
      <c r="LS967" s="208"/>
      <c r="LT967" s="208"/>
      <c r="LU967" s="208"/>
      <c r="LV967" s="96"/>
      <c r="LW967" s="96"/>
      <c r="LX967" s="96"/>
      <c r="LY967" s="96"/>
      <c r="LZ967" s="96"/>
      <c r="MA967" s="96"/>
      <c r="MB967" s="96"/>
      <c r="MC967" s="96"/>
      <c r="MD967" s="96"/>
      <c r="ME967" s="96"/>
      <c r="MF967" s="96"/>
      <c r="MG967" s="208"/>
      <c r="MH967" s="208"/>
      <c r="MI967" s="96"/>
      <c r="MJ967" s="96"/>
      <c r="MK967" s="96"/>
      <c r="ML967" s="96"/>
      <c r="MM967" s="96"/>
      <c r="MN967" s="96"/>
      <c r="MO967" s="96"/>
      <c r="MP967" s="96"/>
      <c r="MQ967" s="37"/>
      <c r="MR967" s="37"/>
      <c r="MS967" s="96"/>
      <c r="MT967" s="208"/>
      <c r="MU967" s="208"/>
      <c r="MW967" s="96"/>
      <c r="MX967" s="96"/>
      <c r="MY967" s="211" t="s">
        <v>1710</v>
      </c>
      <c r="MZ967" s="212">
        <v>16.25</v>
      </c>
      <c r="NI967" s="185"/>
      <c r="NJ967" s="185" t="s">
        <v>1728</v>
      </c>
      <c r="NK967" s="185" t="s">
        <v>1761</v>
      </c>
      <c r="NL967" s="185" t="s">
        <v>1762</v>
      </c>
      <c r="NM967" s="213" t="s">
        <v>1731</v>
      </c>
      <c r="NN967" s="185">
        <v>0</v>
      </c>
      <c r="NO967" s="185">
        <v>20</v>
      </c>
      <c r="NP967" s="185"/>
      <c r="NQ967" s="185"/>
      <c r="NR967" s="185"/>
      <c r="NS967" s="185"/>
      <c r="NT967" s="185"/>
      <c r="NU967" s="185" t="s">
        <v>1757</v>
      </c>
      <c r="NV967" s="185" t="s">
        <v>518</v>
      </c>
      <c r="NW967" s="185">
        <v>23.22</v>
      </c>
      <c r="NX967" s="185" t="s">
        <v>480</v>
      </c>
      <c r="NY967" s="147"/>
      <c r="NZ967" s="147"/>
      <c r="OA967" s="133"/>
      <c r="OB967" s="185">
        <v>3</v>
      </c>
      <c r="OC967" s="185"/>
      <c r="OD967" s="185"/>
      <c r="OE967" s="208"/>
      <c r="OF967" s="208"/>
      <c r="OG967" s="208"/>
      <c r="OH967" s="208"/>
      <c r="OI967" s="208"/>
      <c r="OJ967" s="208"/>
      <c r="OK967" s="208"/>
      <c r="OL967" s="208"/>
      <c r="OM967" s="208"/>
      <c r="ON967" s="208"/>
      <c r="OO967" s="208"/>
      <c r="OP967" s="208"/>
      <c r="OQ967" s="208"/>
      <c r="OR967" s="208"/>
      <c r="OS967" s="208"/>
      <c r="OT967" s="208"/>
      <c r="OU967" t="s">
        <v>1763</v>
      </c>
      <c r="OV967" s="185" t="s">
        <v>518</v>
      </c>
      <c r="OX967">
        <v>2020</v>
      </c>
      <c r="OY967">
        <v>2021</v>
      </c>
      <c r="OZ967" s="96"/>
      <c r="PA967" s="96"/>
      <c r="PB967" t="s">
        <v>522</v>
      </c>
      <c r="PC967" s="50">
        <v>46148</v>
      </c>
    </row>
    <row r="968" spans="1:419" ht="17.25" thickBot="1">
      <c r="A968" s="205" t="s">
        <v>861</v>
      </c>
      <c r="B968" s="2" t="s">
        <v>1700</v>
      </c>
      <c r="C968" s="2" t="s">
        <v>1387</v>
      </c>
      <c r="D968" s="88" t="s">
        <v>668</v>
      </c>
      <c r="E968" s="2" t="s">
        <v>1701</v>
      </c>
      <c r="F968" s="88" t="s">
        <v>1702</v>
      </c>
      <c r="G968" s="2" t="s">
        <v>475</v>
      </c>
      <c r="H968" s="2" t="s">
        <v>476</v>
      </c>
      <c r="I968" s="88">
        <v>-11.474220000000001</v>
      </c>
      <c r="J968" s="88" t="s">
        <v>1703</v>
      </c>
      <c r="K968" s="88">
        <v>1000</v>
      </c>
      <c r="L968" s="2"/>
      <c r="M968" s="88"/>
      <c r="N968" s="2"/>
      <c r="O968" s="2"/>
      <c r="P968" s="2"/>
      <c r="Q968" s="2"/>
      <c r="R968" s="2"/>
      <c r="S968" s="2"/>
      <c r="T968" s="2"/>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c r="AV968" s="2" t="s">
        <v>1704</v>
      </c>
      <c r="AW968" s="2">
        <v>28</v>
      </c>
      <c r="AX968" s="2" t="s">
        <v>480</v>
      </c>
      <c r="AY968" s="2">
        <v>2</v>
      </c>
      <c r="AZ968" s="185" t="s">
        <v>1705</v>
      </c>
      <c r="BA968" s="185">
        <v>2020</v>
      </c>
      <c r="BB968" s="185">
        <v>2022</v>
      </c>
      <c r="BC968" s="185"/>
      <c r="BD968" s="185" t="s">
        <v>1758</v>
      </c>
      <c r="BE968" s="185" t="s">
        <v>615</v>
      </c>
      <c r="BF968" s="185" t="s">
        <v>484</v>
      </c>
      <c r="BG968" s="185" t="s">
        <v>1707</v>
      </c>
      <c r="BH968" s="185" t="s">
        <v>1708</v>
      </c>
      <c r="BI968" s="206" t="s">
        <v>1709</v>
      </c>
      <c r="BJ968" s="207">
        <v>4.4000000000000004</v>
      </c>
      <c r="BK968" s="185" t="s">
        <v>537</v>
      </c>
      <c r="BL968" s="185" t="s">
        <v>485</v>
      </c>
      <c r="BM968" s="185" t="s">
        <v>1719</v>
      </c>
      <c r="BN968" s="206" t="s">
        <v>1709</v>
      </c>
      <c r="BO968" s="207">
        <v>4.4000000000000004</v>
      </c>
      <c r="BP968" s="185"/>
      <c r="BQ968" s="185"/>
      <c r="BR968" s="185"/>
      <c r="BS968" s="185"/>
      <c r="BT968" s="185"/>
      <c r="BU968" s="185"/>
      <c r="BV968" s="3"/>
      <c r="BW968" s="3"/>
      <c r="BX968" s="3"/>
      <c r="BY968" s="3"/>
      <c r="BZ968" s="3"/>
      <c r="CA968" s="3"/>
      <c r="CB968" s="3"/>
      <c r="CC968" s="3"/>
      <c r="CD968" s="3"/>
      <c r="CE968" s="3"/>
      <c r="CF968" s="3"/>
      <c r="CG968" s="3"/>
      <c r="CH968" s="3"/>
      <c r="CI968" s="3"/>
      <c r="CJ968" s="3"/>
      <c r="CK968" s="3"/>
      <c r="CL968" s="3"/>
      <c r="CM968" s="3"/>
      <c r="CN968" s="3"/>
      <c r="CO968" s="3"/>
      <c r="CP968" s="3"/>
      <c r="CQ968" s="3"/>
      <c r="CR968" s="3"/>
      <c r="CS968" s="3"/>
      <c r="CT968" s="3"/>
      <c r="CU968" s="3"/>
      <c r="CV968" s="3"/>
      <c r="CW968" s="3"/>
      <c r="CX968" s="3"/>
      <c r="CY968" s="3"/>
      <c r="CZ968" s="3"/>
      <c r="DA968" s="3"/>
      <c r="DB968" s="3"/>
      <c r="DC968" s="3"/>
      <c r="DD968" s="3"/>
      <c r="DE968" s="3"/>
      <c r="DF968" s="3"/>
      <c r="DG968" s="3"/>
      <c r="DH968" s="3"/>
      <c r="DI968" s="3"/>
      <c r="DJ968" s="3"/>
      <c r="DK968" s="3"/>
      <c r="DL968" s="3"/>
      <c r="DM968" s="3"/>
      <c r="DN968" s="3"/>
      <c r="DO968" s="3"/>
      <c r="DP968" s="3"/>
      <c r="DQ968" s="3"/>
      <c r="DR968" s="3"/>
      <c r="DS968" s="3"/>
      <c r="DT968" s="3"/>
      <c r="DU968" s="3"/>
      <c r="DV968" s="3"/>
      <c r="DW968" s="3"/>
      <c r="DX968" s="3"/>
      <c r="DY968" s="3"/>
      <c r="DZ968" s="3"/>
      <c r="EA968" s="3"/>
      <c r="EB968" s="3"/>
      <c r="EC968" s="3"/>
      <c r="ED968" s="2"/>
      <c r="EE968" s="185"/>
      <c r="EF968" s="185"/>
      <c r="EG968" s="185"/>
      <c r="EH968" s="185"/>
      <c r="EI968" s="185"/>
      <c r="EJ968" s="185"/>
      <c r="EK968" s="185"/>
      <c r="EL968" s="3"/>
      <c r="EM968" s="3"/>
      <c r="EN968" s="3"/>
      <c r="EO968" s="3"/>
      <c r="EP968" s="3"/>
      <c r="EQ968" s="3"/>
      <c r="ER968" s="3"/>
      <c r="ES968" s="3"/>
      <c r="ET968" s="3"/>
      <c r="EU968" s="3"/>
      <c r="EV968" s="3"/>
      <c r="EW968" s="3"/>
      <c r="EX968" s="3"/>
      <c r="EY968" s="3"/>
      <c r="EZ968" s="3"/>
      <c r="FA968" s="3"/>
      <c r="FB968" s="3"/>
      <c r="FC968" s="3"/>
      <c r="FD968" s="3"/>
      <c r="FE968" s="3"/>
      <c r="FF968" s="3"/>
      <c r="FG968" s="3"/>
      <c r="FH968" s="3"/>
      <c r="FI968" s="3"/>
      <c r="FJ968" s="3"/>
      <c r="FK968" s="3"/>
      <c r="FL968" s="3"/>
      <c r="FM968" s="3"/>
      <c r="FN968" s="3"/>
      <c r="FO968" s="3"/>
      <c r="FP968" s="3"/>
      <c r="FQ968" s="3"/>
      <c r="FR968" s="3"/>
      <c r="FS968" s="3"/>
      <c r="FT968" s="3"/>
      <c r="FU968" s="3"/>
      <c r="FV968" s="3"/>
      <c r="FW968" s="3"/>
      <c r="FX968" s="3"/>
      <c r="FY968" s="3"/>
      <c r="FZ968" s="3"/>
      <c r="GA968" s="3"/>
      <c r="GB968" s="3"/>
      <c r="GC968" s="3"/>
      <c r="GD968" s="3"/>
      <c r="GE968" s="3"/>
      <c r="GF968" s="3"/>
      <c r="GG968" s="3"/>
      <c r="GH968" s="3"/>
      <c r="GI968" s="3"/>
      <c r="GJ968" s="3"/>
      <c r="GK968" s="3"/>
      <c r="GL968" s="3"/>
      <c r="GM968" s="3"/>
      <c r="GN968" s="3"/>
      <c r="GO968" s="3"/>
      <c r="GP968" s="3"/>
      <c r="GQ968" s="3"/>
      <c r="GR968" s="3"/>
      <c r="GS968" s="3"/>
      <c r="GT968" s="3"/>
      <c r="GU968" s="3"/>
      <c r="GV968" s="3"/>
      <c r="GW968" s="3"/>
      <c r="GX968" s="3"/>
      <c r="GY968" s="3"/>
      <c r="GZ968" s="3"/>
      <c r="HA968" s="3"/>
      <c r="HB968" s="3"/>
      <c r="HC968" s="3"/>
      <c r="HD968" s="3"/>
      <c r="HE968" s="3"/>
      <c r="HF968" s="3"/>
      <c r="HG968" s="3"/>
      <c r="HH968" s="3"/>
      <c r="HI968" s="3"/>
      <c r="HJ968" s="3"/>
      <c r="HK968" s="185" t="s">
        <v>1747</v>
      </c>
      <c r="HL968" s="185" t="s">
        <v>526</v>
      </c>
      <c r="HM968" s="127" t="s">
        <v>480</v>
      </c>
      <c r="HN968" s="127" t="s">
        <v>480</v>
      </c>
      <c r="HO968" s="185" t="s">
        <v>480</v>
      </c>
      <c r="HP968" s="127" t="s">
        <v>480</v>
      </c>
      <c r="HQ968" s="185"/>
      <c r="HR968" s="185"/>
      <c r="HS968" s="206"/>
      <c r="HT968" s="185"/>
      <c r="HU968" s="185"/>
      <c r="HV968" s="185"/>
      <c r="HW968" s="185"/>
      <c r="HX968" s="215"/>
      <c r="HY968" s="185"/>
      <c r="HZ968" s="185"/>
      <c r="IA968" s="185"/>
      <c r="IB968" s="185"/>
      <c r="IC968" s="185"/>
      <c r="ID968" s="185"/>
      <c r="IE968" s="185"/>
      <c r="IF968" s="185"/>
      <c r="IG968" s="185"/>
      <c r="IH968" s="185" t="s">
        <v>1718</v>
      </c>
      <c r="II968" s="148" t="s">
        <v>1714</v>
      </c>
      <c r="IJ968" s="148" t="s">
        <v>542</v>
      </c>
      <c r="IK968" s="210" t="s">
        <v>1715</v>
      </c>
      <c r="IL968" s="185">
        <v>2020</v>
      </c>
      <c r="IM968" s="185"/>
      <c r="IN968" s="185" t="s">
        <v>1716</v>
      </c>
      <c r="IO968" s="185"/>
      <c r="IP968" s="185"/>
      <c r="IQ968" s="185"/>
      <c r="IR968" s="185"/>
      <c r="IS968" s="185"/>
      <c r="IT968" s="185"/>
      <c r="IU968" s="185"/>
      <c r="IV968" s="185"/>
      <c r="IW968" s="185"/>
      <c r="IX968" s="2"/>
      <c r="IY968" s="2"/>
      <c r="IZ968" s="2"/>
      <c r="JA968" s="2"/>
      <c r="JB968" s="2"/>
      <c r="JC968" s="2"/>
      <c r="JD968" s="2"/>
      <c r="JE968" s="2"/>
      <c r="JF968" s="2"/>
      <c r="JG968" s="2"/>
      <c r="JH968" s="2"/>
      <c r="JI968" s="2"/>
      <c r="JJ968" s="2" t="s">
        <v>1727</v>
      </c>
      <c r="JK968" s="2" t="s">
        <v>682</v>
      </c>
      <c r="JL968" s="151"/>
      <c r="JM968" s="140"/>
      <c r="JN968" s="206"/>
      <c r="JO968" s="185"/>
      <c r="JP968" s="206"/>
      <c r="JQ968" s="185"/>
      <c r="JR968" s="185"/>
      <c r="JS968" s="185"/>
      <c r="JT968" s="185"/>
      <c r="JU968" s="185"/>
      <c r="JV968" s="140"/>
      <c r="JW968" s="140"/>
      <c r="JX968" s="206"/>
      <c r="JY968" s="185"/>
      <c r="JZ968" s="206"/>
      <c r="KA968" s="185"/>
      <c r="KB968" s="185"/>
      <c r="KC968" s="185"/>
      <c r="KD968" s="206"/>
      <c r="KE968" s="206"/>
      <c r="KF968" s="148"/>
      <c r="KG968" s="216"/>
      <c r="KH968" s="185"/>
      <c r="KI968" s="185"/>
      <c r="KJ968" s="185"/>
      <c r="KK968" s="185"/>
      <c r="KL968" s="206"/>
      <c r="KM968" s="185"/>
      <c r="KN968" s="148"/>
      <c r="KO968" s="216"/>
      <c r="KP968" s="185"/>
      <c r="KQ968" s="185"/>
      <c r="KR968" s="148"/>
      <c r="KS968" s="216"/>
      <c r="KT968" s="185"/>
      <c r="KU968" s="185"/>
      <c r="KV968" s="185"/>
      <c r="KW968" s="3"/>
      <c r="KX968" s="3"/>
      <c r="KY968" s="3"/>
      <c r="KZ968" s="3"/>
      <c r="LA968" s="206"/>
      <c r="LB968" s="206"/>
      <c r="LC968" s="206"/>
      <c r="LD968" s="206"/>
      <c r="LE968" s="206"/>
      <c r="LF968" s="206"/>
      <c r="LG968" s="206"/>
      <c r="LH968" s="206"/>
      <c r="LI968" s="206"/>
      <c r="LJ968" s="206"/>
      <c r="LK968" s="206"/>
      <c r="LL968" s="206"/>
      <c r="LM968" s="206"/>
      <c r="LN968" s="185"/>
      <c r="LO968" s="185"/>
      <c r="LP968" s="185"/>
      <c r="LQ968" s="185"/>
      <c r="LR968" s="185"/>
      <c r="LS968" s="185"/>
      <c r="LT968" s="185"/>
      <c r="LU968" s="185"/>
      <c r="LW968" s="2"/>
      <c r="LX968" s="2"/>
      <c r="LY968" s="2"/>
      <c r="LZ968" s="2"/>
      <c r="MA968" s="2"/>
      <c r="ME968" s="2"/>
      <c r="MF968" s="185"/>
      <c r="MG968" s="185"/>
      <c r="MH968" s="185"/>
      <c r="MI968" s="2"/>
      <c r="MJ968" s="2"/>
      <c r="MK968" s="2"/>
      <c r="ML968" s="2"/>
      <c r="MM968" s="2"/>
      <c r="MN968" s="2"/>
      <c r="MO968" s="2"/>
      <c r="MP968" s="2"/>
      <c r="MQ968" s="185"/>
      <c r="MR968" s="185"/>
      <c r="MS968" s="185"/>
      <c r="MT968" s="185"/>
      <c r="MU968" s="185"/>
      <c r="MV968" s="185"/>
      <c r="MW968" s="185"/>
      <c r="MX968" s="185"/>
      <c r="MY968" s="211" t="s">
        <v>1710</v>
      </c>
      <c r="MZ968" s="212">
        <v>16.25</v>
      </c>
      <c r="NI968" s="185"/>
      <c r="NJ968" s="185" t="s">
        <v>1728</v>
      </c>
      <c r="NK968" s="185" t="s">
        <v>1761</v>
      </c>
      <c r="NL968" s="185" t="s">
        <v>1762</v>
      </c>
      <c r="NM968" s="213" t="s">
        <v>1731</v>
      </c>
      <c r="NN968" s="185">
        <v>0</v>
      </c>
      <c r="NO968" s="185">
        <v>20</v>
      </c>
      <c r="NP968" s="185"/>
      <c r="NQ968" s="185"/>
      <c r="NR968" s="185"/>
      <c r="NS968" s="185"/>
      <c r="NT968" s="185"/>
      <c r="NU968" s="185" t="s">
        <v>553</v>
      </c>
      <c r="NV968" s="185" t="s">
        <v>518</v>
      </c>
      <c r="NW968" s="185">
        <v>20.46</v>
      </c>
      <c r="NX968" s="185" t="s">
        <v>480</v>
      </c>
      <c r="NY968" s="147"/>
      <c r="NZ968" s="147"/>
      <c r="OA968" s="133"/>
      <c r="OB968" s="185">
        <v>3</v>
      </c>
      <c r="OC968" s="185"/>
      <c r="OD968" s="185"/>
      <c r="OE968" s="185"/>
      <c r="OF968" s="185"/>
      <c r="OG968" s="185"/>
      <c r="OH968" s="185"/>
      <c r="OI968" s="185"/>
      <c r="OJ968" s="185"/>
      <c r="OK968" s="185"/>
      <c r="OL968" s="185"/>
      <c r="OM968" s="185"/>
      <c r="ON968" s="185"/>
      <c r="OO968" s="185"/>
      <c r="OP968" s="185"/>
      <c r="OQ968" s="185"/>
      <c r="OR968" s="185"/>
      <c r="OS968" s="185"/>
      <c r="OT968" s="185"/>
      <c r="OU968" t="s">
        <v>1763</v>
      </c>
      <c r="OV968" s="185" t="s">
        <v>518</v>
      </c>
      <c r="OX968">
        <v>2020</v>
      </c>
      <c r="OY968">
        <v>2021</v>
      </c>
      <c r="PB968" t="s">
        <v>522</v>
      </c>
      <c r="PC968" s="50">
        <v>46148</v>
      </c>
    </row>
    <row r="969" spans="1:419" ht="17.25" thickBot="1">
      <c r="A969" s="205" t="s">
        <v>861</v>
      </c>
      <c r="B969" s="2" t="s">
        <v>1700</v>
      </c>
      <c r="C969" s="2" t="s">
        <v>1387</v>
      </c>
      <c r="D969" s="88" t="s">
        <v>668</v>
      </c>
      <c r="E969" s="2" t="s">
        <v>1701</v>
      </c>
      <c r="F969" s="88" t="s">
        <v>1702</v>
      </c>
      <c r="G969" s="2" t="s">
        <v>475</v>
      </c>
      <c r="H969" s="2" t="s">
        <v>476</v>
      </c>
      <c r="I969" s="88">
        <v>-11.474220000000001</v>
      </c>
      <c r="J969" s="88" t="s">
        <v>1703</v>
      </c>
      <c r="K969" s="88">
        <v>1000</v>
      </c>
      <c r="L969" s="2"/>
      <c r="M969" s="88"/>
      <c r="N969" s="2"/>
      <c r="O969" s="2"/>
      <c r="P969" s="2"/>
      <c r="Q969" s="2"/>
      <c r="R969" s="2"/>
      <c r="S969" s="2"/>
      <c r="T969" s="2"/>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c r="AV969" s="2" t="s">
        <v>1704</v>
      </c>
      <c r="AW969" s="2">
        <v>28</v>
      </c>
      <c r="AX969" s="2" t="s">
        <v>480</v>
      </c>
      <c r="AY969" s="2">
        <v>2</v>
      </c>
      <c r="AZ969" s="185" t="s">
        <v>1705</v>
      </c>
      <c r="BA969" s="185">
        <v>2020</v>
      </c>
      <c r="BB969" s="185">
        <v>2022</v>
      </c>
      <c r="BC969" s="185"/>
      <c r="BD969" s="185" t="s">
        <v>1759</v>
      </c>
      <c r="BE969" s="185" t="s">
        <v>617</v>
      </c>
      <c r="BF969" s="185" t="s">
        <v>484</v>
      </c>
      <c r="BG969" s="185" t="s">
        <v>538</v>
      </c>
      <c r="BH969" s="185" t="s">
        <v>1713</v>
      </c>
      <c r="BI969" s="206" t="s">
        <v>1709</v>
      </c>
      <c r="BJ969" s="207">
        <v>13.3</v>
      </c>
      <c r="BK969" s="185" t="s">
        <v>537</v>
      </c>
      <c r="BL969" s="185" t="s">
        <v>485</v>
      </c>
      <c r="BM969" s="185" t="s">
        <v>1719</v>
      </c>
      <c r="BN969" s="206" t="s">
        <v>1709</v>
      </c>
      <c r="BO969" s="207">
        <v>4.4000000000000004</v>
      </c>
      <c r="BP969" s="185"/>
      <c r="BQ969" s="185"/>
      <c r="BR969" s="185"/>
      <c r="BS969" s="185"/>
      <c r="BT969" s="185"/>
      <c r="BU969" s="185"/>
      <c r="BV969" s="3"/>
      <c r="BW969" s="3"/>
      <c r="BX969" s="3"/>
      <c r="BY969" s="3"/>
      <c r="BZ969" s="3"/>
      <c r="CA969" s="3"/>
      <c r="CB969" s="3"/>
      <c r="CC969" s="3"/>
      <c r="CD969" s="3"/>
      <c r="CE969" s="3"/>
      <c r="CF969" s="3"/>
      <c r="CG969" s="3"/>
      <c r="CH969" s="3"/>
      <c r="CI969" s="3"/>
      <c r="CJ969" s="3"/>
      <c r="CK969" s="3"/>
      <c r="CL969" s="3"/>
      <c r="CM969" s="3"/>
      <c r="CN969" s="3"/>
      <c r="CO969" s="3"/>
      <c r="CP969" s="3"/>
      <c r="CQ969" s="3"/>
      <c r="CR969" s="3"/>
      <c r="CS969" s="3"/>
      <c r="CT969" s="3"/>
      <c r="CU969" s="3"/>
      <c r="CV969" s="3"/>
      <c r="CW969" s="3"/>
      <c r="CX969" s="3"/>
      <c r="CY969" s="3"/>
      <c r="CZ969" s="3"/>
      <c r="DA969" s="3"/>
      <c r="DB969" s="3"/>
      <c r="DC969" s="3"/>
      <c r="DD969" s="3"/>
      <c r="DE969" s="3"/>
      <c r="DF969" s="3"/>
      <c r="DG969" s="3"/>
      <c r="DH969" s="3"/>
      <c r="DI969" s="3"/>
      <c r="DJ969" s="3"/>
      <c r="DK969" s="3"/>
      <c r="DL969" s="3"/>
      <c r="DM969" s="3"/>
      <c r="DN969" s="3"/>
      <c r="DO969" s="3"/>
      <c r="DP969" s="3"/>
      <c r="DQ969" s="3"/>
      <c r="DR969" s="3"/>
      <c r="DS969" s="3"/>
      <c r="DT969" s="3"/>
      <c r="DU969" s="3"/>
      <c r="DV969" s="3"/>
      <c r="DW969" s="3"/>
      <c r="DX969" s="3"/>
      <c r="DY969" s="3"/>
      <c r="DZ969" s="3"/>
      <c r="EA969" s="3"/>
      <c r="EB969" s="3"/>
      <c r="EC969" s="3"/>
      <c r="ED969" s="2"/>
      <c r="EE969" s="185"/>
      <c r="EF969" s="185"/>
      <c r="EG969" s="185"/>
      <c r="EH969" s="185"/>
      <c r="EI969" s="185"/>
      <c r="EJ969" s="185"/>
      <c r="EK969" s="185"/>
      <c r="EL969" s="3"/>
      <c r="EM969" s="3"/>
      <c r="EN969" s="3"/>
      <c r="EO969" s="3"/>
      <c r="EP969" s="3"/>
      <c r="EQ969" s="3"/>
      <c r="ER969" s="3"/>
      <c r="ES969" s="3"/>
      <c r="ET969" s="3"/>
      <c r="EU969" s="3"/>
      <c r="EV969" s="3"/>
      <c r="EW969" s="3"/>
      <c r="EX969" s="3"/>
      <c r="EY969" s="3"/>
      <c r="EZ969" s="3"/>
      <c r="FA969" s="3"/>
      <c r="FB969" s="3"/>
      <c r="FC969" s="3"/>
      <c r="FD969" s="3"/>
      <c r="FE969" s="3"/>
      <c r="FF969" s="3"/>
      <c r="FG969" s="3"/>
      <c r="FH969" s="3"/>
      <c r="FI969" s="3"/>
      <c r="FJ969" s="3"/>
      <c r="FK969" s="3"/>
      <c r="FL969" s="3"/>
      <c r="FM969" s="3"/>
      <c r="FN969" s="3"/>
      <c r="FO969" s="3"/>
      <c r="FP969" s="3"/>
      <c r="FQ969" s="3"/>
      <c r="FR969" s="3"/>
      <c r="FS969" s="3"/>
      <c r="FT969" s="3"/>
      <c r="FU969" s="3"/>
      <c r="FV969" s="3"/>
      <c r="FW969" s="3"/>
      <c r="FX969" s="3"/>
      <c r="FY969" s="3"/>
      <c r="FZ969" s="3"/>
      <c r="GA969" s="3"/>
      <c r="GB969" s="3"/>
      <c r="GC969" s="3"/>
      <c r="GD969" s="3"/>
      <c r="GE969" s="3"/>
      <c r="GF969" s="3"/>
      <c r="GG969" s="3"/>
      <c r="GH969" s="3"/>
      <c r="GI969" s="3"/>
      <c r="GJ969" s="3"/>
      <c r="GK969" s="3"/>
      <c r="GL969" s="3"/>
      <c r="GM969" s="3"/>
      <c r="GN969" s="3"/>
      <c r="GO969" s="3"/>
      <c r="GP969" s="3"/>
      <c r="GQ969" s="3"/>
      <c r="GR969" s="3"/>
      <c r="GS969" s="3"/>
      <c r="GT969" s="3"/>
      <c r="GU969" s="3"/>
      <c r="GV969" s="3"/>
      <c r="GW969" s="3"/>
      <c r="GX969" s="3"/>
      <c r="GY969" s="3"/>
      <c r="GZ969" s="3"/>
      <c r="HA969" s="3"/>
      <c r="HB969" s="3"/>
      <c r="HC969" s="3"/>
      <c r="HD969" s="3"/>
      <c r="HE969" s="3"/>
      <c r="HF969" s="3"/>
      <c r="HG969" s="3"/>
      <c r="HH969" s="3"/>
      <c r="HI969" s="3"/>
      <c r="HJ969" s="3"/>
      <c r="HK969" s="185" t="s">
        <v>1747</v>
      </c>
      <c r="HL969" s="185" t="s">
        <v>526</v>
      </c>
      <c r="HM969" s="127" t="s">
        <v>480</v>
      </c>
      <c r="HN969" s="127" t="s">
        <v>480</v>
      </c>
      <c r="HO969" s="185" t="s">
        <v>480</v>
      </c>
      <c r="HP969" s="127" t="s">
        <v>480</v>
      </c>
      <c r="HQ969" s="185"/>
      <c r="HR969" s="185"/>
      <c r="HS969" s="206"/>
      <c r="HT969" s="185"/>
      <c r="HU969" s="185"/>
      <c r="HV969" s="185"/>
      <c r="HW969" s="185"/>
      <c r="HX969" s="215"/>
      <c r="HY969" s="185"/>
      <c r="HZ969" s="185"/>
      <c r="IA969" s="185"/>
      <c r="IB969" s="185"/>
      <c r="IC969" s="185"/>
      <c r="ID969" s="185"/>
      <c r="IE969" s="185"/>
      <c r="IF969" s="185"/>
      <c r="IG969" s="185"/>
      <c r="IH969" s="185" t="s">
        <v>1720</v>
      </c>
      <c r="II969" s="148" t="s">
        <v>1714</v>
      </c>
      <c r="IJ969" s="148" t="s">
        <v>542</v>
      </c>
      <c r="IK969" s="210" t="s">
        <v>1715</v>
      </c>
      <c r="IL969" s="185">
        <v>2020</v>
      </c>
      <c r="IM969" s="185"/>
      <c r="IN969" s="185" t="s">
        <v>1716</v>
      </c>
      <c r="IO969" s="185"/>
      <c r="IP969" s="185"/>
      <c r="IQ969" s="185"/>
      <c r="IR969" s="185"/>
      <c r="IS969" s="185"/>
      <c r="IT969" s="185"/>
      <c r="IU969" s="185"/>
      <c r="IV969" s="185"/>
      <c r="IW969" s="185"/>
      <c r="IX969" s="2"/>
      <c r="IY969" s="2"/>
      <c r="IZ969" s="2"/>
      <c r="JA969" s="2"/>
      <c r="JB969" s="2"/>
      <c r="JC969" s="2"/>
      <c r="JD969" s="2"/>
      <c r="JE969" s="2"/>
      <c r="JF969" s="2"/>
      <c r="JG969" s="2"/>
      <c r="JH969" s="2"/>
      <c r="JI969" s="2"/>
      <c r="JJ969" s="2" t="s">
        <v>1727</v>
      </c>
      <c r="JK969" s="2" t="s">
        <v>682</v>
      </c>
      <c r="JL969" s="151"/>
      <c r="JM969" s="140"/>
      <c r="JN969" s="206"/>
      <c r="JO969" s="185"/>
      <c r="JP969" s="206"/>
      <c r="JQ969" s="185"/>
      <c r="JR969" s="185"/>
      <c r="JS969" s="185"/>
      <c r="JT969" s="185"/>
      <c r="JU969" s="185"/>
      <c r="JV969" s="140"/>
      <c r="JW969" s="140"/>
      <c r="JX969" s="206"/>
      <c r="JY969" s="185"/>
      <c r="JZ969" s="206"/>
      <c r="KA969" s="185"/>
      <c r="KB969" s="185"/>
      <c r="KC969" s="185"/>
      <c r="KD969" s="206"/>
      <c r="KE969" s="206"/>
      <c r="KF969" s="148"/>
      <c r="KG969" s="216"/>
      <c r="KH969" s="185"/>
      <c r="KI969" s="185"/>
      <c r="KJ969" s="185"/>
      <c r="KK969" s="185"/>
      <c r="KL969" s="206"/>
      <c r="KM969" s="185"/>
      <c r="KN969" s="148"/>
      <c r="KO969" s="216"/>
      <c r="KP969" s="185"/>
      <c r="KQ969" s="185"/>
      <c r="KR969" s="148"/>
      <c r="KS969" s="216"/>
      <c r="KT969" s="185"/>
      <c r="KU969" s="185"/>
      <c r="KV969" s="185"/>
      <c r="KW969" s="3"/>
      <c r="KX969" s="3"/>
      <c r="KY969" s="3"/>
      <c r="KZ969" s="3"/>
      <c r="LA969" s="206"/>
      <c r="LB969" s="206"/>
      <c r="LC969" s="206"/>
      <c r="LD969" s="206"/>
      <c r="LE969" s="206"/>
      <c r="LF969" s="206"/>
      <c r="LG969" s="206"/>
      <c r="LH969" s="206"/>
      <c r="LI969" s="206"/>
      <c r="LJ969" s="206"/>
      <c r="LK969" s="206"/>
      <c r="LL969" s="206"/>
      <c r="LM969" s="206"/>
      <c r="LN969" s="185"/>
      <c r="LO969" s="185"/>
      <c r="LP969" s="185"/>
      <c r="LQ969" s="185"/>
      <c r="LR969" s="185"/>
      <c r="LS969" s="185"/>
      <c r="LT969" s="185"/>
      <c r="LU969" s="185"/>
      <c r="LW969" s="2"/>
      <c r="LX969" s="2"/>
      <c r="LY969" s="2"/>
      <c r="LZ969" s="2"/>
      <c r="MA969" s="2"/>
      <c r="ME969" s="2"/>
      <c r="MF969" s="185"/>
      <c r="MG969" s="185"/>
      <c r="MH969" s="185"/>
      <c r="MI969" s="2"/>
      <c r="MJ969" s="2"/>
      <c r="MK969" s="2"/>
      <c r="ML969" s="2"/>
      <c r="MM969" s="2"/>
      <c r="MN969" s="2"/>
      <c r="MO969" s="2"/>
      <c r="MP969" s="2"/>
      <c r="MQ969" s="185"/>
      <c r="MR969" s="185"/>
      <c r="MS969" s="185"/>
      <c r="MT969" s="185"/>
      <c r="MU969" s="185"/>
      <c r="MV969" s="185"/>
      <c r="MW969" s="185"/>
      <c r="MX969" s="185"/>
      <c r="MY969" s="211" t="s">
        <v>1710</v>
      </c>
      <c r="MZ969" s="212">
        <v>16.25</v>
      </c>
      <c r="NI969" s="185"/>
      <c r="NJ969" s="185" t="s">
        <v>1728</v>
      </c>
      <c r="NK969" s="185" t="s">
        <v>1761</v>
      </c>
      <c r="NL969" s="185" t="s">
        <v>1762</v>
      </c>
      <c r="NM969" s="213" t="s">
        <v>1731</v>
      </c>
      <c r="NN969" s="185">
        <v>0</v>
      </c>
      <c r="NO969" s="185">
        <v>20</v>
      </c>
      <c r="NP969" s="185"/>
      <c r="NQ969" s="185"/>
      <c r="NR969" s="185"/>
      <c r="NS969" s="185"/>
      <c r="NT969" s="185"/>
      <c r="NU969" s="185" t="s">
        <v>607</v>
      </c>
      <c r="NV969" s="185" t="s">
        <v>518</v>
      </c>
      <c r="NW969" s="185">
        <v>19.690000000000001</v>
      </c>
      <c r="NX969" s="185" t="s">
        <v>480</v>
      </c>
      <c r="NY969" s="147"/>
      <c r="NZ969" s="147"/>
      <c r="OA969" s="133"/>
      <c r="OB969" s="185">
        <v>3</v>
      </c>
      <c r="OD969" s="185"/>
      <c r="OE969" s="185"/>
      <c r="OF969" s="185"/>
      <c r="OG969" s="185"/>
      <c r="OH969" s="185"/>
      <c r="OI969" s="185"/>
      <c r="OJ969" s="185"/>
      <c r="OK969" s="185"/>
      <c r="OL969" s="185"/>
      <c r="OM969" s="185"/>
      <c r="ON969" s="185"/>
      <c r="OO969" s="185"/>
      <c r="OP969" s="185"/>
      <c r="OQ969" s="185"/>
      <c r="OR969" s="185"/>
      <c r="OS969" s="185"/>
      <c r="OT969" s="185"/>
      <c r="OU969" t="s">
        <v>1763</v>
      </c>
      <c r="OV969" s="185" t="s">
        <v>518</v>
      </c>
      <c r="OX969">
        <v>2020</v>
      </c>
      <c r="OY969">
        <v>2021</v>
      </c>
      <c r="PB969" t="s">
        <v>522</v>
      </c>
      <c r="PC969" s="50">
        <v>46148</v>
      </c>
    </row>
    <row r="970" spans="1:419" ht="17.25" thickBot="1">
      <c r="A970" s="205" t="s">
        <v>861</v>
      </c>
      <c r="B970" s="2" t="s">
        <v>1700</v>
      </c>
      <c r="C970" s="2" t="s">
        <v>1387</v>
      </c>
      <c r="D970" s="88" t="s">
        <v>668</v>
      </c>
      <c r="E970" s="2" t="s">
        <v>1701</v>
      </c>
      <c r="F970" s="88" t="s">
        <v>1702</v>
      </c>
      <c r="G970" s="2" t="s">
        <v>475</v>
      </c>
      <c r="H970" s="2" t="s">
        <v>476</v>
      </c>
      <c r="I970" s="88">
        <v>-11.474220000000001</v>
      </c>
      <c r="J970" s="88" t="s">
        <v>1703</v>
      </c>
      <c r="K970" s="88">
        <v>1000</v>
      </c>
      <c r="L970" s="2"/>
      <c r="M970" s="88"/>
      <c r="N970" s="2"/>
      <c r="O970" s="2"/>
      <c r="P970" s="2"/>
      <c r="Q970" s="2"/>
      <c r="R970" s="2"/>
      <c r="S970" s="2"/>
      <c r="T970" s="2"/>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c r="AV970" s="2" t="s">
        <v>1704</v>
      </c>
      <c r="AW970" s="2">
        <v>28</v>
      </c>
      <c r="AX970" s="2" t="s">
        <v>480</v>
      </c>
      <c r="AY970" s="2">
        <v>2</v>
      </c>
      <c r="AZ970" s="185" t="s">
        <v>1705</v>
      </c>
      <c r="BA970" s="185">
        <v>2020</v>
      </c>
      <c r="BB970" s="185">
        <v>2022</v>
      </c>
      <c r="BC970" s="185"/>
      <c r="BD970" s="185" t="s">
        <v>1760</v>
      </c>
      <c r="BE970" s="185" t="s">
        <v>636</v>
      </c>
      <c r="BF970" s="185" t="s">
        <v>484</v>
      </c>
      <c r="BG970" s="185" t="s">
        <v>1707</v>
      </c>
      <c r="BH970" s="185" t="s">
        <v>1708</v>
      </c>
      <c r="BI970" s="206" t="s">
        <v>1709</v>
      </c>
      <c r="BJ970" s="207">
        <v>4.4000000000000004</v>
      </c>
      <c r="BK970" s="185" t="s">
        <v>537</v>
      </c>
      <c r="BL970" s="185" t="s">
        <v>538</v>
      </c>
      <c r="BM970" s="185" t="s">
        <v>1713</v>
      </c>
      <c r="BN970" s="206" t="s">
        <v>1709</v>
      </c>
      <c r="BO970" s="207">
        <v>13.3</v>
      </c>
      <c r="BP970" s="185"/>
      <c r="BQ970" s="185"/>
      <c r="BR970" s="185"/>
      <c r="BS970" s="185"/>
      <c r="BT970" s="185"/>
      <c r="BU970" s="185"/>
      <c r="BV970" s="3"/>
      <c r="BW970" s="3"/>
      <c r="BX970" s="3"/>
      <c r="BY970" s="3"/>
      <c r="BZ970" s="3"/>
      <c r="CA970" s="3"/>
      <c r="CB970" s="3"/>
      <c r="CC970" s="3"/>
      <c r="CD970" s="3"/>
      <c r="CE970" s="3"/>
      <c r="CF970" s="3"/>
      <c r="CG970" s="3"/>
      <c r="CH970" s="3"/>
      <c r="CI970" s="3"/>
      <c r="CJ970" s="3"/>
      <c r="CK970" s="3"/>
      <c r="CL970" s="3"/>
      <c r="CM970" s="3"/>
      <c r="CN970" s="3"/>
      <c r="CO970" s="3"/>
      <c r="CP970" s="3"/>
      <c r="CQ970" s="3"/>
      <c r="CR970" s="3"/>
      <c r="CS970" s="3"/>
      <c r="CT970" s="3"/>
      <c r="CU970" s="3"/>
      <c r="CV970" s="3"/>
      <c r="CW970" s="3"/>
      <c r="CX970" s="3"/>
      <c r="CY970" s="3"/>
      <c r="CZ970" s="3"/>
      <c r="DA970" s="3"/>
      <c r="DB970" s="3"/>
      <c r="DC970" s="3"/>
      <c r="DD970" s="3"/>
      <c r="DE970" s="3"/>
      <c r="DF970" s="3"/>
      <c r="DG970" s="3"/>
      <c r="DH970" s="3"/>
      <c r="DI970" s="3"/>
      <c r="DJ970" s="3"/>
      <c r="DK970" s="3"/>
      <c r="DL970" s="3"/>
      <c r="DM970" s="3"/>
      <c r="DN970" s="3"/>
      <c r="DO970" s="3"/>
      <c r="DP970" s="3"/>
      <c r="DQ970" s="3"/>
      <c r="DR970" s="3"/>
      <c r="DS970" s="3"/>
      <c r="DT970" s="3"/>
      <c r="DU970" s="3"/>
      <c r="DV970" s="3"/>
      <c r="DW970" s="3"/>
      <c r="DX970" s="3"/>
      <c r="DY970" s="3"/>
      <c r="DZ970" s="3"/>
      <c r="EA970" s="3"/>
      <c r="EB970" s="3"/>
      <c r="EC970" s="3"/>
      <c r="ED970" s="2"/>
      <c r="EE970" s="185"/>
      <c r="EF970" s="185"/>
      <c r="EG970" s="185"/>
      <c r="EH970" s="185"/>
      <c r="EI970" s="185"/>
      <c r="EJ970" s="185"/>
      <c r="EK970" s="185"/>
      <c r="EL970" s="3"/>
      <c r="EM970" s="3"/>
      <c r="EN970" s="3"/>
      <c r="EO970" s="3"/>
      <c r="EP970" s="3"/>
      <c r="EQ970" s="3"/>
      <c r="ER970" s="3"/>
      <c r="ES970" s="3"/>
      <c r="ET970" s="3"/>
      <c r="EU970" s="3"/>
      <c r="EV970" s="3"/>
      <c r="EW970" s="3"/>
      <c r="EX970" s="3"/>
      <c r="EY970" s="3"/>
      <c r="EZ970" s="3"/>
      <c r="FA970" s="3"/>
      <c r="FB970" s="3"/>
      <c r="FC970" s="3"/>
      <c r="FD970" s="3"/>
      <c r="FE970" s="3"/>
      <c r="FF970" s="3"/>
      <c r="FG970" s="3"/>
      <c r="FH970" s="3"/>
      <c r="FI970" s="3"/>
      <c r="FJ970" s="3"/>
      <c r="FK970" s="3"/>
      <c r="FL970" s="3"/>
      <c r="FM970" s="3"/>
      <c r="FN970" s="3"/>
      <c r="FO970" s="3"/>
      <c r="FP970" s="3"/>
      <c r="FQ970" s="3"/>
      <c r="FR970" s="3"/>
      <c r="FS970" s="3"/>
      <c r="FT970" s="3"/>
      <c r="FU970" s="3"/>
      <c r="FV970" s="3"/>
      <c r="FW970" s="3"/>
      <c r="FX970" s="3"/>
      <c r="FY970" s="3"/>
      <c r="FZ970" s="3"/>
      <c r="GA970" s="3"/>
      <c r="GB970" s="3"/>
      <c r="GC970" s="3"/>
      <c r="GD970" s="3"/>
      <c r="GE970" s="3"/>
      <c r="GF970" s="3"/>
      <c r="GG970" s="3"/>
      <c r="GH970" s="3"/>
      <c r="GI970" s="3"/>
      <c r="GJ970" s="3"/>
      <c r="GK970" s="3"/>
      <c r="GL970" s="3"/>
      <c r="GM970" s="3"/>
      <c r="GN970" s="3"/>
      <c r="GO970" s="3"/>
      <c r="GP970" s="3"/>
      <c r="GQ970" s="3"/>
      <c r="GR970" s="3"/>
      <c r="GS970" s="3"/>
      <c r="GT970" s="3"/>
      <c r="GU970" s="3"/>
      <c r="GV970" s="3"/>
      <c r="GW970" s="3"/>
      <c r="GX970" s="3"/>
      <c r="GY970" s="3"/>
      <c r="GZ970" s="3"/>
      <c r="HA970" s="3"/>
      <c r="HB970" s="3"/>
      <c r="HC970" s="3"/>
      <c r="HD970" s="3"/>
      <c r="HE970" s="3"/>
      <c r="HF970" s="3"/>
      <c r="HG970" s="3"/>
      <c r="HH970" s="3"/>
      <c r="HI970" s="3"/>
      <c r="HJ970" s="3"/>
      <c r="HK970" s="185" t="s">
        <v>1747</v>
      </c>
      <c r="HL970" s="185" t="s">
        <v>526</v>
      </c>
      <c r="HM970" s="127" t="s">
        <v>480</v>
      </c>
      <c r="HN970" s="127" t="s">
        <v>480</v>
      </c>
      <c r="HO970" s="185" t="s">
        <v>480</v>
      </c>
      <c r="HP970" s="127" t="s">
        <v>480</v>
      </c>
      <c r="HQ970" s="185"/>
      <c r="HR970" s="185"/>
      <c r="HS970" s="206"/>
      <c r="HT970" s="185"/>
      <c r="HU970" s="185"/>
      <c r="HV970" s="185"/>
      <c r="HW970" s="185"/>
      <c r="HX970" s="215"/>
      <c r="HY970" s="185"/>
      <c r="HZ970" s="185"/>
      <c r="IA970" s="185"/>
      <c r="IB970" s="185"/>
      <c r="IC970" s="185"/>
      <c r="ID970" s="185"/>
      <c r="IE970" s="185"/>
      <c r="IF970" s="185"/>
      <c r="IG970" s="185"/>
      <c r="IH970" s="185" t="s">
        <v>1712</v>
      </c>
      <c r="II970" s="148" t="s">
        <v>1714</v>
      </c>
      <c r="IJ970" s="148" t="s">
        <v>542</v>
      </c>
      <c r="IK970" s="210" t="s">
        <v>1715</v>
      </c>
      <c r="IL970" s="185">
        <v>2020</v>
      </c>
      <c r="IM970" s="185"/>
      <c r="IN970" s="185" t="s">
        <v>1716</v>
      </c>
      <c r="IO970" s="185"/>
      <c r="IP970" s="185"/>
      <c r="IQ970" s="185"/>
      <c r="IR970" s="185"/>
      <c r="IS970" s="185"/>
      <c r="IT970" s="185"/>
      <c r="IU970" s="185"/>
      <c r="IV970" s="185"/>
      <c r="IW970" s="185"/>
      <c r="IX970" s="2"/>
      <c r="IY970" s="2"/>
      <c r="IZ970" s="2"/>
      <c r="JA970" s="2"/>
      <c r="JB970" s="2"/>
      <c r="JC970" s="2"/>
      <c r="JD970" s="2"/>
      <c r="JE970" s="2"/>
      <c r="JF970" s="2"/>
      <c r="JG970" s="2"/>
      <c r="JH970" s="2"/>
      <c r="JI970" s="2"/>
      <c r="JJ970" s="2" t="s">
        <v>1727</v>
      </c>
      <c r="JK970" s="2" t="s">
        <v>682</v>
      </c>
      <c r="JL970" s="151"/>
      <c r="JM970" s="140"/>
      <c r="JN970" s="206"/>
      <c r="JO970" s="185"/>
      <c r="JP970" s="206"/>
      <c r="JQ970" s="185"/>
      <c r="JR970" s="185"/>
      <c r="JS970" s="185"/>
      <c r="JT970" s="185"/>
      <c r="JU970" s="185"/>
      <c r="JV970" s="140"/>
      <c r="JW970" s="140"/>
      <c r="JX970" s="206"/>
      <c r="JY970" s="185"/>
      <c r="JZ970" s="206"/>
      <c r="KA970" s="185"/>
      <c r="KB970" s="185"/>
      <c r="KC970" s="185"/>
      <c r="KD970" s="206"/>
      <c r="KE970" s="206"/>
      <c r="KF970" s="148"/>
      <c r="KG970" s="216"/>
      <c r="KH970" s="185"/>
      <c r="KI970" s="185"/>
      <c r="KJ970" s="185"/>
      <c r="KK970" s="185"/>
      <c r="KL970" s="206"/>
      <c r="KM970" s="185"/>
      <c r="KN970" s="148"/>
      <c r="KO970" s="216"/>
      <c r="KP970" s="185"/>
      <c r="KQ970" s="185"/>
      <c r="KR970" s="148"/>
      <c r="KS970" s="216"/>
      <c r="KT970" s="185"/>
      <c r="KU970" s="185"/>
      <c r="KV970" s="185"/>
      <c r="KW970" s="3"/>
      <c r="KX970" s="3"/>
      <c r="KY970" s="3"/>
      <c r="KZ970" s="3"/>
      <c r="LA970" s="206"/>
      <c r="LB970" s="206"/>
      <c r="LC970" s="206"/>
      <c r="LD970" s="206"/>
      <c r="LE970" s="206"/>
      <c r="LF970" s="206"/>
      <c r="LG970" s="206"/>
      <c r="LH970" s="206"/>
      <c r="LI970" s="206"/>
      <c r="LJ970" s="206"/>
      <c r="LK970" s="206"/>
      <c r="LL970" s="206"/>
      <c r="LM970" s="206"/>
      <c r="LN970" s="185"/>
      <c r="LO970" s="185"/>
      <c r="LP970" s="185"/>
      <c r="LQ970" s="185"/>
      <c r="LR970" s="185"/>
      <c r="LS970" s="185"/>
      <c r="LT970" s="185"/>
      <c r="LU970" s="185"/>
      <c r="LW970" s="2"/>
      <c r="LX970" s="2"/>
      <c r="LY970" s="2"/>
      <c r="LZ970" s="2"/>
      <c r="MA970" s="2"/>
      <c r="ME970" s="2"/>
      <c r="MF970" s="185"/>
      <c r="MG970" s="185"/>
      <c r="MH970" s="185"/>
      <c r="MI970" s="2"/>
      <c r="MJ970" s="2"/>
      <c r="MK970" s="2"/>
      <c r="ML970" s="2"/>
      <c r="MM970" s="2"/>
      <c r="MN970" s="2"/>
      <c r="MO970" s="2"/>
      <c r="MP970" s="2"/>
      <c r="MQ970" s="185"/>
      <c r="MR970" s="185"/>
      <c r="MS970" s="185"/>
      <c r="MT970" s="185"/>
      <c r="MU970" s="185"/>
      <c r="MV970" s="185"/>
      <c r="MW970" s="185"/>
      <c r="MX970" s="185"/>
      <c r="MY970" s="211" t="s">
        <v>1710</v>
      </c>
      <c r="MZ970" s="212">
        <v>16.25</v>
      </c>
      <c r="NI970" s="185"/>
      <c r="NJ970" s="185" t="s">
        <v>1728</v>
      </c>
      <c r="NK970" s="185" t="s">
        <v>1761</v>
      </c>
      <c r="NL970" s="185" t="s">
        <v>1762</v>
      </c>
      <c r="NM970" s="213" t="s">
        <v>1731</v>
      </c>
      <c r="NN970" s="185">
        <v>0</v>
      </c>
      <c r="NO970" s="185">
        <v>20</v>
      </c>
      <c r="NP970" s="185"/>
      <c r="NQ970" s="185"/>
      <c r="NR970" s="185"/>
      <c r="NS970" s="185"/>
      <c r="NT970" s="185"/>
      <c r="NU970" s="185" t="s">
        <v>611</v>
      </c>
      <c r="NV970" s="185" t="s">
        <v>518</v>
      </c>
      <c r="NW970" s="185">
        <v>22.92</v>
      </c>
      <c r="NX970" s="185" t="s">
        <v>480</v>
      </c>
      <c r="NY970" s="147"/>
      <c r="NZ970" s="147"/>
      <c r="OA970" s="133"/>
      <c r="OB970" s="185">
        <v>3</v>
      </c>
      <c r="OC970" s="185"/>
      <c r="OD970" s="185"/>
      <c r="OE970" s="185"/>
      <c r="OF970" s="185"/>
      <c r="OG970" s="185"/>
      <c r="OH970" s="185"/>
      <c r="OI970" s="185"/>
      <c r="OJ970" s="185"/>
      <c r="OK970" s="185"/>
      <c r="OL970" s="185"/>
      <c r="OM970" s="185"/>
      <c r="ON970" s="185"/>
      <c r="OO970" s="185"/>
      <c r="OP970" s="185"/>
      <c r="OQ970" s="185"/>
      <c r="OR970" s="185"/>
      <c r="OS970" s="185"/>
      <c r="OT970" s="185"/>
      <c r="OU970" t="s">
        <v>1763</v>
      </c>
      <c r="OV970" s="185" t="s">
        <v>518</v>
      </c>
      <c r="OX970">
        <v>2020</v>
      </c>
      <c r="OY970">
        <v>2021</v>
      </c>
      <c r="PB970" t="s">
        <v>522</v>
      </c>
      <c r="PC970" s="50">
        <v>46148</v>
      </c>
    </row>
    <row r="971" spans="1:419" ht="17.25" thickBot="1">
      <c r="A971" s="205" t="s">
        <v>861</v>
      </c>
      <c r="B971" s="2" t="s">
        <v>1700</v>
      </c>
      <c r="C971" s="2" t="s">
        <v>1387</v>
      </c>
      <c r="D971" s="88" t="s">
        <v>668</v>
      </c>
      <c r="E971" s="2" t="s">
        <v>1701</v>
      </c>
      <c r="F971" s="88" t="s">
        <v>1702</v>
      </c>
      <c r="G971" s="2" t="s">
        <v>475</v>
      </c>
      <c r="H971" s="2" t="s">
        <v>476</v>
      </c>
      <c r="I971" s="88">
        <v>-11.474220000000001</v>
      </c>
      <c r="J971" s="88" t="s">
        <v>1703</v>
      </c>
      <c r="K971" s="88">
        <v>1000</v>
      </c>
      <c r="L971" s="2"/>
      <c r="M971" s="88"/>
      <c r="N971" s="2"/>
      <c r="O971" s="2"/>
      <c r="P971" s="2"/>
      <c r="Q971" s="2"/>
      <c r="R971" s="2"/>
      <c r="S971" s="2"/>
      <c r="T971" s="2"/>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c r="AV971" s="2" t="s">
        <v>1704</v>
      </c>
      <c r="AW971" s="2">
        <v>28</v>
      </c>
      <c r="AX971" s="2" t="s">
        <v>480</v>
      </c>
      <c r="AY971" s="2">
        <v>2</v>
      </c>
      <c r="AZ971" s="185" t="s">
        <v>1705</v>
      </c>
      <c r="BA971" s="185">
        <v>2020</v>
      </c>
      <c r="BB971" s="185">
        <v>2022</v>
      </c>
      <c r="BC971" s="185"/>
      <c r="BD971" s="185" t="s">
        <v>1725</v>
      </c>
      <c r="BE971" s="185" t="s">
        <v>602</v>
      </c>
      <c r="BF971" s="185" t="s">
        <v>484</v>
      </c>
      <c r="BG971" s="185" t="s">
        <v>485</v>
      </c>
      <c r="BH971" s="185" t="s">
        <v>1719</v>
      </c>
      <c r="BI971" s="206" t="s">
        <v>1709</v>
      </c>
      <c r="BJ971" s="207">
        <v>4.4000000000000004</v>
      </c>
      <c r="BK971" s="185"/>
      <c r="BL971" s="185"/>
      <c r="BM971" s="185"/>
      <c r="BN971" s="185"/>
      <c r="BO971" s="185"/>
      <c r="BP971" s="185"/>
      <c r="BQ971" s="185"/>
      <c r="BR971" s="185"/>
      <c r="BS971" s="185"/>
      <c r="BT971" s="185"/>
      <c r="BU971" s="185"/>
      <c r="BV971" s="3"/>
      <c r="BW971" s="3"/>
      <c r="BX971" s="3"/>
      <c r="BY971" s="3"/>
      <c r="BZ971" s="3"/>
      <c r="CA971" s="3"/>
      <c r="CB971" s="3"/>
      <c r="CC971" s="3"/>
      <c r="CD971" s="3"/>
      <c r="CE971" s="3"/>
      <c r="CF971" s="3"/>
      <c r="CG971" s="3"/>
      <c r="CH971" s="3"/>
      <c r="CI971" s="3"/>
      <c r="CJ971" s="3"/>
      <c r="CK971" s="3"/>
      <c r="CL971" s="3"/>
      <c r="CM971" s="3"/>
      <c r="CN971" s="3"/>
      <c r="CO971" s="3"/>
      <c r="CP971" s="3"/>
      <c r="CQ971" s="3"/>
      <c r="CR971" s="3"/>
      <c r="CS971" s="3"/>
      <c r="CT971" s="3"/>
      <c r="CU971" s="3"/>
      <c r="CV971" s="3"/>
      <c r="CW971" s="3"/>
      <c r="CX971" s="3"/>
      <c r="CY971" s="3"/>
      <c r="CZ971" s="3"/>
      <c r="DA971" s="3"/>
      <c r="DB971" s="3"/>
      <c r="DC971" s="3"/>
      <c r="DD971" s="3"/>
      <c r="DE971" s="3"/>
      <c r="DF971" s="3"/>
      <c r="DG971" s="3"/>
      <c r="DH971" s="3"/>
      <c r="DI971" s="3"/>
      <c r="DJ971" s="3"/>
      <c r="DK971" s="3"/>
      <c r="DL971" s="3"/>
      <c r="DM971" s="3"/>
      <c r="DN971" s="3"/>
      <c r="DO971" s="3"/>
      <c r="DP971" s="3"/>
      <c r="DQ971" s="3"/>
      <c r="DR971" s="3"/>
      <c r="DS971" s="3"/>
      <c r="DT971" s="3"/>
      <c r="DU971" s="3"/>
      <c r="DV971" s="3"/>
      <c r="DW971" s="3"/>
      <c r="DX971" s="3"/>
      <c r="DY971" s="3"/>
      <c r="DZ971" s="3"/>
      <c r="EA971" s="3"/>
      <c r="EB971" s="3"/>
      <c r="EC971" s="3"/>
      <c r="ED971" s="2"/>
      <c r="EE971" s="185"/>
      <c r="EF971" s="185"/>
      <c r="EG971" s="185"/>
      <c r="EH971" s="185"/>
      <c r="EI971" s="185"/>
      <c r="EJ971" s="185"/>
      <c r="EK971" s="185"/>
      <c r="EL971" s="3"/>
      <c r="EM971" s="3"/>
      <c r="EN971" s="3"/>
      <c r="EO971" s="3"/>
      <c r="EP971" s="3"/>
      <c r="EQ971" s="3"/>
      <c r="ER971" s="3"/>
      <c r="ES971" s="3"/>
      <c r="ET971" s="3"/>
      <c r="EU971" s="3"/>
      <c r="EV971" s="3"/>
      <c r="EW971" s="3"/>
      <c r="EX971" s="3"/>
      <c r="EY971" s="3"/>
      <c r="EZ971" s="3"/>
      <c r="FA971" s="3"/>
      <c r="FB971" s="3"/>
      <c r="FC971" s="3"/>
      <c r="FD971" s="3"/>
      <c r="FE971" s="3"/>
      <c r="FF971" s="3"/>
      <c r="FG971" s="3"/>
      <c r="FH971" s="3"/>
      <c r="FI971" s="3"/>
      <c r="FJ971" s="3"/>
      <c r="FK971" s="3"/>
      <c r="FL971" s="3"/>
      <c r="FM971" s="3"/>
      <c r="FN971" s="3"/>
      <c r="FO971" s="3"/>
      <c r="FP971" s="3"/>
      <c r="FQ971" s="3"/>
      <c r="FR971" s="3"/>
      <c r="FS971" s="3"/>
      <c r="FT971" s="3"/>
      <c r="FU971" s="3"/>
      <c r="FV971" s="3"/>
      <c r="FW971" s="3"/>
      <c r="FX971" s="3"/>
      <c r="FY971" s="3"/>
      <c r="FZ971" s="3"/>
      <c r="GA971" s="3"/>
      <c r="GB971" s="3"/>
      <c r="GC971" s="3"/>
      <c r="GD971" s="3"/>
      <c r="GE971" s="3"/>
      <c r="GF971" s="3"/>
      <c r="GG971" s="3"/>
      <c r="GH971" s="3"/>
      <c r="GI971" s="3"/>
      <c r="GJ971" s="3"/>
      <c r="GK971" s="3"/>
      <c r="GL971" s="3"/>
      <c r="GM971" s="3"/>
      <c r="GN971" s="3"/>
      <c r="GO971" s="3"/>
      <c r="GP971" s="3"/>
      <c r="GQ971" s="3"/>
      <c r="GR971" s="3"/>
      <c r="GS971" s="3"/>
      <c r="GT971" s="3"/>
      <c r="GU971" s="3"/>
      <c r="GV971" s="3"/>
      <c r="GW971" s="3"/>
      <c r="GX971" s="3"/>
      <c r="GY971" s="3"/>
      <c r="GZ971" s="3"/>
      <c r="HA971" s="3"/>
      <c r="HB971" s="3"/>
      <c r="HC971" s="3"/>
      <c r="HD971" s="3"/>
      <c r="HE971" s="3"/>
      <c r="HF971" s="3"/>
      <c r="HG971" s="3"/>
      <c r="HH971" s="3"/>
      <c r="HI971" s="3"/>
      <c r="HJ971" s="3"/>
      <c r="HK971" s="185" t="s">
        <v>1726</v>
      </c>
      <c r="HL971" s="185" t="s">
        <v>1546</v>
      </c>
      <c r="HM971" s="127" t="s">
        <v>480</v>
      </c>
      <c r="HN971" s="127" t="s">
        <v>480</v>
      </c>
      <c r="HO971" s="127" t="s">
        <v>480</v>
      </c>
      <c r="HP971" s="127" t="s">
        <v>480</v>
      </c>
      <c r="HQ971" s="185"/>
      <c r="HR971" s="185"/>
      <c r="HS971" s="206"/>
      <c r="HT971" s="185"/>
      <c r="HU971" s="185"/>
      <c r="HV971" s="185"/>
      <c r="HW971" s="185"/>
      <c r="HX971" s="215"/>
      <c r="HY971" s="185"/>
      <c r="HZ971" s="185"/>
      <c r="IA971" s="185"/>
      <c r="IB971" s="185"/>
      <c r="IC971" s="185"/>
      <c r="ID971" s="185"/>
      <c r="IE971" s="185"/>
      <c r="IF971" s="185"/>
      <c r="IG971" s="185"/>
      <c r="IH971" s="185" t="s">
        <v>1723</v>
      </c>
      <c r="II971" s="148" t="s">
        <v>492</v>
      </c>
      <c r="IJ971" s="148"/>
      <c r="IK971" s="210"/>
      <c r="IL971" s="185"/>
      <c r="IM971" s="185"/>
      <c r="IN971" s="185"/>
      <c r="IO971" s="185"/>
      <c r="IP971" s="185"/>
      <c r="IQ971" s="185"/>
      <c r="IR971" s="185"/>
      <c r="IS971" s="185"/>
      <c r="IT971" s="185"/>
      <c r="IU971" s="185"/>
      <c r="IV971" s="185"/>
      <c r="IW971" s="185"/>
      <c r="IX971" s="2"/>
      <c r="IY971" s="2"/>
      <c r="IZ971" s="2"/>
      <c r="JA971" s="2"/>
      <c r="JB971" s="2"/>
      <c r="JC971" s="2"/>
      <c r="JD971" s="2"/>
      <c r="JE971" s="2"/>
      <c r="JF971" s="2"/>
      <c r="JG971" s="2"/>
      <c r="JH971" s="2"/>
      <c r="JI971" s="2"/>
      <c r="JJ971" s="2" t="s">
        <v>1727</v>
      </c>
      <c r="JK971" s="2" t="s">
        <v>682</v>
      </c>
      <c r="JL971" s="151"/>
      <c r="JM971" s="140"/>
      <c r="JN971" s="206"/>
      <c r="JO971" s="185"/>
      <c r="JP971" s="206"/>
      <c r="JQ971" s="185"/>
      <c r="JR971" s="185"/>
      <c r="JS971" s="185"/>
      <c r="JT971" s="185"/>
      <c r="JU971" s="185"/>
      <c r="JV971" s="140"/>
      <c r="JW971" s="140"/>
      <c r="JX971" s="206"/>
      <c r="JY971" s="185"/>
      <c r="JZ971" s="206"/>
      <c r="KA971" s="185"/>
      <c r="KB971" s="185"/>
      <c r="KC971" s="185"/>
      <c r="KD971" s="206"/>
      <c r="KE971" s="206"/>
      <c r="KF971" s="148"/>
      <c r="KG971" s="216"/>
      <c r="KH971" s="185"/>
      <c r="KI971" s="185"/>
      <c r="KJ971" s="185"/>
      <c r="KK971" s="185"/>
      <c r="KL971" s="206"/>
      <c r="KM971" s="185"/>
      <c r="KN971" s="148"/>
      <c r="KO971" s="216"/>
      <c r="KP971" s="185"/>
      <c r="KQ971" s="185"/>
      <c r="KR971" s="148"/>
      <c r="KS971" s="216"/>
      <c r="KT971" s="185"/>
      <c r="KU971" s="185"/>
      <c r="KV971" s="185"/>
      <c r="KW971" s="3"/>
      <c r="KX971" s="3"/>
      <c r="KY971" s="3"/>
      <c r="KZ971" s="3"/>
      <c r="LA971" s="206"/>
      <c r="LB971" s="206"/>
      <c r="LC971" s="206"/>
      <c r="LD971" s="206"/>
      <c r="LE971" s="206"/>
      <c r="LF971" s="206"/>
      <c r="LG971" s="206"/>
      <c r="LH971" s="206"/>
      <c r="LI971" s="206"/>
      <c r="LJ971" s="206"/>
      <c r="LK971" s="206"/>
      <c r="LL971" s="206"/>
      <c r="LM971" s="206"/>
      <c r="LN971" s="185"/>
      <c r="LO971" s="185"/>
      <c r="LP971" s="185"/>
      <c r="LQ971" s="185"/>
      <c r="LR971" s="185"/>
      <c r="LS971" s="185"/>
      <c r="LT971" s="185"/>
      <c r="LU971" s="185"/>
      <c r="LW971" s="2"/>
      <c r="LX971" s="2"/>
      <c r="LY971" s="2"/>
      <c r="LZ971" s="2"/>
      <c r="MA971" s="2"/>
      <c r="ME971" s="2"/>
      <c r="MF971" s="185"/>
      <c r="MG971" s="185"/>
      <c r="MH971" s="185"/>
      <c r="MI971" s="2"/>
      <c r="MJ971" s="2"/>
      <c r="MK971" s="2"/>
      <c r="ML971" s="2"/>
      <c r="MM971" s="2"/>
      <c r="MN971" s="2"/>
      <c r="MO971" s="2"/>
      <c r="MP971" s="2"/>
      <c r="MQ971" s="185"/>
      <c r="MR971" s="185"/>
      <c r="MS971" s="185"/>
      <c r="MT971" s="185"/>
      <c r="MU971" s="185"/>
      <c r="MV971" s="185"/>
      <c r="MW971" s="185"/>
      <c r="MX971" s="185"/>
      <c r="MY971" s="211" t="s">
        <v>1710</v>
      </c>
      <c r="MZ971" s="212">
        <v>16.25</v>
      </c>
      <c r="NI971" s="185"/>
      <c r="NJ971" s="185" t="s">
        <v>1728</v>
      </c>
      <c r="NK971" s="185" t="s">
        <v>1761</v>
      </c>
      <c r="NL971" s="185" t="s">
        <v>1762</v>
      </c>
      <c r="NM971" s="213" t="s">
        <v>1731</v>
      </c>
      <c r="NN971" s="185">
        <v>0</v>
      </c>
      <c r="NO971" s="185">
        <v>20</v>
      </c>
      <c r="NP971" s="185"/>
      <c r="NQ971" s="185"/>
      <c r="NR971" s="185"/>
      <c r="NS971" s="185"/>
      <c r="NT971" s="185"/>
      <c r="NU971" s="185" t="s">
        <v>1732</v>
      </c>
      <c r="NV971" s="185" t="s">
        <v>518</v>
      </c>
      <c r="NW971">
        <v>19.690000000000001</v>
      </c>
      <c r="NX971" s="185" t="s">
        <v>480</v>
      </c>
      <c r="NY971" s="147"/>
      <c r="NZ971" s="147"/>
      <c r="OA971" s="133"/>
      <c r="OB971" s="185">
        <v>3</v>
      </c>
      <c r="OD971" s="185"/>
      <c r="OF971" s="185"/>
      <c r="OG971" s="185"/>
      <c r="OH971" s="185"/>
      <c r="OI971" s="185"/>
      <c r="OJ971" s="185"/>
      <c r="OK971" s="185"/>
      <c r="OL971" s="185"/>
      <c r="OM971" s="185"/>
      <c r="ON971" s="185"/>
      <c r="OO971" s="185"/>
      <c r="OP971" s="185"/>
      <c r="OQ971" s="185"/>
      <c r="OR971" s="185"/>
      <c r="OS971" s="185"/>
      <c r="OT971" s="185"/>
      <c r="OU971" t="s">
        <v>1763</v>
      </c>
      <c r="OV971" s="185" t="s">
        <v>518</v>
      </c>
      <c r="OX971">
        <v>2021</v>
      </c>
      <c r="OY971">
        <v>2022</v>
      </c>
      <c r="PB971" t="s">
        <v>522</v>
      </c>
      <c r="PC971" s="50">
        <v>46148</v>
      </c>
    </row>
    <row r="972" spans="1:419" ht="17.25" thickBot="1">
      <c r="A972" s="205" t="s">
        <v>861</v>
      </c>
      <c r="B972" s="2" t="s">
        <v>1700</v>
      </c>
      <c r="C972" s="2" t="s">
        <v>1387</v>
      </c>
      <c r="D972" s="88" t="s">
        <v>668</v>
      </c>
      <c r="E972" s="2" t="s">
        <v>1701</v>
      </c>
      <c r="F972" s="88" t="s">
        <v>1702</v>
      </c>
      <c r="G972" s="2" t="s">
        <v>475</v>
      </c>
      <c r="H972" s="2" t="s">
        <v>476</v>
      </c>
      <c r="I972" s="88">
        <v>-11.474220000000001</v>
      </c>
      <c r="J972" s="88" t="s">
        <v>1703</v>
      </c>
      <c r="K972" s="88">
        <v>1000</v>
      </c>
      <c r="L972" s="2"/>
      <c r="M972" s="88"/>
      <c r="N972" s="2"/>
      <c r="O972" s="2"/>
      <c r="P972" s="2"/>
      <c r="Q972" s="2"/>
      <c r="R972" s="2"/>
      <c r="S972" s="2"/>
      <c r="T972" s="2"/>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c r="AV972" s="2" t="s">
        <v>1704</v>
      </c>
      <c r="AW972" s="2">
        <v>28</v>
      </c>
      <c r="AX972" s="2" t="s">
        <v>480</v>
      </c>
      <c r="AY972" s="2">
        <v>2</v>
      </c>
      <c r="AZ972" s="185" t="s">
        <v>1705</v>
      </c>
      <c r="BA972" s="185">
        <v>2020</v>
      </c>
      <c r="BB972" s="185">
        <v>2022</v>
      </c>
      <c r="BC972" s="185"/>
      <c r="BD972" s="185" t="s">
        <v>1734</v>
      </c>
      <c r="BE972" s="185" t="s">
        <v>621</v>
      </c>
      <c r="BF972" s="185" t="s">
        <v>484</v>
      </c>
      <c r="BG972" s="185" t="s">
        <v>485</v>
      </c>
      <c r="BH972" s="185" t="s">
        <v>1719</v>
      </c>
      <c r="BI972" s="206" t="s">
        <v>1709</v>
      </c>
      <c r="BJ972" s="207">
        <v>4.4000000000000004</v>
      </c>
      <c r="BK972" s="185"/>
      <c r="BL972" s="185"/>
      <c r="BM972" s="185"/>
      <c r="BN972" s="185"/>
      <c r="BO972" s="185"/>
      <c r="BP972" s="185"/>
      <c r="BQ972" s="185"/>
      <c r="BR972" s="185"/>
      <c r="BS972" s="185"/>
      <c r="BT972" s="185"/>
      <c r="BU972" s="185"/>
      <c r="BV972" s="3"/>
      <c r="BW972" s="3"/>
      <c r="BX972" s="3"/>
      <c r="BY972" s="3"/>
      <c r="BZ972" s="3"/>
      <c r="CA972" s="3"/>
      <c r="CB972" s="3"/>
      <c r="CC972" s="3"/>
      <c r="CD972" s="3"/>
      <c r="CE972" s="3"/>
      <c r="CF972" s="3"/>
      <c r="CG972" s="3"/>
      <c r="CH972" s="3"/>
      <c r="CI972" s="3"/>
      <c r="CJ972" s="3"/>
      <c r="CK972" s="3"/>
      <c r="CL972" s="3"/>
      <c r="CM972" s="3"/>
      <c r="CN972" s="3"/>
      <c r="CO972" s="3"/>
      <c r="CP972" s="3"/>
      <c r="CQ972" s="3"/>
      <c r="CR972" s="3"/>
      <c r="CS972" s="3"/>
      <c r="CT972" s="3"/>
      <c r="CU972" s="3"/>
      <c r="CV972" s="3"/>
      <c r="CW972" s="3"/>
      <c r="CX972" s="3"/>
      <c r="CY972" s="3"/>
      <c r="CZ972" s="3"/>
      <c r="DA972" s="3"/>
      <c r="DB972" s="3"/>
      <c r="DC972" s="3"/>
      <c r="DD972" s="3"/>
      <c r="DE972" s="3"/>
      <c r="DF972" s="3"/>
      <c r="DG972" s="3"/>
      <c r="DH972" s="3"/>
      <c r="DI972" s="3"/>
      <c r="DJ972" s="3"/>
      <c r="DK972" s="3"/>
      <c r="DL972" s="3"/>
      <c r="DM972" s="3"/>
      <c r="DN972" s="3"/>
      <c r="DO972" s="3"/>
      <c r="DP972" s="3"/>
      <c r="DQ972" s="3"/>
      <c r="DR972" s="3"/>
      <c r="DS972" s="3"/>
      <c r="DT972" s="3"/>
      <c r="DU972" s="3"/>
      <c r="DV972" s="3"/>
      <c r="DW972" s="3"/>
      <c r="DX972" s="3"/>
      <c r="DY972" s="3"/>
      <c r="DZ972" s="3"/>
      <c r="EA972" s="3"/>
      <c r="EB972" s="3"/>
      <c r="EC972" s="3"/>
      <c r="ED972" s="2"/>
      <c r="EE972" s="185"/>
      <c r="EF972" s="185"/>
      <c r="EG972" s="185"/>
      <c r="EH972" s="185"/>
      <c r="EI972" s="185"/>
      <c r="EJ972" s="185"/>
      <c r="EK972" s="185"/>
      <c r="EL972" s="3"/>
      <c r="EM972" s="3"/>
      <c r="EN972" s="3"/>
      <c r="EO972" s="3"/>
      <c r="EP972" s="3"/>
      <c r="EQ972" s="3"/>
      <c r="ER972" s="3"/>
      <c r="ES972" s="3"/>
      <c r="ET972" s="3"/>
      <c r="EU972" s="3"/>
      <c r="EV972" s="3"/>
      <c r="EW972" s="3"/>
      <c r="EX972" s="3"/>
      <c r="EY972" s="3"/>
      <c r="EZ972" s="3"/>
      <c r="FA972" s="3"/>
      <c r="FB972" s="3"/>
      <c r="FC972" s="3"/>
      <c r="FD972" s="3"/>
      <c r="FE972" s="3"/>
      <c r="FF972" s="3"/>
      <c r="FG972" s="3"/>
      <c r="FH972" s="3"/>
      <c r="FI972" s="3"/>
      <c r="FJ972" s="3"/>
      <c r="FK972" s="3"/>
      <c r="FL972" s="3"/>
      <c r="FM972" s="3"/>
      <c r="FN972" s="3"/>
      <c r="FO972" s="3"/>
      <c r="FP972" s="3"/>
      <c r="FQ972" s="3"/>
      <c r="FR972" s="3"/>
      <c r="FS972" s="3"/>
      <c r="FT972" s="3"/>
      <c r="FU972" s="3"/>
      <c r="FV972" s="3"/>
      <c r="FW972" s="3"/>
      <c r="FX972" s="3"/>
      <c r="FY972" s="3"/>
      <c r="FZ972" s="3"/>
      <c r="GA972" s="3"/>
      <c r="GB972" s="3"/>
      <c r="GC972" s="3"/>
      <c r="GD972" s="3"/>
      <c r="GE972" s="3"/>
      <c r="GF972" s="3"/>
      <c r="GG972" s="3"/>
      <c r="GH972" s="3"/>
      <c r="GI972" s="3"/>
      <c r="GJ972" s="3"/>
      <c r="GK972" s="3"/>
      <c r="GL972" s="3"/>
      <c r="GM972" s="3"/>
      <c r="GN972" s="3"/>
      <c r="GO972" s="3"/>
      <c r="GP972" s="3"/>
      <c r="GQ972" s="3"/>
      <c r="GR972" s="3"/>
      <c r="GS972" s="3"/>
      <c r="GT972" s="3"/>
      <c r="GU972" s="3"/>
      <c r="GV972" s="3"/>
      <c r="GW972" s="3"/>
      <c r="GX972" s="3"/>
      <c r="GY972" s="3"/>
      <c r="GZ972" s="3"/>
      <c r="HA972" s="3"/>
      <c r="HB972" s="3"/>
      <c r="HC972" s="3"/>
      <c r="HD972" s="3"/>
      <c r="HE972" s="3"/>
      <c r="HF972" s="3"/>
      <c r="HG972" s="3"/>
      <c r="HH972" s="3"/>
      <c r="HI972" s="3"/>
      <c r="HJ972" s="3"/>
      <c r="HK972" s="185" t="s">
        <v>1726</v>
      </c>
      <c r="HL972" s="185" t="s">
        <v>1546</v>
      </c>
      <c r="HM972" s="127" t="s">
        <v>480</v>
      </c>
      <c r="HN972" s="127" t="s">
        <v>480</v>
      </c>
      <c r="HO972" s="127" t="s">
        <v>480</v>
      </c>
      <c r="HP972" s="127" t="s">
        <v>480</v>
      </c>
      <c r="HQ972" s="185"/>
      <c r="HR972" s="185"/>
      <c r="HS972" s="206"/>
      <c r="HT972" s="185"/>
      <c r="HU972" s="185"/>
      <c r="HV972" s="185"/>
      <c r="HW972" s="185"/>
      <c r="HX972" s="215"/>
      <c r="HY972" s="185"/>
      <c r="HZ972" s="185"/>
      <c r="IA972" s="185"/>
      <c r="IB972" s="185"/>
      <c r="IC972" s="185"/>
      <c r="ID972" s="185"/>
      <c r="IE972" s="185"/>
      <c r="IF972" s="185"/>
      <c r="IG972" s="185"/>
      <c r="IH972" s="185" t="s">
        <v>1735</v>
      </c>
      <c r="II972" s="148" t="s">
        <v>492</v>
      </c>
      <c r="IJ972" s="148"/>
      <c r="IK972" s="210"/>
      <c r="IL972" s="185"/>
      <c r="IM972" s="185"/>
      <c r="IN972" s="185"/>
      <c r="IO972" s="185"/>
      <c r="IP972" s="185"/>
      <c r="IQ972" s="185"/>
      <c r="IR972" s="185"/>
      <c r="IS972" s="185"/>
      <c r="IT972" s="185"/>
      <c r="IU972" s="185"/>
      <c r="IV972" s="185"/>
      <c r="IW972" s="185"/>
      <c r="IX972" s="2"/>
      <c r="IY972" s="2"/>
      <c r="IZ972" s="2"/>
      <c r="JA972" s="2"/>
      <c r="JB972" s="2"/>
      <c r="JC972" s="2"/>
      <c r="JD972" s="2"/>
      <c r="JE972" s="2"/>
      <c r="JF972" s="2"/>
      <c r="JG972" s="2"/>
      <c r="JH972" s="2"/>
      <c r="JI972" s="2"/>
      <c r="JJ972" s="2" t="s">
        <v>1736</v>
      </c>
      <c r="JK972" s="2" t="s">
        <v>494</v>
      </c>
      <c r="JL972" s="151" t="s">
        <v>495</v>
      </c>
      <c r="JM972" s="140"/>
      <c r="JN972" s="206"/>
      <c r="JO972" s="185"/>
      <c r="JP972" s="206" t="s">
        <v>508</v>
      </c>
      <c r="JQ972" s="185">
        <v>90</v>
      </c>
      <c r="JR972" s="185"/>
      <c r="JS972" s="185"/>
      <c r="JT972" s="185"/>
      <c r="JU972" s="185"/>
      <c r="JV972" s="140"/>
      <c r="JW972" s="140"/>
      <c r="JX972" s="206"/>
      <c r="JY972" s="185"/>
      <c r="JZ972" s="206"/>
      <c r="KA972" s="185"/>
      <c r="KB972" s="185"/>
      <c r="KC972" s="185"/>
      <c r="KD972" s="206"/>
      <c r="KE972" s="206"/>
      <c r="KF972" s="148"/>
      <c r="KG972" s="216"/>
      <c r="KH972" s="185"/>
      <c r="KI972" s="185"/>
      <c r="KJ972" s="185"/>
      <c r="KK972" s="185"/>
      <c r="KL972" s="206"/>
      <c r="KM972" s="185"/>
      <c r="KN972" s="148"/>
      <c r="KO972" s="216"/>
      <c r="KP972" s="185"/>
      <c r="KQ972" s="185"/>
      <c r="KR972" s="148"/>
      <c r="KS972" s="216"/>
      <c r="KT972" s="185"/>
      <c r="KU972" s="185"/>
      <c r="KV972" s="185"/>
      <c r="KW972" s="3"/>
      <c r="KX972" s="3"/>
      <c r="KY972" s="3"/>
      <c r="KZ972" s="3"/>
      <c r="LA972" s="206"/>
      <c r="LB972" s="206"/>
      <c r="LC972" s="206"/>
      <c r="LD972" s="206"/>
      <c r="LE972" s="206"/>
      <c r="LF972" s="206"/>
      <c r="LG972" s="206"/>
      <c r="LH972" s="206"/>
      <c r="LI972" s="206"/>
      <c r="LJ972" s="206"/>
      <c r="LK972" s="206"/>
      <c r="LL972" s="206"/>
      <c r="LM972" s="206"/>
      <c r="LN972" s="185"/>
      <c r="LO972" s="185"/>
      <c r="LP972" s="185"/>
      <c r="LQ972" s="185"/>
      <c r="LR972" s="185"/>
      <c r="LS972" s="185"/>
      <c r="LT972" s="185"/>
      <c r="LU972" s="185"/>
      <c r="LW972" s="2"/>
      <c r="LX972" s="2"/>
      <c r="LY972" s="2"/>
      <c r="LZ972" s="2"/>
      <c r="MA972" s="2"/>
      <c r="ME972" s="2"/>
      <c r="MF972" s="185"/>
      <c r="MG972" s="185"/>
      <c r="MH972" s="185"/>
      <c r="MI972" s="2"/>
      <c r="MJ972" s="2"/>
      <c r="MK972" s="2"/>
      <c r="ML972" s="2"/>
      <c r="MM972" s="2"/>
      <c r="MN972" s="2"/>
      <c r="MO972" s="2"/>
      <c r="MP972" s="2"/>
      <c r="MQ972" s="185"/>
      <c r="MR972" s="185"/>
      <c r="MS972" s="185"/>
      <c r="MT972" s="185"/>
      <c r="MU972" s="185"/>
      <c r="MV972" s="185"/>
      <c r="MW972" s="185"/>
      <c r="MX972" s="185"/>
      <c r="MY972" s="217"/>
      <c r="MZ972" s="218"/>
      <c r="NI972" s="185"/>
      <c r="NJ972" s="185" t="s">
        <v>1728</v>
      </c>
      <c r="NK972" s="185" t="s">
        <v>1761</v>
      </c>
      <c r="NL972" s="185" t="s">
        <v>1762</v>
      </c>
      <c r="NM972" s="213" t="s">
        <v>1731</v>
      </c>
      <c r="NN972" s="185">
        <v>0</v>
      </c>
      <c r="NO972" s="185">
        <v>20</v>
      </c>
      <c r="NP972" s="185"/>
      <c r="NQ972" s="185"/>
      <c r="NR972" s="185"/>
      <c r="NS972" s="185"/>
      <c r="NT972" s="185"/>
      <c r="NU972" s="185" t="s">
        <v>1737</v>
      </c>
      <c r="NV972" s="185" t="s">
        <v>518</v>
      </c>
      <c r="NW972">
        <v>20.170000000000002</v>
      </c>
      <c r="NX972" s="185" t="s">
        <v>480</v>
      </c>
      <c r="NY972" s="147"/>
      <c r="NZ972" s="147"/>
      <c r="OA972" s="133"/>
      <c r="OB972" s="185">
        <v>3</v>
      </c>
      <c r="OC972" s="185"/>
      <c r="OD972" s="185"/>
      <c r="OE972" s="185"/>
      <c r="OF972" s="185"/>
      <c r="OG972" s="185"/>
      <c r="OH972" s="185"/>
      <c r="OI972" s="185"/>
      <c r="OJ972" s="185"/>
      <c r="OK972" s="185"/>
      <c r="OL972" s="185"/>
      <c r="OM972" s="185"/>
      <c r="ON972" s="185"/>
      <c r="OO972" s="185"/>
      <c r="OP972" s="185"/>
      <c r="OQ972" s="185"/>
      <c r="OR972" s="185"/>
      <c r="OS972" s="185"/>
      <c r="OT972" s="185"/>
      <c r="OU972" t="s">
        <v>1763</v>
      </c>
      <c r="OV972" s="185" t="s">
        <v>518</v>
      </c>
      <c r="OW972" s="185"/>
      <c r="OX972">
        <v>2021</v>
      </c>
      <c r="OY972">
        <v>2022</v>
      </c>
      <c r="OZ972" s="185"/>
      <c r="PA972" s="185"/>
      <c r="PB972" t="s">
        <v>522</v>
      </c>
      <c r="PC972" s="50">
        <v>46148</v>
      </c>
    </row>
    <row r="973" spans="1:419" ht="17.25" thickBot="1">
      <c r="A973" s="205" t="s">
        <v>861</v>
      </c>
      <c r="B973" s="2" t="s">
        <v>1700</v>
      </c>
      <c r="C973" s="2" t="s">
        <v>1387</v>
      </c>
      <c r="D973" s="88" t="s">
        <v>668</v>
      </c>
      <c r="E973" s="2" t="s">
        <v>1701</v>
      </c>
      <c r="F973" s="88" t="s">
        <v>1702</v>
      </c>
      <c r="G973" s="2" t="s">
        <v>475</v>
      </c>
      <c r="H973" s="2" t="s">
        <v>476</v>
      </c>
      <c r="I973" s="88">
        <v>-11.474220000000001</v>
      </c>
      <c r="J973" s="88" t="s">
        <v>1703</v>
      </c>
      <c r="K973" s="88">
        <v>1000</v>
      </c>
      <c r="L973" s="2"/>
      <c r="M973" s="88"/>
      <c r="N973" s="2"/>
      <c r="O973" s="2"/>
      <c r="P973" s="2"/>
      <c r="Q973" s="2"/>
      <c r="R973" s="2"/>
      <c r="S973" s="2"/>
      <c r="T973" s="2"/>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c r="AV973" s="2" t="s">
        <v>1704</v>
      </c>
      <c r="AW973" s="2">
        <v>28</v>
      </c>
      <c r="AX973" s="2" t="s">
        <v>480</v>
      </c>
      <c r="AY973" s="2">
        <v>2</v>
      </c>
      <c r="AZ973" s="185" t="s">
        <v>1705</v>
      </c>
      <c r="BA973" s="185">
        <v>2020</v>
      </c>
      <c r="BB973" s="185">
        <v>2022</v>
      </c>
      <c r="BC973" s="185"/>
      <c r="BD973" s="185" t="s">
        <v>1738</v>
      </c>
      <c r="BE973" s="185" t="s">
        <v>630</v>
      </c>
      <c r="BF973" s="185" t="s">
        <v>484</v>
      </c>
      <c r="BG973" s="185" t="s">
        <v>538</v>
      </c>
      <c r="BH973" s="185" t="s">
        <v>1713</v>
      </c>
      <c r="BI973" s="206" t="s">
        <v>1709</v>
      </c>
      <c r="BJ973" s="207">
        <v>13.3</v>
      </c>
      <c r="BK973" s="185"/>
      <c r="BL973" s="185"/>
      <c r="BM973" s="185"/>
      <c r="BN973" s="185"/>
      <c r="BO973" s="185"/>
      <c r="BP973" s="185"/>
      <c r="BQ973" s="185"/>
      <c r="BR973" s="185"/>
      <c r="BS973" s="185"/>
      <c r="BT973" s="185"/>
      <c r="BU973" s="185"/>
      <c r="BV973" s="3"/>
      <c r="BW973" s="3"/>
      <c r="BX973" s="3"/>
      <c r="BY973" s="3"/>
      <c r="BZ973" s="3"/>
      <c r="CA973" s="3"/>
      <c r="CB973" s="3"/>
      <c r="CC973" s="3"/>
      <c r="CD973" s="3"/>
      <c r="CE973" s="3"/>
      <c r="CF973" s="3"/>
      <c r="CG973" s="3"/>
      <c r="CH973" s="3"/>
      <c r="CI973" s="3"/>
      <c r="CJ973" s="3"/>
      <c r="CK973" s="3"/>
      <c r="CL973" s="3"/>
      <c r="CM973" s="3"/>
      <c r="CN973" s="3"/>
      <c r="CO973" s="3"/>
      <c r="CP973" s="3"/>
      <c r="CQ973" s="3"/>
      <c r="CR973" s="3"/>
      <c r="CS973" s="3"/>
      <c r="CT973" s="3"/>
      <c r="CU973" s="3"/>
      <c r="CV973" s="3"/>
      <c r="CW973" s="3"/>
      <c r="CX973" s="3"/>
      <c r="CY973" s="3"/>
      <c r="CZ973" s="3"/>
      <c r="DA973" s="3"/>
      <c r="DB973" s="3"/>
      <c r="DC973" s="3"/>
      <c r="DD973" s="3"/>
      <c r="DE973" s="3"/>
      <c r="DF973" s="3"/>
      <c r="DG973" s="3"/>
      <c r="DH973" s="3"/>
      <c r="DI973" s="3"/>
      <c r="DJ973" s="3"/>
      <c r="DK973" s="3"/>
      <c r="DL973" s="3"/>
      <c r="DM973" s="3"/>
      <c r="DN973" s="3"/>
      <c r="DO973" s="3"/>
      <c r="DP973" s="3"/>
      <c r="DQ973" s="3"/>
      <c r="DR973" s="3"/>
      <c r="DS973" s="3"/>
      <c r="DT973" s="3"/>
      <c r="DU973" s="3"/>
      <c r="DV973" s="3"/>
      <c r="DW973" s="3"/>
      <c r="DX973" s="3"/>
      <c r="DY973" s="3"/>
      <c r="DZ973" s="3"/>
      <c r="EA973" s="3"/>
      <c r="EB973" s="3"/>
      <c r="EC973" s="3"/>
      <c r="ED973" s="2"/>
      <c r="EE973" s="185"/>
      <c r="EF973" s="185"/>
      <c r="EG973" s="185"/>
      <c r="EH973" s="185"/>
      <c r="EI973" s="185"/>
      <c r="EJ973" s="185"/>
      <c r="EK973" s="185"/>
      <c r="EL973" s="3"/>
      <c r="EM973" s="3"/>
      <c r="EN973" s="3"/>
      <c r="EO973" s="3"/>
      <c r="EP973" s="3"/>
      <c r="EQ973" s="3"/>
      <c r="ER973" s="3"/>
      <c r="ES973" s="3"/>
      <c r="ET973" s="3"/>
      <c r="EU973" s="3"/>
      <c r="EV973" s="3"/>
      <c r="EW973" s="3"/>
      <c r="EX973" s="3"/>
      <c r="EY973" s="3"/>
      <c r="EZ973" s="3"/>
      <c r="FA973" s="3"/>
      <c r="FB973" s="3"/>
      <c r="FC973" s="3"/>
      <c r="FD973" s="3"/>
      <c r="FE973" s="3"/>
      <c r="FF973" s="3"/>
      <c r="FG973" s="3"/>
      <c r="FH973" s="3"/>
      <c r="FI973" s="3"/>
      <c r="FJ973" s="3"/>
      <c r="FK973" s="3"/>
      <c r="FL973" s="3"/>
      <c r="FM973" s="3"/>
      <c r="FN973" s="3"/>
      <c r="FO973" s="3"/>
      <c r="FP973" s="3"/>
      <c r="FQ973" s="3"/>
      <c r="FR973" s="3"/>
      <c r="FS973" s="3"/>
      <c r="FT973" s="3"/>
      <c r="FU973" s="3"/>
      <c r="FV973" s="3"/>
      <c r="FW973" s="3"/>
      <c r="FX973" s="3"/>
      <c r="FY973" s="3"/>
      <c r="FZ973" s="3"/>
      <c r="GA973" s="3"/>
      <c r="GB973" s="3"/>
      <c r="GC973" s="3"/>
      <c r="GD973" s="3"/>
      <c r="GE973" s="3"/>
      <c r="GF973" s="3"/>
      <c r="GG973" s="3"/>
      <c r="GH973" s="3"/>
      <c r="GI973" s="3"/>
      <c r="GJ973" s="3"/>
      <c r="GK973" s="3"/>
      <c r="GL973" s="3"/>
      <c r="GM973" s="3"/>
      <c r="GN973" s="3"/>
      <c r="GO973" s="3"/>
      <c r="GP973" s="3"/>
      <c r="GQ973" s="3"/>
      <c r="GR973" s="3"/>
      <c r="GS973" s="3"/>
      <c r="GT973" s="3"/>
      <c r="GU973" s="3"/>
      <c r="GV973" s="3"/>
      <c r="GW973" s="3"/>
      <c r="GX973" s="3"/>
      <c r="GY973" s="3"/>
      <c r="GZ973" s="3"/>
      <c r="HA973" s="3"/>
      <c r="HB973" s="3"/>
      <c r="HC973" s="3"/>
      <c r="HD973" s="3"/>
      <c r="HE973" s="3"/>
      <c r="HF973" s="3"/>
      <c r="HG973" s="3"/>
      <c r="HH973" s="3"/>
      <c r="HI973" s="3"/>
      <c r="HJ973" s="3"/>
      <c r="HK973" s="185" t="s">
        <v>1726</v>
      </c>
      <c r="HL973" s="185" t="s">
        <v>1546</v>
      </c>
      <c r="HM973" s="127" t="s">
        <v>480</v>
      </c>
      <c r="HN973" s="127" t="s">
        <v>480</v>
      </c>
      <c r="HO973" s="127" t="s">
        <v>480</v>
      </c>
      <c r="HP973" s="127" t="s">
        <v>480</v>
      </c>
      <c r="HQ973" s="185"/>
      <c r="HR973" s="185"/>
      <c r="HS973" s="206"/>
      <c r="HT973" s="185"/>
      <c r="HU973" s="185"/>
      <c r="HV973" s="185"/>
      <c r="HW973" s="185"/>
      <c r="HX973" s="215"/>
      <c r="HY973" s="185"/>
      <c r="HZ973" s="185"/>
      <c r="IA973" s="185"/>
      <c r="IB973" s="185"/>
      <c r="IC973" s="185"/>
      <c r="ID973" s="185"/>
      <c r="IE973" s="185"/>
      <c r="IF973" s="185"/>
      <c r="IG973" s="185"/>
      <c r="IH973" s="185" t="s">
        <v>1721</v>
      </c>
      <c r="II973" s="148" t="s">
        <v>492</v>
      </c>
      <c r="IJ973" s="148"/>
      <c r="IK973" s="210"/>
      <c r="IL973" s="185"/>
      <c r="IM973" s="185"/>
      <c r="IN973" s="185"/>
      <c r="IO973" s="185"/>
      <c r="IP973" s="185"/>
      <c r="IQ973" s="185"/>
      <c r="IR973" s="185"/>
      <c r="IS973" s="185"/>
      <c r="IT973" s="185"/>
      <c r="IU973" s="185"/>
      <c r="IV973" s="185"/>
      <c r="IW973" s="185"/>
      <c r="IX973" s="2"/>
      <c r="IY973" s="2"/>
      <c r="IZ973" s="2"/>
      <c r="JA973" s="2"/>
      <c r="JB973" s="2"/>
      <c r="JC973" s="2"/>
      <c r="JD973" s="2"/>
      <c r="JE973" s="2"/>
      <c r="JF973" s="2"/>
      <c r="JG973" s="2"/>
      <c r="JH973" s="2"/>
      <c r="JI973" s="2"/>
      <c r="JJ973" s="2" t="s">
        <v>1727</v>
      </c>
      <c r="JK973" s="2" t="s">
        <v>682</v>
      </c>
      <c r="JL973" s="151"/>
      <c r="JM973" s="140"/>
      <c r="JN973" s="206"/>
      <c r="JO973" s="185"/>
      <c r="JP973" s="206"/>
      <c r="JQ973" s="185"/>
      <c r="JR973" s="185"/>
      <c r="JS973" s="185"/>
      <c r="JT973" s="185"/>
      <c r="JU973" s="185"/>
      <c r="JV973" s="140"/>
      <c r="JW973" s="140"/>
      <c r="JX973" s="206"/>
      <c r="JY973" s="185"/>
      <c r="JZ973" s="206"/>
      <c r="KA973" s="185"/>
      <c r="KB973" s="185"/>
      <c r="KC973" s="185"/>
      <c r="KD973" s="206"/>
      <c r="KE973" s="206"/>
      <c r="KF973" s="148"/>
      <c r="KG973" s="216"/>
      <c r="KH973" s="185"/>
      <c r="KI973" s="185"/>
      <c r="KJ973" s="185"/>
      <c r="KK973" s="185"/>
      <c r="KL973" s="206"/>
      <c r="KM973" s="185"/>
      <c r="KN973" s="148"/>
      <c r="KO973" s="216"/>
      <c r="KP973" s="185"/>
      <c r="KQ973" s="185"/>
      <c r="KR973" s="148"/>
      <c r="KS973" s="216"/>
      <c r="KT973" s="185"/>
      <c r="KU973" s="185"/>
      <c r="KV973" s="185"/>
      <c r="KW973" s="3"/>
      <c r="KX973" s="3"/>
      <c r="KY973" s="3"/>
      <c r="KZ973" s="3"/>
      <c r="LA973" s="206"/>
      <c r="LB973" s="206"/>
      <c r="LC973" s="206"/>
      <c r="LD973" s="206"/>
      <c r="LE973" s="206"/>
      <c r="LF973" s="206"/>
      <c r="LG973" s="206"/>
      <c r="LH973" s="206"/>
      <c r="LI973" s="206"/>
      <c r="LJ973" s="206"/>
      <c r="LK973" s="206"/>
      <c r="LL973" s="206"/>
      <c r="LM973" s="206"/>
      <c r="LN973" s="185"/>
      <c r="LO973" s="185"/>
      <c r="LP973" s="185"/>
      <c r="LQ973" s="185"/>
      <c r="LR973" s="185"/>
      <c r="LS973" s="185"/>
      <c r="LT973" s="185"/>
      <c r="LU973" s="185"/>
      <c r="LW973" s="2"/>
      <c r="LX973" s="2"/>
      <c r="LY973" s="2"/>
      <c r="LZ973" s="2"/>
      <c r="MA973" s="2"/>
      <c r="ME973" s="2"/>
      <c r="MF973" s="185"/>
      <c r="MG973" s="185"/>
      <c r="MH973" s="185"/>
      <c r="MI973" s="2"/>
      <c r="MJ973" s="2"/>
      <c r="MK973" s="2"/>
      <c r="ML973" s="2"/>
      <c r="MM973" s="2"/>
      <c r="MN973" s="2"/>
      <c r="MO973" s="2"/>
      <c r="MP973" s="2"/>
      <c r="MQ973" s="185"/>
      <c r="MR973" s="185"/>
      <c r="MS973" s="185"/>
      <c r="MT973" s="185"/>
      <c r="MU973" s="185"/>
      <c r="MV973" s="185"/>
      <c r="MW973" s="185"/>
      <c r="MX973" s="185"/>
      <c r="MY973" s="211" t="s">
        <v>1710</v>
      </c>
      <c r="MZ973" s="212">
        <v>16.25</v>
      </c>
      <c r="NI973" s="185"/>
      <c r="NJ973" s="185" t="s">
        <v>1728</v>
      </c>
      <c r="NK973" s="185" t="s">
        <v>1761</v>
      </c>
      <c r="NL973" s="185" t="s">
        <v>1762</v>
      </c>
      <c r="NM973" s="213" t="s">
        <v>1731</v>
      </c>
      <c r="NN973" s="185">
        <v>0</v>
      </c>
      <c r="NO973" s="185">
        <v>20</v>
      </c>
      <c r="NP973" s="185"/>
      <c r="NQ973" s="185"/>
      <c r="NR973" s="185"/>
      <c r="NS973" s="185"/>
      <c r="NT973" s="185"/>
      <c r="NU973" s="185" t="s">
        <v>664</v>
      </c>
      <c r="NV973" s="185" t="s">
        <v>518</v>
      </c>
      <c r="NW973">
        <v>27.71</v>
      </c>
      <c r="NX973" s="185" t="s">
        <v>480</v>
      </c>
      <c r="NY973" s="147"/>
      <c r="NZ973" s="147"/>
      <c r="OA973" s="133"/>
      <c r="OB973" s="185">
        <v>3</v>
      </c>
      <c r="OD973" s="185"/>
      <c r="OE973" s="185"/>
      <c r="OF973" s="185"/>
      <c r="OG973" s="185"/>
      <c r="OH973" s="185"/>
      <c r="OI973" s="185"/>
      <c r="OJ973" s="185"/>
      <c r="OK973" s="185"/>
      <c r="OL973" s="185"/>
      <c r="OM973" s="185"/>
      <c r="ON973" s="185"/>
      <c r="OO973" s="185"/>
      <c r="OP973" s="185"/>
      <c r="OQ973" s="185"/>
      <c r="OR973" s="185"/>
      <c r="OS973" s="185"/>
      <c r="OT973" s="185"/>
      <c r="OU973" t="s">
        <v>1763</v>
      </c>
      <c r="OV973" s="185" t="s">
        <v>518</v>
      </c>
      <c r="OX973">
        <v>2021</v>
      </c>
      <c r="OY973">
        <v>2022</v>
      </c>
      <c r="PB973" t="s">
        <v>522</v>
      </c>
      <c r="PC973" s="50">
        <v>46148</v>
      </c>
    </row>
    <row r="974" spans="1:419" ht="15" customHeight="1" thickBot="1">
      <c r="A974" s="205" t="s">
        <v>861</v>
      </c>
      <c r="B974" s="2" t="s">
        <v>1700</v>
      </c>
      <c r="C974" s="2" t="s">
        <v>1387</v>
      </c>
      <c r="D974" s="88" t="s">
        <v>668</v>
      </c>
      <c r="E974" s="2" t="s">
        <v>1701</v>
      </c>
      <c r="F974" s="88" t="s">
        <v>1702</v>
      </c>
      <c r="G974" s="2" t="s">
        <v>475</v>
      </c>
      <c r="H974" s="2" t="s">
        <v>476</v>
      </c>
      <c r="I974" s="88">
        <v>-11.474220000000001</v>
      </c>
      <c r="J974" s="88" t="s">
        <v>1703</v>
      </c>
      <c r="K974" s="88">
        <v>1000</v>
      </c>
      <c r="L974" s="2"/>
      <c r="M974" s="88"/>
      <c r="N974" s="2"/>
      <c r="O974" s="2"/>
      <c r="P974" s="2"/>
      <c r="Q974" s="2"/>
      <c r="R974" s="2"/>
      <c r="S974" s="2"/>
      <c r="T974" s="2"/>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c r="AV974" s="2" t="s">
        <v>1704</v>
      </c>
      <c r="AW974" s="2">
        <v>28</v>
      </c>
      <c r="AX974" s="2" t="s">
        <v>480</v>
      </c>
      <c r="AY974" s="2">
        <v>2</v>
      </c>
      <c r="AZ974" s="185" t="s">
        <v>1705</v>
      </c>
      <c r="BA974" s="185">
        <v>2020</v>
      </c>
      <c r="BB974" s="185">
        <v>2022</v>
      </c>
      <c r="BC974" s="185"/>
      <c r="BD974" s="185" t="s">
        <v>1739</v>
      </c>
      <c r="BE974" s="185" t="s">
        <v>1740</v>
      </c>
      <c r="BF974" s="185" t="s">
        <v>484</v>
      </c>
      <c r="BG974" s="185" t="s">
        <v>1707</v>
      </c>
      <c r="BH974" s="185" t="s">
        <v>1708</v>
      </c>
      <c r="BI974" s="206" t="s">
        <v>1709</v>
      </c>
      <c r="BJ974" s="207">
        <v>4.4000000000000004</v>
      </c>
      <c r="BK974" s="185"/>
      <c r="BL974" s="185"/>
      <c r="BM974" s="208"/>
      <c r="BN974" s="208"/>
      <c r="BO974" s="208"/>
      <c r="BP974" s="208"/>
      <c r="BQ974" s="208"/>
      <c r="BR974" s="208"/>
      <c r="BS974" s="208"/>
      <c r="BT974" s="208"/>
      <c r="BU974" s="208"/>
      <c r="BV974" s="96"/>
      <c r="BW974" s="96"/>
      <c r="BX974" s="96"/>
      <c r="BY974" s="96"/>
      <c r="BZ974" s="96"/>
      <c r="CA974" s="96"/>
      <c r="CB974" s="96"/>
      <c r="CC974" s="96"/>
      <c r="CD974" s="96"/>
      <c r="CE974" s="96"/>
      <c r="CF974" s="96"/>
      <c r="CG974" s="96"/>
      <c r="CH974" s="96"/>
      <c r="CI974" s="96"/>
      <c r="CJ974" s="96"/>
      <c r="CK974" s="96"/>
      <c r="CL974" s="96"/>
      <c r="CM974" s="96"/>
      <c r="CN974" s="96"/>
      <c r="CO974" s="96"/>
      <c r="CP974" s="96"/>
      <c r="CQ974" s="96"/>
      <c r="CR974" s="96"/>
      <c r="CS974" s="96"/>
      <c r="CT974" s="96"/>
      <c r="CU974" s="96"/>
      <c r="CV974" s="96"/>
      <c r="CW974" s="96"/>
      <c r="CX974" s="96"/>
      <c r="CY974" s="96"/>
      <c r="CZ974" s="96"/>
      <c r="DA974" s="96"/>
      <c r="DB974" s="96"/>
      <c r="DC974" s="96"/>
      <c r="DD974" s="96"/>
      <c r="DE974" s="96"/>
      <c r="DF974" s="96"/>
      <c r="DG974" s="96"/>
      <c r="DH974" s="96"/>
      <c r="DI974" s="96"/>
      <c r="DJ974" s="96"/>
      <c r="DK974" s="96"/>
      <c r="DL974" s="96"/>
      <c r="DM974" s="96"/>
      <c r="DN974" s="96"/>
      <c r="DO974" s="96"/>
      <c r="DP974" s="96"/>
      <c r="DQ974" s="96"/>
      <c r="DR974" s="96"/>
      <c r="DS974" s="96"/>
      <c r="DT974" s="96"/>
      <c r="DU974" s="96"/>
      <c r="DV974" s="96"/>
      <c r="DW974" s="96"/>
      <c r="DX974" s="96"/>
      <c r="DY974" s="96"/>
      <c r="DZ974" s="96"/>
      <c r="EA974" s="96"/>
      <c r="EB974" s="96"/>
      <c r="EC974" s="96"/>
      <c r="ED974" s="96"/>
      <c r="EE974" s="208"/>
      <c r="EF974" s="208"/>
      <c r="EG974" s="208"/>
      <c r="EH974" s="208"/>
      <c r="EI974" s="208"/>
      <c r="EJ974" s="208"/>
      <c r="EK974" s="208"/>
      <c r="EL974" s="96"/>
      <c r="EM974" s="96"/>
      <c r="EN974" s="96"/>
      <c r="EO974" s="96"/>
      <c r="EP974" s="96"/>
      <c r="EQ974" s="96"/>
      <c r="ER974" s="96"/>
      <c r="ES974" s="96"/>
      <c r="ET974" s="96"/>
      <c r="EU974" s="96"/>
      <c r="EV974" s="96"/>
      <c r="EW974" s="96"/>
      <c r="EX974" s="96"/>
      <c r="EY974" s="96"/>
      <c r="EZ974" s="96"/>
      <c r="FA974" s="96"/>
      <c r="FB974" s="96"/>
      <c r="FC974" s="96"/>
      <c r="FD974" s="96"/>
      <c r="FE974" s="96"/>
      <c r="FF974" s="96"/>
      <c r="FG974" s="96"/>
      <c r="FH974" s="96"/>
      <c r="FI974" s="96"/>
      <c r="FJ974" s="96"/>
      <c r="FK974" s="96"/>
      <c r="FL974" s="96"/>
      <c r="FM974" s="96"/>
      <c r="FN974" s="96"/>
      <c r="FO974" s="96"/>
      <c r="FP974" s="96"/>
      <c r="FQ974" s="96"/>
      <c r="FR974" s="96"/>
      <c r="FS974" s="96"/>
      <c r="FT974" s="96"/>
      <c r="FU974" s="96"/>
      <c r="FV974" s="96"/>
      <c r="FW974" s="96"/>
      <c r="FX974" s="96"/>
      <c r="FY974" s="96"/>
      <c r="FZ974" s="96"/>
      <c r="GA974" s="96"/>
      <c r="GB974" s="96"/>
      <c r="GC974" s="96"/>
      <c r="GD974" s="96"/>
      <c r="GE974" s="96"/>
      <c r="GF974" s="96"/>
      <c r="GG974" s="96"/>
      <c r="GH974" s="96"/>
      <c r="GI974" s="96"/>
      <c r="GJ974" s="96"/>
      <c r="GK974" s="96"/>
      <c r="GL974" s="96"/>
      <c r="GM974" s="96"/>
      <c r="GN974" s="96"/>
      <c r="GO974" s="96"/>
      <c r="GP974" s="96"/>
      <c r="GQ974" s="96"/>
      <c r="GR974" s="96"/>
      <c r="GS974" s="96"/>
      <c r="GT974" s="96"/>
      <c r="GU974" s="96"/>
      <c r="GV974" s="96"/>
      <c r="GW974" s="96"/>
      <c r="GX974" s="96"/>
      <c r="GY974" s="96"/>
      <c r="GZ974" s="96"/>
      <c r="HA974" s="96"/>
      <c r="HB974" s="96"/>
      <c r="HC974" s="96"/>
      <c r="HD974" s="96"/>
      <c r="HE974" s="96"/>
      <c r="HF974" s="96"/>
      <c r="HG974" s="96"/>
      <c r="HH974" s="96"/>
      <c r="HI974" s="96"/>
      <c r="HJ974" s="96"/>
      <c r="HK974" s="185" t="s">
        <v>1726</v>
      </c>
      <c r="HL974" s="185" t="s">
        <v>1546</v>
      </c>
      <c r="HM974" s="127" t="s">
        <v>480</v>
      </c>
      <c r="HN974" s="127" t="s">
        <v>480</v>
      </c>
      <c r="HO974" s="127" t="s">
        <v>480</v>
      </c>
      <c r="HP974" s="127" t="s">
        <v>480</v>
      </c>
      <c r="HQ974" s="208"/>
      <c r="HR974" s="208"/>
      <c r="HS974" s="208"/>
      <c r="HT974" s="37"/>
      <c r="HU974" s="37"/>
      <c r="HV974" s="208"/>
      <c r="HW974" s="208"/>
      <c r="HX974" s="208"/>
      <c r="HY974" s="208"/>
      <c r="HZ974" s="208"/>
      <c r="IA974" s="208"/>
      <c r="IB974" s="208"/>
      <c r="IC974" s="208"/>
      <c r="ID974" s="208"/>
      <c r="IE974" s="208"/>
      <c r="IF974" s="208"/>
      <c r="IG974" s="208"/>
      <c r="IH974" s="185" t="s">
        <v>1706</v>
      </c>
      <c r="II974" s="209" t="s">
        <v>492</v>
      </c>
      <c r="IJ974" s="209"/>
      <c r="IK974" s="208"/>
      <c r="IL974" s="208"/>
      <c r="IM974" s="208"/>
      <c r="IN974" s="185"/>
      <c r="IO974" s="208"/>
      <c r="IP974" s="208"/>
      <c r="IQ974" s="208"/>
      <c r="IR974" s="208"/>
      <c r="IS974" s="208"/>
      <c r="IT974" s="208"/>
      <c r="IU974" s="208"/>
      <c r="IV974" s="208"/>
      <c r="IW974" s="208"/>
      <c r="IX974" s="96"/>
      <c r="IY974" s="96"/>
      <c r="IZ974" s="96"/>
      <c r="JA974" s="96"/>
      <c r="JB974" s="96"/>
      <c r="JC974" s="96"/>
      <c r="JD974" s="96"/>
      <c r="JE974" s="96"/>
      <c r="JF974" s="96"/>
      <c r="JG974" s="96"/>
      <c r="JH974" s="96"/>
      <c r="JI974" s="96"/>
      <c r="JJ974" s="96" t="s">
        <v>1727</v>
      </c>
      <c r="JK974" s="2" t="s">
        <v>682</v>
      </c>
      <c r="JL974" s="151"/>
      <c r="JM974" s="208"/>
      <c r="JN974" s="206"/>
      <c r="JO974" s="208"/>
      <c r="JP974" s="206"/>
      <c r="JQ974" s="208"/>
      <c r="JR974" s="208"/>
      <c r="JS974" s="208"/>
      <c r="JT974" s="208"/>
      <c r="JU974" s="208"/>
      <c r="JV974" s="208"/>
      <c r="JW974" s="208"/>
      <c r="JX974" s="208"/>
      <c r="JY974" s="208"/>
      <c r="JZ974" s="208"/>
      <c r="KA974" s="208"/>
      <c r="KB974" s="208"/>
      <c r="KC974" s="208"/>
      <c r="KD974" s="208"/>
      <c r="KE974" s="208"/>
      <c r="KF974" s="148"/>
      <c r="KG974" s="148"/>
      <c r="KH974" s="210"/>
      <c r="KI974" s="185"/>
      <c r="KJ974" s="210"/>
      <c r="KK974" s="210"/>
      <c r="KL974" s="210"/>
      <c r="KM974" s="210"/>
      <c r="KN974" s="148"/>
      <c r="KO974" s="148"/>
      <c r="KP974" s="210"/>
      <c r="KQ974" s="210"/>
      <c r="KR974" s="148"/>
      <c r="KS974" s="148"/>
      <c r="KT974" s="210"/>
      <c r="KU974" s="210"/>
      <c r="KV974" s="210"/>
      <c r="KW974" s="38"/>
      <c r="KX974" s="38"/>
      <c r="KY974" s="38"/>
      <c r="KZ974" s="38"/>
      <c r="LA974" s="206"/>
      <c r="LB974" s="206"/>
      <c r="LC974" s="206"/>
      <c r="LD974" s="206"/>
      <c r="LE974" s="206"/>
      <c r="LF974" s="206"/>
      <c r="LG974" s="206"/>
      <c r="LH974" s="206"/>
      <c r="LI974" s="208"/>
      <c r="LJ974" s="208"/>
      <c r="LK974" s="208"/>
      <c r="LL974" s="208"/>
      <c r="LM974" s="208"/>
      <c r="LN974" s="208"/>
      <c r="LO974" s="208"/>
      <c r="LP974" s="208"/>
      <c r="LQ974" s="208"/>
      <c r="LR974" s="208"/>
      <c r="LS974" s="208"/>
      <c r="LT974" s="208"/>
      <c r="LU974" s="208"/>
      <c r="LV974" s="96"/>
      <c r="LW974" s="96"/>
      <c r="LX974" s="96"/>
      <c r="LY974" s="96"/>
      <c r="LZ974" s="96"/>
      <c r="MA974" s="96"/>
      <c r="MB974" s="96"/>
      <c r="MC974" s="96"/>
      <c r="MD974" s="96"/>
      <c r="ME974" s="96"/>
      <c r="MF974" s="96"/>
      <c r="MG974" s="208"/>
      <c r="MH974" s="208"/>
      <c r="MI974" s="96"/>
      <c r="MJ974" s="96"/>
      <c r="MK974" s="96"/>
      <c r="ML974" s="96"/>
      <c r="MM974" s="96"/>
      <c r="MN974" s="96"/>
      <c r="MO974" s="96"/>
      <c r="MP974" s="96"/>
      <c r="MQ974" s="37"/>
      <c r="MR974" s="37"/>
      <c r="MS974" s="96"/>
      <c r="MT974" s="208"/>
      <c r="MU974" s="208"/>
      <c r="MW974" s="96"/>
      <c r="MX974" s="96"/>
      <c r="MY974" s="211" t="s">
        <v>1710</v>
      </c>
      <c r="MZ974" s="212">
        <v>16.25</v>
      </c>
      <c r="NI974" s="185"/>
      <c r="NJ974" s="185" t="s">
        <v>1728</v>
      </c>
      <c r="NK974" s="185" t="s">
        <v>1761</v>
      </c>
      <c r="NL974" s="185" t="s">
        <v>1762</v>
      </c>
      <c r="NM974" s="213" t="s">
        <v>1731</v>
      </c>
      <c r="NN974" s="185">
        <v>0</v>
      </c>
      <c r="NO974" s="185">
        <v>20</v>
      </c>
      <c r="NP974" s="185"/>
      <c r="NQ974" s="185"/>
      <c r="NR974" s="185"/>
      <c r="NS974" s="185"/>
      <c r="NT974" s="185"/>
      <c r="NU974" s="185" t="s">
        <v>1741</v>
      </c>
      <c r="NV974" s="185" t="s">
        <v>518</v>
      </c>
      <c r="NW974">
        <v>28.48</v>
      </c>
      <c r="NX974" s="185" t="s">
        <v>480</v>
      </c>
      <c r="NY974" s="147"/>
      <c r="NZ974" s="147"/>
      <c r="OA974" s="133"/>
      <c r="OB974" s="185">
        <v>3</v>
      </c>
      <c r="OC974" s="185"/>
      <c r="OD974" s="185"/>
      <c r="OE974" s="208"/>
      <c r="OF974" s="208"/>
      <c r="OG974" s="208"/>
      <c r="OH974" s="208"/>
      <c r="OI974" s="208"/>
      <c r="OJ974" s="208"/>
      <c r="OK974" s="208"/>
      <c r="OL974" s="208"/>
      <c r="OM974" s="208"/>
      <c r="ON974" s="208"/>
      <c r="OO974" s="208"/>
      <c r="OP974" s="208"/>
      <c r="OQ974" s="208"/>
      <c r="OR974" s="208"/>
      <c r="OS974" s="208"/>
      <c r="OT974" s="208"/>
      <c r="OU974" t="s">
        <v>1763</v>
      </c>
      <c r="OV974" s="185" t="s">
        <v>518</v>
      </c>
      <c r="OX974">
        <v>2021</v>
      </c>
      <c r="OY974">
        <v>2022</v>
      </c>
      <c r="OZ974" s="96"/>
      <c r="PA974" s="96"/>
      <c r="PB974" t="s">
        <v>522</v>
      </c>
      <c r="PC974" s="50">
        <v>46148</v>
      </c>
    </row>
    <row r="975" spans="1:419" ht="17.25" thickBot="1">
      <c r="A975" s="205" t="s">
        <v>861</v>
      </c>
      <c r="B975" s="2" t="s">
        <v>1700</v>
      </c>
      <c r="C975" s="2" t="s">
        <v>1387</v>
      </c>
      <c r="D975" s="88" t="s">
        <v>668</v>
      </c>
      <c r="E975" s="2" t="s">
        <v>1701</v>
      </c>
      <c r="F975" s="88" t="s">
        <v>1702</v>
      </c>
      <c r="G975" s="2" t="s">
        <v>475</v>
      </c>
      <c r="H975" s="2" t="s">
        <v>476</v>
      </c>
      <c r="I975" s="88">
        <v>-11.474220000000001</v>
      </c>
      <c r="J975" s="88" t="s">
        <v>1703</v>
      </c>
      <c r="K975" s="88">
        <v>1000</v>
      </c>
      <c r="L975" s="2"/>
      <c r="M975" s="88"/>
      <c r="N975" s="2"/>
      <c r="O975" s="2"/>
      <c r="P975" s="2"/>
      <c r="Q975" s="2"/>
      <c r="R975" s="2"/>
      <c r="S975" s="2"/>
      <c r="T975" s="2"/>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c r="AV975" s="2" t="s">
        <v>1704</v>
      </c>
      <c r="AW975" s="2">
        <v>28</v>
      </c>
      <c r="AX975" s="2" t="s">
        <v>480</v>
      </c>
      <c r="AY975" s="2">
        <v>2</v>
      </c>
      <c r="AZ975" s="185" t="s">
        <v>1705</v>
      </c>
      <c r="BA975" s="185">
        <v>2020</v>
      </c>
      <c r="BB975" s="185">
        <v>2022</v>
      </c>
      <c r="BC975" s="185"/>
      <c r="BD975" s="185" t="s">
        <v>1742</v>
      </c>
      <c r="BE975" s="185" t="s">
        <v>553</v>
      </c>
      <c r="BF975" s="185" t="s">
        <v>484</v>
      </c>
      <c r="BG975" s="185" t="s">
        <v>1707</v>
      </c>
      <c r="BH975" s="185" t="s">
        <v>1708</v>
      </c>
      <c r="BI975" s="206" t="s">
        <v>1709</v>
      </c>
      <c r="BJ975" s="207">
        <v>4.4000000000000004</v>
      </c>
      <c r="BK975" s="185" t="s">
        <v>537</v>
      </c>
      <c r="BL975" s="185" t="s">
        <v>485</v>
      </c>
      <c r="BM975" s="185" t="s">
        <v>1719</v>
      </c>
      <c r="BN975" s="206" t="s">
        <v>1709</v>
      </c>
      <c r="BO975" s="207">
        <v>4.4000000000000004</v>
      </c>
      <c r="BP975" s="185"/>
      <c r="BQ975" s="185"/>
      <c r="BR975" s="185"/>
      <c r="BS975" s="185"/>
      <c r="BT975" s="185"/>
      <c r="BU975" s="185"/>
      <c r="BV975" s="3"/>
      <c r="BW975" s="3"/>
      <c r="BX975" s="3"/>
      <c r="BY975" s="3"/>
      <c r="BZ975" s="3"/>
      <c r="CA975" s="3"/>
      <c r="CB975" s="3"/>
      <c r="CC975" s="3"/>
      <c r="CD975" s="3"/>
      <c r="CE975" s="3"/>
      <c r="CF975" s="3"/>
      <c r="CG975" s="3"/>
      <c r="CH975" s="3"/>
      <c r="CI975" s="3"/>
      <c r="CJ975" s="3"/>
      <c r="CK975" s="3"/>
      <c r="CL975" s="3"/>
      <c r="CM975" s="3"/>
      <c r="CN975" s="3"/>
      <c r="CO975" s="3"/>
      <c r="CP975" s="3"/>
      <c r="CQ975" s="3"/>
      <c r="CR975" s="3"/>
      <c r="CS975" s="3"/>
      <c r="CT975" s="3"/>
      <c r="CU975" s="3"/>
      <c r="CV975" s="3"/>
      <c r="CW975" s="3"/>
      <c r="CX975" s="3"/>
      <c r="CY975" s="3"/>
      <c r="CZ975" s="3"/>
      <c r="DA975" s="3"/>
      <c r="DB975" s="3"/>
      <c r="DC975" s="3"/>
      <c r="DD975" s="3"/>
      <c r="DE975" s="3"/>
      <c r="DF975" s="3"/>
      <c r="DG975" s="3"/>
      <c r="DH975" s="3"/>
      <c r="DI975" s="3"/>
      <c r="DJ975" s="3"/>
      <c r="DK975" s="3"/>
      <c r="DL975" s="3"/>
      <c r="DM975" s="3"/>
      <c r="DN975" s="3"/>
      <c r="DO975" s="3"/>
      <c r="DP975" s="3"/>
      <c r="DQ975" s="3"/>
      <c r="DR975" s="3"/>
      <c r="DS975" s="3"/>
      <c r="DT975" s="3"/>
      <c r="DU975" s="3"/>
      <c r="DV975" s="3"/>
      <c r="DW975" s="3"/>
      <c r="DX975" s="3"/>
      <c r="DY975" s="3"/>
      <c r="DZ975" s="3"/>
      <c r="EA975" s="3"/>
      <c r="EB975" s="3"/>
      <c r="EC975" s="3"/>
      <c r="ED975" s="2"/>
      <c r="EE975" s="185"/>
      <c r="EF975" s="185"/>
      <c r="EG975" s="185"/>
      <c r="EH975" s="185"/>
      <c r="EI975" s="185"/>
      <c r="EJ975" s="185"/>
      <c r="EK975" s="185"/>
      <c r="EL975" s="3"/>
      <c r="EM975" s="3"/>
      <c r="EN975" s="3"/>
      <c r="EO975" s="3"/>
      <c r="EP975" s="3"/>
      <c r="EQ975" s="3"/>
      <c r="ER975" s="3"/>
      <c r="ES975" s="3"/>
      <c r="ET975" s="3"/>
      <c r="EU975" s="3"/>
      <c r="EV975" s="3"/>
      <c r="EW975" s="3"/>
      <c r="EX975" s="3"/>
      <c r="EY975" s="3"/>
      <c r="EZ975" s="3"/>
      <c r="FA975" s="3"/>
      <c r="FB975" s="3"/>
      <c r="FC975" s="3"/>
      <c r="FD975" s="3"/>
      <c r="FE975" s="3"/>
      <c r="FF975" s="3"/>
      <c r="FG975" s="3"/>
      <c r="FH975" s="3"/>
      <c r="FI975" s="3"/>
      <c r="FJ975" s="3"/>
      <c r="FK975" s="3"/>
      <c r="FL975" s="3"/>
      <c r="FM975" s="3"/>
      <c r="FN975" s="3"/>
      <c r="FO975" s="3"/>
      <c r="FP975" s="3"/>
      <c r="FQ975" s="3"/>
      <c r="FR975" s="3"/>
      <c r="FS975" s="3"/>
      <c r="FT975" s="3"/>
      <c r="FU975" s="3"/>
      <c r="FV975" s="3"/>
      <c r="FW975" s="3"/>
      <c r="FX975" s="3"/>
      <c r="FY975" s="3"/>
      <c r="FZ975" s="3"/>
      <c r="GA975" s="3"/>
      <c r="GB975" s="3"/>
      <c r="GC975" s="3"/>
      <c r="GD975" s="3"/>
      <c r="GE975" s="3"/>
      <c r="GF975" s="3"/>
      <c r="GG975" s="3"/>
      <c r="GH975" s="3"/>
      <c r="GI975" s="3"/>
      <c r="GJ975" s="3"/>
      <c r="GK975" s="3"/>
      <c r="GL975" s="3"/>
      <c r="GM975" s="3"/>
      <c r="GN975" s="3"/>
      <c r="GO975" s="3"/>
      <c r="GP975" s="3"/>
      <c r="GQ975" s="3"/>
      <c r="GR975" s="3"/>
      <c r="GS975" s="3"/>
      <c r="GT975" s="3"/>
      <c r="GU975" s="3"/>
      <c r="GV975" s="3"/>
      <c r="GW975" s="3"/>
      <c r="GX975" s="3"/>
      <c r="GY975" s="3"/>
      <c r="GZ975" s="3"/>
      <c r="HA975" s="3"/>
      <c r="HB975" s="3"/>
      <c r="HC975" s="3"/>
      <c r="HD975" s="3"/>
      <c r="HE975" s="3"/>
      <c r="HF975" s="3"/>
      <c r="HG975" s="3"/>
      <c r="HH975" s="3"/>
      <c r="HI975" s="3"/>
      <c r="HJ975" s="3"/>
      <c r="HK975" s="185" t="s">
        <v>1726</v>
      </c>
      <c r="HL975" s="185" t="s">
        <v>1546</v>
      </c>
      <c r="HM975" s="127" t="s">
        <v>480</v>
      </c>
      <c r="HN975" s="127" t="s">
        <v>480</v>
      </c>
      <c r="HO975" s="127" t="s">
        <v>480</v>
      </c>
      <c r="HP975" s="127" t="s">
        <v>480</v>
      </c>
      <c r="HQ975" s="185"/>
      <c r="HR975" s="185"/>
      <c r="HS975" s="206"/>
      <c r="HT975" s="185"/>
      <c r="HU975" s="185"/>
      <c r="HV975" s="185"/>
      <c r="HW975" s="185"/>
      <c r="HX975" s="215"/>
      <c r="HY975" s="185"/>
      <c r="HZ975" s="185"/>
      <c r="IA975" s="185"/>
      <c r="IB975" s="185"/>
      <c r="IC975" s="185"/>
      <c r="ID975" s="185"/>
      <c r="IE975" s="185"/>
      <c r="IF975" s="185"/>
      <c r="IG975" s="185"/>
      <c r="IH975" s="185" t="s">
        <v>1718</v>
      </c>
      <c r="II975" s="148" t="s">
        <v>1714</v>
      </c>
      <c r="IJ975" s="148" t="s">
        <v>542</v>
      </c>
      <c r="IK975" s="210" t="s">
        <v>1715</v>
      </c>
      <c r="IL975" s="185">
        <v>2020</v>
      </c>
      <c r="IM975" s="185"/>
      <c r="IN975" s="185" t="s">
        <v>1716</v>
      </c>
      <c r="IO975" s="185"/>
      <c r="IP975" s="185"/>
      <c r="IQ975" s="185"/>
      <c r="IR975" s="185"/>
      <c r="IS975" s="185"/>
      <c r="IT975" s="185"/>
      <c r="IU975" s="185"/>
      <c r="IV975" s="185"/>
      <c r="IW975" s="185"/>
      <c r="IX975" s="2"/>
      <c r="IY975" s="2"/>
      <c r="IZ975" s="2"/>
      <c r="JA975" s="2"/>
      <c r="JB975" s="2"/>
      <c r="JC975" s="2"/>
      <c r="JD975" s="2"/>
      <c r="JE975" s="2"/>
      <c r="JF975" s="2"/>
      <c r="JG975" s="2"/>
      <c r="JH975" s="2"/>
      <c r="JI975" s="2"/>
      <c r="JJ975" s="2" t="s">
        <v>1727</v>
      </c>
      <c r="JK975" s="2" t="s">
        <v>682</v>
      </c>
      <c r="JL975" s="151"/>
      <c r="JM975" s="140"/>
      <c r="JN975" s="206"/>
      <c r="JO975" s="185"/>
      <c r="JP975" s="206"/>
      <c r="JQ975" s="185"/>
      <c r="JR975" s="185"/>
      <c r="JS975" s="185"/>
      <c r="JT975" s="185"/>
      <c r="JU975" s="185"/>
      <c r="JV975" s="140"/>
      <c r="JW975" s="140"/>
      <c r="JX975" s="206"/>
      <c r="JY975" s="185"/>
      <c r="JZ975" s="206"/>
      <c r="KA975" s="185"/>
      <c r="KB975" s="185"/>
      <c r="KC975" s="185"/>
      <c r="KD975" s="206"/>
      <c r="KE975" s="206"/>
      <c r="KF975" s="148"/>
      <c r="KG975" s="216"/>
      <c r="KH975" s="185"/>
      <c r="KI975" s="185"/>
      <c r="KJ975" s="185"/>
      <c r="KK975" s="185"/>
      <c r="KL975" s="206"/>
      <c r="KM975" s="185"/>
      <c r="KN975" s="148"/>
      <c r="KO975" s="216"/>
      <c r="KP975" s="185"/>
      <c r="KQ975" s="185"/>
      <c r="KR975" s="148"/>
      <c r="KS975" s="216"/>
      <c r="KT975" s="185"/>
      <c r="KU975" s="185"/>
      <c r="KV975" s="185"/>
      <c r="KW975" s="3"/>
      <c r="KX975" s="3"/>
      <c r="KY975" s="3"/>
      <c r="KZ975" s="3"/>
      <c r="LA975" s="206"/>
      <c r="LB975" s="206"/>
      <c r="LC975" s="206"/>
      <c r="LD975" s="206"/>
      <c r="LE975" s="206"/>
      <c r="LF975" s="206"/>
      <c r="LG975" s="206"/>
      <c r="LH975" s="206"/>
      <c r="LI975" s="206"/>
      <c r="LJ975" s="206"/>
      <c r="LK975" s="206"/>
      <c r="LL975" s="206"/>
      <c r="LM975" s="206"/>
      <c r="LN975" s="185"/>
      <c r="LO975" s="185"/>
      <c r="LP975" s="185"/>
      <c r="LQ975" s="185"/>
      <c r="LR975" s="185"/>
      <c r="LS975" s="185"/>
      <c r="LT975" s="185"/>
      <c r="LU975" s="185"/>
      <c r="LW975" s="2"/>
      <c r="LX975" s="2"/>
      <c r="LY975" s="2"/>
      <c r="LZ975" s="2"/>
      <c r="MA975" s="2"/>
      <c r="ME975" s="2"/>
      <c r="MF975" s="185"/>
      <c r="MG975" s="185"/>
      <c r="MH975" s="185"/>
      <c r="MI975" s="2"/>
      <c r="MJ975" s="2"/>
      <c r="MK975" s="2"/>
      <c r="ML975" s="2"/>
      <c r="MM975" s="2"/>
      <c r="MN975" s="2"/>
      <c r="MO975" s="2"/>
      <c r="MP975" s="2"/>
      <c r="MQ975" s="185"/>
      <c r="MR975" s="185"/>
      <c r="MS975" s="185"/>
      <c r="MT975" s="185"/>
      <c r="MU975" s="185"/>
      <c r="MV975" s="185"/>
      <c r="MW975" s="185"/>
      <c r="MX975" s="185"/>
      <c r="MY975" s="211" t="s">
        <v>1710</v>
      </c>
      <c r="MZ975" s="212">
        <v>16.25</v>
      </c>
      <c r="NI975" s="185"/>
      <c r="NJ975" s="185" t="s">
        <v>1728</v>
      </c>
      <c r="NK975" s="185" t="s">
        <v>1761</v>
      </c>
      <c r="NL975" s="185" t="s">
        <v>1762</v>
      </c>
      <c r="NM975" s="213" t="s">
        <v>1731</v>
      </c>
      <c r="NN975" s="185">
        <v>0</v>
      </c>
      <c r="NO975" s="185">
        <v>20</v>
      </c>
      <c r="NP975" s="185"/>
      <c r="NQ975" s="185"/>
      <c r="NR975" s="185"/>
      <c r="NS975" s="185"/>
      <c r="NT975" s="185"/>
      <c r="NU975" s="185"/>
      <c r="NV975" s="185" t="s">
        <v>518</v>
      </c>
      <c r="NW975">
        <v>29.39</v>
      </c>
      <c r="NX975" s="185" t="s">
        <v>480</v>
      </c>
      <c r="NY975" s="147"/>
      <c r="NZ975" s="147"/>
      <c r="OA975" s="133"/>
      <c r="OB975" s="185">
        <v>3</v>
      </c>
      <c r="OC975" s="185"/>
      <c r="OD975" s="185"/>
      <c r="OE975" s="185"/>
      <c r="OF975" s="185"/>
      <c r="OG975" s="185"/>
      <c r="OH975" s="185"/>
      <c r="OI975" s="185"/>
      <c r="OJ975" s="185"/>
      <c r="OK975" s="185"/>
      <c r="OL975" s="185"/>
      <c r="OM975" s="185"/>
      <c r="ON975" s="185"/>
      <c r="OO975" s="185"/>
      <c r="OP975" s="185"/>
      <c r="OQ975" s="185"/>
      <c r="OR975" s="185"/>
      <c r="OS975" s="185"/>
      <c r="OT975" s="185"/>
      <c r="OU975" t="s">
        <v>1763</v>
      </c>
      <c r="OV975" s="185" t="s">
        <v>518</v>
      </c>
      <c r="OX975">
        <v>2021</v>
      </c>
      <c r="OY975">
        <v>2022</v>
      </c>
      <c r="PB975" t="s">
        <v>522</v>
      </c>
      <c r="PC975" s="50">
        <v>46148</v>
      </c>
    </row>
    <row r="976" spans="1:419" ht="17.25" thickBot="1">
      <c r="A976" s="205" t="s">
        <v>861</v>
      </c>
      <c r="B976" s="2" t="s">
        <v>1700</v>
      </c>
      <c r="C976" s="2" t="s">
        <v>1387</v>
      </c>
      <c r="D976" s="88" t="s">
        <v>668</v>
      </c>
      <c r="E976" s="2" t="s">
        <v>1701</v>
      </c>
      <c r="F976" s="88" t="s">
        <v>1702</v>
      </c>
      <c r="G976" s="2" t="s">
        <v>475</v>
      </c>
      <c r="H976" s="2" t="s">
        <v>476</v>
      </c>
      <c r="I976" s="88">
        <v>-11.474220000000001</v>
      </c>
      <c r="J976" s="88" t="s">
        <v>1703</v>
      </c>
      <c r="K976" s="88">
        <v>1000</v>
      </c>
      <c r="L976" s="2"/>
      <c r="M976" s="88"/>
      <c r="N976" s="2"/>
      <c r="O976" s="2"/>
      <c r="P976" s="2"/>
      <c r="Q976" s="2"/>
      <c r="R976" s="2"/>
      <c r="S976" s="2"/>
      <c r="T976" s="2"/>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c r="AV976" s="2" t="s">
        <v>1704</v>
      </c>
      <c r="AW976" s="2">
        <v>28</v>
      </c>
      <c r="AX976" s="2" t="s">
        <v>480</v>
      </c>
      <c r="AY976" s="2">
        <v>2</v>
      </c>
      <c r="AZ976" s="185" t="s">
        <v>1705</v>
      </c>
      <c r="BA976" s="185">
        <v>2020</v>
      </c>
      <c r="BB976" s="185">
        <v>2022</v>
      </c>
      <c r="BC976" s="185"/>
      <c r="BD976" s="185" t="s">
        <v>1743</v>
      </c>
      <c r="BE976" s="185" t="s">
        <v>607</v>
      </c>
      <c r="BF976" s="185" t="s">
        <v>484</v>
      </c>
      <c r="BG976" s="185" t="s">
        <v>538</v>
      </c>
      <c r="BH976" s="185" t="s">
        <v>1713</v>
      </c>
      <c r="BI976" s="206" t="s">
        <v>1709</v>
      </c>
      <c r="BJ976" s="207">
        <v>13.3</v>
      </c>
      <c r="BK976" s="185" t="s">
        <v>537</v>
      </c>
      <c r="BL976" s="185" t="s">
        <v>485</v>
      </c>
      <c r="BM976" s="185" t="s">
        <v>1719</v>
      </c>
      <c r="BN976" s="206" t="s">
        <v>1709</v>
      </c>
      <c r="BO976" s="207">
        <v>4.4000000000000004</v>
      </c>
      <c r="BP976" s="185"/>
      <c r="BQ976" s="185"/>
      <c r="BR976" s="185"/>
      <c r="BS976" s="185"/>
      <c r="BT976" s="185"/>
      <c r="BU976" s="185"/>
      <c r="BV976" s="3"/>
      <c r="BW976" s="3"/>
      <c r="BX976" s="3"/>
      <c r="BY976" s="3"/>
      <c r="BZ976" s="3"/>
      <c r="CA976" s="3"/>
      <c r="CB976" s="3"/>
      <c r="CC976" s="3"/>
      <c r="CD976" s="3"/>
      <c r="CE976" s="3"/>
      <c r="CF976" s="3"/>
      <c r="CG976" s="3"/>
      <c r="CH976" s="3"/>
      <c r="CI976" s="3"/>
      <c r="CJ976" s="3"/>
      <c r="CK976" s="3"/>
      <c r="CL976" s="3"/>
      <c r="CM976" s="3"/>
      <c r="CN976" s="3"/>
      <c r="CO976" s="3"/>
      <c r="CP976" s="3"/>
      <c r="CQ976" s="3"/>
      <c r="CR976" s="3"/>
      <c r="CS976" s="3"/>
      <c r="CT976" s="3"/>
      <c r="CU976" s="3"/>
      <c r="CV976" s="3"/>
      <c r="CW976" s="3"/>
      <c r="CX976" s="3"/>
      <c r="CY976" s="3"/>
      <c r="CZ976" s="3"/>
      <c r="DA976" s="3"/>
      <c r="DB976" s="3"/>
      <c r="DC976" s="3"/>
      <c r="DD976" s="3"/>
      <c r="DE976" s="3"/>
      <c r="DF976" s="3"/>
      <c r="DG976" s="3"/>
      <c r="DH976" s="3"/>
      <c r="DI976" s="3"/>
      <c r="DJ976" s="3"/>
      <c r="DK976" s="3"/>
      <c r="DL976" s="3"/>
      <c r="DM976" s="3"/>
      <c r="DN976" s="3"/>
      <c r="DO976" s="3"/>
      <c r="DP976" s="3"/>
      <c r="DQ976" s="3"/>
      <c r="DR976" s="3"/>
      <c r="DS976" s="3"/>
      <c r="DT976" s="3"/>
      <c r="DU976" s="3"/>
      <c r="DV976" s="3"/>
      <c r="DW976" s="3"/>
      <c r="DX976" s="3"/>
      <c r="DY976" s="3"/>
      <c r="DZ976" s="3"/>
      <c r="EA976" s="3"/>
      <c r="EB976" s="3"/>
      <c r="EC976" s="3"/>
      <c r="ED976" s="2"/>
      <c r="EE976" s="185"/>
      <c r="EF976" s="185"/>
      <c r="EG976" s="185"/>
      <c r="EH976" s="185"/>
      <c r="EI976" s="185"/>
      <c r="EJ976" s="185"/>
      <c r="EK976" s="185"/>
      <c r="EL976" s="3"/>
      <c r="EM976" s="3"/>
      <c r="EN976" s="3"/>
      <c r="EO976" s="3"/>
      <c r="EP976" s="3"/>
      <c r="EQ976" s="3"/>
      <c r="ER976" s="3"/>
      <c r="ES976" s="3"/>
      <c r="ET976" s="3"/>
      <c r="EU976" s="3"/>
      <c r="EV976" s="3"/>
      <c r="EW976" s="3"/>
      <c r="EX976" s="3"/>
      <c r="EY976" s="3"/>
      <c r="EZ976" s="3"/>
      <c r="FA976" s="3"/>
      <c r="FB976" s="3"/>
      <c r="FC976" s="3"/>
      <c r="FD976" s="3"/>
      <c r="FE976" s="3"/>
      <c r="FF976" s="3"/>
      <c r="FG976" s="3"/>
      <c r="FH976" s="3"/>
      <c r="FI976" s="3"/>
      <c r="FJ976" s="3"/>
      <c r="FK976" s="3"/>
      <c r="FL976" s="3"/>
      <c r="FM976" s="3"/>
      <c r="FN976" s="3"/>
      <c r="FO976" s="3"/>
      <c r="FP976" s="3"/>
      <c r="FQ976" s="3"/>
      <c r="FR976" s="3"/>
      <c r="FS976" s="3"/>
      <c r="FT976" s="3"/>
      <c r="FU976" s="3"/>
      <c r="FV976" s="3"/>
      <c r="FW976" s="3"/>
      <c r="FX976" s="3"/>
      <c r="FY976" s="3"/>
      <c r="FZ976" s="3"/>
      <c r="GA976" s="3"/>
      <c r="GB976" s="3"/>
      <c r="GC976" s="3"/>
      <c r="GD976" s="3"/>
      <c r="GE976" s="3"/>
      <c r="GF976" s="3"/>
      <c r="GG976" s="3"/>
      <c r="GH976" s="3"/>
      <c r="GI976" s="3"/>
      <c r="GJ976" s="3"/>
      <c r="GK976" s="3"/>
      <c r="GL976" s="3"/>
      <c r="GM976" s="3"/>
      <c r="GN976" s="3"/>
      <c r="GO976" s="3"/>
      <c r="GP976" s="3"/>
      <c r="GQ976" s="3"/>
      <c r="GR976" s="3"/>
      <c r="GS976" s="3"/>
      <c r="GT976" s="3"/>
      <c r="GU976" s="3"/>
      <c r="GV976" s="3"/>
      <c r="GW976" s="3"/>
      <c r="GX976" s="3"/>
      <c r="GY976" s="3"/>
      <c r="GZ976" s="3"/>
      <c r="HA976" s="3"/>
      <c r="HB976" s="3"/>
      <c r="HC976" s="3"/>
      <c r="HD976" s="3"/>
      <c r="HE976" s="3"/>
      <c r="HF976" s="3"/>
      <c r="HG976" s="3"/>
      <c r="HH976" s="3"/>
      <c r="HI976" s="3"/>
      <c r="HJ976" s="3"/>
      <c r="HK976" s="185" t="s">
        <v>1726</v>
      </c>
      <c r="HL976" s="185" t="s">
        <v>1546</v>
      </c>
      <c r="HM976" s="127" t="s">
        <v>480</v>
      </c>
      <c r="HN976" s="127" t="s">
        <v>480</v>
      </c>
      <c r="HO976" s="127" t="s">
        <v>480</v>
      </c>
      <c r="HP976" s="127" t="s">
        <v>480</v>
      </c>
      <c r="HQ976" s="185"/>
      <c r="HR976" s="185"/>
      <c r="HS976" s="206"/>
      <c r="HT976" s="185"/>
      <c r="HU976" s="185"/>
      <c r="HV976" s="185"/>
      <c r="HW976" s="185"/>
      <c r="HX976" s="215"/>
      <c r="HY976" s="185"/>
      <c r="HZ976" s="185"/>
      <c r="IA976" s="185"/>
      <c r="IB976" s="185"/>
      <c r="IC976" s="185"/>
      <c r="ID976" s="185"/>
      <c r="IE976" s="185"/>
      <c r="IF976" s="185"/>
      <c r="IG976" s="185"/>
      <c r="IH976" s="185" t="s">
        <v>1720</v>
      </c>
      <c r="II976" s="148" t="s">
        <v>1714</v>
      </c>
      <c r="IJ976" s="148" t="s">
        <v>542</v>
      </c>
      <c r="IK976" s="210" t="s">
        <v>1715</v>
      </c>
      <c r="IL976" s="185">
        <v>2020</v>
      </c>
      <c r="IM976" s="185"/>
      <c r="IN976" s="185" t="s">
        <v>1716</v>
      </c>
      <c r="IO976" s="185"/>
      <c r="IP976" s="185"/>
      <c r="IQ976" s="185"/>
      <c r="IR976" s="185"/>
      <c r="IS976" s="185"/>
      <c r="IT976" s="185"/>
      <c r="IU976" s="185"/>
      <c r="IV976" s="185"/>
      <c r="IW976" s="185"/>
      <c r="IX976" s="2"/>
      <c r="IY976" s="2"/>
      <c r="IZ976" s="2"/>
      <c r="JA976" s="2"/>
      <c r="JB976" s="2"/>
      <c r="JC976" s="2"/>
      <c r="JD976" s="2"/>
      <c r="JE976" s="2"/>
      <c r="JF976" s="2"/>
      <c r="JG976" s="2"/>
      <c r="JH976" s="2"/>
      <c r="JI976" s="2"/>
      <c r="JJ976" s="2" t="s">
        <v>1727</v>
      </c>
      <c r="JK976" s="2" t="s">
        <v>682</v>
      </c>
      <c r="JL976" s="151"/>
      <c r="JM976" s="140"/>
      <c r="JN976" s="206"/>
      <c r="JO976" s="185"/>
      <c r="JP976" s="206"/>
      <c r="JQ976" s="185"/>
      <c r="JR976" s="185"/>
      <c r="JS976" s="185"/>
      <c r="JT976" s="185"/>
      <c r="JU976" s="185"/>
      <c r="JV976" s="140"/>
      <c r="JW976" s="140"/>
      <c r="JX976" s="206"/>
      <c r="JY976" s="185"/>
      <c r="JZ976" s="206"/>
      <c r="KA976" s="185"/>
      <c r="KB976" s="185"/>
      <c r="KC976" s="185"/>
      <c r="KD976" s="206"/>
      <c r="KE976" s="206"/>
      <c r="KF976" s="148"/>
      <c r="KG976" s="216"/>
      <c r="KH976" s="185"/>
      <c r="KI976" s="185"/>
      <c r="KJ976" s="185"/>
      <c r="KK976" s="185"/>
      <c r="KL976" s="206"/>
      <c r="KM976" s="185"/>
      <c r="KN976" s="148"/>
      <c r="KO976" s="216"/>
      <c r="KP976" s="185"/>
      <c r="KQ976" s="185"/>
      <c r="KR976" s="148"/>
      <c r="KS976" s="216"/>
      <c r="KT976" s="185"/>
      <c r="KU976" s="185"/>
      <c r="KV976" s="185"/>
      <c r="KW976" s="3"/>
      <c r="KX976" s="3"/>
      <c r="KY976" s="3"/>
      <c r="KZ976" s="3"/>
      <c r="LA976" s="206"/>
      <c r="LB976" s="206"/>
      <c r="LC976" s="206"/>
      <c r="LD976" s="206"/>
      <c r="LE976" s="206"/>
      <c r="LF976" s="206"/>
      <c r="LG976" s="206"/>
      <c r="LH976" s="206"/>
      <c r="LI976" s="206"/>
      <c r="LJ976" s="206"/>
      <c r="LK976" s="206"/>
      <c r="LL976" s="206"/>
      <c r="LM976" s="206"/>
      <c r="LN976" s="185"/>
      <c r="LO976" s="185"/>
      <c r="LP976" s="185"/>
      <c r="LQ976" s="185"/>
      <c r="LR976" s="185"/>
      <c r="LS976" s="185"/>
      <c r="LT976" s="185"/>
      <c r="LU976" s="185"/>
      <c r="LW976" s="2"/>
      <c r="LX976" s="2"/>
      <c r="LY976" s="2"/>
      <c r="LZ976" s="2"/>
      <c r="MA976" s="2"/>
      <c r="ME976" s="2"/>
      <c r="MF976" s="185"/>
      <c r="MG976" s="185"/>
      <c r="MH976" s="185"/>
      <c r="MI976" s="2"/>
      <c r="MJ976" s="2"/>
      <c r="MK976" s="2"/>
      <c r="ML976" s="2"/>
      <c r="MM976" s="2"/>
      <c r="MN976" s="2"/>
      <c r="MO976" s="2"/>
      <c r="MP976" s="2"/>
      <c r="MQ976" s="185"/>
      <c r="MR976" s="185"/>
      <c r="MS976" s="185"/>
      <c r="MT976" s="185"/>
      <c r="MU976" s="185"/>
      <c r="MV976" s="185"/>
      <c r="MW976" s="185"/>
      <c r="MX976" s="185"/>
      <c r="MY976" s="211" t="s">
        <v>1710</v>
      </c>
      <c r="MZ976" s="212">
        <v>16.25</v>
      </c>
      <c r="NI976" s="185"/>
      <c r="NJ976" s="185" t="s">
        <v>1728</v>
      </c>
      <c r="NK976" s="185" t="s">
        <v>1761</v>
      </c>
      <c r="NL976" s="185" t="s">
        <v>1762</v>
      </c>
      <c r="NM976" s="213" t="s">
        <v>1731</v>
      </c>
      <c r="NN976" s="185">
        <v>0</v>
      </c>
      <c r="NO976" s="185">
        <v>20</v>
      </c>
      <c r="NP976" s="185"/>
      <c r="NQ976" s="185"/>
      <c r="NR976" s="185"/>
      <c r="NS976" s="185"/>
      <c r="NT976" s="185"/>
      <c r="NU976" s="185"/>
      <c r="NV976" s="185" t="s">
        <v>518</v>
      </c>
      <c r="NW976">
        <v>29.53</v>
      </c>
      <c r="NX976" s="185" t="s">
        <v>480</v>
      </c>
      <c r="NY976" s="147"/>
      <c r="NZ976" s="147"/>
      <c r="OA976" s="133"/>
      <c r="OB976" s="185">
        <v>3</v>
      </c>
      <c r="OD976" s="185"/>
      <c r="OE976" s="185"/>
      <c r="OF976" s="185"/>
      <c r="OG976" s="185"/>
      <c r="OH976" s="185"/>
      <c r="OI976" s="185"/>
      <c r="OJ976" s="185"/>
      <c r="OK976" s="185"/>
      <c r="OL976" s="185"/>
      <c r="OM976" s="185"/>
      <c r="ON976" s="185"/>
      <c r="OO976" s="185"/>
      <c r="OP976" s="185"/>
      <c r="OQ976" s="185"/>
      <c r="OR976" s="185"/>
      <c r="OS976" s="185"/>
      <c r="OT976" s="185"/>
      <c r="OU976" t="s">
        <v>1763</v>
      </c>
      <c r="OV976" s="185" t="s">
        <v>518</v>
      </c>
      <c r="OX976">
        <v>2021</v>
      </c>
      <c r="OY976">
        <v>2022</v>
      </c>
      <c r="PB976" t="s">
        <v>522</v>
      </c>
      <c r="PC976" s="50">
        <v>46148</v>
      </c>
    </row>
    <row r="977" spans="1:419" ht="17.25" thickBot="1">
      <c r="A977" s="205" t="s">
        <v>861</v>
      </c>
      <c r="B977" s="2" t="s">
        <v>1700</v>
      </c>
      <c r="C977" s="2" t="s">
        <v>1387</v>
      </c>
      <c r="D977" s="88" t="s">
        <v>668</v>
      </c>
      <c r="E977" s="2" t="s">
        <v>1701</v>
      </c>
      <c r="F977" s="88" t="s">
        <v>1702</v>
      </c>
      <c r="G977" s="2" t="s">
        <v>475</v>
      </c>
      <c r="H977" s="2" t="s">
        <v>476</v>
      </c>
      <c r="I977" s="88">
        <v>-11.474220000000001</v>
      </c>
      <c r="J977" s="88" t="s">
        <v>1703</v>
      </c>
      <c r="K977" s="88">
        <v>1000</v>
      </c>
      <c r="L977" s="2"/>
      <c r="M977" s="88"/>
      <c r="N977" s="2"/>
      <c r="O977" s="2"/>
      <c r="P977" s="2"/>
      <c r="Q977" s="2"/>
      <c r="R977" s="2"/>
      <c r="S977" s="2"/>
      <c r="T977" s="2"/>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c r="AV977" s="2" t="s">
        <v>1704</v>
      </c>
      <c r="AW977" s="2">
        <v>28</v>
      </c>
      <c r="AX977" s="2" t="s">
        <v>480</v>
      </c>
      <c r="AY977" s="2">
        <v>2</v>
      </c>
      <c r="AZ977" s="185" t="s">
        <v>1705</v>
      </c>
      <c r="BA977" s="185">
        <v>2020</v>
      </c>
      <c r="BB977" s="185">
        <v>2022</v>
      </c>
      <c r="BC977" s="185"/>
      <c r="BD977" s="185" t="s">
        <v>1744</v>
      </c>
      <c r="BE977" s="185" t="s">
        <v>611</v>
      </c>
      <c r="BF977" s="185" t="s">
        <v>484</v>
      </c>
      <c r="BG977" s="185" t="s">
        <v>1707</v>
      </c>
      <c r="BH977" s="185" t="s">
        <v>1708</v>
      </c>
      <c r="BI977" s="206" t="s">
        <v>1709</v>
      </c>
      <c r="BJ977" s="207">
        <v>4.4000000000000004</v>
      </c>
      <c r="BK977" s="185" t="s">
        <v>537</v>
      </c>
      <c r="BL977" s="185" t="s">
        <v>538</v>
      </c>
      <c r="BM977" s="185" t="s">
        <v>1713</v>
      </c>
      <c r="BN977" s="206" t="s">
        <v>1709</v>
      </c>
      <c r="BO977" s="207">
        <v>13.3</v>
      </c>
      <c r="BP977" s="185"/>
      <c r="BQ977" s="185"/>
      <c r="BR977" s="185"/>
      <c r="BS977" s="185"/>
      <c r="BT977" s="185"/>
      <c r="BU977" s="185"/>
      <c r="BV977" s="3"/>
      <c r="BW977" s="3"/>
      <c r="BX977" s="3"/>
      <c r="BY977" s="3"/>
      <c r="BZ977" s="3"/>
      <c r="CA977" s="3"/>
      <c r="CB977" s="3"/>
      <c r="CC977" s="3"/>
      <c r="CD977" s="3"/>
      <c r="CE977" s="3"/>
      <c r="CF977" s="3"/>
      <c r="CG977" s="3"/>
      <c r="CH977" s="3"/>
      <c r="CI977" s="3"/>
      <c r="CJ977" s="3"/>
      <c r="CK977" s="3"/>
      <c r="CL977" s="3"/>
      <c r="CM977" s="3"/>
      <c r="CN977" s="3"/>
      <c r="CO977" s="3"/>
      <c r="CP977" s="3"/>
      <c r="CQ977" s="3"/>
      <c r="CR977" s="3"/>
      <c r="CS977" s="3"/>
      <c r="CT977" s="3"/>
      <c r="CU977" s="3"/>
      <c r="CV977" s="3"/>
      <c r="CW977" s="3"/>
      <c r="CX977" s="3"/>
      <c r="CY977" s="3"/>
      <c r="CZ977" s="3"/>
      <c r="DA977" s="3"/>
      <c r="DB977" s="3"/>
      <c r="DC977" s="3"/>
      <c r="DD977" s="3"/>
      <c r="DE977" s="3"/>
      <c r="DF977" s="3"/>
      <c r="DG977" s="3"/>
      <c r="DH977" s="3"/>
      <c r="DI977" s="3"/>
      <c r="DJ977" s="3"/>
      <c r="DK977" s="3"/>
      <c r="DL977" s="3"/>
      <c r="DM977" s="3"/>
      <c r="DN977" s="3"/>
      <c r="DO977" s="3"/>
      <c r="DP977" s="3"/>
      <c r="DQ977" s="3"/>
      <c r="DR977" s="3"/>
      <c r="DS977" s="3"/>
      <c r="DT977" s="3"/>
      <c r="DU977" s="3"/>
      <c r="DV977" s="3"/>
      <c r="DW977" s="3"/>
      <c r="DX977" s="3"/>
      <c r="DY977" s="3"/>
      <c r="DZ977" s="3"/>
      <c r="EA977" s="3"/>
      <c r="EB977" s="3"/>
      <c r="EC977" s="3"/>
      <c r="ED977" s="2"/>
      <c r="EE977" s="185"/>
      <c r="EF977" s="185"/>
      <c r="EG977" s="185"/>
      <c r="EH977" s="185"/>
      <c r="EI977" s="185"/>
      <c r="EJ977" s="185"/>
      <c r="EK977" s="185"/>
      <c r="EL977" s="3"/>
      <c r="EM977" s="3"/>
      <c r="EN977" s="3"/>
      <c r="EO977" s="3"/>
      <c r="EP977" s="3"/>
      <c r="EQ977" s="3"/>
      <c r="ER977" s="3"/>
      <c r="ES977" s="3"/>
      <c r="ET977" s="3"/>
      <c r="EU977" s="3"/>
      <c r="EV977" s="3"/>
      <c r="EW977" s="3"/>
      <c r="EX977" s="3"/>
      <c r="EY977" s="3"/>
      <c r="EZ977" s="3"/>
      <c r="FA977" s="3"/>
      <c r="FB977" s="3"/>
      <c r="FC977" s="3"/>
      <c r="FD977" s="3"/>
      <c r="FE977" s="3"/>
      <c r="FF977" s="3"/>
      <c r="FG977" s="3"/>
      <c r="FH977" s="3"/>
      <c r="FI977" s="3"/>
      <c r="FJ977" s="3"/>
      <c r="FK977" s="3"/>
      <c r="FL977" s="3"/>
      <c r="FM977" s="3"/>
      <c r="FN977" s="3"/>
      <c r="FO977" s="3"/>
      <c r="FP977" s="3"/>
      <c r="FQ977" s="3"/>
      <c r="FR977" s="3"/>
      <c r="FS977" s="3"/>
      <c r="FT977" s="3"/>
      <c r="FU977" s="3"/>
      <c r="FV977" s="3"/>
      <c r="FW977" s="3"/>
      <c r="FX977" s="3"/>
      <c r="FY977" s="3"/>
      <c r="FZ977" s="3"/>
      <c r="GA977" s="3"/>
      <c r="GB977" s="3"/>
      <c r="GC977" s="3"/>
      <c r="GD977" s="3"/>
      <c r="GE977" s="3"/>
      <c r="GF977" s="3"/>
      <c r="GG977" s="3"/>
      <c r="GH977" s="3"/>
      <c r="GI977" s="3"/>
      <c r="GJ977" s="3"/>
      <c r="GK977" s="3"/>
      <c r="GL977" s="3"/>
      <c r="GM977" s="3"/>
      <c r="GN977" s="3"/>
      <c r="GO977" s="3"/>
      <c r="GP977" s="3"/>
      <c r="GQ977" s="3"/>
      <c r="GR977" s="3"/>
      <c r="GS977" s="3"/>
      <c r="GT977" s="3"/>
      <c r="GU977" s="3"/>
      <c r="GV977" s="3"/>
      <c r="GW977" s="3"/>
      <c r="GX977" s="3"/>
      <c r="GY977" s="3"/>
      <c r="GZ977" s="3"/>
      <c r="HA977" s="3"/>
      <c r="HB977" s="3"/>
      <c r="HC977" s="3"/>
      <c r="HD977" s="3"/>
      <c r="HE977" s="3"/>
      <c r="HF977" s="3"/>
      <c r="HG977" s="3"/>
      <c r="HH977" s="3"/>
      <c r="HI977" s="3"/>
      <c r="HJ977" s="3"/>
      <c r="HK977" s="185" t="s">
        <v>1726</v>
      </c>
      <c r="HL977" s="185" t="s">
        <v>1546</v>
      </c>
      <c r="HM977" s="127" t="s">
        <v>480</v>
      </c>
      <c r="HN977" s="127" t="s">
        <v>480</v>
      </c>
      <c r="HO977" s="127" t="s">
        <v>480</v>
      </c>
      <c r="HP977" s="127" t="s">
        <v>480</v>
      </c>
      <c r="HQ977" s="185"/>
      <c r="HR977" s="185"/>
      <c r="HS977" s="206"/>
      <c r="HT977" s="185"/>
      <c r="HU977" s="185"/>
      <c r="HV977" s="185"/>
      <c r="HW977" s="185"/>
      <c r="HX977" s="215"/>
      <c r="HY977" s="185"/>
      <c r="HZ977" s="185"/>
      <c r="IA977" s="185"/>
      <c r="IB977" s="185"/>
      <c r="IC977" s="185"/>
      <c r="ID977" s="185"/>
      <c r="IE977" s="185"/>
      <c r="IF977" s="185"/>
      <c r="IG977" s="185"/>
      <c r="IH977" s="185" t="s">
        <v>1712</v>
      </c>
      <c r="II977" s="148" t="s">
        <v>1714</v>
      </c>
      <c r="IJ977" s="148" t="s">
        <v>542</v>
      </c>
      <c r="IK977" s="210" t="s">
        <v>1715</v>
      </c>
      <c r="IL977" s="185">
        <v>2020</v>
      </c>
      <c r="IM977" s="185"/>
      <c r="IN977" s="185" t="s">
        <v>1716</v>
      </c>
      <c r="IO977" s="185"/>
      <c r="IP977" s="185"/>
      <c r="IQ977" s="185"/>
      <c r="IR977" s="185"/>
      <c r="IS977" s="185"/>
      <c r="IT977" s="185"/>
      <c r="IU977" s="185"/>
      <c r="IV977" s="185"/>
      <c r="IW977" s="185"/>
      <c r="IX977" s="2"/>
      <c r="IY977" s="2"/>
      <c r="IZ977" s="2"/>
      <c r="JA977" s="2"/>
      <c r="JB977" s="2"/>
      <c r="JC977" s="2"/>
      <c r="JD977" s="2"/>
      <c r="JE977" s="2"/>
      <c r="JF977" s="2"/>
      <c r="JG977" s="2"/>
      <c r="JH977" s="2"/>
      <c r="JI977" s="2"/>
      <c r="JJ977" s="2" t="s">
        <v>1727</v>
      </c>
      <c r="JK977" s="2" t="s">
        <v>682</v>
      </c>
      <c r="JL977" s="151"/>
      <c r="JM977" s="140"/>
      <c r="JN977" s="206"/>
      <c r="JO977" s="185"/>
      <c r="JP977" s="206"/>
      <c r="JQ977" s="185"/>
      <c r="JR977" s="185"/>
      <c r="JS977" s="185"/>
      <c r="JT977" s="185"/>
      <c r="JU977" s="185"/>
      <c r="JV977" s="140"/>
      <c r="JW977" s="140"/>
      <c r="JX977" s="206"/>
      <c r="JY977" s="185"/>
      <c r="JZ977" s="206"/>
      <c r="KA977" s="185"/>
      <c r="KB977" s="185"/>
      <c r="KC977" s="185"/>
      <c r="KD977" s="206"/>
      <c r="KE977" s="206"/>
      <c r="KF977" s="148"/>
      <c r="KG977" s="216"/>
      <c r="KH977" s="185"/>
      <c r="KI977" s="185"/>
      <c r="KJ977" s="185"/>
      <c r="KK977" s="185"/>
      <c r="KL977" s="206"/>
      <c r="KM977" s="185"/>
      <c r="KN977" s="148"/>
      <c r="KO977" s="216"/>
      <c r="KP977" s="185"/>
      <c r="KQ977" s="185"/>
      <c r="KR977" s="148"/>
      <c r="KS977" s="216"/>
      <c r="KT977" s="185"/>
      <c r="KU977" s="185"/>
      <c r="KV977" s="185"/>
      <c r="KW977" s="3"/>
      <c r="KX977" s="3"/>
      <c r="KY977" s="3"/>
      <c r="KZ977" s="3"/>
      <c r="LA977" s="206"/>
      <c r="LB977" s="206"/>
      <c r="LC977" s="206"/>
      <c r="LD977" s="206"/>
      <c r="LE977" s="206"/>
      <c r="LF977" s="206"/>
      <c r="LG977" s="206"/>
      <c r="LH977" s="206"/>
      <c r="LI977" s="206"/>
      <c r="LJ977" s="206"/>
      <c r="LK977" s="206"/>
      <c r="LL977" s="206"/>
      <c r="LM977" s="206"/>
      <c r="LN977" s="185"/>
      <c r="LO977" s="185"/>
      <c r="LP977" s="185"/>
      <c r="LQ977" s="185"/>
      <c r="LR977" s="185"/>
      <c r="LS977" s="185"/>
      <c r="LT977" s="185"/>
      <c r="LU977" s="185"/>
      <c r="LW977" s="2"/>
      <c r="LX977" s="2"/>
      <c r="LY977" s="2"/>
      <c r="LZ977" s="2"/>
      <c r="MA977" s="2"/>
      <c r="ME977" s="2"/>
      <c r="MF977" s="185"/>
      <c r="MG977" s="185"/>
      <c r="MH977" s="185"/>
      <c r="MI977" s="2"/>
      <c r="MJ977" s="2"/>
      <c r="MK977" s="2"/>
      <c r="ML977" s="2"/>
      <c r="MM977" s="2"/>
      <c r="MN977" s="2"/>
      <c r="MO977" s="2"/>
      <c r="MP977" s="2"/>
      <c r="MQ977" s="185"/>
      <c r="MR977" s="185"/>
      <c r="MS977" s="185"/>
      <c r="MT977" s="185"/>
      <c r="MU977" s="185"/>
      <c r="MV977" s="185"/>
      <c r="MW977" s="185"/>
      <c r="MX977" s="185"/>
      <c r="MY977" s="211" t="s">
        <v>1710</v>
      </c>
      <c r="MZ977" s="212">
        <v>16.25</v>
      </c>
      <c r="NI977" s="185"/>
      <c r="NJ977" s="185" t="s">
        <v>1728</v>
      </c>
      <c r="NK977" s="185" t="s">
        <v>1761</v>
      </c>
      <c r="NL977" s="185" t="s">
        <v>1762</v>
      </c>
      <c r="NM977" s="213" t="s">
        <v>1731</v>
      </c>
      <c r="NN977" s="185">
        <v>0</v>
      </c>
      <c r="NO977" s="185">
        <v>20</v>
      </c>
      <c r="NP977" s="185"/>
      <c r="NQ977" s="185"/>
      <c r="NR977" s="185"/>
      <c r="NS977" s="185"/>
      <c r="NT977" s="185"/>
      <c r="NU977" s="185"/>
      <c r="NV977" s="185" t="s">
        <v>518</v>
      </c>
      <c r="NW977">
        <v>34.44</v>
      </c>
      <c r="NX977" s="185" t="s">
        <v>480</v>
      </c>
      <c r="NY977" s="147"/>
      <c r="NZ977" s="147"/>
      <c r="OA977" s="133"/>
      <c r="OB977" s="185">
        <v>3</v>
      </c>
      <c r="OC977" s="185"/>
      <c r="OD977" s="185"/>
      <c r="OE977" s="185"/>
      <c r="OF977" s="185"/>
      <c r="OG977" s="185"/>
      <c r="OH977" s="185"/>
      <c r="OI977" s="185"/>
      <c r="OJ977" s="185"/>
      <c r="OK977" s="185"/>
      <c r="OL977" s="185"/>
      <c r="OM977" s="185"/>
      <c r="ON977" s="185"/>
      <c r="OO977" s="185"/>
      <c r="OP977" s="185"/>
      <c r="OQ977" s="185"/>
      <c r="OR977" s="185"/>
      <c r="OS977" s="185"/>
      <c r="OT977" s="185"/>
      <c r="OU977" t="s">
        <v>1763</v>
      </c>
      <c r="OV977" s="185" t="s">
        <v>518</v>
      </c>
      <c r="OX977">
        <v>2021</v>
      </c>
      <c r="OY977">
        <v>2022</v>
      </c>
      <c r="PB977" t="s">
        <v>522</v>
      </c>
      <c r="PC977" s="50">
        <v>46148</v>
      </c>
    </row>
    <row r="978" spans="1:419" ht="17.25" thickBot="1">
      <c r="A978" s="205" t="s">
        <v>861</v>
      </c>
      <c r="B978" s="2" t="s">
        <v>1700</v>
      </c>
      <c r="C978" s="2" t="s">
        <v>1387</v>
      </c>
      <c r="D978" s="88" t="s">
        <v>668</v>
      </c>
      <c r="E978" s="2" t="s">
        <v>1701</v>
      </c>
      <c r="F978" s="88" t="s">
        <v>1702</v>
      </c>
      <c r="G978" s="2" t="s">
        <v>475</v>
      </c>
      <c r="H978" s="2" t="s">
        <v>476</v>
      </c>
      <c r="I978" s="88">
        <v>-11.474220000000001</v>
      </c>
      <c r="J978" s="88" t="s">
        <v>1703</v>
      </c>
      <c r="K978" s="88">
        <v>1000</v>
      </c>
      <c r="L978" s="2"/>
      <c r="M978" s="88"/>
      <c r="N978" s="2"/>
      <c r="O978" s="2"/>
      <c r="P978" s="2"/>
      <c r="Q978" s="2"/>
      <c r="R978" s="2"/>
      <c r="S978" s="2"/>
      <c r="T978" s="2"/>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c r="AV978" s="2" t="s">
        <v>1704</v>
      </c>
      <c r="AW978" s="2">
        <v>28</v>
      </c>
      <c r="AX978" s="2" t="s">
        <v>480</v>
      </c>
      <c r="AY978" s="2">
        <v>2</v>
      </c>
      <c r="AZ978" s="185" t="s">
        <v>1705</v>
      </c>
      <c r="BA978" s="185">
        <v>2020</v>
      </c>
      <c r="BB978" s="185">
        <v>2022</v>
      </c>
      <c r="BC978" s="185"/>
      <c r="BD978" s="185" t="s">
        <v>1745</v>
      </c>
      <c r="BE978" s="185" t="s">
        <v>1746</v>
      </c>
      <c r="BF978" s="185" t="s">
        <v>484</v>
      </c>
      <c r="BG978" s="185" t="s">
        <v>485</v>
      </c>
      <c r="BH978" s="185" t="s">
        <v>1719</v>
      </c>
      <c r="BI978" s="206" t="s">
        <v>1709</v>
      </c>
      <c r="BJ978" s="207">
        <v>4.4000000000000004</v>
      </c>
      <c r="BK978" s="185"/>
      <c r="BL978" s="185"/>
      <c r="BM978" s="185"/>
      <c r="BN978" s="185"/>
      <c r="BO978" s="185"/>
      <c r="BP978" s="185"/>
      <c r="BQ978" s="185"/>
      <c r="BR978" s="185"/>
      <c r="BS978" s="185"/>
      <c r="BT978" s="185"/>
      <c r="BU978" s="185"/>
      <c r="BV978" s="3"/>
      <c r="BW978" s="3"/>
      <c r="BX978" s="3"/>
      <c r="BY978" s="3"/>
      <c r="BZ978" s="3"/>
      <c r="CA978" s="3"/>
      <c r="CB978" s="3"/>
      <c r="CC978" s="3"/>
      <c r="CD978" s="3"/>
      <c r="CE978" s="3"/>
      <c r="CF978" s="3"/>
      <c r="CG978" s="3"/>
      <c r="CH978" s="3"/>
      <c r="CI978" s="3"/>
      <c r="CJ978" s="3"/>
      <c r="CK978" s="3"/>
      <c r="CL978" s="3"/>
      <c r="CM978" s="3"/>
      <c r="CN978" s="3"/>
      <c r="CO978" s="3"/>
      <c r="CP978" s="3"/>
      <c r="CQ978" s="3"/>
      <c r="CR978" s="3"/>
      <c r="CS978" s="3"/>
      <c r="CT978" s="3"/>
      <c r="CU978" s="3"/>
      <c r="CV978" s="3"/>
      <c r="CW978" s="3"/>
      <c r="CX978" s="3"/>
      <c r="CY978" s="3"/>
      <c r="CZ978" s="3"/>
      <c r="DA978" s="3"/>
      <c r="DB978" s="3"/>
      <c r="DC978" s="3"/>
      <c r="DD978" s="3"/>
      <c r="DE978" s="3"/>
      <c r="DF978" s="3"/>
      <c r="DG978" s="3"/>
      <c r="DH978" s="3"/>
      <c r="DI978" s="3"/>
      <c r="DJ978" s="3"/>
      <c r="DK978" s="3"/>
      <c r="DL978" s="3"/>
      <c r="DM978" s="3"/>
      <c r="DN978" s="3"/>
      <c r="DO978" s="3"/>
      <c r="DP978" s="3"/>
      <c r="DQ978" s="3"/>
      <c r="DR978" s="3"/>
      <c r="DS978" s="3"/>
      <c r="DT978" s="3"/>
      <c r="DU978" s="3"/>
      <c r="DV978" s="3"/>
      <c r="DW978" s="3"/>
      <c r="DX978" s="3"/>
      <c r="DY978" s="3"/>
      <c r="DZ978" s="3"/>
      <c r="EA978" s="3"/>
      <c r="EB978" s="3"/>
      <c r="EC978" s="3"/>
      <c r="ED978" s="2"/>
      <c r="EE978" s="185"/>
      <c r="EF978" s="185"/>
      <c r="EG978" s="185"/>
      <c r="EH978" s="185"/>
      <c r="EI978" s="185"/>
      <c r="EJ978" s="185"/>
      <c r="EK978" s="185"/>
      <c r="EL978" s="3"/>
      <c r="EM978" s="3"/>
      <c r="EN978" s="3"/>
      <c r="EO978" s="3"/>
      <c r="EP978" s="3"/>
      <c r="EQ978" s="3"/>
      <c r="ER978" s="3"/>
      <c r="ES978" s="3"/>
      <c r="ET978" s="3"/>
      <c r="EU978" s="3"/>
      <c r="EV978" s="3"/>
      <c r="EW978" s="3"/>
      <c r="EX978" s="3"/>
      <c r="EY978" s="3"/>
      <c r="EZ978" s="3"/>
      <c r="FA978" s="3"/>
      <c r="FB978" s="3"/>
      <c r="FC978" s="3"/>
      <c r="FD978" s="3"/>
      <c r="FE978" s="3"/>
      <c r="FF978" s="3"/>
      <c r="FG978" s="3"/>
      <c r="FH978" s="3"/>
      <c r="FI978" s="3"/>
      <c r="FJ978" s="3"/>
      <c r="FK978" s="3"/>
      <c r="FL978" s="3"/>
      <c r="FM978" s="3"/>
      <c r="FN978" s="3"/>
      <c r="FO978" s="3"/>
      <c r="FP978" s="3"/>
      <c r="FQ978" s="3"/>
      <c r="FR978" s="3"/>
      <c r="FS978" s="3"/>
      <c r="FT978" s="3"/>
      <c r="FU978" s="3"/>
      <c r="FV978" s="3"/>
      <c r="FW978" s="3"/>
      <c r="FX978" s="3"/>
      <c r="FY978" s="3"/>
      <c r="FZ978" s="3"/>
      <c r="GA978" s="3"/>
      <c r="GB978" s="3"/>
      <c r="GC978" s="3"/>
      <c r="GD978" s="3"/>
      <c r="GE978" s="3"/>
      <c r="GF978" s="3"/>
      <c r="GG978" s="3"/>
      <c r="GH978" s="3"/>
      <c r="GI978" s="3"/>
      <c r="GJ978" s="3"/>
      <c r="GK978" s="3"/>
      <c r="GL978" s="3"/>
      <c r="GM978" s="3"/>
      <c r="GN978" s="3"/>
      <c r="GO978" s="3"/>
      <c r="GP978" s="3"/>
      <c r="GQ978" s="3"/>
      <c r="GR978" s="3"/>
      <c r="GS978" s="3"/>
      <c r="GT978" s="3"/>
      <c r="GU978" s="3"/>
      <c r="GV978" s="3"/>
      <c r="GW978" s="3"/>
      <c r="GX978" s="3"/>
      <c r="GY978" s="3"/>
      <c r="GZ978" s="3"/>
      <c r="HA978" s="3"/>
      <c r="HB978" s="3"/>
      <c r="HC978" s="3"/>
      <c r="HD978" s="3"/>
      <c r="HE978" s="3"/>
      <c r="HF978" s="3"/>
      <c r="HG978" s="3"/>
      <c r="HH978" s="3"/>
      <c r="HI978" s="3"/>
      <c r="HJ978" s="3"/>
      <c r="HK978" s="185" t="s">
        <v>1747</v>
      </c>
      <c r="HL978" s="185" t="s">
        <v>526</v>
      </c>
      <c r="HM978" s="185" t="s">
        <v>480</v>
      </c>
      <c r="HN978" s="185" t="s">
        <v>480</v>
      </c>
      <c r="HO978" s="185" t="s">
        <v>480</v>
      </c>
      <c r="HP978" s="185" t="s">
        <v>480</v>
      </c>
      <c r="HQ978" s="185"/>
      <c r="HR978" s="185"/>
      <c r="HS978" s="206"/>
      <c r="HT978" s="185"/>
      <c r="HU978" s="185"/>
      <c r="HV978" s="185"/>
      <c r="HW978" s="185"/>
      <c r="HX978" s="215"/>
      <c r="HY978" s="185"/>
      <c r="HZ978" s="185"/>
      <c r="IA978" s="185"/>
      <c r="IB978" s="185"/>
      <c r="IC978" s="185"/>
      <c r="ID978" s="185"/>
      <c r="IE978" s="185"/>
      <c r="IF978" s="185"/>
      <c r="IG978" s="185"/>
      <c r="IH978" s="185" t="s">
        <v>1723</v>
      </c>
      <c r="II978" s="148" t="s">
        <v>492</v>
      </c>
      <c r="IJ978" s="148"/>
      <c r="IK978" s="210"/>
      <c r="IL978" s="185"/>
      <c r="IM978" s="185"/>
      <c r="IN978" s="185"/>
      <c r="IO978" s="185"/>
      <c r="IP978" s="185"/>
      <c r="IQ978" s="185"/>
      <c r="IR978" s="185"/>
      <c r="IS978" s="185"/>
      <c r="IT978" s="185"/>
      <c r="IU978" s="185"/>
      <c r="IV978" s="185"/>
      <c r="IW978" s="185"/>
      <c r="IX978" s="2"/>
      <c r="IY978" s="2"/>
      <c r="IZ978" s="2"/>
      <c r="JA978" s="2"/>
      <c r="JB978" s="2"/>
      <c r="JC978" s="2"/>
      <c r="JD978" s="2"/>
      <c r="JE978" s="2"/>
      <c r="JF978" s="2"/>
      <c r="JG978" s="2"/>
      <c r="JH978" s="2"/>
      <c r="JI978" s="2"/>
      <c r="JJ978" s="2" t="s">
        <v>1727</v>
      </c>
      <c r="JK978" s="2" t="s">
        <v>682</v>
      </c>
      <c r="JL978" s="151"/>
      <c r="JM978" s="140"/>
      <c r="JN978" s="206"/>
      <c r="JO978" s="185"/>
      <c r="JP978" s="206"/>
      <c r="JQ978" s="185"/>
      <c r="JR978" s="185"/>
      <c r="JS978" s="185"/>
      <c r="JT978" s="185"/>
      <c r="JU978" s="185"/>
      <c r="JV978" s="140"/>
      <c r="JW978" s="140"/>
      <c r="JX978" s="206"/>
      <c r="JY978" s="185"/>
      <c r="JZ978" s="206"/>
      <c r="KA978" s="185"/>
      <c r="KB978" s="185"/>
      <c r="KC978" s="185"/>
      <c r="KD978" s="206"/>
      <c r="KE978" s="206"/>
      <c r="KF978" s="148"/>
      <c r="KG978" s="216"/>
      <c r="KH978" s="185"/>
      <c r="KI978" s="185"/>
      <c r="KJ978" s="185"/>
      <c r="KK978" s="185"/>
      <c r="KL978" s="206"/>
      <c r="KM978" s="185"/>
      <c r="KN978" s="148"/>
      <c r="KO978" s="216"/>
      <c r="KP978" s="185"/>
      <c r="KQ978" s="185"/>
      <c r="KR978" s="148"/>
      <c r="KS978" s="216"/>
      <c r="KT978" s="185"/>
      <c r="KU978" s="185"/>
      <c r="KV978" s="185"/>
      <c r="KW978" s="3"/>
      <c r="KX978" s="3"/>
      <c r="KY978" s="3"/>
      <c r="KZ978" s="3"/>
      <c r="LA978" s="206"/>
      <c r="LB978" s="206"/>
      <c r="LC978" s="206"/>
      <c r="LD978" s="206"/>
      <c r="LE978" s="206"/>
      <c r="LF978" s="206"/>
      <c r="LG978" s="206"/>
      <c r="LH978" s="206"/>
      <c r="LI978" s="206"/>
      <c r="LJ978" s="206"/>
      <c r="LK978" s="206"/>
      <c r="LL978" s="206"/>
      <c r="LM978" s="206"/>
      <c r="LN978" s="185"/>
      <c r="LO978" s="185"/>
      <c r="LP978" s="185"/>
      <c r="LQ978" s="185"/>
      <c r="LR978" s="185"/>
      <c r="LS978" s="185"/>
      <c r="LT978" s="185"/>
      <c r="LU978" s="185"/>
      <c r="LW978" s="2"/>
      <c r="LX978" s="2"/>
      <c r="LY978" s="2"/>
      <c r="LZ978" s="2"/>
      <c r="MA978" s="2"/>
      <c r="ME978" s="2"/>
      <c r="MF978" s="185"/>
      <c r="MG978" s="185"/>
      <c r="MH978" s="185"/>
      <c r="MI978" s="2"/>
      <c r="MJ978" s="2"/>
      <c r="MK978" s="2"/>
      <c r="ML978" s="2"/>
      <c r="MM978" s="2"/>
      <c r="MN978" s="2"/>
      <c r="MO978" s="2"/>
      <c r="MP978" s="2"/>
      <c r="MQ978" s="185"/>
      <c r="MR978" s="185"/>
      <c r="MS978" s="185"/>
      <c r="MT978" s="185"/>
      <c r="MU978" s="185"/>
      <c r="MV978" s="185"/>
      <c r="MW978" s="185"/>
      <c r="MX978" s="185"/>
      <c r="MY978" s="211" t="s">
        <v>1710</v>
      </c>
      <c r="MZ978" s="212">
        <v>16.25</v>
      </c>
      <c r="NI978" s="185"/>
      <c r="NJ978" s="185" t="s">
        <v>1728</v>
      </c>
      <c r="NK978" s="185" t="s">
        <v>1761</v>
      </c>
      <c r="NL978" s="185" t="s">
        <v>1762</v>
      </c>
      <c r="NM978" s="213" t="s">
        <v>1731</v>
      </c>
      <c r="NN978" s="185">
        <v>0</v>
      </c>
      <c r="NO978" s="185">
        <v>20</v>
      </c>
      <c r="NP978" s="185"/>
      <c r="NQ978" s="185"/>
      <c r="NR978" s="185"/>
      <c r="NS978" s="185"/>
      <c r="NT978" s="185"/>
      <c r="NU978" s="185" t="s">
        <v>1748</v>
      </c>
      <c r="NV978" s="185" t="s">
        <v>518</v>
      </c>
      <c r="NW978" s="133">
        <v>15.87</v>
      </c>
      <c r="NX978" s="185" t="s">
        <v>480</v>
      </c>
      <c r="NY978" s="147"/>
      <c r="NZ978" s="147"/>
      <c r="OB978" s="185">
        <v>3</v>
      </c>
      <c r="OD978" s="185"/>
      <c r="OF978" s="185"/>
      <c r="OG978" s="185"/>
      <c r="OH978" s="185"/>
      <c r="OI978" s="185"/>
      <c r="OJ978" s="185"/>
      <c r="OK978" s="185"/>
      <c r="OL978" s="185"/>
      <c r="OM978" s="185"/>
      <c r="ON978" s="185"/>
      <c r="OO978" s="185"/>
      <c r="OP978" s="185"/>
      <c r="OQ978" s="185"/>
      <c r="OR978" s="185"/>
      <c r="OS978" s="185"/>
      <c r="OT978" s="185"/>
      <c r="OU978" t="s">
        <v>1763</v>
      </c>
      <c r="OV978" s="185" t="s">
        <v>518</v>
      </c>
      <c r="OX978">
        <v>2021</v>
      </c>
      <c r="OY978">
        <v>2022</v>
      </c>
      <c r="PB978" t="s">
        <v>522</v>
      </c>
      <c r="PC978" s="50">
        <v>46148</v>
      </c>
    </row>
    <row r="979" spans="1:419" ht="17.25" thickBot="1">
      <c r="A979" s="205" t="s">
        <v>861</v>
      </c>
      <c r="B979" s="2" t="s">
        <v>1700</v>
      </c>
      <c r="C979" s="2" t="s">
        <v>1387</v>
      </c>
      <c r="D979" s="88" t="s">
        <v>668</v>
      </c>
      <c r="E979" s="2" t="s">
        <v>1701</v>
      </c>
      <c r="F979" s="88" t="s">
        <v>1702</v>
      </c>
      <c r="G979" s="2" t="s">
        <v>475</v>
      </c>
      <c r="H979" s="2" t="s">
        <v>476</v>
      </c>
      <c r="I979" s="88">
        <v>-11.474220000000001</v>
      </c>
      <c r="J979" s="88" t="s">
        <v>1703</v>
      </c>
      <c r="K979" s="88">
        <v>1000</v>
      </c>
      <c r="L979" s="2"/>
      <c r="M979" s="88"/>
      <c r="N979" s="2"/>
      <c r="O979" s="2"/>
      <c r="P979" s="2"/>
      <c r="Q979" s="2"/>
      <c r="R979" s="2"/>
      <c r="S979" s="2"/>
      <c r="T979" s="2"/>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c r="AV979" s="2" t="s">
        <v>1704</v>
      </c>
      <c r="AW979" s="2">
        <v>28</v>
      </c>
      <c r="AX979" s="2" t="s">
        <v>480</v>
      </c>
      <c r="AY979" s="2">
        <v>2</v>
      </c>
      <c r="AZ979" s="185" t="s">
        <v>1705</v>
      </c>
      <c r="BA979" s="185">
        <v>2020</v>
      </c>
      <c r="BB979" s="185">
        <v>2022</v>
      </c>
      <c r="BC979" s="185"/>
      <c r="BD979" s="185" t="s">
        <v>1749</v>
      </c>
      <c r="BE979" s="185" t="s">
        <v>1750</v>
      </c>
      <c r="BF979" s="185" t="s">
        <v>484</v>
      </c>
      <c r="BG979" s="185" t="s">
        <v>485</v>
      </c>
      <c r="BH979" s="185" t="s">
        <v>1719</v>
      </c>
      <c r="BI979" s="206" t="s">
        <v>1709</v>
      </c>
      <c r="BJ979" s="207">
        <v>4.4000000000000004</v>
      </c>
      <c r="BK979" s="185"/>
      <c r="BL979" s="185"/>
      <c r="BM979" s="185"/>
      <c r="BN979" s="185"/>
      <c r="BO979" s="185"/>
      <c r="BP979" s="185"/>
      <c r="BQ979" s="185"/>
      <c r="BR979" s="185"/>
      <c r="BS979" s="185"/>
      <c r="BT979" s="185"/>
      <c r="BU979" s="185"/>
      <c r="BV979" s="3"/>
      <c r="BW979" s="3"/>
      <c r="BX979" s="3"/>
      <c r="BY979" s="3"/>
      <c r="BZ979" s="3"/>
      <c r="CA979" s="3"/>
      <c r="CB979" s="3"/>
      <c r="CC979" s="3"/>
      <c r="CD979" s="3"/>
      <c r="CE979" s="3"/>
      <c r="CF979" s="3"/>
      <c r="CG979" s="3"/>
      <c r="CH979" s="3"/>
      <c r="CI979" s="3"/>
      <c r="CJ979" s="3"/>
      <c r="CK979" s="3"/>
      <c r="CL979" s="3"/>
      <c r="CM979" s="3"/>
      <c r="CN979" s="3"/>
      <c r="CO979" s="3"/>
      <c r="CP979" s="3"/>
      <c r="CQ979" s="3"/>
      <c r="CR979" s="3"/>
      <c r="CS979" s="3"/>
      <c r="CT979" s="3"/>
      <c r="CU979" s="3"/>
      <c r="CV979" s="3"/>
      <c r="CW979" s="3"/>
      <c r="CX979" s="3"/>
      <c r="CY979" s="3"/>
      <c r="CZ979" s="3"/>
      <c r="DA979" s="3"/>
      <c r="DB979" s="3"/>
      <c r="DC979" s="3"/>
      <c r="DD979" s="3"/>
      <c r="DE979" s="3"/>
      <c r="DF979" s="3"/>
      <c r="DG979" s="3"/>
      <c r="DH979" s="3"/>
      <c r="DI979" s="3"/>
      <c r="DJ979" s="3"/>
      <c r="DK979" s="3"/>
      <c r="DL979" s="3"/>
      <c r="DM979" s="3"/>
      <c r="DN979" s="3"/>
      <c r="DO979" s="3"/>
      <c r="DP979" s="3"/>
      <c r="DQ979" s="3"/>
      <c r="DR979" s="3"/>
      <c r="DS979" s="3"/>
      <c r="DT979" s="3"/>
      <c r="DU979" s="3"/>
      <c r="DV979" s="3"/>
      <c r="DW979" s="3"/>
      <c r="DX979" s="3"/>
      <c r="DY979" s="3"/>
      <c r="DZ979" s="3"/>
      <c r="EA979" s="3"/>
      <c r="EB979" s="3"/>
      <c r="EC979" s="3"/>
      <c r="ED979" s="2"/>
      <c r="EE979" s="185"/>
      <c r="EF979" s="185"/>
      <c r="EG979" s="185"/>
      <c r="EH979" s="185"/>
      <c r="EI979" s="185"/>
      <c r="EJ979" s="185"/>
      <c r="EK979" s="185"/>
      <c r="EL979" s="3"/>
      <c r="EM979" s="3"/>
      <c r="EN979" s="3"/>
      <c r="EO979" s="3"/>
      <c r="EP979" s="3"/>
      <c r="EQ979" s="3"/>
      <c r="ER979" s="3"/>
      <c r="ES979" s="3"/>
      <c r="ET979" s="3"/>
      <c r="EU979" s="3"/>
      <c r="EV979" s="3"/>
      <c r="EW979" s="3"/>
      <c r="EX979" s="3"/>
      <c r="EY979" s="3"/>
      <c r="EZ979" s="3"/>
      <c r="FA979" s="3"/>
      <c r="FB979" s="3"/>
      <c r="FC979" s="3"/>
      <c r="FD979" s="3"/>
      <c r="FE979" s="3"/>
      <c r="FF979" s="3"/>
      <c r="FG979" s="3"/>
      <c r="FH979" s="3"/>
      <c r="FI979" s="3"/>
      <c r="FJ979" s="3"/>
      <c r="FK979" s="3"/>
      <c r="FL979" s="3"/>
      <c r="FM979" s="3"/>
      <c r="FN979" s="3"/>
      <c r="FO979" s="3"/>
      <c r="FP979" s="3"/>
      <c r="FQ979" s="3"/>
      <c r="FR979" s="3"/>
      <c r="FS979" s="3"/>
      <c r="FT979" s="3"/>
      <c r="FU979" s="3"/>
      <c r="FV979" s="3"/>
      <c r="FW979" s="3"/>
      <c r="FX979" s="3"/>
      <c r="FY979" s="3"/>
      <c r="FZ979" s="3"/>
      <c r="GA979" s="3"/>
      <c r="GB979" s="3"/>
      <c r="GC979" s="3"/>
      <c r="GD979" s="3"/>
      <c r="GE979" s="3"/>
      <c r="GF979" s="3"/>
      <c r="GG979" s="3"/>
      <c r="GH979" s="3"/>
      <c r="GI979" s="3"/>
      <c r="GJ979" s="3"/>
      <c r="GK979" s="3"/>
      <c r="GL979" s="3"/>
      <c r="GM979" s="3"/>
      <c r="GN979" s="3"/>
      <c r="GO979" s="3"/>
      <c r="GP979" s="3"/>
      <c r="GQ979" s="3"/>
      <c r="GR979" s="3"/>
      <c r="GS979" s="3"/>
      <c r="GT979" s="3"/>
      <c r="GU979" s="3"/>
      <c r="GV979" s="3"/>
      <c r="GW979" s="3"/>
      <c r="GX979" s="3"/>
      <c r="GY979" s="3"/>
      <c r="GZ979" s="3"/>
      <c r="HA979" s="3"/>
      <c r="HB979" s="3"/>
      <c r="HC979" s="3"/>
      <c r="HD979" s="3"/>
      <c r="HE979" s="3"/>
      <c r="HF979" s="3"/>
      <c r="HG979" s="3"/>
      <c r="HH979" s="3"/>
      <c r="HI979" s="3"/>
      <c r="HJ979" s="3"/>
      <c r="HK979" s="185" t="s">
        <v>1747</v>
      </c>
      <c r="HL979" s="185" t="s">
        <v>526</v>
      </c>
      <c r="HM979" s="185" t="s">
        <v>480</v>
      </c>
      <c r="HN979" s="185" t="s">
        <v>480</v>
      </c>
      <c r="HO979" s="185" t="s">
        <v>480</v>
      </c>
      <c r="HP979" s="185" t="s">
        <v>480</v>
      </c>
      <c r="HQ979" s="185"/>
      <c r="HR979" s="185"/>
      <c r="HS979" s="206"/>
      <c r="HT979" s="185"/>
      <c r="HU979" s="185"/>
      <c r="HV979" s="185"/>
      <c r="HW979" s="185"/>
      <c r="HX979" s="215"/>
      <c r="HY979" s="185"/>
      <c r="HZ979" s="185"/>
      <c r="IA979" s="185"/>
      <c r="IB979" s="185"/>
      <c r="IC979" s="185"/>
      <c r="ID979" s="185"/>
      <c r="IE979" s="185"/>
      <c r="IF979" s="185"/>
      <c r="IG979" s="185"/>
      <c r="IH979" s="185"/>
      <c r="II979" s="148"/>
      <c r="IJ979" s="148"/>
      <c r="IK979" s="210"/>
      <c r="IL979" s="185"/>
      <c r="IM979" s="185"/>
      <c r="IN979" s="185"/>
      <c r="IO979" s="185"/>
      <c r="IP979" s="185"/>
      <c r="IQ979" s="185"/>
      <c r="IR979" s="185"/>
      <c r="IS979" s="185"/>
      <c r="IT979" s="185"/>
      <c r="IU979" s="185"/>
      <c r="IV979" s="185"/>
      <c r="IW979" s="185"/>
      <c r="IX979" s="2"/>
      <c r="IY979" s="2"/>
      <c r="IZ979" s="2"/>
      <c r="JA979" s="2"/>
      <c r="JB979" s="2"/>
      <c r="JC979" s="2"/>
      <c r="JD979" s="2"/>
      <c r="JE979" s="2"/>
      <c r="JF979" s="2"/>
      <c r="JG979" s="2"/>
      <c r="JH979" s="2"/>
      <c r="JI979" s="2"/>
      <c r="JJ979" s="2" t="s">
        <v>1736</v>
      </c>
      <c r="JK979" s="2" t="s">
        <v>494</v>
      </c>
      <c r="JL979" s="151" t="s">
        <v>495</v>
      </c>
      <c r="JM979" s="140"/>
      <c r="JN979" s="206"/>
      <c r="JO979" s="185"/>
      <c r="JP979" s="206" t="s">
        <v>508</v>
      </c>
      <c r="JQ979" s="185">
        <v>90</v>
      </c>
      <c r="JR979" s="185"/>
      <c r="JS979" s="185"/>
      <c r="JT979" s="185"/>
      <c r="JU979" s="185"/>
      <c r="JV979" s="140"/>
      <c r="JW979" s="140"/>
      <c r="JX979" s="206"/>
      <c r="JY979" s="185"/>
      <c r="JZ979" s="206"/>
      <c r="KA979" s="185"/>
      <c r="KB979" s="185"/>
      <c r="KC979" s="185"/>
      <c r="KD979" s="206"/>
      <c r="KE979" s="206"/>
      <c r="KF979" s="148"/>
      <c r="KG979" s="216"/>
      <c r="KH979" s="185"/>
      <c r="KI979" s="185"/>
      <c r="KJ979" s="185"/>
      <c r="KK979" s="185"/>
      <c r="KL979" s="206"/>
      <c r="KM979" s="185"/>
      <c r="KN979" s="148"/>
      <c r="KO979" s="216"/>
      <c r="KP979" s="185"/>
      <c r="KQ979" s="185"/>
      <c r="KR979" s="148"/>
      <c r="KS979" s="216"/>
      <c r="KT979" s="185"/>
      <c r="KU979" s="185"/>
      <c r="KV979" s="185"/>
      <c r="KW979" s="3"/>
      <c r="KX979" s="3"/>
      <c r="KY979" s="3"/>
      <c r="KZ979" s="3"/>
      <c r="LA979" s="206"/>
      <c r="LB979" s="206"/>
      <c r="LC979" s="206"/>
      <c r="LD979" s="206"/>
      <c r="LE979" s="206"/>
      <c r="LF979" s="206"/>
      <c r="LG979" s="206"/>
      <c r="LH979" s="206"/>
      <c r="LI979" s="206"/>
      <c r="LJ979" s="206"/>
      <c r="LK979" s="206"/>
      <c r="LL979" s="206"/>
      <c r="LM979" s="206"/>
      <c r="LN979" s="185"/>
      <c r="LO979" s="185"/>
      <c r="LP979" s="185"/>
      <c r="LQ979" s="185"/>
      <c r="LR979" s="185"/>
      <c r="LS979" s="185"/>
      <c r="LT979" s="185"/>
      <c r="LU979" s="185"/>
      <c r="LW979" s="2"/>
      <c r="LX979" s="2"/>
      <c r="LY979" s="2"/>
      <c r="LZ979" s="2"/>
      <c r="MA979" s="2"/>
      <c r="ME979" s="2"/>
      <c r="MF979" s="185"/>
      <c r="MG979" s="185"/>
      <c r="MH979" s="185"/>
      <c r="MI979" s="2"/>
      <c r="MJ979" s="2"/>
      <c r="MK979" s="2"/>
      <c r="ML979" s="2"/>
      <c r="MM979" s="2"/>
      <c r="MN979" s="2"/>
      <c r="MO979" s="2"/>
      <c r="MP979" s="2"/>
      <c r="MQ979" s="185"/>
      <c r="MR979" s="185"/>
      <c r="MS979" s="185"/>
      <c r="MT979" s="185"/>
      <c r="MU979" s="185"/>
      <c r="MV979" s="185"/>
      <c r="MW979" s="185"/>
      <c r="MX979" s="185"/>
      <c r="MY979" s="217"/>
      <c r="MZ979" s="218"/>
      <c r="NI979" s="185"/>
      <c r="NJ979" s="185" t="s">
        <v>1728</v>
      </c>
      <c r="NK979" s="185" t="s">
        <v>1761</v>
      </c>
      <c r="NL979" s="185" t="s">
        <v>1762</v>
      </c>
      <c r="NM979" s="213" t="s">
        <v>1731</v>
      </c>
      <c r="NN979" s="185">
        <v>0</v>
      </c>
      <c r="NO979" s="185">
        <v>20</v>
      </c>
      <c r="NP979" s="185"/>
      <c r="NQ979" s="185"/>
      <c r="NR979" s="185"/>
      <c r="NS979" s="185"/>
      <c r="NT979" s="185"/>
      <c r="NU979" s="185" t="s">
        <v>1751</v>
      </c>
      <c r="NV979" s="185" t="s">
        <v>518</v>
      </c>
      <c r="NW979" s="133">
        <v>16.2</v>
      </c>
      <c r="NX979" s="185" t="s">
        <v>480</v>
      </c>
      <c r="NY979" s="147"/>
      <c r="NZ979" s="147"/>
      <c r="OB979" s="185">
        <v>3</v>
      </c>
      <c r="OC979" s="185"/>
      <c r="OD979" s="185"/>
      <c r="OE979" s="185"/>
      <c r="OF979" s="185"/>
      <c r="OG979" s="185"/>
      <c r="OH979" s="185"/>
      <c r="OI979" s="185"/>
      <c r="OJ979" s="185"/>
      <c r="OK979" s="185"/>
      <c r="OL979" s="185"/>
      <c r="OM979" s="185"/>
      <c r="ON979" s="185"/>
      <c r="OO979" s="185"/>
      <c r="OP979" s="185"/>
      <c r="OQ979" s="185"/>
      <c r="OR979" s="185"/>
      <c r="OS979" s="185"/>
      <c r="OT979" s="185"/>
      <c r="OU979" t="s">
        <v>1763</v>
      </c>
      <c r="OV979" s="185" t="s">
        <v>518</v>
      </c>
      <c r="OW979" s="185"/>
      <c r="OX979">
        <v>2021</v>
      </c>
      <c r="OY979">
        <v>2022</v>
      </c>
      <c r="OZ979" s="185"/>
      <c r="PA979" s="185"/>
      <c r="PB979" t="s">
        <v>522</v>
      </c>
      <c r="PC979" s="50">
        <v>46148</v>
      </c>
    </row>
    <row r="980" spans="1:419" ht="17.25" thickBot="1">
      <c r="A980" s="205" t="s">
        <v>861</v>
      </c>
      <c r="B980" s="2" t="s">
        <v>1700</v>
      </c>
      <c r="C980" s="2" t="s">
        <v>1387</v>
      </c>
      <c r="D980" s="88" t="s">
        <v>668</v>
      </c>
      <c r="E980" s="2" t="s">
        <v>1701</v>
      </c>
      <c r="F980" s="88" t="s">
        <v>1702</v>
      </c>
      <c r="G980" s="2" t="s">
        <v>475</v>
      </c>
      <c r="H980" s="2" t="s">
        <v>476</v>
      </c>
      <c r="I980" s="88">
        <v>-11.474220000000001</v>
      </c>
      <c r="J980" s="88" t="s">
        <v>1703</v>
      </c>
      <c r="K980" s="88">
        <v>1000</v>
      </c>
      <c r="L980" s="2"/>
      <c r="M980" s="88"/>
      <c r="N980" s="2"/>
      <c r="O980" s="2"/>
      <c r="P980" s="2"/>
      <c r="Q980" s="2"/>
      <c r="R980" s="2"/>
      <c r="S980" s="2"/>
      <c r="T980" s="2"/>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c r="AV980" s="2" t="s">
        <v>1704</v>
      </c>
      <c r="AW980" s="2">
        <v>28</v>
      </c>
      <c r="AX980" s="2" t="s">
        <v>480</v>
      </c>
      <c r="AY980" s="2">
        <v>2</v>
      </c>
      <c r="AZ980" s="185" t="s">
        <v>1705</v>
      </c>
      <c r="BA980" s="185">
        <v>2020</v>
      </c>
      <c r="BB980" s="185">
        <v>2022</v>
      </c>
      <c r="BC980" s="185"/>
      <c r="BD980" s="185" t="s">
        <v>1752</v>
      </c>
      <c r="BE980" s="185" t="s">
        <v>1753</v>
      </c>
      <c r="BF980" s="185" t="s">
        <v>484</v>
      </c>
      <c r="BG980" s="185" t="s">
        <v>538</v>
      </c>
      <c r="BH980" s="185" t="s">
        <v>1713</v>
      </c>
      <c r="BI980" s="206" t="s">
        <v>1709</v>
      </c>
      <c r="BJ980" s="207">
        <v>13.3</v>
      </c>
      <c r="BK980" s="185"/>
      <c r="BL980" s="185"/>
      <c r="BM980" s="185"/>
      <c r="BN980" s="185"/>
      <c r="BO980" s="185"/>
      <c r="BP980" s="185"/>
      <c r="BQ980" s="185"/>
      <c r="BR980" s="185"/>
      <c r="BS980" s="185"/>
      <c r="BT980" s="185"/>
      <c r="BU980" s="185"/>
      <c r="BV980" s="3"/>
      <c r="BW980" s="3"/>
      <c r="BX980" s="3"/>
      <c r="BY980" s="3"/>
      <c r="BZ980" s="3"/>
      <c r="CA980" s="3"/>
      <c r="CB980" s="3"/>
      <c r="CC980" s="3"/>
      <c r="CD980" s="3"/>
      <c r="CE980" s="3"/>
      <c r="CF980" s="3"/>
      <c r="CG980" s="3"/>
      <c r="CH980" s="3"/>
      <c r="CI980" s="3"/>
      <c r="CJ980" s="3"/>
      <c r="CK980" s="3"/>
      <c r="CL980" s="3"/>
      <c r="CM980" s="3"/>
      <c r="CN980" s="3"/>
      <c r="CO980" s="3"/>
      <c r="CP980" s="3"/>
      <c r="CQ980" s="3"/>
      <c r="CR980" s="3"/>
      <c r="CS980" s="3"/>
      <c r="CT980" s="3"/>
      <c r="CU980" s="3"/>
      <c r="CV980" s="3"/>
      <c r="CW980" s="3"/>
      <c r="CX980" s="3"/>
      <c r="CY980" s="3"/>
      <c r="CZ980" s="3"/>
      <c r="DA980" s="3"/>
      <c r="DB980" s="3"/>
      <c r="DC980" s="3"/>
      <c r="DD980" s="3"/>
      <c r="DE980" s="3"/>
      <c r="DF980" s="3"/>
      <c r="DG980" s="3"/>
      <c r="DH980" s="3"/>
      <c r="DI980" s="3"/>
      <c r="DJ980" s="3"/>
      <c r="DK980" s="3"/>
      <c r="DL980" s="3"/>
      <c r="DM980" s="3"/>
      <c r="DN980" s="3"/>
      <c r="DO980" s="3"/>
      <c r="DP980" s="3"/>
      <c r="DQ980" s="3"/>
      <c r="DR980" s="3"/>
      <c r="DS980" s="3"/>
      <c r="DT980" s="3"/>
      <c r="DU980" s="3"/>
      <c r="DV980" s="3"/>
      <c r="DW980" s="3"/>
      <c r="DX980" s="3"/>
      <c r="DY980" s="3"/>
      <c r="DZ980" s="3"/>
      <c r="EA980" s="3"/>
      <c r="EB980" s="3"/>
      <c r="EC980" s="3"/>
      <c r="ED980" s="2"/>
      <c r="EE980" s="185"/>
      <c r="EF980" s="185"/>
      <c r="EG980" s="185"/>
      <c r="EH980" s="185"/>
      <c r="EI980" s="185"/>
      <c r="EJ980" s="185"/>
      <c r="EK980" s="185"/>
      <c r="EL980" s="3"/>
      <c r="EM980" s="3"/>
      <c r="EN980" s="3"/>
      <c r="EO980" s="3"/>
      <c r="EP980" s="3"/>
      <c r="EQ980" s="3"/>
      <c r="ER980" s="3"/>
      <c r="ES980" s="3"/>
      <c r="ET980" s="3"/>
      <c r="EU980" s="3"/>
      <c r="EV980" s="3"/>
      <c r="EW980" s="3"/>
      <c r="EX980" s="3"/>
      <c r="EY980" s="3"/>
      <c r="EZ980" s="3"/>
      <c r="FA980" s="3"/>
      <c r="FB980" s="3"/>
      <c r="FC980" s="3"/>
      <c r="FD980" s="3"/>
      <c r="FE980" s="3"/>
      <c r="FF980" s="3"/>
      <c r="FG980" s="3"/>
      <c r="FH980" s="3"/>
      <c r="FI980" s="3"/>
      <c r="FJ980" s="3"/>
      <c r="FK980" s="3"/>
      <c r="FL980" s="3"/>
      <c r="FM980" s="3"/>
      <c r="FN980" s="3"/>
      <c r="FO980" s="3"/>
      <c r="FP980" s="3"/>
      <c r="FQ980" s="3"/>
      <c r="FR980" s="3"/>
      <c r="FS980" s="3"/>
      <c r="FT980" s="3"/>
      <c r="FU980" s="3"/>
      <c r="FV980" s="3"/>
      <c r="FW980" s="3"/>
      <c r="FX980" s="3"/>
      <c r="FY980" s="3"/>
      <c r="FZ980" s="3"/>
      <c r="GA980" s="3"/>
      <c r="GB980" s="3"/>
      <c r="GC980" s="3"/>
      <c r="GD980" s="3"/>
      <c r="GE980" s="3"/>
      <c r="GF980" s="3"/>
      <c r="GG980" s="3"/>
      <c r="GH980" s="3"/>
      <c r="GI980" s="3"/>
      <c r="GJ980" s="3"/>
      <c r="GK980" s="3"/>
      <c r="GL980" s="3"/>
      <c r="GM980" s="3"/>
      <c r="GN980" s="3"/>
      <c r="GO980" s="3"/>
      <c r="GP980" s="3"/>
      <c r="GQ980" s="3"/>
      <c r="GR980" s="3"/>
      <c r="GS980" s="3"/>
      <c r="GT980" s="3"/>
      <c r="GU980" s="3"/>
      <c r="GV980" s="3"/>
      <c r="GW980" s="3"/>
      <c r="GX980" s="3"/>
      <c r="GY980" s="3"/>
      <c r="GZ980" s="3"/>
      <c r="HA980" s="3"/>
      <c r="HB980" s="3"/>
      <c r="HC980" s="3"/>
      <c r="HD980" s="3"/>
      <c r="HE980" s="3"/>
      <c r="HF980" s="3"/>
      <c r="HG980" s="3"/>
      <c r="HH980" s="3"/>
      <c r="HI980" s="3"/>
      <c r="HJ980" s="3"/>
      <c r="HK980" s="185" t="s">
        <v>1747</v>
      </c>
      <c r="HL980" s="185" t="s">
        <v>526</v>
      </c>
      <c r="HM980" s="185" t="s">
        <v>480</v>
      </c>
      <c r="HN980" s="185" t="s">
        <v>480</v>
      </c>
      <c r="HO980" s="185" t="s">
        <v>480</v>
      </c>
      <c r="HP980" s="185" t="s">
        <v>480</v>
      </c>
      <c r="HQ980" s="185"/>
      <c r="HR980" s="185"/>
      <c r="HS980" s="206"/>
      <c r="HT980" s="185"/>
      <c r="HU980" s="185"/>
      <c r="HV980" s="185"/>
      <c r="HW980" s="185"/>
      <c r="HX980" s="215"/>
      <c r="HY980" s="185"/>
      <c r="HZ980" s="185"/>
      <c r="IA980" s="185"/>
      <c r="IB980" s="185"/>
      <c r="IC980" s="185"/>
      <c r="ID980" s="185"/>
      <c r="IE980" s="185"/>
      <c r="IF980" s="185"/>
      <c r="IG980" s="185"/>
      <c r="IH980" s="185" t="s">
        <v>1721</v>
      </c>
      <c r="II980" s="148" t="s">
        <v>492</v>
      </c>
      <c r="IJ980" s="148"/>
      <c r="IK980" s="210"/>
      <c r="IL980" s="185"/>
      <c r="IM980" s="185"/>
      <c r="IN980" s="185"/>
      <c r="IO980" s="185"/>
      <c r="IP980" s="185"/>
      <c r="IQ980" s="185"/>
      <c r="IR980" s="185"/>
      <c r="IS980" s="185"/>
      <c r="IT980" s="185"/>
      <c r="IU980" s="185"/>
      <c r="IV980" s="185"/>
      <c r="IW980" s="185"/>
      <c r="IX980" s="2"/>
      <c r="IY980" s="2"/>
      <c r="IZ980" s="2"/>
      <c r="JA980" s="2"/>
      <c r="JB980" s="2"/>
      <c r="JC980" s="2"/>
      <c r="JD980" s="2"/>
      <c r="JE980" s="2"/>
      <c r="JF980" s="2"/>
      <c r="JG980" s="2"/>
      <c r="JH980" s="2"/>
      <c r="JI980" s="2"/>
      <c r="JJ980" s="2" t="s">
        <v>1727</v>
      </c>
      <c r="JK980" s="2" t="s">
        <v>682</v>
      </c>
      <c r="JL980" s="151"/>
      <c r="JM980" s="140"/>
      <c r="JN980" s="206"/>
      <c r="JO980" s="185"/>
      <c r="JP980" s="206"/>
      <c r="JQ980" s="185"/>
      <c r="JR980" s="185"/>
      <c r="JS980" s="185"/>
      <c r="JT980" s="185"/>
      <c r="JU980" s="185"/>
      <c r="JV980" s="140"/>
      <c r="JW980" s="140"/>
      <c r="JX980" s="206"/>
      <c r="JY980" s="185"/>
      <c r="JZ980" s="206"/>
      <c r="KA980" s="185"/>
      <c r="KB980" s="185"/>
      <c r="KC980" s="185"/>
      <c r="KD980" s="206"/>
      <c r="KE980" s="206"/>
      <c r="KF980" s="148"/>
      <c r="KG980" s="216"/>
      <c r="KH980" s="185"/>
      <c r="KI980" s="185"/>
      <c r="KJ980" s="185"/>
      <c r="KK980" s="185"/>
      <c r="KL980" s="206"/>
      <c r="KM980" s="185"/>
      <c r="KN980" s="148"/>
      <c r="KO980" s="216"/>
      <c r="KP980" s="185"/>
      <c r="KQ980" s="185"/>
      <c r="KR980" s="148"/>
      <c r="KS980" s="216"/>
      <c r="KT980" s="185"/>
      <c r="KU980" s="185"/>
      <c r="KV980" s="185"/>
      <c r="KW980" s="3"/>
      <c r="KX980" s="3"/>
      <c r="KY980" s="3"/>
      <c r="KZ980" s="3"/>
      <c r="LA980" s="206"/>
      <c r="LB980" s="206"/>
      <c r="LC980" s="206"/>
      <c r="LD980" s="206"/>
      <c r="LE980" s="206"/>
      <c r="LF980" s="206"/>
      <c r="LG980" s="206"/>
      <c r="LH980" s="206"/>
      <c r="LI980" s="206"/>
      <c r="LJ980" s="206"/>
      <c r="LK980" s="206"/>
      <c r="LL980" s="206"/>
      <c r="LM980" s="206"/>
      <c r="LN980" s="185"/>
      <c r="LO980" s="185"/>
      <c r="LP980" s="185"/>
      <c r="LQ980" s="185"/>
      <c r="LR980" s="185"/>
      <c r="LS980" s="185"/>
      <c r="LT980" s="185"/>
      <c r="LU980" s="185"/>
      <c r="LW980" s="2"/>
      <c r="LX980" s="2"/>
      <c r="LY980" s="2"/>
      <c r="LZ980" s="2"/>
      <c r="MA980" s="2"/>
      <c r="ME980" s="2"/>
      <c r="MF980" s="185"/>
      <c r="MG980" s="185"/>
      <c r="MH980" s="185"/>
      <c r="MI980" s="2"/>
      <c r="MJ980" s="2"/>
      <c r="MK980" s="2"/>
      <c r="ML980" s="2"/>
      <c r="MM980" s="2"/>
      <c r="MN980" s="2"/>
      <c r="MO980" s="2"/>
      <c r="MP980" s="2"/>
      <c r="MQ980" s="185"/>
      <c r="MR980" s="185"/>
      <c r="MS980" s="185"/>
      <c r="MT980" s="185"/>
      <c r="MU980" s="185"/>
      <c r="MV980" s="185"/>
      <c r="MW980" s="185"/>
      <c r="MX980" s="185"/>
      <c r="MY980" s="211" t="s">
        <v>1710</v>
      </c>
      <c r="MZ980" s="212">
        <v>16.25</v>
      </c>
      <c r="NI980" s="185"/>
      <c r="NJ980" s="185" t="s">
        <v>1728</v>
      </c>
      <c r="NK980" s="185" t="s">
        <v>1761</v>
      </c>
      <c r="NL980" s="185" t="s">
        <v>1762</v>
      </c>
      <c r="NM980" s="213" t="s">
        <v>1731</v>
      </c>
      <c r="NN980" s="185">
        <v>0</v>
      </c>
      <c r="NO980" s="185">
        <v>20</v>
      </c>
      <c r="NP980" s="185"/>
      <c r="NQ980" s="185"/>
      <c r="NR980" s="185"/>
      <c r="NS980" s="185"/>
      <c r="NT980" s="185"/>
      <c r="NU980" s="185" t="s">
        <v>1754</v>
      </c>
      <c r="NV980" s="185" t="s">
        <v>518</v>
      </c>
      <c r="NW980" s="133">
        <v>23.95</v>
      </c>
      <c r="NX980" s="185" t="s">
        <v>480</v>
      </c>
      <c r="NY980" s="147"/>
      <c r="NZ980" s="147"/>
      <c r="OB980" s="185">
        <v>3</v>
      </c>
      <c r="OD980" s="185"/>
      <c r="OE980" s="185"/>
      <c r="OF980" s="185"/>
      <c r="OG980" s="185"/>
      <c r="OH980" s="185"/>
      <c r="OI980" s="185"/>
      <c r="OJ980" s="185"/>
      <c r="OK980" s="185"/>
      <c r="OL980" s="185"/>
      <c r="OM980" s="185"/>
      <c r="ON980" s="185"/>
      <c r="OO980" s="185"/>
      <c r="OP980" s="185"/>
      <c r="OQ980" s="185"/>
      <c r="OR980" s="185"/>
      <c r="OS980" s="185"/>
      <c r="OT980" s="185"/>
      <c r="OU980" t="s">
        <v>1763</v>
      </c>
      <c r="OV980" s="185" t="s">
        <v>518</v>
      </c>
      <c r="OX980">
        <v>2021</v>
      </c>
      <c r="OY980">
        <v>2022</v>
      </c>
      <c r="PB980" t="s">
        <v>522</v>
      </c>
      <c r="PC980" s="50">
        <v>46148</v>
      </c>
    </row>
    <row r="981" spans="1:419" ht="15" customHeight="1" thickBot="1">
      <c r="A981" s="205" t="s">
        <v>861</v>
      </c>
      <c r="B981" s="2" t="s">
        <v>1700</v>
      </c>
      <c r="C981" s="2" t="s">
        <v>1387</v>
      </c>
      <c r="D981" s="88" t="s">
        <v>668</v>
      </c>
      <c r="E981" s="2" t="s">
        <v>1701</v>
      </c>
      <c r="F981" s="88" t="s">
        <v>1702</v>
      </c>
      <c r="G981" s="2" t="s">
        <v>475</v>
      </c>
      <c r="H981" s="2" t="s">
        <v>476</v>
      </c>
      <c r="I981" s="88">
        <v>-11.474220000000001</v>
      </c>
      <c r="J981" s="88" t="s">
        <v>1703</v>
      </c>
      <c r="K981" s="88">
        <v>1000</v>
      </c>
      <c r="L981" s="2"/>
      <c r="M981" s="88"/>
      <c r="N981" s="2"/>
      <c r="O981" s="2"/>
      <c r="P981" s="2"/>
      <c r="Q981" s="2"/>
      <c r="R981" s="2"/>
      <c r="S981" s="2"/>
      <c r="T981" s="2"/>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c r="AV981" s="2" t="s">
        <v>1704</v>
      </c>
      <c r="AW981" s="2">
        <v>28</v>
      </c>
      <c r="AX981" s="2" t="s">
        <v>480</v>
      </c>
      <c r="AY981" s="2">
        <v>2</v>
      </c>
      <c r="AZ981" s="185" t="s">
        <v>1705</v>
      </c>
      <c r="BA981" s="185">
        <v>2020</v>
      </c>
      <c r="BB981" s="185">
        <v>2022</v>
      </c>
      <c r="BC981" s="185"/>
      <c r="BD981" s="185" t="s">
        <v>1755</v>
      </c>
      <c r="BE981" s="185" t="s">
        <v>1756</v>
      </c>
      <c r="BF981" s="185" t="s">
        <v>484</v>
      </c>
      <c r="BG981" s="185" t="s">
        <v>1707</v>
      </c>
      <c r="BH981" s="185" t="s">
        <v>1708</v>
      </c>
      <c r="BI981" s="206" t="s">
        <v>1709</v>
      </c>
      <c r="BJ981" s="207">
        <v>4.4000000000000004</v>
      </c>
      <c r="BK981" s="185"/>
      <c r="BL981" s="185"/>
      <c r="BM981" s="208"/>
      <c r="BN981" s="208"/>
      <c r="BO981" s="208"/>
      <c r="BP981" s="208"/>
      <c r="BQ981" s="208"/>
      <c r="BR981" s="208"/>
      <c r="BS981" s="208"/>
      <c r="BT981" s="208"/>
      <c r="BU981" s="208"/>
      <c r="BV981" s="96"/>
      <c r="BW981" s="96"/>
      <c r="BX981" s="96"/>
      <c r="BY981" s="96"/>
      <c r="BZ981" s="96"/>
      <c r="CA981" s="96"/>
      <c r="CB981" s="96"/>
      <c r="CC981" s="96"/>
      <c r="CD981" s="96"/>
      <c r="CE981" s="96"/>
      <c r="CF981" s="96"/>
      <c r="CG981" s="96"/>
      <c r="CH981" s="96"/>
      <c r="CI981" s="96"/>
      <c r="CJ981" s="96"/>
      <c r="CK981" s="96"/>
      <c r="CL981" s="96"/>
      <c r="CM981" s="96"/>
      <c r="CN981" s="96"/>
      <c r="CO981" s="96"/>
      <c r="CP981" s="96"/>
      <c r="CQ981" s="96"/>
      <c r="CR981" s="96"/>
      <c r="CS981" s="96"/>
      <c r="CT981" s="96"/>
      <c r="CU981" s="96"/>
      <c r="CV981" s="96"/>
      <c r="CW981" s="96"/>
      <c r="CX981" s="96"/>
      <c r="CY981" s="96"/>
      <c r="CZ981" s="96"/>
      <c r="DA981" s="96"/>
      <c r="DB981" s="96"/>
      <c r="DC981" s="96"/>
      <c r="DD981" s="96"/>
      <c r="DE981" s="96"/>
      <c r="DF981" s="96"/>
      <c r="DG981" s="96"/>
      <c r="DH981" s="96"/>
      <c r="DI981" s="96"/>
      <c r="DJ981" s="96"/>
      <c r="DK981" s="96"/>
      <c r="DL981" s="96"/>
      <c r="DM981" s="96"/>
      <c r="DN981" s="96"/>
      <c r="DO981" s="96"/>
      <c r="DP981" s="96"/>
      <c r="DQ981" s="96"/>
      <c r="DR981" s="96"/>
      <c r="DS981" s="96"/>
      <c r="DT981" s="96"/>
      <c r="DU981" s="96"/>
      <c r="DV981" s="96"/>
      <c r="DW981" s="96"/>
      <c r="DX981" s="96"/>
      <c r="DY981" s="96"/>
      <c r="DZ981" s="96"/>
      <c r="EA981" s="96"/>
      <c r="EB981" s="96"/>
      <c r="EC981" s="96"/>
      <c r="ED981" s="96"/>
      <c r="EE981" s="208"/>
      <c r="EF981" s="208"/>
      <c r="EG981" s="208"/>
      <c r="EH981" s="208"/>
      <c r="EI981" s="208"/>
      <c r="EJ981" s="208"/>
      <c r="EK981" s="208"/>
      <c r="EL981" s="96"/>
      <c r="EM981" s="96"/>
      <c r="EN981" s="96"/>
      <c r="EO981" s="96"/>
      <c r="EP981" s="96"/>
      <c r="EQ981" s="96"/>
      <c r="ER981" s="96"/>
      <c r="ES981" s="96"/>
      <c r="ET981" s="96"/>
      <c r="EU981" s="96"/>
      <c r="EV981" s="96"/>
      <c r="EW981" s="96"/>
      <c r="EX981" s="96"/>
      <c r="EY981" s="96"/>
      <c r="EZ981" s="96"/>
      <c r="FA981" s="96"/>
      <c r="FB981" s="96"/>
      <c r="FC981" s="96"/>
      <c r="FD981" s="96"/>
      <c r="FE981" s="96"/>
      <c r="FF981" s="96"/>
      <c r="FG981" s="96"/>
      <c r="FH981" s="96"/>
      <c r="FI981" s="96"/>
      <c r="FJ981" s="96"/>
      <c r="FK981" s="96"/>
      <c r="FL981" s="96"/>
      <c r="FM981" s="96"/>
      <c r="FN981" s="96"/>
      <c r="FO981" s="96"/>
      <c r="FP981" s="96"/>
      <c r="FQ981" s="96"/>
      <c r="FR981" s="96"/>
      <c r="FS981" s="96"/>
      <c r="FT981" s="96"/>
      <c r="FU981" s="96"/>
      <c r="FV981" s="96"/>
      <c r="FW981" s="96"/>
      <c r="FX981" s="96"/>
      <c r="FY981" s="96"/>
      <c r="FZ981" s="96"/>
      <c r="GA981" s="96"/>
      <c r="GB981" s="96"/>
      <c r="GC981" s="96"/>
      <c r="GD981" s="96"/>
      <c r="GE981" s="96"/>
      <c r="GF981" s="96"/>
      <c r="GG981" s="96"/>
      <c r="GH981" s="96"/>
      <c r="GI981" s="96"/>
      <c r="GJ981" s="96"/>
      <c r="GK981" s="96"/>
      <c r="GL981" s="96"/>
      <c r="GM981" s="96"/>
      <c r="GN981" s="96"/>
      <c r="GO981" s="96"/>
      <c r="GP981" s="96"/>
      <c r="GQ981" s="96"/>
      <c r="GR981" s="96"/>
      <c r="GS981" s="96"/>
      <c r="GT981" s="96"/>
      <c r="GU981" s="96"/>
      <c r="GV981" s="96"/>
      <c r="GW981" s="96"/>
      <c r="GX981" s="96"/>
      <c r="GY981" s="96"/>
      <c r="GZ981" s="96"/>
      <c r="HA981" s="96"/>
      <c r="HB981" s="96"/>
      <c r="HC981" s="96"/>
      <c r="HD981" s="96"/>
      <c r="HE981" s="96"/>
      <c r="HF981" s="96"/>
      <c r="HG981" s="96"/>
      <c r="HH981" s="96"/>
      <c r="HI981" s="96"/>
      <c r="HJ981" s="96"/>
      <c r="HK981" s="185" t="s">
        <v>1747</v>
      </c>
      <c r="HL981" s="185" t="s">
        <v>526</v>
      </c>
      <c r="HM981" s="185" t="s">
        <v>480</v>
      </c>
      <c r="HN981" s="185" t="s">
        <v>480</v>
      </c>
      <c r="HO981" s="185" t="s">
        <v>480</v>
      </c>
      <c r="HP981" s="185" t="s">
        <v>480</v>
      </c>
      <c r="HQ981" s="208"/>
      <c r="HR981" s="208"/>
      <c r="HS981" s="208"/>
      <c r="HT981" s="37"/>
      <c r="HU981" s="37"/>
      <c r="HV981" s="208"/>
      <c r="HW981" s="208"/>
      <c r="HX981" s="208"/>
      <c r="HY981" s="208"/>
      <c r="HZ981" s="208"/>
      <c r="IA981" s="208"/>
      <c r="IB981" s="208"/>
      <c r="IC981" s="208"/>
      <c r="ID981" s="208"/>
      <c r="IE981" s="208"/>
      <c r="IF981" s="208"/>
      <c r="IG981" s="208"/>
      <c r="IH981" s="185" t="s">
        <v>1706</v>
      </c>
      <c r="II981" s="209" t="s">
        <v>492</v>
      </c>
      <c r="IJ981" s="209"/>
      <c r="IK981" s="208"/>
      <c r="IL981" s="208"/>
      <c r="IM981" s="208"/>
      <c r="IN981" s="185"/>
      <c r="IO981" s="208"/>
      <c r="IP981" s="208"/>
      <c r="IQ981" s="208"/>
      <c r="IR981" s="208"/>
      <c r="IS981" s="208"/>
      <c r="IT981" s="208"/>
      <c r="IU981" s="208"/>
      <c r="IV981" s="208"/>
      <c r="IW981" s="208"/>
      <c r="IX981" s="96"/>
      <c r="IY981" s="96"/>
      <c r="IZ981" s="96"/>
      <c r="JA981" s="96"/>
      <c r="JB981" s="96"/>
      <c r="JC981" s="96"/>
      <c r="JD981" s="96"/>
      <c r="JE981" s="96"/>
      <c r="JF981" s="96"/>
      <c r="JG981" s="96"/>
      <c r="JH981" s="96"/>
      <c r="JI981" s="96"/>
      <c r="JJ981" s="96" t="s">
        <v>1727</v>
      </c>
      <c r="JK981" s="2" t="s">
        <v>682</v>
      </c>
      <c r="JL981" s="96"/>
      <c r="JM981" s="208"/>
      <c r="JN981" s="206"/>
      <c r="JO981" s="208"/>
      <c r="JP981" s="206"/>
      <c r="JQ981" s="208"/>
      <c r="JR981" s="208"/>
      <c r="JS981" s="208"/>
      <c r="JT981" s="208"/>
      <c r="JU981" s="208"/>
      <c r="JV981" s="208"/>
      <c r="JW981" s="208"/>
      <c r="JX981" s="208"/>
      <c r="JY981" s="208"/>
      <c r="JZ981" s="208"/>
      <c r="KA981" s="208"/>
      <c r="KB981" s="208"/>
      <c r="KC981" s="208"/>
      <c r="KD981" s="208"/>
      <c r="KE981" s="208"/>
      <c r="KF981" s="148"/>
      <c r="KG981" s="148"/>
      <c r="KH981" s="210"/>
      <c r="KI981" s="185"/>
      <c r="KJ981" s="210"/>
      <c r="KK981" s="210"/>
      <c r="KL981" s="210"/>
      <c r="KM981" s="210"/>
      <c r="KN981" s="148"/>
      <c r="KO981" s="148"/>
      <c r="KP981" s="210"/>
      <c r="KQ981" s="210"/>
      <c r="KR981" s="148"/>
      <c r="KS981" s="148"/>
      <c r="KT981" s="210"/>
      <c r="KU981" s="210"/>
      <c r="KV981" s="210"/>
      <c r="KW981" s="38"/>
      <c r="KX981" s="38"/>
      <c r="KY981" s="38"/>
      <c r="KZ981" s="38"/>
      <c r="LA981" s="206"/>
      <c r="LB981" s="206"/>
      <c r="LC981" s="206"/>
      <c r="LD981" s="206"/>
      <c r="LE981" s="206"/>
      <c r="LF981" s="206"/>
      <c r="LG981" s="206"/>
      <c r="LH981" s="206"/>
      <c r="LI981" s="208"/>
      <c r="LJ981" s="208"/>
      <c r="LK981" s="208"/>
      <c r="LL981" s="208"/>
      <c r="LM981" s="208"/>
      <c r="LN981" s="208"/>
      <c r="LO981" s="208"/>
      <c r="LP981" s="208"/>
      <c r="LQ981" s="208"/>
      <c r="LR981" s="208"/>
      <c r="LS981" s="208"/>
      <c r="LT981" s="208"/>
      <c r="LU981" s="208"/>
      <c r="LV981" s="96"/>
      <c r="LW981" s="96"/>
      <c r="LX981" s="96"/>
      <c r="LY981" s="96"/>
      <c r="LZ981" s="96"/>
      <c r="MA981" s="96"/>
      <c r="MB981" s="96"/>
      <c r="MC981" s="96"/>
      <c r="MD981" s="96"/>
      <c r="ME981" s="96"/>
      <c r="MF981" s="96"/>
      <c r="MG981" s="208"/>
      <c r="MH981" s="208"/>
      <c r="MI981" s="96"/>
      <c r="MJ981" s="96"/>
      <c r="MK981" s="96"/>
      <c r="ML981" s="96"/>
      <c r="MM981" s="96"/>
      <c r="MN981" s="96"/>
      <c r="MO981" s="96"/>
      <c r="MP981" s="96"/>
      <c r="MQ981" s="37"/>
      <c r="MR981" s="37"/>
      <c r="MS981" s="96"/>
      <c r="MT981" s="208"/>
      <c r="MU981" s="208"/>
      <c r="MW981" s="96"/>
      <c r="MX981" s="96"/>
      <c r="MY981" s="211" t="s">
        <v>1710</v>
      </c>
      <c r="MZ981" s="212">
        <v>16.25</v>
      </c>
      <c r="NI981" s="185"/>
      <c r="NJ981" s="185" t="s">
        <v>1728</v>
      </c>
      <c r="NK981" s="185" t="s">
        <v>1761</v>
      </c>
      <c r="NL981" s="185" t="s">
        <v>1762</v>
      </c>
      <c r="NM981" s="213" t="s">
        <v>1731</v>
      </c>
      <c r="NN981" s="185">
        <v>0</v>
      </c>
      <c r="NO981" s="185">
        <v>20</v>
      </c>
      <c r="NP981" s="185"/>
      <c r="NQ981" s="185"/>
      <c r="NR981" s="185"/>
      <c r="NS981" s="185"/>
      <c r="NT981" s="185"/>
      <c r="NU981" s="185" t="s">
        <v>1757</v>
      </c>
      <c r="NV981" s="185" t="s">
        <v>518</v>
      </c>
      <c r="NW981" s="133">
        <v>23.27</v>
      </c>
      <c r="NX981" s="185" t="s">
        <v>480</v>
      </c>
      <c r="NY981" s="147"/>
      <c r="NZ981" s="147"/>
      <c r="OB981" s="185">
        <v>3</v>
      </c>
      <c r="OC981" s="185"/>
      <c r="OD981" s="185"/>
      <c r="OE981" s="208"/>
      <c r="OF981" s="208"/>
      <c r="OG981" s="208"/>
      <c r="OH981" s="208"/>
      <c r="OI981" s="208"/>
      <c r="OJ981" s="208"/>
      <c r="OK981" s="208"/>
      <c r="OL981" s="208"/>
      <c r="OM981" s="208"/>
      <c r="ON981" s="208"/>
      <c r="OO981" s="208"/>
      <c r="OP981" s="208"/>
      <c r="OQ981" s="208"/>
      <c r="OR981" s="208"/>
      <c r="OS981" s="208"/>
      <c r="OT981" s="208"/>
      <c r="OU981" t="s">
        <v>1763</v>
      </c>
      <c r="OV981" s="185" t="s">
        <v>518</v>
      </c>
      <c r="OX981">
        <v>2021</v>
      </c>
      <c r="OY981">
        <v>2022</v>
      </c>
      <c r="OZ981" s="96"/>
      <c r="PA981" s="96"/>
      <c r="PB981" t="s">
        <v>522</v>
      </c>
      <c r="PC981" s="50">
        <v>46148</v>
      </c>
    </row>
    <row r="982" spans="1:419" ht="17.25" thickBot="1">
      <c r="A982" s="205" t="s">
        <v>861</v>
      </c>
      <c r="B982" s="2" t="s">
        <v>1700</v>
      </c>
      <c r="C982" s="2" t="s">
        <v>1387</v>
      </c>
      <c r="D982" s="88" t="s">
        <v>668</v>
      </c>
      <c r="E982" s="2" t="s">
        <v>1701</v>
      </c>
      <c r="F982" s="88" t="s">
        <v>1702</v>
      </c>
      <c r="G982" s="2" t="s">
        <v>475</v>
      </c>
      <c r="H982" s="2" t="s">
        <v>476</v>
      </c>
      <c r="I982" s="88">
        <v>-11.474220000000001</v>
      </c>
      <c r="J982" s="88" t="s">
        <v>1703</v>
      </c>
      <c r="K982" s="88">
        <v>1000</v>
      </c>
      <c r="L982" s="2"/>
      <c r="M982" s="88"/>
      <c r="N982" s="2"/>
      <c r="O982" s="2"/>
      <c r="P982" s="2"/>
      <c r="Q982" s="2"/>
      <c r="R982" s="2"/>
      <c r="S982" s="2"/>
      <c r="T982" s="2"/>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c r="AV982" s="2" t="s">
        <v>1704</v>
      </c>
      <c r="AW982" s="2">
        <v>28</v>
      </c>
      <c r="AX982" s="2" t="s">
        <v>480</v>
      </c>
      <c r="AY982" s="2">
        <v>2</v>
      </c>
      <c r="AZ982" s="185" t="s">
        <v>1705</v>
      </c>
      <c r="BA982" s="185">
        <v>2020</v>
      </c>
      <c r="BB982" s="185">
        <v>2022</v>
      </c>
      <c r="BC982" s="185"/>
      <c r="BD982" s="185" t="s">
        <v>1758</v>
      </c>
      <c r="BE982" s="185" t="s">
        <v>615</v>
      </c>
      <c r="BF982" s="185" t="s">
        <v>484</v>
      </c>
      <c r="BG982" s="185" t="s">
        <v>1707</v>
      </c>
      <c r="BH982" s="185" t="s">
        <v>1708</v>
      </c>
      <c r="BI982" s="206" t="s">
        <v>1709</v>
      </c>
      <c r="BJ982" s="207">
        <v>4.4000000000000004</v>
      </c>
      <c r="BK982" s="185" t="s">
        <v>537</v>
      </c>
      <c r="BL982" s="185" t="s">
        <v>485</v>
      </c>
      <c r="BM982" s="185" t="s">
        <v>1719</v>
      </c>
      <c r="BN982" s="206" t="s">
        <v>1709</v>
      </c>
      <c r="BO982" s="207">
        <v>4.4000000000000004</v>
      </c>
      <c r="BP982" s="185"/>
      <c r="BQ982" s="185"/>
      <c r="BR982" s="185"/>
      <c r="BS982" s="185"/>
      <c r="BT982" s="185"/>
      <c r="BU982" s="185"/>
      <c r="BV982" s="3"/>
      <c r="BW982" s="3"/>
      <c r="BX982" s="3"/>
      <c r="BY982" s="3"/>
      <c r="BZ982" s="3"/>
      <c r="CA982" s="3"/>
      <c r="CB982" s="3"/>
      <c r="CC982" s="3"/>
      <c r="CD982" s="3"/>
      <c r="CE982" s="3"/>
      <c r="CF982" s="3"/>
      <c r="CG982" s="3"/>
      <c r="CH982" s="3"/>
      <c r="CI982" s="3"/>
      <c r="CJ982" s="3"/>
      <c r="CK982" s="3"/>
      <c r="CL982" s="3"/>
      <c r="CM982" s="3"/>
      <c r="CN982" s="3"/>
      <c r="CO982" s="3"/>
      <c r="CP982" s="3"/>
      <c r="CQ982" s="3"/>
      <c r="CR982" s="3"/>
      <c r="CS982" s="3"/>
      <c r="CT982" s="3"/>
      <c r="CU982" s="3"/>
      <c r="CV982" s="3"/>
      <c r="CW982" s="3"/>
      <c r="CX982" s="3"/>
      <c r="CY982" s="3"/>
      <c r="CZ982" s="3"/>
      <c r="DA982" s="3"/>
      <c r="DB982" s="3"/>
      <c r="DC982" s="3"/>
      <c r="DD982" s="3"/>
      <c r="DE982" s="3"/>
      <c r="DF982" s="3"/>
      <c r="DG982" s="3"/>
      <c r="DH982" s="3"/>
      <c r="DI982" s="3"/>
      <c r="DJ982" s="3"/>
      <c r="DK982" s="3"/>
      <c r="DL982" s="3"/>
      <c r="DM982" s="3"/>
      <c r="DN982" s="3"/>
      <c r="DO982" s="3"/>
      <c r="DP982" s="3"/>
      <c r="DQ982" s="3"/>
      <c r="DR982" s="3"/>
      <c r="DS982" s="3"/>
      <c r="DT982" s="3"/>
      <c r="DU982" s="3"/>
      <c r="DV982" s="3"/>
      <c r="DW982" s="3"/>
      <c r="DX982" s="3"/>
      <c r="DY982" s="3"/>
      <c r="DZ982" s="3"/>
      <c r="EA982" s="3"/>
      <c r="EB982" s="3"/>
      <c r="EC982" s="3"/>
      <c r="ED982" s="2"/>
      <c r="EE982" s="185"/>
      <c r="EF982" s="185"/>
      <c r="EG982" s="185"/>
      <c r="EH982" s="185"/>
      <c r="EI982" s="185"/>
      <c r="EJ982" s="185"/>
      <c r="EK982" s="185"/>
      <c r="EL982" s="3"/>
      <c r="EM982" s="3"/>
      <c r="EN982" s="3"/>
      <c r="EO982" s="3"/>
      <c r="EP982" s="3"/>
      <c r="EQ982" s="3"/>
      <c r="ER982" s="3"/>
      <c r="ES982" s="3"/>
      <c r="ET982" s="3"/>
      <c r="EU982" s="3"/>
      <c r="EV982" s="3"/>
      <c r="EW982" s="3"/>
      <c r="EX982" s="3"/>
      <c r="EY982" s="3"/>
      <c r="EZ982" s="3"/>
      <c r="FA982" s="3"/>
      <c r="FB982" s="3"/>
      <c r="FC982" s="3"/>
      <c r="FD982" s="3"/>
      <c r="FE982" s="3"/>
      <c r="FF982" s="3"/>
      <c r="FG982" s="3"/>
      <c r="FH982" s="3"/>
      <c r="FI982" s="3"/>
      <c r="FJ982" s="3"/>
      <c r="FK982" s="3"/>
      <c r="FL982" s="3"/>
      <c r="FM982" s="3"/>
      <c r="FN982" s="3"/>
      <c r="FO982" s="3"/>
      <c r="FP982" s="3"/>
      <c r="FQ982" s="3"/>
      <c r="FR982" s="3"/>
      <c r="FS982" s="3"/>
      <c r="FT982" s="3"/>
      <c r="FU982" s="3"/>
      <c r="FV982" s="3"/>
      <c r="FW982" s="3"/>
      <c r="FX982" s="3"/>
      <c r="FY982" s="3"/>
      <c r="FZ982" s="3"/>
      <c r="GA982" s="3"/>
      <c r="GB982" s="3"/>
      <c r="GC982" s="3"/>
      <c r="GD982" s="3"/>
      <c r="GE982" s="3"/>
      <c r="GF982" s="3"/>
      <c r="GG982" s="3"/>
      <c r="GH982" s="3"/>
      <c r="GI982" s="3"/>
      <c r="GJ982" s="3"/>
      <c r="GK982" s="3"/>
      <c r="GL982" s="3"/>
      <c r="GM982" s="3"/>
      <c r="GN982" s="3"/>
      <c r="GO982" s="3"/>
      <c r="GP982" s="3"/>
      <c r="GQ982" s="3"/>
      <c r="GR982" s="3"/>
      <c r="GS982" s="3"/>
      <c r="GT982" s="3"/>
      <c r="GU982" s="3"/>
      <c r="GV982" s="3"/>
      <c r="GW982" s="3"/>
      <c r="GX982" s="3"/>
      <c r="GY982" s="3"/>
      <c r="GZ982" s="3"/>
      <c r="HA982" s="3"/>
      <c r="HB982" s="3"/>
      <c r="HC982" s="3"/>
      <c r="HD982" s="3"/>
      <c r="HE982" s="3"/>
      <c r="HF982" s="3"/>
      <c r="HG982" s="3"/>
      <c r="HH982" s="3"/>
      <c r="HI982" s="3"/>
      <c r="HJ982" s="3"/>
      <c r="HK982" s="185" t="s">
        <v>1747</v>
      </c>
      <c r="HL982" s="185" t="s">
        <v>526</v>
      </c>
      <c r="HM982" s="185" t="s">
        <v>480</v>
      </c>
      <c r="HN982" s="185" t="s">
        <v>480</v>
      </c>
      <c r="HO982" s="185" t="s">
        <v>480</v>
      </c>
      <c r="HP982" s="185" t="s">
        <v>480</v>
      </c>
      <c r="HQ982" s="185"/>
      <c r="HR982" s="185"/>
      <c r="HS982" s="206"/>
      <c r="HT982" s="185"/>
      <c r="HU982" s="185"/>
      <c r="HV982" s="185"/>
      <c r="HW982" s="185"/>
      <c r="HX982" s="215"/>
      <c r="HY982" s="185"/>
      <c r="HZ982" s="185"/>
      <c r="IA982" s="185"/>
      <c r="IB982" s="185"/>
      <c r="IC982" s="185"/>
      <c r="ID982" s="185"/>
      <c r="IE982" s="185"/>
      <c r="IF982" s="185"/>
      <c r="IG982" s="185"/>
      <c r="IH982" s="185" t="s">
        <v>1718</v>
      </c>
      <c r="II982" s="148" t="s">
        <v>1714</v>
      </c>
      <c r="IJ982" s="148" t="s">
        <v>542</v>
      </c>
      <c r="IK982" s="210" t="s">
        <v>1715</v>
      </c>
      <c r="IL982" s="185">
        <v>2020</v>
      </c>
      <c r="IM982" s="185"/>
      <c r="IN982" s="185" t="s">
        <v>1716</v>
      </c>
      <c r="IO982" s="185"/>
      <c r="IP982" s="185"/>
      <c r="IQ982" s="185"/>
      <c r="IR982" s="185"/>
      <c r="IS982" s="185"/>
      <c r="IT982" s="185"/>
      <c r="IU982" s="185"/>
      <c r="IV982" s="185"/>
      <c r="IW982" s="185"/>
      <c r="IX982" s="2"/>
      <c r="IY982" s="2"/>
      <c r="IZ982" s="2"/>
      <c r="JA982" s="2"/>
      <c r="JB982" s="2"/>
      <c r="JC982" s="2"/>
      <c r="JD982" s="2"/>
      <c r="JE982" s="2"/>
      <c r="JF982" s="2"/>
      <c r="JG982" s="2"/>
      <c r="JH982" s="2"/>
      <c r="JI982" s="2"/>
      <c r="JJ982" s="2" t="s">
        <v>1727</v>
      </c>
      <c r="JK982" s="2" t="s">
        <v>682</v>
      </c>
      <c r="JL982" s="151"/>
      <c r="JM982" s="140"/>
      <c r="JN982" s="206"/>
      <c r="JO982" s="185"/>
      <c r="JP982" s="206"/>
      <c r="JQ982" s="185"/>
      <c r="JR982" s="185"/>
      <c r="JS982" s="185"/>
      <c r="JT982" s="185"/>
      <c r="JU982" s="185"/>
      <c r="JV982" s="140"/>
      <c r="JW982" s="140"/>
      <c r="JX982" s="206"/>
      <c r="JY982" s="185"/>
      <c r="JZ982" s="206"/>
      <c r="KA982" s="185"/>
      <c r="KB982" s="185"/>
      <c r="KC982" s="185"/>
      <c r="KD982" s="206"/>
      <c r="KE982" s="206"/>
      <c r="KF982" s="148"/>
      <c r="KG982" s="216"/>
      <c r="KH982" s="185"/>
      <c r="KI982" s="185"/>
      <c r="KJ982" s="185"/>
      <c r="KK982" s="185"/>
      <c r="KL982" s="206"/>
      <c r="KM982" s="185"/>
      <c r="KN982" s="148"/>
      <c r="KO982" s="216"/>
      <c r="KP982" s="185"/>
      <c r="KQ982" s="185"/>
      <c r="KR982" s="148"/>
      <c r="KS982" s="216"/>
      <c r="KT982" s="185"/>
      <c r="KU982" s="185"/>
      <c r="KV982" s="185"/>
      <c r="KW982" s="3"/>
      <c r="KX982" s="3"/>
      <c r="KY982" s="3"/>
      <c r="KZ982" s="3"/>
      <c r="LA982" s="206"/>
      <c r="LB982" s="206"/>
      <c r="LC982" s="206"/>
      <c r="LD982" s="206"/>
      <c r="LE982" s="206"/>
      <c r="LF982" s="206"/>
      <c r="LG982" s="206"/>
      <c r="LH982" s="206"/>
      <c r="LI982" s="206"/>
      <c r="LJ982" s="206"/>
      <c r="LK982" s="206"/>
      <c r="LL982" s="206"/>
      <c r="LM982" s="206"/>
      <c r="LN982" s="185"/>
      <c r="LO982" s="185"/>
      <c r="LP982" s="185"/>
      <c r="LQ982" s="185"/>
      <c r="LR982" s="185"/>
      <c r="LS982" s="185"/>
      <c r="LT982" s="185"/>
      <c r="LU982" s="185"/>
      <c r="LW982" s="2"/>
      <c r="LX982" s="2"/>
      <c r="LY982" s="2"/>
      <c r="LZ982" s="2"/>
      <c r="MA982" s="2"/>
      <c r="ME982" s="2"/>
      <c r="MF982" s="185"/>
      <c r="MG982" s="185"/>
      <c r="MH982" s="185"/>
      <c r="MI982" s="2"/>
      <c r="MJ982" s="2"/>
      <c r="MK982" s="2"/>
      <c r="ML982" s="2"/>
      <c r="MM982" s="2"/>
      <c r="MN982" s="2"/>
      <c r="MO982" s="2"/>
      <c r="MP982" s="2"/>
      <c r="MQ982" s="185"/>
      <c r="MR982" s="185"/>
      <c r="MS982" s="185"/>
      <c r="MT982" s="185"/>
      <c r="MU982" s="185"/>
      <c r="MV982" s="185"/>
      <c r="MW982" s="185"/>
      <c r="MX982" s="185"/>
      <c r="MY982" s="211" t="s">
        <v>1710</v>
      </c>
      <c r="MZ982" s="212">
        <v>16.25</v>
      </c>
      <c r="NI982" s="185"/>
      <c r="NJ982" s="185" t="s">
        <v>1728</v>
      </c>
      <c r="NK982" s="185" t="s">
        <v>1761</v>
      </c>
      <c r="NL982" s="185" t="s">
        <v>1762</v>
      </c>
      <c r="NM982" s="213" t="s">
        <v>1731</v>
      </c>
      <c r="NN982" s="185">
        <v>0</v>
      </c>
      <c r="NO982" s="185">
        <v>20</v>
      </c>
      <c r="NP982" s="185"/>
      <c r="NQ982" s="185"/>
      <c r="NR982" s="185"/>
      <c r="NS982" s="185"/>
      <c r="NT982" s="185"/>
      <c r="NU982" s="185" t="s">
        <v>553</v>
      </c>
      <c r="NV982" s="185" t="s">
        <v>518</v>
      </c>
      <c r="NW982" s="133">
        <v>22.79</v>
      </c>
      <c r="NX982" s="185" t="s">
        <v>480</v>
      </c>
      <c r="NY982" s="147"/>
      <c r="NZ982" s="147"/>
      <c r="OB982" s="185">
        <v>3</v>
      </c>
      <c r="OC982" s="185"/>
      <c r="OD982" s="185"/>
      <c r="OE982" s="185"/>
      <c r="OF982" s="185"/>
      <c r="OG982" s="185"/>
      <c r="OH982" s="185"/>
      <c r="OI982" s="185"/>
      <c r="OJ982" s="185"/>
      <c r="OK982" s="185"/>
      <c r="OL982" s="185"/>
      <c r="OM982" s="185"/>
      <c r="ON982" s="185"/>
      <c r="OO982" s="185"/>
      <c r="OP982" s="185"/>
      <c r="OQ982" s="185"/>
      <c r="OR982" s="185"/>
      <c r="OS982" s="185"/>
      <c r="OT982" s="185"/>
      <c r="OU982" t="s">
        <v>1763</v>
      </c>
      <c r="OV982" s="185" t="s">
        <v>518</v>
      </c>
      <c r="OX982">
        <v>2021</v>
      </c>
      <c r="OY982">
        <v>2022</v>
      </c>
      <c r="PB982" t="s">
        <v>522</v>
      </c>
      <c r="PC982" s="50">
        <v>46148</v>
      </c>
    </row>
    <row r="983" spans="1:419" ht="17.25" thickBot="1">
      <c r="A983" s="205" t="s">
        <v>861</v>
      </c>
      <c r="B983" s="2" t="s">
        <v>1700</v>
      </c>
      <c r="C983" s="2" t="s">
        <v>1387</v>
      </c>
      <c r="D983" s="88" t="s">
        <v>668</v>
      </c>
      <c r="E983" s="2" t="s">
        <v>1701</v>
      </c>
      <c r="F983" s="88" t="s">
        <v>1702</v>
      </c>
      <c r="G983" s="2" t="s">
        <v>475</v>
      </c>
      <c r="H983" s="2" t="s">
        <v>476</v>
      </c>
      <c r="I983" s="88">
        <v>-11.474220000000001</v>
      </c>
      <c r="J983" s="88" t="s">
        <v>1703</v>
      </c>
      <c r="K983" s="88">
        <v>1000</v>
      </c>
      <c r="L983" s="2"/>
      <c r="M983" s="88"/>
      <c r="N983" s="2"/>
      <c r="O983" s="2"/>
      <c r="P983" s="2"/>
      <c r="Q983" s="2"/>
      <c r="R983" s="2"/>
      <c r="S983" s="2"/>
      <c r="T983" s="2"/>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c r="AV983" s="2" t="s">
        <v>1704</v>
      </c>
      <c r="AW983" s="2">
        <v>28</v>
      </c>
      <c r="AX983" s="2" t="s">
        <v>480</v>
      </c>
      <c r="AY983" s="2">
        <v>2</v>
      </c>
      <c r="AZ983" s="185" t="s">
        <v>1705</v>
      </c>
      <c r="BA983" s="185">
        <v>2020</v>
      </c>
      <c r="BB983" s="185">
        <v>2022</v>
      </c>
      <c r="BC983" s="185"/>
      <c r="BD983" s="185" t="s">
        <v>1759</v>
      </c>
      <c r="BE983" s="185" t="s">
        <v>617</v>
      </c>
      <c r="BF983" s="185" t="s">
        <v>484</v>
      </c>
      <c r="BG983" s="185" t="s">
        <v>538</v>
      </c>
      <c r="BH983" s="185" t="s">
        <v>1713</v>
      </c>
      <c r="BI983" s="206" t="s">
        <v>1709</v>
      </c>
      <c r="BJ983" s="207">
        <v>13.3</v>
      </c>
      <c r="BK983" s="185" t="s">
        <v>537</v>
      </c>
      <c r="BL983" s="185" t="s">
        <v>485</v>
      </c>
      <c r="BM983" s="185" t="s">
        <v>1719</v>
      </c>
      <c r="BN983" s="206" t="s">
        <v>1709</v>
      </c>
      <c r="BO983" s="207">
        <v>4.4000000000000004</v>
      </c>
      <c r="BP983" s="185"/>
      <c r="BQ983" s="185"/>
      <c r="BR983" s="185"/>
      <c r="BS983" s="185"/>
      <c r="BT983" s="185"/>
      <c r="BU983" s="185"/>
      <c r="BV983" s="3"/>
      <c r="BW983" s="3"/>
      <c r="BX983" s="3"/>
      <c r="BY983" s="3"/>
      <c r="BZ983" s="3"/>
      <c r="CA983" s="3"/>
      <c r="CB983" s="3"/>
      <c r="CC983" s="3"/>
      <c r="CD983" s="3"/>
      <c r="CE983" s="3"/>
      <c r="CF983" s="3"/>
      <c r="CG983" s="3"/>
      <c r="CH983" s="3"/>
      <c r="CI983" s="3"/>
      <c r="CJ983" s="3"/>
      <c r="CK983" s="3"/>
      <c r="CL983" s="3"/>
      <c r="CM983" s="3"/>
      <c r="CN983" s="3"/>
      <c r="CO983" s="3"/>
      <c r="CP983" s="3"/>
      <c r="CQ983" s="3"/>
      <c r="CR983" s="3"/>
      <c r="CS983" s="3"/>
      <c r="CT983" s="3"/>
      <c r="CU983" s="3"/>
      <c r="CV983" s="3"/>
      <c r="CW983" s="3"/>
      <c r="CX983" s="3"/>
      <c r="CY983" s="3"/>
      <c r="CZ983" s="3"/>
      <c r="DA983" s="3"/>
      <c r="DB983" s="3"/>
      <c r="DC983" s="3"/>
      <c r="DD983" s="3"/>
      <c r="DE983" s="3"/>
      <c r="DF983" s="3"/>
      <c r="DG983" s="3"/>
      <c r="DH983" s="3"/>
      <c r="DI983" s="3"/>
      <c r="DJ983" s="3"/>
      <c r="DK983" s="3"/>
      <c r="DL983" s="3"/>
      <c r="DM983" s="3"/>
      <c r="DN983" s="3"/>
      <c r="DO983" s="3"/>
      <c r="DP983" s="3"/>
      <c r="DQ983" s="3"/>
      <c r="DR983" s="3"/>
      <c r="DS983" s="3"/>
      <c r="DT983" s="3"/>
      <c r="DU983" s="3"/>
      <c r="DV983" s="3"/>
      <c r="DW983" s="3"/>
      <c r="DX983" s="3"/>
      <c r="DY983" s="3"/>
      <c r="DZ983" s="3"/>
      <c r="EA983" s="3"/>
      <c r="EB983" s="3"/>
      <c r="EC983" s="3"/>
      <c r="ED983" s="2"/>
      <c r="EE983" s="185"/>
      <c r="EF983" s="185"/>
      <c r="EG983" s="185"/>
      <c r="EH983" s="185"/>
      <c r="EI983" s="185"/>
      <c r="EJ983" s="185"/>
      <c r="EK983" s="185"/>
      <c r="EL983" s="3"/>
      <c r="EM983" s="3"/>
      <c r="EN983" s="3"/>
      <c r="EO983" s="3"/>
      <c r="EP983" s="3"/>
      <c r="EQ983" s="3"/>
      <c r="ER983" s="3"/>
      <c r="ES983" s="3"/>
      <c r="ET983" s="3"/>
      <c r="EU983" s="3"/>
      <c r="EV983" s="3"/>
      <c r="EW983" s="3"/>
      <c r="EX983" s="3"/>
      <c r="EY983" s="3"/>
      <c r="EZ983" s="3"/>
      <c r="FA983" s="3"/>
      <c r="FB983" s="3"/>
      <c r="FC983" s="3"/>
      <c r="FD983" s="3"/>
      <c r="FE983" s="3"/>
      <c r="FF983" s="3"/>
      <c r="FG983" s="3"/>
      <c r="FH983" s="3"/>
      <c r="FI983" s="3"/>
      <c r="FJ983" s="3"/>
      <c r="FK983" s="3"/>
      <c r="FL983" s="3"/>
      <c r="FM983" s="3"/>
      <c r="FN983" s="3"/>
      <c r="FO983" s="3"/>
      <c r="FP983" s="3"/>
      <c r="FQ983" s="3"/>
      <c r="FR983" s="3"/>
      <c r="FS983" s="3"/>
      <c r="FT983" s="3"/>
      <c r="FU983" s="3"/>
      <c r="FV983" s="3"/>
      <c r="FW983" s="3"/>
      <c r="FX983" s="3"/>
      <c r="FY983" s="3"/>
      <c r="FZ983" s="3"/>
      <c r="GA983" s="3"/>
      <c r="GB983" s="3"/>
      <c r="GC983" s="3"/>
      <c r="GD983" s="3"/>
      <c r="GE983" s="3"/>
      <c r="GF983" s="3"/>
      <c r="GG983" s="3"/>
      <c r="GH983" s="3"/>
      <c r="GI983" s="3"/>
      <c r="GJ983" s="3"/>
      <c r="GK983" s="3"/>
      <c r="GL983" s="3"/>
      <c r="GM983" s="3"/>
      <c r="GN983" s="3"/>
      <c r="GO983" s="3"/>
      <c r="GP983" s="3"/>
      <c r="GQ983" s="3"/>
      <c r="GR983" s="3"/>
      <c r="GS983" s="3"/>
      <c r="GT983" s="3"/>
      <c r="GU983" s="3"/>
      <c r="GV983" s="3"/>
      <c r="GW983" s="3"/>
      <c r="GX983" s="3"/>
      <c r="GY983" s="3"/>
      <c r="GZ983" s="3"/>
      <c r="HA983" s="3"/>
      <c r="HB983" s="3"/>
      <c r="HC983" s="3"/>
      <c r="HD983" s="3"/>
      <c r="HE983" s="3"/>
      <c r="HF983" s="3"/>
      <c r="HG983" s="3"/>
      <c r="HH983" s="3"/>
      <c r="HI983" s="3"/>
      <c r="HJ983" s="3"/>
      <c r="HK983" s="185" t="s">
        <v>1747</v>
      </c>
      <c r="HL983" s="185" t="s">
        <v>526</v>
      </c>
      <c r="HM983" s="185" t="s">
        <v>480</v>
      </c>
      <c r="HN983" s="185" t="s">
        <v>480</v>
      </c>
      <c r="HO983" s="185" t="s">
        <v>480</v>
      </c>
      <c r="HP983" s="185" t="s">
        <v>480</v>
      </c>
      <c r="HQ983" s="185"/>
      <c r="HR983" s="185"/>
      <c r="HS983" s="206"/>
      <c r="HT983" s="185"/>
      <c r="HU983" s="185"/>
      <c r="HV983" s="185"/>
      <c r="HW983" s="185"/>
      <c r="HX983" s="215"/>
      <c r="HY983" s="185"/>
      <c r="HZ983" s="185"/>
      <c r="IA983" s="185"/>
      <c r="IB983" s="185"/>
      <c r="IC983" s="185"/>
      <c r="ID983" s="185"/>
      <c r="IE983" s="185"/>
      <c r="IF983" s="185"/>
      <c r="IG983" s="185"/>
      <c r="IH983" s="185" t="s">
        <v>1720</v>
      </c>
      <c r="II983" s="148" t="s">
        <v>1714</v>
      </c>
      <c r="IJ983" s="148" t="s">
        <v>542</v>
      </c>
      <c r="IK983" s="210" t="s">
        <v>1715</v>
      </c>
      <c r="IL983" s="185">
        <v>2020</v>
      </c>
      <c r="IM983" s="185"/>
      <c r="IN983" s="185" t="s">
        <v>1716</v>
      </c>
      <c r="IO983" s="185"/>
      <c r="IP983" s="185"/>
      <c r="IQ983" s="185"/>
      <c r="IR983" s="185"/>
      <c r="IS983" s="185"/>
      <c r="IT983" s="185"/>
      <c r="IU983" s="185"/>
      <c r="IV983" s="185"/>
      <c r="IW983" s="185"/>
      <c r="IX983" s="2"/>
      <c r="IY983" s="2"/>
      <c r="IZ983" s="2"/>
      <c r="JA983" s="2"/>
      <c r="JB983" s="2"/>
      <c r="JC983" s="2"/>
      <c r="JD983" s="2"/>
      <c r="JE983" s="2"/>
      <c r="JF983" s="2"/>
      <c r="JG983" s="2"/>
      <c r="JH983" s="2"/>
      <c r="JI983" s="2"/>
      <c r="JJ983" s="2" t="s">
        <v>1727</v>
      </c>
      <c r="JK983" s="2" t="s">
        <v>682</v>
      </c>
      <c r="JL983" s="151"/>
      <c r="JM983" s="140"/>
      <c r="JN983" s="206"/>
      <c r="JO983" s="185"/>
      <c r="JP983" s="206"/>
      <c r="JQ983" s="185"/>
      <c r="JR983" s="185"/>
      <c r="JS983" s="185"/>
      <c r="JT983" s="185"/>
      <c r="JU983" s="185"/>
      <c r="JV983" s="140"/>
      <c r="JW983" s="140"/>
      <c r="JX983" s="206"/>
      <c r="JY983" s="185"/>
      <c r="JZ983" s="206"/>
      <c r="KA983" s="185"/>
      <c r="KB983" s="185"/>
      <c r="KC983" s="185"/>
      <c r="KD983" s="206"/>
      <c r="KE983" s="206"/>
      <c r="KF983" s="148"/>
      <c r="KG983" s="216"/>
      <c r="KH983" s="185"/>
      <c r="KI983" s="185"/>
      <c r="KJ983" s="185"/>
      <c r="KK983" s="185"/>
      <c r="KL983" s="206"/>
      <c r="KM983" s="185"/>
      <c r="KN983" s="148"/>
      <c r="KO983" s="216"/>
      <c r="KP983" s="185"/>
      <c r="KQ983" s="185"/>
      <c r="KR983" s="148"/>
      <c r="KS983" s="216"/>
      <c r="KT983" s="185"/>
      <c r="KU983" s="185"/>
      <c r="KV983" s="185"/>
      <c r="KW983" s="3"/>
      <c r="KX983" s="3"/>
      <c r="KY983" s="3"/>
      <c r="KZ983" s="3"/>
      <c r="LA983" s="206"/>
      <c r="LB983" s="206"/>
      <c r="LC983" s="206"/>
      <c r="LD983" s="206"/>
      <c r="LE983" s="206"/>
      <c r="LF983" s="206"/>
      <c r="LG983" s="206"/>
      <c r="LH983" s="206"/>
      <c r="LI983" s="206"/>
      <c r="LJ983" s="206"/>
      <c r="LK983" s="206"/>
      <c r="LL983" s="206"/>
      <c r="LM983" s="206"/>
      <c r="LN983" s="185"/>
      <c r="LO983" s="185"/>
      <c r="LP983" s="185"/>
      <c r="LQ983" s="185"/>
      <c r="LR983" s="185"/>
      <c r="LS983" s="185"/>
      <c r="LT983" s="185"/>
      <c r="LU983" s="185"/>
      <c r="LW983" s="2"/>
      <c r="LX983" s="2"/>
      <c r="LY983" s="2"/>
      <c r="LZ983" s="2"/>
      <c r="MA983" s="2"/>
      <c r="ME983" s="2"/>
      <c r="MF983" s="185"/>
      <c r="MG983" s="185"/>
      <c r="MH983" s="185"/>
      <c r="MI983" s="2"/>
      <c r="MJ983" s="2"/>
      <c r="MK983" s="2"/>
      <c r="ML983" s="2"/>
      <c r="MM983" s="2"/>
      <c r="MN983" s="2"/>
      <c r="MO983" s="2"/>
      <c r="MP983" s="2"/>
      <c r="MQ983" s="185"/>
      <c r="MR983" s="185"/>
      <c r="MS983" s="185"/>
      <c r="MT983" s="185"/>
      <c r="MU983" s="185"/>
      <c r="MV983" s="185"/>
      <c r="MW983" s="185"/>
      <c r="MX983" s="185"/>
      <c r="MY983" s="211" t="s">
        <v>1710</v>
      </c>
      <c r="MZ983" s="212">
        <v>16.25</v>
      </c>
      <c r="NI983" s="185"/>
      <c r="NJ983" s="185" t="s">
        <v>1728</v>
      </c>
      <c r="NK983" s="185" t="s">
        <v>1761</v>
      </c>
      <c r="NL983" s="185" t="s">
        <v>1762</v>
      </c>
      <c r="NM983" s="213" t="s">
        <v>1731</v>
      </c>
      <c r="NN983" s="185">
        <v>0</v>
      </c>
      <c r="NO983" s="185">
        <v>20</v>
      </c>
      <c r="NP983" s="185"/>
      <c r="NQ983" s="185"/>
      <c r="NR983" s="185"/>
      <c r="NS983" s="185"/>
      <c r="NT983" s="185"/>
      <c r="NU983" s="185" t="s">
        <v>607</v>
      </c>
      <c r="NV983" s="185" t="s">
        <v>518</v>
      </c>
      <c r="NW983" s="133">
        <v>24.36</v>
      </c>
      <c r="NX983" s="185" t="s">
        <v>480</v>
      </c>
      <c r="NY983" s="147"/>
      <c r="NZ983" s="147"/>
      <c r="OB983" s="185">
        <v>3</v>
      </c>
      <c r="OD983" s="185"/>
      <c r="OE983" s="185"/>
      <c r="OF983" s="185"/>
      <c r="OG983" s="185"/>
      <c r="OH983" s="185"/>
      <c r="OI983" s="185"/>
      <c r="OJ983" s="185"/>
      <c r="OK983" s="185"/>
      <c r="OL983" s="185"/>
      <c r="OM983" s="185"/>
      <c r="ON983" s="185"/>
      <c r="OO983" s="185"/>
      <c r="OP983" s="185"/>
      <c r="OQ983" s="185"/>
      <c r="OR983" s="185"/>
      <c r="OS983" s="185"/>
      <c r="OT983" s="185"/>
      <c r="OU983" t="s">
        <v>1763</v>
      </c>
      <c r="OV983" s="185" t="s">
        <v>518</v>
      </c>
      <c r="OX983">
        <v>2021</v>
      </c>
      <c r="OY983">
        <v>2022</v>
      </c>
      <c r="PB983" t="s">
        <v>522</v>
      </c>
      <c r="PC983" s="50">
        <v>46148</v>
      </c>
    </row>
    <row r="984" spans="1:419" ht="16.5">
      <c r="A984" s="205" t="s">
        <v>861</v>
      </c>
      <c r="B984" s="2" t="s">
        <v>1700</v>
      </c>
      <c r="C984" s="2" t="s">
        <v>1387</v>
      </c>
      <c r="D984" s="88" t="s">
        <v>668</v>
      </c>
      <c r="E984" s="2" t="s">
        <v>1701</v>
      </c>
      <c r="F984" s="88" t="s">
        <v>1702</v>
      </c>
      <c r="G984" s="2" t="s">
        <v>475</v>
      </c>
      <c r="H984" s="2" t="s">
        <v>476</v>
      </c>
      <c r="I984" s="88">
        <v>-11.474220000000001</v>
      </c>
      <c r="J984" s="88" t="s">
        <v>1703</v>
      </c>
      <c r="K984" s="88">
        <v>1000</v>
      </c>
      <c r="L984" s="2"/>
      <c r="M984" s="88"/>
      <c r="N984" s="2"/>
      <c r="O984" s="2"/>
      <c r="P984" s="2"/>
      <c r="Q984" s="2"/>
      <c r="R984" s="2"/>
      <c r="S984" s="2"/>
      <c r="T984" s="2"/>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c r="AV984" s="2" t="s">
        <v>1704</v>
      </c>
      <c r="AW984" s="2">
        <v>28</v>
      </c>
      <c r="AX984" s="2" t="s">
        <v>480</v>
      </c>
      <c r="AY984" s="2">
        <v>2</v>
      </c>
      <c r="AZ984" s="185" t="s">
        <v>1705</v>
      </c>
      <c r="BA984" s="185">
        <v>2020</v>
      </c>
      <c r="BB984" s="185">
        <v>2022</v>
      </c>
      <c r="BC984" s="185"/>
      <c r="BD984" s="185" t="s">
        <v>1760</v>
      </c>
      <c r="BE984" s="185" t="s">
        <v>636</v>
      </c>
      <c r="BF984" s="185" t="s">
        <v>484</v>
      </c>
      <c r="BG984" s="185" t="s">
        <v>1707</v>
      </c>
      <c r="BH984" s="185" t="s">
        <v>1708</v>
      </c>
      <c r="BI984" s="206" t="s">
        <v>1709</v>
      </c>
      <c r="BJ984" s="207">
        <v>4.4000000000000004</v>
      </c>
      <c r="BK984" s="185" t="s">
        <v>537</v>
      </c>
      <c r="BL984" s="185" t="s">
        <v>538</v>
      </c>
      <c r="BM984" s="185" t="s">
        <v>1713</v>
      </c>
      <c r="BN984" s="206" t="s">
        <v>1709</v>
      </c>
      <c r="BO984" s="207">
        <v>13.3</v>
      </c>
      <c r="BP984" s="185"/>
      <c r="BQ984" s="185"/>
      <c r="BR984" s="185"/>
      <c r="BS984" s="185"/>
      <c r="BT984" s="185"/>
      <c r="BU984" s="185"/>
      <c r="BV984" s="3"/>
      <c r="BW984" s="3"/>
      <c r="BX984" s="3"/>
      <c r="BY984" s="3"/>
      <c r="BZ984" s="3"/>
      <c r="CA984" s="3"/>
      <c r="CB984" s="3"/>
      <c r="CC984" s="3"/>
      <c r="CD984" s="3"/>
      <c r="CE984" s="3"/>
      <c r="CF984" s="3"/>
      <c r="CG984" s="3"/>
      <c r="CH984" s="3"/>
      <c r="CI984" s="3"/>
      <c r="CJ984" s="3"/>
      <c r="CK984" s="3"/>
      <c r="CL984" s="3"/>
      <c r="CM984" s="3"/>
      <c r="CN984" s="3"/>
      <c r="CO984" s="3"/>
      <c r="CP984" s="3"/>
      <c r="CQ984" s="3"/>
      <c r="CR984" s="3"/>
      <c r="CS984" s="3"/>
      <c r="CT984" s="3"/>
      <c r="CU984" s="3"/>
      <c r="CV984" s="3"/>
      <c r="CW984" s="3"/>
      <c r="CX984" s="3"/>
      <c r="CY984" s="3"/>
      <c r="CZ984" s="3"/>
      <c r="DA984" s="3"/>
      <c r="DB984" s="3"/>
      <c r="DC984" s="3"/>
      <c r="DD984" s="3"/>
      <c r="DE984" s="3"/>
      <c r="DF984" s="3"/>
      <c r="DG984" s="3"/>
      <c r="DH984" s="3"/>
      <c r="DI984" s="3"/>
      <c r="DJ984" s="3"/>
      <c r="DK984" s="3"/>
      <c r="DL984" s="3"/>
      <c r="DM984" s="3"/>
      <c r="DN984" s="3"/>
      <c r="DO984" s="3"/>
      <c r="DP984" s="3"/>
      <c r="DQ984" s="3"/>
      <c r="DR984" s="3"/>
      <c r="DS984" s="3"/>
      <c r="DT984" s="3"/>
      <c r="DU984" s="3"/>
      <c r="DV984" s="3"/>
      <c r="DW984" s="3"/>
      <c r="DX984" s="3"/>
      <c r="DY984" s="3"/>
      <c r="DZ984" s="3"/>
      <c r="EA984" s="3"/>
      <c r="EB984" s="3"/>
      <c r="EC984" s="3"/>
      <c r="ED984" s="2"/>
      <c r="EE984" s="185"/>
      <c r="EF984" s="185"/>
      <c r="EG984" s="185"/>
      <c r="EH984" s="185"/>
      <c r="EI984" s="185"/>
      <c r="EJ984" s="185"/>
      <c r="EK984" s="185"/>
      <c r="EL984" s="3"/>
      <c r="EM984" s="3"/>
      <c r="EN984" s="3"/>
      <c r="EO984" s="3"/>
      <c r="EP984" s="3"/>
      <c r="EQ984" s="3"/>
      <c r="ER984" s="3"/>
      <c r="ES984" s="3"/>
      <c r="ET984" s="3"/>
      <c r="EU984" s="3"/>
      <c r="EV984" s="3"/>
      <c r="EW984" s="3"/>
      <c r="EX984" s="3"/>
      <c r="EY984" s="3"/>
      <c r="EZ984" s="3"/>
      <c r="FA984" s="3"/>
      <c r="FB984" s="3"/>
      <c r="FC984" s="3"/>
      <c r="FD984" s="3"/>
      <c r="FE984" s="3"/>
      <c r="FF984" s="3"/>
      <c r="FG984" s="3"/>
      <c r="FH984" s="3"/>
      <c r="FI984" s="3"/>
      <c r="FJ984" s="3"/>
      <c r="FK984" s="3"/>
      <c r="FL984" s="3"/>
      <c r="FM984" s="3"/>
      <c r="FN984" s="3"/>
      <c r="FO984" s="3"/>
      <c r="FP984" s="3"/>
      <c r="FQ984" s="3"/>
      <c r="FR984" s="3"/>
      <c r="FS984" s="3"/>
      <c r="FT984" s="3"/>
      <c r="FU984" s="3"/>
      <c r="FV984" s="3"/>
      <c r="FW984" s="3"/>
      <c r="FX984" s="3"/>
      <c r="FY984" s="3"/>
      <c r="FZ984" s="3"/>
      <c r="GA984" s="3"/>
      <c r="GB984" s="3"/>
      <c r="GC984" s="3"/>
      <c r="GD984" s="3"/>
      <c r="GE984" s="3"/>
      <c r="GF984" s="3"/>
      <c r="GG984" s="3"/>
      <c r="GH984" s="3"/>
      <c r="GI984" s="3"/>
      <c r="GJ984" s="3"/>
      <c r="GK984" s="3"/>
      <c r="GL984" s="3"/>
      <c r="GM984" s="3"/>
      <c r="GN984" s="3"/>
      <c r="GO984" s="3"/>
      <c r="GP984" s="3"/>
      <c r="GQ984" s="3"/>
      <c r="GR984" s="3"/>
      <c r="GS984" s="3"/>
      <c r="GT984" s="3"/>
      <c r="GU984" s="3"/>
      <c r="GV984" s="3"/>
      <c r="GW984" s="3"/>
      <c r="GX984" s="3"/>
      <c r="GY984" s="3"/>
      <c r="GZ984" s="3"/>
      <c r="HA984" s="3"/>
      <c r="HB984" s="3"/>
      <c r="HC984" s="3"/>
      <c r="HD984" s="3"/>
      <c r="HE984" s="3"/>
      <c r="HF984" s="3"/>
      <c r="HG984" s="3"/>
      <c r="HH984" s="3"/>
      <c r="HI984" s="3"/>
      <c r="HJ984" s="3"/>
      <c r="HK984" s="185" t="s">
        <v>1747</v>
      </c>
      <c r="HL984" s="185" t="s">
        <v>526</v>
      </c>
      <c r="HM984" s="185" t="s">
        <v>480</v>
      </c>
      <c r="HN984" s="185" t="s">
        <v>480</v>
      </c>
      <c r="HO984" s="185" t="s">
        <v>480</v>
      </c>
      <c r="HP984" s="185" t="s">
        <v>480</v>
      </c>
      <c r="HQ984" s="185"/>
      <c r="HR984" s="185"/>
      <c r="HS984" s="206"/>
      <c r="HT984" s="185"/>
      <c r="HU984" s="185"/>
      <c r="HV984" s="185"/>
      <c r="HW984" s="185"/>
      <c r="HX984" s="215"/>
      <c r="HY984" s="185"/>
      <c r="HZ984" s="185"/>
      <c r="IA984" s="185"/>
      <c r="IB984" s="185"/>
      <c r="IC984" s="185"/>
      <c r="ID984" s="185"/>
      <c r="IE984" s="185"/>
      <c r="IF984" s="185"/>
      <c r="IG984" s="185"/>
      <c r="IH984" s="185" t="s">
        <v>1712</v>
      </c>
      <c r="II984" s="148" t="s">
        <v>1714</v>
      </c>
      <c r="IJ984" s="148" t="s">
        <v>542</v>
      </c>
      <c r="IK984" s="210" t="s">
        <v>1715</v>
      </c>
      <c r="IL984" s="185">
        <v>2020</v>
      </c>
      <c r="IM984" s="185"/>
      <c r="IN984" s="185" t="s">
        <v>1716</v>
      </c>
      <c r="IO984" s="185"/>
      <c r="IP984" s="185"/>
      <c r="IQ984" s="185"/>
      <c r="IR984" s="185"/>
      <c r="IS984" s="185"/>
      <c r="IT984" s="185"/>
      <c r="IU984" s="185"/>
      <c r="IV984" s="185"/>
      <c r="IW984" s="185"/>
      <c r="IX984" s="2"/>
      <c r="IY984" s="2"/>
      <c r="IZ984" s="2"/>
      <c r="JA984" s="2"/>
      <c r="JB984" s="2"/>
      <c r="JC984" s="2"/>
      <c r="JD984" s="2"/>
      <c r="JE984" s="2"/>
      <c r="JF984" s="2"/>
      <c r="JG984" s="2"/>
      <c r="JH984" s="2"/>
      <c r="JI984" s="2"/>
      <c r="JJ984" s="2" t="s">
        <v>1727</v>
      </c>
      <c r="JK984" s="2" t="s">
        <v>682</v>
      </c>
      <c r="JL984" s="151"/>
      <c r="JM984" s="140"/>
      <c r="JN984" s="206"/>
      <c r="JO984" s="185"/>
      <c r="JP984" s="206"/>
      <c r="JQ984" s="185"/>
      <c r="JR984" s="185"/>
      <c r="JS984" s="185"/>
      <c r="JT984" s="185"/>
      <c r="JU984" s="185"/>
      <c r="JV984" s="140"/>
      <c r="JW984" s="140"/>
      <c r="JX984" s="206"/>
      <c r="JY984" s="185"/>
      <c r="JZ984" s="206"/>
      <c r="KA984" s="185"/>
      <c r="KB984" s="185"/>
      <c r="KC984" s="185"/>
      <c r="KD984" s="206"/>
      <c r="KE984" s="206"/>
      <c r="KF984" s="148"/>
      <c r="KG984" s="216"/>
      <c r="KH984" s="185"/>
      <c r="KI984" s="185"/>
      <c r="KJ984" s="185"/>
      <c r="KK984" s="185"/>
      <c r="KL984" s="206"/>
      <c r="KM984" s="185"/>
      <c r="KN984" s="148"/>
      <c r="KO984" s="216"/>
      <c r="KP984" s="185"/>
      <c r="KQ984" s="185"/>
      <c r="KR984" s="148"/>
      <c r="KS984" s="216"/>
      <c r="KT984" s="185"/>
      <c r="KU984" s="185"/>
      <c r="KV984" s="185"/>
      <c r="KW984" s="3"/>
      <c r="KX984" s="3"/>
      <c r="KY984" s="3"/>
      <c r="KZ984" s="3"/>
      <c r="LA984" s="206"/>
      <c r="LB984" s="206"/>
      <c r="LC984" s="206"/>
      <c r="LD984" s="206"/>
      <c r="LE984" s="206"/>
      <c r="LF984" s="206"/>
      <c r="LG984" s="206"/>
      <c r="LH984" s="206"/>
      <c r="LI984" s="206"/>
      <c r="LJ984" s="206"/>
      <c r="LK984" s="206"/>
      <c r="LL984" s="206"/>
      <c r="LM984" s="206"/>
      <c r="LN984" s="185"/>
      <c r="LO984" s="185"/>
      <c r="LP984" s="185"/>
      <c r="LQ984" s="185"/>
      <c r="LR984" s="185"/>
      <c r="LS984" s="185"/>
      <c r="LT984" s="185"/>
      <c r="LU984" s="185"/>
      <c r="LW984" s="2"/>
      <c r="LX984" s="2"/>
      <c r="LY984" s="2"/>
      <c r="LZ984" s="2"/>
      <c r="MA984" s="2"/>
      <c r="ME984" s="2"/>
      <c r="MF984" s="185"/>
      <c r="MG984" s="185"/>
      <c r="MH984" s="185"/>
      <c r="MI984" s="2"/>
      <c r="MJ984" s="2"/>
      <c r="MK984" s="2"/>
      <c r="ML984" s="2"/>
      <c r="MM984" s="2"/>
      <c r="MN984" s="2"/>
      <c r="MO984" s="2"/>
      <c r="MP984" s="2"/>
      <c r="MQ984" s="185"/>
      <c r="MR984" s="185"/>
      <c r="MS984" s="185"/>
      <c r="MT984" s="185"/>
      <c r="MU984" s="185"/>
      <c r="MV984" s="185"/>
      <c r="MW984" s="185"/>
      <c r="MX984" s="185"/>
      <c r="MY984" s="211" t="s">
        <v>1710</v>
      </c>
      <c r="MZ984" s="212">
        <v>16.25</v>
      </c>
      <c r="NI984" s="185"/>
      <c r="NJ984" s="185" t="s">
        <v>1728</v>
      </c>
      <c r="NK984" s="185" t="s">
        <v>1761</v>
      </c>
      <c r="NL984" s="185" t="s">
        <v>1762</v>
      </c>
      <c r="NM984" s="213" t="s">
        <v>1731</v>
      </c>
      <c r="NN984" s="185">
        <v>0</v>
      </c>
      <c r="NO984" s="185">
        <v>20</v>
      </c>
      <c r="NP984" s="185"/>
      <c r="NQ984" s="185"/>
      <c r="NR984" s="185"/>
      <c r="NS984" s="185"/>
      <c r="NT984" s="185"/>
      <c r="NU984" s="185" t="s">
        <v>611</v>
      </c>
      <c r="NV984" s="185" t="s">
        <v>518</v>
      </c>
      <c r="NW984" s="133">
        <v>24.26</v>
      </c>
      <c r="NX984" s="185" t="s">
        <v>480</v>
      </c>
      <c r="NY984" s="147"/>
      <c r="NZ984" s="147"/>
      <c r="OB984" s="185">
        <v>3</v>
      </c>
      <c r="OC984" s="185"/>
      <c r="OD984" s="185"/>
      <c r="OE984" s="185"/>
      <c r="OF984" s="185"/>
      <c r="OG984" s="185"/>
      <c r="OH984" s="185"/>
      <c r="OI984" s="185"/>
      <c r="OJ984" s="185"/>
      <c r="OK984" s="185"/>
      <c r="OL984" s="185"/>
      <c r="OM984" s="185"/>
      <c r="ON984" s="185"/>
      <c r="OO984" s="185"/>
      <c r="OP984" s="185"/>
      <c r="OQ984" s="185"/>
      <c r="OR984" s="185"/>
      <c r="OS984" s="185"/>
      <c r="OT984" s="185"/>
      <c r="OU984" t="s">
        <v>1763</v>
      </c>
      <c r="OV984" s="185" t="s">
        <v>518</v>
      </c>
      <c r="OX984">
        <v>2021</v>
      </c>
      <c r="OY984">
        <v>2022</v>
      </c>
      <c r="PB984" t="s">
        <v>522</v>
      </c>
      <c r="PC984" s="50">
        <v>46148</v>
      </c>
    </row>
    <row r="985" spans="1:419">
      <c r="EI985" s="9"/>
      <c r="EJ985" s="9"/>
      <c r="EK985" s="9"/>
      <c r="EL985" s="9"/>
      <c r="EM985" s="9"/>
      <c r="EN985" s="9"/>
      <c r="EO985" s="9"/>
      <c r="EP985" s="9"/>
      <c r="EQ985" s="9"/>
      <c r="ER985" s="9"/>
      <c r="ES985" s="9"/>
      <c r="ET985" s="9"/>
      <c r="EU985" s="9"/>
      <c r="EV985" s="9"/>
      <c r="EW985" s="9"/>
      <c r="EX985" s="9"/>
      <c r="EY985" s="9"/>
      <c r="EZ985" s="9"/>
      <c r="FA985" s="9"/>
      <c r="FB985" s="9"/>
      <c r="FC985" s="9"/>
      <c r="FD985" s="9"/>
      <c r="FE985" s="9"/>
      <c r="FF985" s="9"/>
      <c r="FG985" s="9"/>
      <c r="FH985" s="9"/>
      <c r="FI985" s="9"/>
      <c r="FJ985" s="9"/>
      <c r="FK985" s="9"/>
      <c r="FL985" s="9"/>
      <c r="FM985" s="9"/>
      <c r="FN985" s="9"/>
      <c r="FO985" s="9"/>
      <c r="FP985" s="9"/>
      <c r="FQ985" s="9"/>
      <c r="FR985" s="9"/>
      <c r="FS985" s="9"/>
      <c r="FT985" s="9"/>
      <c r="FU985" s="9"/>
      <c r="FV985" s="9"/>
      <c r="FW985" s="9"/>
      <c r="FX985" s="9"/>
      <c r="FY985" s="9"/>
      <c r="FZ985" s="9"/>
      <c r="GA985" s="9"/>
      <c r="GB985" s="9"/>
      <c r="GC985" s="9"/>
      <c r="GD985" s="9"/>
      <c r="GE985" s="9"/>
      <c r="GF985" s="9"/>
      <c r="GG985" s="9"/>
      <c r="GH985" s="9"/>
      <c r="GI985" s="9"/>
      <c r="GJ985" s="9"/>
      <c r="GK985" s="9"/>
      <c r="GL985" s="9"/>
      <c r="GM985" s="9"/>
      <c r="GN985" s="9"/>
      <c r="GO985" s="9"/>
      <c r="GP985" s="9"/>
      <c r="GQ985" s="9"/>
      <c r="GR985" s="9"/>
      <c r="GS985" s="9"/>
      <c r="GT985" s="9"/>
      <c r="GU985" s="9"/>
      <c r="GV985" s="9"/>
      <c r="GW985" s="9"/>
      <c r="GX985" s="9"/>
      <c r="GY985" s="9"/>
      <c r="GZ985" s="9"/>
      <c r="HA985" s="9"/>
      <c r="HB985" s="9"/>
      <c r="HC985" s="9"/>
      <c r="HD985" s="9"/>
      <c r="HE985" s="9"/>
      <c r="HF985" s="9"/>
      <c r="HG985" s="9"/>
      <c r="HH985" s="9"/>
      <c r="HI985" s="9"/>
      <c r="HJ985" s="9"/>
      <c r="HK985" s="9"/>
      <c r="HL985" s="9"/>
      <c r="HY985" s="50"/>
    </row>
    <row r="986" spans="1:419">
      <c r="EI986" s="9"/>
      <c r="EJ986" s="9"/>
      <c r="EK986" s="9"/>
      <c r="EL986" s="9"/>
      <c r="EM986" s="9"/>
      <c r="EN986" s="9"/>
      <c r="EO986" s="9"/>
      <c r="EP986" s="9"/>
      <c r="EQ986" s="9"/>
      <c r="ER986" s="9"/>
      <c r="ES986" s="9"/>
      <c r="ET986" s="9"/>
      <c r="EU986" s="9"/>
      <c r="EV986" s="9"/>
      <c r="EW986" s="9"/>
      <c r="EX986" s="9"/>
      <c r="EY986" s="9"/>
      <c r="EZ986" s="9"/>
      <c r="FA986" s="9"/>
      <c r="FB986" s="9"/>
      <c r="FC986" s="9"/>
      <c r="FD986" s="9"/>
      <c r="FE986" s="9"/>
      <c r="FF986" s="9"/>
      <c r="FG986" s="9"/>
      <c r="FH986" s="9"/>
      <c r="FI986" s="9"/>
      <c r="FJ986" s="9"/>
      <c r="FK986" s="9"/>
      <c r="FL986" s="9"/>
      <c r="FM986" s="9"/>
      <c r="FN986" s="9"/>
      <c r="FO986" s="9"/>
      <c r="FP986" s="9"/>
      <c r="FQ986" s="9"/>
      <c r="FR986" s="9"/>
      <c r="FS986" s="9"/>
      <c r="FT986" s="9"/>
      <c r="FU986" s="9"/>
      <c r="FV986" s="9"/>
      <c r="FW986" s="9"/>
      <c r="FX986" s="9"/>
      <c r="FY986" s="9"/>
      <c r="FZ986" s="9"/>
      <c r="GA986" s="9"/>
      <c r="GB986" s="9"/>
      <c r="GC986" s="9"/>
      <c r="GD986" s="9"/>
      <c r="GE986" s="9"/>
      <c r="GF986" s="9"/>
      <c r="GG986" s="9"/>
      <c r="GH986" s="9"/>
      <c r="GI986" s="9"/>
      <c r="GJ986" s="9"/>
      <c r="GK986" s="9"/>
      <c r="GL986" s="9"/>
      <c r="GM986" s="9"/>
      <c r="GN986" s="9"/>
      <c r="GO986" s="9"/>
      <c r="GP986" s="9"/>
      <c r="GQ986" s="9"/>
      <c r="GR986" s="9"/>
      <c r="GS986" s="9"/>
      <c r="GT986" s="9"/>
      <c r="GU986" s="9"/>
      <c r="GV986" s="9"/>
      <c r="GW986" s="9"/>
      <c r="GX986" s="9"/>
      <c r="GY986" s="9"/>
      <c r="GZ986" s="9"/>
      <c r="HA986" s="9"/>
      <c r="HB986" s="9"/>
      <c r="HC986" s="9"/>
      <c r="HD986" s="9"/>
      <c r="HE986" s="9"/>
      <c r="HF986" s="9"/>
      <c r="HG986" s="9"/>
      <c r="HH986" s="9"/>
      <c r="HI986" s="9"/>
      <c r="HJ986" s="9"/>
      <c r="HK986" s="9"/>
      <c r="HL986" s="9"/>
      <c r="HY986" s="50"/>
    </row>
    <row r="987" spans="1:419">
      <c r="EI987" s="9"/>
      <c r="EJ987" s="9"/>
      <c r="EK987" s="9"/>
      <c r="EL987" s="9"/>
      <c r="EM987" s="9"/>
      <c r="EN987" s="9"/>
      <c r="EO987" s="9"/>
      <c r="EP987" s="9"/>
      <c r="EQ987" s="9"/>
      <c r="ER987" s="9"/>
      <c r="ES987" s="9"/>
      <c r="ET987" s="9"/>
      <c r="EU987" s="9"/>
      <c r="EV987" s="9"/>
      <c r="EW987" s="9"/>
      <c r="EX987" s="9"/>
      <c r="EY987" s="9"/>
      <c r="EZ987" s="9"/>
      <c r="FA987" s="9"/>
      <c r="FB987" s="9"/>
      <c r="FC987" s="9"/>
      <c r="FD987" s="9"/>
      <c r="FE987" s="9"/>
      <c r="FF987" s="9"/>
      <c r="FG987" s="9"/>
      <c r="FH987" s="9"/>
      <c r="FI987" s="9"/>
      <c r="FJ987" s="9"/>
      <c r="FK987" s="9"/>
      <c r="FL987" s="9"/>
      <c r="FM987" s="9"/>
      <c r="FN987" s="9"/>
      <c r="FO987" s="9"/>
      <c r="FP987" s="9"/>
      <c r="FQ987" s="9"/>
      <c r="FR987" s="9"/>
      <c r="FS987" s="9"/>
      <c r="FT987" s="9"/>
      <c r="FU987" s="9"/>
      <c r="FV987" s="9"/>
      <c r="FW987" s="9"/>
      <c r="FX987" s="9"/>
      <c r="FY987" s="9"/>
      <c r="FZ987" s="9"/>
      <c r="GA987" s="9"/>
      <c r="GB987" s="9"/>
      <c r="GC987" s="9"/>
      <c r="GD987" s="9"/>
      <c r="GE987" s="9"/>
      <c r="GF987" s="9"/>
      <c r="GG987" s="9"/>
      <c r="GH987" s="9"/>
      <c r="GI987" s="9"/>
      <c r="GJ987" s="9"/>
      <c r="GK987" s="9"/>
      <c r="GL987" s="9"/>
      <c r="GM987" s="9"/>
      <c r="GN987" s="9"/>
      <c r="GO987" s="9"/>
      <c r="GP987" s="9"/>
      <c r="GQ987" s="9"/>
      <c r="GR987" s="9"/>
      <c r="GS987" s="9"/>
      <c r="GT987" s="9"/>
      <c r="GU987" s="9"/>
      <c r="GV987" s="9"/>
      <c r="GW987" s="9"/>
      <c r="GX987" s="9"/>
      <c r="GY987" s="9"/>
      <c r="GZ987" s="9"/>
      <c r="HA987" s="9"/>
      <c r="HB987" s="9"/>
      <c r="HC987" s="9"/>
      <c r="HD987" s="9"/>
      <c r="HE987" s="9"/>
      <c r="HF987" s="9"/>
      <c r="HG987" s="9"/>
      <c r="HH987" s="9"/>
      <c r="HI987" s="9"/>
      <c r="HJ987" s="9"/>
      <c r="HK987" s="9"/>
      <c r="HL987" s="9"/>
      <c r="HY987" s="50"/>
    </row>
    <row r="988" spans="1:419">
      <c r="EI988" s="9"/>
      <c r="EJ988" s="9"/>
      <c r="EK988" s="9"/>
      <c r="EL988" s="9"/>
      <c r="EM988" s="9"/>
      <c r="EN988" s="9"/>
      <c r="EO988" s="9"/>
      <c r="EP988" s="9"/>
      <c r="EQ988" s="9"/>
      <c r="ER988" s="9"/>
      <c r="ES988" s="9"/>
      <c r="ET988" s="9"/>
      <c r="EU988" s="9"/>
      <c r="EV988" s="9"/>
      <c r="EW988" s="9"/>
      <c r="EX988" s="9"/>
      <c r="EY988" s="9"/>
      <c r="EZ988" s="9"/>
      <c r="FA988" s="9"/>
      <c r="FB988" s="9"/>
      <c r="FC988" s="9"/>
      <c r="FD988" s="9"/>
      <c r="FE988" s="9"/>
      <c r="FF988" s="9"/>
      <c r="FG988" s="9"/>
      <c r="FH988" s="9"/>
      <c r="FI988" s="9"/>
      <c r="FJ988" s="9"/>
      <c r="FK988" s="9"/>
      <c r="FL988" s="9"/>
      <c r="FM988" s="9"/>
      <c r="FN988" s="9"/>
      <c r="FO988" s="9"/>
      <c r="FP988" s="9"/>
      <c r="FQ988" s="9"/>
      <c r="FR988" s="9"/>
      <c r="FS988" s="9"/>
      <c r="FT988" s="9"/>
      <c r="FU988" s="9"/>
      <c r="FV988" s="9"/>
      <c r="FW988" s="9"/>
      <c r="FX988" s="9"/>
      <c r="FY988" s="9"/>
      <c r="FZ988" s="9"/>
      <c r="GA988" s="9"/>
      <c r="GB988" s="9"/>
      <c r="GC988" s="9"/>
      <c r="GD988" s="9"/>
      <c r="GE988" s="9"/>
      <c r="GF988" s="9"/>
      <c r="GG988" s="9"/>
      <c r="GH988" s="9"/>
      <c r="GI988" s="9"/>
      <c r="GJ988" s="9"/>
      <c r="GK988" s="9"/>
      <c r="GL988" s="9"/>
      <c r="GM988" s="9"/>
      <c r="GN988" s="9"/>
      <c r="GO988" s="9"/>
      <c r="GP988" s="9"/>
      <c r="GQ988" s="9"/>
      <c r="GR988" s="9"/>
      <c r="GS988" s="9"/>
      <c r="GT988" s="9"/>
      <c r="GU988" s="9"/>
      <c r="GV988" s="9"/>
      <c r="GW988" s="9"/>
      <c r="GX988" s="9"/>
      <c r="GY988" s="9"/>
      <c r="GZ988" s="9"/>
      <c r="HA988" s="9"/>
      <c r="HB988" s="9"/>
      <c r="HC988" s="9"/>
      <c r="HD988" s="9"/>
      <c r="HE988" s="9"/>
      <c r="HF988" s="9"/>
      <c r="HG988" s="9"/>
      <c r="HH988" s="9"/>
      <c r="HI988" s="9"/>
      <c r="HJ988" s="9"/>
      <c r="HK988" s="9"/>
      <c r="HL988" s="9"/>
      <c r="HY988" s="50"/>
    </row>
    <row r="989" spans="1:419">
      <c r="EI989" s="9"/>
      <c r="EJ989" s="9"/>
      <c r="EK989" s="9"/>
      <c r="EL989" s="9"/>
      <c r="EM989" s="9"/>
      <c r="EN989" s="9"/>
      <c r="EO989" s="9"/>
      <c r="EP989" s="9"/>
      <c r="EQ989" s="9"/>
      <c r="ER989" s="9"/>
      <c r="ES989" s="9"/>
      <c r="ET989" s="9"/>
      <c r="EU989" s="9"/>
      <c r="EV989" s="9"/>
      <c r="EW989" s="9"/>
      <c r="EX989" s="9"/>
      <c r="EY989" s="9"/>
      <c r="EZ989" s="9"/>
      <c r="FA989" s="9"/>
      <c r="FB989" s="9"/>
      <c r="FC989" s="9"/>
      <c r="FD989" s="9"/>
      <c r="FE989" s="9"/>
      <c r="FF989" s="9"/>
      <c r="FG989" s="9"/>
      <c r="FH989" s="9"/>
      <c r="FI989" s="9"/>
      <c r="FJ989" s="9"/>
      <c r="FK989" s="9"/>
      <c r="FL989" s="9"/>
      <c r="FM989" s="9"/>
      <c r="FN989" s="9"/>
      <c r="FO989" s="9"/>
      <c r="FP989" s="9"/>
      <c r="FQ989" s="9"/>
      <c r="FR989" s="9"/>
      <c r="FS989" s="9"/>
      <c r="FT989" s="9"/>
      <c r="FU989" s="9"/>
      <c r="FV989" s="9"/>
      <c r="FW989" s="9"/>
      <c r="FX989" s="9"/>
      <c r="FY989" s="9"/>
      <c r="FZ989" s="9"/>
      <c r="GA989" s="9"/>
      <c r="GB989" s="9"/>
      <c r="GC989" s="9"/>
      <c r="GD989" s="9"/>
      <c r="GE989" s="9"/>
      <c r="GF989" s="9"/>
      <c r="GG989" s="9"/>
      <c r="GH989" s="9"/>
      <c r="GI989" s="9"/>
      <c r="GJ989" s="9"/>
      <c r="GK989" s="9"/>
      <c r="GL989" s="9"/>
      <c r="GM989" s="9"/>
      <c r="GN989" s="9"/>
      <c r="GO989" s="9"/>
      <c r="GP989" s="9"/>
      <c r="GQ989" s="9"/>
      <c r="GR989" s="9"/>
      <c r="GS989" s="9"/>
      <c r="GT989" s="9"/>
      <c r="GU989" s="9"/>
      <c r="GV989" s="9"/>
      <c r="GW989" s="9"/>
      <c r="GX989" s="9"/>
      <c r="GY989" s="9"/>
      <c r="GZ989" s="9"/>
      <c r="HA989" s="9"/>
      <c r="HB989" s="9"/>
      <c r="HC989" s="9"/>
      <c r="HD989" s="9"/>
      <c r="HE989" s="9"/>
      <c r="HF989" s="9"/>
      <c r="HG989" s="9"/>
      <c r="HH989" s="9"/>
      <c r="HI989" s="9"/>
      <c r="HJ989" s="9"/>
      <c r="HK989" s="9"/>
      <c r="HL989" s="9"/>
      <c r="HY989" s="50"/>
    </row>
    <row r="990" spans="1:419">
      <c r="EI990" s="9"/>
      <c r="EJ990" s="9"/>
      <c r="EK990" s="9"/>
      <c r="EL990" s="9"/>
      <c r="EM990" s="9"/>
      <c r="EN990" s="9"/>
      <c r="EO990" s="9"/>
      <c r="EP990" s="9"/>
      <c r="EQ990" s="9"/>
      <c r="ER990" s="9"/>
      <c r="ES990" s="9"/>
      <c r="ET990" s="9"/>
      <c r="EU990" s="9"/>
      <c r="EV990" s="9"/>
      <c r="EW990" s="9"/>
      <c r="EX990" s="9"/>
      <c r="EY990" s="9"/>
      <c r="EZ990" s="9"/>
      <c r="FA990" s="9"/>
      <c r="FB990" s="9"/>
      <c r="FC990" s="9"/>
      <c r="FD990" s="9"/>
      <c r="FE990" s="9"/>
      <c r="FF990" s="9"/>
      <c r="FG990" s="9"/>
      <c r="FH990" s="9"/>
      <c r="FI990" s="9"/>
      <c r="FJ990" s="9"/>
      <c r="FK990" s="9"/>
      <c r="FL990" s="9"/>
      <c r="FM990" s="9"/>
      <c r="FN990" s="9"/>
      <c r="FO990" s="9"/>
      <c r="FP990" s="9"/>
      <c r="FQ990" s="9"/>
      <c r="FR990" s="9"/>
      <c r="FS990" s="9"/>
      <c r="FT990" s="9"/>
      <c r="FU990" s="9"/>
      <c r="FV990" s="9"/>
      <c r="FW990" s="9"/>
      <c r="FX990" s="9"/>
      <c r="FY990" s="9"/>
      <c r="FZ990" s="9"/>
      <c r="GA990" s="9"/>
      <c r="GB990" s="9"/>
      <c r="GC990" s="9"/>
      <c r="GD990" s="9"/>
      <c r="GE990" s="9"/>
      <c r="GF990" s="9"/>
      <c r="GG990" s="9"/>
      <c r="GH990" s="9"/>
      <c r="GI990" s="9"/>
      <c r="GJ990" s="9"/>
      <c r="GK990" s="9"/>
      <c r="GL990" s="9"/>
      <c r="GM990" s="9"/>
      <c r="GN990" s="9"/>
      <c r="GO990" s="9"/>
      <c r="GP990" s="9"/>
      <c r="GQ990" s="9"/>
      <c r="GR990" s="9"/>
      <c r="GS990" s="9"/>
      <c r="GT990" s="9"/>
      <c r="GU990" s="9"/>
      <c r="GV990" s="9"/>
      <c r="GW990" s="9"/>
      <c r="GX990" s="9"/>
      <c r="GY990" s="9"/>
      <c r="GZ990" s="9"/>
      <c r="HA990" s="9"/>
      <c r="HB990" s="9"/>
      <c r="HC990" s="9"/>
      <c r="HD990" s="9"/>
      <c r="HE990" s="9"/>
      <c r="HF990" s="9"/>
      <c r="HG990" s="9"/>
      <c r="HH990" s="9"/>
      <c r="HI990" s="9"/>
      <c r="HJ990" s="9"/>
      <c r="HK990" s="9"/>
      <c r="HL990" s="9"/>
      <c r="HY990" s="50"/>
    </row>
    <row r="991" spans="1:419">
      <c r="EI991" s="9"/>
      <c r="EJ991" s="9"/>
      <c r="EK991" s="9"/>
      <c r="EL991" s="9"/>
      <c r="EM991" s="9"/>
      <c r="EN991" s="9"/>
      <c r="EO991" s="9"/>
      <c r="EP991" s="9"/>
      <c r="EQ991" s="9"/>
      <c r="ER991" s="9"/>
      <c r="ES991" s="9"/>
      <c r="ET991" s="9"/>
      <c r="EU991" s="9"/>
      <c r="EV991" s="9"/>
      <c r="EW991" s="9"/>
      <c r="EX991" s="9"/>
      <c r="EY991" s="9"/>
      <c r="EZ991" s="9"/>
      <c r="FA991" s="9"/>
      <c r="FB991" s="9"/>
      <c r="FC991" s="9"/>
      <c r="FD991" s="9"/>
      <c r="FE991" s="9"/>
      <c r="FF991" s="9"/>
      <c r="FG991" s="9"/>
      <c r="FH991" s="9"/>
      <c r="FI991" s="9"/>
      <c r="FJ991" s="9"/>
      <c r="FK991" s="9"/>
      <c r="FL991" s="9"/>
      <c r="FM991" s="9"/>
      <c r="FN991" s="9"/>
      <c r="FO991" s="9"/>
      <c r="FP991" s="9"/>
      <c r="FQ991" s="9"/>
      <c r="FR991" s="9"/>
      <c r="FS991" s="9"/>
      <c r="FT991" s="9"/>
      <c r="FU991" s="9"/>
      <c r="FV991" s="9"/>
      <c r="FW991" s="9"/>
      <c r="FX991" s="9"/>
      <c r="FY991" s="9"/>
      <c r="FZ991" s="9"/>
      <c r="GA991" s="9"/>
      <c r="GB991" s="9"/>
      <c r="GC991" s="9"/>
      <c r="GD991" s="9"/>
      <c r="GE991" s="9"/>
      <c r="GF991" s="9"/>
      <c r="GG991" s="9"/>
      <c r="GH991" s="9"/>
      <c r="GI991" s="9"/>
      <c r="GJ991" s="9"/>
      <c r="GK991" s="9"/>
      <c r="GL991" s="9"/>
      <c r="GM991" s="9"/>
      <c r="GN991" s="9"/>
      <c r="GO991" s="9"/>
      <c r="GP991" s="9"/>
      <c r="GQ991" s="9"/>
      <c r="GR991" s="9"/>
      <c r="GS991" s="9"/>
      <c r="GT991" s="9"/>
      <c r="GU991" s="9"/>
      <c r="GV991" s="9"/>
      <c r="GW991" s="9"/>
      <c r="GX991" s="9"/>
      <c r="GY991" s="9"/>
      <c r="GZ991" s="9"/>
      <c r="HA991" s="9"/>
      <c r="HB991" s="9"/>
      <c r="HC991" s="9"/>
      <c r="HD991" s="9"/>
      <c r="HE991" s="9"/>
      <c r="HF991" s="9"/>
      <c r="HG991" s="9"/>
      <c r="HH991" s="9"/>
      <c r="HI991" s="9"/>
      <c r="HJ991" s="9"/>
      <c r="HK991" s="9"/>
      <c r="HL991" s="9"/>
      <c r="HY991" s="50"/>
    </row>
    <row r="992" spans="1:419">
      <c r="EI992" s="9"/>
      <c r="EJ992" s="9"/>
      <c r="EK992" s="9"/>
      <c r="EL992" s="9"/>
      <c r="EM992" s="9"/>
      <c r="EN992" s="9"/>
      <c r="EO992" s="9"/>
      <c r="EP992" s="9"/>
      <c r="EQ992" s="9"/>
      <c r="ER992" s="9"/>
      <c r="ES992" s="9"/>
      <c r="ET992" s="9"/>
      <c r="EU992" s="9"/>
      <c r="EV992" s="9"/>
      <c r="EW992" s="9"/>
      <c r="EX992" s="9"/>
      <c r="EY992" s="9"/>
      <c r="EZ992" s="9"/>
      <c r="FA992" s="9"/>
      <c r="FB992" s="9"/>
      <c r="FC992" s="9"/>
      <c r="FD992" s="9"/>
      <c r="FE992" s="9"/>
      <c r="FF992" s="9"/>
      <c r="FG992" s="9"/>
      <c r="FH992" s="9"/>
      <c r="FI992" s="9"/>
      <c r="FJ992" s="9"/>
      <c r="FK992" s="9"/>
      <c r="FL992" s="9"/>
      <c r="FM992" s="9"/>
      <c r="FN992" s="9"/>
      <c r="FO992" s="9"/>
      <c r="FP992" s="9"/>
      <c r="FQ992" s="9"/>
      <c r="FR992" s="9"/>
      <c r="FS992" s="9"/>
      <c r="FT992" s="9"/>
      <c r="FU992" s="9"/>
      <c r="FV992" s="9"/>
      <c r="FW992" s="9"/>
      <c r="FX992" s="9"/>
      <c r="FY992" s="9"/>
      <c r="FZ992" s="9"/>
      <c r="GA992" s="9"/>
      <c r="GB992" s="9"/>
      <c r="GC992" s="9"/>
      <c r="GD992" s="9"/>
      <c r="GE992" s="9"/>
      <c r="GF992" s="9"/>
      <c r="GG992" s="9"/>
      <c r="GH992" s="9"/>
      <c r="GI992" s="9"/>
      <c r="GJ992" s="9"/>
      <c r="GK992" s="9"/>
      <c r="GL992" s="9"/>
      <c r="GM992" s="9"/>
      <c r="GN992" s="9"/>
      <c r="GO992" s="9"/>
      <c r="GP992" s="9"/>
      <c r="GQ992" s="9"/>
      <c r="GR992" s="9"/>
      <c r="GS992" s="9"/>
      <c r="GT992" s="9"/>
      <c r="GU992" s="9"/>
      <c r="GV992" s="9"/>
      <c r="GW992" s="9"/>
      <c r="GX992" s="9"/>
      <c r="GY992" s="9"/>
      <c r="GZ992" s="9"/>
      <c r="HA992" s="9"/>
      <c r="HB992" s="9"/>
      <c r="HC992" s="9"/>
      <c r="HD992" s="9"/>
      <c r="HE992" s="9"/>
      <c r="HF992" s="9"/>
      <c r="HG992" s="9"/>
      <c r="HH992" s="9"/>
      <c r="HI992" s="9"/>
      <c r="HJ992" s="9"/>
      <c r="HK992" s="9"/>
      <c r="HL992" s="9"/>
      <c r="HY992" s="50"/>
    </row>
    <row r="993" spans="139:233">
      <c r="EI993" s="9"/>
      <c r="EJ993" s="9"/>
      <c r="EK993" s="9"/>
      <c r="EL993" s="9"/>
      <c r="EM993" s="9"/>
      <c r="EN993" s="9"/>
      <c r="EO993" s="9"/>
      <c r="EP993" s="9"/>
      <c r="EQ993" s="9"/>
      <c r="ER993" s="9"/>
      <c r="ES993" s="9"/>
      <c r="ET993" s="9"/>
      <c r="EU993" s="9"/>
      <c r="EV993" s="9"/>
      <c r="EW993" s="9"/>
      <c r="EX993" s="9"/>
      <c r="EY993" s="9"/>
      <c r="EZ993" s="9"/>
      <c r="FA993" s="9"/>
      <c r="FB993" s="9"/>
      <c r="FC993" s="9"/>
      <c r="FD993" s="9"/>
      <c r="FE993" s="9"/>
      <c r="FF993" s="9"/>
      <c r="FG993" s="9"/>
      <c r="FH993" s="9"/>
      <c r="FI993" s="9"/>
      <c r="FJ993" s="9"/>
      <c r="FK993" s="9"/>
      <c r="FL993" s="9"/>
      <c r="FM993" s="9"/>
      <c r="FN993" s="9"/>
      <c r="FO993" s="9"/>
      <c r="FP993" s="9"/>
      <c r="FQ993" s="9"/>
      <c r="FR993" s="9"/>
      <c r="FS993" s="9"/>
      <c r="FT993" s="9"/>
      <c r="FU993" s="9"/>
      <c r="FV993" s="9"/>
      <c r="FW993" s="9"/>
      <c r="FX993" s="9"/>
      <c r="FY993" s="9"/>
      <c r="FZ993" s="9"/>
      <c r="GA993" s="9"/>
      <c r="GB993" s="9"/>
      <c r="GC993" s="9"/>
      <c r="GD993" s="9"/>
      <c r="GE993" s="9"/>
      <c r="GF993" s="9"/>
      <c r="GG993" s="9"/>
      <c r="GH993" s="9"/>
      <c r="GI993" s="9"/>
      <c r="GJ993" s="9"/>
      <c r="GK993" s="9"/>
      <c r="GL993" s="9"/>
      <c r="GM993" s="9"/>
      <c r="GN993" s="9"/>
      <c r="GO993" s="9"/>
      <c r="GP993" s="9"/>
      <c r="GQ993" s="9"/>
      <c r="GR993" s="9"/>
      <c r="GS993" s="9"/>
      <c r="GT993" s="9"/>
      <c r="GU993" s="9"/>
      <c r="GV993" s="9"/>
      <c r="GW993" s="9"/>
      <c r="GX993" s="9"/>
      <c r="GY993" s="9"/>
      <c r="GZ993" s="9"/>
      <c r="HA993" s="9"/>
      <c r="HB993" s="9"/>
      <c r="HC993" s="9"/>
      <c r="HD993" s="9"/>
      <c r="HE993" s="9"/>
      <c r="HF993" s="9"/>
      <c r="HG993" s="9"/>
      <c r="HH993" s="9"/>
      <c r="HI993" s="9"/>
      <c r="HJ993" s="9"/>
      <c r="HK993" s="9"/>
      <c r="HL993" s="9"/>
      <c r="HY993" s="50"/>
    </row>
    <row r="994" spans="139:233">
      <c r="EI994" s="9"/>
      <c r="EJ994" s="9"/>
      <c r="EK994" s="9"/>
      <c r="EL994" s="9"/>
      <c r="EM994" s="9"/>
      <c r="EN994" s="9"/>
      <c r="EO994" s="9"/>
      <c r="EP994" s="9"/>
      <c r="EQ994" s="9"/>
      <c r="ER994" s="9"/>
      <c r="ES994" s="9"/>
      <c r="ET994" s="9"/>
      <c r="EU994" s="9"/>
      <c r="EV994" s="9"/>
      <c r="EW994" s="9"/>
      <c r="EX994" s="9"/>
      <c r="EY994" s="9"/>
      <c r="EZ994" s="9"/>
      <c r="FA994" s="9"/>
      <c r="FB994" s="9"/>
      <c r="FC994" s="9"/>
      <c r="FD994" s="9"/>
      <c r="FE994" s="9"/>
      <c r="FF994" s="9"/>
      <c r="FG994" s="9"/>
      <c r="FH994" s="9"/>
      <c r="FI994" s="9"/>
      <c r="FJ994" s="9"/>
      <c r="FK994" s="9"/>
      <c r="FL994" s="9"/>
      <c r="FM994" s="9"/>
      <c r="FN994" s="9"/>
      <c r="FO994" s="9"/>
      <c r="FP994" s="9"/>
      <c r="FQ994" s="9"/>
      <c r="FR994" s="9"/>
      <c r="FS994" s="9"/>
      <c r="FT994" s="9"/>
      <c r="FU994" s="9"/>
      <c r="FV994" s="9"/>
      <c r="FW994" s="9"/>
      <c r="FX994" s="9"/>
      <c r="FY994" s="9"/>
      <c r="FZ994" s="9"/>
      <c r="GA994" s="9"/>
      <c r="GB994" s="9"/>
      <c r="GC994" s="9"/>
      <c r="GD994" s="9"/>
      <c r="GE994" s="9"/>
      <c r="GF994" s="9"/>
      <c r="GG994" s="9"/>
      <c r="GH994" s="9"/>
      <c r="GI994" s="9"/>
      <c r="GJ994" s="9"/>
      <c r="GK994" s="9"/>
      <c r="GL994" s="9"/>
      <c r="GM994" s="9"/>
      <c r="GN994" s="9"/>
      <c r="GO994" s="9"/>
      <c r="GP994" s="9"/>
      <c r="GQ994" s="9"/>
      <c r="GR994" s="9"/>
      <c r="GS994" s="9"/>
      <c r="GT994" s="9"/>
      <c r="GU994" s="9"/>
      <c r="GV994" s="9"/>
      <c r="GW994" s="9"/>
      <c r="GX994" s="9"/>
      <c r="GY994" s="9"/>
      <c r="GZ994" s="9"/>
      <c r="HA994" s="9"/>
      <c r="HB994" s="9"/>
      <c r="HC994" s="9"/>
      <c r="HD994" s="9"/>
      <c r="HE994" s="9"/>
      <c r="HF994" s="9"/>
      <c r="HG994" s="9"/>
      <c r="HH994" s="9"/>
      <c r="HI994" s="9"/>
      <c r="HJ994" s="9"/>
      <c r="HK994" s="9"/>
      <c r="HL994" s="9"/>
      <c r="HY994" s="50"/>
    </row>
    <row r="995" spans="139:233">
      <c r="EI995" s="9"/>
      <c r="EJ995" s="9"/>
      <c r="EK995" s="9"/>
      <c r="EL995" s="9"/>
      <c r="EM995" s="9"/>
      <c r="EN995" s="9"/>
      <c r="EO995" s="9"/>
      <c r="EP995" s="9"/>
      <c r="EQ995" s="9"/>
      <c r="ER995" s="9"/>
      <c r="ES995" s="9"/>
      <c r="ET995" s="9"/>
      <c r="EU995" s="9"/>
      <c r="EV995" s="9"/>
      <c r="EW995" s="9"/>
      <c r="EX995" s="9"/>
      <c r="EY995" s="9"/>
      <c r="EZ995" s="9"/>
      <c r="FA995" s="9"/>
      <c r="FB995" s="9"/>
      <c r="FC995" s="9"/>
      <c r="FD995" s="9"/>
      <c r="FE995" s="9"/>
      <c r="FF995" s="9"/>
      <c r="FG995" s="9"/>
      <c r="FH995" s="9"/>
      <c r="FI995" s="9"/>
      <c r="FJ995" s="9"/>
      <c r="FK995" s="9"/>
      <c r="FL995" s="9"/>
      <c r="FM995" s="9"/>
      <c r="FN995" s="9"/>
      <c r="FO995" s="9"/>
      <c r="FP995" s="9"/>
      <c r="FQ995" s="9"/>
      <c r="FR995" s="9"/>
      <c r="FS995" s="9"/>
      <c r="FT995" s="9"/>
      <c r="FU995" s="9"/>
      <c r="FV995" s="9"/>
      <c r="FW995" s="9"/>
      <c r="FX995" s="9"/>
      <c r="FY995" s="9"/>
      <c r="FZ995" s="9"/>
      <c r="GA995" s="9"/>
      <c r="GB995" s="9"/>
      <c r="GC995" s="9"/>
      <c r="GD995" s="9"/>
      <c r="GE995" s="9"/>
      <c r="GF995" s="9"/>
      <c r="GG995" s="9"/>
      <c r="GH995" s="9"/>
      <c r="GI995" s="9"/>
      <c r="GJ995" s="9"/>
      <c r="GK995" s="9"/>
      <c r="GL995" s="9"/>
      <c r="GM995" s="9"/>
      <c r="GN995" s="9"/>
      <c r="GO995" s="9"/>
      <c r="GP995" s="9"/>
      <c r="GQ995" s="9"/>
      <c r="GR995" s="9"/>
      <c r="GS995" s="9"/>
      <c r="GT995" s="9"/>
      <c r="GU995" s="9"/>
      <c r="GV995" s="9"/>
      <c r="GW995" s="9"/>
      <c r="GX995" s="9"/>
      <c r="GY995" s="9"/>
      <c r="GZ995" s="9"/>
      <c r="HA995" s="9"/>
      <c r="HB995" s="9"/>
      <c r="HC995" s="9"/>
      <c r="HD995" s="9"/>
      <c r="HE995" s="9"/>
      <c r="HF995" s="9"/>
      <c r="HG995" s="9"/>
      <c r="HH995" s="9"/>
      <c r="HI995" s="9"/>
      <c r="HJ995" s="9"/>
      <c r="HK995" s="9"/>
      <c r="HL995" s="9"/>
      <c r="HY995" s="50"/>
    </row>
    <row r="996" spans="139:233">
      <c r="EI996" s="9"/>
      <c r="EJ996" s="9"/>
      <c r="EK996" s="9"/>
      <c r="EL996" s="9"/>
      <c r="EM996" s="9"/>
      <c r="EN996" s="9"/>
      <c r="EO996" s="9"/>
      <c r="EP996" s="9"/>
      <c r="EQ996" s="9"/>
      <c r="ER996" s="9"/>
      <c r="ES996" s="9"/>
      <c r="ET996" s="9"/>
      <c r="EU996" s="9"/>
      <c r="EV996" s="9"/>
      <c r="EW996" s="9"/>
      <c r="EX996" s="9"/>
      <c r="EY996" s="9"/>
      <c r="EZ996" s="9"/>
      <c r="FA996" s="9"/>
      <c r="FB996" s="9"/>
      <c r="FC996" s="9"/>
      <c r="FD996" s="9"/>
      <c r="FE996" s="9"/>
      <c r="FF996" s="9"/>
      <c r="FG996" s="9"/>
      <c r="FH996" s="9"/>
      <c r="FI996" s="9"/>
      <c r="FJ996" s="9"/>
      <c r="FK996" s="9"/>
      <c r="FL996" s="9"/>
      <c r="FM996" s="9"/>
      <c r="FN996" s="9"/>
      <c r="FO996" s="9"/>
      <c r="FP996" s="9"/>
      <c r="FQ996" s="9"/>
      <c r="FR996" s="9"/>
      <c r="FS996" s="9"/>
      <c r="FT996" s="9"/>
      <c r="FU996" s="9"/>
      <c r="FV996" s="9"/>
      <c r="FW996" s="9"/>
      <c r="FX996" s="9"/>
      <c r="FY996" s="9"/>
      <c r="FZ996" s="9"/>
      <c r="GA996" s="9"/>
      <c r="GB996" s="9"/>
      <c r="GC996" s="9"/>
      <c r="GD996" s="9"/>
      <c r="GE996" s="9"/>
      <c r="GF996" s="9"/>
      <c r="GG996" s="9"/>
      <c r="GH996" s="9"/>
      <c r="GI996" s="9"/>
      <c r="GJ996" s="9"/>
      <c r="GK996" s="9"/>
      <c r="GL996" s="9"/>
      <c r="GM996" s="9"/>
      <c r="GN996" s="9"/>
      <c r="GO996" s="9"/>
      <c r="GP996" s="9"/>
      <c r="GQ996" s="9"/>
      <c r="GR996" s="9"/>
      <c r="GS996" s="9"/>
      <c r="GT996" s="9"/>
      <c r="GU996" s="9"/>
      <c r="GV996" s="9"/>
      <c r="GW996" s="9"/>
      <c r="GX996" s="9"/>
      <c r="GY996" s="9"/>
      <c r="GZ996" s="9"/>
      <c r="HA996" s="9"/>
      <c r="HB996" s="9"/>
      <c r="HC996" s="9"/>
      <c r="HD996" s="9"/>
      <c r="HE996" s="9"/>
      <c r="HF996" s="9"/>
      <c r="HG996" s="9"/>
      <c r="HH996" s="9"/>
      <c r="HI996" s="9"/>
      <c r="HJ996" s="9"/>
      <c r="HK996" s="9"/>
      <c r="HL996" s="9"/>
      <c r="HY996" s="50"/>
    </row>
    <row r="997" spans="139:233">
      <c r="EI997" s="9"/>
      <c r="EJ997" s="9"/>
      <c r="EK997" s="9"/>
      <c r="EL997" s="9"/>
      <c r="EM997" s="9"/>
      <c r="EN997" s="9"/>
      <c r="EO997" s="9"/>
      <c r="EP997" s="9"/>
      <c r="EQ997" s="9"/>
      <c r="ER997" s="9"/>
      <c r="ES997" s="9"/>
      <c r="ET997" s="9"/>
      <c r="EU997" s="9"/>
      <c r="EV997" s="9"/>
      <c r="EW997" s="9"/>
      <c r="EX997" s="9"/>
      <c r="EY997" s="9"/>
      <c r="EZ997" s="9"/>
      <c r="FA997" s="9"/>
      <c r="FB997" s="9"/>
      <c r="FC997" s="9"/>
      <c r="FD997" s="9"/>
      <c r="FE997" s="9"/>
      <c r="FF997" s="9"/>
      <c r="FG997" s="9"/>
      <c r="FH997" s="9"/>
      <c r="FI997" s="9"/>
      <c r="FJ997" s="9"/>
      <c r="FK997" s="9"/>
      <c r="FL997" s="9"/>
      <c r="FM997" s="9"/>
      <c r="FN997" s="9"/>
      <c r="FO997" s="9"/>
      <c r="FP997" s="9"/>
      <c r="FQ997" s="9"/>
      <c r="FR997" s="9"/>
      <c r="FS997" s="9"/>
      <c r="FT997" s="9"/>
      <c r="FU997" s="9"/>
      <c r="FV997" s="9"/>
      <c r="FW997" s="9"/>
      <c r="FX997" s="9"/>
      <c r="FY997" s="9"/>
      <c r="FZ997" s="9"/>
      <c r="GA997" s="9"/>
      <c r="GB997" s="9"/>
      <c r="GC997" s="9"/>
      <c r="GD997" s="9"/>
      <c r="GE997" s="9"/>
      <c r="GF997" s="9"/>
      <c r="GG997" s="9"/>
      <c r="GH997" s="9"/>
      <c r="GI997" s="9"/>
      <c r="GJ997" s="9"/>
      <c r="GK997" s="9"/>
      <c r="GL997" s="9"/>
      <c r="GM997" s="9"/>
      <c r="GN997" s="9"/>
      <c r="GO997" s="9"/>
      <c r="GP997" s="9"/>
      <c r="GQ997" s="9"/>
      <c r="GR997" s="9"/>
      <c r="GS997" s="9"/>
      <c r="GT997" s="9"/>
      <c r="GU997" s="9"/>
      <c r="GV997" s="9"/>
      <c r="GW997" s="9"/>
      <c r="GX997" s="9"/>
      <c r="GY997" s="9"/>
      <c r="GZ997" s="9"/>
      <c r="HA997" s="9"/>
      <c r="HB997" s="9"/>
      <c r="HC997" s="9"/>
      <c r="HD997" s="9"/>
      <c r="HE997" s="9"/>
      <c r="HF997" s="9"/>
      <c r="HG997" s="9"/>
      <c r="HH997" s="9"/>
      <c r="HI997" s="9"/>
      <c r="HJ997" s="9"/>
      <c r="HK997" s="9"/>
      <c r="HL997" s="9"/>
      <c r="HY997" s="50"/>
    </row>
    <row r="998" spans="139:233">
      <c r="EI998" s="9"/>
      <c r="EJ998" s="9"/>
      <c r="EK998" s="9"/>
      <c r="EL998" s="9"/>
      <c r="EM998" s="9"/>
      <c r="EN998" s="9"/>
      <c r="EO998" s="9"/>
      <c r="EP998" s="9"/>
      <c r="EQ998" s="9"/>
      <c r="ER998" s="9"/>
      <c r="ES998" s="9"/>
      <c r="ET998" s="9"/>
      <c r="EU998" s="9"/>
      <c r="EV998" s="9"/>
      <c r="EW998" s="9"/>
      <c r="EX998" s="9"/>
      <c r="EY998" s="9"/>
      <c r="EZ998" s="9"/>
      <c r="FA998" s="9"/>
      <c r="FB998" s="9"/>
      <c r="FC998" s="9"/>
      <c r="FD998" s="9"/>
      <c r="FE998" s="9"/>
      <c r="FF998" s="9"/>
      <c r="FG998" s="9"/>
      <c r="FH998" s="9"/>
      <c r="FI998" s="9"/>
      <c r="FJ998" s="9"/>
      <c r="FK998" s="9"/>
      <c r="FL998" s="9"/>
      <c r="FM998" s="9"/>
      <c r="FN998" s="9"/>
      <c r="FO998" s="9"/>
      <c r="FP998" s="9"/>
      <c r="FQ998" s="9"/>
      <c r="FR998" s="9"/>
      <c r="FS998" s="9"/>
      <c r="FT998" s="9"/>
      <c r="FU998" s="9"/>
      <c r="FV998" s="9"/>
      <c r="FW998" s="9"/>
      <c r="FX998" s="9"/>
      <c r="FY998" s="9"/>
      <c r="FZ998" s="9"/>
      <c r="GA998" s="9"/>
      <c r="GB998" s="9"/>
      <c r="GC998" s="9"/>
      <c r="GD998" s="9"/>
      <c r="GE998" s="9"/>
      <c r="GF998" s="9"/>
      <c r="GG998" s="9"/>
      <c r="GH998" s="9"/>
      <c r="GI998" s="9"/>
      <c r="GJ998" s="9"/>
      <c r="GK998" s="9"/>
      <c r="GL998" s="9"/>
      <c r="GM998" s="9"/>
      <c r="GN998" s="9"/>
      <c r="GO998" s="9"/>
      <c r="GP998" s="9"/>
      <c r="GQ998" s="9"/>
      <c r="GR998" s="9"/>
      <c r="GS998" s="9"/>
      <c r="GT998" s="9"/>
      <c r="GU998" s="9"/>
      <c r="GV998" s="9"/>
      <c r="GW998" s="9"/>
      <c r="GX998" s="9"/>
      <c r="GY998" s="9"/>
      <c r="GZ998" s="9"/>
      <c r="HA998" s="9"/>
      <c r="HB998" s="9"/>
      <c r="HC998" s="9"/>
      <c r="HD998" s="9"/>
      <c r="HE998" s="9"/>
      <c r="HF998" s="9"/>
      <c r="HG998" s="9"/>
      <c r="HH998" s="9"/>
      <c r="HI998" s="9"/>
      <c r="HJ998" s="9"/>
      <c r="HK998" s="9"/>
      <c r="HL998" s="9"/>
      <c r="HY998" s="50"/>
    </row>
    <row r="999" spans="139:233">
      <c r="EI999" s="9"/>
      <c r="EJ999" s="9"/>
      <c r="EK999" s="9"/>
      <c r="EL999" s="9"/>
      <c r="EM999" s="9"/>
      <c r="EN999" s="9"/>
      <c r="EO999" s="9"/>
      <c r="EP999" s="9"/>
      <c r="EQ999" s="9"/>
      <c r="ER999" s="9"/>
      <c r="ES999" s="9"/>
      <c r="ET999" s="9"/>
      <c r="EU999" s="9"/>
      <c r="EV999" s="9"/>
      <c r="EW999" s="9"/>
      <c r="EX999" s="9"/>
      <c r="EY999" s="9"/>
      <c r="EZ999" s="9"/>
      <c r="FA999" s="9"/>
      <c r="FB999" s="9"/>
      <c r="FC999" s="9"/>
      <c r="FD999" s="9"/>
      <c r="FE999" s="9"/>
      <c r="FF999" s="9"/>
      <c r="FG999" s="9"/>
      <c r="FH999" s="9"/>
      <c r="FI999" s="9"/>
      <c r="FJ999" s="9"/>
      <c r="FK999" s="9"/>
      <c r="FL999" s="9"/>
      <c r="FM999" s="9"/>
      <c r="FN999" s="9"/>
      <c r="FO999" s="9"/>
      <c r="FP999" s="9"/>
      <c r="FQ999" s="9"/>
      <c r="FR999" s="9"/>
      <c r="FS999" s="9"/>
      <c r="FT999" s="9"/>
      <c r="FU999" s="9"/>
      <c r="FV999" s="9"/>
      <c r="FW999" s="9"/>
      <c r="FX999" s="9"/>
      <c r="FY999" s="9"/>
      <c r="FZ999" s="9"/>
      <c r="GA999" s="9"/>
      <c r="GB999" s="9"/>
      <c r="GC999" s="9"/>
      <c r="GD999" s="9"/>
      <c r="GE999" s="9"/>
      <c r="GF999" s="9"/>
      <c r="GG999" s="9"/>
      <c r="GH999" s="9"/>
      <c r="GI999" s="9"/>
      <c r="GJ999" s="9"/>
      <c r="GK999" s="9"/>
      <c r="GL999" s="9"/>
      <c r="GM999" s="9"/>
      <c r="GN999" s="9"/>
      <c r="GO999" s="9"/>
      <c r="GP999" s="9"/>
      <c r="GQ999" s="9"/>
      <c r="GR999" s="9"/>
      <c r="GS999" s="9"/>
      <c r="GT999" s="9"/>
      <c r="GU999" s="9"/>
      <c r="GV999" s="9"/>
      <c r="GW999" s="9"/>
      <c r="GX999" s="9"/>
      <c r="GY999" s="9"/>
      <c r="GZ999" s="9"/>
      <c r="HA999" s="9"/>
      <c r="HB999" s="9"/>
      <c r="HC999" s="9"/>
      <c r="HD999" s="9"/>
      <c r="HE999" s="9"/>
      <c r="HF999" s="9"/>
      <c r="HG999" s="9"/>
      <c r="HH999" s="9"/>
      <c r="HI999" s="9"/>
      <c r="HJ999" s="9"/>
      <c r="HK999" s="9"/>
      <c r="HL999" s="9"/>
      <c r="HY999" s="50"/>
    </row>
    <row r="1000" spans="139:233">
      <c r="EI1000" s="9"/>
      <c r="EJ1000" s="9"/>
      <c r="EK1000" s="9"/>
      <c r="EL1000" s="9"/>
      <c r="EM1000" s="9"/>
      <c r="EN1000" s="9"/>
      <c r="EO1000" s="9"/>
      <c r="EP1000" s="9"/>
      <c r="EQ1000" s="9"/>
      <c r="ER1000" s="9"/>
      <c r="ES1000" s="9"/>
      <c r="ET1000" s="9"/>
      <c r="EU1000" s="9"/>
      <c r="EV1000" s="9"/>
      <c r="EW1000" s="9"/>
      <c r="EX1000" s="9"/>
      <c r="EY1000" s="9"/>
      <c r="EZ1000" s="9"/>
      <c r="FA1000" s="9"/>
      <c r="FB1000" s="9"/>
      <c r="FC1000" s="9"/>
      <c r="FD1000" s="9"/>
      <c r="FE1000" s="9"/>
      <c r="FF1000" s="9"/>
      <c r="FG1000" s="9"/>
      <c r="FH1000" s="9"/>
      <c r="FI1000" s="9"/>
      <c r="FJ1000" s="9"/>
      <c r="FK1000" s="9"/>
      <c r="FL1000" s="9"/>
      <c r="FM1000" s="9"/>
      <c r="FN1000" s="9"/>
      <c r="FO1000" s="9"/>
      <c r="FP1000" s="9"/>
      <c r="FQ1000" s="9"/>
      <c r="FR1000" s="9"/>
      <c r="FS1000" s="9"/>
      <c r="FT1000" s="9"/>
      <c r="FU1000" s="9"/>
      <c r="FV1000" s="9"/>
      <c r="FW1000" s="9"/>
      <c r="FX1000" s="9"/>
      <c r="FY1000" s="9"/>
      <c r="FZ1000" s="9"/>
      <c r="GA1000" s="9"/>
      <c r="GB1000" s="9"/>
      <c r="GC1000" s="9"/>
      <c r="GD1000" s="9"/>
      <c r="GE1000" s="9"/>
      <c r="GF1000" s="9"/>
      <c r="GG1000" s="9"/>
      <c r="GH1000" s="9"/>
      <c r="GI1000" s="9"/>
      <c r="GJ1000" s="9"/>
      <c r="GK1000" s="9"/>
      <c r="GL1000" s="9"/>
      <c r="GM1000" s="9"/>
      <c r="GN1000" s="9"/>
      <c r="GO1000" s="9"/>
      <c r="GP1000" s="9"/>
      <c r="GQ1000" s="9"/>
      <c r="GR1000" s="9"/>
      <c r="GS1000" s="9"/>
      <c r="GT1000" s="9"/>
      <c r="GU1000" s="9"/>
      <c r="GV1000" s="9"/>
      <c r="GW1000" s="9"/>
      <c r="GX1000" s="9"/>
      <c r="GY1000" s="9"/>
      <c r="GZ1000" s="9"/>
      <c r="HA1000" s="9"/>
      <c r="HB1000" s="9"/>
      <c r="HC1000" s="9"/>
      <c r="HD1000" s="9"/>
      <c r="HE1000" s="9"/>
      <c r="HF1000" s="9"/>
      <c r="HG1000" s="9"/>
      <c r="HH1000" s="9"/>
      <c r="HI1000" s="9"/>
      <c r="HJ1000" s="9"/>
      <c r="HK1000" s="9"/>
      <c r="HL1000" s="9"/>
      <c r="HY1000" s="50"/>
    </row>
    <row r="1001" spans="139:233">
      <c r="EI1001" s="9"/>
      <c r="EJ1001" s="9"/>
      <c r="EK1001" s="9"/>
      <c r="EL1001" s="9"/>
      <c r="EM1001" s="9"/>
      <c r="EN1001" s="9"/>
      <c r="EO1001" s="9"/>
      <c r="EP1001" s="9"/>
      <c r="EQ1001" s="9"/>
      <c r="ER1001" s="9"/>
      <c r="ES1001" s="9"/>
      <c r="ET1001" s="9"/>
      <c r="EU1001" s="9"/>
      <c r="EV1001" s="9"/>
      <c r="EW1001" s="9"/>
      <c r="EX1001" s="9"/>
      <c r="EY1001" s="9"/>
      <c r="EZ1001" s="9"/>
      <c r="FA1001" s="9"/>
      <c r="FB1001" s="9"/>
      <c r="FC1001" s="9"/>
      <c r="FD1001" s="9"/>
      <c r="FE1001" s="9"/>
      <c r="FF1001" s="9"/>
      <c r="FG1001" s="9"/>
      <c r="FH1001" s="9"/>
      <c r="FI1001" s="9"/>
      <c r="FJ1001" s="9"/>
      <c r="FK1001" s="9"/>
      <c r="FL1001" s="9"/>
      <c r="FM1001" s="9"/>
      <c r="FN1001" s="9"/>
      <c r="FO1001" s="9"/>
      <c r="FP1001" s="9"/>
      <c r="FQ1001" s="9"/>
      <c r="FR1001" s="9"/>
      <c r="FS1001" s="9"/>
      <c r="FT1001" s="9"/>
      <c r="FU1001" s="9"/>
      <c r="FV1001" s="9"/>
      <c r="FW1001" s="9"/>
      <c r="FX1001" s="9"/>
      <c r="FY1001" s="9"/>
      <c r="FZ1001" s="9"/>
      <c r="GA1001" s="9"/>
      <c r="GB1001" s="9"/>
      <c r="GC1001" s="9"/>
      <c r="GD1001" s="9"/>
      <c r="GE1001" s="9"/>
      <c r="GF1001" s="9"/>
      <c r="GG1001" s="9"/>
      <c r="GH1001" s="9"/>
      <c r="GI1001" s="9"/>
      <c r="GJ1001" s="9"/>
      <c r="GK1001" s="9"/>
      <c r="GL1001" s="9"/>
      <c r="GM1001" s="9"/>
      <c r="GN1001" s="9"/>
      <c r="GO1001" s="9"/>
      <c r="GP1001" s="9"/>
      <c r="GQ1001" s="9"/>
      <c r="GR1001" s="9"/>
      <c r="GS1001" s="9"/>
      <c r="GT1001" s="9"/>
      <c r="GU1001" s="9"/>
      <c r="GV1001" s="9"/>
      <c r="GW1001" s="9"/>
      <c r="GX1001" s="9"/>
      <c r="GY1001" s="9"/>
      <c r="GZ1001" s="9"/>
      <c r="HA1001" s="9"/>
      <c r="HB1001" s="9"/>
      <c r="HC1001" s="9"/>
      <c r="HD1001" s="9"/>
      <c r="HE1001" s="9"/>
      <c r="HF1001" s="9"/>
      <c r="HG1001" s="9"/>
      <c r="HH1001" s="9"/>
      <c r="HI1001" s="9"/>
      <c r="HJ1001" s="9"/>
      <c r="HK1001" s="9"/>
      <c r="HL1001" s="9"/>
      <c r="HY1001" s="50"/>
    </row>
    <row r="1002" spans="139:233">
      <c r="EI1002" s="9"/>
      <c r="EJ1002" s="9"/>
      <c r="EK1002" s="9"/>
      <c r="EL1002" s="9"/>
      <c r="EM1002" s="9"/>
      <c r="EN1002" s="9"/>
      <c r="EO1002" s="9"/>
      <c r="EP1002" s="9"/>
      <c r="EQ1002" s="9"/>
      <c r="ER1002" s="9"/>
      <c r="ES1002" s="9"/>
      <c r="ET1002" s="9"/>
      <c r="EU1002" s="9"/>
      <c r="EV1002" s="9"/>
      <c r="EW1002" s="9"/>
      <c r="EX1002" s="9"/>
      <c r="EY1002" s="9"/>
      <c r="EZ1002" s="9"/>
      <c r="FA1002" s="9"/>
      <c r="FB1002" s="9"/>
      <c r="FC1002" s="9"/>
      <c r="FD1002" s="9"/>
      <c r="FE1002" s="9"/>
      <c r="FF1002" s="9"/>
      <c r="FG1002" s="9"/>
      <c r="FH1002" s="9"/>
      <c r="FI1002" s="9"/>
      <c r="FJ1002" s="9"/>
      <c r="FK1002" s="9"/>
      <c r="FL1002" s="9"/>
      <c r="FM1002" s="9"/>
      <c r="FN1002" s="9"/>
      <c r="FO1002" s="9"/>
      <c r="FP1002" s="9"/>
      <c r="FQ1002" s="9"/>
      <c r="FR1002" s="9"/>
      <c r="FS1002" s="9"/>
      <c r="FT1002" s="9"/>
      <c r="FU1002" s="9"/>
      <c r="FV1002" s="9"/>
      <c r="FW1002" s="9"/>
      <c r="FX1002" s="9"/>
      <c r="FY1002" s="9"/>
      <c r="FZ1002" s="9"/>
      <c r="GA1002" s="9"/>
      <c r="GB1002" s="9"/>
      <c r="GC1002" s="9"/>
      <c r="GD1002" s="9"/>
      <c r="GE1002" s="9"/>
      <c r="GF1002" s="9"/>
      <c r="GG1002" s="9"/>
      <c r="GH1002" s="9"/>
      <c r="GI1002" s="9"/>
      <c r="GJ1002" s="9"/>
      <c r="GK1002" s="9"/>
      <c r="GL1002" s="9"/>
      <c r="GM1002" s="9"/>
      <c r="GN1002" s="9"/>
      <c r="GO1002" s="9"/>
      <c r="GP1002" s="9"/>
      <c r="GQ1002" s="9"/>
      <c r="GR1002" s="9"/>
      <c r="GS1002" s="9"/>
      <c r="GT1002" s="9"/>
      <c r="GU1002" s="9"/>
      <c r="GV1002" s="9"/>
      <c r="GW1002" s="9"/>
      <c r="GX1002" s="9"/>
      <c r="GY1002" s="9"/>
      <c r="GZ1002" s="9"/>
      <c r="HA1002" s="9"/>
      <c r="HB1002" s="9"/>
      <c r="HC1002" s="9"/>
      <c r="HD1002" s="9"/>
      <c r="HE1002" s="9"/>
      <c r="HF1002" s="9"/>
      <c r="HG1002" s="9"/>
      <c r="HH1002" s="9"/>
      <c r="HI1002" s="9"/>
      <c r="HJ1002" s="9"/>
      <c r="HK1002" s="9"/>
      <c r="HL1002" s="9"/>
      <c r="HY1002" s="50"/>
    </row>
    <row r="1003" spans="139:233">
      <c r="EI1003" s="9"/>
      <c r="EJ1003" s="9"/>
      <c r="EK1003" s="9"/>
      <c r="EL1003" s="9"/>
      <c r="EM1003" s="9"/>
      <c r="EN1003" s="9"/>
      <c r="EO1003" s="9"/>
      <c r="EP1003" s="9"/>
      <c r="EQ1003" s="9"/>
      <c r="ER1003" s="9"/>
      <c r="ES1003" s="9"/>
      <c r="ET1003" s="9"/>
      <c r="EU1003" s="9"/>
      <c r="EV1003" s="9"/>
      <c r="EW1003" s="9"/>
      <c r="EX1003" s="9"/>
      <c r="EY1003" s="9"/>
      <c r="EZ1003" s="9"/>
      <c r="FA1003" s="9"/>
      <c r="FB1003" s="9"/>
      <c r="FC1003" s="9"/>
      <c r="FD1003" s="9"/>
      <c r="FE1003" s="9"/>
      <c r="FF1003" s="9"/>
      <c r="FG1003" s="9"/>
      <c r="FH1003" s="9"/>
      <c r="FI1003" s="9"/>
      <c r="FJ1003" s="9"/>
      <c r="FK1003" s="9"/>
      <c r="FL1003" s="9"/>
      <c r="FM1003" s="9"/>
      <c r="FN1003" s="9"/>
      <c r="FO1003" s="9"/>
      <c r="FP1003" s="9"/>
      <c r="FQ1003" s="9"/>
      <c r="FR1003" s="9"/>
      <c r="FS1003" s="9"/>
      <c r="FT1003" s="9"/>
      <c r="FU1003" s="9"/>
      <c r="FV1003" s="9"/>
      <c r="FW1003" s="9"/>
      <c r="FX1003" s="9"/>
      <c r="FY1003" s="9"/>
      <c r="FZ1003" s="9"/>
      <c r="GA1003" s="9"/>
      <c r="GB1003" s="9"/>
      <c r="GC1003" s="9"/>
      <c r="GD1003" s="9"/>
      <c r="GE1003" s="9"/>
      <c r="GF1003" s="9"/>
      <c r="GG1003" s="9"/>
      <c r="GH1003" s="9"/>
      <c r="GI1003" s="9"/>
      <c r="GJ1003" s="9"/>
      <c r="GK1003" s="9"/>
      <c r="GL1003" s="9"/>
      <c r="GM1003" s="9"/>
      <c r="GN1003" s="9"/>
      <c r="GO1003" s="9"/>
      <c r="GP1003" s="9"/>
      <c r="GQ1003" s="9"/>
      <c r="GR1003" s="9"/>
      <c r="GS1003" s="9"/>
      <c r="GT1003" s="9"/>
      <c r="GU1003" s="9"/>
      <c r="GV1003" s="9"/>
      <c r="GW1003" s="9"/>
      <c r="GX1003" s="9"/>
      <c r="GY1003" s="9"/>
      <c r="GZ1003" s="9"/>
      <c r="HA1003" s="9"/>
      <c r="HB1003" s="9"/>
      <c r="HC1003" s="9"/>
      <c r="HD1003" s="9"/>
      <c r="HE1003" s="9"/>
      <c r="HF1003" s="9"/>
      <c r="HG1003" s="9"/>
      <c r="HH1003" s="9"/>
      <c r="HI1003" s="9"/>
      <c r="HJ1003" s="9"/>
      <c r="HK1003" s="9"/>
      <c r="HL1003" s="9"/>
      <c r="HY1003" s="50"/>
    </row>
    <row r="1004" spans="139:233">
      <c r="EI1004" s="9"/>
      <c r="EJ1004" s="9"/>
      <c r="EK1004" s="9"/>
      <c r="EL1004" s="9"/>
      <c r="EM1004" s="9"/>
      <c r="EN1004" s="9"/>
      <c r="EO1004" s="9"/>
      <c r="EP1004" s="9"/>
      <c r="EQ1004" s="9"/>
      <c r="ER1004" s="9"/>
      <c r="ES1004" s="9"/>
      <c r="ET1004" s="9"/>
      <c r="EU1004" s="9"/>
      <c r="EV1004" s="9"/>
      <c r="EW1004" s="9"/>
      <c r="EX1004" s="9"/>
      <c r="EY1004" s="9"/>
      <c r="EZ1004" s="9"/>
      <c r="FA1004" s="9"/>
      <c r="FB1004" s="9"/>
      <c r="FC1004" s="9"/>
      <c r="FD1004" s="9"/>
      <c r="FE1004" s="9"/>
      <c r="FF1004" s="9"/>
      <c r="FG1004" s="9"/>
      <c r="FH1004" s="9"/>
      <c r="FI1004" s="9"/>
      <c r="FJ1004" s="9"/>
      <c r="FK1004" s="9"/>
      <c r="FL1004" s="9"/>
      <c r="FM1004" s="9"/>
      <c r="FN1004" s="9"/>
      <c r="FO1004" s="9"/>
      <c r="FP1004" s="9"/>
      <c r="FQ1004" s="9"/>
      <c r="FR1004" s="9"/>
      <c r="FS1004" s="9"/>
      <c r="FT1004" s="9"/>
      <c r="FU1004" s="9"/>
      <c r="FV1004" s="9"/>
      <c r="FW1004" s="9"/>
      <c r="FX1004" s="9"/>
      <c r="FY1004" s="9"/>
      <c r="FZ1004" s="9"/>
      <c r="GA1004" s="9"/>
      <c r="GB1004" s="9"/>
      <c r="GC1004" s="9"/>
      <c r="GD1004" s="9"/>
      <c r="GE1004" s="9"/>
      <c r="GF1004" s="9"/>
      <c r="GG1004" s="9"/>
      <c r="GH1004" s="9"/>
      <c r="GI1004" s="9"/>
      <c r="GJ1004" s="9"/>
      <c r="GK1004" s="9"/>
      <c r="GL1004" s="9"/>
      <c r="GM1004" s="9"/>
      <c r="GN1004" s="9"/>
      <c r="GO1004" s="9"/>
      <c r="GP1004" s="9"/>
      <c r="GQ1004" s="9"/>
      <c r="GR1004" s="9"/>
      <c r="GS1004" s="9"/>
      <c r="GT1004" s="9"/>
      <c r="GU1004" s="9"/>
      <c r="GV1004" s="9"/>
      <c r="GW1004" s="9"/>
      <c r="GX1004" s="9"/>
      <c r="GY1004" s="9"/>
      <c r="GZ1004" s="9"/>
      <c r="HA1004" s="9"/>
      <c r="HB1004" s="9"/>
      <c r="HC1004" s="9"/>
      <c r="HD1004" s="9"/>
      <c r="HE1004" s="9"/>
      <c r="HF1004" s="9"/>
      <c r="HG1004" s="9"/>
      <c r="HH1004" s="9"/>
      <c r="HI1004" s="9"/>
      <c r="HJ1004" s="9"/>
      <c r="HK1004" s="9"/>
      <c r="HL1004" s="9"/>
      <c r="HY1004" s="50"/>
    </row>
    <row r="1005" spans="139:233">
      <c r="EI1005" s="9"/>
      <c r="EJ1005" s="9"/>
      <c r="EK1005" s="9"/>
      <c r="EL1005" s="9"/>
      <c r="EM1005" s="9"/>
      <c r="EN1005" s="9"/>
      <c r="EO1005" s="9"/>
      <c r="EP1005" s="9"/>
      <c r="EQ1005" s="9"/>
      <c r="ER1005" s="9"/>
      <c r="ES1005" s="9"/>
      <c r="ET1005" s="9"/>
      <c r="EU1005" s="9"/>
      <c r="EV1005" s="9"/>
      <c r="EW1005" s="9"/>
      <c r="EX1005" s="9"/>
      <c r="EY1005" s="9"/>
      <c r="EZ1005" s="9"/>
      <c r="FA1005" s="9"/>
      <c r="FB1005" s="9"/>
      <c r="FC1005" s="9"/>
      <c r="FD1005" s="9"/>
      <c r="FE1005" s="9"/>
      <c r="FF1005" s="9"/>
      <c r="FG1005" s="9"/>
      <c r="FH1005" s="9"/>
      <c r="FI1005" s="9"/>
      <c r="FJ1005" s="9"/>
      <c r="FK1005" s="9"/>
      <c r="FL1005" s="9"/>
      <c r="FM1005" s="9"/>
      <c r="FN1005" s="9"/>
      <c r="FO1005" s="9"/>
      <c r="FP1005" s="9"/>
      <c r="FQ1005" s="9"/>
      <c r="FR1005" s="9"/>
      <c r="FS1005" s="9"/>
      <c r="FT1005" s="9"/>
      <c r="FU1005" s="9"/>
      <c r="FV1005" s="9"/>
      <c r="FW1005" s="9"/>
      <c r="FX1005" s="9"/>
      <c r="FY1005" s="9"/>
      <c r="FZ1005" s="9"/>
      <c r="GA1005" s="9"/>
      <c r="GB1005" s="9"/>
      <c r="GC1005" s="9"/>
      <c r="GD1005" s="9"/>
      <c r="GE1005" s="9"/>
      <c r="GF1005" s="9"/>
      <c r="GG1005" s="9"/>
      <c r="GH1005" s="9"/>
      <c r="GI1005" s="9"/>
      <c r="GJ1005" s="9"/>
      <c r="GK1005" s="9"/>
      <c r="GL1005" s="9"/>
      <c r="GM1005" s="9"/>
      <c r="GN1005" s="9"/>
      <c r="GO1005" s="9"/>
      <c r="GP1005" s="9"/>
      <c r="GQ1005" s="9"/>
      <c r="GR1005" s="9"/>
      <c r="GS1005" s="9"/>
      <c r="GT1005" s="9"/>
      <c r="GU1005" s="9"/>
      <c r="GV1005" s="9"/>
      <c r="GW1005" s="9"/>
      <c r="GX1005" s="9"/>
      <c r="GY1005" s="9"/>
      <c r="GZ1005" s="9"/>
      <c r="HA1005" s="9"/>
      <c r="HB1005" s="9"/>
      <c r="HC1005" s="9"/>
      <c r="HD1005" s="9"/>
      <c r="HE1005" s="9"/>
      <c r="HF1005" s="9"/>
      <c r="HG1005" s="9"/>
      <c r="HH1005" s="9"/>
      <c r="HI1005" s="9"/>
      <c r="HJ1005" s="9"/>
      <c r="HK1005" s="9"/>
      <c r="HL1005" s="9"/>
      <c r="HY1005" s="50"/>
    </row>
    <row r="1006" spans="139:233">
      <c r="EI1006" s="9"/>
      <c r="EJ1006" s="9"/>
      <c r="EK1006" s="9"/>
      <c r="EL1006" s="9"/>
      <c r="EM1006" s="9"/>
      <c r="EN1006" s="9"/>
      <c r="EO1006" s="9"/>
      <c r="EP1006" s="9"/>
      <c r="EQ1006" s="9"/>
      <c r="ER1006" s="9"/>
      <c r="ES1006" s="9"/>
      <c r="ET1006" s="9"/>
      <c r="EU1006" s="9"/>
      <c r="EV1006" s="9"/>
      <c r="EW1006" s="9"/>
      <c r="EX1006" s="9"/>
      <c r="EY1006" s="9"/>
      <c r="EZ1006" s="9"/>
      <c r="FA1006" s="9"/>
      <c r="FB1006" s="9"/>
      <c r="FC1006" s="9"/>
      <c r="FD1006" s="9"/>
      <c r="FE1006" s="9"/>
      <c r="FF1006" s="9"/>
      <c r="FG1006" s="9"/>
      <c r="FH1006" s="9"/>
      <c r="FI1006" s="9"/>
      <c r="FJ1006" s="9"/>
      <c r="FK1006" s="9"/>
      <c r="FL1006" s="9"/>
      <c r="FM1006" s="9"/>
      <c r="FN1006" s="9"/>
      <c r="FO1006" s="9"/>
      <c r="FP1006" s="9"/>
      <c r="FQ1006" s="9"/>
      <c r="FR1006" s="9"/>
      <c r="FS1006" s="9"/>
      <c r="FT1006" s="9"/>
      <c r="FU1006" s="9"/>
      <c r="FV1006" s="9"/>
      <c r="FW1006" s="9"/>
      <c r="FX1006" s="9"/>
      <c r="FY1006" s="9"/>
      <c r="FZ1006" s="9"/>
      <c r="GA1006" s="9"/>
      <c r="GB1006" s="9"/>
      <c r="GC1006" s="9"/>
      <c r="GD1006" s="9"/>
      <c r="GE1006" s="9"/>
      <c r="GF1006" s="9"/>
      <c r="GG1006" s="9"/>
      <c r="GH1006" s="9"/>
      <c r="GI1006" s="9"/>
      <c r="GJ1006" s="9"/>
      <c r="GK1006" s="9"/>
      <c r="GL1006" s="9"/>
      <c r="GM1006" s="9"/>
      <c r="GN1006" s="9"/>
      <c r="GO1006" s="9"/>
      <c r="GP1006" s="9"/>
      <c r="GQ1006" s="9"/>
      <c r="GR1006" s="9"/>
      <c r="GS1006" s="9"/>
      <c r="GT1006" s="9"/>
      <c r="GU1006" s="9"/>
      <c r="GV1006" s="9"/>
      <c r="GW1006" s="9"/>
      <c r="GX1006" s="9"/>
      <c r="GY1006" s="9"/>
      <c r="GZ1006" s="9"/>
      <c r="HA1006" s="9"/>
      <c r="HB1006" s="9"/>
      <c r="HC1006" s="9"/>
      <c r="HD1006" s="9"/>
      <c r="HE1006" s="9"/>
      <c r="HF1006" s="9"/>
      <c r="HG1006" s="9"/>
      <c r="HH1006" s="9"/>
      <c r="HI1006" s="9"/>
      <c r="HJ1006" s="9"/>
      <c r="HK1006" s="9"/>
      <c r="HL1006" s="9"/>
      <c r="HY1006" s="50"/>
    </row>
    <row r="1007" spans="139:233">
      <c r="EI1007" s="9"/>
      <c r="EJ1007" s="9"/>
      <c r="EK1007" s="9"/>
      <c r="EL1007" s="9"/>
      <c r="EM1007" s="9"/>
      <c r="EN1007" s="9"/>
      <c r="EO1007" s="9"/>
      <c r="EP1007" s="9"/>
      <c r="EQ1007" s="9"/>
      <c r="ER1007" s="9"/>
      <c r="ES1007" s="9"/>
      <c r="ET1007" s="9"/>
      <c r="EU1007" s="9"/>
      <c r="EV1007" s="9"/>
      <c r="EW1007" s="9"/>
      <c r="EX1007" s="9"/>
      <c r="EY1007" s="9"/>
      <c r="EZ1007" s="9"/>
      <c r="FA1007" s="9"/>
      <c r="FB1007" s="9"/>
      <c r="FC1007" s="9"/>
      <c r="FD1007" s="9"/>
      <c r="FE1007" s="9"/>
      <c r="FF1007" s="9"/>
      <c r="FG1007" s="9"/>
      <c r="FH1007" s="9"/>
      <c r="FI1007" s="9"/>
      <c r="FJ1007" s="9"/>
      <c r="FK1007" s="9"/>
      <c r="FL1007" s="9"/>
      <c r="FM1007" s="9"/>
      <c r="FN1007" s="9"/>
      <c r="FO1007" s="9"/>
      <c r="FP1007" s="9"/>
      <c r="FQ1007" s="9"/>
      <c r="FR1007" s="9"/>
      <c r="FS1007" s="9"/>
      <c r="FT1007" s="9"/>
      <c r="FU1007" s="9"/>
      <c r="FV1007" s="9"/>
      <c r="FW1007" s="9"/>
      <c r="FX1007" s="9"/>
      <c r="FY1007" s="9"/>
      <c r="FZ1007" s="9"/>
      <c r="GA1007" s="9"/>
      <c r="GB1007" s="9"/>
      <c r="GC1007" s="9"/>
      <c r="GD1007" s="9"/>
      <c r="GE1007" s="9"/>
      <c r="GF1007" s="9"/>
      <c r="GG1007" s="9"/>
      <c r="GH1007" s="9"/>
      <c r="GI1007" s="9"/>
      <c r="GJ1007" s="9"/>
      <c r="GK1007" s="9"/>
      <c r="GL1007" s="9"/>
      <c r="GM1007" s="9"/>
      <c r="GN1007" s="9"/>
      <c r="GO1007" s="9"/>
      <c r="GP1007" s="9"/>
      <c r="GQ1007" s="9"/>
      <c r="GR1007" s="9"/>
      <c r="GS1007" s="9"/>
      <c r="GT1007" s="9"/>
      <c r="GU1007" s="9"/>
      <c r="GV1007" s="9"/>
      <c r="GW1007" s="9"/>
      <c r="GX1007" s="9"/>
      <c r="GY1007" s="9"/>
      <c r="GZ1007" s="9"/>
      <c r="HA1007" s="9"/>
      <c r="HB1007" s="9"/>
      <c r="HC1007" s="9"/>
      <c r="HD1007" s="9"/>
      <c r="HE1007" s="9"/>
      <c r="HF1007" s="9"/>
      <c r="HG1007" s="9"/>
      <c r="HH1007" s="9"/>
      <c r="HI1007" s="9"/>
      <c r="HJ1007" s="9"/>
      <c r="HK1007" s="9"/>
      <c r="HL1007" s="9"/>
      <c r="HY1007" s="50"/>
    </row>
    <row r="1008" spans="139:233">
      <c r="EI1008" s="9"/>
      <c r="EJ1008" s="9"/>
      <c r="EK1008" s="9"/>
      <c r="EL1008" s="9"/>
      <c r="EM1008" s="9"/>
      <c r="EN1008" s="9"/>
      <c r="EO1008" s="9"/>
      <c r="EP1008" s="9"/>
      <c r="EQ1008" s="9"/>
      <c r="ER1008" s="9"/>
      <c r="ES1008" s="9"/>
      <c r="ET1008" s="9"/>
      <c r="EU1008" s="9"/>
      <c r="EV1008" s="9"/>
      <c r="EW1008" s="9"/>
      <c r="EX1008" s="9"/>
      <c r="EY1008" s="9"/>
      <c r="EZ1008" s="9"/>
      <c r="FA1008" s="9"/>
      <c r="FB1008" s="9"/>
      <c r="FC1008" s="9"/>
      <c r="FD1008" s="9"/>
      <c r="FE1008" s="9"/>
      <c r="FF1008" s="9"/>
      <c r="FG1008" s="9"/>
      <c r="FH1008" s="9"/>
      <c r="FI1008" s="9"/>
      <c r="FJ1008" s="9"/>
      <c r="FK1008" s="9"/>
      <c r="FL1008" s="9"/>
      <c r="FM1008" s="9"/>
      <c r="FN1008" s="9"/>
      <c r="FO1008" s="9"/>
      <c r="FP1008" s="9"/>
      <c r="FQ1008" s="9"/>
      <c r="FR1008" s="9"/>
      <c r="FS1008" s="9"/>
      <c r="FT1008" s="9"/>
      <c r="FU1008" s="9"/>
      <c r="FV1008" s="9"/>
      <c r="FW1008" s="9"/>
      <c r="FX1008" s="9"/>
      <c r="FY1008" s="9"/>
      <c r="FZ1008" s="9"/>
      <c r="GA1008" s="9"/>
      <c r="GB1008" s="9"/>
      <c r="GC1008" s="9"/>
      <c r="GD1008" s="9"/>
      <c r="GE1008" s="9"/>
      <c r="GF1008" s="9"/>
      <c r="GG1008" s="9"/>
      <c r="GH1008" s="9"/>
      <c r="GI1008" s="9"/>
      <c r="GJ1008" s="9"/>
      <c r="GK1008" s="9"/>
      <c r="GL1008" s="9"/>
      <c r="GM1008" s="9"/>
      <c r="GN1008" s="9"/>
      <c r="GO1008" s="9"/>
      <c r="GP1008" s="9"/>
      <c r="GQ1008" s="9"/>
      <c r="GR1008" s="9"/>
      <c r="GS1008" s="9"/>
      <c r="GT1008" s="9"/>
      <c r="GU1008" s="9"/>
      <c r="GV1008" s="9"/>
      <c r="GW1008" s="9"/>
      <c r="GX1008" s="9"/>
      <c r="GY1008" s="9"/>
      <c r="GZ1008" s="9"/>
      <c r="HA1008" s="9"/>
      <c r="HB1008" s="9"/>
      <c r="HC1008" s="9"/>
      <c r="HD1008" s="9"/>
      <c r="HE1008" s="9"/>
      <c r="HF1008" s="9"/>
      <c r="HG1008" s="9"/>
      <c r="HH1008" s="9"/>
      <c r="HI1008" s="9"/>
      <c r="HJ1008" s="9"/>
      <c r="HK1008" s="9"/>
      <c r="HL1008" s="9"/>
      <c r="HY1008" s="50"/>
    </row>
    <row r="1009" spans="139:233">
      <c r="EI1009" s="9"/>
      <c r="EJ1009" s="9"/>
      <c r="EK1009" s="9"/>
      <c r="EL1009" s="9"/>
      <c r="EM1009" s="9"/>
      <c r="EN1009" s="9"/>
      <c r="EO1009" s="9"/>
      <c r="EP1009" s="9"/>
      <c r="EQ1009" s="9"/>
      <c r="ER1009" s="9"/>
      <c r="ES1009" s="9"/>
      <c r="ET1009" s="9"/>
      <c r="EU1009" s="9"/>
      <c r="EV1009" s="9"/>
      <c r="EW1009" s="9"/>
      <c r="EX1009" s="9"/>
      <c r="EY1009" s="9"/>
      <c r="EZ1009" s="9"/>
      <c r="FA1009" s="9"/>
      <c r="FB1009" s="9"/>
      <c r="FC1009" s="9"/>
      <c r="FD1009" s="9"/>
      <c r="FE1009" s="9"/>
      <c r="FF1009" s="9"/>
      <c r="FG1009" s="9"/>
      <c r="FH1009" s="9"/>
      <c r="FI1009" s="9"/>
      <c r="FJ1009" s="9"/>
      <c r="FK1009" s="9"/>
      <c r="FL1009" s="9"/>
      <c r="FM1009" s="9"/>
      <c r="FN1009" s="9"/>
      <c r="FO1009" s="9"/>
      <c r="FP1009" s="9"/>
      <c r="FQ1009" s="9"/>
      <c r="FR1009" s="9"/>
      <c r="FS1009" s="9"/>
      <c r="FT1009" s="9"/>
      <c r="FU1009" s="9"/>
      <c r="FV1009" s="9"/>
      <c r="FW1009" s="9"/>
      <c r="FX1009" s="9"/>
      <c r="FY1009" s="9"/>
      <c r="FZ1009" s="9"/>
      <c r="GA1009" s="9"/>
      <c r="GB1009" s="9"/>
      <c r="GC1009" s="9"/>
      <c r="GD1009" s="9"/>
      <c r="GE1009" s="9"/>
      <c r="GF1009" s="9"/>
      <c r="GG1009" s="9"/>
      <c r="GH1009" s="9"/>
      <c r="GI1009" s="9"/>
      <c r="GJ1009" s="9"/>
      <c r="GK1009" s="9"/>
      <c r="GL1009" s="9"/>
      <c r="GM1009" s="9"/>
      <c r="GN1009" s="9"/>
      <c r="GO1009" s="9"/>
      <c r="GP1009" s="9"/>
      <c r="GQ1009" s="9"/>
      <c r="GR1009" s="9"/>
      <c r="GS1009" s="9"/>
      <c r="GT1009" s="9"/>
      <c r="GU1009" s="9"/>
      <c r="GV1009" s="9"/>
      <c r="GW1009" s="9"/>
      <c r="GX1009" s="9"/>
      <c r="GY1009" s="9"/>
      <c r="GZ1009" s="9"/>
      <c r="HA1009" s="9"/>
      <c r="HB1009" s="9"/>
      <c r="HC1009" s="9"/>
      <c r="HD1009" s="9"/>
      <c r="HE1009" s="9"/>
      <c r="HF1009" s="9"/>
      <c r="HG1009" s="9"/>
      <c r="HH1009" s="9"/>
      <c r="HI1009" s="9"/>
      <c r="HJ1009" s="9"/>
      <c r="HK1009" s="9"/>
      <c r="HL1009" s="9"/>
      <c r="HY1009" s="50"/>
    </row>
    <row r="1010" spans="139:233">
      <c r="EI1010" s="9"/>
      <c r="EJ1010" s="9"/>
      <c r="EK1010" s="9"/>
      <c r="EL1010" s="9"/>
      <c r="EM1010" s="9"/>
      <c r="EN1010" s="9"/>
      <c r="EO1010" s="9"/>
      <c r="EP1010" s="9"/>
      <c r="EQ1010" s="9"/>
      <c r="ER1010" s="9"/>
      <c r="ES1010" s="9"/>
      <c r="ET1010" s="9"/>
      <c r="EU1010" s="9"/>
      <c r="EV1010" s="9"/>
      <c r="EW1010" s="9"/>
      <c r="EX1010" s="9"/>
      <c r="EY1010" s="9"/>
      <c r="EZ1010" s="9"/>
      <c r="FA1010" s="9"/>
      <c r="FB1010" s="9"/>
      <c r="FC1010" s="9"/>
      <c r="FD1010" s="9"/>
      <c r="FE1010" s="9"/>
      <c r="FF1010" s="9"/>
      <c r="FG1010" s="9"/>
      <c r="FH1010" s="9"/>
      <c r="FI1010" s="9"/>
      <c r="FJ1010" s="9"/>
      <c r="FK1010" s="9"/>
      <c r="FL1010" s="9"/>
      <c r="FM1010" s="9"/>
      <c r="FN1010" s="9"/>
      <c r="FO1010" s="9"/>
      <c r="FP1010" s="9"/>
      <c r="FQ1010" s="9"/>
      <c r="FR1010" s="9"/>
      <c r="FS1010" s="9"/>
      <c r="FT1010" s="9"/>
      <c r="FU1010" s="9"/>
      <c r="FV1010" s="9"/>
      <c r="FW1010" s="9"/>
      <c r="FX1010" s="9"/>
      <c r="FY1010" s="9"/>
      <c r="FZ1010" s="9"/>
      <c r="GA1010" s="9"/>
      <c r="GB1010" s="9"/>
      <c r="GC1010" s="9"/>
      <c r="GD1010" s="9"/>
      <c r="GE1010" s="9"/>
      <c r="GF1010" s="9"/>
      <c r="GG1010" s="9"/>
      <c r="GH1010" s="9"/>
      <c r="GI1010" s="9"/>
      <c r="GJ1010" s="9"/>
      <c r="GK1010" s="9"/>
      <c r="GL1010" s="9"/>
      <c r="GM1010" s="9"/>
      <c r="GN1010" s="9"/>
      <c r="GO1010" s="9"/>
      <c r="GP1010" s="9"/>
      <c r="GQ1010" s="9"/>
      <c r="GR1010" s="9"/>
      <c r="GS1010" s="9"/>
      <c r="GT1010" s="9"/>
      <c r="GU1010" s="9"/>
      <c r="GV1010" s="9"/>
      <c r="GW1010" s="9"/>
      <c r="GX1010" s="9"/>
      <c r="GY1010" s="9"/>
      <c r="GZ1010" s="9"/>
      <c r="HA1010" s="9"/>
      <c r="HB1010" s="9"/>
      <c r="HC1010" s="9"/>
      <c r="HD1010" s="9"/>
      <c r="HE1010" s="9"/>
      <c r="HF1010" s="9"/>
      <c r="HG1010" s="9"/>
      <c r="HH1010" s="9"/>
      <c r="HI1010" s="9"/>
      <c r="HJ1010" s="9"/>
      <c r="HK1010" s="9"/>
      <c r="HL1010" s="9"/>
      <c r="HY1010" s="50"/>
    </row>
    <row r="1011" spans="139:233">
      <c r="EI1011" s="9"/>
      <c r="EJ1011" s="9"/>
      <c r="EK1011" s="9"/>
      <c r="EL1011" s="9"/>
      <c r="EM1011" s="9"/>
      <c r="EN1011" s="9"/>
      <c r="EO1011" s="9"/>
      <c r="EP1011" s="9"/>
      <c r="EQ1011" s="9"/>
      <c r="ER1011" s="9"/>
      <c r="ES1011" s="9"/>
      <c r="ET1011" s="9"/>
      <c r="EU1011" s="9"/>
      <c r="EV1011" s="9"/>
      <c r="EW1011" s="9"/>
      <c r="EX1011" s="9"/>
      <c r="EY1011" s="9"/>
      <c r="EZ1011" s="9"/>
      <c r="FA1011" s="9"/>
      <c r="FB1011" s="9"/>
      <c r="FC1011" s="9"/>
      <c r="FD1011" s="9"/>
      <c r="FE1011" s="9"/>
      <c r="FF1011" s="9"/>
      <c r="FG1011" s="9"/>
      <c r="FH1011" s="9"/>
      <c r="FI1011" s="9"/>
      <c r="FJ1011" s="9"/>
      <c r="FK1011" s="9"/>
      <c r="FL1011" s="9"/>
      <c r="FM1011" s="9"/>
      <c r="FN1011" s="9"/>
      <c r="FO1011" s="9"/>
      <c r="FP1011" s="9"/>
      <c r="FQ1011" s="9"/>
      <c r="FR1011" s="9"/>
      <c r="FS1011" s="9"/>
      <c r="FT1011" s="9"/>
      <c r="FU1011" s="9"/>
      <c r="FV1011" s="9"/>
      <c r="FW1011" s="9"/>
      <c r="FX1011" s="9"/>
      <c r="FY1011" s="9"/>
      <c r="FZ1011" s="9"/>
      <c r="GA1011" s="9"/>
      <c r="GB1011" s="9"/>
      <c r="GC1011" s="9"/>
      <c r="GD1011" s="9"/>
      <c r="GE1011" s="9"/>
      <c r="GF1011" s="9"/>
      <c r="GG1011" s="9"/>
      <c r="GH1011" s="9"/>
      <c r="GI1011" s="9"/>
      <c r="GJ1011" s="9"/>
      <c r="GK1011" s="9"/>
      <c r="GL1011" s="9"/>
      <c r="GM1011" s="9"/>
      <c r="GN1011" s="9"/>
      <c r="GO1011" s="9"/>
      <c r="GP1011" s="9"/>
      <c r="GQ1011" s="9"/>
      <c r="GR1011" s="9"/>
      <c r="GS1011" s="9"/>
      <c r="GT1011" s="9"/>
      <c r="GU1011" s="9"/>
      <c r="GV1011" s="9"/>
      <c r="GW1011" s="9"/>
      <c r="GX1011" s="9"/>
      <c r="GY1011" s="9"/>
      <c r="GZ1011" s="9"/>
      <c r="HA1011" s="9"/>
      <c r="HB1011" s="9"/>
      <c r="HC1011" s="9"/>
      <c r="HD1011" s="9"/>
      <c r="HE1011" s="9"/>
      <c r="HF1011" s="9"/>
      <c r="HG1011" s="9"/>
      <c r="HH1011" s="9"/>
      <c r="HI1011" s="9"/>
      <c r="HJ1011" s="9"/>
      <c r="HK1011" s="9"/>
      <c r="HL1011" s="9"/>
      <c r="HY1011" s="50"/>
    </row>
    <row r="1012" spans="139:233">
      <c r="EI1012" s="9"/>
      <c r="EJ1012" s="9"/>
      <c r="EK1012" s="9"/>
      <c r="EL1012" s="9"/>
      <c r="EM1012" s="9"/>
      <c r="EN1012" s="9"/>
      <c r="EO1012" s="9"/>
      <c r="EP1012" s="9"/>
      <c r="EQ1012" s="9"/>
      <c r="ER1012" s="9"/>
      <c r="ES1012" s="9"/>
      <c r="ET1012" s="9"/>
      <c r="EU1012" s="9"/>
      <c r="EV1012" s="9"/>
      <c r="EW1012" s="9"/>
      <c r="EX1012" s="9"/>
      <c r="EY1012" s="9"/>
      <c r="EZ1012" s="9"/>
      <c r="FA1012" s="9"/>
      <c r="FB1012" s="9"/>
      <c r="FC1012" s="9"/>
      <c r="FD1012" s="9"/>
      <c r="FE1012" s="9"/>
      <c r="FF1012" s="9"/>
      <c r="FG1012" s="9"/>
      <c r="FH1012" s="9"/>
      <c r="FI1012" s="9"/>
      <c r="FJ1012" s="9"/>
      <c r="FK1012" s="9"/>
      <c r="FL1012" s="9"/>
      <c r="FM1012" s="9"/>
      <c r="FN1012" s="9"/>
      <c r="FO1012" s="9"/>
      <c r="FP1012" s="9"/>
      <c r="FQ1012" s="9"/>
      <c r="FR1012" s="9"/>
      <c r="FS1012" s="9"/>
      <c r="FT1012" s="9"/>
      <c r="FU1012" s="9"/>
      <c r="FV1012" s="9"/>
      <c r="FW1012" s="9"/>
      <c r="FX1012" s="9"/>
      <c r="FY1012" s="9"/>
      <c r="FZ1012" s="9"/>
      <c r="GA1012" s="9"/>
      <c r="GB1012" s="9"/>
      <c r="GC1012" s="9"/>
      <c r="GD1012" s="9"/>
      <c r="GE1012" s="9"/>
      <c r="GF1012" s="9"/>
      <c r="GG1012" s="9"/>
      <c r="GH1012" s="9"/>
      <c r="GI1012" s="9"/>
      <c r="GJ1012" s="9"/>
      <c r="GK1012" s="9"/>
      <c r="GL1012" s="9"/>
      <c r="GM1012" s="9"/>
      <c r="GN1012" s="9"/>
      <c r="GO1012" s="9"/>
      <c r="GP1012" s="9"/>
      <c r="GQ1012" s="9"/>
      <c r="GR1012" s="9"/>
      <c r="GS1012" s="9"/>
      <c r="GT1012" s="9"/>
      <c r="GU1012" s="9"/>
      <c r="GV1012" s="9"/>
      <c r="GW1012" s="9"/>
      <c r="GX1012" s="9"/>
      <c r="GY1012" s="9"/>
      <c r="GZ1012" s="9"/>
      <c r="HA1012" s="9"/>
      <c r="HB1012" s="9"/>
      <c r="HC1012" s="9"/>
      <c r="HD1012" s="9"/>
      <c r="HE1012" s="9"/>
      <c r="HF1012" s="9"/>
      <c r="HG1012" s="9"/>
      <c r="HH1012" s="9"/>
      <c r="HI1012" s="9"/>
      <c r="HJ1012" s="9"/>
      <c r="HK1012" s="9"/>
      <c r="HL1012" s="9"/>
      <c r="HY1012" s="50"/>
    </row>
    <row r="1013" spans="139:233">
      <c r="EI1013" s="9"/>
      <c r="EJ1013" s="9"/>
      <c r="EK1013" s="9"/>
      <c r="EL1013" s="9"/>
      <c r="EM1013" s="9"/>
      <c r="EN1013" s="9"/>
      <c r="EO1013" s="9"/>
      <c r="EP1013" s="9"/>
      <c r="EQ1013" s="9"/>
      <c r="ER1013" s="9"/>
      <c r="ES1013" s="9"/>
      <c r="ET1013" s="9"/>
      <c r="EU1013" s="9"/>
      <c r="EV1013" s="9"/>
      <c r="EW1013" s="9"/>
      <c r="EX1013" s="9"/>
      <c r="EY1013" s="9"/>
      <c r="EZ1013" s="9"/>
      <c r="FA1013" s="9"/>
      <c r="FB1013" s="9"/>
      <c r="FC1013" s="9"/>
      <c r="FD1013" s="9"/>
      <c r="FE1013" s="9"/>
      <c r="FF1013" s="9"/>
      <c r="FG1013" s="9"/>
      <c r="FH1013" s="9"/>
      <c r="FI1013" s="9"/>
      <c r="FJ1013" s="9"/>
      <c r="FK1013" s="9"/>
      <c r="FL1013" s="9"/>
      <c r="FM1013" s="9"/>
      <c r="FN1013" s="9"/>
      <c r="FO1013" s="9"/>
      <c r="FP1013" s="9"/>
      <c r="FQ1013" s="9"/>
      <c r="FR1013" s="9"/>
      <c r="FS1013" s="9"/>
      <c r="FT1013" s="9"/>
      <c r="FU1013" s="9"/>
      <c r="FV1013" s="9"/>
      <c r="FW1013" s="9"/>
      <c r="FX1013" s="9"/>
      <c r="FY1013" s="9"/>
      <c r="FZ1013" s="9"/>
      <c r="GA1013" s="9"/>
      <c r="GB1013" s="9"/>
      <c r="GC1013" s="9"/>
      <c r="GD1013" s="9"/>
      <c r="GE1013" s="9"/>
      <c r="GF1013" s="9"/>
      <c r="GG1013" s="9"/>
      <c r="GH1013" s="9"/>
      <c r="GI1013" s="9"/>
      <c r="GJ1013" s="9"/>
      <c r="GK1013" s="9"/>
      <c r="GL1013" s="9"/>
      <c r="GM1013" s="9"/>
      <c r="GN1013" s="9"/>
      <c r="GO1013" s="9"/>
      <c r="GP1013" s="9"/>
      <c r="GQ1013" s="9"/>
      <c r="GR1013" s="9"/>
      <c r="GS1013" s="9"/>
      <c r="GT1013" s="9"/>
      <c r="GU1013" s="9"/>
      <c r="GV1013" s="9"/>
      <c r="GW1013" s="9"/>
      <c r="GX1013" s="9"/>
      <c r="GY1013" s="9"/>
      <c r="GZ1013" s="9"/>
      <c r="HA1013" s="9"/>
      <c r="HB1013" s="9"/>
      <c r="HC1013" s="9"/>
      <c r="HD1013" s="9"/>
      <c r="HE1013" s="9"/>
      <c r="HF1013" s="9"/>
      <c r="HG1013" s="9"/>
      <c r="HH1013" s="9"/>
      <c r="HI1013" s="9"/>
      <c r="HJ1013" s="9"/>
      <c r="HK1013" s="9"/>
      <c r="HL1013" s="9"/>
      <c r="HY1013" s="50"/>
    </row>
    <row r="1014" spans="139:233">
      <c r="EI1014" s="9"/>
      <c r="EJ1014" s="9"/>
      <c r="EK1014" s="9"/>
      <c r="EL1014" s="9"/>
      <c r="EM1014" s="9"/>
      <c r="EN1014" s="9"/>
      <c r="EO1014" s="9"/>
      <c r="EP1014" s="9"/>
      <c r="EQ1014" s="9"/>
      <c r="ER1014" s="9"/>
      <c r="ES1014" s="9"/>
      <c r="ET1014" s="9"/>
      <c r="EU1014" s="9"/>
      <c r="EV1014" s="9"/>
      <c r="EW1014" s="9"/>
      <c r="EX1014" s="9"/>
      <c r="EY1014" s="9"/>
      <c r="EZ1014" s="9"/>
      <c r="FA1014" s="9"/>
      <c r="FB1014" s="9"/>
      <c r="FC1014" s="9"/>
      <c r="FD1014" s="9"/>
      <c r="FE1014" s="9"/>
      <c r="FF1014" s="9"/>
      <c r="FG1014" s="9"/>
      <c r="FH1014" s="9"/>
      <c r="FI1014" s="9"/>
      <c r="FJ1014" s="9"/>
      <c r="FK1014" s="9"/>
      <c r="FL1014" s="9"/>
      <c r="FM1014" s="9"/>
      <c r="FN1014" s="9"/>
      <c r="FO1014" s="9"/>
      <c r="FP1014" s="9"/>
      <c r="FQ1014" s="9"/>
      <c r="FR1014" s="9"/>
      <c r="FS1014" s="9"/>
      <c r="FT1014" s="9"/>
      <c r="FU1014" s="9"/>
      <c r="FV1014" s="9"/>
      <c r="FW1014" s="9"/>
      <c r="FX1014" s="9"/>
      <c r="FY1014" s="9"/>
      <c r="FZ1014" s="9"/>
      <c r="GA1014" s="9"/>
      <c r="GB1014" s="9"/>
      <c r="GC1014" s="9"/>
      <c r="GD1014" s="9"/>
      <c r="GE1014" s="9"/>
      <c r="GF1014" s="9"/>
      <c r="GG1014" s="9"/>
      <c r="GH1014" s="9"/>
      <c r="GI1014" s="9"/>
      <c r="GJ1014" s="9"/>
      <c r="GK1014" s="9"/>
      <c r="GL1014" s="9"/>
      <c r="GM1014" s="9"/>
      <c r="GN1014" s="9"/>
      <c r="GO1014" s="9"/>
      <c r="GP1014" s="9"/>
      <c r="GQ1014" s="9"/>
      <c r="GR1014" s="9"/>
      <c r="GS1014" s="9"/>
      <c r="GT1014" s="9"/>
      <c r="GU1014" s="9"/>
      <c r="GV1014" s="9"/>
      <c r="GW1014" s="9"/>
      <c r="GX1014" s="9"/>
      <c r="GY1014" s="9"/>
      <c r="GZ1014" s="9"/>
      <c r="HA1014" s="9"/>
      <c r="HB1014" s="9"/>
      <c r="HC1014" s="9"/>
      <c r="HD1014" s="9"/>
      <c r="HE1014" s="9"/>
      <c r="HF1014" s="9"/>
      <c r="HG1014" s="9"/>
      <c r="HH1014" s="9"/>
      <c r="HI1014" s="9"/>
      <c r="HJ1014" s="9"/>
      <c r="HK1014" s="9"/>
      <c r="HL1014" s="9"/>
      <c r="HY1014" s="50"/>
    </row>
    <row r="1015" spans="139:233">
      <c r="EI1015" s="9"/>
      <c r="EJ1015" s="9"/>
      <c r="EK1015" s="9"/>
      <c r="EL1015" s="9"/>
      <c r="EM1015" s="9"/>
      <c r="EN1015" s="9"/>
      <c r="EO1015" s="9"/>
      <c r="EP1015" s="9"/>
      <c r="EQ1015" s="9"/>
      <c r="ER1015" s="9"/>
      <c r="ES1015" s="9"/>
      <c r="ET1015" s="9"/>
      <c r="EU1015" s="9"/>
      <c r="EV1015" s="9"/>
      <c r="EW1015" s="9"/>
      <c r="EX1015" s="9"/>
      <c r="EY1015" s="9"/>
      <c r="EZ1015" s="9"/>
      <c r="FA1015" s="9"/>
      <c r="FB1015" s="9"/>
      <c r="FC1015" s="9"/>
      <c r="FD1015" s="9"/>
      <c r="FE1015" s="9"/>
      <c r="FF1015" s="9"/>
      <c r="FG1015" s="9"/>
      <c r="FH1015" s="9"/>
      <c r="FI1015" s="9"/>
      <c r="FJ1015" s="9"/>
      <c r="FK1015" s="9"/>
      <c r="FL1015" s="9"/>
      <c r="FM1015" s="9"/>
      <c r="FN1015" s="9"/>
      <c r="FO1015" s="9"/>
      <c r="FP1015" s="9"/>
      <c r="FQ1015" s="9"/>
      <c r="FR1015" s="9"/>
      <c r="FS1015" s="9"/>
      <c r="FT1015" s="9"/>
      <c r="FU1015" s="9"/>
      <c r="FV1015" s="9"/>
      <c r="FW1015" s="9"/>
      <c r="FX1015" s="9"/>
      <c r="FY1015" s="9"/>
      <c r="FZ1015" s="9"/>
      <c r="GA1015" s="9"/>
      <c r="GB1015" s="9"/>
      <c r="GC1015" s="9"/>
      <c r="GD1015" s="9"/>
      <c r="GE1015" s="9"/>
      <c r="GF1015" s="9"/>
      <c r="GG1015" s="9"/>
      <c r="GH1015" s="9"/>
      <c r="GI1015" s="9"/>
      <c r="GJ1015" s="9"/>
      <c r="GK1015" s="9"/>
      <c r="GL1015" s="9"/>
      <c r="GM1015" s="9"/>
      <c r="GN1015" s="9"/>
      <c r="GO1015" s="9"/>
      <c r="GP1015" s="9"/>
      <c r="GQ1015" s="9"/>
      <c r="GR1015" s="9"/>
      <c r="GS1015" s="9"/>
      <c r="GT1015" s="9"/>
      <c r="GU1015" s="9"/>
      <c r="GV1015" s="9"/>
      <c r="GW1015" s="9"/>
      <c r="GX1015" s="9"/>
      <c r="GY1015" s="9"/>
      <c r="GZ1015" s="9"/>
      <c r="HA1015" s="9"/>
      <c r="HB1015" s="9"/>
      <c r="HC1015" s="9"/>
      <c r="HD1015" s="9"/>
      <c r="HE1015" s="9"/>
      <c r="HF1015" s="9"/>
      <c r="HG1015" s="9"/>
      <c r="HH1015" s="9"/>
      <c r="HI1015" s="9"/>
      <c r="HJ1015" s="9"/>
      <c r="HK1015" s="9"/>
      <c r="HL1015" s="9"/>
      <c r="HY1015" s="50"/>
    </row>
    <row r="1016" spans="139:233">
      <c r="EI1016" s="9"/>
      <c r="EJ1016" s="9"/>
      <c r="EK1016" s="9"/>
      <c r="EL1016" s="9"/>
      <c r="EM1016" s="9"/>
      <c r="EN1016" s="9"/>
      <c r="EO1016" s="9"/>
      <c r="EP1016" s="9"/>
      <c r="EQ1016" s="9"/>
      <c r="ER1016" s="9"/>
      <c r="ES1016" s="9"/>
      <c r="ET1016" s="9"/>
      <c r="EU1016" s="9"/>
      <c r="EV1016" s="9"/>
      <c r="EW1016" s="9"/>
      <c r="EX1016" s="9"/>
      <c r="EY1016" s="9"/>
      <c r="EZ1016" s="9"/>
      <c r="FA1016" s="9"/>
      <c r="FB1016" s="9"/>
      <c r="FC1016" s="9"/>
      <c r="FD1016" s="9"/>
      <c r="FE1016" s="9"/>
      <c r="FF1016" s="9"/>
      <c r="FG1016" s="9"/>
      <c r="FH1016" s="9"/>
      <c r="FI1016" s="9"/>
      <c r="FJ1016" s="9"/>
      <c r="FK1016" s="9"/>
      <c r="FL1016" s="9"/>
      <c r="FM1016" s="9"/>
      <c r="FN1016" s="9"/>
      <c r="FO1016" s="9"/>
      <c r="FP1016" s="9"/>
      <c r="FQ1016" s="9"/>
      <c r="FR1016" s="9"/>
      <c r="FS1016" s="9"/>
      <c r="FT1016" s="9"/>
      <c r="FU1016" s="9"/>
      <c r="FV1016" s="9"/>
      <c r="FW1016" s="9"/>
      <c r="FX1016" s="9"/>
      <c r="FY1016" s="9"/>
      <c r="FZ1016" s="9"/>
      <c r="GA1016" s="9"/>
      <c r="GB1016" s="9"/>
      <c r="GC1016" s="9"/>
      <c r="GD1016" s="9"/>
      <c r="GE1016" s="9"/>
      <c r="GF1016" s="9"/>
      <c r="GG1016" s="9"/>
      <c r="GH1016" s="9"/>
      <c r="GI1016" s="9"/>
      <c r="GJ1016" s="9"/>
      <c r="GK1016" s="9"/>
      <c r="GL1016" s="9"/>
      <c r="GM1016" s="9"/>
      <c r="GN1016" s="9"/>
      <c r="GO1016" s="9"/>
      <c r="GP1016" s="9"/>
      <c r="GQ1016" s="9"/>
      <c r="GR1016" s="9"/>
      <c r="GS1016" s="9"/>
      <c r="GT1016" s="9"/>
      <c r="GU1016" s="9"/>
      <c r="GV1016" s="9"/>
      <c r="GW1016" s="9"/>
      <c r="GX1016" s="9"/>
      <c r="GY1016" s="9"/>
      <c r="GZ1016" s="9"/>
      <c r="HA1016" s="9"/>
      <c r="HB1016" s="9"/>
      <c r="HC1016" s="9"/>
      <c r="HD1016" s="9"/>
      <c r="HE1016" s="9"/>
      <c r="HF1016" s="9"/>
      <c r="HG1016" s="9"/>
      <c r="HH1016" s="9"/>
      <c r="HI1016" s="9"/>
      <c r="HJ1016" s="9"/>
      <c r="HK1016" s="9"/>
      <c r="HL1016" s="9"/>
      <c r="HY1016" s="50"/>
    </row>
    <row r="1017" spans="139:233">
      <c r="EI1017" s="9"/>
      <c r="EJ1017" s="9"/>
      <c r="EK1017" s="9"/>
      <c r="EL1017" s="9"/>
      <c r="EM1017" s="9"/>
      <c r="EN1017" s="9"/>
      <c r="EO1017" s="9"/>
      <c r="EP1017" s="9"/>
      <c r="EQ1017" s="9"/>
      <c r="ER1017" s="9"/>
      <c r="ES1017" s="9"/>
      <c r="ET1017" s="9"/>
      <c r="EU1017" s="9"/>
      <c r="EV1017" s="9"/>
      <c r="EW1017" s="9"/>
      <c r="EX1017" s="9"/>
      <c r="EY1017" s="9"/>
      <c r="EZ1017" s="9"/>
      <c r="FA1017" s="9"/>
      <c r="FB1017" s="9"/>
      <c r="FC1017" s="9"/>
      <c r="FD1017" s="9"/>
      <c r="FE1017" s="9"/>
      <c r="FF1017" s="9"/>
      <c r="FG1017" s="9"/>
      <c r="FH1017" s="9"/>
      <c r="FI1017" s="9"/>
      <c r="FJ1017" s="9"/>
      <c r="FK1017" s="9"/>
      <c r="FL1017" s="9"/>
      <c r="FM1017" s="9"/>
      <c r="FN1017" s="9"/>
      <c r="FO1017" s="9"/>
      <c r="FP1017" s="9"/>
      <c r="FQ1017" s="9"/>
      <c r="FR1017" s="9"/>
      <c r="FS1017" s="9"/>
      <c r="FT1017" s="9"/>
      <c r="FU1017" s="9"/>
      <c r="FV1017" s="9"/>
      <c r="FW1017" s="9"/>
      <c r="FX1017" s="9"/>
      <c r="FY1017" s="9"/>
      <c r="FZ1017" s="9"/>
      <c r="GA1017" s="9"/>
      <c r="GB1017" s="9"/>
      <c r="GC1017" s="9"/>
      <c r="GD1017" s="9"/>
      <c r="GE1017" s="9"/>
      <c r="GF1017" s="9"/>
      <c r="GG1017" s="9"/>
      <c r="GH1017" s="9"/>
      <c r="GI1017" s="9"/>
      <c r="GJ1017" s="9"/>
      <c r="GK1017" s="9"/>
      <c r="GL1017" s="9"/>
      <c r="GM1017" s="9"/>
      <c r="GN1017" s="9"/>
      <c r="GO1017" s="9"/>
      <c r="GP1017" s="9"/>
      <c r="GQ1017" s="9"/>
      <c r="GR1017" s="9"/>
      <c r="GS1017" s="9"/>
      <c r="GT1017" s="9"/>
      <c r="GU1017" s="9"/>
      <c r="GV1017" s="9"/>
      <c r="GW1017" s="9"/>
      <c r="GX1017" s="9"/>
      <c r="GY1017" s="9"/>
      <c r="GZ1017" s="9"/>
      <c r="HA1017" s="9"/>
      <c r="HB1017" s="9"/>
      <c r="HC1017" s="9"/>
      <c r="HD1017" s="9"/>
      <c r="HE1017" s="9"/>
      <c r="HF1017" s="9"/>
      <c r="HG1017" s="9"/>
      <c r="HH1017" s="9"/>
      <c r="HI1017" s="9"/>
      <c r="HJ1017" s="9"/>
      <c r="HK1017" s="9"/>
      <c r="HL1017" s="9"/>
      <c r="HY1017" s="50"/>
    </row>
    <row r="1018" spans="139:233">
      <c r="EI1018" s="9"/>
      <c r="EJ1018" s="9"/>
      <c r="EK1018" s="9"/>
      <c r="EL1018" s="9"/>
      <c r="EM1018" s="9"/>
      <c r="EN1018" s="9"/>
      <c r="EO1018" s="9"/>
      <c r="EP1018" s="9"/>
      <c r="EQ1018" s="9"/>
      <c r="ER1018" s="9"/>
      <c r="ES1018" s="9"/>
      <c r="ET1018" s="9"/>
      <c r="EU1018" s="9"/>
      <c r="EV1018" s="9"/>
      <c r="EW1018" s="9"/>
      <c r="EX1018" s="9"/>
      <c r="EY1018" s="9"/>
      <c r="EZ1018" s="9"/>
      <c r="FA1018" s="9"/>
      <c r="FB1018" s="9"/>
      <c r="FC1018" s="9"/>
      <c r="FD1018" s="9"/>
      <c r="FE1018" s="9"/>
      <c r="FF1018" s="9"/>
      <c r="FG1018" s="9"/>
      <c r="FH1018" s="9"/>
      <c r="FI1018" s="9"/>
      <c r="FJ1018" s="9"/>
      <c r="FK1018" s="9"/>
      <c r="FL1018" s="9"/>
      <c r="FM1018" s="9"/>
      <c r="FN1018" s="9"/>
      <c r="FO1018" s="9"/>
      <c r="FP1018" s="9"/>
      <c r="FQ1018" s="9"/>
      <c r="FR1018" s="9"/>
      <c r="FS1018" s="9"/>
      <c r="FT1018" s="9"/>
      <c r="FU1018" s="9"/>
      <c r="FV1018" s="9"/>
      <c r="FW1018" s="9"/>
      <c r="FX1018" s="9"/>
      <c r="FY1018" s="9"/>
      <c r="FZ1018" s="9"/>
      <c r="GA1018" s="9"/>
      <c r="GB1018" s="9"/>
      <c r="GC1018" s="9"/>
      <c r="GD1018" s="9"/>
      <c r="GE1018" s="9"/>
      <c r="GF1018" s="9"/>
      <c r="GG1018" s="9"/>
      <c r="GH1018" s="9"/>
      <c r="GI1018" s="9"/>
      <c r="GJ1018" s="9"/>
      <c r="GK1018" s="9"/>
      <c r="GL1018" s="9"/>
      <c r="GM1018" s="9"/>
      <c r="GN1018" s="9"/>
      <c r="GO1018" s="9"/>
      <c r="GP1018" s="9"/>
      <c r="GQ1018" s="9"/>
      <c r="GR1018" s="9"/>
      <c r="GS1018" s="9"/>
      <c r="GT1018" s="9"/>
      <c r="GU1018" s="9"/>
      <c r="GV1018" s="9"/>
      <c r="GW1018" s="9"/>
      <c r="GX1018" s="9"/>
      <c r="GY1018" s="9"/>
      <c r="GZ1018" s="9"/>
      <c r="HA1018" s="9"/>
      <c r="HB1018" s="9"/>
      <c r="HC1018" s="9"/>
      <c r="HD1018" s="9"/>
      <c r="HE1018" s="9"/>
      <c r="HF1018" s="9"/>
      <c r="HG1018" s="9"/>
      <c r="HH1018" s="9"/>
      <c r="HI1018" s="9"/>
      <c r="HJ1018" s="9"/>
      <c r="HK1018" s="9"/>
      <c r="HL1018" s="9"/>
      <c r="HY1018" s="50"/>
    </row>
    <row r="1019" spans="139:233">
      <c r="EI1019" s="9"/>
      <c r="EJ1019" s="9"/>
      <c r="EK1019" s="9"/>
      <c r="EL1019" s="9"/>
      <c r="EM1019" s="9"/>
      <c r="EN1019" s="9"/>
      <c r="EO1019" s="9"/>
      <c r="EP1019" s="9"/>
      <c r="EQ1019" s="9"/>
      <c r="ER1019" s="9"/>
      <c r="ES1019" s="9"/>
      <c r="ET1019" s="9"/>
      <c r="EU1019" s="9"/>
      <c r="EV1019" s="9"/>
      <c r="EW1019" s="9"/>
      <c r="EX1019" s="9"/>
      <c r="EY1019" s="9"/>
      <c r="EZ1019" s="9"/>
      <c r="FA1019" s="9"/>
      <c r="FB1019" s="9"/>
      <c r="FC1019" s="9"/>
      <c r="FD1019" s="9"/>
      <c r="FE1019" s="9"/>
      <c r="FF1019" s="9"/>
      <c r="FG1019" s="9"/>
      <c r="FH1019" s="9"/>
      <c r="FI1019" s="9"/>
      <c r="FJ1019" s="9"/>
      <c r="FK1019" s="9"/>
      <c r="FL1019" s="9"/>
      <c r="FM1019" s="9"/>
      <c r="FN1019" s="9"/>
      <c r="FO1019" s="9"/>
      <c r="FP1019" s="9"/>
      <c r="FQ1019" s="9"/>
      <c r="FR1019" s="9"/>
      <c r="FS1019" s="9"/>
      <c r="FT1019" s="9"/>
      <c r="FU1019" s="9"/>
      <c r="FV1019" s="9"/>
      <c r="FW1019" s="9"/>
      <c r="FX1019" s="9"/>
      <c r="FY1019" s="9"/>
      <c r="FZ1019" s="9"/>
      <c r="GA1019" s="9"/>
      <c r="GB1019" s="9"/>
      <c r="GC1019" s="9"/>
      <c r="GD1019" s="9"/>
      <c r="GE1019" s="9"/>
      <c r="GF1019" s="9"/>
      <c r="GG1019" s="9"/>
      <c r="GH1019" s="9"/>
      <c r="GI1019" s="9"/>
      <c r="GJ1019" s="9"/>
      <c r="GK1019" s="9"/>
      <c r="GL1019" s="9"/>
      <c r="GM1019" s="9"/>
      <c r="GN1019" s="9"/>
      <c r="GO1019" s="9"/>
      <c r="GP1019" s="9"/>
      <c r="GQ1019" s="9"/>
      <c r="GR1019" s="9"/>
      <c r="GS1019" s="9"/>
      <c r="GT1019" s="9"/>
      <c r="GU1019" s="9"/>
      <c r="GV1019" s="9"/>
      <c r="GW1019" s="9"/>
      <c r="GX1019" s="9"/>
      <c r="GY1019" s="9"/>
      <c r="GZ1019" s="9"/>
      <c r="HA1019" s="9"/>
      <c r="HB1019" s="9"/>
      <c r="HC1019" s="9"/>
      <c r="HD1019" s="9"/>
      <c r="HE1019" s="9"/>
      <c r="HF1019" s="9"/>
      <c r="HG1019" s="9"/>
      <c r="HH1019" s="9"/>
      <c r="HI1019" s="9"/>
      <c r="HJ1019" s="9"/>
      <c r="HK1019" s="9"/>
      <c r="HL1019" s="9"/>
      <c r="HY1019" s="50"/>
    </row>
    <row r="1020" spans="139:233">
      <c r="EI1020" s="9"/>
      <c r="EJ1020" s="9"/>
      <c r="EK1020" s="9"/>
      <c r="EL1020" s="9"/>
      <c r="EM1020" s="9"/>
      <c r="EN1020" s="9"/>
      <c r="EO1020" s="9"/>
      <c r="EP1020" s="9"/>
      <c r="EQ1020" s="9"/>
      <c r="ER1020" s="9"/>
      <c r="ES1020" s="9"/>
      <c r="ET1020" s="9"/>
      <c r="EU1020" s="9"/>
      <c r="EV1020" s="9"/>
      <c r="EW1020" s="9"/>
      <c r="EX1020" s="9"/>
      <c r="EY1020" s="9"/>
      <c r="EZ1020" s="9"/>
      <c r="FA1020" s="9"/>
      <c r="FB1020" s="9"/>
      <c r="FC1020" s="9"/>
      <c r="FD1020" s="9"/>
      <c r="FE1020" s="9"/>
      <c r="FF1020" s="9"/>
      <c r="FG1020" s="9"/>
      <c r="FH1020" s="9"/>
      <c r="FI1020" s="9"/>
      <c r="FJ1020" s="9"/>
      <c r="FK1020" s="9"/>
      <c r="FL1020" s="9"/>
      <c r="FM1020" s="9"/>
      <c r="FN1020" s="9"/>
      <c r="FO1020" s="9"/>
      <c r="FP1020" s="9"/>
      <c r="FQ1020" s="9"/>
      <c r="FR1020" s="9"/>
      <c r="FS1020" s="9"/>
      <c r="FT1020" s="9"/>
      <c r="FU1020" s="9"/>
      <c r="FV1020" s="9"/>
      <c r="FW1020" s="9"/>
      <c r="FX1020" s="9"/>
      <c r="FY1020" s="9"/>
      <c r="FZ1020" s="9"/>
      <c r="GA1020" s="9"/>
      <c r="GB1020" s="9"/>
      <c r="GC1020" s="9"/>
      <c r="GD1020" s="9"/>
      <c r="GE1020" s="9"/>
      <c r="GF1020" s="9"/>
      <c r="GG1020" s="9"/>
      <c r="GH1020" s="9"/>
      <c r="GI1020" s="9"/>
      <c r="GJ1020" s="9"/>
      <c r="GK1020" s="9"/>
      <c r="GL1020" s="9"/>
      <c r="GM1020" s="9"/>
      <c r="GN1020" s="9"/>
      <c r="GO1020" s="9"/>
      <c r="GP1020" s="9"/>
      <c r="GQ1020" s="9"/>
      <c r="GR1020" s="9"/>
      <c r="GS1020" s="9"/>
      <c r="GT1020" s="9"/>
      <c r="GU1020" s="9"/>
      <c r="GV1020" s="9"/>
      <c r="GW1020" s="9"/>
      <c r="GX1020" s="9"/>
      <c r="GY1020" s="9"/>
      <c r="GZ1020" s="9"/>
      <c r="HA1020" s="9"/>
      <c r="HB1020" s="9"/>
      <c r="HC1020" s="9"/>
      <c r="HD1020" s="9"/>
      <c r="HE1020" s="9"/>
      <c r="HF1020" s="9"/>
      <c r="HG1020" s="9"/>
      <c r="HH1020" s="9"/>
      <c r="HI1020" s="9"/>
      <c r="HJ1020" s="9"/>
      <c r="HK1020" s="9"/>
      <c r="HL1020" s="9"/>
      <c r="HY1020" s="50"/>
    </row>
    <row r="1021" spans="139:233">
      <c r="EI1021" s="9"/>
      <c r="EJ1021" s="9"/>
      <c r="EK1021" s="9"/>
      <c r="EL1021" s="9"/>
      <c r="EM1021" s="9"/>
      <c r="EN1021" s="9"/>
      <c r="EO1021" s="9"/>
      <c r="EP1021" s="9"/>
      <c r="EQ1021" s="9"/>
      <c r="ER1021" s="9"/>
      <c r="ES1021" s="9"/>
      <c r="ET1021" s="9"/>
      <c r="EU1021" s="9"/>
      <c r="EV1021" s="9"/>
      <c r="EW1021" s="9"/>
      <c r="EX1021" s="9"/>
      <c r="EY1021" s="9"/>
      <c r="EZ1021" s="9"/>
      <c r="FA1021" s="9"/>
      <c r="FB1021" s="9"/>
      <c r="FC1021" s="9"/>
      <c r="FD1021" s="9"/>
      <c r="FE1021" s="9"/>
      <c r="FF1021" s="9"/>
      <c r="FG1021" s="9"/>
      <c r="FH1021" s="9"/>
      <c r="FI1021" s="9"/>
      <c r="FJ1021" s="9"/>
      <c r="FK1021" s="9"/>
      <c r="FL1021" s="9"/>
      <c r="FM1021" s="9"/>
      <c r="FN1021" s="9"/>
      <c r="FO1021" s="9"/>
      <c r="FP1021" s="9"/>
      <c r="FQ1021" s="9"/>
      <c r="FR1021" s="9"/>
      <c r="FS1021" s="9"/>
      <c r="FT1021" s="9"/>
      <c r="FU1021" s="9"/>
      <c r="FV1021" s="9"/>
      <c r="FW1021" s="9"/>
      <c r="FX1021" s="9"/>
      <c r="FY1021" s="9"/>
      <c r="FZ1021" s="9"/>
      <c r="GA1021" s="9"/>
      <c r="GB1021" s="9"/>
      <c r="GC1021" s="9"/>
      <c r="GD1021" s="9"/>
      <c r="GE1021" s="9"/>
      <c r="GF1021" s="9"/>
      <c r="GG1021" s="9"/>
      <c r="GH1021" s="9"/>
      <c r="GI1021" s="9"/>
      <c r="GJ1021" s="9"/>
      <c r="GK1021" s="9"/>
      <c r="GL1021" s="9"/>
      <c r="GM1021" s="9"/>
      <c r="GN1021" s="9"/>
      <c r="GO1021" s="9"/>
      <c r="GP1021" s="9"/>
      <c r="GQ1021" s="9"/>
      <c r="GR1021" s="9"/>
      <c r="GS1021" s="9"/>
      <c r="GT1021" s="9"/>
      <c r="GU1021" s="9"/>
      <c r="GV1021" s="9"/>
      <c r="GW1021" s="9"/>
      <c r="GX1021" s="9"/>
      <c r="GY1021" s="9"/>
      <c r="GZ1021" s="9"/>
      <c r="HA1021" s="9"/>
      <c r="HB1021" s="9"/>
      <c r="HC1021" s="9"/>
      <c r="HD1021" s="9"/>
      <c r="HE1021" s="9"/>
      <c r="HF1021" s="9"/>
      <c r="HG1021" s="9"/>
      <c r="HH1021" s="9"/>
      <c r="HI1021" s="9"/>
      <c r="HJ1021" s="9"/>
      <c r="HK1021" s="9"/>
      <c r="HL1021" s="9"/>
      <c r="HY1021" s="50"/>
    </row>
    <row r="1022" spans="139:233">
      <c r="EI1022" s="9"/>
      <c r="EJ1022" s="9"/>
      <c r="EK1022" s="9"/>
      <c r="EL1022" s="9"/>
      <c r="EM1022" s="9"/>
      <c r="EN1022" s="9"/>
      <c r="EO1022" s="9"/>
      <c r="EP1022" s="9"/>
      <c r="EQ1022" s="9"/>
      <c r="ER1022" s="9"/>
      <c r="ES1022" s="9"/>
      <c r="ET1022" s="9"/>
      <c r="EU1022" s="9"/>
      <c r="EV1022" s="9"/>
      <c r="EW1022" s="9"/>
      <c r="EX1022" s="9"/>
      <c r="EY1022" s="9"/>
      <c r="EZ1022" s="9"/>
      <c r="FA1022" s="9"/>
      <c r="FB1022" s="9"/>
      <c r="FC1022" s="9"/>
      <c r="FD1022" s="9"/>
      <c r="FE1022" s="9"/>
      <c r="FF1022" s="9"/>
      <c r="FG1022" s="9"/>
      <c r="FH1022" s="9"/>
      <c r="FI1022" s="9"/>
      <c r="FJ1022" s="9"/>
      <c r="FK1022" s="9"/>
      <c r="FL1022" s="9"/>
      <c r="FM1022" s="9"/>
      <c r="FN1022" s="9"/>
      <c r="FO1022" s="9"/>
      <c r="FP1022" s="9"/>
      <c r="FQ1022" s="9"/>
      <c r="FR1022" s="9"/>
      <c r="FS1022" s="9"/>
      <c r="FT1022" s="9"/>
      <c r="FU1022" s="9"/>
      <c r="FV1022" s="9"/>
      <c r="FW1022" s="9"/>
      <c r="FX1022" s="9"/>
      <c r="FY1022" s="9"/>
      <c r="FZ1022" s="9"/>
      <c r="GA1022" s="9"/>
      <c r="GB1022" s="9"/>
      <c r="GC1022" s="9"/>
      <c r="GD1022" s="9"/>
      <c r="GE1022" s="9"/>
      <c r="GF1022" s="9"/>
      <c r="GG1022" s="9"/>
      <c r="GH1022" s="9"/>
      <c r="GI1022" s="9"/>
      <c r="GJ1022" s="9"/>
      <c r="GK1022" s="9"/>
      <c r="GL1022" s="9"/>
      <c r="GM1022" s="9"/>
      <c r="GN1022" s="9"/>
      <c r="GO1022" s="9"/>
      <c r="GP1022" s="9"/>
      <c r="GQ1022" s="9"/>
      <c r="GR1022" s="9"/>
      <c r="GS1022" s="9"/>
      <c r="GT1022" s="9"/>
      <c r="GU1022" s="9"/>
      <c r="GV1022" s="9"/>
      <c r="GW1022" s="9"/>
      <c r="GX1022" s="9"/>
      <c r="GY1022" s="9"/>
      <c r="GZ1022" s="9"/>
      <c r="HA1022" s="9"/>
      <c r="HB1022" s="9"/>
      <c r="HC1022" s="9"/>
      <c r="HD1022" s="9"/>
      <c r="HE1022" s="9"/>
      <c r="HF1022" s="9"/>
      <c r="HG1022" s="9"/>
      <c r="HH1022" s="9"/>
      <c r="HI1022" s="9"/>
      <c r="HJ1022" s="9"/>
      <c r="HK1022" s="9"/>
      <c r="HL1022" s="9"/>
      <c r="HY1022" s="50"/>
    </row>
    <row r="1023" spans="139:233">
      <c r="EI1023" s="9"/>
      <c r="EJ1023" s="9"/>
      <c r="EK1023" s="9"/>
      <c r="EL1023" s="9"/>
      <c r="EM1023" s="9"/>
      <c r="EN1023" s="9"/>
      <c r="EO1023" s="9"/>
      <c r="EP1023" s="9"/>
      <c r="EQ1023" s="9"/>
      <c r="ER1023" s="9"/>
      <c r="ES1023" s="9"/>
      <c r="ET1023" s="9"/>
      <c r="EU1023" s="9"/>
      <c r="EV1023" s="9"/>
      <c r="EW1023" s="9"/>
      <c r="EX1023" s="9"/>
      <c r="EY1023" s="9"/>
      <c r="EZ1023" s="9"/>
      <c r="FA1023" s="9"/>
      <c r="FB1023" s="9"/>
      <c r="FC1023" s="9"/>
      <c r="FD1023" s="9"/>
      <c r="FE1023" s="9"/>
      <c r="FF1023" s="9"/>
      <c r="FG1023" s="9"/>
      <c r="FH1023" s="9"/>
      <c r="FI1023" s="9"/>
      <c r="FJ1023" s="9"/>
      <c r="FK1023" s="9"/>
      <c r="FL1023" s="9"/>
      <c r="FM1023" s="9"/>
      <c r="FN1023" s="9"/>
      <c r="FO1023" s="9"/>
      <c r="FP1023" s="9"/>
      <c r="FQ1023" s="9"/>
      <c r="FR1023" s="9"/>
      <c r="FS1023" s="9"/>
      <c r="FT1023" s="9"/>
      <c r="FU1023" s="9"/>
      <c r="FV1023" s="9"/>
      <c r="FW1023" s="9"/>
      <c r="FX1023" s="9"/>
      <c r="FY1023" s="9"/>
      <c r="FZ1023" s="9"/>
      <c r="GA1023" s="9"/>
      <c r="GB1023" s="9"/>
      <c r="GC1023" s="9"/>
      <c r="GD1023" s="9"/>
      <c r="GE1023" s="9"/>
      <c r="GF1023" s="9"/>
      <c r="GG1023" s="9"/>
      <c r="GH1023" s="9"/>
      <c r="GI1023" s="9"/>
      <c r="GJ1023" s="9"/>
      <c r="GK1023" s="9"/>
      <c r="GL1023" s="9"/>
      <c r="GM1023" s="9"/>
      <c r="GN1023" s="9"/>
      <c r="GO1023" s="9"/>
      <c r="GP1023" s="9"/>
      <c r="GQ1023" s="9"/>
      <c r="GR1023" s="9"/>
      <c r="GS1023" s="9"/>
      <c r="GT1023" s="9"/>
      <c r="GU1023" s="9"/>
      <c r="GV1023" s="9"/>
      <c r="GW1023" s="9"/>
      <c r="GX1023" s="9"/>
      <c r="GY1023" s="9"/>
      <c r="GZ1023" s="9"/>
      <c r="HA1023" s="9"/>
      <c r="HB1023" s="9"/>
      <c r="HC1023" s="9"/>
      <c r="HD1023" s="9"/>
      <c r="HE1023" s="9"/>
      <c r="HF1023" s="9"/>
      <c r="HG1023" s="9"/>
      <c r="HH1023" s="9"/>
      <c r="HI1023" s="9"/>
      <c r="HJ1023" s="9"/>
      <c r="HK1023" s="9"/>
      <c r="HL1023" s="9"/>
      <c r="HY1023" s="50"/>
    </row>
    <row r="1024" spans="139:233">
      <c r="EI1024" s="9"/>
      <c r="EJ1024" s="9"/>
      <c r="EK1024" s="9"/>
      <c r="EL1024" s="9"/>
      <c r="EM1024" s="9"/>
      <c r="EN1024" s="9"/>
      <c r="EO1024" s="9"/>
      <c r="EP1024" s="9"/>
      <c r="EQ1024" s="9"/>
      <c r="ER1024" s="9"/>
      <c r="ES1024" s="9"/>
      <c r="ET1024" s="9"/>
      <c r="EU1024" s="9"/>
      <c r="EV1024" s="9"/>
      <c r="EW1024" s="9"/>
      <c r="EX1024" s="9"/>
      <c r="EY1024" s="9"/>
      <c r="EZ1024" s="9"/>
      <c r="FA1024" s="9"/>
      <c r="FB1024" s="9"/>
      <c r="FC1024" s="9"/>
      <c r="FD1024" s="9"/>
      <c r="FE1024" s="9"/>
      <c r="FF1024" s="9"/>
      <c r="FG1024" s="9"/>
      <c r="FH1024" s="9"/>
      <c r="FI1024" s="9"/>
      <c r="FJ1024" s="9"/>
      <c r="FK1024" s="9"/>
      <c r="FL1024" s="9"/>
      <c r="FM1024" s="9"/>
      <c r="FN1024" s="9"/>
      <c r="FO1024" s="9"/>
      <c r="FP1024" s="9"/>
      <c r="FQ1024" s="9"/>
      <c r="FR1024" s="9"/>
      <c r="FS1024" s="9"/>
      <c r="FT1024" s="9"/>
      <c r="FU1024" s="9"/>
      <c r="FV1024" s="9"/>
      <c r="FW1024" s="9"/>
      <c r="FX1024" s="9"/>
      <c r="FY1024" s="9"/>
      <c r="FZ1024" s="9"/>
      <c r="GA1024" s="9"/>
      <c r="GB1024" s="9"/>
      <c r="GC1024" s="9"/>
      <c r="GD1024" s="9"/>
      <c r="GE1024" s="9"/>
      <c r="GF1024" s="9"/>
      <c r="GG1024" s="9"/>
      <c r="GH1024" s="9"/>
      <c r="GI1024" s="9"/>
      <c r="GJ1024" s="9"/>
      <c r="GK1024" s="9"/>
      <c r="GL1024" s="9"/>
      <c r="GM1024" s="9"/>
      <c r="GN1024" s="9"/>
      <c r="GO1024" s="9"/>
      <c r="GP1024" s="9"/>
      <c r="GQ1024" s="9"/>
      <c r="GR1024" s="9"/>
      <c r="GS1024" s="9"/>
      <c r="GT1024" s="9"/>
      <c r="GU1024" s="9"/>
      <c r="GV1024" s="9"/>
      <c r="GW1024" s="9"/>
      <c r="GX1024" s="9"/>
      <c r="GY1024" s="9"/>
      <c r="GZ1024" s="9"/>
      <c r="HA1024" s="9"/>
      <c r="HB1024" s="9"/>
      <c r="HC1024" s="9"/>
      <c r="HD1024" s="9"/>
      <c r="HE1024" s="9"/>
      <c r="HF1024" s="9"/>
      <c r="HG1024" s="9"/>
      <c r="HH1024" s="9"/>
      <c r="HI1024" s="9"/>
      <c r="HJ1024" s="9"/>
      <c r="HK1024" s="9"/>
      <c r="HL1024" s="9"/>
      <c r="HY1024" s="50"/>
    </row>
    <row r="1025" spans="139:233">
      <c r="EI1025" s="9"/>
      <c r="EJ1025" s="9"/>
      <c r="EK1025" s="9"/>
      <c r="EL1025" s="9"/>
      <c r="EM1025" s="9"/>
      <c r="EN1025" s="9"/>
      <c r="EO1025" s="9"/>
      <c r="EP1025" s="9"/>
      <c r="EQ1025" s="9"/>
      <c r="ER1025" s="9"/>
      <c r="ES1025" s="9"/>
      <c r="ET1025" s="9"/>
      <c r="EU1025" s="9"/>
      <c r="EV1025" s="9"/>
      <c r="EW1025" s="9"/>
      <c r="EX1025" s="9"/>
      <c r="EY1025" s="9"/>
      <c r="EZ1025" s="9"/>
      <c r="FA1025" s="9"/>
      <c r="FB1025" s="9"/>
      <c r="FC1025" s="9"/>
      <c r="FD1025" s="9"/>
      <c r="FE1025" s="9"/>
      <c r="FF1025" s="9"/>
      <c r="FG1025" s="9"/>
      <c r="FH1025" s="9"/>
      <c r="FI1025" s="9"/>
      <c r="FJ1025" s="9"/>
      <c r="FK1025" s="9"/>
      <c r="FL1025" s="9"/>
      <c r="FM1025" s="9"/>
      <c r="FN1025" s="9"/>
      <c r="FO1025" s="9"/>
      <c r="FP1025" s="9"/>
      <c r="FQ1025" s="9"/>
      <c r="FR1025" s="9"/>
      <c r="FS1025" s="9"/>
      <c r="FT1025" s="9"/>
      <c r="FU1025" s="9"/>
      <c r="FV1025" s="9"/>
      <c r="FW1025" s="9"/>
      <c r="FX1025" s="9"/>
      <c r="FY1025" s="9"/>
      <c r="FZ1025" s="9"/>
      <c r="GA1025" s="9"/>
      <c r="GB1025" s="9"/>
      <c r="GC1025" s="9"/>
      <c r="GD1025" s="9"/>
      <c r="GE1025" s="9"/>
      <c r="GF1025" s="9"/>
      <c r="GG1025" s="9"/>
      <c r="GH1025" s="9"/>
      <c r="GI1025" s="9"/>
      <c r="GJ1025" s="9"/>
      <c r="GK1025" s="9"/>
      <c r="GL1025" s="9"/>
      <c r="GM1025" s="9"/>
      <c r="GN1025" s="9"/>
      <c r="GO1025" s="9"/>
      <c r="GP1025" s="9"/>
      <c r="GQ1025" s="9"/>
      <c r="GR1025" s="9"/>
      <c r="GS1025" s="9"/>
      <c r="GT1025" s="9"/>
      <c r="GU1025" s="9"/>
      <c r="GV1025" s="9"/>
      <c r="GW1025" s="9"/>
      <c r="GX1025" s="9"/>
      <c r="GY1025" s="9"/>
      <c r="GZ1025" s="9"/>
      <c r="HA1025" s="9"/>
      <c r="HB1025" s="9"/>
      <c r="HC1025" s="9"/>
      <c r="HD1025" s="9"/>
      <c r="HE1025" s="9"/>
      <c r="HF1025" s="9"/>
      <c r="HG1025" s="9"/>
      <c r="HH1025" s="9"/>
      <c r="HI1025" s="9"/>
      <c r="HJ1025" s="9"/>
      <c r="HK1025" s="9"/>
      <c r="HL1025" s="9"/>
      <c r="HY1025" s="50"/>
    </row>
    <row r="1026" spans="139:233">
      <c r="EI1026" s="9"/>
      <c r="EJ1026" s="9"/>
      <c r="EK1026" s="9"/>
      <c r="EL1026" s="9"/>
      <c r="EM1026" s="9"/>
      <c r="EN1026" s="9"/>
      <c r="EO1026" s="9"/>
      <c r="EP1026" s="9"/>
      <c r="EQ1026" s="9"/>
      <c r="ER1026" s="9"/>
      <c r="ES1026" s="9"/>
      <c r="ET1026" s="9"/>
      <c r="EU1026" s="9"/>
      <c r="EV1026" s="9"/>
      <c r="EW1026" s="9"/>
      <c r="EX1026" s="9"/>
      <c r="EY1026" s="9"/>
      <c r="EZ1026" s="9"/>
      <c r="FA1026" s="9"/>
      <c r="FB1026" s="9"/>
      <c r="FC1026" s="9"/>
      <c r="FD1026" s="9"/>
      <c r="FE1026" s="9"/>
      <c r="FF1026" s="9"/>
      <c r="FG1026" s="9"/>
      <c r="FH1026" s="9"/>
      <c r="FI1026" s="9"/>
      <c r="FJ1026" s="9"/>
      <c r="FK1026" s="9"/>
      <c r="FL1026" s="9"/>
      <c r="FM1026" s="9"/>
      <c r="FN1026" s="9"/>
      <c r="FO1026" s="9"/>
      <c r="FP1026" s="9"/>
      <c r="FQ1026" s="9"/>
      <c r="FR1026" s="9"/>
      <c r="FS1026" s="9"/>
      <c r="FT1026" s="9"/>
      <c r="FU1026" s="9"/>
      <c r="FV1026" s="9"/>
      <c r="FW1026" s="9"/>
      <c r="FX1026" s="9"/>
      <c r="FY1026" s="9"/>
      <c r="FZ1026" s="9"/>
      <c r="GA1026" s="9"/>
      <c r="GB1026" s="9"/>
      <c r="GC1026" s="9"/>
      <c r="GD1026" s="9"/>
      <c r="GE1026" s="9"/>
      <c r="GF1026" s="9"/>
      <c r="GG1026" s="9"/>
      <c r="GH1026" s="9"/>
      <c r="GI1026" s="9"/>
      <c r="GJ1026" s="9"/>
      <c r="GK1026" s="9"/>
      <c r="GL1026" s="9"/>
      <c r="GM1026" s="9"/>
      <c r="GN1026" s="9"/>
      <c r="GO1026" s="9"/>
      <c r="GP1026" s="9"/>
      <c r="GQ1026" s="9"/>
      <c r="GR1026" s="9"/>
      <c r="GS1026" s="9"/>
      <c r="GT1026" s="9"/>
      <c r="GU1026" s="9"/>
      <c r="GV1026" s="9"/>
      <c r="GW1026" s="9"/>
      <c r="GX1026" s="9"/>
      <c r="GY1026" s="9"/>
      <c r="GZ1026" s="9"/>
      <c r="HA1026" s="9"/>
      <c r="HB1026" s="9"/>
      <c r="HC1026" s="9"/>
      <c r="HD1026" s="9"/>
      <c r="HE1026" s="9"/>
      <c r="HF1026" s="9"/>
      <c r="HG1026" s="9"/>
      <c r="HH1026" s="9"/>
      <c r="HI1026" s="9"/>
      <c r="HJ1026" s="9"/>
      <c r="HK1026" s="9"/>
      <c r="HL1026" s="9"/>
      <c r="HY1026" s="50"/>
    </row>
    <row r="1027" spans="139:233">
      <c r="EI1027" s="9"/>
      <c r="EJ1027" s="9"/>
      <c r="EK1027" s="9"/>
      <c r="EL1027" s="9"/>
      <c r="EM1027" s="9"/>
      <c r="EN1027" s="9"/>
      <c r="EO1027" s="9"/>
      <c r="EP1027" s="9"/>
      <c r="EQ1027" s="9"/>
      <c r="ER1027" s="9"/>
      <c r="ES1027" s="9"/>
      <c r="ET1027" s="9"/>
      <c r="EU1027" s="9"/>
      <c r="EV1027" s="9"/>
      <c r="EW1027" s="9"/>
      <c r="EX1027" s="9"/>
      <c r="EY1027" s="9"/>
      <c r="EZ1027" s="9"/>
      <c r="FA1027" s="9"/>
      <c r="FB1027" s="9"/>
      <c r="FC1027" s="9"/>
      <c r="FD1027" s="9"/>
      <c r="FE1027" s="9"/>
      <c r="FF1027" s="9"/>
      <c r="FG1027" s="9"/>
      <c r="FH1027" s="9"/>
      <c r="FI1027" s="9"/>
      <c r="FJ1027" s="9"/>
      <c r="FK1027" s="9"/>
      <c r="FL1027" s="9"/>
      <c r="FM1027" s="9"/>
      <c r="FN1027" s="9"/>
      <c r="FO1027" s="9"/>
      <c r="FP1027" s="9"/>
      <c r="FQ1027" s="9"/>
      <c r="FR1027" s="9"/>
      <c r="FS1027" s="9"/>
      <c r="FT1027" s="9"/>
      <c r="FU1027" s="9"/>
      <c r="FV1027" s="9"/>
      <c r="FW1027" s="9"/>
      <c r="FX1027" s="9"/>
      <c r="FY1027" s="9"/>
      <c r="FZ1027" s="9"/>
      <c r="GA1027" s="9"/>
      <c r="GB1027" s="9"/>
      <c r="GC1027" s="9"/>
      <c r="GD1027" s="9"/>
      <c r="GE1027" s="9"/>
      <c r="GF1027" s="9"/>
      <c r="GG1027" s="9"/>
      <c r="GH1027" s="9"/>
      <c r="GI1027" s="9"/>
      <c r="GJ1027" s="9"/>
      <c r="GK1027" s="9"/>
      <c r="GL1027" s="9"/>
      <c r="GM1027" s="9"/>
      <c r="GN1027" s="9"/>
      <c r="GO1027" s="9"/>
      <c r="GP1027" s="9"/>
      <c r="GQ1027" s="9"/>
      <c r="GR1027" s="9"/>
      <c r="GS1027" s="9"/>
      <c r="GT1027" s="9"/>
      <c r="GU1027" s="9"/>
      <c r="GV1027" s="9"/>
      <c r="GW1027" s="9"/>
      <c r="GX1027" s="9"/>
      <c r="GY1027" s="9"/>
      <c r="GZ1027" s="9"/>
      <c r="HA1027" s="9"/>
      <c r="HB1027" s="9"/>
      <c r="HC1027" s="9"/>
      <c r="HD1027" s="9"/>
      <c r="HE1027" s="9"/>
      <c r="HF1027" s="9"/>
      <c r="HG1027" s="9"/>
      <c r="HH1027" s="9"/>
      <c r="HI1027" s="9"/>
      <c r="HJ1027" s="9"/>
      <c r="HK1027" s="9"/>
      <c r="HL1027" s="9"/>
      <c r="HY1027" s="50"/>
    </row>
    <row r="1028" spans="139:233">
      <c r="EI1028" s="9"/>
      <c r="EJ1028" s="9"/>
      <c r="EK1028" s="9"/>
      <c r="EL1028" s="9"/>
      <c r="EM1028" s="9"/>
      <c r="EN1028" s="9"/>
      <c r="EO1028" s="9"/>
      <c r="EP1028" s="9"/>
      <c r="EQ1028" s="9"/>
      <c r="ER1028" s="9"/>
      <c r="ES1028" s="9"/>
      <c r="ET1028" s="9"/>
      <c r="EU1028" s="9"/>
      <c r="EV1028" s="9"/>
      <c r="EW1028" s="9"/>
      <c r="EX1028" s="9"/>
      <c r="EY1028" s="9"/>
      <c r="EZ1028" s="9"/>
      <c r="FA1028" s="9"/>
      <c r="FB1028" s="9"/>
      <c r="FC1028" s="9"/>
      <c r="FD1028" s="9"/>
      <c r="FE1028" s="9"/>
      <c r="FF1028" s="9"/>
      <c r="FG1028" s="9"/>
      <c r="FH1028" s="9"/>
      <c r="FI1028" s="9"/>
      <c r="FJ1028" s="9"/>
      <c r="FK1028" s="9"/>
      <c r="FL1028" s="9"/>
      <c r="FM1028" s="9"/>
      <c r="FN1028" s="9"/>
      <c r="FO1028" s="9"/>
      <c r="FP1028" s="9"/>
      <c r="FQ1028" s="9"/>
      <c r="FR1028" s="9"/>
      <c r="FS1028" s="9"/>
      <c r="FT1028" s="9"/>
      <c r="FU1028" s="9"/>
      <c r="FV1028" s="9"/>
      <c r="FW1028" s="9"/>
      <c r="FX1028" s="9"/>
      <c r="FY1028" s="9"/>
      <c r="FZ1028" s="9"/>
      <c r="GA1028" s="9"/>
      <c r="GB1028" s="9"/>
      <c r="GC1028" s="9"/>
      <c r="GD1028" s="9"/>
      <c r="GE1028" s="9"/>
      <c r="GF1028" s="9"/>
      <c r="GG1028" s="9"/>
      <c r="GH1028" s="9"/>
      <c r="GI1028" s="9"/>
      <c r="GJ1028" s="9"/>
      <c r="GK1028" s="9"/>
      <c r="GL1028" s="9"/>
      <c r="GM1028" s="9"/>
      <c r="GN1028" s="9"/>
      <c r="GO1028" s="9"/>
      <c r="GP1028" s="9"/>
      <c r="GQ1028" s="9"/>
      <c r="GR1028" s="9"/>
      <c r="GS1028" s="9"/>
      <c r="GT1028" s="9"/>
      <c r="GU1028" s="9"/>
      <c r="GV1028" s="9"/>
      <c r="GW1028" s="9"/>
      <c r="GX1028" s="9"/>
      <c r="GY1028" s="9"/>
      <c r="GZ1028" s="9"/>
      <c r="HA1028" s="9"/>
      <c r="HB1028" s="9"/>
      <c r="HC1028" s="9"/>
      <c r="HD1028" s="9"/>
      <c r="HE1028" s="9"/>
      <c r="HF1028" s="9"/>
      <c r="HG1028" s="9"/>
      <c r="HH1028" s="9"/>
      <c r="HI1028" s="9"/>
      <c r="HJ1028" s="9"/>
      <c r="HK1028" s="9"/>
      <c r="HL1028" s="9"/>
      <c r="HY1028" s="50"/>
    </row>
    <row r="1029" spans="139:233">
      <c r="EI1029" s="9"/>
      <c r="EJ1029" s="9"/>
      <c r="EK1029" s="9"/>
      <c r="EL1029" s="9"/>
      <c r="EM1029" s="9"/>
      <c r="EN1029" s="9"/>
      <c r="EO1029" s="9"/>
      <c r="EP1029" s="9"/>
      <c r="EQ1029" s="9"/>
      <c r="ER1029" s="9"/>
      <c r="ES1029" s="9"/>
      <c r="ET1029" s="9"/>
      <c r="EU1029" s="9"/>
      <c r="EV1029" s="9"/>
      <c r="EW1029" s="9"/>
      <c r="EX1029" s="9"/>
      <c r="EY1029" s="9"/>
      <c r="EZ1029" s="9"/>
      <c r="FA1029" s="9"/>
      <c r="FB1029" s="9"/>
      <c r="FC1029" s="9"/>
      <c r="FD1029" s="9"/>
      <c r="FE1029" s="9"/>
      <c r="FF1029" s="9"/>
      <c r="FG1029" s="9"/>
      <c r="FH1029" s="9"/>
      <c r="FI1029" s="9"/>
      <c r="FJ1029" s="9"/>
      <c r="FK1029" s="9"/>
      <c r="FL1029" s="9"/>
      <c r="FM1029" s="9"/>
      <c r="FN1029" s="9"/>
      <c r="FO1029" s="9"/>
      <c r="FP1029" s="9"/>
      <c r="FQ1029" s="9"/>
      <c r="FR1029" s="9"/>
      <c r="FS1029" s="9"/>
      <c r="FT1029" s="9"/>
      <c r="FU1029" s="9"/>
      <c r="FV1029" s="9"/>
      <c r="FW1029" s="9"/>
      <c r="FX1029" s="9"/>
      <c r="FY1029" s="9"/>
      <c r="FZ1029" s="9"/>
      <c r="GA1029" s="9"/>
      <c r="GB1029" s="9"/>
      <c r="GC1029" s="9"/>
      <c r="GD1029" s="9"/>
      <c r="GE1029" s="9"/>
      <c r="GF1029" s="9"/>
      <c r="GG1029" s="9"/>
      <c r="GH1029" s="9"/>
      <c r="GI1029" s="9"/>
      <c r="GJ1029" s="9"/>
      <c r="GK1029" s="9"/>
      <c r="GL1029" s="9"/>
      <c r="GM1029" s="9"/>
      <c r="GN1029" s="9"/>
      <c r="GO1029" s="9"/>
      <c r="GP1029" s="9"/>
      <c r="GQ1029" s="9"/>
      <c r="GR1029" s="9"/>
      <c r="GS1029" s="9"/>
      <c r="GT1029" s="9"/>
      <c r="GU1029" s="9"/>
      <c r="GV1029" s="9"/>
      <c r="GW1029" s="9"/>
      <c r="GX1029" s="9"/>
      <c r="GY1029" s="9"/>
      <c r="GZ1029" s="9"/>
      <c r="HA1029" s="9"/>
      <c r="HB1029" s="9"/>
      <c r="HC1029" s="9"/>
      <c r="HD1029" s="9"/>
      <c r="HE1029" s="9"/>
      <c r="HF1029" s="9"/>
      <c r="HG1029" s="9"/>
      <c r="HH1029" s="9"/>
      <c r="HI1029" s="9"/>
      <c r="HJ1029" s="9"/>
      <c r="HK1029" s="9"/>
      <c r="HL1029" s="9"/>
      <c r="HY1029" s="50"/>
    </row>
    <row r="1030" spans="139:233">
      <c r="EI1030" s="9"/>
      <c r="EJ1030" s="9"/>
      <c r="EK1030" s="9"/>
      <c r="EL1030" s="9"/>
      <c r="EM1030" s="9"/>
      <c r="EN1030" s="9"/>
      <c r="EO1030" s="9"/>
      <c r="EP1030" s="9"/>
      <c r="EQ1030" s="9"/>
      <c r="ER1030" s="9"/>
      <c r="ES1030" s="9"/>
      <c r="ET1030" s="9"/>
      <c r="EU1030" s="9"/>
      <c r="EV1030" s="9"/>
      <c r="EW1030" s="9"/>
      <c r="EX1030" s="9"/>
      <c r="EY1030" s="9"/>
      <c r="EZ1030" s="9"/>
      <c r="FA1030" s="9"/>
      <c r="FB1030" s="9"/>
      <c r="FC1030" s="9"/>
      <c r="FD1030" s="9"/>
      <c r="FE1030" s="9"/>
      <c r="FF1030" s="9"/>
      <c r="FG1030" s="9"/>
      <c r="FH1030" s="9"/>
      <c r="FI1030" s="9"/>
      <c r="FJ1030" s="9"/>
      <c r="FK1030" s="9"/>
      <c r="FL1030" s="9"/>
      <c r="FM1030" s="9"/>
      <c r="FN1030" s="9"/>
      <c r="FO1030" s="9"/>
      <c r="FP1030" s="9"/>
      <c r="FQ1030" s="9"/>
      <c r="FR1030" s="9"/>
      <c r="FS1030" s="9"/>
      <c r="FT1030" s="9"/>
      <c r="FU1030" s="9"/>
      <c r="FV1030" s="9"/>
      <c r="FW1030" s="9"/>
      <c r="FX1030" s="9"/>
      <c r="FY1030" s="9"/>
      <c r="FZ1030" s="9"/>
      <c r="GA1030" s="9"/>
      <c r="GB1030" s="9"/>
      <c r="GC1030" s="9"/>
      <c r="GD1030" s="9"/>
      <c r="GE1030" s="9"/>
      <c r="GF1030" s="9"/>
      <c r="GG1030" s="9"/>
      <c r="GH1030" s="9"/>
      <c r="GI1030" s="9"/>
      <c r="GJ1030" s="9"/>
      <c r="GK1030" s="9"/>
      <c r="GL1030" s="9"/>
      <c r="GM1030" s="9"/>
      <c r="GN1030" s="9"/>
      <c r="GO1030" s="9"/>
      <c r="GP1030" s="9"/>
      <c r="GQ1030" s="9"/>
      <c r="GR1030" s="9"/>
      <c r="GS1030" s="9"/>
      <c r="GT1030" s="9"/>
      <c r="GU1030" s="9"/>
      <c r="GV1030" s="9"/>
      <c r="GW1030" s="9"/>
      <c r="GX1030" s="9"/>
      <c r="GY1030" s="9"/>
      <c r="GZ1030" s="9"/>
      <c r="HA1030" s="9"/>
      <c r="HB1030" s="9"/>
      <c r="HC1030" s="9"/>
      <c r="HD1030" s="9"/>
      <c r="HE1030" s="9"/>
      <c r="HF1030" s="9"/>
      <c r="HG1030" s="9"/>
      <c r="HH1030" s="9"/>
      <c r="HI1030" s="9"/>
      <c r="HJ1030" s="9"/>
      <c r="HK1030" s="9"/>
      <c r="HL1030" s="9"/>
      <c r="HY1030" s="50"/>
    </row>
    <row r="1031" spans="139:233">
      <c r="EI1031" s="9"/>
      <c r="EJ1031" s="9"/>
      <c r="EK1031" s="9"/>
      <c r="EL1031" s="9"/>
      <c r="EM1031" s="9"/>
      <c r="EN1031" s="9"/>
      <c r="EO1031" s="9"/>
      <c r="EP1031" s="9"/>
      <c r="EQ1031" s="9"/>
      <c r="ER1031" s="9"/>
      <c r="ES1031" s="9"/>
      <c r="ET1031" s="9"/>
      <c r="EU1031" s="9"/>
      <c r="EV1031" s="9"/>
      <c r="EW1031" s="9"/>
      <c r="EX1031" s="9"/>
      <c r="EY1031" s="9"/>
      <c r="EZ1031" s="9"/>
      <c r="FA1031" s="9"/>
      <c r="FB1031" s="9"/>
      <c r="FC1031" s="9"/>
      <c r="FD1031" s="9"/>
      <c r="FE1031" s="9"/>
      <c r="FF1031" s="9"/>
      <c r="FG1031" s="9"/>
      <c r="FH1031" s="9"/>
      <c r="FI1031" s="9"/>
      <c r="FJ1031" s="9"/>
      <c r="FK1031" s="9"/>
      <c r="FL1031" s="9"/>
      <c r="FM1031" s="9"/>
      <c r="FN1031" s="9"/>
      <c r="FO1031" s="9"/>
      <c r="FP1031" s="9"/>
      <c r="FQ1031" s="9"/>
      <c r="FR1031" s="9"/>
      <c r="FS1031" s="9"/>
      <c r="FT1031" s="9"/>
      <c r="FU1031" s="9"/>
      <c r="FV1031" s="9"/>
      <c r="FW1031" s="9"/>
      <c r="FX1031" s="9"/>
      <c r="FY1031" s="9"/>
      <c r="FZ1031" s="9"/>
      <c r="GA1031" s="9"/>
      <c r="GB1031" s="9"/>
      <c r="GC1031" s="9"/>
      <c r="GD1031" s="9"/>
      <c r="GE1031" s="9"/>
      <c r="GF1031" s="9"/>
      <c r="GG1031" s="9"/>
      <c r="GH1031" s="9"/>
      <c r="GI1031" s="9"/>
      <c r="GJ1031" s="9"/>
      <c r="GK1031" s="9"/>
      <c r="GL1031" s="9"/>
      <c r="GM1031" s="9"/>
      <c r="GN1031" s="9"/>
      <c r="GO1031" s="9"/>
      <c r="GP1031" s="9"/>
      <c r="GQ1031" s="9"/>
      <c r="GR1031" s="9"/>
      <c r="GS1031" s="9"/>
      <c r="GT1031" s="9"/>
      <c r="GU1031" s="9"/>
      <c r="GV1031" s="9"/>
      <c r="GW1031" s="9"/>
      <c r="GX1031" s="9"/>
      <c r="GY1031" s="9"/>
      <c r="GZ1031" s="9"/>
      <c r="HA1031" s="9"/>
      <c r="HB1031" s="9"/>
      <c r="HC1031" s="9"/>
      <c r="HD1031" s="9"/>
      <c r="HE1031" s="9"/>
      <c r="HF1031" s="9"/>
      <c r="HG1031" s="9"/>
      <c r="HH1031" s="9"/>
      <c r="HI1031" s="9"/>
      <c r="HJ1031" s="9"/>
      <c r="HK1031" s="9"/>
      <c r="HL1031" s="9"/>
      <c r="HY1031" s="50"/>
    </row>
    <row r="1032" spans="139:233">
      <c r="EI1032" s="9"/>
      <c r="EJ1032" s="9"/>
      <c r="EK1032" s="9"/>
      <c r="EL1032" s="9"/>
      <c r="EM1032" s="9"/>
      <c r="EN1032" s="9"/>
      <c r="EO1032" s="9"/>
      <c r="EP1032" s="9"/>
      <c r="EQ1032" s="9"/>
      <c r="ER1032" s="9"/>
      <c r="ES1032" s="9"/>
      <c r="ET1032" s="9"/>
      <c r="EU1032" s="9"/>
      <c r="EV1032" s="9"/>
      <c r="EW1032" s="9"/>
      <c r="EX1032" s="9"/>
      <c r="EY1032" s="9"/>
      <c r="EZ1032" s="9"/>
      <c r="FA1032" s="9"/>
      <c r="FB1032" s="9"/>
      <c r="FC1032" s="9"/>
      <c r="FD1032" s="9"/>
      <c r="FE1032" s="9"/>
      <c r="FF1032" s="9"/>
      <c r="FG1032" s="9"/>
      <c r="FH1032" s="9"/>
      <c r="FI1032" s="9"/>
      <c r="FJ1032" s="9"/>
      <c r="FK1032" s="9"/>
      <c r="FL1032" s="9"/>
      <c r="FM1032" s="9"/>
      <c r="FN1032" s="9"/>
      <c r="FO1032" s="9"/>
      <c r="FP1032" s="9"/>
      <c r="FQ1032" s="9"/>
      <c r="FR1032" s="9"/>
      <c r="FS1032" s="9"/>
      <c r="FT1032" s="9"/>
      <c r="FU1032" s="9"/>
      <c r="FV1032" s="9"/>
      <c r="FW1032" s="9"/>
      <c r="FX1032" s="9"/>
      <c r="FY1032" s="9"/>
      <c r="FZ1032" s="9"/>
      <c r="GA1032" s="9"/>
      <c r="GB1032" s="9"/>
      <c r="GC1032" s="9"/>
      <c r="GD1032" s="9"/>
      <c r="GE1032" s="9"/>
      <c r="GF1032" s="9"/>
      <c r="GG1032" s="9"/>
      <c r="GH1032" s="9"/>
      <c r="GI1032" s="9"/>
      <c r="GJ1032" s="9"/>
      <c r="GK1032" s="9"/>
      <c r="GL1032" s="9"/>
      <c r="GM1032" s="9"/>
      <c r="GN1032" s="9"/>
      <c r="GO1032" s="9"/>
      <c r="GP1032" s="9"/>
      <c r="GQ1032" s="9"/>
      <c r="GR1032" s="9"/>
      <c r="GS1032" s="9"/>
      <c r="GT1032" s="9"/>
      <c r="GU1032" s="9"/>
      <c r="GV1032" s="9"/>
      <c r="GW1032" s="9"/>
      <c r="GX1032" s="9"/>
      <c r="GY1032" s="9"/>
      <c r="GZ1032" s="9"/>
      <c r="HA1032" s="9"/>
      <c r="HB1032" s="9"/>
      <c r="HC1032" s="9"/>
      <c r="HD1032" s="9"/>
      <c r="HE1032" s="9"/>
      <c r="HF1032" s="9"/>
      <c r="HG1032" s="9"/>
      <c r="HH1032" s="9"/>
      <c r="HI1032" s="9"/>
      <c r="HJ1032" s="9"/>
      <c r="HK1032" s="9"/>
      <c r="HL1032" s="9"/>
      <c r="HY1032" s="50"/>
    </row>
    <row r="1033" spans="139:233">
      <c r="EI1033" s="9"/>
      <c r="EJ1033" s="9"/>
      <c r="EK1033" s="9"/>
      <c r="EL1033" s="9"/>
      <c r="EM1033" s="9"/>
      <c r="EN1033" s="9"/>
      <c r="EO1033" s="9"/>
      <c r="EP1033" s="9"/>
      <c r="EQ1033" s="9"/>
      <c r="ER1033" s="9"/>
      <c r="ES1033" s="9"/>
      <c r="ET1033" s="9"/>
      <c r="EU1033" s="9"/>
      <c r="EV1033" s="9"/>
      <c r="EW1033" s="9"/>
      <c r="EX1033" s="9"/>
      <c r="EY1033" s="9"/>
      <c r="EZ1033" s="9"/>
      <c r="FA1033" s="9"/>
      <c r="FB1033" s="9"/>
      <c r="FC1033" s="9"/>
      <c r="FD1033" s="9"/>
      <c r="FE1033" s="9"/>
      <c r="FF1033" s="9"/>
      <c r="FG1033" s="9"/>
      <c r="FH1033" s="9"/>
      <c r="FI1033" s="9"/>
      <c r="FJ1033" s="9"/>
      <c r="FK1033" s="9"/>
      <c r="FL1033" s="9"/>
      <c r="FM1033" s="9"/>
      <c r="FN1033" s="9"/>
      <c r="FO1033" s="9"/>
      <c r="FP1033" s="9"/>
      <c r="FQ1033" s="9"/>
      <c r="FR1033" s="9"/>
      <c r="FS1033" s="9"/>
      <c r="FT1033" s="9"/>
      <c r="FU1033" s="9"/>
      <c r="FV1033" s="9"/>
      <c r="FW1033" s="9"/>
      <c r="FX1033" s="9"/>
      <c r="FY1033" s="9"/>
      <c r="FZ1033" s="9"/>
      <c r="GA1033" s="9"/>
      <c r="GB1033" s="9"/>
      <c r="GC1033" s="9"/>
      <c r="GD1033" s="9"/>
      <c r="GE1033" s="9"/>
      <c r="GF1033" s="9"/>
      <c r="GG1033" s="9"/>
      <c r="GH1033" s="9"/>
      <c r="GI1033" s="9"/>
      <c r="GJ1033" s="9"/>
      <c r="GK1033" s="9"/>
      <c r="GL1033" s="9"/>
      <c r="GM1033" s="9"/>
      <c r="GN1033" s="9"/>
      <c r="GO1033" s="9"/>
      <c r="GP1033" s="9"/>
      <c r="GQ1033" s="9"/>
      <c r="GR1033" s="9"/>
      <c r="GS1033" s="9"/>
      <c r="GT1033" s="9"/>
      <c r="GU1033" s="9"/>
      <c r="GV1033" s="9"/>
      <c r="GW1033" s="9"/>
      <c r="GX1033" s="9"/>
      <c r="GY1033" s="9"/>
      <c r="GZ1033" s="9"/>
      <c r="HA1033" s="9"/>
      <c r="HB1033" s="9"/>
      <c r="HC1033" s="9"/>
      <c r="HD1033" s="9"/>
      <c r="HE1033" s="9"/>
      <c r="HF1033" s="9"/>
      <c r="HG1033" s="9"/>
      <c r="HH1033" s="9"/>
      <c r="HI1033" s="9"/>
      <c r="HJ1033" s="9"/>
      <c r="HK1033" s="9"/>
      <c r="HL1033" s="9"/>
      <c r="HY1033" s="50"/>
    </row>
    <row r="1034" spans="139:233">
      <c r="EI1034" s="9"/>
      <c r="EJ1034" s="9"/>
      <c r="EK1034" s="9"/>
      <c r="EL1034" s="9"/>
      <c r="EM1034" s="9"/>
      <c r="EN1034" s="9"/>
      <c r="EO1034" s="9"/>
      <c r="EP1034" s="9"/>
      <c r="EQ1034" s="9"/>
      <c r="ER1034" s="9"/>
      <c r="ES1034" s="9"/>
      <c r="ET1034" s="9"/>
      <c r="EU1034" s="9"/>
      <c r="EV1034" s="9"/>
      <c r="EW1034" s="9"/>
      <c r="EX1034" s="9"/>
      <c r="EY1034" s="9"/>
      <c r="EZ1034" s="9"/>
      <c r="FA1034" s="9"/>
      <c r="FB1034" s="9"/>
      <c r="FC1034" s="9"/>
      <c r="FD1034" s="9"/>
      <c r="FE1034" s="9"/>
      <c r="FF1034" s="9"/>
      <c r="FG1034" s="9"/>
      <c r="FH1034" s="9"/>
      <c r="FI1034" s="9"/>
      <c r="FJ1034" s="9"/>
      <c r="FK1034" s="9"/>
      <c r="FL1034" s="9"/>
      <c r="FM1034" s="9"/>
      <c r="FN1034" s="9"/>
      <c r="FO1034" s="9"/>
      <c r="FP1034" s="9"/>
      <c r="FQ1034" s="9"/>
      <c r="FR1034" s="9"/>
      <c r="FS1034" s="9"/>
      <c r="FT1034" s="9"/>
      <c r="FU1034" s="9"/>
      <c r="FV1034" s="9"/>
      <c r="FW1034" s="9"/>
      <c r="FX1034" s="9"/>
      <c r="FY1034" s="9"/>
      <c r="FZ1034" s="9"/>
      <c r="GA1034" s="9"/>
      <c r="GB1034" s="9"/>
      <c r="GC1034" s="9"/>
      <c r="GD1034" s="9"/>
      <c r="GE1034" s="9"/>
      <c r="GF1034" s="9"/>
      <c r="GG1034" s="9"/>
      <c r="GH1034" s="9"/>
      <c r="GI1034" s="9"/>
      <c r="GJ1034" s="9"/>
      <c r="GK1034" s="9"/>
      <c r="GL1034" s="9"/>
      <c r="GM1034" s="9"/>
      <c r="GN1034" s="9"/>
      <c r="GO1034" s="9"/>
      <c r="GP1034" s="9"/>
      <c r="GQ1034" s="9"/>
      <c r="GR1034" s="9"/>
      <c r="GS1034" s="9"/>
      <c r="GT1034" s="9"/>
      <c r="GU1034" s="9"/>
      <c r="GV1034" s="9"/>
      <c r="GW1034" s="9"/>
      <c r="GX1034" s="9"/>
      <c r="GY1034" s="9"/>
      <c r="GZ1034" s="9"/>
      <c r="HA1034" s="9"/>
      <c r="HB1034" s="9"/>
      <c r="HC1034" s="9"/>
      <c r="HD1034" s="9"/>
      <c r="HE1034" s="9"/>
      <c r="HF1034" s="9"/>
      <c r="HG1034" s="9"/>
      <c r="HH1034" s="9"/>
      <c r="HI1034" s="9"/>
      <c r="HJ1034" s="9"/>
      <c r="HK1034" s="9"/>
      <c r="HL1034" s="9"/>
      <c r="HY1034" s="50"/>
    </row>
    <row r="1035" spans="139:233">
      <c r="EI1035" s="9"/>
      <c r="EJ1035" s="9"/>
      <c r="EK1035" s="9"/>
      <c r="EL1035" s="9"/>
      <c r="EM1035" s="9"/>
      <c r="EN1035" s="9"/>
      <c r="EO1035" s="9"/>
      <c r="EP1035" s="9"/>
      <c r="EQ1035" s="9"/>
      <c r="ER1035" s="9"/>
      <c r="ES1035" s="9"/>
      <c r="ET1035" s="9"/>
      <c r="EU1035" s="9"/>
      <c r="EV1035" s="9"/>
      <c r="EW1035" s="9"/>
      <c r="EX1035" s="9"/>
      <c r="EY1035" s="9"/>
      <c r="EZ1035" s="9"/>
      <c r="FA1035" s="9"/>
      <c r="FB1035" s="9"/>
      <c r="FC1035" s="9"/>
      <c r="FD1035" s="9"/>
      <c r="FE1035" s="9"/>
      <c r="FF1035" s="9"/>
      <c r="FG1035" s="9"/>
      <c r="FH1035" s="9"/>
      <c r="FI1035" s="9"/>
      <c r="FJ1035" s="9"/>
      <c r="FK1035" s="9"/>
      <c r="FL1035" s="9"/>
      <c r="FM1035" s="9"/>
      <c r="FN1035" s="9"/>
      <c r="FO1035" s="9"/>
      <c r="FP1035" s="9"/>
      <c r="FQ1035" s="9"/>
      <c r="FR1035" s="9"/>
      <c r="FS1035" s="9"/>
      <c r="FT1035" s="9"/>
      <c r="FU1035" s="9"/>
      <c r="FV1035" s="9"/>
      <c r="FW1035" s="9"/>
      <c r="FX1035" s="9"/>
      <c r="FY1035" s="9"/>
      <c r="FZ1035" s="9"/>
      <c r="GA1035" s="9"/>
      <c r="GB1035" s="9"/>
      <c r="GC1035" s="9"/>
      <c r="GD1035" s="9"/>
      <c r="GE1035" s="9"/>
      <c r="GF1035" s="9"/>
      <c r="GG1035" s="9"/>
      <c r="GH1035" s="9"/>
      <c r="GI1035" s="9"/>
      <c r="GJ1035" s="9"/>
      <c r="GK1035" s="9"/>
      <c r="GL1035" s="9"/>
      <c r="GM1035" s="9"/>
      <c r="GN1035" s="9"/>
      <c r="GO1035" s="9"/>
      <c r="GP1035" s="9"/>
      <c r="GQ1035" s="9"/>
      <c r="GR1035" s="9"/>
      <c r="GS1035" s="9"/>
      <c r="GT1035" s="9"/>
      <c r="GU1035" s="9"/>
      <c r="GV1035" s="9"/>
      <c r="GW1035" s="9"/>
      <c r="GX1035" s="9"/>
      <c r="GY1035" s="9"/>
      <c r="GZ1035" s="9"/>
      <c r="HA1035" s="9"/>
      <c r="HB1035" s="9"/>
      <c r="HC1035" s="9"/>
      <c r="HD1035" s="9"/>
      <c r="HE1035" s="9"/>
      <c r="HF1035" s="9"/>
      <c r="HG1035" s="9"/>
      <c r="HH1035" s="9"/>
      <c r="HI1035" s="9"/>
      <c r="HJ1035" s="9"/>
      <c r="HK1035" s="9"/>
      <c r="HL1035" s="9"/>
      <c r="HY1035" s="50"/>
    </row>
    <row r="1036" spans="139:233">
      <c r="EI1036" s="9"/>
      <c r="EJ1036" s="9"/>
      <c r="EK1036" s="9"/>
      <c r="EL1036" s="9"/>
      <c r="EM1036" s="9"/>
      <c r="EN1036" s="9"/>
      <c r="EO1036" s="9"/>
      <c r="EP1036" s="9"/>
      <c r="EQ1036" s="9"/>
      <c r="ER1036" s="9"/>
      <c r="ES1036" s="9"/>
      <c r="ET1036" s="9"/>
      <c r="EU1036" s="9"/>
      <c r="EV1036" s="9"/>
      <c r="EW1036" s="9"/>
      <c r="EX1036" s="9"/>
      <c r="EY1036" s="9"/>
      <c r="EZ1036" s="9"/>
      <c r="FA1036" s="9"/>
      <c r="FB1036" s="9"/>
      <c r="FC1036" s="9"/>
      <c r="FD1036" s="9"/>
      <c r="FE1036" s="9"/>
      <c r="FF1036" s="9"/>
      <c r="FG1036" s="9"/>
      <c r="FH1036" s="9"/>
      <c r="FI1036" s="9"/>
      <c r="FJ1036" s="9"/>
      <c r="FK1036" s="9"/>
      <c r="FL1036" s="9"/>
      <c r="FM1036" s="9"/>
      <c r="FN1036" s="9"/>
      <c r="FO1036" s="9"/>
      <c r="FP1036" s="9"/>
      <c r="FQ1036" s="9"/>
      <c r="FR1036" s="9"/>
      <c r="FS1036" s="9"/>
      <c r="FT1036" s="9"/>
      <c r="FU1036" s="9"/>
      <c r="FV1036" s="9"/>
      <c r="FW1036" s="9"/>
      <c r="FX1036" s="9"/>
      <c r="FY1036" s="9"/>
      <c r="FZ1036" s="9"/>
      <c r="GA1036" s="9"/>
      <c r="GB1036" s="9"/>
      <c r="GC1036" s="9"/>
      <c r="GD1036" s="9"/>
      <c r="GE1036" s="9"/>
      <c r="GF1036" s="9"/>
      <c r="GG1036" s="9"/>
      <c r="GH1036" s="9"/>
      <c r="GI1036" s="9"/>
      <c r="GJ1036" s="9"/>
      <c r="GK1036" s="9"/>
      <c r="GL1036" s="9"/>
      <c r="GM1036" s="9"/>
      <c r="GN1036" s="9"/>
      <c r="GO1036" s="9"/>
      <c r="GP1036" s="9"/>
      <c r="GQ1036" s="9"/>
      <c r="GR1036" s="9"/>
      <c r="GS1036" s="9"/>
      <c r="GT1036" s="9"/>
      <c r="GU1036" s="9"/>
      <c r="GV1036" s="9"/>
      <c r="GW1036" s="9"/>
      <c r="GX1036" s="9"/>
      <c r="GY1036" s="9"/>
      <c r="GZ1036" s="9"/>
      <c r="HA1036" s="9"/>
      <c r="HB1036" s="9"/>
      <c r="HC1036" s="9"/>
      <c r="HD1036" s="9"/>
      <c r="HE1036" s="9"/>
      <c r="HF1036" s="9"/>
      <c r="HG1036" s="9"/>
      <c r="HH1036" s="9"/>
      <c r="HI1036" s="9"/>
      <c r="HJ1036" s="9"/>
      <c r="HK1036" s="9"/>
      <c r="HL1036" s="9"/>
      <c r="HY1036" s="50"/>
    </row>
    <row r="1037" spans="139:233">
      <c r="EI1037" s="9"/>
      <c r="EJ1037" s="9"/>
      <c r="EK1037" s="9"/>
      <c r="EL1037" s="9"/>
      <c r="EM1037" s="9"/>
      <c r="EN1037" s="9"/>
      <c r="EO1037" s="9"/>
      <c r="EP1037" s="9"/>
      <c r="EQ1037" s="9"/>
      <c r="ER1037" s="9"/>
      <c r="ES1037" s="9"/>
      <c r="ET1037" s="9"/>
      <c r="EU1037" s="9"/>
      <c r="EV1037" s="9"/>
      <c r="EW1037" s="9"/>
      <c r="EX1037" s="9"/>
      <c r="EY1037" s="9"/>
      <c r="EZ1037" s="9"/>
      <c r="FA1037" s="9"/>
      <c r="FB1037" s="9"/>
      <c r="FC1037" s="9"/>
      <c r="FD1037" s="9"/>
      <c r="FE1037" s="9"/>
      <c r="FF1037" s="9"/>
      <c r="FG1037" s="9"/>
      <c r="FH1037" s="9"/>
      <c r="FI1037" s="9"/>
      <c r="FJ1037" s="9"/>
      <c r="FK1037" s="9"/>
      <c r="FL1037" s="9"/>
      <c r="FM1037" s="9"/>
      <c r="FN1037" s="9"/>
      <c r="FO1037" s="9"/>
      <c r="FP1037" s="9"/>
      <c r="FQ1037" s="9"/>
      <c r="FR1037" s="9"/>
      <c r="FS1037" s="9"/>
      <c r="FT1037" s="9"/>
      <c r="FU1037" s="9"/>
      <c r="FV1037" s="9"/>
      <c r="FW1037" s="9"/>
      <c r="FX1037" s="9"/>
      <c r="FY1037" s="9"/>
      <c r="FZ1037" s="9"/>
      <c r="GA1037" s="9"/>
      <c r="GB1037" s="9"/>
      <c r="GC1037" s="9"/>
      <c r="GD1037" s="9"/>
      <c r="GE1037" s="9"/>
      <c r="GF1037" s="9"/>
      <c r="GG1037" s="9"/>
      <c r="GH1037" s="9"/>
      <c r="GI1037" s="9"/>
      <c r="GJ1037" s="9"/>
      <c r="GK1037" s="9"/>
      <c r="GL1037" s="9"/>
      <c r="GM1037" s="9"/>
      <c r="GN1037" s="9"/>
      <c r="GO1037" s="9"/>
      <c r="GP1037" s="9"/>
      <c r="GQ1037" s="9"/>
      <c r="GR1037" s="9"/>
      <c r="GS1037" s="9"/>
      <c r="GT1037" s="9"/>
      <c r="GU1037" s="9"/>
      <c r="GV1037" s="9"/>
      <c r="GW1037" s="9"/>
      <c r="GX1037" s="9"/>
      <c r="GY1037" s="9"/>
      <c r="GZ1037" s="9"/>
      <c r="HA1037" s="9"/>
      <c r="HB1037" s="9"/>
      <c r="HC1037" s="9"/>
      <c r="HD1037" s="9"/>
      <c r="HE1037" s="9"/>
      <c r="HF1037" s="9"/>
      <c r="HG1037" s="9"/>
      <c r="HH1037" s="9"/>
      <c r="HI1037" s="9"/>
      <c r="HJ1037" s="9"/>
      <c r="HK1037" s="9"/>
      <c r="HL1037" s="9"/>
      <c r="HY1037" s="50"/>
    </row>
    <row r="1038" spans="139:233">
      <c r="EI1038" s="9"/>
      <c r="EJ1038" s="9"/>
      <c r="EK1038" s="9"/>
      <c r="EL1038" s="9"/>
      <c r="EM1038" s="9"/>
      <c r="EN1038" s="9"/>
      <c r="EO1038" s="9"/>
      <c r="EP1038" s="9"/>
      <c r="EQ1038" s="9"/>
      <c r="ER1038" s="9"/>
      <c r="ES1038" s="9"/>
      <c r="ET1038" s="9"/>
      <c r="EU1038" s="9"/>
      <c r="EV1038" s="9"/>
      <c r="EW1038" s="9"/>
      <c r="EX1038" s="9"/>
      <c r="EY1038" s="9"/>
      <c r="EZ1038" s="9"/>
      <c r="FA1038" s="9"/>
      <c r="FB1038" s="9"/>
      <c r="FC1038" s="9"/>
      <c r="FD1038" s="9"/>
      <c r="FE1038" s="9"/>
      <c r="FF1038" s="9"/>
      <c r="FG1038" s="9"/>
      <c r="FH1038" s="9"/>
      <c r="FI1038" s="9"/>
      <c r="FJ1038" s="9"/>
      <c r="FK1038" s="9"/>
      <c r="FL1038" s="9"/>
      <c r="FM1038" s="9"/>
      <c r="FN1038" s="9"/>
      <c r="FO1038" s="9"/>
      <c r="FP1038" s="9"/>
      <c r="FQ1038" s="9"/>
      <c r="FR1038" s="9"/>
      <c r="FS1038" s="9"/>
      <c r="FT1038" s="9"/>
      <c r="FU1038" s="9"/>
      <c r="FV1038" s="9"/>
      <c r="FW1038" s="9"/>
      <c r="FX1038" s="9"/>
      <c r="FY1038" s="9"/>
      <c r="FZ1038" s="9"/>
      <c r="GA1038" s="9"/>
      <c r="GB1038" s="9"/>
      <c r="GC1038" s="9"/>
      <c r="GD1038" s="9"/>
      <c r="GE1038" s="9"/>
      <c r="GF1038" s="9"/>
      <c r="GG1038" s="9"/>
      <c r="GH1038" s="9"/>
      <c r="GI1038" s="9"/>
      <c r="GJ1038" s="9"/>
      <c r="GK1038" s="9"/>
      <c r="GL1038" s="9"/>
      <c r="GM1038" s="9"/>
      <c r="GN1038" s="9"/>
      <c r="GO1038" s="9"/>
      <c r="GP1038" s="9"/>
      <c r="GQ1038" s="9"/>
      <c r="GR1038" s="9"/>
      <c r="GS1038" s="9"/>
      <c r="GT1038" s="9"/>
      <c r="GU1038" s="9"/>
      <c r="GV1038" s="9"/>
      <c r="GW1038" s="9"/>
      <c r="GX1038" s="9"/>
      <c r="GY1038" s="9"/>
      <c r="GZ1038" s="9"/>
      <c r="HA1038" s="9"/>
      <c r="HB1038" s="9"/>
      <c r="HC1038" s="9"/>
      <c r="HD1038" s="9"/>
      <c r="HE1038" s="9"/>
      <c r="HF1038" s="9"/>
      <c r="HG1038" s="9"/>
      <c r="HH1038" s="9"/>
      <c r="HI1038" s="9"/>
      <c r="HJ1038" s="9"/>
      <c r="HK1038" s="9"/>
      <c r="HL1038" s="9"/>
      <c r="HY1038" s="50"/>
    </row>
    <row r="1039" spans="139:233">
      <c r="EI1039" s="9"/>
      <c r="EJ1039" s="9"/>
      <c r="EK1039" s="9"/>
      <c r="EL1039" s="9"/>
      <c r="EM1039" s="9"/>
      <c r="EN1039" s="9"/>
      <c r="EO1039" s="9"/>
      <c r="EP1039" s="9"/>
      <c r="EQ1039" s="9"/>
      <c r="ER1039" s="9"/>
      <c r="ES1039" s="9"/>
      <c r="ET1039" s="9"/>
      <c r="EU1039" s="9"/>
      <c r="EV1039" s="9"/>
      <c r="EW1039" s="9"/>
      <c r="EX1039" s="9"/>
      <c r="EY1039" s="9"/>
      <c r="EZ1039" s="9"/>
      <c r="FA1039" s="9"/>
      <c r="FB1039" s="9"/>
      <c r="FC1039" s="9"/>
      <c r="FD1039" s="9"/>
      <c r="FE1039" s="9"/>
      <c r="FF1039" s="9"/>
      <c r="FG1039" s="9"/>
      <c r="FH1039" s="9"/>
      <c r="FI1039" s="9"/>
      <c r="FJ1039" s="9"/>
      <c r="FK1039" s="9"/>
      <c r="FL1039" s="9"/>
      <c r="FM1039" s="9"/>
      <c r="FN1039" s="9"/>
      <c r="FO1039" s="9"/>
      <c r="FP1039" s="9"/>
      <c r="FQ1039" s="9"/>
      <c r="FR1039" s="9"/>
      <c r="FS1039" s="9"/>
      <c r="FT1039" s="9"/>
      <c r="FU1039" s="9"/>
      <c r="FV1039" s="9"/>
      <c r="FW1039" s="9"/>
      <c r="FX1039" s="9"/>
      <c r="FY1039" s="9"/>
      <c r="FZ1039" s="9"/>
      <c r="GA1039" s="9"/>
      <c r="GB1039" s="9"/>
      <c r="GC1039" s="9"/>
      <c r="GD1039" s="9"/>
      <c r="GE1039" s="9"/>
      <c r="GF1039" s="9"/>
      <c r="GG1039" s="9"/>
      <c r="GH1039" s="9"/>
      <c r="GI1039" s="9"/>
      <c r="GJ1039" s="9"/>
      <c r="GK1039" s="9"/>
      <c r="GL1039" s="9"/>
      <c r="GM1039" s="9"/>
      <c r="GN1039" s="9"/>
      <c r="GO1039" s="9"/>
      <c r="GP1039" s="9"/>
      <c r="GQ1039" s="9"/>
      <c r="GR1039" s="9"/>
      <c r="GS1039" s="9"/>
      <c r="GT1039" s="9"/>
      <c r="GU1039" s="9"/>
      <c r="GV1039" s="9"/>
      <c r="GW1039" s="9"/>
      <c r="GX1039" s="9"/>
      <c r="GY1039" s="9"/>
      <c r="GZ1039" s="9"/>
      <c r="HA1039" s="9"/>
      <c r="HB1039" s="9"/>
      <c r="HC1039" s="9"/>
      <c r="HD1039" s="9"/>
      <c r="HE1039" s="9"/>
      <c r="HF1039" s="9"/>
      <c r="HG1039" s="9"/>
      <c r="HH1039" s="9"/>
      <c r="HI1039" s="9"/>
      <c r="HJ1039" s="9"/>
      <c r="HK1039" s="9"/>
      <c r="HL1039" s="9"/>
      <c r="HY1039" s="50"/>
    </row>
    <row r="1040" spans="139:233">
      <c r="EI1040" s="9"/>
      <c r="EJ1040" s="9"/>
      <c r="EK1040" s="9"/>
      <c r="EL1040" s="9"/>
      <c r="EM1040" s="9"/>
      <c r="EN1040" s="9"/>
      <c r="EO1040" s="9"/>
      <c r="EP1040" s="9"/>
      <c r="EQ1040" s="9"/>
      <c r="ER1040" s="9"/>
      <c r="ES1040" s="9"/>
      <c r="ET1040" s="9"/>
      <c r="EU1040" s="9"/>
      <c r="EV1040" s="9"/>
      <c r="EW1040" s="9"/>
      <c r="EX1040" s="9"/>
      <c r="EY1040" s="9"/>
      <c r="EZ1040" s="9"/>
      <c r="FA1040" s="9"/>
      <c r="FB1040" s="9"/>
      <c r="FC1040" s="9"/>
      <c r="FD1040" s="9"/>
      <c r="FE1040" s="9"/>
      <c r="FF1040" s="9"/>
      <c r="FG1040" s="9"/>
      <c r="FH1040" s="9"/>
      <c r="FI1040" s="9"/>
      <c r="FJ1040" s="9"/>
      <c r="FK1040" s="9"/>
      <c r="FL1040" s="9"/>
      <c r="FM1040" s="9"/>
      <c r="FN1040" s="9"/>
      <c r="FO1040" s="9"/>
      <c r="FP1040" s="9"/>
      <c r="FQ1040" s="9"/>
      <c r="FR1040" s="9"/>
      <c r="FS1040" s="9"/>
      <c r="FT1040" s="9"/>
      <c r="FU1040" s="9"/>
      <c r="FV1040" s="9"/>
      <c r="FW1040" s="9"/>
      <c r="FX1040" s="9"/>
      <c r="FY1040" s="9"/>
      <c r="FZ1040" s="9"/>
      <c r="GA1040" s="9"/>
      <c r="GB1040" s="9"/>
      <c r="GC1040" s="9"/>
      <c r="GD1040" s="9"/>
      <c r="GE1040" s="9"/>
      <c r="GF1040" s="9"/>
      <c r="GG1040" s="9"/>
      <c r="GH1040" s="9"/>
      <c r="GI1040" s="9"/>
      <c r="GJ1040" s="9"/>
      <c r="GK1040" s="9"/>
      <c r="GL1040" s="9"/>
      <c r="GM1040" s="9"/>
      <c r="GN1040" s="9"/>
      <c r="GO1040" s="9"/>
      <c r="GP1040" s="9"/>
      <c r="GQ1040" s="9"/>
      <c r="GR1040" s="9"/>
      <c r="GS1040" s="9"/>
      <c r="GT1040" s="9"/>
      <c r="GU1040" s="9"/>
      <c r="GV1040" s="9"/>
      <c r="GW1040" s="9"/>
      <c r="GX1040" s="9"/>
      <c r="GY1040" s="9"/>
      <c r="GZ1040" s="9"/>
      <c r="HA1040" s="9"/>
      <c r="HB1040" s="9"/>
      <c r="HC1040" s="9"/>
      <c r="HD1040" s="9"/>
      <c r="HE1040" s="9"/>
      <c r="HF1040" s="9"/>
      <c r="HG1040" s="9"/>
      <c r="HH1040" s="9"/>
      <c r="HI1040" s="9"/>
      <c r="HJ1040" s="9"/>
      <c r="HK1040" s="9"/>
      <c r="HL1040" s="9"/>
      <c r="HY1040" s="50"/>
    </row>
    <row r="1041" spans="139:233">
      <c r="EI1041" s="9"/>
      <c r="EJ1041" s="9"/>
      <c r="EK1041" s="9"/>
      <c r="EL1041" s="9"/>
      <c r="EM1041" s="9"/>
      <c r="EN1041" s="9"/>
      <c r="EO1041" s="9"/>
      <c r="EP1041" s="9"/>
      <c r="EQ1041" s="9"/>
      <c r="ER1041" s="9"/>
      <c r="ES1041" s="9"/>
      <c r="ET1041" s="9"/>
      <c r="EU1041" s="9"/>
      <c r="EV1041" s="9"/>
      <c r="EW1041" s="9"/>
      <c r="EX1041" s="9"/>
      <c r="EY1041" s="9"/>
      <c r="EZ1041" s="9"/>
      <c r="FA1041" s="9"/>
      <c r="FB1041" s="9"/>
      <c r="FC1041" s="9"/>
      <c r="FD1041" s="9"/>
      <c r="FE1041" s="9"/>
      <c r="FF1041" s="9"/>
      <c r="FG1041" s="9"/>
      <c r="FH1041" s="9"/>
      <c r="FI1041" s="9"/>
      <c r="FJ1041" s="9"/>
      <c r="FK1041" s="9"/>
      <c r="FL1041" s="9"/>
      <c r="FM1041" s="9"/>
      <c r="FN1041" s="9"/>
      <c r="FO1041" s="9"/>
      <c r="FP1041" s="9"/>
      <c r="FQ1041" s="9"/>
      <c r="FR1041" s="9"/>
      <c r="FS1041" s="9"/>
      <c r="FT1041" s="9"/>
      <c r="FU1041" s="9"/>
      <c r="FV1041" s="9"/>
      <c r="FW1041" s="9"/>
      <c r="FX1041" s="9"/>
      <c r="FY1041" s="9"/>
      <c r="FZ1041" s="9"/>
      <c r="GA1041" s="9"/>
      <c r="GB1041" s="9"/>
      <c r="GC1041" s="9"/>
      <c r="GD1041" s="9"/>
      <c r="GE1041" s="9"/>
      <c r="GF1041" s="9"/>
      <c r="GG1041" s="9"/>
      <c r="GH1041" s="9"/>
      <c r="GI1041" s="9"/>
      <c r="GJ1041" s="9"/>
      <c r="GK1041" s="9"/>
      <c r="GL1041" s="9"/>
      <c r="GM1041" s="9"/>
      <c r="GN1041" s="9"/>
      <c r="GO1041" s="9"/>
      <c r="GP1041" s="9"/>
      <c r="GQ1041" s="9"/>
      <c r="GR1041" s="9"/>
      <c r="GS1041" s="9"/>
      <c r="GT1041" s="9"/>
      <c r="GU1041" s="9"/>
      <c r="GV1041" s="9"/>
      <c r="GW1041" s="9"/>
      <c r="GX1041" s="9"/>
      <c r="GY1041" s="9"/>
      <c r="GZ1041" s="9"/>
      <c r="HA1041" s="9"/>
      <c r="HB1041" s="9"/>
      <c r="HC1041" s="9"/>
      <c r="HD1041" s="9"/>
      <c r="HE1041" s="9"/>
      <c r="HF1041" s="9"/>
      <c r="HG1041" s="9"/>
      <c r="HH1041" s="9"/>
      <c r="HI1041" s="9"/>
      <c r="HJ1041" s="9"/>
      <c r="HK1041" s="9"/>
      <c r="HL1041" s="9"/>
      <c r="HY1041" s="50"/>
    </row>
    <row r="1042" spans="139:233">
      <c r="EI1042" s="9"/>
      <c r="EJ1042" s="9"/>
      <c r="EK1042" s="9"/>
      <c r="EL1042" s="9"/>
      <c r="EM1042" s="9"/>
      <c r="EN1042" s="9"/>
      <c r="EO1042" s="9"/>
      <c r="EP1042" s="9"/>
      <c r="EQ1042" s="9"/>
      <c r="ER1042" s="9"/>
      <c r="ES1042" s="9"/>
      <c r="ET1042" s="9"/>
      <c r="EU1042" s="9"/>
      <c r="EV1042" s="9"/>
      <c r="EW1042" s="9"/>
      <c r="EX1042" s="9"/>
      <c r="EY1042" s="9"/>
      <c r="EZ1042" s="9"/>
      <c r="FA1042" s="9"/>
      <c r="FB1042" s="9"/>
      <c r="FC1042" s="9"/>
      <c r="FD1042" s="9"/>
      <c r="FE1042" s="9"/>
      <c r="FF1042" s="9"/>
      <c r="FG1042" s="9"/>
      <c r="FH1042" s="9"/>
      <c r="FI1042" s="9"/>
      <c r="FJ1042" s="9"/>
      <c r="FK1042" s="9"/>
      <c r="FL1042" s="9"/>
      <c r="FM1042" s="9"/>
      <c r="FN1042" s="9"/>
      <c r="FO1042" s="9"/>
      <c r="FP1042" s="9"/>
      <c r="FQ1042" s="9"/>
      <c r="FR1042" s="9"/>
      <c r="FS1042" s="9"/>
      <c r="FT1042" s="9"/>
      <c r="FU1042" s="9"/>
      <c r="FV1042" s="9"/>
      <c r="FW1042" s="9"/>
      <c r="FX1042" s="9"/>
      <c r="FY1042" s="9"/>
      <c r="FZ1042" s="9"/>
      <c r="GA1042" s="9"/>
      <c r="GB1042" s="9"/>
      <c r="GC1042" s="9"/>
      <c r="GD1042" s="9"/>
      <c r="GE1042" s="9"/>
      <c r="GF1042" s="9"/>
      <c r="GG1042" s="9"/>
      <c r="GH1042" s="9"/>
      <c r="GI1042" s="9"/>
      <c r="GJ1042" s="9"/>
      <c r="GK1042" s="9"/>
      <c r="GL1042" s="9"/>
      <c r="GM1042" s="9"/>
      <c r="GN1042" s="9"/>
      <c r="GO1042" s="9"/>
      <c r="GP1042" s="9"/>
      <c r="GQ1042" s="9"/>
      <c r="GR1042" s="9"/>
      <c r="GS1042" s="9"/>
      <c r="GT1042" s="9"/>
      <c r="GU1042" s="9"/>
      <c r="GV1042" s="9"/>
      <c r="GW1042" s="9"/>
      <c r="GX1042" s="9"/>
      <c r="GY1042" s="9"/>
      <c r="GZ1042" s="9"/>
      <c r="HA1042" s="9"/>
      <c r="HB1042" s="9"/>
      <c r="HC1042" s="9"/>
      <c r="HD1042" s="9"/>
      <c r="HE1042" s="9"/>
      <c r="HF1042" s="9"/>
      <c r="HG1042" s="9"/>
      <c r="HH1042" s="9"/>
      <c r="HI1042" s="9"/>
      <c r="HJ1042" s="9"/>
      <c r="HK1042" s="9"/>
      <c r="HL1042" s="9"/>
      <c r="HY1042" s="50"/>
    </row>
    <row r="1043" spans="139:233">
      <c r="EI1043" s="9"/>
      <c r="EJ1043" s="9"/>
      <c r="EK1043" s="9"/>
      <c r="EL1043" s="9"/>
      <c r="EM1043" s="9"/>
      <c r="EN1043" s="9"/>
      <c r="EO1043" s="9"/>
      <c r="EP1043" s="9"/>
      <c r="EQ1043" s="9"/>
      <c r="ER1043" s="9"/>
      <c r="ES1043" s="9"/>
      <c r="ET1043" s="9"/>
      <c r="EU1043" s="9"/>
      <c r="EV1043" s="9"/>
      <c r="EW1043" s="9"/>
      <c r="EX1043" s="9"/>
      <c r="EY1043" s="9"/>
      <c r="EZ1043" s="9"/>
      <c r="FA1043" s="9"/>
      <c r="FB1043" s="9"/>
      <c r="FC1043" s="9"/>
      <c r="FD1043" s="9"/>
      <c r="FE1043" s="9"/>
      <c r="FF1043" s="9"/>
      <c r="FG1043" s="9"/>
      <c r="FH1043" s="9"/>
      <c r="FI1043" s="9"/>
      <c r="FJ1043" s="9"/>
      <c r="FK1043" s="9"/>
      <c r="FL1043" s="9"/>
      <c r="FM1043" s="9"/>
      <c r="FN1043" s="9"/>
      <c r="FO1043" s="9"/>
      <c r="FP1043" s="9"/>
      <c r="FQ1043" s="9"/>
      <c r="FR1043" s="9"/>
      <c r="FS1043" s="9"/>
      <c r="FT1043" s="9"/>
      <c r="FU1043" s="9"/>
      <c r="FV1043" s="9"/>
      <c r="FW1043" s="9"/>
      <c r="FX1043" s="9"/>
      <c r="FY1043" s="9"/>
      <c r="FZ1043" s="9"/>
      <c r="GA1043" s="9"/>
      <c r="GB1043" s="9"/>
      <c r="GC1043" s="9"/>
      <c r="GD1043" s="9"/>
      <c r="GE1043" s="9"/>
      <c r="GF1043" s="9"/>
      <c r="GG1043" s="9"/>
      <c r="GH1043" s="9"/>
      <c r="GI1043" s="9"/>
      <c r="GJ1043" s="9"/>
      <c r="GK1043" s="9"/>
      <c r="GL1043" s="9"/>
      <c r="GM1043" s="9"/>
      <c r="GN1043" s="9"/>
      <c r="GO1043" s="9"/>
      <c r="GP1043" s="9"/>
      <c r="GQ1043" s="9"/>
      <c r="GR1043" s="9"/>
      <c r="GS1043" s="9"/>
      <c r="GT1043" s="9"/>
      <c r="GU1043" s="9"/>
      <c r="GV1043" s="9"/>
      <c r="GW1043" s="9"/>
      <c r="GX1043" s="9"/>
      <c r="GY1043" s="9"/>
      <c r="GZ1043" s="9"/>
      <c r="HA1043" s="9"/>
      <c r="HB1043" s="9"/>
      <c r="HC1043" s="9"/>
      <c r="HD1043" s="9"/>
      <c r="HE1043" s="9"/>
      <c r="HF1043" s="9"/>
      <c r="HG1043" s="9"/>
      <c r="HH1043" s="9"/>
      <c r="HI1043" s="9"/>
      <c r="HJ1043" s="9"/>
      <c r="HK1043" s="9"/>
      <c r="HL1043" s="9"/>
      <c r="HY1043" s="50"/>
    </row>
    <row r="1044" spans="139:233">
      <c r="EI1044" s="9"/>
      <c r="EJ1044" s="9"/>
      <c r="EK1044" s="9"/>
      <c r="EL1044" s="9"/>
      <c r="EM1044" s="9"/>
      <c r="EN1044" s="9"/>
      <c r="EO1044" s="9"/>
      <c r="EP1044" s="9"/>
      <c r="EQ1044" s="9"/>
      <c r="ER1044" s="9"/>
      <c r="ES1044" s="9"/>
      <c r="ET1044" s="9"/>
      <c r="EU1044" s="9"/>
      <c r="EV1044" s="9"/>
      <c r="EW1044" s="9"/>
      <c r="EX1044" s="9"/>
      <c r="EY1044" s="9"/>
      <c r="EZ1044" s="9"/>
      <c r="FA1044" s="9"/>
      <c r="FB1044" s="9"/>
      <c r="FC1044" s="9"/>
      <c r="FD1044" s="9"/>
      <c r="FE1044" s="9"/>
      <c r="FF1044" s="9"/>
      <c r="FG1044" s="9"/>
      <c r="FH1044" s="9"/>
      <c r="FI1044" s="9"/>
      <c r="FJ1044" s="9"/>
      <c r="FK1044" s="9"/>
      <c r="FL1044" s="9"/>
      <c r="FM1044" s="9"/>
      <c r="FN1044" s="9"/>
      <c r="FO1044" s="9"/>
      <c r="FP1044" s="9"/>
      <c r="FQ1044" s="9"/>
      <c r="FR1044" s="9"/>
      <c r="FS1044" s="9"/>
      <c r="FT1044" s="9"/>
      <c r="FU1044" s="9"/>
      <c r="FV1044" s="9"/>
      <c r="FW1044" s="9"/>
      <c r="FX1044" s="9"/>
      <c r="FY1044" s="9"/>
      <c r="FZ1044" s="9"/>
      <c r="GA1044" s="9"/>
      <c r="GB1044" s="9"/>
      <c r="GC1044" s="9"/>
      <c r="GD1044" s="9"/>
      <c r="GE1044" s="9"/>
      <c r="GF1044" s="9"/>
      <c r="GG1044" s="9"/>
      <c r="GH1044" s="9"/>
      <c r="GI1044" s="9"/>
      <c r="GJ1044" s="9"/>
      <c r="GK1044" s="9"/>
      <c r="GL1044" s="9"/>
      <c r="GM1044" s="9"/>
      <c r="GN1044" s="9"/>
      <c r="GO1044" s="9"/>
      <c r="GP1044" s="9"/>
      <c r="GQ1044" s="9"/>
      <c r="GR1044" s="9"/>
      <c r="GS1044" s="9"/>
      <c r="GT1044" s="9"/>
      <c r="GU1044" s="9"/>
      <c r="GV1044" s="9"/>
      <c r="GW1044" s="9"/>
      <c r="GX1044" s="9"/>
      <c r="GY1044" s="9"/>
      <c r="GZ1044" s="9"/>
      <c r="HA1044" s="9"/>
      <c r="HB1044" s="9"/>
      <c r="HC1044" s="9"/>
      <c r="HD1044" s="9"/>
      <c r="HE1044" s="9"/>
      <c r="HF1044" s="9"/>
      <c r="HG1044" s="9"/>
      <c r="HH1044" s="9"/>
      <c r="HI1044" s="9"/>
      <c r="HJ1044" s="9"/>
      <c r="HK1044" s="9"/>
      <c r="HL1044" s="9"/>
      <c r="HY1044" s="50"/>
    </row>
    <row r="1045" spans="139:233">
      <c r="EI1045" s="9"/>
      <c r="EJ1045" s="9"/>
      <c r="EK1045" s="9"/>
      <c r="EL1045" s="9"/>
      <c r="EM1045" s="9"/>
      <c r="EN1045" s="9"/>
      <c r="EO1045" s="9"/>
      <c r="EP1045" s="9"/>
      <c r="EQ1045" s="9"/>
      <c r="ER1045" s="9"/>
      <c r="ES1045" s="9"/>
      <c r="ET1045" s="9"/>
      <c r="EU1045" s="9"/>
      <c r="EV1045" s="9"/>
      <c r="EW1045" s="9"/>
      <c r="EX1045" s="9"/>
      <c r="EY1045" s="9"/>
      <c r="EZ1045" s="9"/>
      <c r="FA1045" s="9"/>
      <c r="FB1045" s="9"/>
      <c r="FC1045" s="9"/>
      <c r="FD1045" s="9"/>
      <c r="FE1045" s="9"/>
      <c r="FF1045" s="9"/>
      <c r="FG1045" s="9"/>
      <c r="FH1045" s="9"/>
      <c r="FI1045" s="9"/>
      <c r="FJ1045" s="9"/>
      <c r="FK1045" s="9"/>
      <c r="FL1045" s="9"/>
      <c r="FM1045" s="9"/>
      <c r="FN1045" s="9"/>
      <c r="FO1045" s="9"/>
      <c r="FP1045" s="9"/>
      <c r="FQ1045" s="9"/>
      <c r="FR1045" s="9"/>
      <c r="FS1045" s="9"/>
      <c r="FT1045" s="9"/>
      <c r="FU1045" s="9"/>
      <c r="FV1045" s="9"/>
      <c r="FW1045" s="9"/>
      <c r="FX1045" s="9"/>
      <c r="FY1045" s="9"/>
      <c r="FZ1045" s="9"/>
      <c r="GA1045" s="9"/>
      <c r="GB1045" s="9"/>
      <c r="GC1045" s="9"/>
      <c r="GD1045" s="9"/>
      <c r="GE1045" s="9"/>
      <c r="GF1045" s="9"/>
      <c r="GG1045" s="9"/>
      <c r="GH1045" s="9"/>
      <c r="GI1045" s="9"/>
      <c r="GJ1045" s="9"/>
      <c r="GK1045" s="9"/>
      <c r="GL1045" s="9"/>
      <c r="GM1045" s="9"/>
      <c r="GN1045" s="9"/>
      <c r="GO1045" s="9"/>
      <c r="GP1045" s="9"/>
      <c r="GQ1045" s="9"/>
      <c r="GR1045" s="9"/>
      <c r="GS1045" s="9"/>
      <c r="GT1045" s="9"/>
      <c r="GU1045" s="9"/>
      <c r="GV1045" s="9"/>
      <c r="GW1045" s="9"/>
      <c r="GX1045" s="9"/>
      <c r="GY1045" s="9"/>
      <c r="GZ1045" s="9"/>
      <c r="HA1045" s="9"/>
      <c r="HB1045" s="9"/>
      <c r="HC1045" s="9"/>
      <c r="HD1045" s="9"/>
      <c r="HE1045" s="9"/>
      <c r="HF1045" s="9"/>
      <c r="HG1045" s="9"/>
      <c r="HH1045" s="9"/>
      <c r="HI1045" s="9"/>
      <c r="HJ1045" s="9"/>
      <c r="HK1045" s="9"/>
      <c r="HL1045" s="9"/>
      <c r="HY1045" s="50"/>
    </row>
    <row r="1046" spans="139:233">
      <c r="EI1046" s="9"/>
      <c r="EJ1046" s="9"/>
      <c r="EK1046" s="9"/>
      <c r="EL1046" s="9"/>
      <c r="EM1046" s="9"/>
      <c r="EN1046" s="9"/>
      <c r="EO1046" s="9"/>
      <c r="EP1046" s="9"/>
      <c r="EQ1046" s="9"/>
      <c r="ER1046" s="9"/>
      <c r="ES1046" s="9"/>
      <c r="ET1046" s="9"/>
      <c r="EU1046" s="9"/>
      <c r="EV1046" s="9"/>
      <c r="EW1046" s="9"/>
      <c r="EX1046" s="9"/>
      <c r="EY1046" s="9"/>
      <c r="EZ1046" s="9"/>
      <c r="FA1046" s="9"/>
      <c r="FB1046" s="9"/>
      <c r="FC1046" s="9"/>
      <c r="FD1046" s="9"/>
      <c r="FE1046" s="9"/>
      <c r="FF1046" s="9"/>
      <c r="FG1046" s="9"/>
      <c r="FH1046" s="9"/>
      <c r="FI1046" s="9"/>
      <c r="FJ1046" s="9"/>
      <c r="FK1046" s="9"/>
      <c r="FL1046" s="9"/>
      <c r="FM1046" s="9"/>
      <c r="FN1046" s="9"/>
      <c r="FO1046" s="9"/>
      <c r="FP1046" s="9"/>
      <c r="FQ1046" s="9"/>
      <c r="FR1046" s="9"/>
      <c r="FS1046" s="9"/>
      <c r="FT1046" s="9"/>
      <c r="FU1046" s="9"/>
      <c r="FV1046" s="9"/>
      <c r="FW1046" s="9"/>
      <c r="FX1046" s="9"/>
      <c r="FY1046" s="9"/>
      <c r="FZ1046" s="9"/>
      <c r="GA1046" s="9"/>
      <c r="GB1046" s="9"/>
      <c r="GC1046" s="9"/>
      <c r="GD1046" s="9"/>
      <c r="GE1046" s="9"/>
      <c r="GF1046" s="9"/>
      <c r="GG1046" s="9"/>
      <c r="GH1046" s="9"/>
      <c r="GI1046" s="9"/>
      <c r="GJ1046" s="9"/>
      <c r="GK1046" s="9"/>
      <c r="GL1046" s="9"/>
      <c r="GM1046" s="9"/>
      <c r="GN1046" s="9"/>
      <c r="GO1046" s="9"/>
      <c r="GP1046" s="9"/>
      <c r="GQ1046" s="9"/>
      <c r="GR1046" s="9"/>
      <c r="GS1046" s="9"/>
      <c r="GT1046" s="9"/>
      <c r="GU1046" s="9"/>
      <c r="GV1046" s="9"/>
      <c r="GW1046" s="9"/>
      <c r="GX1046" s="9"/>
      <c r="GY1046" s="9"/>
      <c r="GZ1046" s="9"/>
      <c r="HA1046" s="9"/>
      <c r="HB1046" s="9"/>
      <c r="HC1046" s="9"/>
      <c r="HD1046" s="9"/>
      <c r="HE1046" s="9"/>
      <c r="HF1046" s="9"/>
      <c r="HG1046" s="9"/>
      <c r="HH1046" s="9"/>
      <c r="HI1046" s="9"/>
      <c r="HJ1046" s="9"/>
      <c r="HK1046" s="9"/>
      <c r="HL1046" s="9"/>
      <c r="HY1046" s="50"/>
    </row>
    <row r="1047" spans="139:233">
      <c r="EI1047" s="9"/>
      <c r="EJ1047" s="9"/>
      <c r="EK1047" s="9"/>
      <c r="EL1047" s="9"/>
      <c r="EM1047" s="9"/>
      <c r="EN1047" s="9"/>
      <c r="EO1047" s="9"/>
      <c r="EP1047" s="9"/>
      <c r="EQ1047" s="9"/>
      <c r="ER1047" s="9"/>
      <c r="ES1047" s="9"/>
      <c r="ET1047" s="9"/>
      <c r="EU1047" s="9"/>
      <c r="EV1047" s="9"/>
      <c r="EW1047" s="9"/>
      <c r="EX1047" s="9"/>
      <c r="EY1047" s="9"/>
      <c r="EZ1047" s="9"/>
      <c r="FA1047" s="9"/>
      <c r="FB1047" s="9"/>
      <c r="FC1047" s="9"/>
      <c r="FD1047" s="9"/>
      <c r="FE1047" s="9"/>
      <c r="FF1047" s="9"/>
      <c r="FG1047" s="9"/>
      <c r="FH1047" s="9"/>
      <c r="FI1047" s="9"/>
      <c r="FJ1047" s="9"/>
      <c r="FK1047" s="9"/>
      <c r="FL1047" s="9"/>
      <c r="FM1047" s="9"/>
      <c r="FN1047" s="9"/>
      <c r="FO1047" s="9"/>
      <c r="FP1047" s="9"/>
      <c r="FQ1047" s="9"/>
      <c r="FR1047" s="9"/>
      <c r="FS1047" s="9"/>
      <c r="FT1047" s="9"/>
      <c r="FU1047" s="9"/>
      <c r="FV1047" s="9"/>
      <c r="FW1047" s="9"/>
      <c r="FX1047" s="9"/>
      <c r="FY1047" s="9"/>
      <c r="FZ1047" s="9"/>
      <c r="GA1047" s="9"/>
      <c r="GB1047" s="9"/>
      <c r="GC1047" s="9"/>
      <c r="GD1047" s="9"/>
      <c r="GE1047" s="9"/>
      <c r="GF1047" s="9"/>
      <c r="GG1047" s="9"/>
      <c r="GH1047" s="9"/>
      <c r="GI1047" s="9"/>
      <c r="GJ1047" s="9"/>
      <c r="GK1047" s="9"/>
      <c r="GL1047" s="9"/>
      <c r="GM1047" s="9"/>
      <c r="GN1047" s="9"/>
      <c r="GO1047" s="9"/>
      <c r="GP1047" s="9"/>
      <c r="GQ1047" s="9"/>
      <c r="GR1047" s="9"/>
      <c r="GS1047" s="9"/>
      <c r="GT1047" s="9"/>
      <c r="GU1047" s="9"/>
      <c r="GV1047" s="9"/>
      <c r="GW1047" s="9"/>
      <c r="GX1047" s="9"/>
      <c r="GY1047" s="9"/>
      <c r="GZ1047" s="9"/>
      <c r="HA1047" s="9"/>
      <c r="HB1047" s="9"/>
      <c r="HC1047" s="9"/>
      <c r="HD1047" s="9"/>
      <c r="HE1047" s="9"/>
      <c r="HF1047" s="9"/>
      <c r="HG1047" s="9"/>
      <c r="HH1047" s="9"/>
      <c r="HI1047" s="9"/>
      <c r="HJ1047" s="9"/>
      <c r="HK1047" s="9"/>
      <c r="HL1047" s="9"/>
      <c r="HY1047" s="50"/>
    </row>
    <row r="1048" spans="139:233">
      <c r="EI1048" s="9"/>
      <c r="EJ1048" s="9"/>
      <c r="EK1048" s="9"/>
      <c r="EL1048" s="9"/>
      <c r="EM1048" s="9"/>
      <c r="EN1048" s="9"/>
      <c r="EO1048" s="9"/>
      <c r="EP1048" s="9"/>
      <c r="EQ1048" s="9"/>
      <c r="ER1048" s="9"/>
      <c r="ES1048" s="9"/>
      <c r="ET1048" s="9"/>
      <c r="EU1048" s="9"/>
      <c r="EV1048" s="9"/>
      <c r="EW1048" s="9"/>
      <c r="EX1048" s="9"/>
      <c r="EY1048" s="9"/>
      <c r="EZ1048" s="9"/>
      <c r="FA1048" s="9"/>
      <c r="FB1048" s="9"/>
      <c r="FC1048" s="9"/>
      <c r="FD1048" s="9"/>
      <c r="FE1048" s="9"/>
      <c r="FF1048" s="9"/>
      <c r="FG1048" s="9"/>
      <c r="FH1048" s="9"/>
      <c r="FI1048" s="9"/>
      <c r="FJ1048" s="9"/>
      <c r="FK1048" s="9"/>
      <c r="FL1048" s="9"/>
      <c r="FM1048" s="9"/>
      <c r="FN1048" s="9"/>
      <c r="FO1048" s="9"/>
      <c r="FP1048" s="9"/>
      <c r="FQ1048" s="9"/>
      <c r="FR1048" s="9"/>
      <c r="FS1048" s="9"/>
      <c r="FT1048" s="9"/>
      <c r="FU1048" s="9"/>
      <c r="FV1048" s="9"/>
      <c r="FW1048" s="9"/>
      <c r="FX1048" s="9"/>
      <c r="FY1048" s="9"/>
      <c r="FZ1048" s="9"/>
      <c r="GA1048" s="9"/>
      <c r="GB1048" s="9"/>
      <c r="GC1048" s="9"/>
      <c r="GD1048" s="9"/>
      <c r="GE1048" s="9"/>
      <c r="GF1048" s="9"/>
      <c r="GG1048" s="9"/>
      <c r="GH1048" s="9"/>
      <c r="GI1048" s="9"/>
      <c r="GJ1048" s="9"/>
      <c r="GK1048" s="9"/>
      <c r="GL1048" s="9"/>
      <c r="GM1048" s="9"/>
      <c r="GN1048" s="9"/>
      <c r="GO1048" s="9"/>
      <c r="GP1048" s="9"/>
      <c r="GQ1048" s="9"/>
      <c r="GR1048" s="9"/>
      <c r="GS1048" s="9"/>
      <c r="GT1048" s="9"/>
      <c r="GU1048" s="9"/>
      <c r="GV1048" s="9"/>
      <c r="GW1048" s="9"/>
      <c r="GX1048" s="9"/>
      <c r="GY1048" s="9"/>
      <c r="GZ1048" s="9"/>
      <c r="HA1048" s="9"/>
      <c r="HB1048" s="9"/>
      <c r="HC1048" s="9"/>
      <c r="HD1048" s="9"/>
      <c r="HE1048" s="9"/>
      <c r="HF1048" s="9"/>
      <c r="HG1048" s="9"/>
      <c r="HH1048" s="9"/>
      <c r="HI1048" s="9"/>
      <c r="HJ1048" s="9"/>
      <c r="HK1048" s="9"/>
      <c r="HL1048" s="9"/>
      <c r="HY1048" s="50"/>
    </row>
    <row r="1049" spans="139:233">
      <c r="EI1049" s="9"/>
      <c r="EJ1049" s="9"/>
      <c r="EK1049" s="9"/>
      <c r="EL1049" s="9"/>
      <c r="EM1049" s="9"/>
      <c r="EN1049" s="9"/>
      <c r="EO1049" s="9"/>
      <c r="EP1049" s="9"/>
      <c r="EQ1049" s="9"/>
      <c r="ER1049" s="9"/>
      <c r="ES1049" s="9"/>
      <c r="ET1049" s="9"/>
      <c r="EU1049" s="9"/>
      <c r="EV1049" s="9"/>
      <c r="EW1049" s="9"/>
      <c r="EX1049" s="9"/>
      <c r="EY1049" s="9"/>
      <c r="EZ1049" s="9"/>
      <c r="FA1049" s="9"/>
      <c r="FB1049" s="9"/>
      <c r="FC1049" s="9"/>
      <c r="FD1049" s="9"/>
      <c r="FE1049" s="9"/>
      <c r="FF1049" s="9"/>
      <c r="FG1049" s="9"/>
      <c r="FH1049" s="9"/>
      <c r="FI1049" s="9"/>
      <c r="FJ1049" s="9"/>
      <c r="FK1049" s="9"/>
      <c r="FL1049" s="9"/>
      <c r="FM1049" s="9"/>
      <c r="FN1049" s="9"/>
      <c r="FO1049" s="9"/>
      <c r="FP1049" s="9"/>
      <c r="FQ1049" s="9"/>
      <c r="FR1049" s="9"/>
      <c r="FS1049" s="9"/>
      <c r="FT1049" s="9"/>
      <c r="FU1049" s="9"/>
      <c r="FV1049" s="9"/>
      <c r="FW1049" s="9"/>
      <c r="FX1049" s="9"/>
      <c r="FY1049" s="9"/>
      <c r="FZ1049" s="9"/>
      <c r="GA1049" s="9"/>
      <c r="GB1049" s="9"/>
      <c r="GC1049" s="9"/>
      <c r="GD1049" s="9"/>
      <c r="GE1049" s="9"/>
      <c r="GF1049" s="9"/>
      <c r="GG1049" s="9"/>
      <c r="GH1049" s="9"/>
      <c r="GI1049" s="9"/>
      <c r="GJ1049" s="9"/>
      <c r="GK1049" s="9"/>
      <c r="GL1049" s="9"/>
      <c r="GM1049" s="9"/>
      <c r="GN1049" s="9"/>
      <c r="GO1049" s="9"/>
      <c r="GP1049" s="9"/>
      <c r="GQ1049" s="9"/>
      <c r="GR1049" s="9"/>
      <c r="GS1049" s="9"/>
      <c r="GT1049" s="9"/>
      <c r="GU1049" s="9"/>
      <c r="GV1049" s="9"/>
      <c r="GW1049" s="9"/>
      <c r="GX1049" s="9"/>
      <c r="GY1049" s="9"/>
      <c r="GZ1049" s="9"/>
      <c r="HA1049" s="9"/>
      <c r="HB1049" s="9"/>
      <c r="HC1049" s="9"/>
      <c r="HD1049" s="9"/>
      <c r="HE1049" s="9"/>
      <c r="HF1049" s="9"/>
      <c r="HG1049" s="9"/>
      <c r="HH1049" s="9"/>
      <c r="HI1049" s="9"/>
      <c r="HJ1049" s="9"/>
      <c r="HK1049" s="9"/>
      <c r="HL1049" s="9"/>
      <c r="HY1049" s="50"/>
    </row>
    <row r="1050" spans="139:233">
      <c r="EI1050" s="9"/>
      <c r="EJ1050" s="9"/>
      <c r="EK1050" s="9"/>
      <c r="EL1050" s="9"/>
      <c r="EM1050" s="9"/>
      <c r="EN1050" s="9"/>
      <c r="EO1050" s="9"/>
      <c r="EP1050" s="9"/>
      <c r="EQ1050" s="9"/>
      <c r="ER1050" s="9"/>
      <c r="ES1050" s="9"/>
      <c r="ET1050" s="9"/>
      <c r="EU1050" s="9"/>
      <c r="EV1050" s="9"/>
      <c r="EW1050" s="9"/>
      <c r="EX1050" s="9"/>
      <c r="EY1050" s="9"/>
      <c r="EZ1050" s="9"/>
      <c r="FA1050" s="9"/>
      <c r="FB1050" s="9"/>
      <c r="FC1050" s="9"/>
      <c r="FD1050" s="9"/>
      <c r="FE1050" s="9"/>
      <c r="FF1050" s="9"/>
      <c r="FG1050" s="9"/>
      <c r="FH1050" s="9"/>
      <c r="FI1050" s="9"/>
      <c r="FJ1050" s="9"/>
      <c r="FK1050" s="9"/>
      <c r="FL1050" s="9"/>
      <c r="FM1050" s="9"/>
      <c r="FN1050" s="9"/>
      <c r="FO1050" s="9"/>
      <c r="FP1050" s="9"/>
      <c r="FQ1050" s="9"/>
      <c r="FR1050" s="9"/>
      <c r="FS1050" s="9"/>
      <c r="FT1050" s="9"/>
      <c r="FU1050" s="9"/>
      <c r="FV1050" s="9"/>
      <c r="FW1050" s="9"/>
      <c r="FX1050" s="9"/>
      <c r="FY1050" s="9"/>
      <c r="FZ1050" s="9"/>
      <c r="GA1050" s="9"/>
      <c r="GB1050" s="9"/>
      <c r="GC1050" s="9"/>
      <c r="GD1050" s="9"/>
      <c r="GE1050" s="9"/>
      <c r="GF1050" s="9"/>
      <c r="GG1050" s="9"/>
      <c r="GH1050" s="9"/>
      <c r="GI1050" s="9"/>
      <c r="GJ1050" s="9"/>
      <c r="GK1050" s="9"/>
      <c r="GL1050" s="9"/>
      <c r="GM1050" s="9"/>
      <c r="GN1050" s="9"/>
      <c r="GO1050" s="9"/>
      <c r="GP1050" s="9"/>
      <c r="GQ1050" s="9"/>
      <c r="GR1050" s="9"/>
      <c r="GS1050" s="9"/>
      <c r="GT1050" s="9"/>
      <c r="GU1050" s="9"/>
      <c r="GV1050" s="9"/>
      <c r="GW1050" s="9"/>
      <c r="GX1050" s="9"/>
      <c r="GY1050" s="9"/>
      <c r="GZ1050" s="9"/>
      <c r="HA1050" s="9"/>
      <c r="HB1050" s="9"/>
      <c r="HC1050" s="9"/>
      <c r="HD1050" s="9"/>
      <c r="HE1050" s="9"/>
      <c r="HF1050" s="9"/>
      <c r="HG1050" s="9"/>
      <c r="HH1050" s="9"/>
      <c r="HI1050" s="9"/>
      <c r="HJ1050" s="9"/>
      <c r="HK1050" s="9"/>
      <c r="HL1050" s="9"/>
      <c r="HY1050" s="50"/>
    </row>
    <row r="1051" spans="139:233">
      <c r="EI1051" s="9"/>
      <c r="EJ1051" s="9"/>
      <c r="EK1051" s="9"/>
      <c r="EL1051" s="9"/>
      <c r="EM1051" s="9"/>
      <c r="EN1051" s="9"/>
      <c r="EO1051" s="9"/>
      <c r="EP1051" s="9"/>
      <c r="EQ1051" s="9"/>
      <c r="ER1051" s="9"/>
      <c r="ES1051" s="9"/>
      <c r="ET1051" s="9"/>
      <c r="EU1051" s="9"/>
      <c r="EV1051" s="9"/>
      <c r="EW1051" s="9"/>
      <c r="EX1051" s="9"/>
      <c r="EY1051" s="9"/>
      <c r="EZ1051" s="9"/>
      <c r="FA1051" s="9"/>
      <c r="FB1051" s="9"/>
      <c r="FC1051" s="9"/>
      <c r="FD1051" s="9"/>
      <c r="FE1051" s="9"/>
      <c r="FF1051" s="9"/>
      <c r="FG1051" s="9"/>
      <c r="FH1051" s="9"/>
      <c r="FI1051" s="9"/>
      <c r="FJ1051" s="9"/>
      <c r="FK1051" s="9"/>
      <c r="FL1051" s="9"/>
      <c r="FM1051" s="9"/>
      <c r="FN1051" s="9"/>
      <c r="FO1051" s="9"/>
      <c r="FP1051" s="9"/>
      <c r="FQ1051" s="9"/>
      <c r="FR1051" s="9"/>
      <c r="FS1051" s="9"/>
      <c r="FT1051" s="9"/>
      <c r="FU1051" s="9"/>
      <c r="FV1051" s="9"/>
      <c r="FW1051" s="9"/>
      <c r="FX1051" s="9"/>
      <c r="FY1051" s="9"/>
      <c r="FZ1051" s="9"/>
      <c r="GA1051" s="9"/>
      <c r="GB1051" s="9"/>
      <c r="GC1051" s="9"/>
      <c r="GD1051" s="9"/>
      <c r="GE1051" s="9"/>
      <c r="GF1051" s="9"/>
      <c r="GG1051" s="9"/>
      <c r="GH1051" s="9"/>
      <c r="GI1051" s="9"/>
      <c r="GJ1051" s="9"/>
      <c r="GK1051" s="9"/>
      <c r="GL1051" s="9"/>
      <c r="GM1051" s="9"/>
      <c r="GN1051" s="9"/>
      <c r="GO1051" s="9"/>
      <c r="GP1051" s="9"/>
      <c r="GQ1051" s="9"/>
      <c r="GR1051" s="9"/>
      <c r="GS1051" s="9"/>
      <c r="GT1051" s="9"/>
      <c r="GU1051" s="9"/>
      <c r="GV1051" s="9"/>
      <c r="GW1051" s="9"/>
      <c r="GX1051" s="9"/>
      <c r="GY1051" s="9"/>
      <c r="GZ1051" s="9"/>
      <c r="HA1051" s="9"/>
      <c r="HB1051" s="9"/>
      <c r="HC1051" s="9"/>
      <c r="HD1051" s="9"/>
      <c r="HE1051" s="9"/>
      <c r="HF1051" s="9"/>
      <c r="HG1051" s="9"/>
      <c r="HH1051" s="9"/>
      <c r="HI1051" s="9"/>
      <c r="HJ1051" s="9"/>
      <c r="HK1051" s="9"/>
      <c r="HL1051" s="9"/>
      <c r="HY1051" s="50"/>
    </row>
    <row r="1052" spans="139:233">
      <c r="EI1052" s="9"/>
      <c r="EJ1052" s="9"/>
      <c r="EK1052" s="9"/>
      <c r="EL1052" s="9"/>
      <c r="EM1052" s="9"/>
      <c r="EN1052" s="9"/>
      <c r="EO1052" s="9"/>
      <c r="EP1052" s="9"/>
      <c r="EQ1052" s="9"/>
      <c r="ER1052" s="9"/>
      <c r="ES1052" s="9"/>
      <c r="ET1052" s="9"/>
      <c r="EU1052" s="9"/>
      <c r="EV1052" s="9"/>
      <c r="EW1052" s="9"/>
      <c r="EX1052" s="9"/>
      <c r="EY1052" s="9"/>
      <c r="EZ1052" s="9"/>
      <c r="FA1052" s="9"/>
      <c r="FB1052" s="9"/>
      <c r="FC1052" s="9"/>
      <c r="FD1052" s="9"/>
      <c r="FE1052" s="9"/>
      <c r="FF1052" s="9"/>
      <c r="FG1052" s="9"/>
      <c r="FH1052" s="9"/>
      <c r="FI1052" s="9"/>
      <c r="FJ1052" s="9"/>
      <c r="FK1052" s="9"/>
      <c r="FL1052" s="9"/>
      <c r="FM1052" s="9"/>
      <c r="FN1052" s="9"/>
      <c r="FO1052" s="9"/>
      <c r="FP1052" s="9"/>
      <c r="FQ1052" s="9"/>
      <c r="FR1052" s="9"/>
      <c r="FS1052" s="9"/>
      <c r="FT1052" s="9"/>
      <c r="FU1052" s="9"/>
      <c r="FV1052" s="9"/>
      <c r="FW1052" s="9"/>
      <c r="FX1052" s="9"/>
      <c r="FY1052" s="9"/>
      <c r="FZ1052" s="9"/>
      <c r="GA1052" s="9"/>
      <c r="GB1052" s="9"/>
      <c r="GC1052" s="9"/>
      <c r="GD1052" s="9"/>
      <c r="GE1052" s="9"/>
      <c r="GF1052" s="9"/>
      <c r="GG1052" s="9"/>
      <c r="GH1052" s="9"/>
      <c r="GI1052" s="9"/>
      <c r="GJ1052" s="9"/>
      <c r="GK1052" s="9"/>
      <c r="GL1052" s="9"/>
      <c r="GM1052" s="9"/>
      <c r="GN1052" s="9"/>
      <c r="GO1052" s="9"/>
      <c r="GP1052" s="9"/>
      <c r="GQ1052" s="9"/>
      <c r="GR1052" s="9"/>
      <c r="GS1052" s="9"/>
      <c r="GT1052" s="9"/>
      <c r="GU1052" s="9"/>
      <c r="GV1052" s="9"/>
      <c r="GW1052" s="9"/>
      <c r="GX1052" s="9"/>
      <c r="GY1052" s="9"/>
      <c r="GZ1052" s="9"/>
      <c r="HA1052" s="9"/>
      <c r="HB1052" s="9"/>
      <c r="HC1052" s="9"/>
      <c r="HD1052" s="9"/>
      <c r="HE1052" s="9"/>
      <c r="HF1052" s="9"/>
      <c r="HG1052" s="9"/>
      <c r="HH1052" s="9"/>
      <c r="HI1052" s="9"/>
      <c r="HJ1052" s="9"/>
      <c r="HK1052" s="9"/>
      <c r="HL1052" s="9"/>
      <c r="HY1052" s="50"/>
    </row>
    <row r="1053" spans="139:233">
      <c r="EI1053" s="9"/>
      <c r="EJ1053" s="9"/>
      <c r="EK1053" s="9"/>
      <c r="EL1053" s="9"/>
      <c r="EM1053" s="9"/>
      <c r="EN1053" s="9"/>
      <c r="EO1053" s="9"/>
      <c r="EP1053" s="9"/>
      <c r="EQ1053" s="9"/>
      <c r="ER1053" s="9"/>
      <c r="ES1053" s="9"/>
      <c r="ET1053" s="9"/>
      <c r="EU1053" s="9"/>
      <c r="EV1053" s="9"/>
      <c r="EW1053" s="9"/>
      <c r="EX1053" s="9"/>
      <c r="EY1053" s="9"/>
      <c r="EZ1053" s="9"/>
      <c r="FA1053" s="9"/>
      <c r="FB1053" s="9"/>
      <c r="FC1053" s="9"/>
      <c r="FD1053" s="9"/>
      <c r="FE1053" s="9"/>
      <c r="FF1053" s="9"/>
      <c r="FG1053" s="9"/>
      <c r="FH1053" s="9"/>
      <c r="FI1053" s="9"/>
      <c r="FJ1053" s="9"/>
      <c r="FK1053" s="9"/>
      <c r="FL1053" s="9"/>
      <c r="FM1053" s="9"/>
      <c r="FN1053" s="9"/>
      <c r="FO1053" s="9"/>
      <c r="FP1053" s="9"/>
      <c r="FQ1053" s="9"/>
      <c r="FR1053" s="9"/>
      <c r="FS1053" s="9"/>
      <c r="FT1053" s="9"/>
      <c r="FU1053" s="9"/>
      <c r="FV1053" s="9"/>
      <c r="FW1053" s="9"/>
      <c r="FX1053" s="9"/>
      <c r="FY1053" s="9"/>
      <c r="FZ1053" s="9"/>
      <c r="GA1053" s="9"/>
      <c r="GB1053" s="9"/>
      <c r="GC1053" s="9"/>
      <c r="GD1053" s="9"/>
      <c r="GE1053" s="9"/>
      <c r="GF1053" s="9"/>
      <c r="GG1053" s="9"/>
      <c r="GH1053" s="9"/>
      <c r="GI1053" s="9"/>
      <c r="GJ1053" s="9"/>
      <c r="GK1053" s="9"/>
      <c r="GL1053" s="9"/>
      <c r="GM1053" s="9"/>
      <c r="GN1053" s="9"/>
      <c r="GO1053" s="9"/>
      <c r="GP1053" s="9"/>
      <c r="GQ1053" s="9"/>
      <c r="GR1053" s="9"/>
      <c r="GS1053" s="9"/>
      <c r="GT1053" s="9"/>
      <c r="GU1053" s="9"/>
      <c r="GV1053" s="9"/>
      <c r="GW1053" s="9"/>
      <c r="GX1053" s="9"/>
      <c r="GY1053" s="9"/>
      <c r="GZ1053" s="9"/>
      <c r="HA1053" s="9"/>
      <c r="HB1053" s="9"/>
      <c r="HC1053" s="9"/>
      <c r="HD1053" s="9"/>
      <c r="HE1053" s="9"/>
      <c r="HF1053" s="9"/>
      <c r="HG1053" s="9"/>
      <c r="HH1053" s="9"/>
      <c r="HI1053" s="9"/>
      <c r="HJ1053" s="9"/>
      <c r="HK1053" s="9"/>
      <c r="HL1053" s="9"/>
      <c r="HY1053" s="50"/>
    </row>
    <row r="1054" spans="139:233">
      <c r="EI1054" s="9"/>
      <c r="EJ1054" s="9"/>
      <c r="EK1054" s="9"/>
      <c r="EL1054" s="9"/>
      <c r="EM1054" s="9"/>
      <c r="EN1054" s="9"/>
      <c r="EO1054" s="9"/>
      <c r="EP1054" s="9"/>
      <c r="EQ1054" s="9"/>
      <c r="ER1054" s="9"/>
      <c r="ES1054" s="9"/>
      <c r="ET1054" s="9"/>
      <c r="EU1054" s="9"/>
      <c r="EV1054" s="9"/>
      <c r="EW1054" s="9"/>
      <c r="EX1054" s="9"/>
      <c r="EY1054" s="9"/>
      <c r="EZ1054" s="9"/>
      <c r="FA1054" s="9"/>
      <c r="FB1054" s="9"/>
      <c r="FC1054" s="9"/>
      <c r="FD1054" s="9"/>
      <c r="FE1054" s="9"/>
      <c r="FF1054" s="9"/>
      <c r="FG1054" s="9"/>
      <c r="FH1054" s="9"/>
      <c r="FI1054" s="9"/>
      <c r="FJ1054" s="9"/>
      <c r="FK1054" s="9"/>
      <c r="FL1054" s="9"/>
      <c r="FM1054" s="9"/>
      <c r="FN1054" s="9"/>
      <c r="FO1054" s="9"/>
      <c r="FP1054" s="9"/>
      <c r="FQ1054" s="9"/>
      <c r="FR1054" s="9"/>
      <c r="FS1054" s="9"/>
      <c r="FT1054" s="9"/>
      <c r="FU1054" s="9"/>
      <c r="FV1054" s="9"/>
      <c r="FW1054" s="9"/>
      <c r="FX1054" s="9"/>
      <c r="FY1054" s="9"/>
      <c r="FZ1054" s="9"/>
      <c r="GA1054" s="9"/>
      <c r="GB1054" s="9"/>
      <c r="GC1054" s="9"/>
      <c r="GD1054" s="9"/>
      <c r="GE1054" s="9"/>
      <c r="GF1054" s="9"/>
      <c r="GG1054" s="9"/>
      <c r="GH1054" s="9"/>
      <c r="GI1054" s="9"/>
      <c r="GJ1054" s="9"/>
      <c r="GK1054" s="9"/>
      <c r="GL1054" s="9"/>
      <c r="GM1054" s="9"/>
      <c r="GN1054" s="9"/>
      <c r="GO1054" s="9"/>
      <c r="GP1054" s="9"/>
      <c r="GQ1054" s="9"/>
      <c r="GR1054" s="9"/>
      <c r="GS1054" s="9"/>
      <c r="GT1054" s="9"/>
      <c r="GU1054" s="9"/>
      <c r="GV1054" s="9"/>
      <c r="GW1054" s="9"/>
      <c r="GX1054" s="9"/>
      <c r="GY1054" s="9"/>
      <c r="GZ1054" s="9"/>
      <c r="HA1054" s="9"/>
      <c r="HB1054" s="9"/>
      <c r="HC1054" s="9"/>
      <c r="HD1054" s="9"/>
      <c r="HE1054" s="9"/>
      <c r="HF1054" s="9"/>
      <c r="HG1054" s="9"/>
      <c r="HH1054" s="9"/>
      <c r="HI1054" s="9"/>
      <c r="HJ1054" s="9"/>
      <c r="HK1054" s="9"/>
      <c r="HL1054" s="9"/>
      <c r="HY1054" s="50"/>
    </row>
    <row r="1055" spans="139:233">
      <c r="EI1055" s="9"/>
      <c r="EJ1055" s="9"/>
      <c r="EK1055" s="9"/>
      <c r="EL1055" s="9"/>
      <c r="EM1055" s="9"/>
      <c r="EN1055" s="9"/>
      <c r="EO1055" s="9"/>
      <c r="EP1055" s="9"/>
      <c r="EQ1055" s="9"/>
      <c r="ER1055" s="9"/>
      <c r="ES1055" s="9"/>
      <c r="ET1055" s="9"/>
      <c r="EU1055" s="9"/>
      <c r="EV1055" s="9"/>
      <c r="EW1055" s="9"/>
      <c r="EX1055" s="9"/>
      <c r="EY1055" s="9"/>
      <c r="EZ1055" s="9"/>
      <c r="FA1055" s="9"/>
      <c r="FB1055" s="9"/>
      <c r="FC1055" s="9"/>
      <c r="FD1055" s="9"/>
      <c r="FE1055" s="9"/>
      <c r="FF1055" s="9"/>
      <c r="FG1055" s="9"/>
      <c r="FH1055" s="9"/>
      <c r="FI1055" s="9"/>
      <c r="FJ1055" s="9"/>
      <c r="FK1055" s="9"/>
      <c r="FL1055" s="9"/>
      <c r="FM1055" s="9"/>
      <c r="FN1055" s="9"/>
      <c r="FO1055" s="9"/>
      <c r="FP1055" s="9"/>
      <c r="FQ1055" s="9"/>
      <c r="FR1055" s="9"/>
      <c r="FS1055" s="9"/>
      <c r="FT1055" s="9"/>
      <c r="FU1055" s="9"/>
      <c r="FV1055" s="9"/>
      <c r="FW1055" s="9"/>
      <c r="FX1055" s="9"/>
      <c r="FY1055" s="9"/>
      <c r="FZ1055" s="9"/>
      <c r="GA1055" s="9"/>
      <c r="GB1055" s="9"/>
      <c r="GC1055" s="9"/>
      <c r="GD1055" s="9"/>
      <c r="GE1055" s="9"/>
      <c r="GF1055" s="9"/>
      <c r="GG1055" s="9"/>
      <c r="GH1055" s="9"/>
      <c r="GI1055" s="9"/>
      <c r="GJ1055" s="9"/>
      <c r="GK1055" s="9"/>
      <c r="GL1055" s="9"/>
      <c r="GM1055" s="9"/>
      <c r="GN1055" s="9"/>
      <c r="GO1055" s="9"/>
      <c r="GP1055" s="9"/>
      <c r="GQ1055" s="9"/>
      <c r="GR1055" s="9"/>
      <c r="GS1055" s="9"/>
      <c r="GT1055" s="9"/>
      <c r="GU1055" s="9"/>
      <c r="GV1055" s="9"/>
      <c r="GW1055" s="9"/>
      <c r="GX1055" s="9"/>
      <c r="GY1055" s="9"/>
      <c r="GZ1055" s="9"/>
      <c r="HA1055" s="9"/>
      <c r="HB1055" s="9"/>
      <c r="HC1055" s="9"/>
      <c r="HD1055" s="9"/>
      <c r="HE1055" s="9"/>
      <c r="HF1055" s="9"/>
      <c r="HG1055" s="9"/>
      <c r="HH1055" s="9"/>
      <c r="HI1055" s="9"/>
      <c r="HJ1055" s="9"/>
      <c r="HK1055" s="9"/>
      <c r="HL1055" s="9"/>
      <c r="HY1055" s="50"/>
    </row>
    <row r="1056" spans="139:233">
      <c r="EI1056" s="9"/>
      <c r="EJ1056" s="9"/>
      <c r="EK1056" s="9"/>
      <c r="EL1056" s="9"/>
      <c r="EM1056" s="9"/>
      <c r="EN1056" s="9"/>
      <c r="EO1056" s="9"/>
      <c r="EP1056" s="9"/>
      <c r="EQ1056" s="9"/>
      <c r="ER1056" s="9"/>
      <c r="ES1056" s="9"/>
      <c r="ET1056" s="9"/>
      <c r="EU1056" s="9"/>
      <c r="EV1056" s="9"/>
      <c r="EW1056" s="9"/>
      <c r="EX1056" s="9"/>
      <c r="EY1056" s="9"/>
      <c r="EZ1056" s="9"/>
      <c r="FA1056" s="9"/>
      <c r="FB1056" s="9"/>
      <c r="FC1056" s="9"/>
      <c r="FD1056" s="9"/>
      <c r="FE1056" s="9"/>
      <c r="FF1056" s="9"/>
      <c r="FG1056" s="9"/>
      <c r="FH1056" s="9"/>
      <c r="FI1056" s="9"/>
      <c r="FJ1056" s="9"/>
      <c r="FK1056" s="9"/>
      <c r="FL1056" s="9"/>
      <c r="FM1056" s="9"/>
      <c r="FN1056" s="9"/>
      <c r="FO1056" s="9"/>
      <c r="FP1056" s="9"/>
      <c r="FQ1056" s="9"/>
      <c r="FR1056" s="9"/>
      <c r="FS1056" s="9"/>
      <c r="FT1056" s="9"/>
      <c r="FU1056" s="9"/>
      <c r="FV1056" s="9"/>
      <c r="FW1056" s="9"/>
      <c r="FX1056" s="9"/>
      <c r="FY1056" s="9"/>
      <c r="FZ1056" s="9"/>
      <c r="GA1056" s="9"/>
      <c r="GB1056" s="9"/>
      <c r="GC1056" s="9"/>
      <c r="GD1056" s="9"/>
      <c r="GE1056" s="9"/>
      <c r="GF1056" s="9"/>
      <c r="GG1056" s="9"/>
      <c r="GH1056" s="9"/>
      <c r="GI1056" s="9"/>
      <c r="GJ1056" s="9"/>
      <c r="GK1056" s="9"/>
      <c r="GL1056" s="9"/>
      <c r="GM1056" s="9"/>
      <c r="GN1056" s="9"/>
      <c r="GO1056" s="9"/>
      <c r="GP1056" s="9"/>
      <c r="GQ1056" s="9"/>
      <c r="GR1056" s="9"/>
      <c r="GS1056" s="9"/>
      <c r="GT1056" s="9"/>
      <c r="GU1056" s="9"/>
      <c r="GV1056" s="9"/>
      <c r="GW1056" s="9"/>
      <c r="GX1056" s="9"/>
      <c r="GY1056" s="9"/>
      <c r="GZ1056" s="9"/>
      <c r="HA1056" s="9"/>
      <c r="HB1056" s="9"/>
      <c r="HC1056" s="9"/>
      <c r="HD1056" s="9"/>
      <c r="HE1056" s="9"/>
      <c r="HF1056" s="9"/>
      <c r="HG1056" s="9"/>
      <c r="HH1056" s="9"/>
      <c r="HI1056" s="9"/>
      <c r="HJ1056" s="9"/>
      <c r="HK1056" s="9"/>
      <c r="HL1056" s="9"/>
      <c r="HY1056" s="50"/>
    </row>
    <row r="1057" spans="139:233">
      <c r="EI1057" s="9"/>
      <c r="EJ1057" s="9"/>
      <c r="EK1057" s="9"/>
      <c r="EL1057" s="9"/>
      <c r="EM1057" s="9"/>
      <c r="EN1057" s="9"/>
      <c r="EO1057" s="9"/>
      <c r="EP1057" s="9"/>
      <c r="EQ1057" s="9"/>
      <c r="ER1057" s="9"/>
      <c r="ES1057" s="9"/>
      <c r="ET1057" s="9"/>
      <c r="EU1057" s="9"/>
      <c r="EV1057" s="9"/>
      <c r="EW1057" s="9"/>
      <c r="EX1057" s="9"/>
      <c r="EY1057" s="9"/>
      <c r="EZ1057" s="9"/>
      <c r="FA1057" s="9"/>
      <c r="FB1057" s="9"/>
      <c r="FC1057" s="9"/>
      <c r="FD1057" s="9"/>
      <c r="FE1057" s="9"/>
      <c r="FF1057" s="9"/>
      <c r="FG1057" s="9"/>
      <c r="FH1057" s="9"/>
      <c r="FI1057" s="9"/>
      <c r="FJ1057" s="9"/>
      <c r="FK1057" s="9"/>
      <c r="FL1057" s="9"/>
      <c r="FM1057" s="9"/>
      <c r="FN1057" s="9"/>
      <c r="FO1057" s="9"/>
      <c r="FP1057" s="9"/>
      <c r="FQ1057" s="9"/>
      <c r="FR1057" s="9"/>
      <c r="FS1057" s="9"/>
      <c r="FT1057" s="9"/>
      <c r="FU1057" s="9"/>
      <c r="FV1057" s="9"/>
      <c r="FW1057" s="9"/>
      <c r="FX1057" s="9"/>
      <c r="FY1057" s="9"/>
      <c r="FZ1057" s="9"/>
      <c r="GA1057" s="9"/>
      <c r="GB1057" s="9"/>
      <c r="GC1057" s="9"/>
      <c r="GD1057" s="9"/>
      <c r="GE1057" s="9"/>
      <c r="GF1057" s="9"/>
      <c r="GG1057" s="9"/>
      <c r="GH1057" s="9"/>
      <c r="GI1057" s="9"/>
      <c r="GJ1057" s="9"/>
      <c r="GK1057" s="9"/>
      <c r="GL1057" s="9"/>
      <c r="GM1057" s="9"/>
      <c r="GN1057" s="9"/>
      <c r="GO1057" s="9"/>
      <c r="GP1057" s="9"/>
      <c r="GQ1057" s="9"/>
      <c r="GR1057" s="9"/>
      <c r="GS1057" s="9"/>
      <c r="GT1057" s="9"/>
      <c r="GU1057" s="9"/>
      <c r="GV1057" s="9"/>
      <c r="GW1057" s="9"/>
      <c r="GX1057" s="9"/>
      <c r="GY1057" s="9"/>
      <c r="GZ1057" s="9"/>
      <c r="HA1057" s="9"/>
      <c r="HB1057" s="9"/>
      <c r="HC1057" s="9"/>
      <c r="HD1057" s="9"/>
      <c r="HE1057" s="9"/>
      <c r="HF1057" s="9"/>
      <c r="HG1057" s="9"/>
      <c r="HH1057" s="9"/>
      <c r="HI1057" s="9"/>
      <c r="HJ1057" s="9"/>
      <c r="HK1057" s="9"/>
      <c r="HL1057" s="9"/>
      <c r="HY1057" s="50"/>
    </row>
    <row r="1058" spans="139:233">
      <c r="EI1058" s="9"/>
      <c r="EJ1058" s="9"/>
      <c r="EK1058" s="9"/>
      <c r="EL1058" s="9"/>
      <c r="EM1058" s="9"/>
      <c r="EN1058" s="9"/>
      <c r="EO1058" s="9"/>
      <c r="EP1058" s="9"/>
      <c r="EQ1058" s="9"/>
      <c r="ER1058" s="9"/>
      <c r="ES1058" s="9"/>
      <c r="ET1058" s="9"/>
      <c r="EU1058" s="9"/>
      <c r="EV1058" s="9"/>
      <c r="EW1058" s="9"/>
      <c r="EX1058" s="9"/>
      <c r="EY1058" s="9"/>
      <c r="EZ1058" s="9"/>
      <c r="FA1058" s="9"/>
      <c r="FB1058" s="9"/>
      <c r="FC1058" s="9"/>
      <c r="FD1058" s="9"/>
      <c r="FE1058" s="9"/>
      <c r="FF1058" s="9"/>
      <c r="FG1058" s="9"/>
      <c r="FH1058" s="9"/>
      <c r="FI1058" s="9"/>
      <c r="FJ1058" s="9"/>
      <c r="FK1058" s="9"/>
      <c r="FL1058" s="9"/>
      <c r="FM1058" s="9"/>
      <c r="FN1058" s="9"/>
      <c r="FO1058" s="9"/>
      <c r="FP1058" s="9"/>
      <c r="FQ1058" s="9"/>
      <c r="FR1058" s="9"/>
      <c r="FS1058" s="9"/>
      <c r="FT1058" s="9"/>
      <c r="FU1058" s="9"/>
      <c r="FV1058" s="9"/>
      <c r="FW1058" s="9"/>
      <c r="FX1058" s="9"/>
      <c r="FY1058" s="9"/>
      <c r="FZ1058" s="9"/>
      <c r="GA1058" s="9"/>
      <c r="GB1058" s="9"/>
      <c r="GC1058" s="9"/>
      <c r="GD1058" s="9"/>
      <c r="GE1058" s="9"/>
      <c r="GF1058" s="9"/>
      <c r="GG1058" s="9"/>
      <c r="GH1058" s="9"/>
      <c r="GI1058" s="9"/>
      <c r="GJ1058" s="9"/>
      <c r="GK1058" s="9"/>
      <c r="GL1058" s="9"/>
      <c r="GM1058" s="9"/>
      <c r="GN1058" s="9"/>
      <c r="GO1058" s="9"/>
      <c r="GP1058" s="9"/>
      <c r="GQ1058" s="9"/>
      <c r="GR1058" s="9"/>
      <c r="GS1058" s="9"/>
      <c r="GT1058" s="9"/>
      <c r="GU1058" s="9"/>
      <c r="GV1058" s="9"/>
      <c r="GW1058" s="9"/>
      <c r="GX1058" s="9"/>
      <c r="GY1058" s="9"/>
      <c r="GZ1058" s="9"/>
      <c r="HA1058" s="9"/>
      <c r="HB1058" s="9"/>
      <c r="HC1058" s="9"/>
      <c r="HD1058" s="9"/>
      <c r="HE1058" s="9"/>
      <c r="HF1058" s="9"/>
      <c r="HG1058" s="9"/>
      <c r="HH1058" s="9"/>
      <c r="HI1058" s="9"/>
      <c r="HJ1058" s="9"/>
      <c r="HK1058" s="9"/>
      <c r="HL1058" s="9"/>
      <c r="HY1058" s="50"/>
    </row>
    <row r="1059" spans="139:233">
      <c r="EI1059" s="9"/>
      <c r="EJ1059" s="9"/>
      <c r="EK1059" s="9"/>
      <c r="EL1059" s="9"/>
      <c r="EM1059" s="9"/>
      <c r="EN1059" s="9"/>
      <c r="EO1059" s="9"/>
      <c r="EP1059" s="9"/>
      <c r="EQ1059" s="9"/>
      <c r="ER1059" s="9"/>
      <c r="ES1059" s="9"/>
      <c r="ET1059" s="9"/>
      <c r="EU1059" s="9"/>
      <c r="EV1059" s="9"/>
      <c r="EW1059" s="9"/>
      <c r="EX1059" s="9"/>
      <c r="EY1059" s="9"/>
      <c r="EZ1059" s="9"/>
      <c r="FA1059" s="9"/>
      <c r="FB1059" s="9"/>
      <c r="FC1059" s="9"/>
      <c r="FD1059" s="9"/>
      <c r="FE1059" s="9"/>
      <c r="FF1059" s="9"/>
      <c r="FG1059" s="9"/>
      <c r="FH1059" s="9"/>
      <c r="FI1059" s="9"/>
      <c r="FJ1059" s="9"/>
      <c r="FK1059" s="9"/>
      <c r="FL1059" s="9"/>
      <c r="FM1059" s="9"/>
      <c r="FN1059" s="9"/>
      <c r="FO1059" s="9"/>
      <c r="FP1059" s="9"/>
      <c r="FQ1059" s="9"/>
      <c r="FR1059" s="9"/>
      <c r="FS1059" s="9"/>
      <c r="FT1059" s="9"/>
      <c r="FU1059" s="9"/>
      <c r="FV1059" s="9"/>
      <c r="FW1059" s="9"/>
      <c r="FX1059" s="9"/>
      <c r="FY1059" s="9"/>
      <c r="FZ1059" s="9"/>
      <c r="GA1059" s="9"/>
      <c r="GB1059" s="9"/>
      <c r="GC1059" s="9"/>
      <c r="GD1059" s="9"/>
      <c r="GE1059" s="9"/>
      <c r="GF1059" s="9"/>
      <c r="GG1059" s="9"/>
      <c r="GH1059" s="9"/>
      <c r="GI1059" s="9"/>
      <c r="GJ1059" s="9"/>
      <c r="GK1059" s="9"/>
      <c r="GL1059" s="9"/>
      <c r="GM1059" s="9"/>
      <c r="GN1059" s="9"/>
      <c r="GO1059" s="9"/>
      <c r="GP1059" s="9"/>
      <c r="GQ1059" s="9"/>
      <c r="GR1059" s="9"/>
      <c r="GS1059" s="9"/>
      <c r="GT1059" s="9"/>
      <c r="GU1059" s="9"/>
      <c r="GV1059" s="9"/>
      <c r="GW1059" s="9"/>
      <c r="GX1059" s="9"/>
      <c r="GY1059" s="9"/>
      <c r="GZ1059" s="9"/>
      <c r="HA1059" s="9"/>
      <c r="HB1059" s="9"/>
      <c r="HC1059" s="9"/>
      <c r="HD1059" s="9"/>
      <c r="HE1059" s="9"/>
      <c r="HF1059" s="9"/>
      <c r="HG1059" s="9"/>
      <c r="HH1059" s="9"/>
      <c r="HI1059" s="9"/>
      <c r="HJ1059" s="9"/>
      <c r="HK1059" s="9"/>
      <c r="HL1059" s="9"/>
      <c r="HY1059" s="50"/>
    </row>
    <row r="1060" spans="139:233">
      <c r="EI1060" s="9"/>
      <c r="EJ1060" s="9"/>
      <c r="EK1060" s="9"/>
      <c r="EL1060" s="9"/>
      <c r="EM1060" s="9"/>
      <c r="EN1060" s="9"/>
      <c r="EO1060" s="9"/>
      <c r="EP1060" s="9"/>
      <c r="EQ1060" s="9"/>
      <c r="ER1060" s="9"/>
      <c r="ES1060" s="9"/>
      <c r="ET1060" s="9"/>
      <c r="EU1060" s="9"/>
      <c r="EV1060" s="9"/>
      <c r="EW1060" s="9"/>
      <c r="EX1060" s="9"/>
      <c r="EY1060" s="9"/>
      <c r="EZ1060" s="9"/>
      <c r="FA1060" s="9"/>
      <c r="FB1060" s="9"/>
      <c r="FC1060" s="9"/>
      <c r="FD1060" s="9"/>
      <c r="FE1060" s="9"/>
      <c r="FF1060" s="9"/>
      <c r="FG1060" s="9"/>
      <c r="FH1060" s="9"/>
      <c r="FI1060" s="9"/>
      <c r="FJ1060" s="9"/>
      <c r="FK1060" s="9"/>
      <c r="FL1060" s="9"/>
      <c r="FM1060" s="9"/>
      <c r="FN1060" s="9"/>
      <c r="FO1060" s="9"/>
      <c r="FP1060" s="9"/>
      <c r="FQ1060" s="9"/>
      <c r="FR1060" s="9"/>
      <c r="FS1060" s="9"/>
      <c r="FT1060" s="9"/>
      <c r="FU1060" s="9"/>
      <c r="FV1060" s="9"/>
      <c r="FW1060" s="9"/>
      <c r="FX1060" s="9"/>
      <c r="FY1060" s="9"/>
      <c r="FZ1060" s="9"/>
      <c r="GA1060" s="9"/>
      <c r="GB1060" s="9"/>
      <c r="GC1060" s="9"/>
      <c r="GD1060" s="9"/>
      <c r="GE1060" s="9"/>
      <c r="GF1060" s="9"/>
      <c r="GG1060" s="9"/>
      <c r="GH1060" s="9"/>
      <c r="GI1060" s="9"/>
      <c r="GJ1060" s="9"/>
      <c r="GK1060" s="9"/>
      <c r="GL1060" s="9"/>
      <c r="GM1060" s="9"/>
      <c r="GN1060" s="9"/>
      <c r="GO1060" s="9"/>
      <c r="GP1060" s="9"/>
      <c r="GQ1060" s="9"/>
      <c r="GR1060" s="9"/>
      <c r="GS1060" s="9"/>
      <c r="GT1060" s="9"/>
      <c r="GU1060" s="9"/>
      <c r="GV1060" s="9"/>
      <c r="GW1060" s="9"/>
      <c r="GX1060" s="9"/>
      <c r="GY1060" s="9"/>
      <c r="GZ1060" s="9"/>
      <c r="HA1060" s="9"/>
      <c r="HB1060" s="9"/>
      <c r="HC1060" s="9"/>
      <c r="HD1060" s="9"/>
      <c r="HE1060" s="9"/>
      <c r="HF1060" s="9"/>
      <c r="HG1060" s="9"/>
      <c r="HH1060" s="9"/>
      <c r="HI1060" s="9"/>
      <c r="HJ1060" s="9"/>
      <c r="HK1060" s="9"/>
      <c r="HL1060" s="9"/>
      <c r="HY1060" s="50"/>
    </row>
    <row r="1061" spans="139:233">
      <c r="EI1061" s="9"/>
      <c r="EJ1061" s="9"/>
      <c r="EK1061" s="9"/>
      <c r="EL1061" s="9"/>
      <c r="EM1061" s="9"/>
      <c r="EN1061" s="9"/>
      <c r="EO1061" s="9"/>
      <c r="EP1061" s="9"/>
      <c r="EQ1061" s="9"/>
      <c r="ER1061" s="9"/>
      <c r="ES1061" s="9"/>
      <c r="ET1061" s="9"/>
      <c r="EU1061" s="9"/>
      <c r="EV1061" s="9"/>
      <c r="EW1061" s="9"/>
      <c r="EX1061" s="9"/>
      <c r="EY1061" s="9"/>
      <c r="EZ1061" s="9"/>
      <c r="FA1061" s="9"/>
      <c r="FB1061" s="9"/>
      <c r="FC1061" s="9"/>
      <c r="FD1061" s="9"/>
      <c r="FE1061" s="9"/>
      <c r="FF1061" s="9"/>
      <c r="FG1061" s="9"/>
      <c r="FH1061" s="9"/>
      <c r="FI1061" s="9"/>
      <c r="FJ1061" s="9"/>
      <c r="FK1061" s="9"/>
      <c r="FL1061" s="9"/>
      <c r="FM1061" s="9"/>
      <c r="FN1061" s="9"/>
      <c r="FO1061" s="9"/>
      <c r="FP1061" s="9"/>
      <c r="FQ1061" s="9"/>
      <c r="FR1061" s="9"/>
      <c r="FS1061" s="9"/>
      <c r="FT1061" s="9"/>
      <c r="FU1061" s="9"/>
      <c r="FV1061" s="9"/>
      <c r="FW1061" s="9"/>
      <c r="FX1061" s="9"/>
      <c r="FY1061" s="9"/>
      <c r="FZ1061" s="9"/>
      <c r="GA1061" s="9"/>
      <c r="GB1061" s="9"/>
      <c r="GC1061" s="9"/>
      <c r="GD1061" s="9"/>
      <c r="GE1061" s="9"/>
      <c r="GF1061" s="9"/>
      <c r="GG1061" s="9"/>
      <c r="GH1061" s="9"/>
      <c r="GI1061" s="9"/>
      <c r="GJ1061" s="9"/>
      <c r="GK1061" s="9"/>
      <c r="GL1061" s="9"/>
      <c r="GM1061" s="9"/>
      <c r="GN1061" s="9"/>
      <c r="GO1061" s="9"/>
      <c r="GP1061" s="9"/>
      <c r="GQ1061" s="9"/>
      <c r="GR1061" s="9"/>
      <c r="GS1061" s="9"/>
      <c r="GT1061" s="9"/>
      <c r="GU1061" s="9"/>
      <c r="GV1061" s="9"/>
      <c r="GW1061" s="9"/>
      <c r="GX1061" s="9"/>
      <c r="GY1061" s="9"/>
      <c r="GZ1061" s="9"/>
      <c r="HA1061" s="9"/>
      <c r="HB1061" s="9"/>
      <c r="HC1061" s="9"/>
      <c r="HD1061" s="9"/>
      <c r="HE1061" s="9"/>
      <c r="HF1061" s="9"/>
      <c r="HG1061" s="9"/>
      <c r="HH1061" s="9"/>
      <c r="HI1061" s="9"/>
      <c r="HJ1061" s="9"/>
      <c r="HK1061" s="9"/>
      <c r="HL1061" s="9"/>
      <c r="HY1061" s="50"/>
    </row>
    <row r="1062" spans="139:233">
      <c r="EI1062" s="9"/>
      <c r="EJ1062" s="9"/>
      <c r="EK1062" s="9"/>
      <c r="EL1062" s="9"/>
      <c r="EM1062" s="9"/>
      <c r="EN1062" s="9"/>
      <c r="EO1062" s="9"/>
      <c r="EP1062" s="9"/>
      <c r="EQ1062" s="9"/>
      <c r="ER1062" s="9"/>
      <c r="ES1062" s="9"/>
      <c r="ET1062" s="9"/>
      <c r="EU1062" s="9"/>
      <c r="EV1062" s="9"/>
      <c r="EW1062" s="9"/>
      <c r="EX1062" s="9"/>
      <c r="EY1062" s="9"/>
      <c r="EZ1062" s="9"/>
      <c r="FA1062" s="9"/>
      <c r="FB1062" s="9"/>
      <c r="FC1062" s="9"/>
      <c r="FD1062" s="9"/>
      <c r="FE1062" s="9"/>
      <c r="FF1062" s="9"/>
      <c r="FG1062" s="9"/>
      <c r="FH1062" s="9"/>
      <c r="FI1062" s="9"/>
      <c r="FJ1062" s="9"/>
      <c r="FK1062" s="9"/>
      <c r="FL1062" s="9"/>
      <c r="FM1062" s="9"/>
      <c r="FN1062" s="9"/>
      <c r="FO1062" s="9"/>
      <c r="FP1062" s="9"/>
      <c r="FQ1062" s="9"/>
      <c r="FR1062" s="9"/>
      <c r="FS1062" s="9"/>
      <c r="FT1062" s="9"/>
      <c r="FU1062" s="9"/>
      <c r="FV1062" s="9"/>
      <c r="FW1062" s="9"/>
      <c r="FX1062" s="9"/>
      <c r="FY1062" s="9"/>
      <c r="FZ1062" s="9"/>
      <c r="GA1062" s="9"/>
      <c r="GB1062" s="9"/>
      <c r="GC1062" s="9"/>
      <c r="GD1062" s="9"/>
      <c r="GE1062" s="9"/>
      <c r="GF1062" s="9"/>
      <c r="GG1062" s="9"/>
      <c r="GH1062" s="9"/>
      <c r="GI1062" s="9"/>
      <c r="GJ1062" s="9"/>
      <c r="GK1062" s="9"/>
      <c r="GL1062" s="9"/>
      <c r="GM1062" s="9"/>
      <c r="GN1062" s="9"/>
      <c r="GO1062" s="9"/>
      <c r="GP1062" s="9"/>
      <c r="GQ1062" s="9"/>
      <c r="GR1062" s="9"/>
      <c r="GS1062" s="9"/>
      <c r="GT1062" s="9"/>
      <c r="GU1062" s="9"/>
      <c r="GV1062" s="9"/>
      <c r="GW1062" s="9"/>
      <c r="GX1062" s="9"/>
      <c r="GY1062" s="9"/>
      <c r="GZ1062" s="9"/>
      <c r="HA1062" s="9"/>
      <c r="HB1062" s="9"/>
      <c r="HC1062" s="9"/>
      <c r="HD1062" s="9"/>
      <c r="HE1062" s="9"/>
      <c r="HF1062" s="9"/>
      <c r="HG1062" s="9"/>
      <c r="HH1062" s="9"/>
      <c r="HI1062" s="9"/>
      <c r="HJ1062" s="9"/>
      <c r="HK1062" s="9"/>
      <c r="HL1062" s="9"/>
      <c r="HY1062" s="50"/>
    </row>
    <row r="1063" spans="139:233">
      <c r="EI1063" s="9"/>
      <c r="EJ1063" s="9"/>
      <c r="EK1063" s="9"/>
      <c r="EL1063" s="9"/>
      <c r="EM1063" s="9"/>
      <c r="EN1063" s="9"/>
      <c r="EO1063" s="9"/>
      <c r="EP1063" s="9"/>
      <c r="EQ1063" s="9"/>
      <c r="ER1063" s="9"/>
      <c r="ES1063" s="9"/>
      <c r="ET1063" s="9"/>
      <c r="EU1063" s="9"/>
      <c r="EV1063" s="9"/>
      <c r="EW1063" s="9"/>
      <c r="EX1063" s="9"/>
      <c r="EY1063" s="9"/>
      <c r="EZ1063" s="9"/>
      <c r="FA1063" s="9"/>
      <c r="FB1063" s="9"/>
      <c r="FC1063" s="9"/>
      <c r="FD1063" s="9"/>
      <c r="FE1063" s="9"/>
      <c r="FF1063" s="9"/>
      <c r="FG1063" s="9"/>
      <c r="FH1063" s="9"/>
      <c r="FI1063" s="9"/>
      <c r="FJ1063" s="9"/>
      <c r="FK1063" s="9"/>
      <c r="FL1063" s="9"/>
      <c r="FM1063" s="9"/>
      <c r="FN1063" s="9"/>
      <c r="FO1063" s="9"/>
      <c r="FP1063" s="9"/>
      <c r="FQ1063" s="9"/>
      <c r="FR1063" s="9"/>
      <c r="FS1063" s="9"/>
      <c r="FT1063" s="9"/>
      <c r="FU1063" s="9"/>
      <c r="FV1063" s="9"/>
      <c r="FW1063" s="9"/>
      <c r="FX1063" s="9"/>
      <c r="FY1063" s="9"/>
      <c r="FZ1063" s="9"/>
      <c r="GA1063" s="9"/>
      <c r="GB1063" s="9"/>
      <c r="GC1063" s="9"/>
      <c r="GD1063" s="9"/>
      <c r="GE1063" s="9"/>
      <c r="GF1063" s="9"/>
      <c r="GG1063" s="9"/>
      <c r="GH1063" s="9"/>
      <c r="GI1063" s="9"/>
      <c r="GJ1063" s="9"/>
      <c r="GK1063" s="9"/>
      <c r="GL1063" s="9"/>
      <c r="GM1063" s="9"/>
      <c r="GN1063" s="9"/>
      <c r="GO1063" s="9"/>
      <c r="GP1063" s="9"/>
      <c r="GQ1063" s="9"/>
      <c r="GR1063" s="9"/>
      <c r="GS1063" s="9"/>
      <c r="GT1063" s="9"/>
      <c r="GU1063" s="9"/>
      <c r="GV1063" s="9"/>
      <c r="GW1063" s="9"/>
      <c r="GX1063" s="9"/>
      <c r="GY1063" s="9"/>
      <c r="GZ1063" s="9"/>
      <c r="HA1063" s="9"/>
      <c r="HB1063" s="9"/>
      <c r="HC1063" s="9"/>
      <c r="HD1063" s="9"/>
      <c r="HE1063" s="9"/>
      <c r="HF1063" s="9"/>
      <c r="HG1063" s="9"/>
      <c r="HH1063" s="9"/>
      <c r="HI1063" s="9"/>
      <c r="HJ1063" s="9"/>
      <c r="HK1063" s="9"/>
      <c r="HL1063" s="9"/>
      <c r="HY1063" s="50"/>
    </row>
    <row r="1064" spans="139:233">
      <c r="EI1064" s="9"/>
      <c r="EJ1064" s="9"/>
      <c r="EK1064" s="9"/>
      <c r="EL1064" s="9"/>
      <c r="EM1064" s="9"/>
      <c r="EN1064" s="9"/>
      <c r="EO1064" s="9"/>
      <c r="EP1064" s="9"/>
      <c r="EQ1064" s="9"/>
      <c r="ER1064" s="9"/>
      <c r="ES1064" s="9"/>
      <c r="ET1064" s="9"/>
      <c r="EU1064" s="9"/>
      <c r="EV1064" s="9"/>
      <c r="EW1064" s="9"/>
      <c r="EX1064" s="9"/>
      <c r="EY1064" s="9"/>
      <c r="EZ1064" s="9"/>
      <c r="FA1064" s="9"/>
      <c r="FB1064" s="9"/>
      <c r="FC1064" s="9"/>
      <c r="FD1064" s="9"/>
      <c r="FE1064" s="9"/>
      <c r="FF1064" s="9"/>
      <c r="FG1064" s="9"/>
      <c r="FH1064" s="9"/>
      <c r="FI1064" s="9"/>
      <c r="FJ1064" s="9"/>
      <c r="FK1064" s="9"/>
      <c r="FL1064" s="9"/>
      <c r="FM1064" s="9"/>
      <c r="FN1064" s="9"/>
      <c r="FO1064" s="9"/>
      <c r="FP1064" s="9"/>
      <c r="FQ1064" s="9"/>
      <c r="FR1064" s="9"/>
      <c r="FS1064" s="9"/>
      <c r="FT1064" s="9"/>
      <c r="FU1064" s="9"/>
      <c r="FV1064" s="9"/>
      <c r="FW1064" s="9"/>
      <c r="FX1064" s="9"/>
      <c r="FY1064" s="9"/>
      <c r="FZ1064" s="9"/>
      <c r="GA1064" s="9"/>
      <c r="GB1064" s="9"/>
      <c r="GC1064" s="9"/>
      <c r="GD1064" s="9"/>
      <c r="GE1064" s="9"/>
      <c r="GF1064" s="9"/>
      <c r="GG1064" s="9"/>
      <c r="GH1064" s="9"/>
      <c r="GI1064" s="9"/>
      <c r="GJ1064" s="9"/>
      <c r="GK1064" s="9"/>
      <c r="GL1064" s="9"/>
      <c r="GM1064" s="9"/>
      <c r="GN1064" s="9"/>
      <c r="GO1064" s="9"/>
      <c r="GP1064" s="9"/>
      <c r="GQ1064" s="9"/>
      <c r="GR1064" s="9"/>
      <c r="GS1064" s="9"/>
      <c r="GT1064" s="9"/>
      <c r="GU1064" s="9"/>
      <c r="GV1064" s="9"/>
      <c r="GW1064" s="9"/>
      <c r="GX1064" s="9"/>
      <c r="GY1064" s="9"/>
      <c r="GZ1064" s="9"/>
      <c r="HA1064" s="9"/>
      <c r="HB1064" s="9"/>
      <c r="HC1064" s="9"/>
      <c r="HD1064" s="9"/>
      <c r="HE1064" s="9"/>
      <c r="HF1064" s="9"/>
      <c r="HG1064" s="9"/>
      <c r="HH1064" s="9"/>
      <c r="HI1064" s="9"/>
      <c r="HJ1064" s="9"/>
      <c r="HK1064" s="9"/>
      <c r="HL1064" s="9"/>
      <c r="HY1064" s="50"/>
    </row>
    <row r="1065" spans="139:233">
      <c r="EI1065" s="9"/>
      <c r="EJ1065" s="9"/>
      <c r="EK1065" s="9"/>
      <c r="EL1065" s="9"/>
      <c r="EM1065" s="9"/>
      <c r="EN1065" s="9"/>
      <c r="EO1065" s="9"/>
      <c r="EP1065" s="9"/>
      <c r="EQ1065" s="9"/>
      <c r="ER1065" s="9"/>
      <c r="ES1065" s="9"/>
      <c r="ET1065" s="9"/>
      <c r="EU1065" s="9"/>
      <c r="EV1065" s="9"/>
      <c r="EW1065" s="9"/>
      <c r="EX1065" s="9"/>
      <c r="EY1065" s="9"/>
      <c r="EZ1065" s="9"/>
      <c r="FA1065" s="9"/>
      <c r="FB1065" s="9"/>
      <c r="FC1065" s="9"/>
      <c r="FD1065" s="9"/>
      <c r="FE1065" s="9"/>
      <c r="FF1065" s="9"/>
      <c r="FG1065" s="9"/>
      <c r="FH1065" s="9"/>
      <c r="FI1065" s="9"/>
      <c r="FJ1065" s="9"/>
      <c r="FK1065" s="9"/>
      <c r="FL1065" s="9"/>
      <c r="FM1065" s="9"/>
      <c r="FN1065" s="9"/>
      <c r="FO1065" s="9"/>
      <c r="FP1065" s="9"/>
      <c r="FQ1065" s="9"/>
      <c r="FR1065" s="9"/>
      <c r="FS1065" s="9"/>
      <c r="FT1065" s="9"/>
      <c r="FU1065" s="9"/>
      <c r="FV1065" s="9"/>
      <c r="FW1065" s="9"/>
      <c r="FX1065" s="9"/>
      <c r="FY1065" s="9"/>
      <c r="FZ1065" s="9"/>
      <c r="GA1065" s="9"/>
      <c r="GB1065" s="9"/>
      <c r="GC1065" s="9"/>
      <c r="GD1065" s="9"/>
      <c r="GE1065" s="9"/>
      <c r="GF1065" s="9"/>
      <c r="GG1065" s="9"/>
      <c r="GH1065" s="9"/>
      <c r="GI1065" s="9"/>
      <c r="GJ1065" s="9"/>
      <c r="GK1065" s="9"/>
      <c r="GL1065" s="9"/>
      <c r="GM1065" s="9"/>
      <c r="GN1065" s="9"/>
      <c r="GO1065" s="9"/>
      <c r="GP1065" s="9"/>
      <c r="GQ1065" s="9"/>
      <c r="GR1065" s="9"/>
      <c r="GS1065" s="9"/>
      <c r="GT1065" s="9"/>
      <c r="GU1065" s="9"/>
      <c r="GV1065" s="9"/>
      <c r="GW1065" s="9"/>
      <c r="GX1065" s="9"/>
      <c r="GY1065" s="9"/>
      <c r="GZ1065" s="9"/>
      <c r="HA1065" s="9"/>
      <c r="HB1065" s="9"/>
      <c r="HC1065" s="9"/>
      <c r="HD1065" s="9"/>
      <c r="HE1065" s="9"/>
      <c r="HF1065" s="9"/>
      <c r="HG1065" s="9"/>
      <c r="HH1065" s="9"/>
      <c r="HI1065" s="9"/>
      <c r="HJ1065" s="9"/>
      <c r="HK1065" s="9"/>
      <c r="HL1065" s="9"/>
      <c r="HY1065" s="50"/>
    </row>
    <row r="1066" spans="139:233">
      <c r="EI1066" s="9"/>
      <c r="EJ1066" s="9"/>
      <c r="EK1066" s="9"/>
      <c r="EL1066" s="9"/>
      <c r="EM1066" s="9"/>
      <c r="EN1066" s="9"/>
      <c r="EO1066" s="9"/>
      <c r="EP1066" s="9"/>
      <c r="EQ1066" s="9"/>
      <c r="ER1066" s="9"/>
      <c r="ES1066" s="9"/>
      <c r="ET1066" s="9"/>
      <c r="EU1066" s="9"/>
      <c r="EV1066" s="9"/>
      <c r="EW1066" s="9"/>
      <c r="EX1066" s="9"/>
      <c r="EY1066" s="9"/>
      <c r="EZ1066" s="9"/>
      <c r="FA1066" s="9"/>
      <c r="FB1066" s="9"/>
      <c r="FC1066" s="9"/>
      <c r="FD1066" s="9"/>
      <c r="FE1066" s="9"/>
      <c r="FF1066" s="9"/>
      <c r="FG1066" s="9"/>
      <c r="FH1066" s="9"/>
      <c r="FI1066" s="9"/>
      <c r="FJ1066" s="9"/>
      <c r="FK1066" s="9"/>
      <c r="FL1066" s="9"/>
      <c r="FM1066" s="9"/>
      <c r="FN1066" s="9"/>
      <c r="FO1066" s="9"/>
      <c r="FP1066" s="9"/>
      <c r="FQ1066" s="9"/>
      <c r="FR1066" s="9"/>
      <c r="FS1066" s="9"/>
      <c r="FT1066" s="9"/>
      <c r="FU1066" s="9"/>
      <c r="FV1066" s="9"/>
      <c r="FW1066" s="9"/>
      <c r="FX1066" s="9"/>
      <c r="FY1066" s="9"/>
      <c r="FZ1066" s="9"/>
      <c r="GA1066" s="9"/>
      <c r="GB1066" s="9"/>
      <c r="GC1066" s="9"/>
      <c r="GD1066" s="9"/>
      <c r="GE1066" s="9"/>
      <c r="GF1066" s="9"/>
      <c r="GG1066" s="9"/>
      <c r="GH1066" s="9"/>
      <c r="GI1066" s="9"/>
      <c r="GJ1066" s="9"/>
      <c r="GK1066" s="9"/>
      <c r="GL1066" s="9"/>
      <c r="GM1066" s="9"/>
      <c r="GN1066" s="9"/>
      <c r="GO1066" s="9"/>
      <c r="GP1066" s="9"/>
      <c r="GQ1066" s="9"/>
      <c r="GR1066" s="9"/>
      <c r="GS1066" s="9"/>
      <c r="GT1066" s="9"/>
      <c r="GU1066" s="9"/>
      <c r="GV1066" s="9"/>
      <c r="GW1066" s="9"/>
      <c r="GX1066" s="9"/>
      <c r="GY1066" s="9"/>
      <c r="GZ1066" s="9"/>
      <c r="HA1066" s="9"/>
      <c r="HB1066" s="9"/>
      <c r="HC1066" s="9"/>
      <c r="HD1066" s="9"/>
      <c r="HE1066" s="9"/>
      <c r="HF1066" s="9"/>
      <c r="HG1066" s="9"/>
      <c r="HH1066" s="9"/>
      <c r="HI1066" s="9"/>
      <c r="HJ1066" s="9"/>
      <c r="HK1066" s="9"/>
      <c r="HL1066" s="9"/>
      <c r="HY1066" s="50"/>
    </row>
    <row r="1067" spans="139:233">
      <c r="EI1067" s="9"/>
      <c r="EJ1067" s="9"/>
      <c r="EK1067" s="9"/>
      <c r="EL1067" s="9"/>
      <c r="EM1067" s="9"/>
      <c r="EN1067" s="9"/>
      <c r="EO1067" s="9"/>
      <c r="EP1067" s="9"/>
      <c r="EQ1067" s="9"/>
      <c r="ER1067" s="9"/>
      <c r="ES1067" s="9"/>
      <c r="ET1067" s="9"/>
      <c r="EU1067" s="9"/>
      <c r="EV1067" s="9"/>
      <c r="EW1067" s="9"/>
      <c r="EX1067" s="9"/>
      <c r="EY1067" s="9"/>
      <c r="EZ1067" s="9"/>
      <c r="FA1067" s="9"/>
      <c r="FB1067" s="9"/>
      <c r="FC1067" s="9"/>
      <c r="FD1067" s="9"/>
      <c r="FE1067" s="9"/>
      <c r="FF1067" s="9"/>
      <c r="FG1067" s="9"/>
      <c r="FH1067" s="9"/>
      <c r="FI1067" s="9"/>
      <c r="FJ1067" s="9"/>
      <c r="FK1067" s="9"/>
      <c r="FL1067" s="9"/>
      <c r="FM1067" s="9"/>
      <c r="FN1067" s="9"/>
      <c r="FO1067" s="9"/>
      <c r="FP1067" s="9"/>
      <c r="FQ1067" s="9"/>
      <c r="FR1067" s="9"/>
      <c r="FS1067" s="9"/>
      <c r="FT1067" s="9"/>
      <c r="FU1067" s="9"/>
      <c r="FV1067" s="9"/>
      <c r="FW1067" s="9"/>
      <c r="FX1067" s="9"/>
      <c r="FY1067" s="9"/>
      <c r="FZ1067" s="9"/>
      <c r="GA1067" s="9"/>
      <c r="GB1067" s="9"/>
      <c r="GC1067" s="9"/>
      <c r="GD1067" s="9"/>
      <c r="GE1067" s="9"/>
      <c r="GF1067" s="9"/>
      <c r="GG1067" s="9"/>
      <c r="GH1067" s="9"/>
      <c r="GI1067" s="9"/>
      <c r="GJ1067" s="9"/>
      <c r="GK1067" s="9"/>
      <c r="GL1067" s="9"/>
      <c r="GM1067" s="9"/>
      <c r="GN1067" s="9"/>
      <c r="GO1067" s="9"/>
      <c r="GP1067" s="9"/>
      <c r="GQ1067" s="9"/>
      <c r="GR1067" s="9"/>
      <c r="GS1067" s="9"/>
      <c r="GT1067" s="9"/>
      <c r="GU1067" s="9"/>
      <c r="GV1067" s="9"/>
      <c r="GW1067" s="9"/>
      <c r="GX1067" s="9"/>
      <c r="GY1067" s="9"/>
      <c r="GZ1067" s="9"/>
      <c r="HA1067" s="9"/>
      <c r="HB1067" s="9"/>
      <c r="HC1067" s="9"/>
      <c r="HD1067" s="9"/>
      <c r="HE1067" s="9"/>
      <c r="HF1067" s="9"/>
      <c r="HG1067" s="9"/>
      <c r="HH1067" s="9"/>
      <c r="HI1067" s="9"/>
      <c r="HJ1067" s="9"/>
      <c r="HK1067" s="9"/>
      <c r="HL1067" s="9"/>
      <c r="HY1067" s="50"/>
    </row>
    <row r="1068" spans="139:233">
      <c r="EI1068" s="9"/>
      <c r="EJ1068" s="9"/>
      <c r="EK1068" s="9"/>
      <c r="EL1068" s="9"/>
      <c r="EM1068" s="9"/>
      <c r="EN1068" s="9"/>
      <c r="EO1068" s="9"/>
      <c r="EP1068" s="9"/>
      <c r="EQ1068" s="9"/>
      <c r="ER1068" s="9"/>
      <c r="ES1068" s="9"/>
      <c r="ET1068" s="9"/>
      <c r="EU1068" s="9"/>
      <c r="EV1068" s="9"/>
      <c r="EW1068" s="9"/>
      <c r="EX1068" s="9"/>
      <c r="EY1068" s="9"/>
      <c r="EZ1068" s="9"/>
      <c r="FA1068" s="9"/>
      <c r="FB1068" s="9"/>
      <c r="FC1068" s="9"/>
      <c r="FD1068" s="9"/>
      <c r="FE1068" s="9"/>
      <c r="FF1068" s="9"/>
      <c r="FG1068" s="9"/>
      <c r="FH1068" s="9"/>
      <c r="FI1068" s="9"/>
      <c r="FJ1068" s="9"/>
      <c r="FK1068" s="9"/>
      <c r="FL1068" s="9"/>
      <c r="FM1068" s="9"/>
      <c r="FN1068" s="9"/>
      <c r="FO1068" s="9"/>
      <c r="FP1068" s="9"/>
      <c r="FQ1068" s="9"/>
      <c r="FR1068" s="9"/>
      <c r="FS1068" s="9"/>
      <c r="FT1068" s="9"/>
      <c r="FU1068" s="9"/>
      <c r="FV1068" s="9"/>
      <c r="FW1068" s="9"/>
      <c r="FX1068" s="9"/>
      <c r="FY1068" s="9"/>
      <c r="FZ1068" s="9"/>
      <c r="GA1068" s="9"/>
      <c r="GB1068" s="9"/>
      <c r="GC1068" s="9"/>
      <c r="GD1068" s="9"/>
      <c r="GE1068" s="9"/>
      <c r="GF1068" s="9"/>
      <c r="GG1068" s="9"/>
      <c r="GH1068" s="9"/>
      <c r="GI1068" s="9"/>
      <c r="GJ1068" s="9"/>
      <c r="GK1068" s="9"/>
      <c r="GL1068" s="9"/>
      <c r="GM1068" s="9"/>
      <c r="GN1068" s="9"/>
      <c r="GO1068" s="9"/>
      <c r="GP1068" s="9"/>
      <c r="GQ1068" s="9"/>
      <c r="GR1068" s="9"/>
      <c r="GS1068" s="9"/>
      <c r="GT1068" s="9"/>
      <c r="GU1068" s="9"/>
      <c r="GV1068" s="9"/>
      <c r="GW1068" s="9"/>
      <c r="GX1068" s="9"/>
      <c r="GY1068" s="9"/>
      <c r="GZ1068" s="9"/>
      <c r="HA1068" s="9"/>
      <c r="HB1068" s="9"/>
      <c r="HC1068" s="9"/>
      <c r="HD1068" s="9"/>
      <c r="HE1068" s="9"/>
      <c r="HF1068" s="9"/>
      <c r="HG1068" s="9"/>
      <c r="HH1068" s="9"/>
      <c r="HI1068" s="9"/>
      <c r="HJ1068" s="9"/>
      <c r="HK1068" s="9"/>
      <c r="HL1068" s="9"/>
      <c r="HY1068" s="50"/>
    </row>
    <row r="1069" spans="139:233">
      <c r="EI1069" s="9"/>
      <c r="EJ1069" s="9"/>
      <c r="EK1069" s="9"/>
      <c r="EL1069" s="9"/>
      <c r="EM1069" s="9"/>
      <c r="EN1069" s="9"/>
      <c r="EO1069" s="9"/>
      <c r="EP1069" s="9"/>
      <c r="EQ1069" s="9"/>
      <c r="ER1069" s="9"/>
      <c r="ES1069" s="9"/>
      <c r="ET1069" s="9"/>
      <c r="EU1069" s="9"/>
      <c r="EV1069" s="9"/>
      <c r="EW1069" s="9"/>
      <c r="EX1069" s="9"/>
      <c r="EY1069" s="9"/>
      <c r="EZ1069" s="9"/>
      <c r="FA1069" s="9"/>
      <c r="FB1069" s="9"/>
      <c r="FC1069" s="9"/>
      <c r="FD1069" s="9"/>
      <c r="FE1069" s="9"/>
      <c r="FF1069" s="9"/>
      <c r="FG1069" s="9"/>
      <c r="FH1069" s="9"/>
      <c r="FI1069" s="9"/>
      <c r="FJ1069" s="9"/>
      <c r="FK1069" s="9"/>
      <c r="FL1069" s="9"/>
      <c r="FM1069" s="9"/>
      <c r="FN1069" s="9"/>
      <c r="FO1069" s="9"/>
      <c r="FP1069" s="9"/>
      <c r="FQ1069" s="9"/>
      <c r="FR1069" s="9"/>
      <c r="FS1069" s="9"/>
      <c r="FT1069" s="9"/>
      <c r="FU1069" s="9"/>
      <c r="FV1069" s="9"/>
      <c r="FW1069" s="9"/>
      <c r="FX1069" s="9"/>
      <c r="FY1069" s="9"/>
      <c r="FZ1069" s="9"/>
      <c r="GA1069" s="9"/>
      <c r="GB1069" s="9"/>
      <c r="GC1069" s="9"/>
      <c r="GD1069" s="9"/>
      <c r="GE1069" s="9"/>
      <c r="GF1069" s="9"/>
      <c r="GG1069" s="9"/>
      <c r="GH1069" s="9"/>
      <c r="GI1069" s="9"/>
      <c r="GJ1069" s="9"/>
      <c r="GK1069" s="9"/>
      <c r="GL1069" s="9"/>
      <c r="GM1069" s="9"/>
      <c r="GN1069" s="9"/>
      <c r="GO1069" s="9"/>
      <c r="GP1069" s="9"/>
      <c r="GQ1069" s="9"/>
      <c r="GR1069" s="9"/>
      <c r="GS1069" s="9"/>
      <c r="GT1069" s="9"/>
      <c r="GU1069" s="9"/>
      <c r="GV1069" s="9"/>
      <c r="GW1069" s="9"/>
      <c r="GX1069" s="9"/>
      <c r="GY1069" s="9"/>
      <c r="GZ1069" s="9"/>
      <c r="HA1069" s="9"/>
      <c r="HB1069" s="9"/>
      <c r="HC1069" s="9"/>
      <c r="HD1069" s="9"/>
      <c r="HE1069" s="9"/>
      <c r="HF1069" s="9"/>
      <c r="HG1069" s="9"/>
      <c r="HH1069" s="9"/>
      <c r="HI1069" s="9"/>
      <c r="HJ1069" s="9"/>
      <c r="HK1069" s="9"/>
      <c r="HL1069" s="9"/>
      <c r="HY1069" s="50"/>
    </row>
    <row r="1070" spans="139:233">
      <c r="EI1070" s="9"/>
      <c r="EJ1070" s="9"/>
      <c r="EK1070" s="9"/>
      <c r="EL1070" s="9"/>
      <c r="EM1070" s="9"/>
      <c r="EN1070" s="9"/>
      <c r="EO1070" s="9"/>
      <c r="EP1070" s="9"/>
      <c r="EQ1070" s="9"/>
      <c r="ER1070" s="9"/>
      <c r="ES1070" s="9"/>
      <c r="ET1070" s="9"/>
      <c r="EU1070" s="9"/>
      <c r="EV1070" s="9"/>
      <c r="EW1070" s="9"/>
      <c r="EX1070" s="9"/>
      <c r="EY1070" s="9"/>
      <c r="EZ1070" s="9"/>
      <c r="FA1070" s="9"/>
      <c r="FB1070" s="9"/>
      <c r="FC1070" s="9"/>
      <c r="FD1070" s="9"/>
      <c r="FE1070" s="9"/>
      <c r="FF1070" s="9"/>
      <c r="FG1070" s="9"/>
      <c r="FH1070" s="9"/>
      <c r="FI1070" s="9"/>
      <c r="FJ1070" s="9"/>
      <c r="FK1070" s="9"/>
      <c r="FL1070" s="9"/>
      <c r="FM1070" s="9"/>
      <c r="FN1070" s="9"/>
      <c r="FO1070" s="9"/>
      <c r="FP1070" s="9"/>
      <c r="FQ1070" s="9"/>
      <c r="FR1070" s="9"/>
      <c r="FS1070" s="9"/>
      <c r="FT1070" s="9"/>
      <c r="FU1070" s="9"/>
      <c r="FV1070" s="9"/>
      <c r="FW1070" s="9"/>
      <c r="FX1070" s="9"/>
      <c r="FY1070" s="9"/>
      <c r="FZ1070" s="9"/>
      <c r="GA1070" s="9"/>
      <c r="GB1070" s="9"/>
      <c r="GC1070" s="9"/>
      <c r="GD1070" s="9"/>
      <c r="GE1070" s="9"/>
      <c r="GF1070" s="9"/>
      <c r="GG1070" s="9"/>
      <c r="GH1070" s="9"/>
      <c r="GI1070" s="9"/>
      <c r="GJ1070" s="9"/>
      <c r="GK1070" s="9"/>
      <c r="GL1070" s="9"/>
      <c r="GM1070" s="9"/>
      <c r="GN1070" s="9"/>
      <c r="GO1070" s="9"/>
      <c r="GP1070" s="9"/>
      <c r="GQ1070" s="9"/>
      <c r="GR1070" s="9"/>
      <c r="GS1070" s="9"/>
      <c r="GT1070" s="9"/>
      <c r="GU1070" s="9"/>
      <c r="GV1070" s="9"/>
      <c r="GW1070" s="9"/>
      <c r="GX1070" s="9"/>
      <c r="GY1070" s="9"/>
      <c r="GZ1070" s="9"/>
      <c r="HA1070" s="9"/>
      <c r="HB1070" s="9"/>
      <c r="HC1070" s="9"/>
      <c r="HD1070" s="9"/>
      <c r="HE1070" s="9"/>
      <c r="HF1070" s="9"/>
      <c r="HG1070" s="9"/>
      <c r="HH1070" s="9"/>
      <c r="HI1070" s="9"/>
      <c r="HJ1070" s="9"/>
      <c r="HK1070" s="9"/>
      <c r="HL1070" s="9"/>
      <c r="HY1070" s="50"/>
    </row>
    <row r="1071" spans="139:233">
      <c r="EI1071" s="9"/>
      <c r="EJ1071" s="9"/>
      <c r="EK1071" s="9"/>
      <c r="EL1071" s="9"/>
      <c r="EM1071" s="9"/>
      <c r="EN1071" s="9"/>
      <c r="EO1071" s="9"/>
      <c r="EP1071" s="9"/>
      <c r="EQ1071" s="9"/>
      <c r="ER1071" s="9"/>
      <c r="ES1071" s="9"/>
      <c r="ET1071" s="9"/>
      <c r="EU1071" s="9"/>
      <c r="EV1071" s="9"/>
      <c r="EW1071" s="9"/>
      <c r="EX1071" s="9"/>
      <c r="EY1071" s="9"/>
      <c r="EZ1071" s="9"/>
      <c r="FA1071" s="9"/>
      <c r="FB1071" s="9"/>
      <c r="FC1071" s="9"/>
      <c r="FD1071" s="9"/>
      <c r="FE1071" s="9"/>
      <c r="FF1071" s="9"/>
      <c r="FG1071" s="9"/>
      <c r="FH1071" s="9"/>
      <c r="FI1071" s="9"/>
      <c r="FJ1071" s="9"/>
      <c r="FK1071" s="9"/>
      <c r="FL1071" s="9"/>
      <c r="FM1071" s="9"/>
      <c r="FN1071" s="9"/>
      <c r="FO1071" s="9"/>
      <c r="FP1071" s="9"/>
      <c r="FQ1071" s="9"/>
      <c r="FR1071" s="9"/>
      <c r="FS1071" s="9"/>
      <c r="FT1071" s="9"/>
      <c r="FU1071" s="9"/>
      <c r="FV1071" s="9"/>
      <c r="FW1071" s="9"/>
      <c r="FX1071" s="9"/>
      <c r="FY1071" s="9"/>
      <c r="FZ1071" s="9"/>
      <c r="GA1071" s="9"/>
      <c r="GB1071" s="9"/>
      <c r="GC1071" s="9"/>
      <c r="GD1071" s="9"/>
      <c r="GE1071" s="9"/>
      <c r="GF1071" s="9"/>
      <c r="GG1071" s="9"/>
      <c r="GH1071" s="9"/>
      <c r="GI1071" s="9"/>
      <c r="GJ1071" s="9"/>
      <c r="GK1071" s="9"/>
      <c r="GL1071" s="9"/>
      <c r="GM1071" s="9"/>
      <c r="GN1071" s="9"/>
      <c r="GO1071" s="9"/>
      <c r="GP1071" s="9"/>
      <c r="GQ1071" s="9"/>
      <c r="GR1071" s="9"/>
      <c r="GS1071" s="9"/>
      <c r="GT1071" s="9"/>
      <c r="GU1071" s="9"/>
      <c r="GV1071" s="9"/>
      <c r="GW1071" s="9"/>
      <c r="GX1071" s="9"/>
      <c r="GY1071" s="9"/>
      <c r="GZ1071" s="9"/>
      <c r="HA1071" s="9"/>
      <c r="HB1071" s="9"/>
      <c r="HC1071" s="9"/>
      <c r="HD1071" s="9"/>
      <c r="HE1071" s="9"/>
      <c r="HF1071" s="9"/>
      <c r="HG1071" s="9"/>
      <c r="HH1071" s="9"/>
      <c r="HI1071" s="9"/>
      <c r="HJ1071" s="9"/>
      <c r="HK1071" s="9"/>
      <c r="HL1071" s="9"/>
      <c r="HY1071" s="50"/>
    </row>
    <row r="1072" spans="139:233">
      <c r="EI1072" s="9"/>
      <c r="EJ1072" s="9"/>
      <c r="EK1072" s="9"/>
      <c r="EL1072" s="9"/>
      <c r="EM1072" s="9"/>
      <c r="EN1072" s="9"/>
      <c r="EO1072" s="9"/>
      <c r="EP1072" s="9"/>
      <c r="EQ1072" s="9"/>
      <c r="ER1072" s="9"/>
      <c r="ES1072" s="9"/>
      <c r="ET1072" s="9"/>
      <c r="EU1072" s="9"/>
      <c r="EV1072" s="9"/>
      <c r="EW1072" s="9"/>
      <c r="EX1072" s="9"/>
      <c r="EY1072" s="9"/>
      <c r="EZ1072" s="9"/>
      <c r="FA1072" s="9"/>
      <c r="FB1072" s="9"/>
      <c r="FC1072" s="9"/>
      <c r="FD1072" s="9"/>
      <c r="FE1072" s="9"/>
      <c r="FF1072" s="9"/>
      <c r="FG1072" s="9"/>
      <c r="FH1072" s="9"/>
      <c r="FI1072" s="9"/>
      <c r="FJ1072" s="9"/>
      <c r="FK1072" s="9"/>
      <c r="FL1072" s="9"/>
      <c r="FM1072" s="9"/>
      <c r="FN1072" s="9"/>
      <c r="FO1072" s="9"/>
      <c r="FP1072" s="9"/>
      <c r="FQ1072" s="9"/>
      <c r="FR1072" s="9"/>
      <c r="FS1072" s="9"/>
      <c r="FT1072" s="9"/>
      <c r="FU1072" s="9"/>
      <c r="FV1072" s="9"/>
      <c r="FW1072" s="9"/>
      <c r="FX1072" s="9"/>
      <c r="FY1072" s="9"/>
      <c r="FZ1072" s="9"/>
      <c r="GA1072" s="9"/>
      <c r="GB1072" s="9"/>
      <c r="GC1072" s="9"/>
      <c r="GD1072" s="9"/>
      <c r="GE1072" s="9"/>
      <c r="GF1072" s="9"/>
      <c r="GG1072" s="9"/>
      <c r="GH1072" s="9"/>
      <c r="GI1072" s="9"/>
      <c r="GJ1072" s="9"/>
      <c r="GK1072" s="9"/>
      <c r="GL1072" s="9"/>
      <c r="GM1072" s="9"/>
      <c r="GN1072" s="9"/>
      <c r="GO1072" s="9"/>
      <c r="GP1072" s="9"/>
      <c r="GQ1072" s="9"/>
      <c r="GR1072" s="9"/>
      <c r="GS1072" s="9"/>
      <c r="GT1072" s="9"/>
      <c r="GU1072" s="9"/>
      <c r="GV1072" s="9"/>
      <c r="GW1072" s="9"/>
      <c r="GX1072" s="9"/>
      <c r="GY1072" s="9"/>
      <c r="GZ1072" s="9"/>
      <c r="HA1072" s="9"/>
      <c r="HB1072" s="9"/>
      <c r="HC1072" s="9"/>
      <c r="HD1072" s="9"/>
      <c r="HE1072" s="9"/>
      <c r="HF1072" s="9"/>
      <c r="HG1072" s="9"/>
      <c r="HH1072" s="9"/>
      <c r="HI1072" s="9"/>
      <c r="HJ1072" s="9"/>
      <c r="HK1072" s="9"/>
      <c r="HL1072" s="9"/>
      <c r="HY1072" s="50"/>
    </row>
  </sheetData>
  <phoneticPr fontId="16" type="noConversion"/>
  <conditionalFormatting sqref="C724:D771 F724:K771 C772:G898 I772:K898">
    <cfRule type="expression" dxfId="1010" priority="680">
      <formula>AND(LEN(TRIM($C724))&gt;0,LEN(TRIM(C724))=0)</formula>
    </cfRule>
  </conditionalFormatting>
  <conditionalFormatting sqref="C682:K723">
    <cfRule type="expression" dxfId="1009" priority="1234">
      <formula>AND(LEN(TRIM($C682))&gt;0,LEN(TRIM(C682))=0)</formula>
    </cfRule>
  </conditionalFormatting>
  <conditionalFormatting sqref="C899:K984">
    <cfRule type="expression" dxfId="1008" priority="190">
      <formula>AND(LEN(TRIM($C899))&gt;0,LEN(TRIM(C899))=0)</formula>
    </cfRule>
  </conditionalFormatting>
  <conditionalFormatting sqref="E724:E771">
    <cfRule type="expression" dxfId="1007" priority="5">
      <formula>AND(LEN(TRIM($C724))&gt;0,LEN(TRIM(E724))=0)</formula>
    </cfRule>
  </conditionalFormatting>
  <conditionalFormatting sqref="F45:F200">
    <cfRule type="expression" dxfId="1006" priority="6">
      <formula>AND(LEN(TRIM($C45))&gt;0,LEN(TRIM(F45))=0)</formula>
    </cfRule>
  </conditionalFormatting>
  <conditionalFormatting sqref="F772:F774 F776:F778 F780:F782">
    <cfRule type="expression" dxfId="1005" priority="893">
      <formula>AND(LEN(TRIM($C773))&gt;0,LEN(TRIM(F772))=0)</formula>
    </cfRule>
  </conditionalFormatting>
  <conditionalFormatting sqref="F775">
    <cfRule type="expression" dxfId="1004" priority="894">
      <formula>AND(LEN(TRIM(#REF!))&gt;0,LEN(TRIM(F775))=0)</formula>
    </cfRule>
  </conditionalFormatting>
  <conditionalFormatting sqref="F784:F786 F788:F790 F792:F794">
    <cfRule type="expression" dxfId="1003" priority="879">
      <formula>AND(LEN(TRIM($C785))&gt;0,LEN(TRIM(F784))=0)</formula>
    </cfRule>
  </conditionalFormatting>
  <conditionalFormatting sqref="F796:F798 F800:F802 F804:F806 F808:F810 F812:F814 F816:F818">
    <cfRule type="expression" dxfId="1002" priority="981">
      <formula>AND(LEN(TRIM($C797))&gt;0,LEN(TRIM(F796))=0)</formula>
    </cfRule>
  </conditionalFormatting>
  <conditionalFormatting sqref="F807">
    <cfRule type="expression" dxfId="1001" priority="896">
      <formula>AND(LEN(TRIM($C812))&gt;0,LEN(TRIM(F807))=0)</formula>
    </cfRule>
  </conditionalFormatting>
  <conditionalFormatting sqref="F811">
    <cfRule type="expression" dxfId="1000" priority="796">
      <formula>AND(LEN(TRIM(#REF!))&gt;0,LEN(TRIM(F811))=0)</formula>
    </cfRule>
  </conditionalFormatting>
  <conditionalFormatting sqref="F819">
    <cfRule type="expression" dxfId="999" priority="793">
      <formula>AND(LEN(TRIM($C824))&gt;0,LEN(TRIM(F819))=0)</formula>
    </cfRule>
  </conditionalFormatting>
  <conditionalFormatting sqref="F820:F822 F824:F826 F828:F830">
    <cfRule type="expression" dxfId="998" priority="791">
      <formula>AND(LEN(TRIM($C821))&gt;0,LEN(TRIM(F820))=0)</formula>
    </cfRule>
  </conditionalFormatting>
  <conditionalFormatting sqref="F823">
    <cfRule type="expression" dxfId="997" priority="789">
      <formula>AND(LEN(TRIM(#REF!))&gt;0,LEN(TRIM(F823))=0)</formula>
    </cfRule>
  </conditionalFormatting>
  <conditionalFormatting sqref="F831">
    <cfRule type="expression" dxfId="996" priority="786">
      <formula>AND(LEN(TRIM($C836))&gt;0,LEN(TRIM(F831))=0)</formula>
    </cfRule>
  </conditionalFormatting>
  <conditionalFormatting sqref="F832:F834 F836:F838 F840:F842">
    <cfRule type="expression" dxfId="995" priority="784">
      <formula>AND(LEN(TRIM($C833))&gt;0,LEN(TRIM(F832))=0)</formula>
    </cfRule>
  </conditionalFormatting>
  <conditionalFormatting sqref="F835">
    <cfRule type="expression" dxfId="994" priority="782">
      <formula>AND(LEN(TRIM(#REF!))&gt;0,LEN(TRIM(F835))=0)</formula>
    </cfRule>
  </conditionalFormatting>
  <conditionalFormatting sqref="F843">
    <cfRule type="expression" dxfId="993" priority="779">
      <formula>AND(LEN(TRIM($C848))&gt;0,LEN(TRIM(F843))=0)</formula>
    </cfRule>
  </conditionalFormatting>
  <conditionalFormatting sqref="F844:F846 F848:F850 F852:F854">
    <cfRule type="expression" dxfId="992" priority="777">
      <formula>AND(LEN(TRIM($C845))&gt;0,LEN(TRIM(F844))=0)</formula>
    </cfRule>
  </conditionalFormatting>
  <conditionalFormatting sqref="F847">
    <cfRule type="expression" dxfId="991" priority="775">
      <formula>AND(LEN(TRIM(#REF!))&gt;0,LEN(TRIM(F847))=0)</formula>
    </cfRule>
  </conditionalFormatting>
  <conditionalFormatting sqref="F851">
    <cfRule type="expression" dxfId="990" priority="2075">
      <formula>AND(LEN(TRIM(#REF!))&gt;0,LEN(TRIM(F851))=0)</formula>
    </cfRule>
  </conditionalFormatting>
  <conditionalFormatting sqref="F855">
    <cfRule type="expression" dxfId="989" priority="771">
      <formula>AND(LEN(TRIM($C859))&gt;0,LEN(TRIM(F855))=0)</formula>
    </cfRule>
  </conditionalFormatting>
  <conditionalFormatting sqref="H434:H522">
    <cfRule type="expression" dxfId="988" priority="148">
      <formula>AND(LEN(TRIM($C434))&gt;0,LEN(TRIM(H434))=0)</formula>
    </cfRule>
  </conditionalFormatting>
  <conditionalFormatting sqref="H724:H728 H730:H734 H736:H740 H742:H746 H762:H768">
    <cfRule type="expression" dxfId="987" priority="1089">
      <formula>AND(LEN(TRIM($C725))&gt;0,LEN(TRIM(H724))=0)</formula>
    </cfRule>
  </conditionalFormatting>
  <conditionalFormatting sqref="H729 H735 H741">
    <cfRule type="expression" dxfId="986" priority="1090">
      <formula>AND(LEN(TRIM(#REF!))&gt;0,LEN(TRIM(H729))=0)</formula>
    </cfRule>
  </conditionalFormatting>
  <conditionalFormatting sqref="H747:H748 NB772:NB855 F787">
    <cfRule type="expression" dxfId="985" priority="880">
      <formula>AND(LEN(TRIM(#REF!))&gt;0,LEN(TRIM(F747))=0)</formula>
    </cfRule>
  </conditionalFormatting>
  <conditionalFormatting sqref="H748 H750 H752">
    <cfRule type="expression" dxfId="984" priority="2079">
      <formula>AND(LEN(TRIM($C751))&gt;0,LEN(TRIM(H748))=0)</formula>
    </cfRule>
  </conditionalFormatting>
  <conditionalFormatting sqref="H749 H751 H753">
    <cfRule type="expression" dxfId="983" priority="2080">
      <formula>AND(LEN(TRIM($C748))&gt;0,LEN(TRIM(H749))=0)</formula>
    </cfRule>
  </conditionalFormatting>
  <conditionalFormatting sqref="H754:H756">
    <cfRule type="expression" dxfId="982" priority="462">
      <formula>AND(LEN(TRIM(#REF!))&gt;0,LEN(TRIM(H754))=0)</formula>
    </cfRule>
  </conditionalFormatting>
  <conditionalFormatting sqref="H756 H758">
    <cfRule type="expression" dxfId="981" priority="463">
      <formula>AND(LEN(TRIM($C759))&gt;0,LEN(TRIM(H756))=0)</formula>
    </cfRule>
  </conditionalFormatting>
  <conditionalFormatting sqref="H757 H759 H761">
    <cfRule type="expression" dxfId="980" priority="464">
      <formula>AND(LEN(TRIM($C756))&gt;0,LEN(TRIM(H757))=0)</formula>
    </cfRule>
  </conditionalFormatting>
  <conditionalFormatting sqref="H760">
    <cfRule type="expression" dxfId="979" priority="2312">
      <formula>AND(LEN(TRIM(#REF!))&gt;0,LEN(TRIM(H760))=0)</formula>
    </cfRule>
  </conditionalFormatting>
  <conditionalFormatting sqref="H769 H771 F779 F783 NL784:NM784 NJ784:NJ795 F791 F795 F799 F803 F815 F827 F839">
    <cfRule type="expression" dxfId="978" priority="982">
      <formula>AND(LEN(TRIM(#REF!))&gt;0,LEN(TRIM(F769))=0)</formula>
    </cfRule>
  </conditionalFormatting>
  <conditionalFormatting sqref="H770">
    <cfRule type="expression" dxfId="977" priority="475">
      <formula>AND(LEN(TRIM($C771))&gt;0,LEN(TRIM(H770))=0)</formula>
    </cfRule>
  </conditionalFormatting>
  <conditionalFormatting sqref="L682:T723">
    <cfRule type="expression" dxfId="976" priority="1235">
      <formula>AND(LEN(TRIM($L682))&gt;0,LEN(TRIM(L682))=0)</formula>
    </cfRule>
  </conditionalFormatting>
  <conditionalFormatting sqref="L724:T771 L772 N772:T772 L773:T984">
    <cfRule type="expression" dxfId="975" priority="191">
      <formula>AND(LEN(TRIM($L724))&gt;0,LEN(TRIM(L724))=0)</formula>
    </cfRule>
  </conditionalFormatting>
  <conditionalFormatting sqref="U682:AC723">
    <cfRule type="expression" dxfId="974" priority="1236">
      <formula>AND(LEN(TRIM($U682))&gt;0,LEN(TRIM(U682))=0)</formula>
    </cfRule>
  </conditionalFormatting>
  <conditionalFormatting sqref="U724:AC984">
    <cfRule type="expression" dxfId="973" priority="192">
      <formula>AND(LEN(TRIM($U724))&gt;0,LEN(TRIM(U724))=0)</formula>
    </cfRule>
  </conditionalFormatting>
  <conditionalFormatting sqref="AD682:AL723">
    <cfRule type="expression" dxfId="972" priority="1237">
      <formula>AND(LEN(TRIM($AD682))&gt;0,LEN(TRIM(AD682))=0)</formula>
    </cfRule>
  </conditionalFormatting>
  <conditionalFormatting sqref="AD724:AL984">
    <cfRule type="expression" dxfId="971" priority="193">
      <formula>AND(LEN(TRIM($AD724))&gt;0,LEN(TRIM(AD724))=0)</formula>
    </cfRule>
  </conditionalFormatting>
  <conditionalFormatting sqref="AM682:AU723">
    <cfRule type="expression" dxfId="970" priority="1238">
      <formula>AND(LEN(TRIM($AM682))&gt;0,LEN(TRIM(AM682))=0)</formula>
    </cfRule>
  </conditionalFormatting>
  <conditionalFormatting sqref="AM724:AU984">
    <cfRule type="expression" dxfId="969" priority="194">
      <formula>AND(LEN(TRIM($AM724))&gt;0,LEN(TRIM(AM724))=0)</formula>
    </cfRule>
  </conditionalFormatting>
  <conditionalFormatting sqref="AW929:AX930">
    <cfRule type="expression" dxfId="968" priority="178">
      <formula>AND(LEN(TRIM($AV929))&gt;0,LEN(TRIM(AW929))=0)</formula>
    </cfRule>
  </conditionalFormatting>
  <conditionalFormatting sqref="AW936:AX937">
    <cfRule type="expression" dxfId="967" priority="175">
      <formula>AND(LEN(TRIM($AV936))&gt;0,LEN(TRIM(AW936))=0)</formula>
    </cfRule>
  </conditionalFormatting>
  <conditionalFormatting sqref="AW943:AX944">
    <cfRule type="expression" dxfId="966" priority="171">
      <formula>AND(LEN(TRIM($AV943))&gt;0,LEN(TRIM(AW943))=0)</formula>
    </cfRule>
  </conditionalFormatting>
  <conditionalFormatting sqref="AW950:AX951">
    <cfRule type="expression" dxfId="965" priority="168">
      <formula>AND(LEN(TRIM($AV950))&gt;0,LEN(TRIM(AW950))=0)</formula>
    </cfRule>
  </conditionalFormatting>
  <conditionalFormatting sqref="AW957:AX958">
    <cfRule type="expression" dxfId="964" priority="161">
      <formula>AND(LEN(TRIM($AV957))&gt;0,LEN(TRIM(AW957))=0)</formula>
    </cfRule>
  </conditionalFormatting>
  <conditionalFormatting sqref="AW964:AX965">
    <cfRule type="expression" dxfId="963" priority="158">
      <formula>AND(LEN(TRIM($AV964))&gt;0,LEN(TRIM(AW964))=0)</formula>
    </cfRule>
  </conditionalFormatting>
  <conditionalFormatting sqref="AW971:AX972">
    <cfRule type="expression" dxfId="962" priority="153">
      <formula>AND(LEN(TRIM($AV971))&gt;0,LEN(TRIM(AW971))=0)</formula>
    </cfRule>
  </conditionalFormatting>
  <conditionalFormatting sqref="AW978:AX979">
    <cfRule type="expression" dxfId="961" priority="150">
      <formula>AND(LEN(TRIM($AV978))&gt;0,LEN(TRIM(AW978))=0)</formula>
    </cfRule>
  </conditionalFormatting>
  <conditionalFormatting sqref="AW682:BC723">
    <cfRule type="expression" dxfId="960" priority="1239">
      <formula>AND(LEN(TRIM($AV682))&gt;0,LEN(TRIM(AW682))=0)</formula>
    </cfRule>
  </conditionalFormatting>
  <conditionalFormatting sqref="AW724:BC855 AX856:BC898">
    <cfRule type="expression" dxfId="959" priority="685">
      <formula>AND(LEN(TRIM($AV724))&gt;0,LEN(TRIM(AW724))=0)</formula>
    </cfRule>
  </conditionalFormatting>
  <conditionalFormatting sqref="AW899:BC917 AW918:AX922">
    <cfRule type="expression" dxfId="958" priority="210">
      <formula>AND(LEN(TRIM($AV899))&gt;0,LEN(TRIM(AW899))=0)</formula>
    </cfRule>
  </conditionalFormatting>
  <conditionalFormatting sqref="AW923:BC928">
    <cfRule type="expression" dxfId="957" priority="195">
      <formula>AND(LEN(TRIM($AV923))&gt;0,LEN(TRIM(AW923))=0)</formula>
    </cfRule>
  </conditionalFormatting>
  <conditionalFormatting sqref="AY918:BC922 AY929:BC930 AW931:BC935 NU931:NU943 AY936:BC937 AW938:BC942 AY943:BC944 AW945:BC949 NU945:NU957 AY950:BC951 AW952:BC956 AY957:BC958 AW959:BC963 NU959:NU971 AY964:BC965 AW966:BC970 AY971:BC972 AW973:BC977 NU973:NU984 AY978:BC979 AW980:BC984">
    <cfRule type="expression" dxfId="956" priority="216">
      <formula>AND(LEN(TRIM($AV918))&gt;0,LEN(TRIM(AW918))=0)</formula>
    </cfRule>
  </conditionalFormatting>
  <conditionalFormatting sqref="BD682:BF723">
    <cfRule type="expression" dxfId="955" priority="1240">
      <formula>AND(LEN(TRIM(#REF!))&gt;0,LEN(TRIM(BD682))=0)</formula>
    </cfRule>
  </conditionalFormatting>
  <conditionalFormatting sqref="BD724:BF898 IO772:IO898 HQ856:HQ876 BI877:BI886 BI888:BI897">
    <cfRule type="expression" dxfId="954" priority="686">
      <formula>AND(LEN(TRIM(#REF!))&gt;0,LEN(TRIM(BD724))=0)</formula>
    </cfRule>
  </conditionalFormatting>
  <conditionalFormatting sqref="BE899:BF916">
    <cfRule type="expression" dxfId="953" priority="378">
      <formula>AND(LEN(TRIM($BD899))&gt;0,LEN(TRIM(BE899))=0)</formula>
    </cfRule>
  </conditionalFormatting>
  <conditionalFormatting sqref="BH797:BJ798">
    <cfRule type="expression" dxfId="952" priority="907">
      <formula>AND(LEN(TRIM($BG797))&gt;0,LEN(TRIM(BH797))=0)</formula>
    </cfRule>
  </conditionalFormatting>
  <conditionalFormatting sqref="BH918:BJ920">
    <cfRule type="expression" dxfId="951" priority="200">
      <formula>AND(LEN(TRIM($BG918))&gt;0,LEN(TRIM(BH918))=0)</formula>
    </cfRule>
  </conditionalFormatting>
  <conditionalFormatting sqref="BH924:BJ926">
    <cfRule type="expression" dxfId="950" priority="185">
      <formula>AND(LEN(TRIM($BG924))&gt;0,LEN(TRIM(BH924))=0)</formula>
    </cfRule>
  </conditionalFormatting>
  <conditionalFormatting sqref="BH682:BK723 BS684:BT684 BS687:BT687 BS690:BT690 BS693:BT693 BS696:BT696 BS702:BT702 BS708:BT708 BS711:BT711 BS714:BT714 BS717:BT717 BS720:BT720 BS723:BT723">
    <cfRule type="expression" dxfId="949" priority="1241">
      <formula>AND(LEN(TRIM($BG682))&gt;0,LEN(TRIM(BH682))=0)</formula>
    </cfRule>
  </conditionalFormatting>
  <conditionalFormatting sqref="BH724:BK772">
    <cfRule type="expression" dxfId="948" priority="808">
      <formula>AND(LEN(TRIM($BG724))&gt;0,LEN(TRIM(BH724))=0)</formula>
    </cfRule>
  </conditionalFormatting>
  <conditionalFormatting sqref="BH917:BK917">
    <cfRule type="expression" dxfId="947" priority="204">
      <formula>AND(LEN(TRIM($BG917))&gt;0,LEN(TRIM(BH917))=0)</formula>
    </cfRule>
  </conditionalFormatting>
  <conditionalFormatting sqref="BH921:BK923">
    <cfRule type="expression" dxfId="946" priority="189">
      <formula>AND(LEN(TRIM($BG921))&gt;0,LEN(TRIM(BH921))=0)</formula>
    </cfRule>
  </conditionalFormatting>
  <conditionalFormatting sqref="BI856:BI861">
    <cfRule type="expression" dxfId="945" priority="668">
      <formula>AND(LEN(TRIM(#REF!))&gt;0,LEN(TRIM(BI856))=0)</formula>
    </cfRule>
  </conditionalFormatting>
  <conditionalFormatting sqref="BI863:BI868">
    <cfRule type="expression" dxfId="944" priority="630">
      <formula>AND(LEN(TRIM(#REF!))&gt;0,LEN(TRIM(BI863))=0)</formula>
    </cfRule>
  </conditionalFormatting>
  <conditionalFormatting sqref="BI870:BI875">
    <cfRule type="expression" dxfId="943" priority="591">
      <formula>AND(LEN(TRIM(#REF!))&gt;0,LEN(TRIM(BI870))=0)</formula>
    </cfRule>
  </conditionalFormatting>
  <conditionalFormatting sqref="BJ856:BK859">
    <cfRule type="expression" dxfId="942" priority="687">
      <formula>AND(LEN(TRIM($BG856))&gt;0,LEN(TRIM(BJ856))=0)</formula>
    </cfRule>
  </conditionalFormatting>
  <conditionalFormatting sqref="BK918:BK920 BK924:BK926 BH927:BK984 BM933:BO935 BM940:BO942 BM947:BO949 BM954:BO956 BM961:BO963 BM968:BO970 BM975:BO977 BM982:BO984">
    <cfRule type="expression" dxfId="941" priority="218">
      <formula>AND(LEN(TRIM($BG918))&gt;0,LEN(TRIM(BH918))=0)</formula>
    </cfRule>
  </conditionalFormatting>
  <conditionalFormatting sqref="BM705">
    <cfRule type="expression" dxfId="940" priority="1225">
      <formula>AND(LEN(TRIM($BQ705))&gt;0,LEN(TRIM(BM705))=0)</formula>
    </cfRule>
  </conditionalFormatting>
  <conditionalFormatting sqref="BM724 BN724:BP771 BM726 BM728 BM730 BM732 BM734 BM736 BM738 BM740 BM742 BM744 BM746 BM749 BM751 BM753 BM755 BM757 BM759 BM761:BM762 BM764 BM766 BM768 BM770 BT772 BO772:BP855 BK773:BK774 BM776 BT776 BK777:BK778 BM780 BT780 BK781:BK782 BT784 BK785:BK786 BM788 BT788 BK789:BK790 BM792 BT792 BK793:BK794 BT796 BK797:BK798 BM800 BT800 BK801:BK802 BM804 BT804 BK805:BK806 BM808 BT808 BK809:BK810 BM812 BT812 BK813:BK814 BM816 BT816 BK817:BK818 BM820 BT820 BK821:BK822 BM824 BT824 BK825:BK826 BM828 BT828 BK829:BK830 BM832 BT832 BK833:BK834 BM836 BT836 BK837:BK838 BM840 BT840 BK841:BK842 BM844 BT844 BK845:BK846 BM848 BT848 BK849:BK850 BM852 BT852 BK853:BK854 BM856:BM898 BO860:BP862 CI862 BP863:BP866 BO867:BP869 CI869 BP870:BP873 BO874:BP876 CI876 BW876:BW878 BP877:BP882 BO883:BP887 BY884:BZ884 BW886:BW889 CI887 BP888:BP893 BO894:BP898 BY895:BZ895 BY897:BY898 CI898 BO903:BP904 BP905:BP916 BO909:BO910 BO915:BO916">
    <cfRule type="expression" dxfId="939" priority="1016">
      <formula>AND(LEN(TRIM($BL724))&gt;0,LEN(TRIM(BK724))=0)</formula>
    </cfRule>
  </conditionalFormatting>
  <conditionalFormatting sqref="BM725">
    <cfRule type="expression" dxfId="938" priority="1007">
      <formula>AND(LEN(TRIM($BG725))&gt;0,LEN(TRIM(BM725))=0)</formula>
    </cfRule>
  </conditionalFormatting>
  <conditionalFormatting sqref="BM727">
    <cfRule type="expression" dxfId="937" priority="1006">
      <formula>AND(LEN(TRIM($BG727))&gt;0,LEN(TRIM(BM727))=0)</formula>
    </cfRule>
  </conditionalFormatting>
  <conditionalFormatting sqref="BM729">
    <cfRule type="expression" dxfId="936" priority="1005">
      <formula>AND(LEN(TRIM($BG729))&gt;0,LEN(TRIM(BM729))=0)</formula>
    </cfRule>
  </conditionalFormatting>
  <conditionalFormatting sqref="BM731">
    <cfRule type="expression" dxfId="935" priority="1004">
      <formula>AND(LEN(TRIM($BG731))&gt;0,LEN(TRIM(BM731))=0)</formula>
    </cfRule>
  </conditionalFormatting>
  <conditionalFormatting sqref="BM733">
    <cfRule type="expression" dxfId="934" priority="1003">
      <formula>AND(LEN(TRIM($BG733))&gt;0,LEN(TRIM(BM733))=0)</formula>
    </cfRule>
  </conditionalFormatting>
  <conditionalFormatting sqref="BM735">
    <cfRule type="expression" dxfId="933" priority="1002">
      <formula>AND(LEN(TRIM($BG735))&gt;0,LEN(TRIM(BM735))=0)</formula>
    </cfRule>
  </conditionalFormatting>
  <conditionalFormatting sqref="BM737">
    <cfRule type="expression" dxfId="932" priority="1001">
      <formula>AND(LEN(TRIM($BG737))&gt;0,LEN(TRIM(BM737))=0)</formula>
    </cfRule>
  </conditionalFormatting>
  <conditionalFormatting sqref="BM739">
    <cfRule type="expression" dxfId="931" priority="1000">
      <formula>AND(LEN(TRIM($BG739))&gt;0,LEN(TRIM(BM739))=0)</formula>
    </cfRule>
  </conditionalFormatting>
  <conditionalFormatting sqref="BM741">
    <cfRule type="expression" dxfId="930" priority="999">
      <formula>AND(LEN(TRIM($BG741))&gt;0,LEN(TRIM(BM741))=0)</formula>
    </cfRule>
  </conditionalFormatting>
  <conditionalFormatting sqref="BM743">
    <cfRule type="expression" dxfId="929" priority="997">
      <formula>AND(LEN(TRIM($BG743))&gt;0,LEN(TRIM(BM743))=0)</formula>
    </cfRule>
  </conditionalFormatting>
  <conditionalFormatting sqref="BM745">
    <cfRule type="expression" dxfId="928" priority="996">
      <formula>AND(LEN(TRIM($BG745))&gt;0,LEN(TRIM(BM745))=0)</formula>
    </cfRule>
  </conditionalFormatting>
  <conditionalFormatting sqref="BM747:BM748 BM750 BM752 BM754 BM756 BM758 BM760 BM771 BS772 BN772:BN855 BH773:BJ774 BM775 BX775 CC775 BH775:BK776 BS775:BS776 BH777:BJ778 BM779 BX779 CC779 BH779:BK780 BS779:BS780 BH781:BJ782 BM783 BX783 CC783 BH783:BK784 BS783:BS784 BH785:BJ786 BM787 BX787 CC787 BH787:BK788 BS787:BS788 BH789:BJ790 BM791 BX791 CC791 BH791:BK792 BS791:BS792 BH793:BJ794 BM795 BX795 CC795 BH795:BK796 BS795:BS796 BM799 BX799 CC799 BH799:BK800 BS799:BS800 BH801:BJ802 BM803 BX803 CC803 BH803:BK804 BS803:BS804 BH805:BJ806 BM807 BX807 CC807 BH807:BK808 BS807:BS808 BH809:BJ810 BM811 BX811 CC811 BH811:BK812 BS811:BS812 BH813:BJ814 BM815 BX815 CC815 BH815:BK816 BS815:BS816 BH817:BJ818 BM819 BX819 CC819 BH819:BK820 BS819:BS820 BH821:BJ822 BM823 BX823 CC823 BH823:BK824 BS823:BS824 BH825:BJ826 BM827 BX827 CC827 BH827:BK828 BS827:BS828 BH829:BJ830 BM831 BX831 CC831 BH831:BK832 BS831:BS832 BH833:BJ834 BM835 BX835 CC835 BH835:BK836 BS835:BS836 BH837:BJ838 BM839 BX839 CC839 BH839:BK840 BS839:BS840 BH841:BJ842 BM843 BX843 CC843 BH843:BK844 BS843:BS844 BH845:BJ846 BM847 BX847 CC847 BH847:BK848 BS847:BS848 BH849:BJ850 BM851 BX851 CC851 BH851:BK852 BS851:BS852 BH853:BJ854 BH855:BK855 BM855 BS855 BX855 CC855 BH856:BH886 BU857 BK860:BK861 BI862:BK862 BJ863:BK866 BU864 BK867:BK868 BI869:BK869 BJ870:BK873 BU871 BK874:BK875 BI876:BK876 BJ877:BK882 BK883:BK886 BH887:BK887 BJ888:BK893 BH888:BH897 BK894:BK897 BH898:BK898 BH899:BH916 BK899:BK916">
    <cfRule type="expression" dxfId="927" priority="304">
      <formula>AND(LEN(TRIM($BG747))&gt;0,LEN(TRIM(BH747))=0)</formula>
    </cfRule>
  </conditionalFormatting>
  <conditionalFormatting sqref="BM763">
    <cfRule type="expression" dxfId="926" priority="987">
      <formula>AND(LEN(TRIM($BG763))&gt;0,LEN(TRIM(BM763))=0)</formula>
    </cfRule>
  </conditionalFormatting>
  <conditionalFormatting sqref="BM765">
    <cfRule type="expression" dxfId="925" priority="986">
      <formula>AND(LEN(TRIM($BG765))&gt;0,LEN(TRIM(BM765))=0)</formula>
    </cfRule>
  </conditionalFormatting>
  <conditionalFormatting sqref="BM767">
    <cfRule type="expression" dxfId="924" priority="985">
      <formula>AND(LEN(TRIM($BG767))&gt;0,LEN(TRIM(BM767))=0)</formula>
    </cfRule>
  </conditionalFormatting>
  <conditionalFormatting sqref="BM769">
    <cfRule type="expression" dxfId="923" priority="885">
      <formula>AND(LEN(TRIM($BG769))&gt;0,LEN(TRIM(BM769))=0)</formula>
    </cfRule>
  </conditionalFormatting>
  <conditionalFormatting sqref="BM772">
    <cfRule type="expression" dxfId="922" priority="886">
      <formula>AND(LEN(TRIM($BL772))&gt;0,LEN(TRIM(BM772))=0)</formula>
    </cfRule>
  </conditionalFormatting>
  <conditionalFormatting sqref="BM784">
    <cfRule type="expression" dxfId="921" priority="809">
      <formula>AND(LEN(TRIM($BL784))&gt;0,LEN(TRIM(BM784))=0)</formula>
    </cfRule>
  </conditionalFormatting>
  <conditionalFormatting sqref="BM796">
    <cfRule type="expression" dxfId="920" priority="908">
      <formula>AND(LEN(TRIM($BL796))&gt;0,LEN(TRIM(BM796))=0)</formula>
    </cfRule>
  </conditionalFormatting>
  <conditionalFormatting sqref="BM899:BO902 BI899:BJ916 BM903:BN904 BM905:BO908 BM909:BN910 BM911:BO914 BM915:BN916">
    <cfRule type="expression" dxfId="919" priority="298">
      <formula>AND(LEN(TRIM($C899))&gt;0,LEN(TRIM(BI899))=0)</formula>
    </cfRule>
  </conditionalFormatting>
  <conditionalFormatting sqref="BM918:BO920">
    <cfRule type="expression" dxfId="918" priority="202">
      <formula>AND(LEN(TRIM($BG918))&gt;0,LEN(TRIM(BM918))=0)</formula>
    </cfRule>
  </conditionalFormatting>
  <conditionalFormatting sqref="BM924:BO926">
    <cfRule type="expression" dxfId="917" priority="187">
      <formula>AND(LEN(TRIM($BG924))&gt;0,LEN(TRIM(BM924))=0)</formula>
    </cfRule>
  </conditionalFormatting>
  <conditionalFormatting sqref="BM682:BP686 BN687:BP687 BM688:BP692 BN693:BP693 BM694:BP698 BN699:BP699 BM700:BP704 BN705:BP705 BM706:BP710 BN711:BP711 BM712:BP716 BN717:BP717 BM718:BP722 BN723:BP723">
    <cfRule type="expression" dxfId="916" priority="1242">
      <formula>AND(LEN(TRIM($BL682))&gt;0,LEN(TRIM(BM682))=0)</formula>
    </cfRule>
  </conditionalFormatting>
  <conditionalFormatting sqref="BN856:BN898">
    <cfRule type="expression" dxfId="915" priority="509">
      <formula>AND(LEN(TRIM(#REF!))&gt;0,LEN(TRIM(BN856))=0)</formula>
    </cfRule>
  </conditionalFormatting>
  <conditionalFormatting sqref="BP856:BP859">
    <cfRule type="expression" dxfId="914" priority="688">
      <formula>AND(LEN(TRIM($BL856))&gt;0,LEN(TRIM(BP856))=0)</formula>
    </cfRule>
  </conditionalFormatting>
  <conditionalFormatting sqref="BP899:BP902">
    <cfRule type="expression" dxfId="913" priority="305">
      <formula>AND(LEN(TRIM($BL899))&gt;0,LEN(TRIM(BP899))=0)</formula>
    </cfRule>
  </conditionalFormatting>
  <conditionalFormatting sqref="BP918:BP920 BM921:BP922 BP924:BP926 BM927:BP931 BP933:BP935 BM936:BP938 BP940:BP942 BM943:BP945 BP947:BP949 BM950:BP952 BP954:BP956 BM957:BP959 BP961:BP963 BM964:BP966 BP968:BP970 BM971:BP973 BP975:BP977 BM978:BP980 BP982:BP984">
    <cfRule type="expression" dxfId="912" priority="219">
      <formula>AND(LEN(TRIM($BL918))&gt;0,LEN(TRIM(BM918))=0)</formula>
    </cfRule>
  </conditionalFormatting>
  <conditionalFormatting sqref="BR772 BU772 BM773:BM774 BR773:BU774 BT775:BU775 BR775:BR776 BU776 BM777:BM778 BR777:BU778 BT779:BU779 BR779:BR780 BU780 BM781:BM782 BR781:BU782 BT783:BU783 BR783:BR784 BM785:BM786 BR785:BU786 BT787:BU787 BR787:BR788 BU788 BM789:BM790 BR789:BU790 BT791:BU791 BR791:BR792 BU792 BM793:BM794 BR793:BU794 BT795:BU795 BR795:BR796 BM797:BM798 BR797:BU798 BT799:BU799 BR799:BR800 BU800 BM801:BM802 BR801:BU802 BT803:BU803 BR803:BR804 BU804 BM805:BM806 BR805:BU806 BT807:BU807 BR807:BR808 BU808 BM809:BM810 BR809:BU810 BT811:BU811 BR811:BR812 BU812 BM813:BM814 BR813:BU814 BT815:BU815 BR815:BR816 BU816 BM817:BM818 BR817:BU818 BT819:BU819 BR819:BR820 BU820 BM821:BM822 BR821:BU822 BT823:BU823 BR823:BR824 BU824 BM825:BM826 BR825:BU826 BT827:BU827 BR827:BR828 BU828 BM829:BM830 BR829:BU830 BT831:BU831 BR831:BR832 BU832 BM833:BM834 BR833:BU834 BT835:BU835 BR835:BR836 BU836 BM837:BM838 BR837:BU838 BT839:BU839 BR839:BR840 BU840 BM841:BM842 BR841:BU842 BT843:BU843 BR843:BR844 BU844 BM845:BM846 BR845:BU846 BT847:BU847 BR847:BR848 BU848 BM849:BM850 BR849:BU850 BT851:BU851 BR851:BR852 BU852 BM853:BM854 BR853:BU854 BT855:BU855 BR855:BR856 BU856 BU858 BT859:BU859 BR859:BR863 BU860:BU863 BU865 BT866:BU866 BR866:BR870 BU867:BU870 BU872 BT873:BU873 BR873:BR878 BU874:BU880 BT881:BU882 BR881:BR889 BU883:BU891 BT892:BU893 BR892:BR898 BU894:BU898">
    <cfRule type="expression" dxfId="911" priority="887">
      <formula>AND(LEN(TRIM($BQ772))&gt;0,LEN(TRIM(BM772))=0)</formula>
    </cfRule>
  </conditionalFormatting>
  <conditionalFormatting sqref="BR857">
    <cfRule type="expression" dxfId="910" priority="679">
      <formula>AND(LEN(TRIM($BG857))&gt;0,LEN(TRIM(BR857))=0)</formula>
    </cfRule>
  </conditionalFormatting>
  <conditionalFormatting sqref="BR858">
    <cfRule type="expression" dxfId="909" priority="672">
      <formula>AND(LEN(TRIM($BL858))&gt;0,LEN(TRIM(BR858))=0)</formula>
    </cfRule>
  </conditionalFormatting>
  <conditionalFormatting sqref="BR864">
    <cfRule type="expression" dxfId="908" priority="641">
      <formula>AND(LEN(TRIM($BG864))&gt;0,LEN(TRIM(BR864))=0)</formula>
    </cfRule>
  </conditionalFormatting>
  <conditionalFormatting sqref="BR865">
    <cfRule type="expression" dxfId="907" priority="634">
      <formula>AND(LEN(TRIM($BL865))&gt;0,LEN(TRIM(BR865))=0)</formula>
    </cfRule>
  </conditionalFormatting>
  <conditionalFormatting sqref="BR871">
    <cfRule type="expression" dxfId="906" priority="602">
      <formula>AND(LEN(TRIM($BG871))&gt;0,LEN(TRIM(BR871))=0)</formula>
    </cfRule>
  </conditionalFormatting>
  <conditionalFormatting sqref="BR872">
    <cfRule type="expression" dxfId="905" priority="595">
      <formula>AND(LEN(TRIM($BL872))&gt;0,LEN(TRIM(BR872))=0)</formula>
    </cfRule>
  </conditionalFormatting>
  <conditionalFormatting sqref="BR879:BR880">
    <cfRule type="expression" dxfId="904" priority="564">
      <formula>AND(LEN(TRIM($BL879))&gt;0,LEN(TRIM(BR879))=0)</formula>
    </cfRule>
  </conditionalFormatting>
  <conditionalFormatting sqref="BR890:BR891">
    <cfRule type="expression" dxfId="903" priority="521">
      <formula>AND(LEN(TRIM($BL890))&gt;0,LEN(TRIM(BR890))=0)</formula>
    </cfRule>
  </conditionalFormatting>
  <conditionalFormatting sqref="BR682:BU682">
    <cfRule type="expression" dxfId="902" priority="1243">
      <formula>AND(LEN(TRIM($BQ682))&gt;0,LEN(TRIM(BR682))=0)</formula>
    </cfRule>
  </conditionalFormatting>
  <conditionalFormatting sqref="BR724:BU771">
    <cfRule type="expression" dxfId="901" priority="689">
      <formula>AND(LEN(TRIM($BQ724))&gt;0,LEN(TRIM(BR724))=0)</formula>
    </cfRule>
  </conditionalFormatting>
  <conditionalFormatting sqref="BR899:BU916">
    <cfRule type="expression" dxfId="900" priority="306">
      <formula>AND(LEN(TRIM($BQ899))&gt;0,LEN(TRIM(BR899))=0)</formula>
    </cfRule>
  </conditionalFormatting>
  <conditionalFormatting sqref="BR918:BU922 BR924:BU931 BR933:BU938 BR940:BU945 BR947:BU952 BR954:BU959 BR961:BU966 BR968:BU973 BR975:BU980 BR982:BU984">
    <cfRule type="expression" dxfId="899" priority="220">
      <formula>AND(LEN(TRIM($BQ918))&gt;0,LEN(TRIM(BR918))=0)</formula>
    </cfRule>
  </conditionalFormatting>
  <conditionalFormatting sqref="BS683">
    <cfRule type="expression" dxfId="898" priority="1191">
      <formula>AND(LEN(TRIM($BG683))&gt;0,LEN(TRIM(BS683))=0)</formula>
    </cfRule>
  </conditionalFormatting>
  <conditionalFormatting sqref="BS686">
    <cfRule type="expression" dxfId="897" priority="1190">
      <formula>AND(LEN(TRIM($BG686))&gt;0,LEN(TRIM(BS686))=0)</formula>
    </cfRule>
  </conditionalFormatting>
  <conditionalFormatting sqref="BS689">
    <cfRule type="expression" dxfId="896" priority="1176">
      <formula>AND(LEN(TRIM($BG689))&gt;0,LEN(TRIM(BS689))=0)</formula>
    </cfRule>
  </conditionalFormatting>
  <conditionalFormatting sqref="BS692">
    <cfRule type="expression" dxfId="895" priority="1175">
      <formula>AND(LEN(TRIM($BG692))&gt;0,LEN(TRIM(BS692))=0)</formula>
    </cfRule>
  </conditionalFormatting>
  <conditionalFormatting sqref="BS695">
    <cfRule type="expression" dxfId="894" priority="1233">
      <formula>AND(LEN(TRIM($BG695))&gt;0,LEN(TRIM(BS695))=0)</formula>
    </cfRule>
  </conditionalFormatting>
  <conditionalFormatting sqref="BS698">
    <cfRule type="expression" dxfId="893" priority="1232">
      <formula>AND(LEN(TRIM($BG698))&gt;0,LEN(TRIM(BS698))=0)</formula>
    </cfRule>
  </conditionalFormatting>
  <conditionalFormatting sqref="BS701">
    <cfRule type="expression" dxfId="892" priority="1228">
      <formula>AND(LEN(TRIM($BG701))&gt;0,LEN(TRIM(BS701))=0)</formula>
    </cfRule>
  </conditionalFormatting>
  <conditionalFormatting sqref="BS704">
    <cfRule type="expression" dxfId="891" priority="1227">
      <formula>AND(LEN(TRIM($BG704))&gt;0,LEN(TRIM(BS704))=0)</formula>
    </cfRule>
  </conditionalFormatting>
  <conditionalFormatting sqref="BS707">
    <cfRule type="expression" dxfId="890" priority="1152">
      <formula>AND(LEN(TRIM($BG707))&gt;0,LEN(TRIM(BS707))=0)</formula>
    </cfRule>
  </conditionalFormatting>
  <conditionalFormatting sqref="BS710">
    <cfRule type="expression" dxfId="889" priority="1151">
      <formula>AND(LEN(TRIM($BG710))&gt;0,LEN(TRIM(BS710))=0)</formula>
    </cfRule>
  </conditionalFormatting>
  <conditionalFormatting sqref="BS713">
    <cfRule type="expression" dxfId="888" priority="1129">
      <formula>AND(LEN(TRIM($BG713))&gt;0,LEN(TRIM(BS713))=0)</formula>
    </cfRule>
  </conditionalFormatting>
  <conditionalFormatting sqref="BS716">
    <cfRule type="expression" dxfId="887" priority="1128">
      <formula>AND(LEN(TRIM($BG716))&gt;0,LEN(TRIM(BS716))=0)</formula>
    </cfRule>
  </conditionalFormatting>
  <conditionalFormatting sqref="BS719">
    <cfRule type="expression" dxfId="886" priority="1103">
      <formula>AND(LEN(TRIM($BG719))&gt;0,LEN(TRIM(BS719))=0)</formula>
    </cfRule>
  </conditionalFormatting>
  <conditionalFormatting sqref="BS722">
    <cfRule type="expression" dxfId="885" priority="1102">
      <formula>AND(LEN(TRIM($BG722))&gt;0,LEN(TRIM(BS722))=0)</formula>
    </cfRule>
  </conditionalFormatting>
  <conditionalFormatting sqref="BS856:BS861">
    <cfRule type="expression" dxfId="884" priority="655">
      <formula>AND(LEN(TRIM(#REF!))&gt;0,LEN(TRIM(BS856))=0)</formula>
    </cfRule>
  </conditionalFormatting>
  <conditionalFormatting sqref="BS863:BS868">
    <cfRule type="expression" dxfId="883" priority="617">
      <formula>AND(LEN(TRIM(#REF!))&gt;0,LEN(TRIM(BS863))=0)</formula>
    </cfRule>
  </conditionalFormatting>
  <conditionalFormatting sqref="BS870:BS875">
    <cfRule type="expression" dxfId="882" priority="578">
      <formula>AND(LEN(TRIM(#REF!))&gt;0,LEN(TRIM(BS870))=0)</formula>
    </cfRule>
  </conditionalFormatting>
  <conditionalFormatting sqref="BS877:BS885">
    <cfRule type="expression" dxfId="881" priority="551">
      <formula>AND(LEN(TRIM(#REF!))&gt;0,LEN(TRIM(BS877))=0)</formula>
    </cfRule>
  </conditionalFormatting>
  <conditionalFormatting sqref="BS888:BS896">
    <cfRule type="expression" dxfId="880" priority="508">
      <formula>AND(LEN(TRIM(#REF!))&gt;0,LEN(TRIM(BS888))=0)</formula>
    </cfRule>
  </conditionalFormatting>
  <conditionalFormatting sqref="BS699:BT699">
    <cfRule type="expression" dxfId="879" priority="1229">
      <formula>AND(LEN(TRIM($BG699))&gt;0,LEN(TRIM(BS699))=0)</formula>
    </cfRule>
  </conditionalFormatting>
  <conditionalFormatting sqref="BS705:BT705">
    <cfRule type="expression" dxfId="878" priority="1224">
      <formula>AND(LEN(TRIM($BG705))&gt;0,LEN(TRIM(BS705))=0)</formula>
    </cfRule>
  </conditionalFormatting>
  <conditionalFormatting sqref="BS862:BT862">
    <cfRule type="expression" dxfId="877" priority="654">
      <formula>AND(LEN(TRIM($BG862))&gt;0,LEN(TRIM(BS862))=0)</formula>
    </cfRule>
  </conditionalFormatting>
  <conditionalFormatting sqref="BS869:BT869">
    <cfRule type="expression" dxfId="876" priority="616">
      <formula>AND(LEN(TRIM($BG869))&gt;0,LEN(TRIM(BS869))=0)</formula>
    </cfRule>
  </conditionalFormatting>
  <conditionalFormatting sqref="BS876:BT876">
    <cfRule type="expression" dxfId="875" priority="577">
      <formula>AND(LEN(TRIM($BG876))&gt;0,LEN(TRIM(BS876))=0)</formula>
    </cfRule>
  </conditionalFormatting>
  <conditionalFormatting sqref="BS886:BT887">
    <cfRule type="expression" dxfId="874" priority="537">
      <formula>AND(LEN(TRIM($BG886))&gt;0,LEN(TRIM(BS886))=0)</formula>
    </cfRule>
  </conditionalFormatting>
  <conditionalFormatting sqref="BS897:BT898">
    <cfRule type="expression" dxfId="873" priority="494">
      <formula>AND(LEN(TRIM($BG897))&gt;0,LEN(TRIM(BS897))=0)</formula>
    </cfRule>
  </conditionalFormatting>
  <conditionalFormatting sqref="BT857">
    <cfRule type="expression" dxfId="872" priority="665">
      <formula>AND(LEN(TRIM($BG857))&gt;0,LEN(TRIM(BT857))=0)</formula>
    </cfRule>
  </conditionalFormatting>
  <conditionalFormatting sqref="BT860">
    <cfRule type="expression" dxfId="871" priority="667">
      <formula>AND(LEN(TRIM($BG860))&gt;0,LEN(TRIM(BT860))=0)</formula>
    </cfRule>
  </conditionalFormatting>
  <conditionalFormatting sqref="BT864">
    <cfRule type="expression" dxfId="870" priority="627">
      <formula>AND(LEN(TRIM($BG864))&gt;0,LEN(TRIM(BT864))=0)</formula>
    </cfRule>
  </conditionalFormatting>
  <conditionalFormatting sqref="BT867">
    <cfRule type="expression" dxfId="869" priority="629">
      <formula>AND(LEN(TRIM($BG867))&gt;0,LEN(TRIM(BT867))=0)</formula>
    </cfRule>
  </conditionalFormatting>
  <conditionalFormatting sqref="BT871">
    <cfRule type="expression" dxfId="868" priority="588">
      <formula>AND(LEN(TRIM($BG871))&gt;0,LEN(TRIM(BT871))=0)</formula>
    </cfRule>
  </conditionalFormatting>
  <conditionalFormatting sqref="BT874">
    <cfRule type="expression" dxfId="867" priority="590">
      <formula>AND(LEN(TRIM($BG874))&gt;0,LEN(TRIM(BT874))=0)</formula>
    </cfRule>
  </conditionalFormatting>
  <conditionalFormatting sqref="BT883">
    <cfRule type="expression" dxfId="866" priority="560">
      <formula>AND(LEN(TRIM($BG883))&gt;0,LEN(TRIM(BT883))=0)</formula>
    </cfRule>
  </conditionalFormatting>
  <conditionalFormatting sqref="BT894">
    <cfRule type="expression" dxfId="865" priority="517">
      <formula>AND(LEN(TRIM($BG894))&gt;0,LEN(TRIM(BT894))=0)</formula>
    </cfRule>
  </conditionalFormatting>
  <conditionalFormatting sqref="BT683:BU683 BR683:BR684 BU684 BR685:BU685 BT686:BU686 BR686:BR687 BM687 BU687 BR688:BU688 BT689:BU689 BR689:BR690 BU690 BR691:BU691 BT692:BU692 BR692:BR693 BM693 BU693 BR694:BU694 BT695:BU695 BR695:BR696 BU696 BR697:BU697 BT698:BU698 BR698:BR699 BM699 BU699 BR700:BU700 BT701:BU701 BR701:BR702 BU702 BR703:BU703 BT704:BU704 BR704:BR705 BU705 BR706:BU706 BT707:BU707 BR707:BR708 BU708 BR709:BU709 BT710:BU710 BR710:BR711 BM711 BU711 BR712:BU712 BT713:BU713 BR713:BR714 BU714 BR715:BU715 BT716:BU716 BR716:BR717 BM717 BU717 BR718:BU718 BT719:BU719 BR719:BR720 BU720 BR721:BU721 BT722:BU722 BR722:BR723 BM723 BU723">
    <cfRule type="expression" dxfId="864" priority="1230">
      <formula>AND(LEN(TRIM($BQ683))&gt;0,LEN(TRIM(BM683))=0)</formula>
    </cfRule>
  </conditionalFormatting>
  <conditionalFormatting sqref="BU784">
    <cfRule type="expression" dxfId="863" priority="810">
      <formula>AND(LEN(TRIM($BQ784))&gt;0,LEN(TRIM(BU784))=0)</formula>
    </cfRule>
  </conditionalFormatting>
  <conditionalFormatting sqref="BU796">
    <cfRule type="expression" dxfId="862" priority="909">
      <formula>AND(LEN(TRIM($BQ796))&gt;0,LEN(TRIM(BU796))=0)</formula>
    </cfRule>
  </conditionalFormatting>
  <conditionalFormatting sqref="BW856:BW857">
    <cfRule type="expression" dxfId="861" priority="673">
      <formula>AND(LEN(TRIM($BL856))&gt;0,LEN(TRIM(BW856))=0)</formula>
    </cfRule>
  </conditionalFormatting>
  <conditionalFormatting sqref="BW862:BW864">
    <cfRule type="expression" dxfId="860" priority="635">
      <formula>AND(LEN(TRIM($BL862))&gt;0,LEN(TRIM(BW862))=0)</formula>
    </cfRule>
  </conditionalFormatting>
  <conditionalFormatting sqref="BW869:BW871">
    <cfRule type="expression" dxfId="859" priority="596">
      <formula>AND(LEN(TRIM($BL869))&gt;0,LEN(TRIM(BW869))=0)</formula>
    </cfRule>
  </conditionalFormatting>
  <conditionalFormatting sqref="BW884">
    <cfRule type="expression" dxfId="858" priority="541">
      <formula>AND(LEN(TRIM($BL884))&gt;0,LEN(TRIM(BW884))=0)</formula>
    </cfRule>
  </conditionalFormatting>
  <conditionalFormatting sqref="BW895">
    <cfRule type="expression" dxfId="857" priority="498">
      <formula>AND(LEN(TRIM($BL895))&gt;0,LEN(TRIM(BW895))=0)</formula>
    </cfRule>
  </conditionalFormatting>
  <conditionalFormatting sqref="BW897:BW898">
    <cfRule type="expression" dxfId="856" priority="496">
      <formula>AND(LEN(TRIM($BL897))&gt;0,LEN(TRIM(BW897))=0)</formula>
    </cfRule>
  </conditionalFormatting>
  <conditionalFormatting sqref="BW682:BZ685 BW686:BX686 BZ686 BW687:BZ691 BW692:BX692 BZ692 BW693:BZ697 BW698:BX698 BZ698 BW699:BZ703 BW704:BX704 BZ704 BW705:BZ709 BW710:BX710 BZ710 BW711:BZ715 BW716:BX716 BZ716 BW717:BZ721 BW722:BX722 BZ722 BW723:BZ723">
    <cfRule type="expression" dxfId="855" priority="1244">
      <formula>AND(LEN(TRIM($BV682))&gt;0,LEN(TRIM(BW682))=0)</formula>
    </cfRule>
  </conditionalFormatting>
  <conditionalFormatting sqref="BW724:BZ774 BW775 CD775:CE775 BW776:BZ778 BW779 CD779:CE779 BW780:BZ782 BW783 CD783:CE783 BW787 CD787:CE787 BW788:BZ790 BW791 CD791:CE791 BW792:BZ794 BW795 CD795:CE795 BW799 CD799:CE799 BW800:BZ802 BW803 CD803:CE803 BW804:BZ806 BW807 CD807:CE807 BW808:BZ810 BW811 CD811:CE811 BW812:BZ814 BW815 CD815:CE815 BW816:BZ818 BW819 CD819:CE819 BW820:BZ822 BW823 CD823:CE823 BW824:BZ826 BW827 CD827:CE827 BW828:BZ830 BW831 CD831:CE831 BW832:BZ834 BW835 CD835:CE835 BW836:BZ838 BW839 CD839:CE839 BW840:BZ842 BW843 CD843:CE843 BW844:BZ846 BW847 CD847:CE847 BW848:BZ850 BW851 CD851:CE851 BW852:BZ854 BW855 CD855:CE855 BW858:BW861 BY859:BZ859 BZ860 BY861:BZ861 BZ862:BZ865 BW865:BW868 BY866:BZ866 BZ867 BY868:BZ868 BZ869:BZ872 BW872:BW875 BY873:BZ873 BZ874 BY875:BZ875 BZ876:BZ880 BW879:BW883 BY881:BZ882 BZ883 BW885 BY885:BZ885 BZ886:BZ891 BW890:BW894 BY892:BZ893 BZ894 BW896 BY896:BZ896 BZ897:BZ898">
    <cfRule type="expression" dxfId="854" priority="888">
      <formula>AND(LEN(TRIM($BV724))&gt;0,LEN(TRIM(BW724))=0)</formula>
    </cfRule>
  </conditionalFormatting>
  <conditionalFormatting sqref="BW784:BZ786">
    <cfRule type="expression" dxfId="853" priority="811">
      <formula>AND(LEN(TRIM($BV784))&gt;0,LEN(TRIM(BW784))=0)</formula>
    </cfRule>
  </conditionalFormatting>
  <conditionalFormatting sqref="BW796:BZ798">
    <cfRule type="expression" dxfId="852" priority="910">
      <formula>AND(LEN(TRIM($BV796))&gt;0,LEN(TRIM(BW796))=0)</formula>
    </cfRule>
  </conditionalFormatting>
  <conditionalFormatting sqref="BW899:BZ916">
    <cfRule type="expression" dxfId="851" priority="307">
      <formula>AND(LEN(TRIM($BV899))&gt;0,LEN(TRIM(BW899))=0)</formula>
    </cfRule>
  </conditionalFormatting>
  <conditionalFormatting sqref="BW918:BZ922 BW924:BZ931 BW933:BZ938 BW940:BZ945 BW947:BZ952 BW954:BZ959 BW961:BZ966 BW968:BZ973 BW975:BZ980 BW982:BZ984">
    <cfRule type="expression" dxfId="850" priority="221">
      <formula>AND(LEN(TRIM($BV918))&gt;0,LEN(TRIM(BW918))=0)</formula>
    </cfRule>
  </conditionalFormatting>
  <conditionalFormatting sqref="BX856:BX859">
    <cfRule type="expression" dxfId="849" priority="662">
      <formula>AND(LEN(TRIM(#REF!))&gt;0,LEN(TRIM(BX856))=0)</formula>
    </cfRule>
  </conditionalFormatting>
  <conditionalFormatting sqref="BX860">
    <cfRule type="expression" dxfId="848" priority="647">
      <formula>AND(LEN(TRIM($BL860))&gt;0,LEN(TRIM(BX860))=0)</formula>
    </cfRule>
  </conditionalFormatting>
  <conditionalFormatting sqref="BX861:BX866">
    <cfRule type="expression" dxfId="847" priority="624">
      <formula>AND(LEN(TRIM(#REF!))&gt;0,LEN(TRIM(BX861))=0)</formula>
    </cfRule>
  </conditionalFormatting>
  <conditionalFormatting sqref="BX867">
    <cfRule type="expression" dxfId="846" priority="609">
      <formula>AND(LEN(TRIM($BL867))&gt;0,LEN(TRIM(BX867))=0)</formula>
    </cfRule>
  </conditionalFormatting>
  <conditionalFormatting sqref="BX868:BX873">
    <cfRule type="expression" dxfId="845" priority="585">
      <formula>AND(LEN(TRIM(#REF!))&gt;0,LEN(TRIM(BX868))=0)</formula>
    </cfRule>
  </conditionalFormatting>
  <conditionalFormatting sqref="BX874">
    <cfRule type="expression" dxfId="844" priority="570">
      <formula>AND(LEN(TRIM($BL874))&gt;0,LEN(TRIM(BX874))=0)</formula>
    </cfRule>
  </conditionalFormatting>
  <conditionalFormatting sqref="BX875:BX882">
    <cfRule type="expression" dxfId="843" priority="557">
      <formula>AND(LEN(TRIM(#REF!))&gt;0,LEN(TRIM(BX875))=0)</formula>
    </cfRule>
  </conditionalFormatting>
  <conditionalFormatting sqref="BX883">
    <cfRule type="expression" dxfId="842" priority="543">
      <formula>AND(LEN(TRIM($BL883))&gt;0,LEN(TRIM(BX883))=0)</formula>
    </cfRule>
  </conditionalFormatting>
  <conditionalFormatting sqref="BX884:BX893">
    <cfRule type="expression" dxfId="841" priority="514">
      <formula>AND(LEN(TRIM(#REF!))&gt;0,LEN(TRIM(BX884))=0)</formula>
    </cfRule>
  </conditionalFormatting>
  <conditionalFormatting sqref="BX894">
    <cfRule type="expression" dxfId="840" priority="500">
      <formula>AND(LEN(TRIM($BL894))&gt;0,LEN(TRIM(BX894))=0)</formula>
    </cfRule>
  </conditionalFormatting>
  <conditionalFormatting sqref="BX895:BX898">
    <cfRule type="expression" dxfId="839" priority="495">
      <formula>AND(LEN(TRIM(#REF!))&gt;0,LEN(TRIM(BX895))=0)</formula>
    </cfRule>
  </conditionalFormatting>
  <conditionalFormatting sqref="BY686">
    <cfRule type="expression" dxfId="838" priority="1189">
      <formula>AND(LEN(TRIM($CA686))&gt;0,LEN(TRIM(BY686))=0)</formula>
    </cfRule>
  </conditionalFormatting>
  <conditionalFormatting sqref="BY692">
    <cfRule type="expression" dxfId="837" priority="1174">
      <formula>AND(LEN(TRIM($CA692))&gt;0,LEN(TRIM(BY692))=0)</formula>
    </cfRule>
  </conditionalFormatting>
  <conditionalFormatting sqref="BY698">
    <cfRule type="expression" dxfId="836" priority="1231">
      <formula>AND(LEN(TRIM($CA698))&gt;0,LEN(TRIM(BY698))=0)</formula>
    </cfRule>
  </conditionalFormatting>
  <conditionalFormatting sqref="BY704">
    <cfRule type="expression" dxfId="835" priority="1226">
      <formula>AND(LEN(TRIM($CA704))&gt;0,LEN(TRIM(BY704))=0)</formula>
    </cfRule>
  </conditionalFormatting>
  <conditionalFormatting sqref="BY710">
    <cfRule type="expression" dxfId="834" priority="1150">
      <formula>AND(LEN(TRIM($CA710))&gt;0,LEN(TRIM(BY710))=0)</formula>
    </cfRule>
  </conditionalFormatting>
  <conditionalFormatting sqref="BY716">
    <cfRule type="expression" dxfId="833" priority="1127">
      <formula>AND(LEN(TRIM($CA716))&gt;0,LEN(TRIM(BY716))=0)</formula>
    </cfRule>
  </conditionalFormatting>
  <conditionalFormatting sqref="BY722">
    <cfRule type="expression" dxfId="832" priority="1101">
      <formula>AND(LEN(TRIM($CA722))&gt;0,LEN(TRIM(BY722))=0)</formula>
    </cfRule>
  </conditionalFormatting>
  <conditionalFormatting sqref="BY858">
    <cfRule type="expression" dxfId="831" priority="663">
      <formula>AND(LEN(TRIM($BG858))&gt;0,LEN(TRIM(BY858))=0)</formula>
    </cfRule>
  </conditionalFormatting>
  <conditionalFormatting sqref="BY860">
    <cfRule type="expression" dxfId="830" priority="646">
      <formula>AND(LEN(TRIM($BL860))&gt;0,LEN(TRIM(BY860))=0)</formula>
    </cfRule>
  </conditionalFormatting>
  <conditionalFormatting sqref="BY862">
    <cfRule type="expression" dxfId="829" priority="651">
      <formula>AND(LEN(TRIM($BL862))&gt;0,LEN(TRIM(BY862))=0)</formula>
    </cfRule>
  </conditionalFormatting>
  <conditionalFormatting sqref="BY865">
    <cfRule type="expression" dxfId="828" priority="625">
      <formula>AND(LEN(TRIM($BG865))&gt;0,LEN(TRIM(BY865))=0)</formula>
    </cfRule>
  </conditionalFormatting>
  <conditionalFormatting sqref="BY867">
    <cfRule type="expression" dxfId="827" priority="608">
      <formula>AND(LEN(TRIM($BL867))&gt;0,LEN(TRIM(BY867))=0)</formula>
    </cfRule>
  </conditionalFormatting>
  <conditionalFormatting sqref="BY869">
    <cfRule type="expression" dxfId="826" priority="613">
      <formula>AND(LEN(TRIM($BL869))&gt;0,LEN(TRIM(BY869))=0)</formula>
    </cfRule>
  </conditionalFormatting>
  <conditionalFormatting sqref="BY872">
    <cfRule type="expression" dxfId="825" priority="586">
      <formula>AND(LEN(TRIM($BG872))&gt;0,LEN(TRIM(BY872))=0)</formula>
    </cfRule>
  </conditionalFormatting>
  <conditionalFormatting sqref="BY874">
    <cfRule type="expression" dxfId="824" priority="569">
      <formula>AND(LEN(TRIM($BL874))&gt;0,LEN(TRIM(BY874))=0)</formula>
    </cfRule>
  </conditionalFormatting>
  <conditionalFormatting sqref="BY876">
    <cfRule type="expression" dxfId="823" priority="574">
      <formula>AND(LEN(TRIM($BL876))&gt;0,LEN(TRIM(BY876))=0)</formula>
    </cfRule>
  </conditionalFormatting>
  <conditionalFormatting sqref="BY879:BY880">
    <cfRule type="expression" dxfId="822" priority="558">
      <formula>AND(LEN(TRIM($BG879))&gt;0,LEN(TRIM(BY879))=0)</formula>
    </cfRule>
  </conditionalFormatting>
  <conditionalFormatting sqref="BY883">
    <cfRule type="expression" dxfId="821" priority="542">
      <formula>AND(LEN(TRIM($BL883))&gt;0,LEN(TRIM(BY883))=0)</formula>
    </cfRule>
  </conditionalFormatting>
  <conditionalFormatting sqref="BY886:BY887">
    <cfRule type="expression" dxfId="820" priority="539">
      <formula>AND(LEN(TRIM($BL886))&gt;0,LEN(TRIM(BY886))=0)</formula>
    </cfRule>
  </conditionalFormatting>
  <conditionalFormatting sqref="BY890:BY891">
    <cfRule type="expression" dxfId="819" priority="515">
      <formula>AND(LEN(TRIM($BG890))&gt;0,LEN(TRIM(BY890))=0)</formula>
    </cfRule>
  </conditionalFormatting>
  <conditionalFormatting sqref="BY894">
    <cfRule type="expression" dxfId="818" priority="499">
      <formula>AND(LEN(TRIM($BL894))&gt;0,LEN(TRIM(BY894))=0)</formula>
    </cfRule>
  </conditionalFormatting>
  <conditionalFormatting sqref="BY775:BZ775">
    <cfRule type="expression" dxfId="817" priority="895">
      <formula>AND(LEN(TRIM(#REF!))&gt;0,LEN(TRIM(BY775))=0)</formula>
    </cfRule>
  </conditionalFormatting>
  <conditionalFormatting sqref="BY779:BZ779">
    <cfRule type="expression" dxfId="816" priority="884">
      <formula>AND(LEN(TRIM(#REF!))&gt;0,LEN(TRIM(BY779))=0)</formula>
    </cfRule>
  </conditionalFormatting>
  <conditionalFormatting sqref="BY783:BZ783">
    <cfRule type="expression" dxfId="815" priority="883">
      <formula>AND(LEN(TRIM(#REF!))&gt;0,LEN(TRIM(BY783))=0)</formula>
    </cfRule>
  </conditionalFormatting>
  <conditionalFormatting sqref="BY787:BZ787">
    <cfRule type="expression" dxfId="814" priority="881">
      <formula>AND(LEN(TRIM(#REF!))&gt;0,LEN(TRIM(BY787))=0)</formula>
    </cfRule>
  </conditionalFormatting>
  <conditionalFormatting sqref="BY791:BZ791">
    <cfRule type="expression" dxfId="813" priority="800">
      <formula>AND(LEN(TRIM(#REF!))&gt;0,LEN(TRIM(BY791))=0)</formula>
    </cfRule>
  </conditionalFormatting>
  <conditionalFormatting sqref="BY795:BZ795">
    <cfRule type="expression" dxfId="812" priority="799">
      <formula>AND(LEN(TRIM(#REF!))&gt;0,LEN(TRIM(BY795))=0)</formula>
    </cfRule>
  </conditionalFormatting>
  <conditionalFormatting sqref="BY799:BZ799">
    <cfRule type="expression" dxfId="811" priority="983">
      <formula>AND(LEN(TRIM(#REF!))&gt;0,LEN(TRIM(BY799))=0)</formula>
    </cfRule>
  </conditionalFormatting>
  <conditionalFormatting sqref="BY803:BZ803">
    <cfRule type="expression" dxfId="810" priority="898">
      <formula>AND(LEN(TRIM(#REF!))&gt;0,LEN(TRIM(BY803))=0)</formula>
    </cfRule>
  </conditionalFormatting>
  <conditionalFormatting sqref="BY807:BZ807">
    <cfRule type="expression" dxfId="809" priority="897">
      <formula>AND(LEN(TRIM(#REF!))&gt;0,LEN(TRIM(BY807))=0)</formula>
    </cfRule>
  </conditionalFormatting>
  <conditionalFormatting sqref="BY811:BZ811">
    <cfRule type="expression" dxfId="808" priority="797">
      <formula>AND(LEN(TRIM(#REF!))&gt;0,LEN(TRIM(BY811))=0)</formula>
    </cfRule>
  </conditionalFormatting>
  <conditionalFormatting sqref="BY815:BZ815">
    <cfRule type="expression" dxfId="807" priority="795">
      <formula>AND(LEN(TRIM(#REF!))&gt;0,LEN(TRIM(BY815))=0)</formula>
    </cfRule>
  </conditionalFormatting>
  <conditionalFormatting sqref="BY819:BZ819">
    <cfRule type="expression" dxfId="806" priority="794">
      <formula>AND(LEN(TRIM(#REF!))&gt;0,LEN(TRIM(BY819))=0)</formula>
    </cfRule>
  </conditionalFormatting>
  <conditionalFormatting sqref="BY823:BZ823">
    <cfRule type="expression" dxfId="805" priority="790">
      <formula>AND(LEN(TRIM(#REF!))&gt;0,LEN(TRIM(BY823))=0)</formula>
    </cfRule>
  </conditionalFormatting>
  <conditionalFormatting sqref="BY827:BZ827">
    <cfRule type="expression" dxfId="804" priority="788">
      <formula>AND(LEN(TRIM(#REF!))&gt;0,LEN(TRIM(BY827))=0)</formula>
    </cfRule>
  </conditionalFormatting>
  <conditionalFormatting sqref="BY831:BZ831">
    <cfRule type="expression" dxfId="803" priority="787">
      <formula>AND(LEN(TRIM(#REF!))&gt;0,LEN(TRIM(BY831))=0)</formula>
    </cfRule>
  </conditionalFormatting>
  <conditionalFormatting sqref="BY835:BZ835">
    <cfRule type="expression" dxfId="802" priority="783">
      <formula>AND(LEN(TRIM(#REF!))&gt;0,LEN(TRIM(BY835))=0)</formula>
    </cfRule>
  </conditionalFormatting>
  <conditionalFormatting sqref="BY839:BZ839">
    <cfRule type="expression" dxfId="801" priority="781">
      <formula>AND(LEN(TRIM(#REF!))&gt;0,LEN(TRIM(BY839))=0)</formula>
    </cfRule>
  </conditionalFormatting>
  <conditionalFormatting sqref="BY843:BZ843">
    <cfRule type="expression" dxfId="800" priority="780">
      <formula>AND(LEN(TRIM(#REF!))&gt;0,LEN(TRIM(BY843))=0)</formula>
    </cfRule>
  </conditionalFormatting>
  <conditionalFormatting sqref="BY847:BZ847">
    <cfRule type="expression" dxfId="799" priority="776">
      <formula>AND(LEN(TRIM(#REF!))&gt;0,LEN(TRIM(BY847))=0)</formula>
    </cfRule>
  </conditionalFormatting>
  <conditionalFormatting sqref="BY851:BZ851">
    <cfRule type="expression" dxfId="798" priority="774">
      <formula>AND(LEN(TRIM(#REF!))&gt;0,LEN(TRIM(BY851))=0)</formula>
    </cfRule>
  </conditionalFormatting>
  <conditionalFormatting sqref="BY855:BZ855">
    <cfRule type="expression" dxfId="797" priority="772">
      <formula>AND(LEN(TRIM(#REF!))&gt;0,LEN(TRIM(BY855))=0)</formula>
    </cfRule>
  </conditionalFormatting>
  <conditionalFormatting sqref="BZ856:BZ858">
    <cfRule type="expression" dxfId="796" priority="690">
      <formula>AND(LEN(TRIM($BV856))&gt;0,LEN(TRIM(BZ856))=0)</formula>
    </cfRule>
  </conditionalFormatting>
  <conditionalFormatting sqref="CB858">
    <cfRule type="expression" dxfId="795" priority="653">
      <formula>AND(LEN(TRIM($BL858))&gt;0,LEN(TRIM(CB858))=0)</formula>
    </cfRule>
  </conditionalFormatting>
  <conditionalFormatting sqref="CB865">
    <cfRule type="expression" dxfId="794" priority="615">
      <formula>AND(LEN(TRIM($BL865))&gt;0,LEN(TRIM(CB865))=0)</formula>
    </cfRule>
  </conditionalFormatting>
  <conditionalFormatting sqref="CB872">
    <cfRule type="expression" dxfId="793" priority="576">
      <formula>AND(LEN(TRIM($BL872))&gt;0,LEN(TRIM(CB872))=0)</formula>
    </cfRule>
  </conditionalFormatting>
  <conditionalFormatting sqref="CB879:CB880">
    <cfRule type="expression" dxfId="792" priority="549">
      <formula>AND(LEN(TRIM($BL879))&gt;0,LEN(TRIM(CB879))=0)</formula>
    </cfRule>
  </conditionalFormatting>
  <conditionalFormatting sqref="CB890:CB891">
    <cfRule type="expression" dxfId="791" priority="506">
      <formula>AND(LEN(TRIM($BL890))&gt;0,LEN(TRIM(CB890))=0)</formula>
    </cfRule>
  </conditionalFormatting>
  <conditionalFormatting sqref="CB682:CE723">
    <cfRule type="expression" dxfId="790" priority="1245">
      <formula>AND(LEN(TRIM($CA682))&gt;0,LEN(TRIM(CB682))=0)</formula>
    </cfRule>
  </conditionalFormatting>
  <conditionalFormatting sqref="CB724:CE774 CB775 CB776:CE778 CB779 CB780:CE782 CB783 CB787 CB788:CE790 CB791 CB792:CE794 CB795 CB799 CB800:CE802 CB803 CB804:CE806 CB807 CB808:CE810 CB811 CB812:CE814 CB815 CB816:CE818 CB819 CB820:CE822 CB823 CB824:CE826 CB827 CB828:CE830 CB831 CB832:CE834 CB835 CB836:CE838 CB839 CB840:CE842 CB843 CB844:CE846 CB847 CB848:CE850 CB851 CB852:CE854 CB855 CB856:CE857 CB859:CE860 CB861:CB862 CE861:CE862 CB863:CE864 CE865 CB866:CE867 CB868:CB869 CE868:CE869 CB870:CE871 CE872 CB873:CE874 CB875:CB876 CE875:CE876 CB877:CE878 CE879:CE880 CB881:CE883 CB884:CB887 CE884:CE887 CB888:CE889 CE890:CE891 CB892:CE894 CB895:CB898 CE895:CE898">
    <cfRule type="expression" dxfId="789" priority="889">
      <formula>AND(LEN(TRIM($CA724))&gt;0,LEN(TRIM(CB724))=0)</formula>
    </cfRule>
  </conditionalFormatting>
  <conditionalFormatting sqref="CB784:CE786">
    <cfRule type="expression" dxfId="788" priority="812">
      <formula>AND(LEN(TRIM($CA784))&gt;0,LEN(TRIM(CB784))=0)</formula>
    </cfRule>
  </conditionalFormatting>
  <conditionalFormatting sqref="CB796:CE798">
    <cfRule type="expression" dxfId="787" priority="911">
      <formula>AND(LEN(TRIM($CA796))&gt;0,LEN(TRIM(CB796))=0)</formula>
    </cfRule>
  </conditionalFormatting>
  <conditionalFormatting sqref="CB899:CE916">
    <cfRule type="expression" dxfId="786" priority="308">
      <formula>AND(LEN(TRIM($CA899))&gt;0,LEN(TRIM(CB899))=0)</formula>
    </cfRule>
  </conditionalFormatting>
  <conditionalFormatting sqref="CB918:CE922 CB924:CE931 CB933:CE938 CB940:CE945 CB947:CE952 CB954:CE959 CB961:CE966 CB968:CE973 CB975:CE980 CB982:CE984">
    <cfRule type="expression" dxfId="785" priority="222">
      <formula>AND(LEN(TRIM($CA918))&gt;0,LEN(TRIM(CB918))=0)</formula>
    </cfRule>
  </conditionalFormatting>
  <conditionalFormatting sqref="CC858">
    <cfRule type="expression" dxfId="784" priority="652">
      <formula>AND(LEN(TRIM(#REF!))&gt;0,LEN(TRIM(CC858))=0)</formula>
    </cfRule>
  </conditionalFormatting>
  <conditionalFormatting sqref="CC861:CC862">
    <cfRule type="expression" dxfId="783" priority="658">
      <formula>AND(LEN(TRIM(#REF!))&gt;0,LEN(TRIM(CC861))=0)</formula>
    </cfRule>
  </conditionalFormatting>
  <conditionalFormatting sqref="CC865">
    <cfRule type="expression" dxfId="782" priority="614">
      <formula>AND(LEN(TRIM(#REF!))&gt;0,LEN(TRIM(CC865))=0)</formula>
    </cfRule>
  </conditionalFormatting>
  <conditionalFormatting sqref="CC868:CC869">
    <cfRule type="expression" dxfId="781" priority="620">
      <formula>AND(LEN(TRIM(#REF!))&gt;0,LEN(TRIM(CC868))=0)</formula>
    </cfRule>
  </conditionalFormatting>
  <conditionalFormatting sqref="CC872">
    <cfRule type="expression" dxfId="780" priority="575">
      <formula>AND(LEN(TRIM(#REF!))&gt;0,LEN(TRIM(CC872))=0)</formula>
    </cfRule>
  </conditionalFormatting>
  <conditionalFormatting sqref="CC875:CC876">
    <cfRule type="expression" dxfId="779" priority="581">
      <formula>AND(LEN(TRIM(#REF!))&gt;0,LEN(TRIM(CC875))=0)</formula>
    </cfRule>
  </conditionalFormatting>
  <conditionalFormatting sqref="CC879:CC880">
    <cfRule type="expression" dxfId="778" priority="548">
      <formula>AND(LEN(TRIM(#REF!))&gt;0,LEN(TRIM(CC879))=0)</formula>
    </cfRule>
  </conditionalFormatting>
  <conditionalFormatting sqref="CC884:CC887">
    <cfRule type="expression" dxfId="777" priority="553">
      <formula>AND(LEN(TRIM(#REF!))&gt;0,LEN(TRIM(CC884))=0)</formula>
    </cfRule>
  </conditionalFormatting>
  <conditionalFormatting sqref="CC890:CC891">
    <cfRule type="expression" dxfId="776" priority="505">
      <formula>AND(LEN(TRIM(#REF!))&gt;0,LEN(TRIM(CC890))=0)</formula>
    </cfRule>
  </conditionalFormatting>
  <conditionalFormatting sqref="CC895:CC898">
    <cfRule type="expression" dxfId="775" priority="510">
      <formula>AND(LEN(TRIM(#REF!))&gt;0,LEN(TRIM(CC895))=0)</formula>
    </cfRule>
  </conditionalFormatting>
  <conditionalFormatting sqref="CD861:CD862">
    <cfRule type="expression" dxfId="774" priority="659">
      <formula>AND(LEN(TRIM($BG861))&gt;0,LEN(TRIM(CD861))=0)</formula>
    </cfRule>
  </conditionalFormatting>
  <conditionalFormatting sqref="CD868:CD869">
    <cfRule type="expression" dxfId="773" priority="621">
      <formula>AND(LEN(TRIM($BG868))&gt;0,LEN(TRIM(CD868))=0)</formula>
    </cfRule>
  </conditionalFormatting>
  <conditionalFormatting sqref="CD875:CD876">
    <cfRule type="expression" dxfId="772" priority="582">
      <formula>AND(LEN(TRIM($BG875))&gt;0,LEN(TRIM(CD875))=0)</formula>
    </cfRule>
  </conditionalFormatting>
  <conditionalFormatting sqref="CD884:CD887">
    <cfRule type="expression" dxfId="771" priority="554">
      <formula>AND(LEN(TRIM($BG884))&gt;0,LEN(TRIM(CD884))=0)</formula>
    </cfRule>
  </conditionalFormatting>
  <conditionalFormatting sqref="CD895:CD898">
    <cfRule type="expression" dxfId="770" priority="511">
      <formula>AND(LEN(TRIM($BG895))&gt;0,LEN(TRIM(CD895))=0)</formula>
    </cfRule>
  </conditionalFormatting>
  <conditionalFormatting sqref="CE858">
    <cfRule type="expression" dxfId="769" priority="691">
      <formula>AND(LEN(TRIM($CA858))&gt;0,LEN(TRIM(CE858))=0)</formula>
    </cfRule>
  </conditionalFormatting>
  <conditionalFormatting sqref="CG862">
    <cfRule type="expression" dxfId="768" priority="649">
      <formula>AND(LEN(TRIM($BL862))&gt;0,LEN(TRIM(CG862))=0)</formula>
    </cfRule>
  </conditionalFormatting>
  <conditionalFormatting sqref="CG869">
    <cfRule type="expression" dxfId="767" priority="611">
      <formula>AND(LEN(TRIM($BL869))&gt;0,LEN(TRIM(CG869))=0)</formula>
    </cfRule>
  </conditionalFormatting>
  <conditionalFormatting sqref="CG876">
    <cfRule type="expression" dxfId="766" priority="572">
      <formula>AND(LEN(TRIM($BL876))&gt;0,LEN(TRIM(CG876))=0)</formula>
    </cfRule>
  </conditionalFormatting>
  <conditionalFormatting sqref="CG887">
    <cfRule type="expression" dxfId="765" priority="545">
      <formula>AND(LEN(TRIM($BL887))&gt;0,LEN(TRIM(CG887))=0)</formula>
    </cfRule>
  </conditionalFormatting>
  <conditionalFormatting sqref="CG898">
    <cfRule type="expression" dxfId="764" priority="502">
      <formula>AND(LEN(TRIM($BL898))&gt;0,LEN(TRIM(CG898))=0)</formula>
    </cfRule>
  </conditionalFormatting>
  <conditionalFormatting sqref="CG682:CJ723">
    <cfRule type="expression" dxfId="763" priority="1246">
      <formula>AND(LEN(TRIM($CF682))&gt;0,LEN(TRIM(CG682))=0)</formula>
    </cfRule>
  </conditionalFormatting>
  <conditionalFormatting sqref="CG724:CJ861 CJ862 CG863:CJ868 CJ869 CG870:CJ875 CJ876 CG877:CJ886 CJ887 CG888:CJ897 CJ898">
    <cfRule type="expression" dxfId="762" priority="692">
      <formula>AND(LEN(TRIM($CF724))&gt;0,LEN(TRIM(CG724))=0)</formula>
    </cfRule>
  </conditionalFormatting>
  <conditionalFormatting sqref="CG899:CJ916">
    <cfRule type="expression" dxfId="761" priority="309">
      <formula>AND(LEN(TRIM($CF899))&gt;0,LEN(TRIM(CG899))=0)</formula>
    </cfRule>
  </conditionalFormatting>
  <conditionalFormatting sqref="CG918:CJ922 CG924:CJ931 CG933:CJ938 CG940:CJ945 CG947:CJ952 CG954:CJ959 CG961:CJ966 CG968:CJ973 CG975:CJ980 CG982:CJ984">
    <cfRule type="expression" dxfId="760" priority="223">
      <formula>AND(LEN(TRIM($CF918))&gt;0,LEN(TRIM(CG918))=0)</formula>
    </cfRule>
  </conditionalFormatting>
  <conditionalFormatting sqref="CH862">
    <cfRule type="expression" dxfId="759" priority="648">
      <formula>AND(LEN(TRIM(#REF!))&gt;0,LEN(TRIM(CH862))=0)</formula>
    </cfRule>
  </conditionalFormatting>
  <conditionalFormatting sqref="CH869">
    <cfRule type="expression" dxfId="758" priority="610">
      <formula>AND(LEN(TRIM(#REF!))&gt;0,LEN(TRIM(CH869))=0)</formula>
    </cfRule>
  </conditionalFormatting>
  <conditionalFormatting sqref="CH876">
    <cfRule type="expression" dxfId="757" priority="571">
      <formula>AND(LEN(TRIM(#REF!))&gt;0,LEN(TRIM(CH876))=0)</formula>
    </cfRule>
  </conditionalFormatting>
  <conditionalFormatting sqref="CH887">
    <cfRule type="expression" dxfId="756" priority="544">
      <formula>AND(LEN(TRIM(#REF!))&gt;0,LEN(TRIM(CH887))=0)</formula>
    </cfRule>
  </conditionalFormatting>
  <conditionalFormatting sqref="CH898">
    <cfRule type="expression" dxfId="755" priority="501">
      <formula>AND(LEN(TRIM(#REF!))&gt;0,LEN(TRIM(CH898))=0)</formula>
    </cfRule>
  </conditionalFormatting>
  <conditionalFormatting sqref="CL682:CO723">
    <cfRule type="expression" dxfId="754" priority="1247">
      <formula>AND(LEN(TRIM($CK682))&gt;0,LEN(TRIM(CL682))=0)</formula>
    </cfRule>
  </conditionalFormatting>
  <conditionalFormatting sqref="CL724:CO916">
    <cfRule type="expression" dxfId="753" priority="310">
      <formula>AND(LEN(TRIM($CK724))&gt;0,LEN(TRIM(CL724))=0)</formula>
    </cfRule>
  </conditionalFormatting>
  <conditionalFormatting sqref="CL918:CO922 CL924:CO931 CL933:CO938 CL940:CO945 CL947:CO952 CL954:CO959 CL961:CO966 CL968:CO973 CL975:CO980 CL982:CO984">
    <cfRule type="expression" dxfId="752" priority="224">
      <formula>AND(LEN(TRIM($CK918))&gt;0,LEN(TRIM(CL918))=0)</formula>
    </cfRule>
  </conditionalFormatting>
  <conditionalFormatting sqref="CQ682:CT723">
    <cfRule type="expression" dxfId="751" priority="1248">
      <formula>AND(LEN(TRIM($CP682))&gt;0,LEN(TRIM(CQ682))=0)</formula>
    </cfRule>
  </conditionalFormatting>
  <conditionalFormatting sqref="CQ724:CT916">
    <cfRule type="expression" dxfId="750" priority="311">
      <formula>AND(LEN(TRIM($CP724))&gt;0,LEN(TRIM(CQ724))=0)</formula>
    </cfRule>
  </conditionalFormatting>
  <conditionalFormatting sqref="CQ918:CT922 CQ924:CT931 CQ933:CT938 CQ940:CT945 CQ947:CT952 CQ954:CT959 CQ961:CT966 CQ968:CT973 CQ975:CT980 CQ982:CT984">
    <cfRule type="expression" dxfId="749" priority="225">
      <formula>AND(LEN(TRIM($CP918))&gt;0,LEN(TRIM(CQ918))=0)</formula>
    </cfRule>
  </conditionalFormatting>
  <conditionalFormatting sqref="CV682:CY723">
    <cfRule type="expression" dxfId="748" priority="1249">
      <formula>AND(LEN(TRIM($CU682))&gt;0,LEN(TRIM(CV682))=0)</formula>
    </cfRule>
  </conditionalFormatting>
  <conditionalFormatting sqref="CV724:CY916">
    <cfRule type="expression" dxfId="747" priority="312">
      <formula>AND(LEN(TRIM($CU724))&gt;0,LEN(TRIM(CV724))=0)</formula>
    </cfRule>
  </conditionalFormatting>
  <conditionalFormatting sqref="CV918:CY922 CV924:CY931 CV933:CY938 CV940:CY945 CV947:CY952 CV954:CY959 CV961:CY966 CV968:CY973 CV975:CY980 CV982:CY984">
    <cfRule type="expression" dxfId="746" priority="226">
      <formula>AND(LEN(TRIM($CU918))&gt;0,LEN(TRIM(CV918))=0)</formula>
    </cfRule>
  </conditionalFormatting>
  <conditionalFormatting sqref="DA682:DD723">
    <cfRule type="expression" dxfId="745" priority="1250">
      <formula>AND(LEN(TRIM($CZ682))&gt;0,LEN(TRIM(DA682))=0)</formula>
    </cfRule>
  </conditionalFormatting>
  <conditionalFormatting sqref="DA724:DD916">
    <cfRule type="expression" dxfId="744" priority="313">
      <formula>AND(LEN(TRIM($CZ724))&gt;0,LEN(TRIM(DA724))=0)</formula>
    </cfRule>
  </conditionalFormatting>
  <conditionalFormatting sqref="DA918:DD922 DA924:DD931 DA933:DD938 DA940:DD945 DA947:DD952 DA954:DD959 DA961:DD966 DA968:DD973 DA975:DD980 DA982:DD984">
    <cfRule type="expression" dxfId="743" priority="227">
      <formula>AND(LEN(TRIM($CZ918))&gt;0,LEN(TRIM(DA918))=0)</formula>
    </cfRule>
  </conditionalFormatting>
  <conditionalFormatting sqref="DF682:DI723">
    <cfRule type="expression" dxfId="742" priority="1251">
      <formula>AND(LEN(TRIM($DE682))&gt;0,LEN(TRIM(DF682))=0)</formula>
    </cfRule>
  </conditionalFormatting>
  <conditionalFormatting sqref="DF724:DI916">
    <cfRule type="expression" dxfId="741" priority="314">
      <formula>AND(LEN(TRIM($DE724))&gt;0,LEN(TRIM(DF724))=0)</formula>
    </cfRule>
  </conditionalFormatting>
  <conditionalFormatting sqref="DF918:DI922 DF924:DI931 DF933:DI938 DF940:DI945 DF947:DI952 DF954:DI959 DF961:DI966 DF968:DI973 DF975:DI980 DF982:DI984">
    <cfRule type="expression" dxfId="740" priority="228">
      <formula>AND(LEN(TRIM($DE918))&gt;0,LEN(TRIM(DF918))=0)</formula>
    </cfRule>
  </conditionalFormatting>
  <conditionalFormatting sqref="DK682:DN723">
    <cfRule type="expression" dxfId="739" priority="1252">
      <formula>AND(LEN(TRIM($DJ682))&gt;0,LEN(TRIM(DK682))=0)</formula>
    </cfRule>
  </conditionalFormatting>
  <conditionalFormatting sqref="DK724:DN916">
    <cfRule type="expression" dxfId="738" priority="315">
      <formula>AND(LEN(TRIM($DJ724))&gt;0,LEN(TRIM(DK724))=0)</formula>
    </cfRule>
  </conditionalFormatting>
  <conditionalFormatting sqref="DK918:DN922 DK924:DN931 DK933:DN938 DK940:DN945 DK947:DN952 DK954:DN959 DK961:DN966 DK968:DN973 DK975:DN980 DK982:DN984">
    <cfRule type="expression" dxfId="737" priority="229">
      <formula>AND(LEN(TRIM($DJ918))&gt;0,LEN(TRIM(DK918))=0)</formula>
    </cfRule>
  </conditionalFormatting>
  <conditionalFormatting sqref="DP682:DS723">
    <cfRule type="expression" dxfId="736" priority="1253">
      <formula>AND(LEN(TRIM($DO682))&gt;0,LEN(TRIM(DP682))=0)</formula>
    </cfRule>
  </conditionalFormatting>
  <conditionalFormatting sqref="DP724:DS916">
    <cfRule type="expression" dxfId="735" priority="316">
      <formula>AND(LEN(TRIM($DO724))&gt;0,LEN(TRIM(DP724))=0)</formula>
    </cfRule>
  </conditionalFormatting>
  <conditionalFormatting sqref="DP918:DS922 DP924:DS931 DP933:DS938 DP940:DS945 DP947:DS952 DP954:DS959 DP961:DS966 DP968:DS973 DP975:DS980 DP982:DS984">
    <cfRule type="expression" dxfId="734" priority="230">
      <formula>AND(LEN(TRIM($DO918))&gt;0,LEN(TRIM(DP918))=0)</formula>
    </cfRule>
  </conditionalFormatting>
  <conditionalFormatting sqref="DU682:DX723">
    <cfRule type="expression" dxfId="733" priority="1254">
      <formula>AND(LEN(TRIM($DT682))&gt;0,LEN(TRIM(DU682))=0)</formula>
    </cfRule>
  </conditionalFormatting>
  <conditionalFormatting sqref="DU724:DX916">
    <cfRule type="expression" dxfId="732" priority="317">
      <formula>AND(LEN(TRIM($DT724))&gt;0,LEN(TRIM(DU724))=0)</formula>
    </cfRule>
  </conditionalFormatting>
  <conditionalFormatting sqref="DU918:DX922 DU924:DX931 DU933:DX938 DU940:DX945 DU947:DX952 DU954:DX959 DU961:DX966 DU968:DX973 DU975:DX980 DU982:DX984">
    <cfRule type="expression" dxfId="731" priority="231">
      <formula>AND(LEN(TRIM($DT918))&gt;0,LEN(TRIM(DU918))=0)</formula>
    </cfRule>
  </conditionalFormatting>
  <conditionalFormatting sqref="DZ682:EC723">
    <cfRule type="expression" dxfId="730" priority="1255">
      <formula>AND(LEN(TRIM($DY682))&gt;0,LEN(TRIM(DZ682))=0)</formula>
    </cfRule>
  </conditionalFormatting>
  <conditionalFormatting sqref="DZ724:EC916">
    <cfRule type="expression" dxfId="729" priority="318">
      <formula>AND(LEN(TRIM($DY724))&gt;0,LEN(TRIM(DZ724))=0)</formula>
    </cfRule>
  </conditionalFormatting>
  <conditionalFormatting sqref="DZ918:EC922 DZ924:EC931 DZ933:EC938 DZ940:EC945 DZ947:EC952 DZ954:EC959 DZ961:EC966 DZ968:EC973 DZ975:EC980 DZ982:EC984">
    <cfRule type="expression" dxfId="728" priority="232">
      <formula>AND(LEN(TRIM($DY918))&gt;0,LEN(TRIM(DZ918))=0)</formula>
    </cfRule>
  </conditionalFormatting>
  <conditionalFormatting sqref="ED532">
    <cfRule type="duplicateValues" dxfId="727" priority="1378"/>
  </conditionalFormatting>
  <conditionalFormatting sqref="ED533">
    <cfRule type="duplicateValues" dxfId="726" priority="1376"/>
  </conditionalFormatting>
  <conditionalFormatting sqref="ED534:ED535">
    <cfRule type="duplicateValues" dxfId="725" priority="1377"/>
  </conditionalFormatting>
  <conditionalFormatting sqref="ED536">
    <cfRule type="duplicateValues" dxfId="724" priority="1375"/>
  </conditionalFormatting>
  <conditionalFormatting sqref="ED539">
    <cfRule type="duplicateValues" dxfId="723" priority="1373"/>
  </conditionalFormatting>
  <conditionalFormatting sqref="ED540">
    <cfRule type="duplicateValues" dxfId="722" priority="1371"/>
  </conditionalFormatting>
  <conditionalFormatting sqref="ED541:ED542">
    <cfRule type="duplicateValues" dxfId="721" priority="1372"/>
  </conditionalFormatting>
  <conditionalFormatting sqref="ED543">
    <cfRule type="duplicateValues" dxfId="720" priority="1370"/>
  </conditionalFormatting>
  <conditionalFormatting sqref="ED546">
    <cfRule type="duplicateValues" dxfId="719" priority="1368"/>
  </conditionalFormatting>
  <conditionalFormatting sqref="ED547">
    <cfRule type="duplicateValues" dxfId="718" priority="1366"/>
  </conditionalFormatting>
  <conditionalFormatting sqref="ED548:ED549">
    <cfRule type="duplicateValues" dxfId="717" priority="1367"/>
  </conditionalFormatting>
  <conditionalFormatting sqref="ED550">
    <cfRule type="duplicateValues" dxfId="716" priority="1365"/>
  </conditionalFormatting>
  <conditionalFormatting sqref="ED553">
    <cfRule type="duplicateValues" dxfId="715" priority="1363"/>
  </conditionalFormatting>
  <conditionalFormatting sqref="ED554">
    <cfRule type="duplicateValues" dxfId="714" priority="1361"/>
  </conditionalFormatting>
  <conditionalFormatting sqref="ED555:ED556">
    <cfRule type="duplicateValues" dxfId="713" priority="1362"/>
  </conditionalFormatting>
  <conditionalFormatting sqref="ED557">
    <cfRule type="duplicateValues" dxfId="712" priority="1360"/>
  </conditionalFormatting>
  <conditionalFormatting sqref="ED560">
    <cfRule type="duplicateValues" dxfId="711" priority="1358"/>
  </conditionalFormatting>
  <conditionalFormatting sqref="ED561">
    <cfRule type="duplicateValues" dxfId="710" priority="1356"/>
  </conditionalFormatting>
  <conditionalFormatting sqref="ED562:ED563">
    <cfRule type="duplicateValues" dxfId="709" priority="1357"/>
  </conditionalFormatting>
  <conditionalFormatting sqref="ED564">
    <cfRule type="duplicateValues" dxfId="708" priority="1355"/>
  </conditionalFormatting>
  <conditionalFormatting sqref="ED567">
    <cfRule type="duplicateValues" dxfId="707" priority="84"/>
  </conditionalFormatting>
  <conditionalFormatting sqref="ED568">
    <cfRule type="duplicateValues" dxfId="706" priority="82"/>
  </conditionalFormatting>
  <conditionalFormatting sqref="ED569:ED570">
    <cfRule type="duplicateValues" dxfId="705" priority="83"/>
  </conditionalFormatting>
  <conditionalFormatting sqref="ED571">
    <cfRule type="duplicateValues" dxfId="704" priority="81"/>
  </conditionalFormatting>
  <conditionalFormatting sqref="ED574">
    <cfRule type="duplicateValues" dxfId="703" priority="79"/>
  </conditionalFormatting>
  <conditionalFormatting sqref="ED575">
    <cfRule type="duplicateValues" dxfId="702" priority="77"/>
  </conditionalFormatting>
  <conditionalFormatting sqref="ED576:ED577">
    <cfRule type="duplicateValues" dxfId="701" priority="78"/>
  </conditionalFormatting>
  <conditionalFormatting sqref="ED578">
    <cfRule type="duplicateValues" dxfId="700" priority="76"/>
  </conditionalFormatting>
  <conditionalFormatting sqref="ED581">
    <cfRule type="duplicateValues" dxfId="699" priority="74"/>
  </conditionalFormatting>
  <conditionalFormatting sqref="ED582">
    <cfRule type="duplicateValues" dxfId="698" priority="72"/>
  </conditionalFormatting>
  <conditionalFormatting sqref="ED583:ED584">
    <cfRule type="duplicateValues" dxfId="697" priority="73"/>
  </conditionalFormatting>
  <conditionalFormatting sqref="ED585">
    <cfRule type="duplicateValues" dxfId="696" priority="71"/>
  </conditionalFormatting>
  <conditionalFormatting sqref="ED588">
    <cfRule type="duplicateValues" dxfId="695" priority="69"/>
  </conditionalFormatting>
  <conditionalFormatting sqref="ED589">
    <cfRule type="duplicateValues" dxfId="694" priority="67"/>
  </conditionalFormatting>
  <conditionalFormatting sqref="ED590:ED591">
    <cfRule type="duplicateValues" dxfId="693" priority="68"/>
  </conditionalFormatting>
  <conditionalFormatting sqref="ED592">
    <cfRule type="duplicateValues" dxfId="692" priority="66"/>
  </conditionalFormatting>
  <conditionalFormatting sqref="EE682:EG723">
    <cfRule type="expression" dxfId="691" priority="1256">
      <formula>AND(LEN(TRIM($ED682))&gt;0,LEN(TRIM(EE682))=0)</formula>
    </cfRule>
  </conditionalFormatting>
  <conditionalFormatting sqref="EE724:EG916">
    <cfRule type="expression" dxfId="690" priority="319">
      <formula>AND(LEN(TRIM($ED724))&gt;0,LEN(TRIM(EE724))=0)</formula>
    </cfRule>
  </conditionalFormatting>
  <conditionalFormatting sqref="EE918:EG922 EE924:EG931 EE933:EG938 EE940:EG945 EE947:EG952 EE954:EG959 EE961:EG966 EE968:EG973 EE975:EG980 EE982:EG984">
    <cfRule type="expression" dxfId="689" priority="233">
      <formula>AND(LEN(TRIM($ED918))&gt;0,LEN(TRIM(EE918))=0)</formula>
    </cfRule>
  </conditionalFormatting>
  <conditionalFormatting sqref="EH534">
    <cfRule type="duplicateValues" dxfId="688" priority="1374"/>
  </conditionalFormatting>
  <conditionalFormatting sqref="EH541">
    <cfRule type="duplicateValues" dxfId="687" priority="1369"/>
  </conditionalFormatting>
  <conditionalFormatting sqref="EH548">
    <cfRule type="duplicateValues" dxfId="686" priority="1364"/>
  </conditionalFormatting>
  <conditionalFormatting sqref="EH555">
    <cfRule type="duplicateValues" dxfId="685" priority="1359"/>
  </conditionalFormatting>
  <conditionalFormatting sqref="EH562">
    <cfRule type="duplicateValues" dxfId="684" priority="1354"/>
  </conditionalFormatting>
  <conditionalFormatting sqref="EH569">
    <cfRule type="duplicateValues" dxfId="683" priority="80"/>
  </conditionalFormatting>
  <conditionalFormatting sqref="EH576">
    <cfRule type="duplicateValues" dxfId="682" priority="75"/>
  </conditionalFormatting>
  <conditionalFormatting sqref="EH583">
    <cfRule type="duplicateValues" dxfId="681" priority="70"/>
  </conditionalFormatting>
  <conditionalFormatting sqref="EH590">
    <cfRule type="duplicateValues" dxfId="680" priority="65"/>
  </conditionalFormatting>
  <conditionalFormatting sqref="EI682:EK723">
    <cfRule type="expression" dxfId="679" priority="1257">
      <formula>AND(LEN(TRIM($EH682))&gt;0,LEN(TRIM(EI682))=0)</formula>
    </cfRule>
  </conditionalFormatting>
  <conditionalFormatting sqref="EI724:EK916">
    <cfRule type="expression" dxfId="678" priority="320">
      <formula>AND(LEN(TRIM($EH724))&gt;0,LEN(TRIM(EI724))=0)</formula>
    </cfRule>
  </conditionalFormatting>
  <conditionalFormatting sqref="EI918:EK922 EI924:EK931 EI933:EK938 EI940:EK945 EI947:EK952 EI954:EK959 EI961:EK966 EI968:EK973 EI975:EK980 EI982:EK984">
    <cfRule type="expression" dxfId="677" priority="234">
      <formula>AND(LEN(TRIM($EH918))&gt;0,LEN(TRIM(EI918))=0)</formula>
    </cfRule>
  </conditionalFormatting>
  <conditionalFormatting sqref="EM682:EO723">
    <cfRule type="expression" dxfId="676" priority="1258">
      <formula>AND(LEN(TRIM($EL682))&gt;0,LEN(TRIM(EM682))=0)</formula>
    </cfRule>
  </conditionalFormatting>
  <conditionalFormatting sqref="EM724:EO916">
    <cfRule type="expression" dxfId="675" priority="321">
      <formula>AND(LEN(TRIM($EL724))&gt;0,LEN(TRIM(EM724))=0)</formula>
    </cfRule>
  </conditionalFormatting>
  <conditionalFormatting sqref="EM918:EO922 EM924:EO931 EM933:EO938 EM940:EO945 EM947:EO952 EM954:EO959 EM961:EO966 EM968:EO973 EM975:EO980 EM982:EO984">
    <cfRule type="expression" dxfId="674" priority="235">
      <formula>AND(LEN(TRIM($EL918))&gt;0,LEN(TRIM(EM918))=0)</formula>
    </cfRule>
  </conditionalFormatting>
  <conditionalFormatting sqref="EQ682:ES723">
    <cfRule type="expression" dxfId="673" priority="1259">
      <formula>AND(LEN(TRIM($EP682))&gt;0,LEN(TRIM(EQ682))=0)</formula>
    </cfRule>
  </conditionalFormatting>
  <conditionalFormatting sqref="EQ724:ES916">
    <cfRule type="expression" dxfId="672" priority="322">
      <formula>AND(LEN(TRIM($EP724))&gt;0,LEN(TRIM(EQ724))=0)</formula>
    </cfRule>
  </conditionalFormatting>
  <conditionalFormatting sqref="EQ918:ES922 EQ924:ES931 EQ933:ES938 EQ940:ES945 EQ947:ES952 EQ954:ES959 EQ961:ES966 EQ968:ES973 EQ975:ES980 EQ982:ES984">
    <cfRule type="expression" dxfId="671" priority="236">
      <formula>AND(LEN(TRIM($EP918))&gt;0,LEN(TRIM(EQ918))=0)</formula>
    </cfRule>
  </conditionalFormatting>
  <conditionalFormatting sqref="EU682:EW723">
    <cfRule type="expression" dxfId="670" priority="1260">
      <formula>AND(LEN(TRIM($ET682))&gt;0,LEN(TRIM(EU682))=0)</formula>
    </cfRule>
  </conditionalFormatting>
  <conditionalFormatting sqref="EU724:EW916">
    <cfRule type="expression" dxfId="669" priority="323">
      <formula>AND(LEN(TRIM($ET724))&gt;0,LEN(TRIM(EU724))=0)</formula>
    </cfRule>
  </conditionalFormatting>
  <conditionalFormatting sqref="EU918:EW922 EU924:EW931 EU933:EW938 EU940:EW945 EU947:EW952 EU954:EW959 EU961:EW966 EU968:EW973 EU975:EW980 EU982:EW984">
    <cfRule type="expression" dxfId="668" priority="237">
      <formula>AND(LEN(TRIM($ET918))&gt;0,LEN(TRIM(EU918))=0)</formula>
    </cfRule>
  </conditionalFormatting>
  <conditionalFormatting sqref="EY682:FA723">
    <cfRule type="expression" dxfId="667" priority="1261">
      <formula>AND(LEN(TRIM($EX682))&gt;0,LEN(TRIM(EY682))=0)</formula>
    </cfRule>
  </conditionalFormatting>
  <conditionalFormatting sqref="EY724:FA916">
    <cfRule type="expression" dxfId="666" priority="324">
      <formula>AND(LEN(TRIM($EX724))&gt;0,LEN(TRIM(EY724))=0)</formula>
    </cfRule>
  </conditionalFormatting>
  <conditionalFormatting sqref="EY918:FA922 EY924:FA931 EY933:FA938 EY940:FA945 EY947:FA952 EY954:FA959 EY961:FA966 EY968:FA973 EY975:FA980 EY982:FA984">
    <cfRule type="expression" dxfId="665" priority="238">
      <formula>AND(LEN(TRIM($EX918))&gt;0,LEN(TRIM(EY918))=0)</formula>
    </cfRule>
  </conditionalFormatting>
  <conditionalFormatting sqref="FC682:FE723">
    <cfRule type="expression" dxfId="664" priority="1262">
      <formula>AND(LEN(TRIM($FB682))&gt;0,LEN(TRIM(FC682))=0)</formula>
    </cfRule>
  </conditionalFormatting>
  <conditionalFormatting sqref="FC724:FE916">
    <cfRule type="expression" dxfId="663" priority="325">
      <formula>AND(LEN(TRIM($FB724))&gt;0,LEN(TRIM(FC724))=0)</formula>
    </cfRule>
  </conditionalFormatting>
  <conditionalFormatting sqref="FC918:FE922 FC924:FE931 FC933:FE938 FC940:FE945 FC947:FE952 FC954:FE959 FC961:FE966 FC968:FE973 FC975:FE980 FC982:FE984">
    <cfRule type="expression" dxfId="662" priority="239">
      <formula>AND(LEN(TRIM($FB918))&gt;0,LEN(TRIM(FC918))=0)</formula>
    </cfRule>
  </conditionalFormatting>
  <conditionalFormatting sqref="FG682:FI723">
    <cfRule type="expression" dxfId="661" priority="1263">
      <formula>AND(LEN(TRIM($FF682))&gt;0,LEN(TRIM(FG682))=0)</formula>
    </cfRule>
  </conditionalFormatting>
  <conditionalFormatting sqref="FG724:FI916">
    <cfRule type="expression" dxfId="660" priority="326">
      <formula>AND(LEN(TRIM($FF724))&gt;0,LEN(TRIM(FG724))=0)</formula>
    </cfRule>
  </conditionalFormatting>
  <conditionalFormatting sqref="FG918:FI922 FG924:FI931 FG933:FI938 FG940:FI945 FG947:FI952 FG954:FI959 FG961:FI966 FG968:FI973 FG975:FI980 FG982:FI984">
    <cfRule type="expression" dxfId="659" priority="240">
      <formula>AND(LEN(TRIM($FF918))&gt;0,LEN(TRIM(FG918))=0)</formula>
    </cfRule>
  </conditionalFormatting>
  <conditionalFormatting sqref="FK682:FM723">
    <cfRule type="expression" dxfId="658" priority="1264">
      <formula>AND(LEN(TRIM($FJ682))&gt;0,LEN(TRIM(FK682))=0)</formula>
    </cfRule>
  </conditionalFormatting>
  <conditionalFormatting sqref="FK724:FM916">
    <cfRule type="expression" dxfId="657" priority="327">
      <formula>AND(LEN(TRIM($FJ724))&gt;0,LEN(TRIM(FK724))=0)</formula>
    </cfRule>
  </conditionalFormatting>
  <conditionalFormatting sqref="FK918:FM922 FK924:FM931 FK933:FM938 FK940:FM945 FK947:FM952 FK954:FM959 FK961:FM966 FK968:FM973 FK975:FM980 FK982:FM984">
    <cfRule type="expression" dxfId="656" priority="241">
      <formula>AND(LEN(TRIM($FJ918))&gt;0,LEN(TRIM(FK918))=0)</formula>
    </cfRule>
  </conditionalFormatting>
  <conditionalFormatting sqref="FO682:FQ723">
    <cfRule type="expression" dxfId="655" priority="1265">
      <formula>AND(LEN(TRIM($FN682))&gt;0,LEN(TRIM(FO682))=0)</formula>
    </cfRule>
  </conditionalFormatting>
  <conditionalFormatting sqref="FO724:FQ916">
    <cfRule type="expression" dxfId="654" priority="328">
      <formula>AND(LEN(TRIM($FN724))&gt;0,LEN(TRIM(FO724))=0)</formula>
    </cfRule>
  </conditionalFormatting>
  <conditionalFormatting sqref="FO918:FQ922 FO924:FQ931 FO933:FQ938 FO940:FQ945 FO947:FQ952 FO954:FQ959 FO961:FQ966 FO968:FQ973 FO975:FQ980 FO982:FQ984">
    <cfRule type="expression" dxfId="653" priority="242">
      <formula>AND(LEN(TRIM($FN918))&gt;0,LEN(TRIM(FO918))=0)</formula>
    </cfRule>
  </conditionalFormatting>
  <conditionalFormatting sqref="FS682:FU723">
    <cfRule type="expression" dxfId="652" priority="1266">
      <formula>AND(LEN(TRIM($FR682))&gt;0,LEN(TRIM(FS682))=0)</formula>
    </cfRule>
  </conditionalFormatting>
  <conditionalFormatting sqref="FS724:FU916">
    <cfRule type="expression" dxfId="651" priority="329">
      <formula>AND(LEN(TRIM($FR724))&gt;0,LEN(TRIM(FS724))=0)</formula>
    </cfRule>
  </conditionalFormatting>
  <conditionalFormatting sqref="FS918:FU922 FS924:FU931 FS933:FU938 FS940:FU945 FS947:FU952 FS954:FU959 FS961:FU966 FS968:FU973 FS975:FU980 FS982:FU984">
    <cfRule type="expression" dxfId="650" priority="243">
      <formula>AND(LEN(TRIM($FR918))&gt;0,LEN(TRIM(FS918))=0)</formula>
    </cfRule>
  </conditionalFormatting>
  <conditionalFormatting sqref="FW682:FY723">
    <cfRule type="expression" dxfId="649" priority="1267">
      <formula>AND(LEN(TRIM($FV682))&gt;0,LEN(TRIM(FW682))=0)</formula>
    </cfRule>
  </conditionalFormatting>
  <conditionalFormatting sqref="FW724:FY916">
    <cfRule type="expression" dxfId="648" priority="330">
      <formula>AND(LEN(TRIM($FV724))&gt;0,LEN(TRIM(FW724))=0)</formula>
    </cfRule>
  </conditionalFormatting>
  <conditionalFormatting sqref="FW918:FY922 FW924:FY931 FW933:FY938 FW940:FY945 FW947:FY952 FW954:FY959 FW961:FY966 FW968:FY973 FW975:FY980 FW982:FY984">
    <cfRule type="expression" dxfId="647" priority="244">
      <formula>AND(LEN(TRIM($FV918))&gt;0,LEN(TRIM(FW918))=0)</formula>
    </cfRule>
  </conditionalFormatting>
  <conditionalFormatting sqref="GA682:GC723">
    <cfRule type="expression" dxfId="646" priority="1268">
      <formula>AND(LEN(TRIM($FZ682))&gt;0,LEN(TRIM(GA682))=0)</formula>
    </cfRule>
  </conditionalFormatting>
  <conditionalFormatting sqref="GA724:GC916">
    <cfRule type="expression" dxfId="645" priority="331">
      <formula>AND(LEN(TRIM($FZ724))&gt;0,LEN(TRIM(GA724))=0)</formula>
    </cfRule>
  </conditionalFormatting>
  <conditionalFormatting sqref="GA918:GC922 GA924:GC931 GA933:GC938 GA940:GC945 GA947:GC952 GA954:GC959 GA961:GC966 GA968:GC973 GA975:GC980 GA982:GC984">
    <cfRule type="expression" dxfId="644" priority="245">
      <formula>AND(LEN(TRIM($FZ918))&gt;0,LEN(TRIM(GA918))=0)</formula>
    </cfRule>
  </conditionalFormatting>
  <conditionalFormatting sqref="GE682:GG723">
    <cfRule type="expression" dxfId="643" priority="1269">
      <formula>AND(LEN(TRIM($GD682))&gt;0,LEN(TRIM(GE682))=0)</formula>
    </cfRule>
  </conditionalFormatting>
  <conditionalFormatting sqref="GE724:GG916">
    <cfRule type="expression" dxfId="642" priority="332">
      <formula>AND(LEN(TRIM($GD724))&gt;0,LEN(TRIM(GE724))=0)</formula>
    </cfRule>
  </conditionalFormatting>
  <conditionalFormatting sqref="GE918:GG922 GE924:GG931 GE933:GG938 GE940:GG945 GE947:GG952 GE954:GG959 GE961:GG966 GE968:GG973 GE975:GG980 GE982:GG984">
    <cfRule type="expression" dxfId="641" priority="246">
      <formula>AND(LEN(TRIM($GD918))&gt;0,LEN(TRIM(GE918))=0)</formula>
    </cfRule>
  </conditionalFormatting>
  <conditionalFormatting sqref="GI682:GK723">
    <cfRule type="expression" dxfId="640" priority="1270">
      <formula>AND(LEN(TRIM($GH682))&gt;0,LEN(TRIM(GI682))=0)</formula>
    </cfRule>
  </conditionalFormatting>
  <conditionalFormatting sqref="GI724:GK916">
    <cfRule type="expression" dxfId="639" priority="333">
      <formula>AND(LEN(TRIM($GH724))&gt;0,LEN(TRIM(GI724))=0)</formula>
    </cfRule>
  </conditionalFormatting>
  <conditionalFormatting sqref="GI918:GK922 GI924:GK931 GI933:GK938 GI940:GK945 GI947:GK952 GI954:GK959 GI961:GK966 GI968:GK973 GI975:GK980 GI982:GK984">
    <cfRule type="expression" dxfId="638" priority="247">
      <formula>AND(LEN(TRIM($GH918))&gt;0,LEN(TRIM(GI918))=0)</formula>
    </cfRule>
  </conditionalFormatting>
  <conditionalFormatting sqref="GM682:GP723">
    <cfRule type="expression" dxfId="637" priority="1271">
      <formula>AND(LEN(TRIM($GL682))&gt;0,LEN(TRIM(GM682))=0)</formula>
    </cfRule>
  </conditionalFormatting>
  <conditionalFormatting sqref="GM724:GP916">
    <cfRule type="expression" dxfId="636" priority="334">
      <formula>AND(LEN(TRIM($GL724))&gt;0,LEN(TRIM(GM724))=0)</formula>
    </cfRule>
  </conditionalFormatting>
  <conditionalFormatting sqref="GM918:GP922 GM924:GP931 GM933:GP938 GM940:GP945 GM947:GP952 GM954:GP959 GM961:GP966 GM968:GP973 GM975:GP980 GM982:GP984">
    <cfRule type="expression" dxfId="635" priority="248">
      <formula>AND(LEN(TRIM($GL918))&gt;0,LEN(TRIM(GM918))=0)</formula>
    </cfRule>
  </conditionalFormatting>
  <conditionalFormatting sqref="GR682:GU723">
    <cfRule type="expression" dxfId="634" priority="1272">
      <formula>AND(LEN(TRIM($GQ682))&gt;0,LEN(TRIM(GR682))=0)</formula>
    </cfRule>
  </conditionalFormatting>
  <conditionalFormatting sqref="GR724:GU916">
    <cfRule type="expression" dxfId="633" priority="335">
      <formula>AND(LEN(TRIM($GQ724))&gt;0,LEN(TRIM(GR724))=0)</formula>
    </cfRule>
  </conditionalFormatting>
  <conditionalFormatting sqref="GR918:GU922 GR924:GU931 GR933:GU938 GR940:GU945 GR947:GU952 GR954:GU959 GR961:GU966 GR968:GU973 GR975:GU980 GR982:GU984">
    <cfRule type="expression" dxfId="632" priority="249">
      <formula>AND(LEN(TRIM($GQ918))&gt;0,LEN(TRIM(GR918))=0)</formula>
    </cfRule>
  </conditionalFormatting>
  <conditionalFormatting sqref="GW682:GZ723">
    <cfRule type="expression" dxfId="631" priority="1273">
      <formula>AND(LEN(TRIM($GV682))&gt;0,LEN(TRIM(GW682))=0)</formula>
    </cfRule>
  </conditionalFormatting>
  <conditionalFormatting sqref="GW724:GZ916">
    <cfRule type="expression" dxfId="630" priority="336">
      <formula>AND(LEN(TRIM($GV724))&gt;0,LEN(TRIM(GW724))=0)</formula>
    </cfRule>
  </conditionalFormatting>
  <conditionalFormatting sqref="GW918:GZ922 GW924:GZ931 GW933:GZ938 GW940:GZ945 GW947:GZ952 GW954:GZ959 GW961:GZ966 GW968:GZ973 GW975:GZ980 GW982:GZ984">
    <cfRule type="expression" dxfId="629" priority="250">
      <formula>AND(LEN(TRIM($GV918))&gt;0,LEN(TRIM(GW918))=0)</formula>
    </cfRule>
  </conditionalFormatting>
  <conditionalFormatting sqref="HB682:HE723">
    <cfRule type="expression" dxfId="628" priority="1274">
      <formula>AND(LEN(TRIM($HA682))&gt;0,LEN(TRIM(HB682))=0)</formula>
    </cfRule>
  </conditionalFormatting>
  <conditionalFormatting sqref="HB724:HE916">
    <cfRule type="expression" dxfId="627" priority="337">
      <formula>AND(LEN(TRIM($HA724))&gt;0,LEN(TRIM(HB724))=0)</formula>
    </cfRule>
  </conditionalFormatting>
  <conditionalFormatting sqref="HB918:HE922 HB924:HE931 HB933:HE938 HB940:HE945 HB947:HE952 HB954:HE959 HB961:HE966 HB968:HE973 HB975:HE980 HB982:HE984">
    <cfRule type="expression" dxfId="626" priority="251">
      <formula>AND(LEN(TRIM($HA918))&gt;0,LEN(TRIM(HB918))=0)</formula>
    </cfRule>
  </conditionalFormatting>
  <conditionalFormatting sqref="HG682:HJ723">
    <cfRule type="expression" dxfId="625" priority="1275">
      <formula>AND(LEN(TRIM($HF682))&gt;0,LEN(TRIM(HG682))=0)</formula>
    </cfRule>
  </conditionalFormatting>
  <conditionalFormatting sqref="HG724:HJ876 HG877:HI898">
    <cfRule type="expression" dxfId="624" priority="721">
      <formula>AND(LEN(TRIM($HF724))&gt;0,LEN(TRIM(HG724))=0)</formula>
    </cfRule>
  </conditionalFormatting>
  <conditionalFormatting sqref="HG899:HJ916">
    <cfRule type="expression" dxfId="623" priority="338">
      <formula>AND(LEN(TRIM($HF899))&gt;0,LEN(TRIM(HG899))=0)</formula>
    </cfRule>
  </conditionalFormatting>
  <conditionalFormatting sqref="HG918:HJ922 HG924:HJ931 HG933:HJ938 HG940:HJ945 HG947:HJ952 HG954:HJ959 HG961:HJ966 HG968:HJ973 HG975:HJ980 HG982:HJ984">
    <cfRule type="expression" dxfId="622" priority="252">
      <formula>AND(LEN(TRIM($HF918))&gt;0,LEN(TRIM(HG918))=0)</formula>
    </cfRule>
  </conditionalFormatting>
  <conditionalFormatting sqref="HK856:HK898">
    <cfRule type="expression" dxfId="621" priority="598">
      <formula>AND(LEN(TRIM(#REF!))&gt;0,LEN(TRIM(HK856))=0)</formula>
    </cfRule>
  </conditionalFormatting>
  <conditionalFormatting sqref="HL682:HP723 HM774:HN775 HM778:HN779 HM782:HN783 HM786:HN787 HM790:HN791 HM794:HN795 HM798:HN799 HM802:HN803 HM806:HN807 HM810:HN811 HM814:HN815 HM818:HN819 HM822:HN823 HM826:HN827 HM830:HN831 HM834:HN835 HM838:HN839 HM842:HN843 HM846:HN847 HM850:HN851 HM854:HN855 HM929:HN977 HP929:HP977">
    <cfRule type="expression" dxfId="620" priority="1276">
      <formula>AND(LEN(TRIM($HK682))&gt;0,LEN(TRIM(HL682))=0)</formula>
    </cfRule>
  </conditionalFormatting>
  <conditionalFormatting sqref="HL724:HP773 HL774:HL775 HO774:HP775 HL776:HP777 HL778:HL779 HO778:HP779 HL780:HP781 HL782:HL783 HO782:HP783 HL784:HP785 HL786:HL787 HO786:HP787 HL788:HP789 HL790:HL791 HO790:HP791 HL792:HP793 HL794:HL795 HO794:HP795 HL796:HP797 HL798:HL799 HO798:HP799 HL800:HP801 HL802:HL803 HO802:HP803 HL804:HP805 HL806:HL807 HO806:HP807 HL808:HP809 HL810:HL811 HO810:HP811 HL812:HP813 HL814:HL815 HO814:HP815 HL816:HP817 HL818:HL819 HO818:HP819 HL820:HP821 HL822:HL823 HO822:HP823 HL824:HP825 HL826:HL827 HO826:HP827 HL828:HP829 HL830:HL831 HO830:HP831 HL832:HP833 HL834:HL835 HO834:HP835 HL836:HP837 HL838:HL839 HO838:HP839 HL840:HP841 HL842:HL843 HO842:HP843 HL844:HP845 HL846:HL847 HO846:HP847 HL848:HP849 HL850:HL851 HO850:HP851 HL852:HP853 HL854:HL855 HO854:HP855 HL856:HP916">
    <cfRule type="expression" dxfId="619" priority="339">
      <formula>AND(LEN(TRIM($HK724))&gt;0,LEN(TRIM(HL724))=0)</formula>
    </cfRule>
  </conditionalFormatting>
  <conditionalFormatting sqref="HL918:HP922 HL924:HP928 HL929:HL984 HO936:HO942 HO950:HO956 HO964:HO970 HM978:HP984">
    <cfRule type="expression" dxfId="618" priority="253">
      <formula>AND(LEN(TRIM($HK918))&gt;0,LEN(TRIM(HL918))=0)</formula>
    </cfRule>
  </conditionalFormatting>
  <conditionalFormatting sqref="HM684">
    <cfRule type="expression" dxfId="617" priority="1188">
      <formula>AND(LEN(TRIM($C682))&gt;0,LEN(TRIM(HM684))=0)</formula>
    </cfRule>
  </conditionalFormatting>
  <conditionalFormatting sqref="HM687">
    <cfRule type="expression" dxfId="616" priority="1184">
      <formula>AND(LEN(TRIM($C685))&gt;0,LEN(TRIM(HM687))=0)</formula>
    </cfRule>
  </conditionalFormatting>
  <conditionalFormatting sqref="HM690">
    <cfRule type="expression" dxfId="615" priority="1173">
      <formula>AND(LEN(TRIM($C688))&gt;0,LEN(TRIM(HM690))=0)</formula>
    </cfRule>
  </conditionalFormatting>
  <conditionalFormatting sqref="HM699">
    <cfRule type="expression" dxfId="614" priority="1219">
      <formula>AND(LEN(TRIM($C697))&gt;0,LEN(TRIM(HM699))=0)</formula>
    </cfRule>
  </conditionalFormatting>
  <conditionalFormatting sqref="HM702">
    <cfRule type="expression" dxfId="613" priority="1215">
      <formula>AND(LEN(TRIM($C700))&gt;0,LEN(TRIM(HM702))=0)</formula>
    </cfRule>
  </conditionalFormatting>
  <conditionalFormatting sqref="HM705">
    <cfRule type="expression" dxfId="612" priority="1211">
      <formula>AND(LEN(TRIM($C703))&gt;0,LEN(TRIM(HM705))=0)</formula>
    </cfRule>
  </conditionalFormatting>
  <conditionalFormatting sqref="HM708">
    <cfRule type="expression" dxfId="611" priority="1149">
      <formula>AND(LEN(TRIM($C706))&gt;0,LEN(TRIM(HM708))=0)</formula>
    </cfRule>
  </conditionalFormatting>
  <conditionalFormatting sqref="HM714">
    <cfRule type="expression" dxfId="610" priority="1126">
      <formula>AND(LEN(TRIM($C712))&gt;0,LEN(TRIM(HM714))=0)</formula>
    </cfRule>
  </conditionalFormatting>
  <conditionalFormatting sqref="HM720">
    <cfRule type="expression" dxfId="609" priority="1100">
      <formula>AND(LEN(TRIM($C718))&gt;0,LEN(TRIM(HM720))=0)</formula>
    </cfRule>
  </conditionalFormatting>
  <conditionalFormatting sqref="HM693:HP693 HM696">
    <cfRule type="expression" dxfId="608" priority="1223">
      <formula>AND(LEN(TRIM($C691))&gt;0,LEN(TRIM(HM693))=0)</formula>
    </cfRule>
  </conditionalFormatting>
  <conditionalFormatting sqref="HM711:HP711">
    <cfRule type="expression" dxfId="607" priority="1157">
      <formula>AND(LEN(TRIM($C709))&gt;0,LEN(TRIM(HM711))=0)</formula>
    </cfRule>
  </conditionalFormatting>
  <conditionalFormatting sqref="HM717:HP717">
    <cfRule type="expression" dxfId="606" priority="1134">
      <formula>AND(LEN(TRIM($C715))&gt;0,LEN(TRIM(HM717))=0)</formula>
    </cfRule>
  </conditionalFormatting>
  <conditionalFormatting sqref="HM723:HP723 HM774:HN775 HM778:HN779 HM782:HN783 HM786:HN787 HM790:HN791 HM794:HN795 HM798:HN799 HM802:HN803 HM806:HN807 HM810:HN811 HM814:HN815 HM818:HN819 HM822:HN823 HM826:HN827 HM830:HN831 HM834:HN835 HM838:HN839 HM842:HN843 HM846:HN847 HM850:HN851 HM854:HN855 HM929:HN977 HP929:HP977">
    <cfRule type="expression" dxfId="605" priority="1108">
      <formula>AND(LEN(TRIM($C721))&gt;0,LEN(TRIM(HM723))=0)</formula>
    </cfRule>
  </conditionalFormatting>
  <conditionalFormatting sqref="HN684">
    <cfRule type="expression" dxfId="604" priority="1187">
      <formula>AND(LEN(TRIM($C682))&gt;0,LEN(TRIM(HN684))=0)</formula>
    </cfRule>
  </conditionalFormatting>
  <conditionalFormatting sqref="HN687">
    <cfRule type="expression" dxfId="603" priority="1183">
      <formula>AND(LEN(TRIM($C685))&gt;0,LEN(TRIM(HN687))=0)</formula>
    </cfRule>
  </conditionalFormatting>
  <conditionalFormatting sqref="HN690">
    <cfRule type="expression" dxfId="602" priority="1172">
      <formula>AND(LEN(TRIM($C688))&gt;0,LEN(TRIM(HN690))=0)</formula>
    </cfRule>
  </conditionalFormatting>
  <conditionalFormatting sqref="HN696">
    <cfRule type="expression" dxfId="601" priority="1222">
      <formula>AND(LEN(TRIM($C694))&gt;0,LEN(TRIM(HN696))=0)</formula>
    </cfRule>
  </conditionalFormatting>
  <conditionalFormatting sqref="HN699">
    <cfRule type="expression" dxfId="600" priority="1218">
      <formula>AND(LEN(TRIM($C697))&gt;0,LEN(TRIM(HN699))=0)</formula>
    </cfRule>
  </conditionalFormatting>
  <conditionalFormatting sqref="HN702">
    <cfRule type="expression" dxfId="599" priority="1214">
      <formula>AND(LEN(TRIM($C700))&gt;0,LEN(TRIM(HN702))=0)</formula>
    </cfRule>
  </conditionalFormatting>
  <conditionalFormatting sqref="HN705">
    <cfRule type="expression" dxfId="598" priority="1210">
      <formula>AND(LEN(TRIM($C703))&gt;0,LEN(TRIM(HN705))=0)</formula>
    </cfRule>
  </conditionalFormatting>
  <conditionalFormatting sqref="HN708">
    <cfRule type="expression" dxfId="597" priority="1148">
      <formula>AND(LEN(TRIM($C706))&gt;0,LEN(TRIM(HN708))=0)</formula>
    </cfRule>
  </conditionalFormatting>
  <conditionalFormatting sqref="HN714">
    <cfRule type="expression" dxfId="596" priority="1125">
      <formula>AND(LEN(TRIM($C712))&gt;0,LEN(TRIM(HN714))=0)</formula>
    </cfRule>
  </conditionalFormatting>
  <conditionalFormatting sqref="HN720">
    <cfRule type="expression" dxfId="595" priority="1099">
      <formula>AND(LEN(TRIM($C718))&gt;0,LEN(TRIM(HN720))=0)</formula>
    </cfRule>
  </conditionalFormatting>
  <conditionalFormatting sqref="HO682:HO683 HO685:HO689 HO691:HO695 HO697:HO707 HO709:HO713 HO715:HO719 HO721:HO723">
    <cfRule type="expression" dxfId="594" priority="1277">
      <formula>AND($HO682&gt;50, $HO682&lt;&gt;"Unspecified")</formula>
    </cfRule>
  </conditionalFormatting>
  <conditionalFormatting sqref="HO684">
    <cfRule type="expression" dxfId="593" priority="1186">
      <formula>AND(LEN(TRIM($C682))&gt;0,LEN(TRIM(HO684))=0)</formula>
    </cfRule>
  </conditionalFormatting>
  <conditionalFormatting sqref="HO687">
    <cfRule type="expression" dxfId="592" priority="1182">
      <formula>AND(LEN(TRIM($C685))&gt;0,LEN(TRIM(HO687))=0)</formula>
    </cfRule>
  </conditionalFormatting>
  <conditionalFormatting sqref="HO690">
    <cfRule type="expression" dxfId="591" priority="1171">
      <formula>AND(LEN(TRIM($C688))&gt;0,LEN(TRIM(HO690))=0)</formula>
    </cfRule>
  </conditionalFormatting>
  <conditionalFormatting sqref="HO696">
    <cfRule type="expression" dxfId="590" priority="1221">
      <formula>AND(LEN(TRIM($C694))&gt;0,LEN(TRIM(HO696))=0)</formula>
    </cfRule>
  </conditionalFormatting>
  <conditionalFormatting sqref="HO699">
    <cfRule type="expression" dxfId="589" priority="1217">
      <formula>AND(LEN(TRIM($C697))&gt;0,LEN(TRIM(HO699))=0)</formula>
    </cfRule>
  </conditionalFormatting>
  <conditionalFormatting sqref="HO702">
    <cfRule type="expression" dxfId="588" priority="1213">
      <formula>AND(LEN(TRIM($C700))&gt;0,LEN(TRIM(HO702))=0)</formula>
    </cfRule>
  </conditionalFormatting>
  <conditionalFormatting sqref="HO705">
    <cfRule type="expression" dxfId="587" priority="1209">
      <formula>AND(LEN(TRIM($C703))&gt;0,LEN(TRIM(HO705))=0)</formula>
    </cfRule>
  </conditionalFormatting>
  <conditionalFormatting sqref="HO708">
    <cfRule type="expression" dxfId="586" priority="1147">
      <formula>AND(LEN(TRIM($C706))&gt;0,LEN(TRIM(HO708))=0)</formula>
    </cfRule>
  </conditionalFormatting>
  <conditionalFormatting sqref="HO714">
    <cfRule type="expression" dxfId="585" priority="1124">
      <formula>AND(LEN(TRIM($C712))&gt;0,LEN(TRIM(HO714))=0)</formula>
    </cfRule>
  </conditionalFormatting>
  <conditionalFormatting sqref="HO720">
    <cfRule type="expression" dxfId="584" priority="1098">
      <formula>AND(LEN(TRIM($C718))&gt;0,LEN(TRIM(HO720))=0)</formula>
    </cfRule>
  </conditionalFormatting>
  <conditionalFormatting sqref="HO724:HO916">
    <cfRule type="expression" dxfId="583" priority="340">
      <formula>AND($HO724&gt;50, $HO724&lt;&gt;"Unspecified")</formula>
    </cfRule>
  </conditionalFormatting>
  <conditionalFormatting sqref="HO918:HO922 HO924:HO928">
    <cfRule type="expression" dxfId="582" priority="254">
      <formula>AND($HO918&gt;50, $HO918&lt;&gt;"Unspecified")</formula>
    </cfRule>
  </conditionalFormatting>
  <conditionalFormatting sqref="HO929:HO935 HO943:HO949 HO957:HO963 HO971:HO977">
    <cfRule type="expression" dxfId="581" priority="4">
      <formula>AND(LEN(TRIM($HK929))&gt;0,LEN(TRIM(HO929))=0)</formula>
    </cfRule>
    <cfRule type="expression" dxfId="580" priority="3">
      <formula>AND(LEN(TRIM($C927))&gt;0,LEN(TRIM(HO929))=0)</formula>
    </cfRule>
  </conditionalFormatting>
  <conditionalFormatting sqref="HP684">
    <cfRule type="expression" dxfId="579" priority="1185">
      <formula>AND(LEN(TRIM($C682))&gt;0,LEN(TRIM(HP684))=0)</formula>
    </cfRule>
  </conditionalFormatting>
  <conditionalFormatting sqref="HP687">
    <cfRule type="expression" dxfId="578" priority="1181">
      <formula>AND(LEN(TRIM($C685))&gt;0,LEN(TRIM(HP687))=0)</formula>
    </cfRule>
  </conditionalFormatting>
  <conditionalFormatting sqref="HP690">
    <cfRule type="expression" dxfId="577" priority="1170">
      <formula>AND(LEN(TRIM($C688))&gt;0,LEN(TRIM(HP690))=0)</formula>
    </cfRule>
  </conditionalFormatting>
  <conditionalFormatting sqref="HP696">
    <cfRule type="expression" dxfId="576" priority="1220">
      <formula>AND(LEN(TRIM($C694))&gt;0,LEN(TRIM(HP696))=0)</formula>
    </cfRule>
  </conditionalFormatting>
  <conditionalFormatting sqref="HP699">
    <cfRule type="expression" dxfId="575" priority="1216">
      <formula>AND(LEN(TRIM($C697))&gt;0,LEN(TRIM(HP699))=0)</formula>
    </cfRule>
  </conditionalFormatting>
  <conditionalFormatting sqref="HP702">
    <cfRule type="expression" dxfId="574" priority="1212">
      <formula>AND(LEN(TRIM($C700))&gt;0,LEN(TRIM(HP702))=0)</formula>
    </cfRule>
  </conditionalFormatting>
  <conditionalFormatting sqref="HP705">
    <cfRule type="expression" dxfId="573" priority="1208">
      <formula>AND(LEN(TRIM($C703))&gt;0,LEN(TRIM(HP705))=0)</formula>
    </cfRule>
  </conditionalFormatting>
  <conditionalFormatting sqref="HP708">
    <cfRule type="expression" dxfId="572" priority="1146">
      <formula>AND(LEN(TRIM($C706))&gt;0,LEN(TRIM(HP708))=0)</formula>
    </cfRule>
  </conditionalFormatting>
  <conditionalFormatting sqref="HP714">
    <cfRule type="expression" dxfId="571" priority="1123">
      <formula>AND(LEN(TRIM($C712))&gt;0,LEN(TRIM(HP714))=0)</formula>
    </cfRule>
  </conditionalFormatting>
  <conditionalFormatting sqref="HP720">
    <cfRule type="expression" dxfId="570" priority="1097">
      <formula>AND(LEN(TRIM($C718))&gt;0,LEN(TRIM(HP720))=0)</formula>
    </cfRule>
  </conditionalFormatting>
  <conditionalFormatting sqref="HR682:HU723">
    <cfRule type="expression" dxfId="569" priority="1278">
      <formula>AND(LEN(TRIM($HQ682))&gt;0,LEN(TRIM(HR682))=0)</formula>
    </cfRule>
  </conditionalFormatting>
  <conditionalFormatting sqref="HR724:HU916">
    <cfRule type="expression" dxfId="568" priority="341">
      <formula>AND(LEN(TRIM($HQ724))&gt;0,LEN(TRIM(HR724))=0)</formula>
    </cfRule>
  </conditionalFormatting>
  <conditionalFormatting sqref="HR918:HU922 HR924:HU931 HR933:HU938 HR940:HU945 HR947:HU952 HR954:HU959 HR961:HU966 HR968:HU973 HR975:HU980 HR982:HU984">
    <cfRule type="expression" dxfId="567" priority="255">
      <formula>AND(LEN(TRIM($HQ918))&gt;0,LEN(TRIM(HR918))=0)</formula>
    </cfRule>
  </conditionalFormatting>
  <conditionalFormatting sqref="HV682:HW723">
    <cfRule type="expression" dxfId="566" priority="1279">
      <formula>IF(AND(COUNTIF($BG682:$DY682,$HV682)=0,$HV682&lt;&gt;""),1,0)=1</formula>
    </cfRule>
  </conditionalFormatting>
  <conditionalFormatting sqref="HV724:HW898">
    <cfRule type="expression" dxfId="565" priority="725">
      <formula>IF(AND(COUNTIF($BG724:$DY724,$HV724)=0,$HV724&lt;&gt;""),1,0)=1</formula>
    </cfRule>
  </conditionalFormatting>
  <conditionalFormatting sqref="HW899:HW916">
    <cfRule type="expression" dxfId="564" priority="342">
      <formula>IF(AND(COUNTIF($BG899:$DY899,$HW899)=0,$HW899&lt;&gt;""),1,0)=1</formula>
    </cfRule>
  </conditionalFormatting>
  <conditionalFormatting sqref="HW918:HW922 HW924:HW931 HW933:HW938 HW940:HW945 HW947:HW952 HW954:HW959 HW961:HW966 HW968:HW973 HW975:HW980 HW982:HW984">
    <cfRule type="expression" dxfId="563" priority="256">
      <formula>IF(AND(COUNTIF($BG918:$DY918,$HW918)=0,$HW918&lt;&gt;""),1,0)=1</formula>
    </cfRule>
  </conditionalFormatting>
  <conditionalFormatting sqref="HX682:IA723">
    <cfRule type="expression" dxfId="562" priority="1280">
      <formula>AND(LEN(TRIM($HV682))&gt;0,LEN(TRIM(HX682))=0)</formula>
    </cfRule>
  </conditionalFormatting>
  <conditionalFormatting sqref="HX724:IA898">
    <cfRule type="expression" dxfId="561" priority="726">
      <formula>AND(LEN(TRIM($HV724))&gt;0,LEN(TRIM(HX724))=0)</formula>
    </cfRule>
  </conditionalFormatting>
  <conditionalFormatting sqref="HX899:IB916">
    <cfRule type="expression" dxfId="560" priority="343">
      <formula>AND(LEN(TRIM($HW899))&gt;0,LEN(TRIM(HX899))=0)</formula>
    </cfRule>
  </conditionalFormatting>
  <conditionalFormatting sqref="HX918:IB922 HX924:IB931 HX933:IB938 HX940:IB945 HX947:IB952 HX954:IB959 HX961:IB966 HX968:IB973 HX975:IB980 HX982:IB984">
    <cfRule type="expression" dxfId="559" priority="257">
      <formula>AND(LEN(TRIM($HW918))&gt;0,LEN(TRIM(HX918))=0)</formula>
    </cfRule>
  </conditionalFormatting>
  <conditionalFormatting sqref="IB899:IB916 ID899:IG916">
    <cfRule type="expression" dxfId="558" priority="345">
      <formula>AND(LEN(TRIM($IC899))&gt;0,LEN(TRIM(IB899))=0)</formula>
    </cfRule>
  </conditionalFormatting>
  <conditionalFormatting sqref="IB918:IB922 ID918:IG922 IB924:IB931 ID924:IG931 IB933:IB938 ID933:IG938 IB940:IB945 ID940:IG945 IB947:IB952 ID947:IG952 IB954:IB959 ID954:IG959 IB961:IB966 ID961:IG966 IB968:IB973 ID968:IG973 IB975:IB980 ID975:IG980 IB982:IB984 ID982:IG984">
    <cfRule type="expression" dxfId="557" priority="259">
      <formula>AND(LEN(TRIM($IC918))&gt;0,LEN(TRIM(IB918))=0)</formula>
    </cfRule>
  </conditionalFormatting>
  <conditionalFormatting sqref="IB682:IC723">
    <cfRule type="expression" dxfId="556" priority="1281">
      <formula>IF(AND(COUNTIF(#REF!,$IB682)=0,$IB682&lt;&gt;""),1,0)=1</formula>
    </cfRule>
  </conditionalFormatting>
  <conditionalFormatting sqref="IB724:IC898">
    <cfRule type="expression" dxfId="555" priority="727">
      <formula>IF(AND(COUNTIF(#REF!,$IB724)=0,$IB724&lt;&gt;""),1,0)=1</formula>
    </cfRule>
  </conditionalFormatting>
  <conditionalFormatting sqref="IC899:IC916">
    <cfRule type="expression" dxfId="554" priority="344">
      <formula>IF(AND(COUNTIF(#REF!,$IC899)=0,$IC899&lt;&gt;""),1,0)=1</formula>
    </cfRule>
  </conditionalFormatting>
  <conditionalFormatting sqref="IC918:IC922 IC924:IC931 IC933:IC938 IC940:IC945 IC947:IC952 IC954:IC959 IC961:IC966 IC968:IC973 IC975:IC980 IC982:IC984">
    <cfRule type="expression" dxfId="553" priority="258">
      <formula>IF(AND(COUNTIF(#REF!,$IC918)=0,$IC918&lt;&gt;""),1,0)=1</formula>
    </cfRule>
  </conditionalFormatting>
  <conditionalFormatting sqref="ID724:IG771 ID772:IH855 IH878:IH879 IH882 IO882 IH884 IO884 IH886 IO886 IH889:IH890 IH893 IO893 IH895 IO895 IH897 IO897 ID898:IH898">
    <cfRule type="expression" dxfId="552" priority="1056">
      <formula>AND(LEN(TRIM($IB724))&gt;0,LEN(TRIM(ID724))=0)</formula>
    </cfRule>
  </conditionalFormatting>
  <conditionalFormatting sqref="ID856:IG897">
    <cfRule type="expression" dxfId="551" priority="728">
      <formula>AND(LEN(TRIM($IB856))&gt;0,LEN(TRIM(ID856))=0)</formula>
    </cfRule>
  </conditionalFormatting>
  <conditionalFormatting sqref="ID682:II723">
    <cfRule type="expression" dxfId="550" priority="1282">
      <formula>AND(LEN(TRIM($IB682))&gt;0,LEN(TRIM(ID682))=0)</formula>
    </cfRule>
  </conditionalFormatting>
  <conditionalFormatting sqref="IH856:IH898">
    <cfRule type="expression" dxfId="549" priority="568">
      <formula>AND(LEN(TRIM(#REF!))&gt;0,LEN(TRIM(IH856))=0)</formula>
    </cfRule>
  </conditionalFormatting>
  <conditionalFormatting sqref="IH917:IH936">
    <cfRule type="expression" dxfId="548" priority="179">
      <formula>AND(LEN(TRIM(#REF!))&gt;0,LEN(TRIM(IH917))=0)</formula>
    </cfRule>
  </conditionalFormatting>
  <conditionalFormatting sqref="IH938:IH950">
    <cfRule type="expression" dxfId="547" priority="172">
      <formula>AND(LEN(TRIM(#REF!))&gt;0,LEN(TRIM(IH938))=0)</formula>
    </cfRule>
  </conditionalFormatting>
  <conditionalFormatting sqref="IH952:IH964">
    <cfRule type="expression" dxfId="546" priority="162">
      <formula>AND(LEN(TRIM(#REF!))&gt;0,LEN(TRIM(IH952))=0)</formula>
    </cfRule>
  </conditionalFormatting>
  <conditionalFormatting sqref="IH966:IH978">
    <cfRule type="expression" dxfId="545" priority="154">
      <formula>AND(LEN(TRIM(#REF!))&gt;0,LEN(TRIM(IH966))=0)</formula>
    </cfRule>
  </conditionalFormatting>
  <conditionalFormatting sqref="IH980:IH984">
    <cfRule type="expression" dxfId="544" priority="151">
      <formula>AND(LEN(TRIM(#REF!))&gt;0,LEN(TRIM(IH980))=0)</formula>
    </cfRule>
  </conditionalFormatting>
  <conditionalFormatting sqref="II724:II771">
    <cfRule type="expression" dxfId="543" priority="1609">
      <formula>AND(LEN(TRIM($IH724))&gt;0,LEN(TRIM(II724))=0)</formula>
    </cfRule>
  </conditionalFormatting>
  <conditionalFormatting sqref="II856:II916">
    <cfRule type="expression" dxfId="542" priority="64">
      <formula>AND(LEN(TRIM($IH856))&gt;0,LEN(TRIM(II856))=0)</formula>
    </cfRule>
  </conditionalFormatting>
  <conditionalFormatting sqref="II918:II922 II924:II931 II933:II938 II940:II945 II947:II952 II954:II959 II961:II966 II968:II973 II975:II980 II982:II984">
    <cfRule type="expression" dxfId="541" priority="260">
      <formula>AND(LEN(TRIM($IH918))&gt;0,LEN(TRIM(II918))=0)</formula>
    </cfRule>
  </conditionalFormatting>
  <conditionalFormatting sqref="IJ772:IJ855">
    <cfRule type="expression" dxfId="540" priority="850">
      <formula>AND(LEN(TRIM($II772))&gt;0,LEN(TRIM(IJ772))=0)</formula>
    </cfRule>
  </conditionalFormatting>
  <conditionalFormatting sqref="IJ878:IK879 IN882 IU882 LJ882 IJ889:IK890 IN893 IU893 LJ893">
    <cfRule type="expression" dxfId="539" priority="1937">
      <formula>AND(LEN(TRIM(#REF!))&gt;0,LEN(TRIM(IJ878))=0,$II878&lt;&gt;"Monoculture")</formula>
    </cfRule>
  </conditionalFormatting>
  <conditionalFormatting sqref="IJ921:IK921 IM921:IN921">
    <cfRule type="expression" dxfId="538" priority="292">
      <formula>AND(LEN(TRIM($IH922))&gt;0,LEN(TRIM(IJ921))=0,$II922&lt;&gt;"Monoculture")</formula>
    </cfRule>
  </conditionalFormatting>
  <conditionalFormatting sqref="IJ927:IK927 IM927:IN927">
    <cfRule type="expression" dxfId="537" priority="196">
      <formula>AND(LEN(TRIM($IH928))&gt;0,LEN(TRIM(IJ927))=0,$II928&lt;&gt;"Monoculture")</formula>
    </cfRule>
  </conditionalFormatting>
  <conditionalFormatting sqref="IJ931:IK931 IM931:IN931">
    <cfRule type="expression" dxfId="536" priority="180">
      <formula>AND(LEN(TRIM($IH929))&gt;0,LEN(TRIM(IJ931))=0,$II929&lt;&gt;"Monoculture")</formula>
    </cfRule>
  </conditionalFormatting>
  <conditionalFormatting sqref="IJ938:IK938 IM938:IN938">
    <cfRule type="expression" dxfId="535" priority="177">
      <formula>AND(LEN(TRIM($IH936))&gt;0,LEN(TRIM(IJ938))=0,$II936&lt;&gt;"Monoculture")</formula>
    </cfRule>
  </conditionalFormatting>
  <conditionalFormatting sqref="IJ945:IK945 IM945:IN945">
    <cfRule type="expression" dxfId="534" priority="173">
      <formula>AND(LEN(TRIM($IH943))&gt;0,LEN(TRIM(IJ945))=0,$II943&lt;&gt;"Monoculture")</formula>
    </cfRule>
  </conditionalFormatting>
  <conditionalFormatting sqref="IJ952:IK952 IM952:IN952">
    <cfRule type="expression" dxfId="533" priority="170">
      <formula>AND(LEN(TRIM($IH950))&gt;0,LEN(TRIM(IJ952))=0,$II950&lt;&gt;"Monoculture")</formula>
    </cfRule>
  </conditionalFormatting>
  <conditionalFormatting sqref="IJ959:IK959 IM959:IN959">
    <cfRule type="expression" dxfId="532" priority="163">
      <formula>AND(LEN(TRIM($IH957))&gt;0,LEN(TRIM(IJ959))=0,$II957&lt;&gt;"Monoculture")</formula>
    </cfRule>
  </conditionalFormatting>
  <conditionalFormatting sqref="IJ966:IK966 IM966:IN966">
    <cfRule type="expression" dxfId="531" priority="160">
      <formula>AND(LEN(TRIM($IH964))&gt;0,LEN(TRIM(IJ966))=0,$II964&lt;&gt;"Monoculture")</formula>
    </cfRule>
  </conditionalFormatting>
  <conditionalFormatting sqref="IJ973:IK973 IM973:IN973">
    <cfRule type="expression" dxfId="530" priority="155">
      <formula>AND(LEN(TRIM($IH971))&gt;0,LEN(TRIM(IJ973))=0,$II971&lt;&gt;"Monoculture")</formula>
    </cfRule>
  </conditionalFormatting>
  <conditionalFormatting sqref="IJ980:IK980 IM980:IN980">
    <cfRule type="expression" dxfId="529" priority="152">
      <formula>AND(LEN(TRIM($IH978))&gt;0,LEN(TRIM(IJ980))=0,$II978&lt;&gt;"Monoculture")</formula>
    </cfRule>
  </conditionalFormatting>
  <conditionalFormatting sqref="IJ724:IN771 IJ856:IN876 IU856:IU881 IJ877:IL877 IN877:IN881 LJ877:LJ881 IL878:IL887 IJ880:IK887 IN883:IN892 IU883:IU892 LJ883:LJ892 IJ888:IL888 IL889:IL898 IJ891:IK898 IN894:IN898 IU894:IU898 LJ894:LJ898">
    <cfRule type="expression" dxfId="528" priority="1610">
      <formula>AND(LEN(TRIM($IH724))&gt;0,LEN(TRIM(IJ724))=0,$II724&lt;&gt;"Monoculture")</formula>
    </cfRule>
  </conditionalFormatting>
  <conditionalFormatting sqref="IJ899:IN916">
    <cfRule type="expression" dxfId="527" priority="347">
      <formula>AND(LEN(TRIM($IH899))&gt;0,LEN(TRIM(IJ899))=0,$II899&lt;&gt;"Monoculture")</formula>
    </cfRule>
  </conditionalFormatting>
  <conditionalFormatting sqref="IK682:IK723">
    <cfRule type="expression" dxfId="526" priority="1283">
      <formula>AND(LEN(TRIM($IJ682))&gt;0,LEN(TRIM(IK682))=0)</formula>
    </cfRule>
  </conditionalFormatting>
  <conditionalFormatting sqref="IK772:IN795 IK796:IO855">
    <cfRule type="expression" dxfId="525" priority="851">
      <formula>AND(LEN(TRIM($II772))&gt;0,LEN(TRIM(IK772))=0,$IJ772&lt;&gt;"Monoculture")</formula>
    </cfRule>
  </conditionalFormatting>
  <conditionalFormatting sqref="IL682:IN723">
    <cfRule type="expression" dxfId="524" priority="1284">
      <formula>AND(LEN(TRIM($IJ682))&gt;0,LEN(TRIM(IL682))=0,$IK682&lt;&gt;"Monoculture")</formula>
    </cfRule>
  </conditionalFormatting>
  <conditionalFormatting sqref="IM877:IM898">
    <cfRule type="expression" dxfId="523" priority="489">
      <formula>AND(LEN(TRIM(#REF!))&gt;0,LEN(TRIM(IM877))=0)</formula>
    </cfRule>
  </conditionalFormatting>
  <conditionalFormatting sqref="IN917 IJ918:IN920 IL921 IJ922:IN922 IN923 IJ924:IN926 IL927 IJ928:IN930 IL931 IN932 IJ933:IN937 IL938 IN939 IJ940:IN944 IL945 IN946 IJ947:IN951 IL952 IN953 IJ954:IN958 IL959 IN960 IJ961:IN965 IL966 IN967 IJ968:IN972 IL973 IN974 IJ975:IN979 IL980 IN981 IJ982:IN984">
    <cfRule type="expression" dxfId="522" priority="261">
      <formula>AND(LEN(TRIM($IH917))&gt;0,LEN(TRIM(IJ917))=0,$II917&lt;&gt;"Monoculture")</formula>
    </cfRule>
  </conditionalFormatting>
  <conditionalFormatting sqref="IO682:IO723">
    <cfRule type="expression" dxfId="521" priority="1207">
      <formula>AND(LEN(TRIM(#REF!))&gt;0,LEN(TRIM(IO682))=0)</formula>
    </cfRule>
  </conditionalFormatting>
  <conditionalFormatting sqref="IO878:IO879">
    <cfRule type="expression" dxfId="520" priority="533">
      <formula>AND(LEN(TRIM($IB878))&gt;0,LEN(TRIM(IO878))=0)</formula>
    </cfRule>
  </conditionalFormatting>
  <conditionalFormatting sqref="IO889:IO890">
    <cfRule type="expression" dxfId="519" priority="490">
      <formula>AND(LEN(TRIM($IB889))&gt;0,LEN(TRIM(IO889))=0)</formula>
    </cfRule>
  </conditionalFormatting>
  <conditionalFormatting sqref="IP682:IP723 IS682:IU723">
    <cfRule type="expression" dxfId="518" priority="1533">
      <formula>AND(LEN(TRIM($IO682))&gt;0,LEN(TRIM(IP682))=0,$IP682&lt;&gt;"Monoculture",$IQ682&lt;&gt;"Monoculture",$IR682&lt;&gt;"Monoculture")</formula>
    </cfRule>
  </conditionalFormatting>
  <conditionalFormatting sqref="IP772:IP876 IT856:IT876 IS888:IT898 IP888:IP916 IS899:IU916">
    <cfRule type="expression" dxfId="517" priority="348">
      <formula>AND(LEN(TRIM($IO772))&gt;0,LEN(TRIM(IP772))=0,$IP772&lt;&gt;"Monoculture",$IQ772&lt;&gt;"Monoculture",$IR772&lt;&gt;"Monoculture")</formula>
    </cfRule>
  </conditionalFormatting>
  <conditionalFormatting sqref="IP918:IP922 IS918:IU922 IP924:IP931 IS924:IU931 IP933:IP938 IS933:IU938 IP940:IP945 IS940:IU945 IP947:IP952 IS947:IU952 IP954:IP959 IS954:IU959 IP961:IP966 IS961:IU966 IP968:IP973 IS968:IU973 IP975:IP980 IS975:IU980 IP982:IP984 IS982:IU984">
    <cfRule type="expression" dxfId="516" priority="262">
      <formula>AND(LEN(TRIM($IO918))&gt;0,LEN(TRIM(IP918))=0,$IP918&lt;&gt;"Monoculture",$IQ918&lt;&gt;"Monoculture",$IR918&lt;&gt;"Monoculture")</formula>
    </cfRule>
  </conditionalFormatting>
  <conditionalFormatting sqref="IR724:IR771 IU724:IW771">
    <cfRule type="expression" dxfId="515" priority="1059">
      <formula>AND(LEN(TRIM($IQ724))&gt;0,LEN(TRIM(IR724))=0,$IR724&lt;&gt;"Monoculture",$IS724&lt;&gt;"Monoculture",$IT724&lt;&gt;"Monoculture")</formula>
    </cfRule>
  </conditionalFormatting>
  <conditionalFormatting sqref="IS856:IS876 IP877:IP887 IS877:IT887">
    <cfRule type="expression" dxfId="514" priority="1967">
      <formula>AND(LEN(TRIM($IO856))&gt;0,LEN(TRIM(IP856))=0,$IP856&lt;&gt;"Monoculture",$IQ856&lt;&gt;"Monoculture",#REF!&lt;&gt;"Monoculture")</formula>
    </cfRule>
  </conditionalFormatting>
  <conditionalFormatting sqref="IS772:IU855">
    <cfRule type="expression" dxfId="513" priority="1615">
      <formula>AND(LEN(TRIM($IO772))&gt;0,LEN(TRIM(IS772))=0,$IP772&lt;&gt;"Monoculture",$IQ772&lt;&gt;"Monoculture",$IR772&lt;&gt;"Monoculture")</formula>
    </cfRule>
  </conditionalFormatting>
  <conditionalFormatting sqref="IW523">
    <cfRule type="expression" dxfId="512" priority="96">
      <formula>AND(LEN(TRIM($IV523))&gt;0,LEN(TRIM(IW523))=0)</formula>
    </cfRule>
  </conditionalFormatting>
  <conditionalFormatting sqref="IW525">
    <cfRule type="expression" dxfId="511" priority="95">
      <formula>AND(LEN(TRIM($IV525))&gt;0,LEN(TRIM(IW525))=0)</formula>
    </cfRule>
  </conditionalFormatting>
  <conditionalFormatting sqref="IW527">
    <cfRule type="expression" dxfId="510" priority="94">
      <formula>AND(LEN(TRIM($IV527))&gt;0,LEN(TRIM(IW527))=0)</formula>
    </cfRule>
  </conditionalFormatting>
  <conditionalFormatting sqref="IW529">
    <cfRule type="expression" dxfId="509" priority="93">
      <formula>AND(LEN(TRIM($IV529))&gt;0,LEN(TRIM(IW529))=0)</formula>
    </cfRule>
  </conditionalFormatting>
  <conditionalFormatting sqref="IW918:IY922 IW924:IY931 IW933:IY938 IW940:IY945 IW947:IY952 IW954:IY959 IW961:IY966 IW968:IY973 IW975:IY980 IW982:IY984">
    <cfRule type="expression" dxfId="508" priority="263">
      <formula>AND(LEN(TRIM($IV918))&gt;0,LEN(TRIM(IW918))=0)</formula>
    </cfRule>
  </conditionalFormatting>
  <conditionalFormatting sqref="IW856:IZ898 IW899:IY916">
    <cfRule type="expression" dxfId="507" priority="1837">
      <formula>AND(LEN(TRIM($IV856))&gt;0,LEN(TRIM(IW856))=0)</formula>
    </cfRule>
  </conditionalFormatting>
  <conditionalFormatting sqref="IX657:IX659">
    <cfRule type="expression" dxfId="506" priority="19">
      <formula>AND(LEN(TRIM($IV657))&gt;0,LEN(TRIM(IX657))=0)</formula>
    </cfRule>
  </conditionalFormatting>
  <conditionalFormatting sqref="IX662:IX664">
    <cfRule type="expression" dxfId="505" priority="17">
      <formula>AND(LEN(TRIM($IV662))&gt;0,LEN(TRIM(IX662))=0)</formula>
    </cfRule>
  </conditionalFormatting>
  <conditionalFormatting sqref="IX667:IX669">
    <cfRule type="expression" dxfId="504" priority="15">
      <formula>AND(LEN(TRIM($IV667))&gt;0,LEN(TRIM(IX667))=0)</formula>
    </cfRule>
  </conditionalFormatting>
  <conditionalFormatting sqref="IX672:IX674">
    <cfRule type="expression" dxfId="503" priority="13">
      <formula>AND(LEN(TRIM($IV672))&gt;0,LEN(TRIM(IX672))=0)</formula>
    </cfRule>
  </conditionalFormatting>
  <conditionalFormatting sqref="IX677:IX679">
    <cfRule type="expression" dxfId="502" priority="11">
      <formula>AND(LEN(TRIM($IV677))&gt;0,LEN(TRIM(IX677))=0)</formula>
    </cfRule>
  </conditionalFormatting>
  <conditionalFormatting sqref="IX772:JA855">
    <cfRule type="expression" dxfId="501" priority="853">
      <formula>AND(LEN(TRIM($IW772))&gt;0,LEN(TRIM(IX772))=0)</formula>
    </cfRule>
  </conditionalFormatting>
  <conditionalFormatting sqref="IY682:JB723">
    <cfRule type="expression" dxfId="500" priority="1286">
      <formula>AND(LEN(TRIM($IX682))&gt;0,LEN(TRIM(IY682))=0)</formula>
    </cfRule>
  </conditionalFormatting>
  <conditionalFormatting sqref="IY724:JB771">
    <cfRule type="expression" dxfId="499" priority="1060">
      <formula>AND(LEN(TRIM($IX724))&gt;0,LEN(TRIM(IY724))=0)</formula>
    </cfRule>
  </conditionalFormatting>
  <conditionalFormatting sqref="JA899:JA916">
    <cfRule type="expression" dxfId="498" priority="2361">
      <formula>AND(OR($JA899&gt;100, $JA899&lt;0), JA899&lt;&gt;"Unspecified")</formula>
    </cfRule>
  </conditionalFormatting>
  <conditionalFormatting sqref="JA918:JA922 JA924:JA931 JA933:JA938 JA940:JA945 JA947:JA952 JA954:JA959 JA961:JA966 JA968:JA973 JA975:JA980 JA982:JA984">
    <cfRule type="expression" dxfId="497" priority="264">
      <formula>AND(OR($JA918&gt;100, $JA918&lt;0), JA918&lt;&gt;"Unspecified")</formula>
    </cfRule>
  </conditionalFormatting>
  <conditionalFormatting sqref="JA899:JI899">
    <cfRule type="expression" dxfId="496" priority="379">
      <formula>AND(LEN(TRIM(#REF!))&gt;0,LEN(TRIM(JA899))=0)</formula>
    </cfRule>
  </conditionalFormatting>
  <conditionalFormatting sqref="JA900:JI916">
    <cfRule type="expression" dxfId="495" priority="2315">
      <formula>AND(LEN(TRIM($IY900))&gt;0,LEN(TRIM(JA900))=0)</formula>
    </cfRule>
  </conditionalFormatting>
  <conditionalFormatting sqref="JA918:JI922 JA924:JI931 JA933:JI938 JA940:JI945 JA947:JI952 JA954:JI959 JA961:JI966 JA968:JI973 JA975:JI980 JA982:JI984">
    <cfRule type="expression" dxfId="494" priority="265">
      <formula>AND(LEN(TRIM($IY918))&gt;0,LEN(TRIM(JA918))=0)</formula>
    </cfRule>
  </conditionalFormatting>
  <conditionalFormatting sqref="JB856:JB898">
    <cfRule type="expression" dxfId="493" priority="1839">
      <formula>AND(OR($JB856&gt;100, $JB856&lt;0), JB856&lt;&gt;"Unspecified")</formula>
    </cfRule>
  </conditionalFormatting>
  <conditionalFormatting sqref="JB899:JB916">
    <cfRule type="expression" dxfId="492" priority="2362">
      <formula>AND(OR($JB899&gt;100, $JB899&lt;0), JC899&lt;&gt;"Unspecified")</formula>
    </cfRule>
  </conditionalFormatting>
  <conditionalFormatting sqref="JB918:JB922 JB924:JB931 JB933:JB938 JB940:JB945 JB947:JB952 JB954:JB959 JB961:JB966 JB968:JB973 JB975:JB980 JB982:JB984">
    <cfRule type="expression" dxfId="491" priority="266">
      <formula>AND(OR($JB918&gt;100, $JB918&lt;0), JC918&lt;&gt;"Unspecified")</formula>
    </cfRule>
  </conditionalFormatting>
  <conditionalFormatting sqref="JB856:JJ898">
    <cfRule type="expression" dxfId="490" priority="1841">
      <formula>AND(LEN(TRIM($IZ856))&gt;0,LEN(TRIM(JB856))=0)</formula>
    </cfRule>
  </conditionalFormatting>
  <conditionalFormatting sqref="JC772:JC855">
    <cfRule type="expression" dxfId="489" priority="854">
      <formula>AND(OR($JC772&gt;100, $JC772&lt;0), JC772&lt;&gt;"Unspecified")</formula>
    </cfRule>
  </conditionalFormatting>
  <conditionalFormatting sqref="JC856:JC898">
    <cfRule type="expression" dxfId="488" priority="1843">
      <formula>AND(OR($JC856&gt;100, $JC856&lt;0), JD856&lt;&gt;"Unspecified")</formula>
    </cfRule>
  </conditionalFormatting>
  <conditionalFormatting sqref="JC899:JC916">
    <cfRule type="expression" dxfId="487" priority="2363">
      <formula>AND(OR($JC899&gt;100, $JC899&lt;$JB899), $JC899&lt;&gt;"Unspecified")</formula>
    </cfRule>
  </conditionalFormatting>
  <conditionalFormatting sqref="JC918:JC922 JC924:JC931 JC933:JC938 JC940:JC945 JC947:JC952 JC954:JC959 JC961:JC966 JC968:JC973 JC975:JC980 JC982:JC984">
    <cfRule type="expression" dxfId="486" priority="267">
      <formula>AND(OR($JC918&gt;100, $JC918&lt;$JB918), $JC918&lt;&gt;"Unspecified")</formula>
    </cfRule>
  </conditionalFormatting>
  <conditionalFormatting sqref="JC772:JJ775 JC776:JK783 JC784:JJ787 JC788:JK795 JC796:JJ799 JC800:JK807 JC808:JJ811 JC812:JK819 JC820:JJ823 JC824:JK831 JC832:JJ835 JC836:JK843 JC844:JJ847 JC848:JK855">
    <cfRule type="expression" dxfId="485" priority="855">
      <formula>AND(LEN(TRIM($JA772))&gt;0,LEN(TRIM(JC772))=0)</formula>
    </cfRule>
  </conditionalFormatting>
  <conditionalFormatting sqref="JD682:JD723">
    <cfRule type="expression" dxfId="484" priority="1287">
      <formula>AND(OR($JD682&gt;100, $JD682&lt;0), JD682&lt;&gt;"Unspecified")</formula>
    </cfRule>
  </conditionalFormatting>
  <conditionalFormatting sqref="JD724:JD771">
    <cfRule type="expression" dxfId="483" priority="1061">
      <formula>AND(OR($JD724&gt;100, $JD724&lt;0), JD724&lt;&gt;"Unspecified")</formula>
    </cfRule>
  </conditionalFormatting>
  <conditionalFormatting sqref="JD772:JD855">
    <cfRule type="expression" dxfId="482" priority="856">
      <formula>AND(OR($JD772&gt;100, $JD772&lt;0), JE772&lt;&gt;"Unspecified")</formula>
    </cfRule>
  </conditionalFormatting>
  <conditionalFormatting sqref="JD856:JD898">
    <cfRule type="expression" dxfId="481" priority="1845">
      <formula>AND(OR($JD856&gt;100, $JD856&lt;$JC856), $JD856&lt;&gt;"Unspecified")</formula>
    </cfRule>
  </conditionalFormatting>
  <conditionalFormatting sqref="JD899:JD916">
    <cfRule type="expression" dxfId="480" priority="2364">
      <formula>AND($JD899&lt;0, $JD899&lt;&gt;"Unspecified")</formula>
    </cfRule>
  </conditionalFormatting>
  <conditionalFormatting sqref="JD918:JD922 JD924:JD931 JD933:JD938 JD940:JD945 JD947:JD952 JD954:JD959 JD961:JD966 JD968:JD973 JD975:JD980 JD982:JD984">
    <cfRule type="expression" dxfId="479" priority="268">
      <formula>AND($JD918&lt;0, $JD918&lt;&gt;"Unspecified")</formula>
    </cfRule>
  </conditionalFormatting>
  <conditionalFormatting sqref="JD682:JJ723">
    <cfRule type="expression" dxfId="478" priority="1288">
      <formula>AND(LEN(TRIM($JB682))&gt;0,LEN(TRIM(JD682))=0)</formula>
    </cfRule>
  </conditionalFormatting>
  <conditionalFormatting sqref="JD724:JK771">
    <cfRule type="expression" dxfId="477" priority="1062">
      <formula>AND(LEN(TRIM($JB724))&gt;0,LEN(TRIM(JD724))=0)</formula>
    </cfRule>
  </conditionalFormatting>
  <conditionalFormatting sqref="JE682:JE723">
    <cfRule type="expression" dxfId="476" priority="1289">
      <formula>AND(OR($JE682&gt;100, $JE682&lt;0), JF682&lt;&gt;"Unspecified")</formula>
    </cfRule>
  </conditionalFormatting>
  <conditionalFormatting sqref="JE724:JE771">
    <cfRule type="expression" dxfId="475" priority="1063">
      <formula>AND(OR($JE724&gt;100, $JE724&lt;0), JF724&lt;&gt;"Unspecified")</formula>
    </cfRule>
  </conditionalFormatting>
  <conditionalFormatting sqref="JE772:JE855">
    <cfRule type="expression" dxfId="474" priority="857">
      <formula>AND(OR($JE772&gt;100, $JE772&lt;$JD772), $JE772&lt;&gt;"Unspecified")</formula>
    </cfRule>
  </conditionalFormatting>
  <conditionalFormatting sqref="JE856:JE916">
    <cfRule type="expression" dxfId="473" priority="1847">
      <formula>AND($JE856&lt;0, $JE856&lt;&gt;"Unspecified")</formula>
    </cfRule>
  </conditionalFormatting>
  <conditionalFormatting sqref="JE918:JE922 JE924:JE931 JE933:JE938 JE940:JE945 JE947:JE952 JE954:JE959 JE961:JE966 JE968:JE973 JE975:JE980 JE982:JE984">
    <cfRule type="expression" dxfId="472" priority="269">
      <formula>AND($JE918&lt;0, $JE918&lt;&gt;"Unspecified")</formula>
    </cfRule>
  </conditionalFormatting>
  <conditionalFormatting sqref="JF682:JF723">
    <cfRule type="expression" dxfId="471" priority="1290">
      <formula>AND(OR($JF682&gt;100, $JF682&lt;$JE682), $JF682&lt;&gt;"Unspecified")</formula>
    </cfRule>
  </conditionalFormatting>
  <conditionalFormatting sqref="JF724:JF771">
    <cfRule type="expression" dxfId="470" priority="1064">
      <formula>AND(OR($JF724&gt;100, $JF724&lt;$JE724), $JF724&lt;&gt;"Unspecified")</formula>
    </cfRule>
  </conditionalFormatting>
  <conditionalFormatting sqref="JF772:JF898">
    <cfRule type="expression" dxfId="469" priority="858">
      <formula>AND($JF772&lt;0, $JF772&lt;&gt;"Unspecified")</formula>
    </cfRule>
  </conditionalFormatting>
  <conditionalFormatting sqref="JF899:JF916">
    <cfRule type="expression" dxfId="468" priority="2366">
      <formula>AND($JF899&lt;$JE899, $JF899&lt;&gt;"Unspecified")</formula>
    </cfRule>
  </conditionalFormatting>
  <conditionalFormatting sqref="JF918:JF922 JF924:JF931 JF933:JF938 JF940:JF945 JF947:JF952 JF954:JF959 JF961:JF966 JF968:JF973 JF975:JF980 JF982:JF984">
    <cfRule type="expression" dxfId="467" priority="270">
      <formula>AND($JF918&lt;$JE918, $JF918&lt;&gt;"Unspecified")</formula>
    </cfRule>
  </conditionalFormatting>
  <conditionalFormatting sqref="JG682:JG723">
    <cfRule type="expression" dxfId="466" priority="1291">
      <formula>AND($JG682&lt;0, $JG682&lt;&gt;"Unspecified")</formula>
    </cfRule>
  </conditionalFormatting>
  <conditionalFormatting sqref="JG724:JG855 JG899:JG916">
    <cfRule type="expression" dxfId="465" priority="1065">
      <formula>AND($JG724&lt;0, $JG724&lt;&gt;"Unspecified")</formula>
    </cfRule>
  </conditionalFormatting>
  <conditionalFormatting sqref="JG856:JG898">
    <cfRule type="expression" dxfId="464" priority="1851">
      <formula>AND($JG856&lt;$JF856, $JG856&lt;&gt;"Unspecified")</formula>
    </cfRule>
  </conditionalFormatting>
  <conditionalFormatting sqref="JG918:JG922 JG924:JG931 JG933:JG938 JG940:JG945 JG947:JG952 JG954:JG959 JG961:JG966 JG968:JG973 JG975:JG980 JG982:JG984">
    <cfRule type="expression" dxfId="463" priority="271">
      <formula>AND($JG918&lt;0, $JG918&lt;&gt;"Unspecified")</formula>
    </cfRule>
  </conditionalFormatting>
  <conditionalFormatting sqref="JH682:JH723">
    <cfRule type="expression" dxfId="462" priority="1292">
      <formula>AND($JH682&lt;0, $JH682&lt;&gt;"Unspecified")</formula>
    </cfRule>
  </conditionalFormatting>
  <conditionalFormatting sqref="JH724:JH771 JH856:JH916">
    <cfRule type="expression" dxfId="461" priority="1066">
      <formula>AND($JH724&lt;0, $JH724&lt;&gt;"Unspecified")</formula>
    </cfRule>
  </conditionalFormatting>
  <conditionalFormatting sqref="JH772:JH855">
    <cfRule type="expression" dxfId="460" priority="860">
      <formula>AND($JH772&lt;$JG772, $JH772&lt;&gt;"Unspecified")</formula>
    </cfRule>
  </conditionalFormatting>
  <conditionalFormatting sqref="JH918:JH922 JH924:JH931 JH933:JH938 JH940:JH945 JH947:JH952 JH954:JH959 JH961:JH966 JH968:JH973 JH975:JH980 JH982:JH984">
    <cfRule type="expression" dxfId="459" priority="272">
      <formula>AND($JH918&lt;0, $JH918&lt;&gt;"Unspecified")</formula>
    </cfRule>
  </conditionalFormatting>
  <conditionalFormatting sqref="JI682:JI723">
    <cfRule type="expression" dxfId="458" priority="1293">
      <formula>AND($JI682&lt;$JH682, $JI682&lt;&gt;"Unspecified")</formula>
    </cfRule>
  </conditionalFormatting>
  <conditionalFormatting sqref="JI724:JI771 JI899:JI916">
    <cfRule type="expression" dxfId="457" priority="1067">
      <formula>AND($JI724&lt;$JH724, $JI724&lt;&gt;"Unspecified")</formula>
    </cfRule>
  </conditionalFormatting>
  <conditionalFormatting sqref="JI772:JI898">
    <cfRule type="expression" dxfId="456" priority="861">
      <formula>AND($JI772&lt;0, $JI772&lt;&gt;"Unspecified")</formula>
    </cfRule>
  </conditionalFormatting>
  <conditionalFormatting sqref="JI918:JI922 JI924:JI931 JI933:JI938 JI940:JI945 JI947:JI952 JI954:JI959 JI961:JI966 JI968:JI973 JI975:JI980 JI982:JI984">
    <cfRule type="expression" dxfId="455" priority="273">
      <formula>AND($JI918&lt;$JH918, $JI918&lt;&gt;"Unspecified")</formula>
    </cfRule>
  </conditionalFormatting>
  <conditionalFormatting sqref="JJ682:JJ723">
    <cfRule type="expression" dxfId="454" priority="1577">
      <formula>AND($JJ682&lt;#REF!, $JJ682&lt;&gt;"Unspecified")</formula>
    </cfRule>
  </conditionalFormatting>
  <conditionalFormatting sqref="JJ724:JJ855">
    <cfRule type="expression" dxfId="453" priority="1068">
      <formula>AND($JJ724&lt;0, $JJ724&lt;&gt;"Unspecified")</formula>
    </cfRule>
  </conditionalFormatting>
  <conditionalFormatting sqref="JJ856:JJ898">
    <cfRule type="expression" dxfId="452" priority="1857">
      <formula>AND($JJ856&lt;$JI856, $JJ856&lt;&gt;"Unspecified")</formula>
    </cfRule>
  </conditionalFormatting>
  <conditionalFormatting sqref="JK682:JK723">
    <cfRule type="expression" dxfId="451" priority="1537">
      <formula>AND(LEN(TRIM($JJ682))&gt;0,LEN(TRIM(JK682))=0)</formula>
    </cfRule>
  </conditionalFormatting>
  <conditionalFormatting sqref="JK724:JK771">
    <cfRule type="expression" dxfId="450" priority="1069">
      <formula>AND($JK724&lt;0, $JK724&lt;&gt;"Unspecified")</formula>
    </cfRule>
  </conditionalFormatting>
  <conditionalFormatting sqref="JK772:JK775 JK784:JK787 JK796:JK799 JK808:JK811 JK820:JK823 JK832:JK835 JK844:JK847">
    <cfRule type="expression" dxfId="449" priority="7">
      <formula>AND(LEN(TRIM($JJ772))&gt;0,LEN(TRIM(JK772))=0)</formula>
    </cfRule>
  </conditionalFormatting>
  <conditionalFormatting sqref="JK776:JK783 JK788:JK795 JK800:JK807 JK812:JK819 JK824:JK831 JK836:JK843 JK848:JK855">
    <cfRule type="expression" dxfId="448" priority="863">
      <formula>AND($JK776&lt;$JJ776, $JK776&lt;&gt;"Unspecified")</formula>
    </cfRule>
  </conditionalFormatting>
  <conditionalFormatting sqref="JK856:JK898">
    <cfRule type="expression" dxfId="447" priority="1859">
      <formula>AND(LEN(TRIM(#REF!))&gt;0,LEN(TRIM(JK856))=0)</formula>
    </cfRule>
  </conditionalFormatting>
  <conditionalFormatting sqref="JK899:JK916">
    <cfRule type="expression" dxfId="446" priority="2370">
      <formula>AND(LEN(TRIM($JJ899))&gt;0,LEN(TRIM(JK899))=0)</formula>
    </cfRule>
  </conditionalFormatting>
  <conditionalFormatting sqref="JK918:JK922 JK924:JK984">
    <cfRule type="expression" dxfId="445" priority="274">
      <formula>AND(LEN(TRIM($JJ918))&gt;0,LEN(TRIM(JK918))=0)</formula>
    </cfRule>
  </conditionalFormatting>
  <conditionalFormatting sqref="JM221:JM222 JM239:JM240 JM245:JM246 JM251:JM252 JM227:JM229 JM232:JM234">
    <cfRule type="duplicateValues" dxfId="444" priority="1471"/>
  </conditionalFormatting>
  <conditionalFormatting sqref="JM257:JM258 JM263:JM265 JM268:JM270">
    <cfRule type="duplicateValues" dxfId="443" priority="1465"/>
  </conditionalFormatting>
  <conditionalFormatting sqref="JM281:JM282">
    <cfRule type="duplicateValues" dxfId="442" priority="482"/>
  </conditionalFormatting>
  <conditionalFormatting sqref="JM298:JM300 JM287:JM289 JM275:JM276 JM292:JM295">
    <cfRule type="duplicateValues" dxfId="441" priority="2074"/>
  </conditionalFormatting>
  <conditionalFormatting sqref="JM305:JM306">
    <cfRule type="duplicateValues" dxfId="440" priority="480"/>
  </conditionalFormatting>
  <conditionalFormatting sqref="JM773 JM785 JM797 JM809 JM821 JM833 JM845">
    <cfRule type="expression" dxfId="439" priority="8">
      <formula>AND(LEN(TRIM($JL773))&gt;0,LEN(TRIM(JM773))=0)</formula>
    </cfRule>
  </conditionalFormatting>
  <conditionalFormatting sqref="JM724:JO771 JR724:JX771 JM772:JU772 JN773:JU773 JM774:JU779 JM780:JQ783 JS780:JU783 JM784:JU784 JN785:JU785 JM786:JU791 JM792:JQ795 JS792:JU795 JM796:JU796 JN797:JU797 JM798:JU803 JM804:JQ807 JS804:JU807 JM808:JU808 JN809:JU809 JM810:JU815 JM816:JQ819 JS816:JU819 JM820:JU820 JN821:JU821 JM822:JU827 JM828:JQ831 JS828:JU831 JM832:JU832 JN833:JU833 JM834:JU839 JM840:JQ843 JS840:JU843 JM844:JU844 JN845:JU845 JM846:JU851 JM852:JQ855 JS852:JU855 JM856:JU916">
    <cfRule type="expression" dxfId="438" priority="1611">
      <formula>AND(LEN(TRIM($JL724))&gt;0,LEN(TRIM(JM724))=0)</formula>
    </cfRule>
  </conditionalFormatting>
  <conditionalFormatting sqref="JM682:JU723">
    <cfRule type="expression" dxfId="437" priority="1538">
      <formula>AND(LEN(TRIM($JL682))&gt;0,LEN(TRIM(JM682))=0)</formula>
    </cfRule>
  </conditionalFormatting>
  <conditionalFormatting sqref="JN917:JN921 JP917:JP984 JM918:JM921 JO918:JO921 JQ918:JU922 JM922:JO922 JN923:JN936 JM924:JM931 JO924:JO931 JQ924:JU931 JM933:JM936 JO933:JO936 JQ933:JU938 JM937:JO937 JM938 JO938 JN938:JN950 JM940:JM945 JO940:JO945 JQ940:JU945 JM947:JM950 JO947:JO950 JQ947:JU952 JM951:JO951 JM952 JO952 JN952:JN964 JM954:JM959 JO954:JO959 JQ954:JU959 JM961:JM964 JO961:JO964 JQ961:JU966 JM965:JO965 JM966 JO966 JN966:JN978 JM968:JM973 JO968:JO973 JQ968:JU973 JM975:JM978 JO975:JO978 JQ975:JU980 JM979:JO979 JM980 JO980 JN980:JN984 JM982:JM984 JO982:JO984 JQ982:JU984">
    <cfRule type="expression" dxfId="436" priority="275">
      <formula>AND(LEN(TRIM($JL917))&gt;0,LEN(TRIM(JM917))=0)</formula>
    </cfRule>
  </conditionalFormatting>
  <conditionalFormatting sqref="JW374:JW375">
    <cfRule type="duplicateValues" dxfId="435" priority="1455"/>
  </conditionalFormatting>
  <conditionalFormatting sqref="JW376:JW377">
    <cfRule type="duplicateValues" dxfId="434" priority="1499"/>
  </conditionalFormatting>
  <conditionalFormatting sqref="JW378:JW379">
    <cfRule type="duplicateValues" dxfId="433" priority="1453"/>
  </conditionalFormatting>
  <conditionalFormatting sqref="JW383:JW384">
    <cfRule type="duplicateValues" dxfId="432" priority="1439"/>
  </conditionalFormatting>
  <conditionalFormatting sqref="JW385:JW386">
    <cfRule type="duplicateValues" dxfId="431" priority="1440"/>
  </conditionalFormatting>
  <conditionalFormatting sqref="JW387:JW388">
    <cfRule type="duplicateValues" dxfId="430" priority="1438"/>
  </conditionalFormatting>
  <conditionalFormatting sqref="JW392:JW393">
    <cfRule type="duplicateValues" dxfId="429" priority="1424"/>
  </conditionalFormatting>
  <conditionalFormatting sqref="JW394:JW395">
    <cfRule type="duplicateValues" dxfId="428" priority="1425"/>
  </conditionalFormatting>
  <conditionalFormatting sqref="JW396:JW397">
    <cfRule type="duplicateValues" dxfId="427" priority="1423"/>
  </conditionalFormatting>
  <conditionalFormatting sqref="JW401:JW402">
    <cfRule type="duplicateValues" dxfId="426" priority="1415"/>
  </conditionalFormatting>
  <conditionalFormatting sqref="JW403:JW404">
    <cfRule type="duplicateValues" dxfId="425" priority="1416"/>
  </conditionalFormatting>
  <conditionalFormatting sqref="JW405:JW406">
    <cfRule type="duplicateValues" dxfId="424" priority="1414"/>
  </conditionalFormatting>
  <conditionalFormatting sqref="JW408:JW409">
    <cfRule type="duplicateValues" dxfId="423" priority="1404"/>
  </conditionalFormatting>
  <conditionalFormatting sqref="JW411:JW412">
    <cfRule type="duplicateValues" dxfId="422" priority="1406"/>
  </conditionalFormatting>
  <conditionalFormatting sqref="JW414:JW415">
    <cfRule type="duplicateValues" dxfId="421" priority="1405"/>
  </conditionalFormatting>
  <conditionalFormatting sqref="JW419:JW420">
    <cfRule type="duplicateValues" dxfId="420" priority="1400"/>
  </conditionalFormatting>
  <conditionalFormatting sqref="JW421:JW422">
    <cfRule type="duplicateValues" dxfId="419" priority="1401"/>
  </conditionalFormatting>
  <conditionalFormatting sqref="JW423:JW424">
    <cfRule type="duplicateValues" dxfId="418" priority="1399"/>
  </conditionalFormatting>
  <conditionalFormatting sqref="JW428:JW429">
    <cfRule type="duplicateValues" dxfId="417" priority="1397"/>
  </conditionalFormatting>
  <conditionalFormatting sqref="JW430:JW431">
    <cfRule type="duplicateValues" dxfId="416" priority="1398"/>
  </conditionalFormatting>
  <conditionalFormatting sqref="JW432:JW433">
    <cfRule type="duplicateValues" dxfId="415" priority="1396"/>
  </conditionalFormatting>
  <conditionalFormatting sqref="JW899:JW916">
    <cfRule type="expression" dxfId="414" priority="1">
      <formula>AND(LEN(TRIM($JV899))&gt;0,LEN(TRIM(JW899))=0)</formula>
    </cfRule>
  </conditionalFormatting>
  <conditionalFormatting sqref="JW682:KD723">
    <cfRule type="expression" dxfId="413" priority="1550">
      <formula>AND(LEN(TRIM($JV682))&gt;0,LEN(TRIM(JW682))=0)</formula>
    </cfRule>
  </conditionalFormatting>
  <conditionalFormatting sqref="JW772:KD898 JX899:KD916">
    <cfRule type="expression" dxfId="412" priority="1623">
      <formula>AND(LEN(TRIM($JV772))&gt;0,LEN(TRIM(JW772))=0)</formula>
    </cfRule>
  </conditionalFormatting>
  <conditionalFormatting sqref="JW918:KD922 JW924:KD931 JW933:KD938 JW940:KD945 JW947:KD952 JW954:KD959 JW961:KD966 JW968:KD973 JW975:KD980 JW982:KD984">
    <cfRule type="expression" dxfId="411" priority="276">
      <formula>AND(LEN(TRIM($JV918))&gt;0,LEN(TRIM(JW918))=0)</formula>
    </cfRule>
  </conditionalFormatting>
  <conditionalFormatting sqref="JZ724:KG771">
    <cfRule type="expression" dxfId="410" priority="1073">
      <formula>AND(LEN(TRIM($JY724))&gt;0,LEN(TRIM(JZ724))=0)</formula>
    </cfRule>
  </conditionalFormatting>
  <conditionalFormatting sqref="KF682:KH723">
    <cfRule type="expression" dxfId="409" priority="1552">
      <formula>AND(LEN(TRIM($KE682))&gt;0,LEN(TRIM(KF682))=0)</formula>
    </cfRule>
  </conditionalFormatting>
  <conditionalFormatting sqref="KF772:KH876 KF877:KG898 KF899:KH916">
    <cfRule type="expression" dxfId="408" priority="1626">
      <formula>AND(LEN(TRIM($KE772))&gt;0,LEN(TRIM(KF772))=0)</formula>
    </cfRule>
  </conditionalFormatting>
  <conditionalFormatting sqref="KF918:KH922 KF924:KH931 KF933:KH938 KF940:KH945 KF947:KH952 KF954:KH959 KF961:KH966 KF968:KH973 KF975:KH980 KF982:KH984">
    <cfRule type="expression" dxfId="407" priority="277">
      <formula>AND(LEN(TRIM($KE918))&gt;0,LEN(TRIM(KF918))=0)</formula>
    </cfRule>
  </conditionalFormatting>
  <conditionalFormatting sqref="KH877:KH898">
    <cfRule type="expression" dxfId="406" priority="488">
      <formula>AND(LEN(TRIM(#REF!))&gt;0,LEN(TRIM(KH877))=0)</formula>
    </cfRule>
  </conditionalFormatting>
  <conditionalFormatting sqref="KI856:KI898">
    <cfRule type="expression" dxfId="405" priority="601">
      <formula>AND(LEN(TRIM(#REF!))&gt;0,LEN(TRIM(KI856))=0)</formula>
    </cfRule>
  </conditionalFormatting>
  <conditionalFormatting sqref="KI724:KK771">
    <cfRule type="expression" dxfId="404" priority="1074">
      <formula>AND(LEN(TRIM($KH724))&gt;0,LEN(TRIM(KI724))=0)</formula>
    </cfRule>
  </conditionalFormatting>
  <conditionalFormatting sqref="KJ682:KJ723">
    <cfRule type="expression" dxfId="403" priority="1553">
      <formula>AND(LEN(TRIM($KI682))&gt;0,LEN(TRIM(KJ682))=0)</formula>
    </cfRule>
  </conditionalFormatting>
  <conditionalFormatting sqref="KJ772:KJ880 KN856:KN880 KJ883:KJ891 KN883:KN891 KN894:KN898 KJ894:KJ916">
    <cfRule type="expression" dxfId="402" priority="1629">
      <formula>AND(LEN(TRIM($KI772))&gt;0,LEN(TRIM(KJ772))=0)</formula>
    </cfRule>
  </conditionalFormatting>
  <conditionalFormatting sqref="KJ881:KJ882 KN881:KN882 KJ892:KJ893 KN892:KN893">
    <cfRule type="expression" dxfId="401" priority="2067">
      <formula>AND(LEN(TRIM($KI882))&gt;0,LEN(TRIM(KJ881))=0)</formula>
    </cfRule>
  </conditionalFormatting>
  <conditionalFormatting sqref="KJ918:KJ922 KJ924:KJ931 KJ933:KJ938 KJ940:KJ945 KJ947:KJ952 KJ954:KJ959 KJ961:KJ966 KJ968:KJ973 KJ975:KJ980 KJ982:KJ984">
    <cfRule type="expression" dxfId="400" priority="278">
      <formula>AND(LEN(TRIM($KI918))&gt;0,LEN(TRIM(KJ918))=0)</formula>
    </cfRule>
  </conditionalFormatting>
  <conditionalFormatting sqref="KK311:KK370 KK594:KK656">
    <cfRule type="expression" dxfId="399" priority="1461">
      <formula>COUNTIF(KK:KK,KK311)&gt;1</formula>
    </cfRule>
  </conditionalFormatting>
  <conditionalFormatting sqref="KK773:KK774 KK777:KK778 KK781:KK782 KK785:KK786 KK789:KK790 KK793:KK794 KK797:KK798 KK801:KK802 KK805:KK806 KK809:KK810 KK813:KK814 KK817:KK818 KK821:KK822 KK825:KK826 KK829:KK830 KK833:KK834 KK837:KK838 KK841:KK842 KK845:KK846 KK849:KK850 KK853:KK854 KO772 KO776 KP779 KS779 KO784 KO788 KP791 KS791 KO796 KO800 KP803 KS803 KO808 KO812 KP815 KS815 KO820 KO824 KP827 KS827 KO832 KO836 KP839 KS839 KO844 KO848 KP851 KS851">
    <cfRule type="expression" dxfId="398" priority="1762">
      <formula>COUNTIF(KM:KM,KK772)&gt;1</formula>
    </cfRule>
  </conditionalFormatting>
  <conditionalFormatting sqref="KK881:KK882 KM881:KM882 KK892:KK893 KM892:KM893">
    <cfRule type="expression" dxfId="397" priority="2071">
      <formula>AND(LEN(TRIM($KI882))&gt;0,LEN(TRIM(KK881))=0,$KJ881&lt;&gt;"Hand Hoe",LEFT($KJ881,3)&lt;&gt;"No ")</formula>
    </cfRule>
  </conditionalFormatting>
  <conditionalFormatting sqref="KK682:KM723">
    <cfRule type="expression" dxfId="396" priority="1554">
      <formula>AND(LEN(TRIM($KI682))&gt;0,LEN(TRIM(KK682))=0,$KJ682&lt;&gt;"Hand Hoe",LEFT($KJ682,3)&lt;&gt;"No ")</formula>
    </cfRule>
  </conditionalFormatting>
  <conditionalFormatting sqref="KK772:KM772 KL773:KM773 KK774:KM774 KL775:KM775 KK776:KM776 KL777:KM779 KK778 KK780:KM780 KL781:KM783 KK782 KK784:KM784 KL785:KM787 KK786 KK788:KM788 KL789:KM791 KK790 KK792:KM792 KL793:KM795 KK794 KK796:KM796 KL797:KM799 KK798 KK800:KM800 KL801:KM803 KK802 KK804:KM804 KL805:KM807 KK806 KK808:KM808 KL809:KM811 KK810 KK812:KM812 KL813:KM815 KK814 KK816:KM816 KL817:KM819 KK818 KK820:KM820 KL821:KM823 KK822 KK824:KM824 KL825:KM827 KK826 KK828:KM828 KL829:KM831 KK830 KK832:KM832 KL833:KM835 KK834 KK836:KM836 KL837:KM839 KK838 KK840:KM840 KL841:KM843 KK842 KK844:KM844 KL845:KM847 KK846 KK848:KM848 KL849:KM851 KK850 KK852:KM852 KL853:KM855 KK854 KK856:KK880 KM856:KM880 KP860 KP867 KP874 KK883:KK891 KM883:KM891 KK894:KK898 KM894:KM898 KK899:KM916">
    <cfRule type="expression" dxfId="395" priority="1632">
      <formula>AND(LEN(TRIM($KI772))&gt;0,LEN(TRIM(KK772))=0,$KJ772&lt;&gt;"Hand Hoe",LEFT($KJ772,3)&lt;&gt;"No ")</formula>
    </cfRule>
  </conditionalFormatting>
  <conditionalFormatting sqref="KK918:KM922 KK924:KM931 KK933:KM938 KK940:KM945 KK947:KM952 KK954:KM959 KK961:KM966 KK968:KM973 KK975:KM980 KK982:KM984">
    <cfRule type="expression" dxfId="394" priority="279">
      <formula>AND(LEN(TRIM($KI918))&gt;0,LEN(TRIM(KK918))=0,$KJ918&lt;&gt;"Hand Hoe",LEFT($KJ918,3)&lt;&gt;"No ")</formula>
    </cfRule>
  </conditionalFormatting>
  <conditionalFormatting sqref="KM724:KM771">
    <cfRule type="expression" dxfId="393" priority="1075">
      <formula>AND(LEN(TRIM($KL724))&gt;0,LEN(TRIM(KM724))=0)</formula>
    </cfRule>
  </conditionalFormatting>
  <conditionalFormatting sqref="KN724:KP771">
    <cfRule type="expression" dxfId="392" priority="1076">
      <formula>AND(LEN(TRIM($KL724))&gt;0,LEN(TRIM(KN724))=0,$KM724&lt;&gt;"Hand Hoe",LEFT($KM724,3)&lt;&gt;"No ")</formula>
    </cfRule>
  </conditionalFormatting>
  <conditionalFormatting sqref="KO594:KO656">
    <cfRule type="expression" dxfId="391" priority="1502">
      <formula>COUNTIF(KJ:KJ,KO594)&gt;1</formula>
    </cfRule>
  </conditionalFormatting>
  <conditionalFormatting sqref="KO882 KQ882">
    <cfRule type="expression" dxfId="390" priority="766">
      <formula>AND(LEN(TRIM(#REF!))&gt;0,LEN(TRIM(KO882))=0,#REF!&lt;&gt;"Hand Hoe",LEFT(#REF!,3)&lt;&gt;"No ")</formula>
    </cfRule>
  </conditionalFormatting>
  <conditionalFormatting sqref="KO893 KQ893">
    <cfRule type="expression" dxfId="389" priority="528">
      <formula>AND(LEN(TRIM(#REF!))&gt;0,LEN(TRIM(KO893))=0,#REF!&lt;&gt;"Hand Hoe",LEFT(#REF!,3)&lt;&gt;"No ")</formula>
    </cfRule>
  </conditionalFormatting>
  <conditionalFormatting sqref="KO682:KQ723">
    <cfRule type="expression" dxfId="388" priority="1555">
      <formula>AND(LEN(TRIM($KN682))&gt;0,LEN(TRIM(KO682))=0,$KN682&lt;&gt;"Hand Hoe",LEFT($KN682,3)&lt;&gt;"No ")</formula>
    </cfRule>
  </conditionalFormatting>
  <conditionalFormatting sqref="KO918:KQ922 KO924:KQ931 KO933:KQ938 KO940:KQ945 KO947:KQ952 KO954:KQ959 KO961:KQ966 KO968:KQ973 KO975:KQ980 KO982:KQ984">
    <cfRule type="expression" dxfId="387" priority="280">
      <formula>AND(LEN(TRIM($KN918))&gt;0,LEN(TRIM(KO918))=0,$KN918&lt;&gt;"Hand Hoe",LEFT($KN918,3)&lt;&gt;"No ")</formula>
    </cfRule>
  </conditionalFormatting>
  <conditionalFormatting sqref="KP772:KQ772 KO773:KQ775 KP776:KQ776 KO777:KQ778 KO778:KO779 KO780:KQ783 KP784:KQ784 KO785:KQ787 KP788:KQ788 KO789:KQ790 KO791:KO792 KO792:KQ795 KP796:KQ796 KO797:KQ799 KP800:KQ800 KO801:KQ802 KO803:KO804 KO804:KQ807 KP808:KQ808 KO809:KQ811 KP812:KQ812 KO813:KQ814 KO815:KO816 KO816:KQ819 KP820:KQ820 KO821:KQ823 KP824:KQ824 KO825:KQ826 KO827:KO828 KO828:KQ831 KP832:KQ832 KO833:KQ835 KP836:KQ836 KO837:KQ838 KO839:KO840 KO840:KQ843 KP844:KQ844 KO845:KQ847 KP848:KQ848 KO849:KQ850 KO851:KO852 KO852:KQ855 KO856:KO881 KQ856:KQ881 KO883:KO892 KQ883:KQ892 KO894:KO898 KQ894:KQ898 KO899:KQ916">
    <cfRule type="expression" dxfId="386" priority="1693">
      <formula>AND(LEN(TRIM($KN772))&gt;0,LEN(TRIM(KO772))=0,$KN772&lt;&gt;"Hand Hoe",LEFT($KN772,3)&lt;&gt;"No ")</formula>
    </cfRule>
  </conditionalFormatting>
  <conditionalFormatting sqref="KQ779 KQ791 KQ803 KQ815 KQ827 KQ839 KQ851">
    <cfRule type="expression" dxfId="385" priority="9">
      <formula>AND(LEN(TRIM($KR779))&gt;0,LEN(TRIM(KQ779))=0,$KR779&lt;&gt;"Hand Hoe",LEFT($KR779,3)&lt;&gt;"No ")</formula>
    </cfRule>
  </conditionalFormatting>
  <conditionalFormatting sqref="KR724:KT771">
    <cfRule type="expression" dxfId="384" priority="1077">
      <formula>AND(LEN(TRIM($KQ724))&gt;0,LEN(TRIM(KR724))=0,$KQ724&lt;&gt;"Hand Hoe",LEFT($KQ724,3)&lt;&gt;"No ")</formula>
    </cfRule>
  </conditionalFormatting>
  <conditionalFormatting sqref="KS683:KU687 KS689:KU693 KS695:KU699 KS701:KU705 KS707:KU711 KS713:KU717 KS719:KU723">
    <cfRule type="expression" dxfId="383" priority="1556">
      <formula>AND(LEN(TRIM($KR683))&gt;0,LEN(TRIM(KS683))=0,$KR683&lt;&gt;"Hand Hoe",LEFT($KR683,3)&lt;&gt;"No ")</formula>
    </cfRule>
  </conditionalFormatting>
  <conditionalFormatting sqref="KS772:KU778 KT779:KU779 KS780:KU790 KT791:KU791 KS792:KU802 KT803:KU803 KS804:KU814 KT815:KU815 KS816:KU826 KT827:KU827 KS828:KU838 KT839:KU839 KS840:KU850 KT851:KU851 KS852:KU876 KS877:KT887 KS888:KU916">
    <cfRule type="expression" dxfId="382" priority="1715">
      <formula>AND(LEN(TRIM($KR772))&gt;0,LEN(TRIM(KS772))=0,$KR772&lt;&gt;"Hand Hoe",LEFT($KR772,3)&lt;&gt;"No ")</formula>
    </cfRule>
  </conditionalFormatting>
  <conditionalFormatting sqref="KS918:KU922 KS924:KU931 KS933:KU938 KS940:KU945 KS947:KU952 KS954:KU959 KS961:KU966 KS968:KU973 KS975:KU980 KS982:KU984">
    <cfRule type="expression" dxfId="381" priority="281">
      <formula>AND(LEN(TRIM($KR918))&gt;0,LEN(TRIM(KS918))=0,$KR918&lt;&gt;"Hand Hoe",LEFT($KR918,3)&lt;&gt;"No ")</formula>
    </cfRule>
  </conditionalFormatting>
  <conditionalFormatting sqref="KV682 KV688 KV694 KV706 KV712 KV718">
    <cfRule type="expression" dxfId="380" priority="1603">
      <formula>AND(LEN(TRIM($KS683))&gt;0,LEN(TRIM(KV682))=0,$KS683&lt;&gt;"Hand Hoe",LEFT($KS683,3)&lt;&gt;"No ")</formula>
    </cfRule>
  </conditionalFormatting>
  <conditionalFormatting sqref="KV683">
    <cfRule type="expression" dxfId="379" priority="1194">
      <formula>AND(LEN(TRIM(#REF!))&gt;0,LEN(TRIM(KV683))=0,#REF!&lt;&gt;"Hand Hoe",LEFT(#REF!,3)&lt;&gt;"No ")</formula>
    </cfRule>
  </conditionalFormatting>
  <conditionalFormatting sqref="KV684:KV687 KV690:KV693 KV696:KV705 KV708:KV711 KV714:KV717 KV720:KV723">
    <cfRule type="expression" dxfId="378" priority="1578">
      <formula>AND(LEN(TRIM($KS684))&gt;0,LEN(TRIM(KV684))=0,$KS684&lt;&gt;"Hand Hoe",LEFT($KS684,3)&lt;&gt;"No ")</formula>
    </cfRule>
  </conditionalFormatting>
  <conditionalFormatting sqref="KV689">
    <cfRule type="expression" dxfId="377" priority="1178">
      <formula>AND(LEN(TRIM(#REF!))&gt;0,LEN(TRIM(KV689))=0,#REF!&lt;&gt;"Hand Hoe",LEFT(#REF!,3)&lt;&gt;"No ")</formula>
    </cfRule>
  </conditionalFormatting>
  <conditionalFormatting sqref="KV695">
    <cfRule type="expression" dxfId="376" priority="1318">
      <formula>AND(LEN(TRIM(#REF!))&gt;0,LEN(TRIM(KV695))=0,#REF!&lt;&gt;"Hand Hoe",LEFT(#REF!,3)&lt;&gt;"No ")</formula>
    </cfRule>
  </conditionalFormatting>
  <conditionalFormatting sqref="KV707">
    <cfRule type="expression" dxfId="375" priority="1154">
      <formula>AND(LEN(TRIM(#REF!))&gt;0,LEN(TRIM(KV707))=0,#REF!&lt;&gt;"Hand Hoe",LEFT(#REF!,3)&lt;&gt;"No ")</formula>
    </cfRule>
  </conditionalFormatting>
  <conditionalFormatting sqref="KV713">
    <cfRule type="expression" dxfId="374" priority="1131">
      <formula>AND(LEN(TRIM(#REF!))&gt;0,LEN(TRIM(KV713))=0,#REF!&lt;&gt;"Hand Hoe",LEFT(#REF!,3)&lt;&gt;"No ")</formula>
    </cfRule>
  </conditionalFormatting>
  <conditionalFormatting sqref="KV719">
    <cfRule type="expression" dxfId="373" priority="1105">
      <formula>AND(LEN(TRIM(#REF!))&gt;0,LEN(TRIM(KV719))=0,#REF!&lt;&gt;"Hand Hoe",LEFT(#REF!,3)&lt;&gt;"No ")</formula>
    </cfRule>
  </conditionalFormatting>
  <conditionalFormatting sqref="KV724:KX771">
    <cfRule type="expression" dxfId="372" priority="1078">
      <formula>AND(LEN(TRIM($KU724))&gt;0,LEN(TRIM(KV724))=0,$KU724&lt;&gt;"Hand Hoe",LEFT($KU724,3)&lt;&gt;"No ")</formula>
    </cfRule>
  </conditionalFormatting>
  <conditionalFormatting sqref="LD772:LN876 LD877:LG887 LI877:LI887 NT877:NT887 LK877:LN898 LD888:LI898 LD899:LN916">
    <cfRule type="expression" dxfId="371" priority="1728">
      <formula>AND(LEN(TRIM($KW772))&gt;0,LEN(TRIM(LD772))=0,$KW772&lt;&gt;"No mulch applied")</formula>
    </cfRule>
  </conditionalFormatting>
  <conditionalFormatting sqref="LF682:LO723">
    <cfRule type="expression" dxfId="370" priority="1581">
      <formula>AND(LEN(TRIM($KX682))&gt;0,LEN(TRIM(LF682))=0,$KX682&lt;&gt;"No mulch applied")</formula>
    </cfRule>
  </conditionalFormatting>
  <conditionalFormatting sqref="LH917:LH928 LB917:LB984 LD917:LD984 LF917:LF984 LI918:LN922 LI924:LN928 LH929:LN931 LH932 LH933:LN938 LH939 LH940:LN945 LH946 LH947:LN952 LH953 LH954:LN959 LH960 LH961:LN966 LH967 LH968:LN973 LH974 LH975:LN980 LH981 LH982:LN984">
    <cfRule type="expression" dxfId="369" priority="282">
      <formula>AND(LEN(TRIM($KW917))&gt;0,LEN(TRIM(LB917))=0,$KW917&lt;&gt;"No mulch applied")</formula>
    </cfRule>
  </conditionalFormatting>
  <conditionalFormatting sqref="LI724:LQ771">
    <cfRule type="expression" dxfId="368" priority="1079">
      <formula>AND(LEN(TRIM($KZ724))&gt;0,LEN(TRIM(LI724))=0,$KZ724&lt;&gt;"No mulch applied")</formula>
    </cfRule>
  </conditionalFormatting>
  <conditionalFormatting sqref="LP772:LS916">
    <cfRule type="expression" dxfId="367" priority="1731">
      <formula>AND(LEN(TRIM($LO772))&gt;0,LEN(TRIM(LP772))=0)</formula>
    </cfRule>
  </conditionalFormatting>
  <conditionalFormatting sqref="LP918:LS922 LP924:LS931 LP933:LS938 LP940:LS945 LP947:LS952 LP954:LS959 LP961:LS966 LP968:LS973 LP975:LS980 LP982:LS984">
    <cfRule type="expression" dxfId="366" priority="283">
      <formula>AND(LEN(TRIM($LO918))&gt;0,LEN(TRIM(LP918))=0)</formula>
    </cfRule>
  </conditionalFormatting>
  <conditionalFormatting sqref="LQ682:LT723">
    <cfRule type="expression" dxfId="365" priority="1582">
      <formula>AND(LEN(TRIM($LP682))&gt;0,LEN(TRIM(LQ682))=0)</formula>
    </cfRule>
  </conditionalFormatting>
  <conditionalFormatting sqref="LS724:LW771">
    <cfRule type="expression" dxfId="364" priority="1080">
      <formula>AND(LEN(TRIM($LR724))&gt;0,LEN(TRIM(LS724))=0)</formula>
    </cfRule>
  </conditionalFormatting>
  <conditionalFormatting sqref="LU772:MA916">
    <cfRule type="expression" dxfId="363" priority="1734">
      <formula>AND(LEN(TRIM($LT772))&gt;0,LEN(TRIM(LU772))=0)</formula>
    </cfRule>
  </conditionalFormatting>
  <conditionalFormatting sqref="LU918:MA922 LU924:MA931 LU933:MA938 LU940:MA945 LU947:MA952 LU954:MA959 LU961:MA966 LU968:MA973 LU975:MA980 LU982:MA984">
    <cfRule type="expression" dxfId="362" priority="284">
      <formula>AND(LEN(TRIM($LT918))&gt;0,LEN(TRIM(LU918))=0)</formula>
    </cfRule>
  </conditionalFormatting>
  <conditionalFormatting sqref="LW682:MB723">
    <cfRule type="expression" dxfId="361" priority="1583">
      <formula>AND(LEN(TRIM($LU682))&gt;0,LEN(TRIM(LW682))=0)</formula>
    </cfRule>
  </conditionalFormatting>
  <conditionalFormatting sqref="LY724:MD771">
    <cfRule type="expression" dxfId="360" priority="1081">
      <formula>AND(LEN(TRIM($LX724))&gt;0,LEN(TRIM(LY724))=0)</formula>
    </cfRule>
  </conditionalFormatting>
  <conditionalFormatting sqref="MC772:MC916">
    <cfRule type="expression" dxfId="359" priority="1735">
      <formula>AND(LEN(TRIM($MB772))&gt;0,LEN(TRIM(MC772))=0)</formula>
    </cfRule>
  </conditionalFormatting>
  <conditionalFormatting sqref="MC918:MC922 MC924:MC931 MC933:MC938 MC940:MC945 MC947:MC952 MC954:MC959 MC961:MC966 MC968:MC973 MC975:MC980 MC982:MC984">
    <cfRule type="expression" dxfId="358" priority="285">
      <formula>AND(LEN(TRIM($MB918))&gt;0,LEN(TRIM(MC918))=0)</formula>
    </cfRule>
  </conditionalFormatting>
  <conditionalFormatting sqref="MD682:MD723">
    <cfRule type="expression" dxfId="357" priority="1584">
      <formula>AND(LEN(TRIM($MC682))&gt;0,LEN(TRIM(MD682))=0)</formula>
    </cfRule>
  </conditionalFormatting>
  <conditionalFormatting sqref="MF724:MF771">
    <cfRule type="expression" dxfId="356" priority="1082">
      <formula>AND(LEN(TRIM($ME724))&gt;0,LEN(TRIM(MF724))=0)</formula>
    </cfRule>
  </conditionalFormatting>
  <conditionalFormatting sqref="MH772:MK916">
    <cfRule type="expression" dxfId="355" priority="1738">
      <formula>AND(LEN(TRIM($MG772))&gt;0,LEN(TRIM(MH772))=0)</formula>
    </cfRule>
  </conditionalFormatting>
  <conditionalFormatting sqref="MH918:MK922 MH924:MK931 MH933:MK938 MH940:MK945 MH947:MK952 MH954:MK959 MH961:MK966 MH968:MK973 MH975:MK980 MH982:MK984">
    <cfRule type="expression" dxfId="354" priority="286">
      <formula>AND(LEN(TRIM($MG918))&gt;0,LEN(TRIM(MH918))=0)</formula>
    </cfRule>
  </conditionalFormatting>
  <conditionalFormatting sqref="MI682:ML723">
    <cfRule type="expression" dxfId="353" priority="1585">
      <formula>AND(LEN(TRIM($MH682))&gt;0,LEN(TRIM(MI682))=0)</formula>
    </cfRule>
  </conditionalFormatting>
  <conditionalFormatting sqref="MK724:MN771">
    <cfRule type="expression" dxfId="352" priority="1083">
      <formula>AND(LEN(TRIM($MJ724))&gt;0,LEN(TRIM(MK724))=0)</formula>
    </cfRule>
  </conditionalFormatting>
  <conditionalFormatting sqref="MM772:MM916 MQ772:MS916">
    <cfRule type="expression" dxfId="351" priority="1741">
      <formula>AND(LEN(TRIM($ML772))&gt;0,LEN(TRIM(MM772))=0)</formula>
    </cfRule>
  </conditionalFormatting>
  <conditionalFormatting sqref="MM918:MM922 MQ918:MS922 MM924:MM931 MQ924:MS931 MM933:MM938 MQ933:MS938 MM940:MM945 MQ940:MS945 MM947:MM952 MQ947:MS952 MM954:MM959 MQ954:MS959 MM961:MM966 MQ961:MS966 MM968:MM973 MQ968:MS973 MM975:MM980 MQ975:MS980 MM982:MM984 MQ982:MS984">
    <cfRule type="expression" dxfId="350" priority="287">
      <formula>AND(LEN(TRIM($ML918))&gt;0,LEN(TRIM(MM918))=0)</formula>
    </cfRule>
  </conditionalFormatting>
  <conditionalFormatting sqref="MP724:MP771 MT724:MV771">
    <cfRule type="expression" dxfId="349" priority="1084">
      <formula>AND(LEN(TRIM($MO724))&gt;0,LEN(TRIM(MP724))=0)</formula>
    </cfRule>
  </conditionalFormatting>
  <conditionalFormatting sqref="MU434">
    <cfRule type="expression" dxfId="348" priority="147">
      <formula>AND(LEN(TRIM($MT434))&gt;0,LEN(TRIM(MU434))=0)</formula>
    </cfRule>
  </conditionalFormatting>
  <conditionalFormatting sqref="MU439">
    <cfRule type="expression" dxfId="347" priority="144">
      <formula>AND(LEN(TRIM($MT439))&gt;0,LEN(TRIM(MU439))=0)</formula>
    </cfRule>
  </conditionalFormatting>
  <conditionalFormatting sqref="MU444">
    <cfRule type="expression" dxfId="346" priority="141">
      <formula>AND(LEN(TRIM($MT444))&gt;0,LEN(TRIM(MU444))=0)</formula>
    </cfRule>
  </conditionalFormatting>
  <conditionalFormatting sqref="MU449">
    <cfRule type="expression" dxfId="345" priority="138">
      <formula>AND(LEN(TRIM($MT449))&gt;0,LEN(TRIM(MU449))=0)</formula>
    </cfRule>
  </conditionalFormatting>
  <conditionalFormatting sqref="MU454">
    <cfRule type="expression" dxfId="344" priority="135">
      <formula>AND(LEN(TRIM($MT454))&gt;0,LEN(TRIM(MU454))=0)</formula>
    </cfRule>
  </conditionalFormatting>
  <conditionalFormatting sqref="MU459">
    <cfRule type="expression" dxfId="343" priority="132">
      <formula>AND(LEN(TRIM($MT459))&gt;0,LEN(TRIM(MU459))=0)</formula>
    </cfRule>
  </conditionalFormatting>
  <conditionalFormatting sqref="MU464">
    <cfRule type="expression" dxfId="342" priority="129">
      <formula>AND(LEN(TRIM($MT464))&gt;0,LEN(TRIM(MU464))=0)</formula>
    </cfRule>
  </conditionalFormatting>
  <conditionalFormatting sqref="MU469">
    <cfRule type="expression" dxfId="341" priority="126">
      <formula>AND(LEN(TRIM($MT469))&gt;0,LEN(TRIM(MU469))=0)</formula>
    </cfRule>
  </conditionalFormatting>
  <conditionalFormatting sqref="MU474">
    <cfRule type="expression" dxfId="340" priority="123">
      <formula>AND(LEN(TRIM($MT474))&gt;0,LEN(TRIM(MU474))=0)</formula>
    </cfRule>
  </conditionalFormatting>
  <conditionalFormatting sqref="MU479">
    <cfRule type="expression" dxfId="339" priority="120">
      <formula>AND(LEN(TRIM($MT479))&gt;0,LEN(TRIM(MU479))=0)</formula>
    </cfRule>
  </conditionalFormatting>
  <conditionalFormatting sqref="MU484">
    <cfRule type="expression" dxfId="338" priority="117">
      <formula>AND(LEN(TRIM($MT484))&gt;0,LEN(TRIM(MU484))=0)</formula>
    </cfRule>
  </conditionalFormatting>
  <conditionalFormatting sqref="MU489">
    <cfRule type="expression" dxfId="337" priority="114">
      <formula>AND(LEN(TRIM($MT489))&gt;0,LEN(TRIM(MU489))=0)</formula>
    </cfRule>
  </conditionalFormatting>
  <conditionalFormatting sqref="MU494">
    <cfRule type="expression" dxfId="336" priority="111">
      <formula>AND(LEN(TRIM($MT494))&gt;0,LEN(TRIM(MU494))=0)</formula>
    </cfRule>
  </conditionalFormatting>
  <conditionalFormatting sqref="MU499">
    <cfRule type="expression" dxfId="335" priority="108">
      <formula>AND(LEN(TRIM($MT499))&gt;0,LEN(TRIM(MU499))=0)</formula>
    </cfRule>
  </conditionalFormatting>
  <conditionalFormatting sqref="MU504">
    <cfRule type="expression" dxfId="334" priority="105">
      <formula>AND(LEN(TRIM($MT504))&gt;0,LEN(TRIM(MU504))=0)</formula>
    </cfRule>
  </conditionalFormatting>
  <conditionalFormatting sqref="MU509">
    <cfRule type="expression" dxfId="333" priority="102">
      <formula>AND(LEN(TRIM($MT509))&gt;0,LEN(TRIM(MU509))=0)</formula>
    </cfRule>
  </conditionalFormatting>
  <conditionalFormatting sqref="MU514">
    <cfRule type="expression" dxfId="332" priority="99">
      <formula>AND(LEN(TRIM($MT514))&gt;0,LEN(TRIM(MU514))=0)</formula>
    </cfRule>
  </conditionalFormatting>
  <conditionalFormatting sqref="MU523">
    <cfRule type="expression" dxfId="331" priority="92">
      <formula>AND(LEN(TRIM($IV523))&gt;0,LEN(TRIM(MU523))=0)</formula>
    </cfRule>
  </conditionalFormatting>
  <conditionalFormatting sqref="MU525">
    <cfRule type="expression" dxfId="330" priority="91">
      <formula>AND(LEN(TRIM($IV525))&gt;0,LEN(TRIM(MU525))=0)</formula>
    </cfRule>
  </conditionalFormatting>
  <conditionalFormatting sqref="MU527">
    <cfRule type="expression" dxfId="329" priority="90">
      <formula>AND(LEN(TRIM($IV527))&gt;0,LEN(TRIM(MU527))=0)</formula>
    </cfRule>
  </conditionalFormatting>
  <conditionalFormatting sqref="MU529">
    <cfRule type="expression" dxfId="328" priority="89">
      <formula>AND(LEN(TRIM($IV529))&gt;0,LEN(TRIM(MU529))=0)</formula>
    </cfRule>
  </conditionalFormatting>
  <conditionalFormatting sqref="MU657">
    <cfRule type="expression" dxfId="327" priority="50">
      <formula>AND(LEN(TRIM($MT657))&gt;0,LEN(TRIM(MU657))=0)</formula>
    </cfRule>
  </conditionalFormatting>
  <conditionalFormatting sqref="MU661:MU662">
    <cfRule type="expression" dxfId="326" priority="45">
      <formula>AND(LEN(TRIM($MT661))&gt;0,LEN(TRIM(MU661))=0)</formula>
    </cfRule>
  </conditionalFormatting>
  <conditionalFormatting sqref="MU666:MU667">
    <cfRule type="expression" dxfId="325" priority="40">
      <formula>AND(LEN(TRIM($MT666))&gt;0,LEN(TRIM(MU666))=0)</formula>
    </cfRule>
  </conditionalFormatting>
  <conditionalFormatting sqref="MU671:MU672">
    <cfRule type="expression" dxfId="324" priority="30">
      <formula>AND(LEN(TRIM($MT671))&gt;0,LEN(TRIM(MU671))=0)</formula>
    </cfRule>
  </conditionalFormatting>
  <conditionalFormatting sqref="MU676:MU677">
    <cfRule type="expression" dxfId="323" priority="25">
      <formula>AND(LEN(TRIM($MT676))&gt;0,LEN(TRIM(MU676))=0)</formula>
    </cfRule>
  </conditionalFormatting>
  <conditionalFormatting sqref="MU681">
    <cfRule type="expression" dxfId="322" priority="24">
      <formula>AND(LEN(TRIM($MT681))&gt;0,LEN(TRIM(MU681))=0)</formula>
    </cfRule>
  </conditionalFormatting>
  <conditionalFormatting sqref="MU772:MX916">
    <cfRule type="expression" dxfId="321" priority="1747">
      <formula>AND(LEN(TRIM($MT772))&gt;0,LEN(TRIM(MU772))=0)</formula>
    </cfRule>
  </conditionalFormatting>
  <conditionalFormatting sqref="MU918:MX922 MU924:MX931 MU933:MX938 MU940:MX945 MU947:MX952 MU954:MX959 MU961:MX966 MU968:MX973 MU975:MX980 MU982:MX984">
    <cfRule type="expression" dxfId="320" priority="288">
      <formula>AND(LEN(TRIM($MT918))&gt;0,LEN(TRIM(MU918))=0)</formula>
    </cfRule>
  </conditionalFormatting>
  <conditionalFormatting sqref="MW434">
    <cfRule type="expression" dxfId="319" priority="145">
      <formula>AND(LEN(TRIM($MT434))&gt;0,LEN(TRIM(MW434))=0)</formula>
    </cfRule>
  </conditionalFormatting>
  <conditionalFormatting sqref="MW439">
    <cfRule type="expression" dxfId="318" priority="142">
      <formula>AND(LEN(TRIM($MT439))&gt;0,LEN(TRIM(MW439))=0)</formula>
    </cfRule>
  </conditionalFormatting>
  <conditionalFormatting sqref="MW444">
    <cfRule type="expression" dxfId="317" priority="139">
      <formula>AND(LEN(TRIM($MT444))&gt;0,LEN(TRIM(MW444))=0)</formula>
    </cfRule>
  </conditionalFormatting>
  <conditionalFormatting sqref="MW449">
    <cfRule type="expression" dxfId="316" priority="136">
      <formula>AND(LEN(TRIM($MT449))&gt;0,LEN(TRIM(MW449))=0)</formula>
    </cfRule>
  </conditionalFormatting>
  <conditionalFormatting sqref="MW454">
    <cfRule type="expression" dxfId="315" priority="133">
      <formula>AND(LEN(TRIM($MT454))&gt;0,LEN(TRIM(MW454))=0)</formula>
    </cfRule>
  </conditionalFormatting>
  <conditionalFormatting sqref="MW459">
    <cfRule type="expression" dxfId="314" priority="130">
      <formula>AND(LEN(TRIM($MT459))&gt;0,LEN(TRIM(MW459))=0)</formula>
    </cfRule>
  </conditionalFormatting>
  <conditionalFormatting sqref="MW464">
    <cfRule type="expression" dxfId="313" priority="127">
      <formula>AND(LEN(TRIM($MT464))&gt;0,LEN(TRIM(MW464))=0)</formula>
    </cfRule>
  </conditionalFormatting>
  <conditionalFormatting sqref="MW469">
    <cfRule type="expression" dxfId="312" priority="124">
      <formula>AND(LEN(TRIM($MT469))&gt;0,LEN(TRIM(MW469))=0)</formula>
    </cfRule>
  </conditionalFormatting>
  <conditionalFormatting sqref="MW474">
    <cfRule type="expression" dxfId="311" priority="121">
      <formula>AND(LEN(TRIM($MT474))&gt;0,LEN(TRIM(MW474))=0)</formula>
    </cfRule>
  </conditionalFormatting>
  <conditionalFormatting sqref="MW479">
    <cfRule type="expression" dxfId="310" priority="118">
      <formula>AND(LEN(TRIM($MT479))&gt;0,LEN(TRIM(MW479))=0)</formula>
    </cfRule>
  </conditionalFormatting>
  <conditionalFormatting sqref="MW484">
    <cfRule type="expression" dxfId="309" priority="115">
      <formula>AND(LEN(TRIM($MT484))&gt;0,LEN(TRIM(MW484))=0)</formula>
    </cfRule>
  </conditionalFormatting>
  <conditionalFormatting sqref="MW489">
    <cfRule type="expression" dxfId="308" priority="112">
      <formula>AND(LEN(TRIM($MT489))&gt;0,LEN(TRIM(MW489))=0)</formula>
    </cfRule>
  </conditionalFormatting>
  <conditionalFormatting sqref="MW494">
    <cfRule type="expression" dxfId="307" priority="109">
      <formula>AND(LEN(TRIM($MT494))&gt;0,LEN(TRIM(MW494))=0)</formula>
    </cfRule>
  </conditionalFormatting>
  <conditionalFormatting sqref="MW499">
    <cfRule type="expression" dxfId="306" priority="106">
      <formula>AND(LEN(TRIM($MT499))&gt;0,LEN(TRIM(MW499))=0)</formula>
    </cfRule>
  </conditionalFormatting>
  <conditionalFormatting sqref="MW504">
    <cfRule type="expression" dxfId="305" priority="103">
      <formula>AND(LEN(TRIM($MT504))&gt;0,LEN(TRIM(MW504))=0)</formula>
    </cfRule>
  </conditionalFormatting>
  <conditionalFormatting sqref="MW509">
    <cfRule type="expression" dxfId="304" priority="100">
      <formula>AND(LEN(TRIM($MT509))&gt;0,LEN(TRIM(MW509))=0)</formula>
    </cfRule>
  </conditionalFormatting>
  <conditionalFormatting sqref="MW514">
    <cfRule type="expression" dxfId="303" priority="97">
      <formula>AND(LEN(TRIM($MT514))&gt;0,LEN(TRIM(MW514))=0)</formula>
    </cfRule>
  </conditionalFormatting>
  <conditionalFormatting sqref="MW523">
    <cfRule type="expression" dxfId="302" priority="88">
      <formula>AND(LEN(TRIM($MT523))&gt;0,LEN(TRIM(MW523))=0)</formula>
    </cfRule>
  </conditionalFormatting>
  <conditionalFormatting sqref="MW525">
    <cfRule type="expression" dxfId="301" priority="87">
      <formula>AND(LEN(TRIM($MT525))&gt;0,LEN(TRIM(MW525))=0)</formula>
    </cfRule>
  </conditionalFormatting>
  <conditionalFormatting sqref="MW527">
    <cfRule type="expression" dxfId="300" priority="86">
      <formula>AND(LEN(TRIM($MT527))&gt;0,LEN(TRIM(MW527))=0)</formula>
    </cfRule>
  </conditionalFormatting>
  <conditionalFormatting sqref="MW529">
    <cfRule type="expression" dxfId="299" priority="85">
      <formula>AND(LEN(TRIM($MT529))&gt;0,LEN(TRIM(MW529))=0)</formula>
    </cfRule>
  </conditionalFormatting>
  <conditionalFormatting sqref="MW657">
    <cfRule type="expression" dxfId="298" priority="48">
      <formula>AND(LEN(TRIM($MT657))&gt;0,LEN(TRIM(MW657))=0)</formula>
    </cfRule>
  </conditionalFormatting>
  <conditionalFormatting sqref="MW662">
    <cfRule type="expression" dxfId="297" priority="43">
      <formula>AND(LEN(TRIM($MT662))&gt;0,LEN(TRIM(MW662))=0)</formula>
    </cfRule>
  </conditionalFormatting>
  <conditionalFormatting sqref="MW667">
    <cfRule type="expression" dxfId="296" priority="38">
      <formula>AND(LEN(TRIM($MT667))&gt;0,LEN(TRIM(MW667))=0)</formula>
    </cfRule>
  </conditionalFormatting>
  <conditionalFormatting sqref="MW672">
    <cfRule type="expression" dxfId="295" priority="28">
      <formula>AND(LEN(TRIM($MT672))&gt;0,LEN(TRIM(MW672))=0)</formula>
    </cfRule>
  </conditionalFormatting>
  <conditionalFormatting sqref="MW677">
    <cfRule type="expression" dxfId="294" priority="23">
      <formula>AND(LEN(TRIM($MT677))&gt;0,LEN(TRIM(MW677))=0)</formula>
    </cfRule>
  </conditionalFormatting>
  <conditionalFormatting sqref="MX434">
    <cfRule type="expression" dxfId="293" priority="146">
      <formula>AND(LEN(TRIM($MT434))&gt;0,LEN(TRIM(MX434))=0)</formula>
    </cfRule>
  </conditionalFormatting>
  <conditionalFormatting sqref="MX439">
    <cfRule type="expression" dxfId="292" priority="143">
      <formula>AND(LEN(TRIM($MT439))&gt;0,LEN(TRIM(MX439))=0)</formula>
    </cfRule>
  </conditionalFormatting>
  <conditionalFormatting sqref="MX444">
    <cfRule type="expression" dxfId="291" priority="140">
      <formula>AND(LEN(TRIM($MT444))&gt;0,LEN(TRIM(MX444))=0)</formula>
    </cfRule>
  </conditionalFormatting>
  <conditionalFormatting sqref="MX449">
    <cfRule type="expression" dxfId="290" priority="137">
      <formula>AND(LEN(TRIM($MT449))&gt;0,LEN(TRIM(MX449))=0)</formula>
    </cfRule>
  </conditionalFormatting>
  <conditionalFormatting sqref="MX454">
    <cfRule type="expression" dxfId="289" priority="134">
      <formula>AND(LEN(TRIM($MT454))&gt;0,LEN(TRIM(MX454))=0)</formula>
    </cfRule>
  </conditionalFormatting>
  <conditionalFormatting sqref="MX459">
    <cfRule type="expression" dxfId="288" priority="131">
      <formula>AND(LEN(TRIM($MT459))&gt;0,LEN(TRIM(MX459))=0)</formula>
    </cfRule>
  </conditionalFormatting>
  <conditionalFormatting sqref="MX464">
    <cfRule type="expression" dxfId="287" priority="128">
      <formula>AND(LEN(TRIM($MT464))&gt;0,LEN(TRIM(MX464))=0)</formula>
    </cfRule>
  </conditionalFormatting>
  <conditionalFormatting sqref="MX469">
    <cfRule type="expression" dxfId="286" priority="125">
      <formula>AND(LEN(TRIM($MT469))&gt;0,LEN(TRIM(MX469))=0)</formula>
    </cfRule>
  </conditionalFormatting>
  <conditionalFormatting sqref="MX474">
    <cfRule type="expression" dxfId="285" priority="122">
      <formula>AND(LEN(TRIM($MT474))&gt;0,LEN(TRIM(MX474))=0)</formula>
    </cfRule>
  </conditionalFormatting>
  <conditionalFormatting sqref="MX479">
    <cfRule type="expression" dxfId="284" priority="119">
      <formula>AND(LEN(TRIM($MT479))&gt;0,LEN(TRIM(MX479))=0)</formula>
    </cfRule>
  </conditionalFormatting>
  <conditionalFormatting sqref="MX484">
    <cfRule type="expression" dxfId="283" priority="116">
      <formula>AND(LEN(TRIM($MT484))&gt;0,LEN(TRIM(MX484))=0)</formula>
    </cfRule>
  </conditionalFormatting>
  <conditionalFormatting sqref="MX489">
    <cfRule type="expression" dxfId="282" priority="113">
      <formula>AND(LEN(TRIM($MT489))&gt;0,LEN(TRIM(MX489))=0)</formula>
    </cfRule>
  </conditionalFormatting>
  <conditionalFormatting sqref="MX494">
    <cfRule type="expression" dxfId="281" priority="110">
      <formula>AND(LEN(TRIM($MT494))&gt;0,LEN(TRIM(MX494))=0)</formula>
    </cfRule>
  </conditionalFormatting>
  <conditionalFormatting sqref="MX499">
    <cfRule type="expression" dxfId="280" priority="107">
      <formula>AND(LEN(TRIM($MT499))&gt;0,LEN(TRIM(MX499))=0)</formula>
    </cfRule>
  </conditionalFormatting>
  <conditionalFormatting sqref="MX504">
    <cfRule type="expression" dxfId="279" priority="104">
      <formula>AND(LEN(TRIM($MT504))&gt;0,LEN(TRIM(MX504))=0)</formula>
    </cfRule>
  </conditionalFormatting>
  <conditionalFormatting sqref="MX509">
    <cfRule type="expression" dxfId="278" priority="101">
      <formula>AND(LEN(TRIM($MT509))&gt;0,LEN(TRIM(MX509))=0)</formula>
    </cfRule>
  </conditionalFormatting>
  <conditionalFormatting sqref="MX514">
    <cfRule type="expression" dxfId="277" priority="98">
      <formula>AND(LEN(TRIM($MT514))&gt;0,LEN(TRIM(MX514))=0)</formula>
    </cfRule>
  </conditionalFormatting>
  <conditionalFormatting sqref="MX657">
    <cfRule type="expression" dxfId="276" priority="47">
      <formula>AND(LEN(TRIM($MT657))&gt;0,LEN(TRIM(MX657))=0)</formula>
    </cfRule>
  </conditionalFormatting>
  <conditionalFormatting sqref="MX661:MX662">
    <cfRule type="expression" dxfId="275" priority="42">
      <formula>AND(LEN(TRIM($MT661))&gt;0,LEN(TRIM(MX661))=0)</formula>
    </cfRule>
  </conditionalFormatting>
  <conditionalFormatting sqref="MX666:MX667">
    <cfRule type="expression" dxfId="274" priority="37">
      <formula>AND(LEN(TRIM($MT666))&gt;0,LEN(TRIM(MX666))=0)</formula>
    </cfRule>
  </conditionalFormatting>
  <conditionalFormatting sqref="MX671:MX672">
    <cfRule type="expression" dxfId="273" priority="27">
      <formula>AND(LEN(TRIM($MT671))&gt;0,LEN(TRIM(MX671))=0)</formula>
    </cfRule>
  </conditionalFormatting>
  <conditionalFormatting sqref="MX676:MX677">
    <cfRule type="expression" dxfId="272" priority="22">
      <formula>AND(LEN(TRIM($MT676))&gt;0,LEN(TRIM(MX676))=0)</formula>
    </cfRule>
  </conditionalFormatting>
  <conditionalFormatting sqref="MX681">
    <cfRule type="expression" dxfId="271" priority="21">
      <formula>AND(LEN(TRIM($MT681))&gt;0,LEN(TRIM(MX681))=0)</formula>
    </cfRule>
  </conditionalFormatting>
  <conditionalFormatting sqref="MX724:MX771">
    <cfRule type="expression" dxfId="270" priority="1085">
      <formula>AND(LEN(TRIM($MW724))&gt;0,LEN(TRIM(MX724))=0)</formula>
    </cfRule>
  </conditionalFormatting>
  <conditionalFormatting sqref="NA682:NA693 MR682:MT699 MN682:MN723 MR700:MS705 NA700:NA723 MR706:MT723">
    <cfRule type="expression" dxfId="269" priority="1586">
      <formula>AND(LEN(TRIM($MM682))&gt;0,LEN(TRIM(MN682))=0)</formula>
    </cfRule>
  </conditionalFormatting>
  <conditionalFormatting sqref="NA682:NA723">
    <cfRule type="expression" dxfId="268" priority="1569">
      <formula>AND(LEN(TRIM($MY682))&gt;0,LEN(TRIM(NA682))=0)</formula>
    </cfRule>
  </conditionalFormatting>
  <conditionalFormatting sqref="NB682:NB723">
    <cfRule type="expression" dxfId="267" priority="1563">
      <formula>AND(LEN(TRIM($NA682))&gt;0,LEN(TRIM(NB682))=0)</formula>
    </cfRule>
  </conditionalFormatting>
  <conditionalFormatting sqref="NB724:NB771 NB856:NB861 NB862:NC862 NB863:NB868 NB869:NC869 NB870:NB875 NB876:NC876 NC887 NC898">
    <cfRule type="expression" dxfId="266" priority="1612">
      <formula>AND(LEN(TRIM($NA724))&gt;0,LEN(TRIM(NB724))=0)</formula>
    </cfRule>
  </conditionalFormatting>
  <conditionalFormatting sqref="NB877:NB919 NC920:NC921 ND922 NB923:NB925 NC926:NC927 ND928:ND929 NB930 NC931 NB932:NB933 NC934 NB935 ND936 NB937 NC938 NB939:NB940 NC941 NB942 ND943 NB944 NC945 NB946:NB947 NC948 NB949 ND950 NB951 NC952 NB953:NB954 NC955 NB956 ND957 NB958 NC959 NB960:NB961 NC962 NB963 ND964 NB965 NC966 NB967:NB968 NC969 NB970 ND971 NB972 NC973 NB974:NB975 NC976 NB977 ND978 NB979 NC980 NB981:NB982 NC983 NB984">
    <cfRule type="expression" dxfId="265" priority="289">
      <formula>AND(LEN(TRIM($NA877))&gt;0,LEN(TRIM(NB877))=0)</formula>
    </cfRule>
  </conditionalFormatting>
  <conditionalFormatting sqref="NG770:NG771">
    <cfRule type="expression" dxfId="264" priority="62">
      <formula>AND(LEN(TRIM($NA770))&gt;0,LEN(TRIM(NG770))=0)</formula>
    </cfRule>
  </conditionalFormatting>
  <conditionalFormatting sqref="NJ434">
    <cfRule type="duplicateValues" dxfId="263" priority="1381"/>
  </conditionalFormatting>
  <conditionalFormatting sqref="NJ682:NJ704 NJ706:NJ723">
    <cfRule type="expression" dxfId="262" priority="1570">
      <formula>AND(LEN(TRIM($NE682))&gt;0,LEN(TRIM(NJ682))=0)</formula>
    </cfRule>
  </conditionalFormatting>
  <conditionalFormatting sqref="NJ705">
    <cfRule type="expression" dxfId="261" priority="1608">
      <formula>AND(LEN(TRIM($ND705))&gt;0,LEN(TRIM(NJ705))=0)</formula>
    </cfRule>
  </conditionalFormatting>
  <conditionalFormatting sqref="NK917:NL984">
    <cfRule type="expression" dxfId="260" priority="290">
      <formula>AND(LEN(TRIM($NJ917))&gt;0,LEN(TRIM(NK917))=0)</formula>
    </cfRule>
  </conditionalFormatting>
  <conditionalFormatting sqref="NK724:NM769 NA736:NA761 NK770:NK771 NM770:NM771 NK772:NM783 NL785:NM795 NK796:NM831 NK832:NK855 NM832:NM855 NK856:NM862 NK863:NK898 NM863:NM898 NK899:NM916">
    <cfRule type="expression" dxfId="259" priority="1613">
      <formula>AND(LEN(TRIM($NJ724))&gt;0,LEN(TRIM(NA724))=0)</formula>
    </cfRule>
  </conditionalFormatting>
  <conditionalFormatting sqref="NL21:NL28">
    <cfRule type="duplicateValues" dxfId="258" priority="1467"/>
  </conditionalFormatting>
  <conditionalFormatting sqref="NL111:NL200">
    <cfRule type="duplicateValues" dxfId="257" priority="1474"/>
  </conditionalFormatting>
  <conditionalFormatting sqref="NL221:NL238">
    <cfRule type="duplicateValues" dxfId="256" priority="1494"/>
  </conditionalFormatting>
  <conditionalFormatting sqref="NL239:NL256">
    <cfRule type="duplicateValues" dxfId="255" priority="1495"/>
  </conditionalFormatting>
  <conditionalFormatting sqref="NL257:NL274">
    <cfRule type="duplicateValues" dxfId="254" priority="1464"/>
  </conditionalFormatting>
  <conditionalFormatting sqref="NL281:NL286">
    <cfRule type="duplicateValues" dxfId="253" priority="481"/>
  </conditionalFormatting>
  <conditionalFormatting sqref="NL293:NL298">
    <cfRule type="duplicateValues" dxfId="252" priority="479"/>
  </conditionalFormatting>
  <conditionalFormatting sqref="NL305:NL310">
    <cfRule type="duplicateValues" dxfId="251" priority="478"/>
  </conditionalFormatting>
  <conditionalFormatting sqref="NL311:NL334">
    <cfRule type="duplicateValues" dxfId="250" priority="476"/>
  </conditionalFormatting>
  <conditionalFormatting sqref="NL335:NL352">
    <cfRule type="duplicateValues" dxfId="249" priority="1497"/>
  </conditionalFormatting>
  <conditionalFormatting sqref="NL353:NL370">
    <cfRule type="duplicateValues" dxfId="248" priority="477"/>
  </conditionalFormatting>
  <conditionalFormatting sqref="NL371:NL373">
    <cfRule type="duplicateValues" dxfId="247" priority="1452"/>
  </conditionalFormatting>
  <conditionalFormatting sqref="NL374:NL375">
    <cfRule type="duplicateValues" dxfId="246" priority="1451"/>
  </conditionalFormatting>
  <conditionalFormatting sqref="NL376:NL377">
    <cfRule type="duplicateValues" dxfId="245" priority="1500"/>
  </conditionalFormatting>
  <conditionalFormatting sqref="NL378:NL379">
    <cfRule type="duplicateValues" dxfId="244" priority="1449"/>
  </conditionalFormatting>
  <conditionalFormatting sqref="NL380:NL388">
    <cfRule type="duplicateValues" dxfId="243" priority="1427"/>
  </conditionalFormatting>
  <conditionalFormatting sqref="NL389:NL397">
    <cfRule type="duplicateValues" dxfId="242" priority="1419"/>
  </conditionalFormatting>
  <conditionalFormatting sqref="NL398:NL406">
    <cfRule type="duplicateValues" dxfId="241" priority="1408"/>
  </conditionalFormatting>
  <conditionalFormatting sqref="NL416:NL424">
    <cfRule type="duplicateValues" dxfId="240" priority="1395"/>
  </conditionalFormatting>
  <conditionalFormatting sqref="NL425:NL433">
    <cfRule type="duplicateValues" dxfId="239" priority="1393"/>
  </conditionalFormatting>
  <conditionalFormatting sqref="NL434">
    <cfRule type="duplicateValues" dxfId="238" priority="1379"/>
  </conditionalFormatting>
  <conditionalFormatting sqref="NL519:NL522">
    <cfRule type="duplicateValues" dxfId="237" priority="1380"/>
  </conditionalFormatting>
  <conditionalFormatting sqref="NL594:NL607">
    <cfRule type="duplicateValues" dxfId="236" priority="768"/>
  </conditionalFormatting>
  <conditionalFormatting sqref="NL608:NL614">
    <cfRule type="duplicateValues" dxfId="235" priority="1351"/>
  </conditionalFormatting>
  <conditionalFormatting sqref="NL615:NL621">
    <cfRule type="duplicateValues" dxfId="234" priority="1528"/>
  </conditionalFormatting>
  <conditionalFormatting sqref="NL622:NL628">
    <cfRule type="duplicateValues" dxfId="233" priority="1518"/>
  </conditionalFormatting>
  <conditionalFormatting sqref="NL629:NL635">
    <cfRule type="duplicateValues" dxfId="232" priority="1346"/>
  </conditionalFormatting>
  <conditionalFormatting sqref="NL636:NL642">
    <cfRule type="duplicateValues" dxfId="231" priority="1532"/>
  </conditionalFormatting>
  <conditionalFormatting sqref="NL643:NL649">
    <cfRule type="duplicateValues" dxfId="230" priority="1326"/>
  </conditionalFormatting>
  <conditionalFormatting sqref="NL650:NL656">
    <cfRule type="duplicateValues" dxfId="229" priority="1320"/>
  </conditionalFormatting>
  <conditionalFormatting sqref="NL832:NL843 NL407:NL415">
    <cfRule type="duplicateValues" dxfId="228" priority="1402"/>
  </conditionalFormatting>
  <conditionalFormatting sqref="NL844:NL855">
    <cfRule type="duplicateValues" dxfId="227" priority="769"/>
  </conditionalFormatting>
  <conditionalFormatting sqref="NL863:NL869">
    <cfRule type="duplicateValues" dxfId="226" priority="604"/>
  </conditionalFormatting>
  <conditionalFormatting sqref="NL870:NL876">
    <cfRule type="duplicateValues" dxfId="225" priority="565"/>
  </conditionalFormatting>
  <conditionalFormatting sqref="NL877:NL887">
    <cfRule type="duplicateValues" dxfId="224" priority="761"/>
  </conditionalFormatting>
  <conditionalFormatting sqref="NL888:NL898">
    <cfRule type="duplicateValues" dxfId="223" priority="523"/>
  </conditionalFormatting>
  <conditionalFormatting sqref="NL682:NM711 NL712:NL723 NM718:NM723">
    <cfRule type="expression" dxfId="222" priority="1565">
      <formula>AND(LEN(TRIM($NJ682))&gt;0,LEN(TRIM(NL682))=0)</formula>
    </cfRule>
  </conditionalFormatting>
  <conditionalFormatting sqref="NM917:NM921 NM931">
    <cfRule type="expression" dxfId="221" priority="294">
      <formula>AND(LEN(TRIM(#REF!))&gt;0,LEN(TRIM(NM917))=0)</formula>
    </cfRule>
  </conditionalFormatting>
  <conditionalFormatting sqref="NM922">
    <cfRule type="expression" dxfId="220" priority="295">
      <formula>AND(LEN(TRIM($NJ936))&gt;0,LEN(TRIM(NM922))=0)</formula>
    </cfRule>
  </conditionalFormatting>
  <conditionalFormatting sqref="NM923:NM926">
    <cfRule type="expression" dxfId="219" priority="198">
      <formula>AND(LEN(TRIM($NJ939))&gt;0,LEN(TRIM(NM923))=0)</formula>
    </cfRule>
  </conditionalFormatting>
  <conditionalFormatting sqref="NM927">
    <cfRule type="expression" dxfId="218" priority="197">
      <formula>AND(LEN(TRIM($NJ942))&gt;0,LEN(TRIM(NM927))=0)</formula>
    </cfRule>
  </conditionalFormatting>
  <conditionalFormatting sqref="NM928 NM938 NM951">
    <cfRule type="expression" dxfId="217" priority="297">
      <formula>AND(LEN(TRIM(#REF!))&gt;0,LEN(TRIM(NM928))=0)</formula>
    </cfRule>
  </conditionalFormatting>
  <conditionalFormatting sqref="NM929:NM930 NM936:NM937">
    <cfRule type="expression" dxfId="216" priority="293">
      <formula>AND(LEN(TRIM($NJ948))&gt;0,LEN(TRIM(NM929))=0)</formula>
    </cfRule>
  </conditionalFormatting>
  <conditionalFormatting sqref="NM932:NM935 NM939:NM942">
    <cfRule type="expression" dxfId="215" priority="296">
      <formula>AND(LEN(TRIM($NJ950))&gt;0,LEN(TRIM(NM932))=0)</formula>
    </cfRule>
  </conditionalFormatting>
  <conditionalFormatting sqref="NM943:NM949">
    <cfRule type="expression" dxfId="214" priority="174">
      <formula>AND(LEN(TRIM($NJ962))&gt;0,LEN(TRIM(NM943))=0)</formula>
    </cfRule>
  </conditionalFormatting>
  <conditionalFormatting sqref="NM950">
    <cfRule type="expression" dxfId="213" priority="167">
      <formula>AND(LEN(TRIM($NJ970))&gt;0,LEN(TRIM(NM950))=0)</formula>
    </cfRule>
  </conditionalFormatting>
  <conditionalFormatting sqref="NM952:NM958">
    <cfRule type="expression" dxfId="212" priority="164">
      <formula>AND(LEN(TRIM($NJ971))&gt;0,LEN(TRIM(NM952))=0)</formula>
    </cfRule>
  </conditionalFormatting>
  <conditionalFormatting sqref="NM959">
    <cfRule type="expression" dxfId="211" priority="165">
      <formula>AND(LEN(TRIM(#REF!))&gt;0,LEN(TRIM(NM959))=0)</formula>
    </cfRule>
  </conditionalFormatting>
  <conditionalFormatting sqref="NM960:NM963">
    <cfRule type="expression" dxfId="210" priority="166">
      <formula>AND(LEN(TRIM($NJ978))&gt;0,LEN(TRIM(NM960))=0)</formula>
    </cfRule>
  </conditionalFormatting>
  <conditionalFormatting sqref="NM964:NM970">
    <cfRule type="expression" dxfId="209" priority="157">
      <formula>AND(LEN(TRIM($NJ983))&gt;0,LEN(TRIM(NM964))=0)</formula>
    </cfRule>
  </conditionalFormatting>
  <conditionalFormatting sqref="NM971:NM977">
    <cfRule type="expression" dxfId="208" priority="156">
      <formula>AND(LEN(TRIM($NJ991))&gt;0,LEN(TRIM(NM971))=0)</formula>
    </cfRule>
  </conditionalFormatting>
  <conditionalFormatting sqref="NM978:NM984">
    <cfRule type="expression" dxfId="207" priority="149">
      <formula>AND(LEN(TRIM($NJ999))&gt;0,LEN(TRIM(NM978))=0)</formula>
    </cfRule>
  </conditionalFormatting>
  <conditionalFormatting sqref="NO724:NO984">
    <cfRule type="expression" dxfId="206" priority="291">
      <formula>AND($NO724&lt;$NN724, $NO724&lt;&gt;"Unspecified")</formula>
    </cfRule>
  </conditionalFormatting>
  <conditionalFormatting sqref="NS682:NT685 NS686:NU687 NS688:NT691 NS692:NU693 NS694:NT697 NS698:NU699 NS700:NT709 NU704:NU705 NS710:NU711 NS712:NT715 NS716:NU717 NS718:NT721 NS722:NU723">
    <cfRule type="expression" dxfId="205" priority="1571">
      <formula>AND(LEN(TRIM($NR682))&gt;0,LEN(TRIM(NS682))=0)</formula>
    </cfRule>
  </conditionalFormatting>
  <conditionalFormatting sqref="NT856:NT862">
    <cfRule type="expression" dxfId="204" priority="483">
      <formula>AND(LEN(TRIM(#REF!))&gt;0,LEN(TRIM(NT856))=0)</formula>
    </cfRule>
  </conditionalFormatting>
  <conditionalFormatting sqref="NT877:NT880">
    <cfRule type="expression" dxfId="203" priority="485">
      <formula>AND(LEN(TRIM($IB877))&gt;0,LEN(TRIM(NT877))=0)</formula>
    </cfRule>
  </conditionalFormatting>
  <conditionalFormatting sqref="NT883:NT887">
    <cfRule type="expression" dxfId="202" priority="484">
      <formula>AND(LEN(TRIM($IB883))&gt;0,LEN(TRIM(NT883))=0)</formula>
    </cfRule>
  </conditionalFormatting>
  <conditionalFormatting sqref="NT917:NT929 BD917:BF984 NT931:NT936 NT938:NT943 NT945:NT950 NT952:NT957 NT959:NT964 NT966:NT971 NT973:NT978 NT980:NT984">
    <cfRule type="expression" dxfId="201" priority="217">
      <formula>AND(LEN(TRIM(#REF!))&gt;0,LEN(TRIM(BD917))=0)</formula>
    </cfRule>
  </conditionalFormatting>
  <conditionalFormatting sqref="NU917:NU929">
    <cfRule type="expression" dxfId="200" priority="181">
      <formula>AND(LEN(TRIM($AV917))&gt;0,LEN(TRIM(NU917))=0)</formula>
    </cfRule>
  </conditionalFormatting>
  <dataValidations count="253">
    <dataValidation type="list" allowBlank="1" showInputMessage="1" showErrorMessage="1" prompt="Breed of the animal" sqref="ID682:ID723" xr:uid="{719FBF25-34D7-45E6-80F6-449C9E7BE969}">
      <formula1>INDIRECT($IB682)</formula1>
    </dataValidation>
    <dataValidation type="list" allowBlank="1" showInputMessage="1" showErrorMessage="1" sqref="GM682:GM723" xr:uid="{7C0DC6C1-E81E-48C8-867C-E5D491F427C0}">
      <formula1>INDIRECT($GL682)</formula1>
    </dataValidation>
    <dataValidation type="whole" allowBlank="1" showInputMessage="1" showErrorMessage="1" prompt="Year when the experiment stopped. Year End as stated by the author _x000a__x000a_Should be equal to start year or later" sqref="BB682:BB723" xr:uid="{034AB024-D4D3-4F42-A4B8-76DE4D8DB367}">
      <formula1>BA682</formula1>
      <formula2>2100</formula2>
    </dataValidation>
    <dataValidation type="decimal" operator="greaterThanOrEqual" allowBlank="1" showInputMessage="1" prompt="Canopy height  max if height is provided by ranges. Ex. If height is 50-70, complete with 70_x000a__x000a_Value should be above agrod_canopy_height_min, or write &quot;Unspecified&quot; if unknown." sqref="JI682:JI723" xr:uid="{7900FCB6-83BD-49F9-AA3C-DC19F5A3BC79}">
      <formula1>JH682</formula1>
    </dataValidation>
    <dataValidation type="decimal" allowBlank="1" showInputMessage="1" prompt="Shade max if shade is provided by ranges. Ex. If shade is 50-70, complete with 70_x000a__x000a_Value should be between agrof_shade_min and 100, or write &quot;Unspecified&quot; if unknown." sqref="JF682:JF723" xr:uid="{DF0DCAF7-5CB5-4A1A-8AC7-E1DBFB51DA73}">
      <formula1>JE682</formula1>
      <formula2>100</formula2>
    </dataValidation>
    <dataValidation type="list" allowBlank="1" showInputMessage="1" showErrorMessage="1" prompt="Variety, cultivar of the crop" sqref="HX682:HX723" xr:uid="{4048DA12-6274-495C-B464-3E986CDC9D1B}">
      <formula1>INDIRECT($HV682)</formula1>
    </dataValidation>
    <dataValidation type="list" allowBlank="1" showInputMessage="1" showErrorMessage="1" sqref="E682:E723" xr:uid="{128617FA-1A08-44EF-B7E2-E320C1544D84}">
      <formula1>INDIRECT($C682)</formula1>
    </dataValidation>
    <dataValidation type="list" allowBlank="1" showInputMessage="1" showErrorMessage="1" sqref="BH682:BH723" xr:uid="{1CE85834-FE27-40D0-9512-91946673C469}">
      <formula1>INDIRECT(BG682)</formula1>
    </dataValidation>
    <dataValidation allowBlank="1" showInputMessage="1" showErrorMessage="1" prompt="List the starting season of an experimental treatment in systems with &gt;1 growing season. If a region has unimodal rainfall or if seasonality is unespecified please leave this file blanck" sqref="IT682:IT723 IV724:IV771 IT772:IT929 IT938:IT943 IT945:IT950 IT952:IT957 IT931:IT936 IT966:IT971 IT973:IT978 IT980:IT984 IT959:IT964" xr:uid="{73BA8AEA-6323-43BB-9E30-8075CB48D5BE}"/>
    <dataValidation allowBlank="1" showInputMessage="1" showErrorMessage="1" prompt="Unique ID assigned to each site/treatment/managment." sqref="NT856:NT862 CC861:CC862 CC858 BI856:BI861 CH862 BS856:BS861 BX856:BX859 BX861:BX866 CC868:CC869 CC865 BI863:BI868 CH869 BS863:BS868 BS870:BS875 BX868:BX873 CC875:CC876 CC872 BI870:BI875 CH876 CC879:CC880 CC884:CC887 CH887 BS877:BS885 BX875:BX882 BI877:BI886 CC890:CC891 CC895:CC898 CH898 BX895:BX898 BS888:BS896 BX884:BX893 BI888:BI897 BN856:BN898 BE682:BE984 NT938:NT943 NT945:NT950 NT931:NT936 NT917:NT929 NT966:NT971 NT973:NT978 NT980:NT984 NT959:NT964 NT952:NT957" xr:uid="{2E8379FF-987D-4161-8FCE-51C53EE07106}"/>
    <dataValidation type="decimal" operator="greaterThanOrEqual" allowBlank="1" showInputMessage="1" showErrorMessage="1" sqref="JC682:JC723" xr:uid="{547CA5F4-B352-48B4-926A-645F1AC92183}">
      <formula1>0</formula1>
    </dataValidation>
    <dataValidation allowBlank="1" showInputMessage="1" showErrorMessage="1" prompt="Name of the agroforestry practice. This dimension captures whether trees are part of a rotation." sqref="JA682:JA723" xr:uid="{A3139D51-0D23-4D12-9881-99629FBAEB69}"/>
    <dataValidation allowBlank="1" showInputMessage="1" showErrorMessage="1" prompt="Complete with an easy to recognize name for the animal practice, you will use this name to reference it when building treatments later in the extraction process. Avoid using special characters." sqref="IE682:IE723" xr:uid="{6D777529-3971-439D-B0B7-3B5F9D3E1FF7}"/>
    <dataValidation type="list" allowBlank="1" showInputMessage="1" showErrorMessage="1" prompt="Name of the animal" sqref="IB682:IC723" xr:uid="{B235EEAE-CA52-4D7A-864A-2F20735446C4}">
      <formula1>AnimalsList</formula1>
    </dataValidation>
    <dataValidation type="decimal" operator="greaterThan" allowBlank="1" showInputMessage="1" showErrorMessage="1" prompt="Numerical value of animal growing density corresponding to the selected animal and density unit." sqref="GO682:GO723" xr:uid="{12E47AD1-E8B5-455F-9628-0A82B498C8C9}">
      <formula1>0</formula1>
    </dataValidation>
    <dataValidation type="list" allowBlank="1" showInputMessage="1" showErrorMessage="1" sqref="GL682:GL723" xr:uid="{AE347621-9892-4BD4-9DB3-68CCE3CA0E40}">
      <formula1>AnimalsList</formula1>
    </dataValidation>
    <dataValidation allowBlank="1" showInputMessage="1" showErrorMessage="1" prompt="Choose a easy to recognize name for the practice, you will use this name to reference it when building treatments later in the extraction process. Avoid using special characters." sqref="IW772:IW855 IV856:IV898 IX682:IX771 IV938:IV943 IV945:IV950 IV952:IV957 IV931:IV936 IV917:IV929 IV966:IV971 IV973:IV978 IV980:IV984 IV959:IV964" xr:uid="{760A0274-8201-4631-8048-5157EBE631DD}"/>
    <dataValidation allowBlank="1" showInputMessage="1" showErrorMessage="1" prompt="Fate of crop residues from the previous season" sqref="IU682:IU723" xr:uid="{22430EAA-971E-494B-9DEE-5CA5ADC9F22F}"/>
    <dataValidation type="whole" allowBlank="1" showInputMessage="1" sqref="IS682:IS723" xr:uid="{E7306139-9FB5-400B-A97C-523EC1408EC4}">
      <formula1>1900</formula1>
      <formula2>2100</formula2>
    </dataValidation>
    <dataValidation type="whole" allowBlank="1" showInputMessage="1" showErrorMessage="1" prompt="Intercropping start year" sqref="IN682:IN723" xr:uid="{70B0D29C-AF92-4B71-AF44-60D18A8B7128}">
      <formula1>1900</formula1>
      <formula2>2100</formula2>
    </dataValidation>
    <dataValidation type="list" allowBlank="1" showInputMessage="1" showErrorMessage="1" prompt="Please entery name of crop_x000a__x000a_If cell turns red, this means the crop was not selected as a study crop (crop01, crop02 etc.) Please adjust entries as necessary_x000a_" sqref="HV682:HW723" xr:uid="{A272BC5A-49BA-4287-A09F-FAB85076A677}">
      <formula1>CropList</formula1>
    </dataValidation>
    <dataValidation type="date" allowBlank="1" showInputMessage="1" prompt="Planting Date Start (dd/mm/yy)" sqref="HT682:HT723" xr:uid="{884BECB6-9453-4CA1-943D-655853A88162}">
      <formula1>1</formula1>
      <formula2>73415</formula2>
    </dataValidation>
    <dataValidation allowBlank="1" showInputMessage="1" showErrorMessage="1" prompt="Complete with an easy to recognize name for the planting method, you will use this name to reference it when building treatments later in the extraction process. Avoid using special characters." sqref="HQ682:HQ723" xr:uid="{51064ECA-E279-4D89-B8CD-CB800D46FD8A}"/>
    <dataValidation type="whole" operator="greaterThan" allowBlank="1" showInputMessage="1" showErrorMessage="1" prompt="How many times was the land tilled during one experimental season " sqref="HP682:HP723 HP929:HP977" xr:uid="{AB292A22-3EFF-4FBC-A773-A2AFB1D35BAD}">
      <formula1>0</formula1>
    </dataValidation>
    <dataValidation allowBlank="1" showInputMessage="1" showErrorMessage="1" prompt="Complete with an easy to recognize name for the tillage practice, you will use this name to reference it when building treatments later in the extraction process. Avoid using special characters." sqref="HK682:HK723" xr:uid="{FE244021-043C-4F7F-9463-97269FCEFE1C}"/>
    <dataValidation type="decimal" operator="greaterThanOrEqual" allowBlank="1" showInputMessage="1" showErrorMessage="1" prompt="Numerical value of tree planting density corresponding to the selected tree and density unit." sqref="EJ682:EJ723" xr:uid="{C2BC8AA7-D948-449C-84DB-1932ADBDEA76}">
      <formula1>0</formula1>
    </dataValidation>
    <dataValidation type="decimal" operator="greaterThanOrEqual" allowBlank="1" showInputMessage="1" showErrorMessage="1" prompt="Numerical value of tree planting density corresponding to the selected tree and density unit._x000a__x000a_Should be greater than 0" sqref="EF682:EF723" xr:uid="{1F1CE538-038B-4D7C-86F0-565691DBFAD5}">
      <formula1>0</formula1>
    </dataValidation>
    <dataValidation type="list" allowBlank="1" showInputMessage="1" showErrorMessage="1" prompt="Name of tree or shrub species used in the specific practice. Please use scientific name and be careful of your spelling. Use full scientific name, do not abbreviate genus" sqref="ED682:ED723 EH682:EH723" xr:uid="{D926A3D7-C4EF-4B4E-9CB5-6445D45EB128}">
      <formula1>trees</formula1>
    </dataValidation>
    <dataValidation type="decimal" operator="greaterThanOrEqual" allowBlank="1" showInputMessage="1" showErrorMessage="1" prompt="Numerical value of crop planting density corresponding to the selected crop and density unit._x000a__x000a_Should be greater than 0" sqref="BO682:BO723" xr:uid="{D4CDE4BE-D6F2-4F5F-A87F-9ABCFDDBB19D}">
      <formula1>0</formula1>
    </dataValidation>
    <dataValidation type="list" allowBlank="1" showInputMessage="1" showErrorMessage="1" prompt="Name of crop species including in the practice, first letter of name capitilized and the rest lowercase. Use common names of species. See crop lists in 01_crops$crop_names in 01_FOMD_ontologoies file." sqref="BL682:BL723 BG682:BG723 BQ682:BQ723" xr:uid="{DDFDB51A-4FFD-4026-A93B-F9050F13AEF1}">
      <formula1>CropList</formula1>
    </dataValidation>
    <dataValidation allowBlank="1" showInputMessage="1" showErrorMessage="1" prompt="Season as stated by the author" sqref="BC682:BC723" xr:uid="{37AF2571-4714-4BFF-850A-4DD9137A7470}"/>
    <dataValidation type="whole" allowBlank="1" showInputMessage="1" showErrorMessage="1" prompt="Year when the experiment started. Year Start as stated by the author" sqref="BA682:BA723" xr:uid="{D04D5099-6934-4DCD-B426-D2048078CD85}">
      <formula1>1900</formula1>
      <formula2>2100</formula2>
    </dataValidation>
    <dataValidation allowBlank="1" showInputMessage="1" showErrorMessage="1" prompt="Complete with the specific time period name the study provide" sqref="AZ682:AZ723" xr:uid="{26D5939B-75F2-40D5-AF3A-7712DFCB3EF3}"/>
    <dataValidation type="whole" operator="greaterThanOrEqual" allowBlank="1" showInputMessage="1" showErrorMessage="1" prompt="Should be 0 or greater" sqref="AY682:AY723" xr:uid="{8CC5FEE9-CBF2-4617-8F15-1D77AC469B7B}">
      <formula1>0</formula1>
    </dataValidation>
    <dataValidation type="decimal" operator="greaterThanOrEqual" allowBlank="1" showInputMessage="1" prompt="Field size in hectares_x000a__x000a_Should be greater than 0" sqref="AX682:AX723" xr:uid="{F910E398-0890-4BAC-800E-F7A1ED4A7C10}">
      <formula1>0</formula1>
    </dataValidation>
    <dataValidation type="decimal" operator="greaterThan" allowBlank="1" showInputMessage="1" prompt="The size of a treatment plot in the experiment, if variable use the mean value or mid-point of the size range._x000a__x000a_Valulue should be greater than 0" sqref="AW682:AW723" xr:uid="{2535BEB8-A71E-40A8-9C78-21A46CE56281}">
      <formula1>0</formula1>
    </dataValidation>
    <dataValidation allowBlank="1" showInputMessage="1" showErrorMessage="1" prompt="A plan specification that states how treatments are allocated to the experimental units during an agronomic trial. It refers to the conceptual framework within which the experiment is conducted. Source: AGRO" sqref="AV682:AV723" xr:uid="{30693781-EB4D-4AD8-96B0-41E0CCDEC29F}"/>
    <dataValidation allowBlank="1" showInputMessage="1" showErrorMessage="1" prompt="Standardised name of the specific study site_x000a__x000a_If site is present in the drop-down list, then this will be automatically completed." sqref="F682:F723" xr:uid="{BEFCE37A-6D92-4D9F-A2B4-333B377F3940}"/>
    <dataValidation type="decimal" operator="greaterThanOrEqual" allowBlank="1" showInputMessage="1" prompt="Canopy height  min if height is provided by ranges. Ex. If height is 50-70, complete with 50_x000a__x000a_Value should be above 0, or write &quot;Unspecified&quot; if unknown." sqref="JH682:JH723" xr:uid="{82DED76C-DD6E-46EA-AD78-E799FAA8CD9A}">
      <formula1>0</formula1>
    </dataValidation>
    <dataValidation type="decimal" operator="greaterThanOrEqual" allowBlank="1" showInputMessage="1" prompt="Canopy height mean if height is provided as mean. Ex. If height is 15 meters, complete with 15_x000a__x000a_Value should be above 0, or write &quot;Unspecified&quot; if unknown." sqref="JG682:JG723" xr:uid="{7D599078-B25D-4EEB-978F-9236DDE7DA70}">
      <formula1>0</formula1>
    </dataValidation>
    <dataValidation type="decimal" operator="greaterThanOrEqual" allowBlank="1" showInputMessage="1" prompt="Shade min if shade is provided by ranges. Ex. If shade is 50-70, complete with 50_x000a__x000a_Value should be between 0 and 100, or write &quot;Unspecified&quot; if unknown." sqref="JE682:JE723" xr:uid="{56763F3C-2E36-4772-8080-55B7747D286C}">
      <formula1>0</formula1>
    </dataValidation>
    <dataValidation type="decimal" allowBlank="1" showInputMessage="1" prompt="Shade mean if shade is provided as mean. Ex. If shade is 52%, complete with 52_x000a__x000a_Value should be between 0 and 100, or write &quot;Unspecified&quot; if unknown." sqref="JD682:JD723" xr:uid="{4E2829A9-4EDF-4819-95A3-B133F2A1A3E6}">
      <formula1>0</formula1>
      <formula2>100</formula2>
    </dataValidation>
    <dataValidation allowBlank="1" showInputMessage="1" showErrorMessage="1" prompt="Unit used to report elemental nutrient quantities (N, P, K) applied from organic fertilizers. Try to record kg/ha" sqref="JZ682:JZ723 KC724:KC771 JZ959:JZ964 JZ938:JZ943 JZ945:JZ950 JZ952:JZ957 JZ931:JZ936 JZ966:JZ971 JZ973:JZ978 JZ980:JZ984 JZ772:JZ898 JZ917:JZ929" xr:uid="{2C47E86B-52E2-4604-A7A4-21F6D622F123}"/>
    <dataValidation errorStyle="warning" operator="lessThanOrEqual" allowBlank="1" showInputMessage="1" showErrorMessage="1" prompt="Experimental design information, such as plot size, layout and notes on historical management. " sqref="MY682:MY916 MY930:MY935 MY937:MY942 MY944:MY949 MY951:MY956 MY979:MY984 MY958:MY963 MY965:MY970 MY972:MY977 AV856:AV898" xr:uid="{D0FE58A0-121A-4CF3-9AE5-6A0BBFF7A8C1}"/>
    <dataValidation type="date" allowBlank="1" showInputMessage="1" prompt="Planting Date End (dd/mm/yy)" sqref="HU708 HU714 HU720" xr:uid="{80228279-BE72-4D65-813D-AE74F70FB41C}">
      <formula1>HT714</formula1>
      <formula2>73415</formula2>
    </dataValidation>
    <dataValidation type="date" allowBlank="1" showInputMessage="1" prompt="Planting Date End (dd/mm/yy)" sqref="HU691:HU693 HU706:HU707 HU710:HU713 HU721:HU723 HU716:HU719" xr:uid="{8530A0FA-F047-4E2E-870C-75B423734A6E}">
      <formula1>HT701</formula1>
      <formula2>73415</formula2>
    </dataValidation>
    <dataValidation type="date" allowBlank="1" showInputMessage="1" prompt="Planting Date End (dd/mm/yy)" sqref="HU686:HU687" xr:uid="{7E140C39-0450-4FBB-A2F6-18373E89978A}">
      <formula1>HT699</formula1>
      <formula2>73415</formula2>
    </dataValidation>
    <dataValidation type="date" allowBlank="1" showInputMessage="1" prompt="Planting Date End (dd/mm/yy)" sqref="HU694:HU695 HU698:HU699" xr:uid="{AD61D7A3-E46E-453A-9EF7-642E1112A222}">
      <formula1>HT703</formula1>
      <formula2>73415</formula2>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E682:KE723 KH724:KH771 KE772:KE916 KE918:KE922 KE924:KE984" xr:uid="{17A7769C-C035-4C10-97FC-492C3EF385E2}"/>
    <dataValidation type="date" allowBlank="1" showInputMessage="1" prompt="Planting Date End (dd/mm/yy)" sqref="HU690" xr:uid="{DEAFE08F-4BCB-4A58-BAA4-2D7437DF79FD}">
      <formula1>HT698</formula1>
      <formula2>73415</formula2>
    </dataValidation>
    <dataValidation type="date" allowBlank="1" showInputMessage="1" prompt="Planting Date End (dd/mm/yy)" sqref="HU721:HU723 HU691:HU693" xr:uid="{4C6993F9-86D3-4422-887F-D5A0A8CBB573}">
      <formula1>HT705</formula1>
      <formula2>73415</formula2>
    </dataValidation>
    <dataValidation type="date" allowBlank="1" showInputMessage="1" prompt="Planting Date End (dd/mm/yy)" sqref="HU692:HU693 HU709:HU711 HU722:HU723 HU715:HU717" xr:uid="{8F552F9B-40B6-48BF-AEDF-AD55FB008C8B}">
      <formula1>HT704</formula1>
      <formula2>73415</formula2>
    </dataValidation>
    <dataValidation type="decimal" operator="greaterThanOrEqual" allowBlank="1" showInputMessage="1" prompt="Value should be above agrof_dhb_min, or write &quot;Unspecified&quot; if unknown." sqref="JJ682:JJ723" xr:uid="{DD5BA80E-6A68-4EDF-8603-DDD497378A41}">
      <formula1>#REF!</formula1>
    </dataValidation>
    <dataValidation type="date" allowBlank="1" showInputMessage="1" showErrorMessage="1" prompt="(Storage Date End for Postharvest)" sqref="MS682:MS723" xr:uid="{305CD149-A411-4244-A1FE-87C72A58D103}">
      <formula1>MR682</formula1>
      <formula2>73415</formula2>
    </dataValidation>
    <dataValidation type="date" operator="greaterThanOrEqual" allowBlank="1" showInputMessage="1" showErrorMessage="1" prompt="(Storage Date End for Postharvest)" sqref="MP682:MP723" xr:uid="{0C3A9094-9D5E-4374-AEFE-C19710291977}">
      <formula1>MO682</formula1>
    </dataValidation>
    <dataValidation type="date" operator="greaterThanOrEqual" allowBlank="1" showInputMessage="1" showErrorMessage="1" prompt="Harvest Date End (dd/mm/yy)" sqref="MK682:MK723" xr:uid="{9FAC93CE-C9AB-4155-A7D9-9FD82F510D53}">
      <formula1>MJ682</formula1>
    </dataValidation>
    <dataValidation type="date" operator="greaterThanOrEqual" allowBlank="1" showInputMessage="1" showErrorMessage="1" prompt="Date End of the irrigation" sqref="LY682:LY723" xr:uid="{2AF598A8-55FA-4D8B-A5D9-68926EC3C299}">
      <formula1>LX682</formula1>
    </dataValidation>
    <dataValidation type="date" allowBlank="1" showInputMessage="1" prompt="Planting Date End (dd/mm/yy)" sqref="HU701" xr:uid="{7F243908-E299-4FA5-BD48-2822D5F56D2F}">
      <formula1>HT697</formula1>
      <formula2>73415</formula2>
    </dataValidation>
    <dataValidation type="date" allowBlank="1" showInputMessage="1" prompt="Planting Date End (dd/mm/yy)" sqref="HU700 HU704:HU705" xr:uid="{3F7A6108-6308-4669-98E6-83242133AFE6}">
      <formula1>HT695</formula1>
      <formula2>73415</formula2>
    </dataValidation>
    <dataValidation type="date" allowBlank="1" showInputMessage="1" prompt="Planting Date End (dd/mm/yy)" sqref="HU696:HU697 HU684:HU685 HU690:HU691 HU708:HU709 HU714:HU715 HU720:HU721" xr:uid="{72802DD8-9D30-447A-9243-20564FEECAC7}">
      <formula1>HT685</formula1>
      <formula2>73415</formula2>
    </dataValidation>
    <dataValidation type="date" allowBlank="1" showInputMessage="1" prompt="Planting Date End (dd/mm/yy)" sqref="HU703" xr:uid="{4D8BE428-ADA1-4F14-A365-B453EB8F4785}">
      <formula1>HT705</formula1>
      <formula2>73415</formula2>
    </dataValidation>
    <dataValidation type="date" allowBlank="1" showInputMessage="1" prompt="Planting Date End (dd/mm/yy)" sqref="HU696" xr:uid="{BD4DDD60-1E38-46EE-8BFD-70CE17EFD5C6}">
      <formula1>HT701</formula1>
      <formula2>73415</formula2>
    </dataValidation>
    <dataValidation type="date" allowBlank="1" showInputMessage="1" prompt="Planting Date End (dd/mm/yy)" sqref="HU702" xr:uid="{67674A10-30DE-4483-AA73-10808A294813}">
      <formula1>HT694</formula1>
      <formula2>73415</formula2>
    </dataValidation>
    <dataValidation type="date" allowBlank="1" showInputMessage="1" prompt="Planting Date End (dd/mm/yy)" sqref="HU692:HU695 HU706:HU707 HU682:HU689 HU697:HU700 HU722:HU723 HU709:HU713 HU715:HU719" xr:uid="{3E5AD880-832C-4096-8B7C-0DFE99D589F2}">
      <formula1>#REF!</formula1>
      <formula2>73415</formula2>
    </dataValidation>
    <dataValidation type="date" allowBlank="1" showInputMessage="1" prompt="Planting Date End (dd/mm/yy)" sqref="HU685:HU687 HU697:HU699" xr:uid="{AD7FC47D-CEE4-4FEB-96F6-26DBC9C1E640}">
      <formula1>HT696</formula1>
      <formula2>73415</formula2>
    </dataValidation>
    <dataValidation type="whole"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PJ682:PJ723" xr:uid="{8A32E767-D22D-4594-8C6B-E1EC03F25E36}">
      <formula1>PI682</formula1>
      <formula2>2100</formula2>
    </dataValidation>
    <dataValidation type="decimal" operator="greaterThanOrEqual" allowBlank="1" showInputMessage="1" showErrorMessage="1" prompt="Upper limit for variation in suboutcome when  variation is reported as a confidence interval or interquartile range." sqref="OI682:OI723" xr:uid="{678AF17D-AE00-45AA-8DF7-EFDCB3ACA0BE}">
      <formula1>OH682</formula1>
    </dataValidation>
    <dataValidation allowBlank="1" showInputMessage="1" showErrorMessage="1" prompt="Detailed description of how the practice or sub-practice was implemented, including contextual or methodological qualifiers (e.g., frequency, intensity, timing, species used)." sqref="IO682:IO723 KI856:KI876 KH877:KI898 IM877:IM898 HK856:HK898 IG880:IG881 NT880 NT883 IG883 NT885 IG885 NT887 IG887 NT877 IG877 HQ856:HQ876 IO772:IO898 IV899:IV916 IH856:IH936 HV899:HV916 BD682:BD984 IH938:IH950 IH966:IH978 IH980:IH984 IH952:IH964" xr:uid="{6C5CE572-A36F-4019-A58B-68566C7F16EC}"/>
    <dataValidation type="whole" errorStyle="warning" operator="greaterThanOrEqual" allowBlank="1" showInputMessage="1" showErrorMessage="1" prompt="(Days after Storage for Postharvest)" sqref="MT682:MT699 NA682:NA693 NA700:NA723 MT706:MT723 MV724:MV771 MS772:MS916 MS918:MS922 MS924:MS984" xr:uid="{A58D3C8D-B16F-4B39-B292-786E06E7F245}">
      <formula1>30</formula1>
    </dataValidation>
    <dataValidation type="whole" errorStyle="warning" operator="greaterThanOrEqual" allowBlank="1" showInputMessage="1" showErrorMessage="1" prompt="Harvest Days After Planting" sqref="ML682:ML723 MN724:MN771 MK772:MK916 MK918:MK922 MK924:MK984" xr:uid="{D3C63630-9965-4CE5-9E9E-AC6E9F8F72B1}">
      <formula1>30</formula1>
    </dataValidation>
    <dataValidation type="list" allowBlank="1" showInputMessage="1" showErrorMessage="1" prompt="Tree (plant species). Only required if a material comes from a tree or shrub" sqref="LJ682:LJ723" xr:uid="{C8F45FA8-D1CB-4808-9824-BA0FE8AD81D5}">
      <formula1>tree.latin.name</formula1>
    </dataValidation>
    <dataValidation allowBlank="1" showInputMessage="1" showErrorMessage="1" prompt="(Days after Storage for Postharvest)" sqref="MQ682:MQ723" xr:uid="{A9695EBD-C163-4809-AAEE-7A2FB7E6C705}"/>
    <dataValidation type="date" allowBlank="1" showInputMessage="1" showErrorMessage="1" prompt="(Storage Date Start for Postharvest)" sqref="MO682:MO723 MR682:MR723" xr:uid="{D3B159DA-72A9-49AC-93F8-123D46968D87}">
      <formula1>1</formula1>
      <formula2>73415</formula2>
    </dataValidation>
    <dataValidation type="date" allowBlank="1" showInputMessage="1" showErrorMessage="1" prompt="Harvest Date Start (dd/mm/yy)" sqref="MJ682:MJ723" xr:uid="{7757BD5D-25D2-4E72-BA9E-BDAD551E8CE5}">
      <formula1>1</formula1>
      <formula2>73415</formula2>
    </dataValidation>
    <dataValidation type="decimal" operator="greaterThanOrEqual" allowBlank="1" showInputMessage="1" showErrorMessage="1" prompt="Amount of Water Applied" sqref="MA682:MA723" xr:uid="{99F09F07-5AD3-462B-8A0F-BE0781791D20}">
      <formula1>0</formula1>
    </dataValidation>
    <dataValidation type="date" allowBlank="1" showInputMessage="1" showErrorMessage="1" prompt="Date Start of the irrigation" sqref="LX682:LX723" xr:uid="{6AE9F64B-A278-4C30-B25F-6AED12D47089}">
      <formula1>1</formula1>
      <formula2>73415</formula2>
    </dataValidation>
    <dataValidation type="decimal" operator="greaterThanOrEqual" allowBlank="1" showInputMessage="1" showErrorMessage="1" prompt="Amount Applied. Captures the total amount of pH-altering material applied" sqref="LT682:LT723" xr:uid="{DFD057EE-A253-48B7-B1FB-B5D8DB250CDF}">
      <formula1>0</formula1>
    </dataValidation>
    <dataValidation type="decimal" operator="greaterThanOrEqual" allowBlank="1" showInputMessage="1" showErrorMessage="1" prompt="Amount of material applied in the study_x000a__x000a_Should be 0 or higher" sqref="LO682:LO723" xr:uid="{4DB8CDD5-876D-4107-9CEA-DD8372035772}">
      <formula1>0</formula1>
    </dataValidation>
    <dataValidation type="decimal" operator="greaterThanOrEqual" allowBlank="1" showInputMessage="1" prompt="Indicates the total amount of elemental potassium (K) from non-composted organic materials_x000a__x000a_Should be 0 or higher" sqref="LI682:LI723" xr:uid="{5A0AF824-3CB9-45E6-821B-5EE71CDA4349}">
      <formula1>0</formula1>
    </dataValidation>
    <dataValidation type="decimal" operator="greaterThanOrEqual" allowBlank="1" showInputMessage="1" prompt="Specifies the total amount of elemental phosphorus (P) from non-composted organic materials_x000a__x000a_Should be 0 or higher" sqref="LH682:LH723" xr:uid="{EBF4AF4B-84CC-45E8-9202-A0F641F3E9D4}">
      <formula1>0</formula1>
    </dataValidation>
    <dataValidation type="decimal" operator="greaterThanOrEqual" allowBlank="1" showInputMessage="1" prompt="Represents the total amount of elemental nitrogen (N) added from non-composted organic materials_x000a__x000a_Should be 0 or higher" sqref="LF682:LG723" xr:uid="{D38BEB1B-7575-4CFC-97FD-A65CE30437C5}">
      <formula1>0</formula1>
    </dataValidation>
    <dataValidation type="decimal" operator="greaterThanOrEqual" allowBlank="1" showInputMessage="1" showErrorMessage="1" prompt="Chemical amount applied_x000a__x000a_Should be 0 or higher" sqref="KV682:KV723" xr:uid="{B4CCA720-F4E0-4CF8-ADE9-2077D4F7EF8C}">
      <formula1>0</formula1>
    </dataValidation>
    <dataValidation allowBlank="1" showInputMessage="1" showErrorMessage="1" prompt="Complete with an easy to recognize name for the intercropping practice, you will use this name to reference it when building treatments later in the extraction process. Avoid using special characters." sqref="IJ682:IJ723" xr:uid="{52D09BE0-9D77-46D8-B905-14C5230D2F37}"/>
    <dataValidation allowBlank="1" showInputMessage="1" showErrorMessage="1" prompt="Unit for the planting density" sqref="BS694 BN703 BS697 BN697 BS700 BS703 BS682 BN685 BS685 BS688 BN691 BS691 BS709 BS706 BN709 BN715 BS715 BN721 BS721 BS712 BS718" xr:uid="{A5A70082-4F06-4501-ACDB-B0F1DBE48663}"/>
    <dataValidation type="decimal" operator="greaterThanOrEqual" allowBlank="1" showInputMessage="1" prompt="Numerical value of crop planting density corresponding to the selected crop and density unit._x000a__x000a_Should be greater than 0" sqref="BT696 BT705 BT699 BT702 BT687 BT684 BT693 BT690 BT708 BT711 BT717 BT714 BT723 BT720 BJ682:BJ723" xr:uid="{B8E8F3E4-DB59-4370-BD38-3063A80CEC54}">
      <formula1>0</formula1>
    </dataValidation>
    <dataValidation type="list" allowBlank="1" showInputMessage="1" showErrorMessage="1" prompt="Commercial or local name of the crop variety associated with the selected crop (e.g., Katumani, G2333, Maasai Red). Do not include the crop species name in this field." sqref="BR703:BR704 BR697:BR698 BR685:BR686 BR691:BR692 BR709:BR710 BR715:BR716 BR721:BR722 BM682:BM723" xr:uid="{8DCC7D76-F5D7-462B-8791-BD8BDD2D3FEC}">
      <formula1>INDIRECT(#REF!)</formula1>
    </dataValidation>
    <dataValidation type="decimal" operator="greaterThan" allowBlank="1" showInputMessage="1" showErrorMessage="1" prompt="Numerical value of crop planting density corresponding to the selected crop and density unit._x000a__x000a_Should be greater than 0" sqref="BT694:BT695 BT703:BT704 BT697:BT698 BT700:BT701 BT682:BT683 BT685:BT686 BT688:BT689 BT691:BT692 BT709:BT710 BT706:BT707 BT715:BT716 BT721:BT722 BT712:BT713 BT718:BT719" xr:uid="{1781FBC4-5151-4886-ADB8-353DE3E29FF4}">
      <formula1>0</formula1>
    </dataValidation>
    <dataValidation type="whole" operator="greaterThanOrEqual" allowBlank="1" showInputMessage="1" showErrorMessage="1" prompt="This only required for temporally aggregated observations in areas with more than one growing season" sqref="PA682:PA700 PG682:PG723 PA706:PA723" xr:uid="{F690D0BD-2BB2-44C0-BBD1-910385AF7B43}">
      <formula1>1</formula1>
    </dataValidation>
    <dataValidation type="decimal" allowBlank="1" showInputMessage="1" showErrorMessage="1" prompt="The calendar year the measurement was taken. Seasons in multi-season systems are identified by decimals ‘.1’ or ‘.2’ for the first and second season respectively." sqref="OW682:OW700 PH682:PH723 OW706:OW723" xr:uid="{130544E3-F830-4995-8A22-8A6F49D2EF5E}">
      <formula1>1900</formula1>
      <formula2>2100</formula2>
    </dataValidation>
    <dataValidation type="decimal" operator="greaterThanOrEqual" allowBlank="1" showInputMessage="1" showErrorMessage="1" prompt="Lower limit for variation in suboutcome when variation is reported as a confidence interval or interquartile range." sqref="NZ682:NZ700 OH682:OH723 NZ706:NZ723" xr:uid="{0A927FD2-7848-4386-AA67-43134CB32FD0}">
      <formula1>-9.99999999999999E+40</formula1>
    </dataValidation>
    <dataValidation type="decimal" errorStyle="warning" allowBlank="1" showInputMessage="1" showErrorMessage="1" prompt="Duration (Days). Use with Weight Gain subindicator." sqref="NT682:NT700 OB682:OB723 NT706:NT855 NT863:NT916 NT930:NT935 NT937:NT942 NT944:NT949 NT951:NT956 NT979:NT984 NT958:NT963 NT965:NT970 NT972:NT977" xr:uid="{972C53E5-DCEA-4D61-8C79-EE6BF5636CC5}">
      <formula1>0</formula1>
      <formula2>1000</formula2>
    </dataValidation>
    <dataValidation type="decimal" allowBlank="1" showInputMessage="1" showErrorMessage="1" prompt="Economic Period (Years). Use with Net Present Value (NPV) outcome or similar only." sqref="NQ682:NQ700 NQ706:NQ723" xr:uid="{162060A2-6B51-40AC-AB23-D6580C166740}">
      <formula1>0</formula1>
      <formula2>100</formula2>
    </dataValidation>
    <dataValidation allowBlank="1" showInputMessage="1" showErrorMessage="1" prompt="Description of the suboutcome as reported in the primary study or systematic synthesis. Record sufficient detail to clearly identify what was measured and how it was defined." sqref="NS682:NS723 NM718:NM723 NK682:NK723" xr:uid="{F0237DDF-2D1D-4FD5-BF4D-0FFC7405943A}"/>
    <dataValidation allowBlank="1" showInputMessage="1" showErrorMessage="1" prompt="Suboutcome or component of the outcome as reported (e.g., “yield per plot”, “gross margin”, “labour cost”, “aboveground biomass”). Use when the study reports multiple components under a broader outcome." sqref="NJ682:NJ700 NR682:NR723 NJ706:NJ723" xr:uid="{4ABF23C3-1972-48FC-9F16-83ECE95BE89A}"/>
    <dataValidation allowBlank="1" showInputMessage="1" showErrorMessage="1" prompt="For biodiversity outcomes, specify the functional group related to taxa assessed, if specified in the article" sqref="NG682:NG700 NO682:NO723 NG706:NG723" xr:uid="{31BBDB12-5C7B-4E3D-8ED5-F9B52A87DC26}"/>
    <dataValidation allowBlank="1" showInputMessage="1" showErrorMessage="1" prompt="taxa details, output from economic indictors" sqref="NA694:NA699" xr:uid="{A7258842-DF74-4BDD-B88F-3FBD61A513DB}"/>
    <dataValidation allowBlank="1" showInputMessage="1" showErrorMessage="1" prompt="The location in the paper where the data can be found. This should be three letters (fig, tab, or txt) in lowercase and a number (for figures and tables) to signify figure, table or text, respectively." sqref="PC682:PC723 OU682:OU723" xr:uid="{6F282F2A-A1ED-4F35-B03E-C239E9995BDA}"/>
    <dataValidation allowBlank="1" showInputMessage="1" showErrorMessage="1" prompt="Comparison Treatment (e.g. for LER or fertilizer use efficiency outcomes)" sqref="NU695:NU699 NU701:NU705 NU683:NU687 NU689:NU693 OC682:OC723 NU707:NU711 NU713:NU717 NU719:NU723" xr:uid="{7D0CA704-55B6-49D8-979C-5EB398A03875}"/>
    <dataValidation type="whole"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Z682:OZ700 PK682:PK723 OZ706:OZ723" xr:uid="{4FA79F19-EFA1-447A-9150-AB7E6B46720B}">
      <formula1>1</formula1>
    </dataValidation>
    <dataValidation type="whole"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X682:OX700 PI682:PI723 OX706:OX723" xr:uid="{858A8DFD-D452-47BB-83C3-562C8259C1F2}">
      <formula1>1900</formula1>
      <formula2>2100</formula2>
    </dataValidation>
    <dataValidation type="whole" operator="greaterThanOrEqual" allowBlank="1" showInputMessage="1" prompt="Number of independent sampling units on which the sub-outcome estimate is based for this specific practice. " sqref="OJ682:OJ723 OB682:OB723" xr:uid="{4CFE3541-CC79-4B2A-9DD5-9CBDCE93D8C5}">
      <formula1>0</formula1>
    </dataValidation>
    <dataValidation type="decimal" errorStyle="warning" operator="greaterThanOrEqual" allowBlank="1" showInputMessage="1" showErrorMessage="1" prompt="Value measure of dispersion when variation is reported as standard deviation or standard error" sqref="OG682:OG723 NY724:NY771 NY784:NY984" xr:uid="{DABF99E2-D6FA-4A54-8B17-B4C5C1702490}">
      <formula1>0</formula1>
    </dataValidation>
    <dataValidation type="decimal" operator="greaterThanOrEqual" allowBlank="1" showInputMessage="1" showErrorMessage="1" prompt="Numerical value corresponding to the reported central tendency of the sub-outcome." sqref="OE682:OE723" xr:uid="{FD7DA69C-0181-4ECD-A134-171901329DF2}">
      <formula1>-9.99999999999999E+30</formula1>
    </dataValidation>
    <dataValidation allowBlank="1" showInputMessage="1" showErrorMessage="1" prompt="Mean Starting Weight. Use with Weight Gain subindicator. You may take the average across all treatments if the starting weights are similar and the difference between them is small relative to the total change in wieght." sqref="NS682:NS700 OA682:OA723 NS706:NS723" xr:uid="{13970D69-04CD-473C-B31E-FBEBA2AD71D0}"/>
    <dataValidation type="decimal" operator="greaterThanOrEqual" allowBlank="1" showInputMessage="1" showErrorMessage="1" prompt="Starting Weight Unit. Use with Weight Gain subindicator." sqref="NR682:NR700 NZ682:NZ723 NR706:NR723" xr:uid="{A45C00BF-BCA2-404B-B67D-4DC4364C294D}">
      <formula1>0</formula1>
    </dataValidation>
    <dataValidation type="decimal" allowBlank="1" showInputMessage="1" showErrorMessage="1" prompt="Economic Discount Rate (%). Typically associated with calculations of Net Present Value (NPV)." sqref="NP682:NP700 NP706:NP723" xr:uid="{6DDDB0F5-E264-443E-AE4E-7CFC504B72DD}">
      <formula1>0</formula1>
      <formula2>100</formula2>
    </dataValidation>
    <dataValidation type="decimal" errorStyle="warning" allowBlank="1" showInputMessage="1" showErrorMessage="1" prompt="Soil outcome depths (cm) upper. Upper depth of measurement (cm) for soil outcomes" sqref="NO682:NO700 NO706:NO984" xr:uid="{65C4F02E-B8F6-440E-91C6-3CB7B0DAE2B8}">
      <formula1>0</formula1>
      <formula2>200</formula2>
    </dataValidation>
    <dataValidation type="decimal" errorStyle="warning" allowBlank="1" showInputMessage="1" showErrorMessage="1" prompt="Soil outcome depths (cm) lower. Lower depth of measurement (cm) for soil outcomes" sqref="NN682:NN700 NN706:NN984" xr:uid="{97784F19-CA3B-4BCD-9A3C-9761ECBDA5CC}">
      <formula1>0</formula1>
      <formula2>200</formula2>
    </dataValidation>
    <dataValidation allowBlank="1" showInputMessage="1" showErrorMessage="1" prompt="Complete with an easy to recognize name for the practice, you will use this name to reference it when building treatments later in the extraction process. Avoid using special characters." sqref="MU682:MU700 MU706:MU723 MY682:MY723 MG682:MH723 KY682:LC723 KW682:KW723 LU682:LV723 MM682:MM723 LP682:LP723" xr:uid="{44DAC701-B1FB-4E82-8F80-F5588F8C1C25}"/>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HM705:HP705 HM696:HP696 HM699:HP699 HM702:HP702 HM687:HP687 HM684:HP684 HM693:HP693 HM690:HP690 HM708:HP708 HM711:HP711 HM717:HP717 HM714:HP714 HM723:HP723 HM720:HP720 BI899:BJ916 BM899:BO902 BM903:BN904 BM905:BO908 BM909:BN910 BM911:BO914 BM915:BN916 AU724:AU984 T724:T984 AC724:AC984 AL724:AL984 K682:K984 HM774:HN775 HM778:HN779 HM782:HN783 HM786:HN787 HM790:HN791 HM794:HN795 HM798:HN799 HM802:HN803 HM806:HN807 HM810:HN811 HM814:HN815 HM818:HN819 HM822:HN823 HM826:HN827 HM830:HN831 HM834:HN835 HM838:HN839 HM842:HN843 HM846:HN847 HM850:HN851 HM854:HN855 HM929:HN977 HO929:HO935 HO943:HO949 HO957:HO963 HO971:HO977 HP929:HP977" xr:uid="{379E589B-57F3-49A2-88F1-3C8DC9E15B8E}"/>
    <dataValidation type="decimal" errorStyle="warning" operator="greaterThanOrEqual" allowBlank="1" showInputMessage="1" showErrorMessage="1" prompt="Numerical value corresponding to the reported central tendency of the sub-outcome." sqref="NW682:NW935 NW943:NW984" xr:uid="{DC0BD332-B7AE-42ED-9CA6-11E52B7C2AAB}">
      <formula1>-9.99999999999999E+30</formula1>
    </dataValidation>
    <dataValidation type="decimal" errorStyle="warning" operator="greaterThanOrEqual" allowBlank="1" showInputMessage="1" prompt="Numerical value of crop planting density corresponding to the selected crop and density unit._x000a__x000a_Should be greater than 0" sqref="BY704 BY698 BY700:BY701 CD700:CD702 CD682:CD684 BY682:BY683 BY686 CD688:CD690 BY688:BY689 BY692 CD694:CD696 BY694:BY695 CD706:CD708 BY706:BY707 BY710 CD712:CD714 BY712:BY713 BY716 CD718:CD720 BY718:BY719 BY722 BO915:BO916 BJ887:BJ893 BT881:BT883 BT859:BT860 BI862 BT857 BY858:BY859 BY865:BY866 BT866:BT867 BI869 BT864 BO867:BO869 BY868:BY869 BS869:BT869 BY872:BY873 BT873:BT874 BI876 BT871 BY861:BY862 BO860:BO862 BS862:BT862 BO874:BO876 BY875:BY876 BS876:BT876 BY879:BY882 BI887 BY884:BY887 BS886:BT887 BO883:BO887 BT892:BT894 BY890:BY893 BS897:BS898 CD859:CD864 BJ862:BJ866 BJ869:BJ873 CD866:CD871 BJ876:BJ882 CD873:CD878 CD881:CD889 BO724:BO855 BY724:BY855 BT724:BT855 CD724:CD857 BJ724:BJ859 BI898:BJ898 BO894:BO898 CS724:CS916 BO909:BO910 BO903:BO904 CN724:CN916 CI724:CI916 CX724:CX916 EB724:EB916 DW724:DW916 DR724:DR916 DM724:DM916 DH724:DH916 DC724:DC916 CD892:CD916 BY895:BY916 BT897:BT916 DC918:DC922 DH918:DH922 DM918:DM922 DR918:DR922 DW918:DW922 EB918:EB922 BT918:BT922 BY918:BY922 CD918:CD922 CI918:CI922 CN918:CN922 CS918:CS922 CX918:CX922 BO918:BO922 CS924:CS984 CN924:CN984 CI924:CI984 CD924:CD984 BY924:BY984 BT924:BT984 EB924:EB984 DW924:DW984 DR924:DR984 DM924:DM984 DH924:DH984 DC924:DC984 BO924:BO984 CX924:CX984 BJ917:BJ984" xr:uid="{96C276CB-AD8F-45F6-9B99-A55F837ED4BD}">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W698:BW702 BR699:BR702 CB700:CB702 BW682:BW684 CB682:CB684 BR682:BR684 CB688:CB690 CB694:CB696 BR693:BR696 BW692:BW696 BW686:BW690 BR687:BR690 CB706:CB708 BR711:BR714 BW710:BW714 BW704:BW708 BR705:BR708 CB712:CB714 BR717:BR720 BW716:BW720 CB718:CB720 BX894:BY894 BX860:BY860 BX867:BY867 BX874:BY874 BX883:BY883 DA724:DA898 DF724:DF898 DK724:DK898 DP724:DP898 DU724:DU898 DZ724:DZ898 BM724:BM898 BR723:BR898 BW722:BW898 CB724:CB898 CG724:CG898 CL724:CL898 CQ724:CQ898 CV724:CV898 BH724:BH898" xr:uid="{9EA5A42B-0383-4F9F-A3D5-67B9E24279FA}">
      <formula1>INDIRECT(BG682)</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BV704 BV698 BV700:BV702 CA700:CA702 CA682:CA684 BV682:BV684 BV686 CA688:CA690 BV688:BV690 BV692 CA694:CA696 BV694:BV696 CA706:CA708 BV706:BV708 BV710 CA712:CA714 BV712:BV714 BV716 CA718:CA720 BV718:BV720 BV722 CU724:CU916 CP724:CP916 CK724:CK916 CF724:CF916 CA724:CA916 BV724:BV916 BQ724:BQ916 BL724:BL984 DY724:DY916 DT724:DT916 DO724:DO916 DJ724:DJ916 DE724:DE916 CZ724:CZ916 BG724:BG984 CZ918:CZ922 DE918:DE922 DJ918:DJ922 DO918:DO922 DT918:DT922 DY918:DY922 BQ918:BQ922 BV918:BV922 CA918:CA922 CF918:CF922 CK918:CK922 CP918:CP922 CU918:CU922 CP924:CP984 CK924:CK984 CF924:CF984 CA924:CA984 BV924:BV984 BQ924:BQ984 DY924:DY984 DT924:DT984 DO924:DO984 DJ924:DJ984 DE924:DE984 CZ924:CZ984 CU924:CU984" xr:uid="{5776455A-EDFA-43CD-96E3-3FF19DBFA92C}">
      <formula1>CropList</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MC682:MC723 LR724:LR771 LX724:LX771 MO724:MO771 MJ724:MJ771 MW724:MW771 ME724:ME771 KY724:KY771 MB772:MB929 MT772:MT916 MG772:MG916 ML772:ML916 LT772:LT916 LO772:LO916 KV772:KV916 LO918:LO922 LT918:LT922 ML918:ML922 MG918:MG922 MT918:MT922 KV918:KV922 MB938:MB943 MB945:MB950 MB931:MB936 MB966:MB971 MB973:MB978 MB980:MB984 MB959:MB964 MB952:MB957 MG924:MG984 ML924:ML984 LT924:LT984 LO924:LO984 KV924:KV984 MT924:MT984" xr:uid="{2ADF129A-42B7-4649-B2C6-67EB5D162EE7}"/>
    <dataValidation type="decimal" errorStyle="warning" operator="greaterThanOrEqual" allowBlank="1" showInputMessage="1" showErrorMessage="1" prompt="Chemical amount applied_x000a__x000a_Should be 0 or higher" sqref="KU701:KU705 KU695:KU699 KU683:KU687 KU689:KU693 KU707:KU711 KU713:KU717 KQ682:KQ723 KM682:KM723 KU719:KU723 KT724:KT771 KX724:KX771 KP724:KP771 KU924:KU984 KU840:KU850 KM772:KM916 KU888:KU916 KQ918:KQ922 KU918:KU922 KM918:KM922 KQ924:KQ984 KM924:KM984 KU772:KU778 KU780:KU790 KQ852:KQ916 KU792:KU802 KU804:KU814 KU816:KU826 KU828:KU838 KQ772:KQ778 KQ816:KQ826 KQ804:KQ814 KQ828:KQ838 KQ780:KQ790 KQ840:KQ850 KQ792:KQ802 KU852:KU876" xr:uid="{08A5FBF5-74A4-4FC4-BBED-40B4011AF147}">
      <formula1>0</formula1>
    </dataValidation>
    <dataValidation type="decimal" errorStyle="warning" operator="greaterThanOrEqual" allowBlank="1" showInputMessage="1" showErrorMessage="1" prompt="Total elemental potassium applied from organic sources (e.g., compost, manure, biosolid)." sqref="KC682:KC723 KF724:KF771 KC924:KC984 KC918:KC922 KC772:KC898" xr:uid="{8D098A69-D60C-45D6-89B0-C4CD9EC3146D}">
      <formula1>0</formula1>
    </dataValidation>
    <dataValidation type="decimal" errorStyle="warning" operator="greaterThanOrEqual" allowBlank="1" showInputMessage="1" showErrorMessage="1" prompt="Total elemental phosphorus applied from organic sources (e.g., compost, manure, biosolid)." sqref="KB682:KB723 KE724:KE771 KB924:KB984 KB918:KB922 KB772:KB898" xr:uid="{1EF807BE-0B32-4973-B436-953EAD5574C2}">
      <formula1>0</formula1>
    </dataValidation>
    <dataValidation type="decimal" errorStyle="warning" operator="greaterThanOrEqual" allowBlank="1" showInputMessage="1" showErrorMessage="1" prompt="Total elemental nitrogen applied  from organic sources (e.g., compost, manure, biosolid)." sqref="KA682:KA723 KD724:KD771 KA924:KA984 KA918:KA922 KA772:KA898" xr:uid="{7064F0BB-9D00-4B8F-8120-92D4E8C978C7}">
      <formula1>0</formula1>
    </dataValidation>
    <dataValidation errorStyle="warning" allowBlank="1" showInputMessage="1" showErrorMessage="1" prompt="Total elemental nitrogen, phosphorus, and potassium applied from inorganic sources (e.g., urea or DAP)." sqref="JO682:JO723 JR724:JR771 JO924:JO984 JO918:JO922 JO772:JO916" xr:uid="{45B2C002-BEE9-4C8E-ABA7-643F2B816EA8}"/>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I682:KI723 KP875:KP898 KI772:KI855 KP856:KP859 KP861:KP866 KP868:KP873 KL856:KL898 KL724:KL771 KI899:KI916 KI918:KI922 KI924:KI984" xr:uid="{9D619487-3A7C-432D-A6C1-EF131C351499}"/>
    <dataValidation type="decimal" errorStyle="warning" operator="greaterThanOrEqual" allowBlank="1" showInputMessage="1" showErrorMessage="1" prompt="Total potassium applied from inorganic sources presented as potassium oxide (K2O)." sqref="JU682:JU723 JX724:JX771 JU772:JU916 JU918:JU922 JU924:JU984" xr:uid="{ED29816C-8ABC-4F53-A114-161FEABC5854}">
      <formula1>0</formula1>
    </dataValidation>
    <dataValidation type="decimal" errorStyle="warning" operator="greaterThanOrEqual" allowBlank="1" showInputMessage="1" showErrorMessage="1" prompt="Total phosphorus applied from inorganic sources presented as phosphorus pentoxide (P2O5) ." sqref="JT682:JT723 JW724:JW771 JT772:JT916 JT918:JT922 JT924:JT984" xr:uid="{844D7B68-E095-4301-B7D4-7D2EFB96AE13}">
      <formula1>0</formula1>
    </dataValidation>
    <dataValidation type="decimal" errorStyle="warning" operator="greaterThanOrEqual" allowBlank="1" showInputMessage="1" showErrorMessage="1" prompt="Total elemental potassium applied from inorganic sources (e.g., potassium chloride or monopotassium phosphate)." sqref="JS682:JS723 JV724:JV771 JS924:JS984 JS918:JS922 JS772:JS916" xr:uid="{CF545502-CE19-497D-808D-19BCB0B160B0}">
      <formula1>0</formula1>
    </dataValidation>
    <dataValidation type="decimal" errorStyle="warning" operator="greaterThanOrEqual" allowBlank="1" showInputMessage="1" showErrorMessage="1" prompt="Total elemental phosphorus applied from inorganic sources (e.g., rock phosphate or DAP)." sqref="JR682:JR723 JU724:JU771 JR924:JR984 JR918:JR922 JS780:JS783 JR772:JR779 JR784:JR791 JS792:JS795 JR796:JR803 JS804:JS807 JR808:JR815 JS816:JS819 JR820:JR827 JS828:JS831 JR832:JR839 JS840:JS843 JR844:JR851 JR856:JR916 JS852:JS855" xr:uid="{0C931CEA-F98A-40F6-9EA6-34107BA7EB3D}">
      <formula1>0</formula1>
    </dataValidation>
    <dataValidation type="decimal" errorStyle="warning" operator="greaterThanOrEqual" allowBlank="1" showInputMessage="1" showErrorMessage="1" prompt="Total elemental nitrogen applied from inorganic sources (e.g., urea or DAP)." sqref="JQ682:JQ723 JT724:JT771 JQ924:JQ984 JQ918:JQ922 JQ772:JQ916" xr:uid="{69BC6470-935C-4FBD-B7B1-1BEE13192422}">
      <formula1>0</formula1>
    </dataValidation>
    <dataValidation errorStyle="warning" allowBlank="1" showInputMessage="1" showErrorMessage="1" prompt="Comparison Treatment (e.g. for LER or fertilizer use efficiency outcomes)" sqref="NU694 NU700 NU682 NU688 NU706 NU712 NU718 NU724:NU898 NX856:NX898 NU930:NU935 NU938:NU942 NU944:NU949 NU952:NU956 NU980:NU984 NU958:NU963 NU966:NU970 NU972:NU977" xr:uid="{ACAD9BE5-6552-40B6-9B24-CD45A23DF439}"/>
    <dataValidation type="decimal" errorStyle="warning" operator="greaterThanOrEqual" allowBlank="1" showInputMessage="1" showErrorMessage="1" prompt="Total elemental nitrogen, phosphorus, and potassium applied from organic sources (e.g., compost, manure, biosolid)." sqref="JY682:JY723 KB724:KB771 JY924:JY984 JY918:JY922 JY772:JY898" xr:uid="{851566FF-5E32-43FD-9F9A-030368D6F749}">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K682:KK723 KK856:KK916 KK804:KK806 KK796:KK798 KK800:KK802 KK784:KK786 KK792:KK794 KK776:KK778 KK772:KK774 KK844:KK846 KK788:KK790 KK954:KK959 KK780:KK782 KK812:KK814 KK808:KK810 KK816:KK818 KK824:KK826 KK828:KK830 KK820:KK822 KK836:KK838 KK832:KK834 KK848:KK850 KK840:KK842 KK918:KK922 KK947:KK952 KK933:KK938 KK924:KK931 KK982:KK984 KK975:KK980 KK961:KK966 KK940:KK945 KK968:KK973 KK852:KK854" xr:uid="{88032B93-22E8-403C-8B6B-279D09F349AC}">
      <formula1>INDIRECT($KJ682)</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682:KO723 KO894:KO916 KO954:KO959 KO883:KO892 KO918:KO922 KO947:KO952 KO933:KO938 KO924:KO931 KO982:KO984 KO975:KO980 KO961:KO966 KO940:KO945 KO968:KO973 KO772:KO881" xr:uid="{3CD53C5B-522D-4226-89B3-AB76015D25BA}">
      <formula1>INDIRECT($KN682)</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S701:KS705 KP851 KS719:KS723 KS695:KS699 KS713:KS717 KS707:KS711 KS683:KS687 KS689:KS693 KS918:KS922 KS947:KS952 KS933:KS938 KS924:KS931 KS982:KS984 KS975:KS980 KS961:KS966 KS940:KS945 KS968:KS973 KS954:KS959 KP779 KP791 KP803 KP815 KP827 KP839 KS772:KS916" xr:uid="{904D3E84-FDEA-471C-B435-EAB1F538C9BA}">
      <formula1>INDIRECT($KR683)</formula1>
    </dataValidation>
    <dataValidation type="list" errorStyle="warning" allowBlank="1" showInputMessage="1" showErrorMessage="1" prompt="Name of the organic fertilizer" sqref="JW682:JW723 JW954:JW959 JW918:JW922 JW947:JW952 JW933:JW938 JW924:JW931 JW982:JW984 JW975:JW980 JW961:JW966 JW940:JW945 JW968:JW973 JW772:JW916" xr:uid="{9F10E940-C9EC-4782-9963-59C53D2DD0FD}">
      <formula1>INDIRECT($JV682)</formula1>
    </dataValidation>
    <dataValidation errorStyle="warning" allowBlank="1" showInputMessage="1" showErrorMessage="1" prompt="Unit used to report elemental nutrient quantities (N, P, K) applied from inorganic fertilizers. Try to record kg/ha" sqref="JP899:JP916 JS724:JS771 JN844:JN851 JN820:JN827 JN772:JN779 JN784:JN791 JN796:JN803 JN808:JN815 JN832:JN839 JP772:JP887" xr:uid="{A4480792-41D8-4C37-9ECB-39743622C1FC}"/>
    <dataValidation type="date" errorStyle="warning" allowBlank="1" showInputMessage="1" prompt="Planting Date End (dd/mm/yy)" sqref="HT796:HT798 HT800:HT802 HT772:HT774 HT776:HT778 HT784:HT786 HT788:HT790 HT792:HT794 HT808:HT810 HT812:HT814 HT820:HT822 HT824:HT826 HT804:HT806 HT832:HT834 HT836:HT838 HT816:HT818 HT828:HT830 HT844:HT846 HT848:HT850 HT840:HT842 HT852:HT854 HU724:HU747 HT780:HT782 HU762:HU855 HU912:HU916 HU905:HU907 HU899:HU901 HU909:HU910 HU922" xr:uid="{2664DCAE-A741-45A6-BC15-25F6632EA624}">
      <formula1>HS727</formula1>
      <formula2>73415</formula2>
    </dataValidation>
    <dataValidation errorStyle="warning" allowBlank="1" showInputMessage="1" showErrorMessage="1" prompt="For biodiversity outcomes, specify the functional group related to taxa assessed, if specified in the article" sqref="NJ899:NJ916 NG724:NG769 NG772:NG984" xr:uid="{D120839F-B8EC-4F25-BC58-B4AE66529314}"/>
    <dataValidation type="decimal" errorStyle="warning" operator="greaterThanOrEqual" allowBlank="1" showInputMessage="1" showErrorMessage="1" prompt="Lower limit for variation in suboutcome when variation is reported as a confidence interval or interquartile range." sqref="NZ724:NZ984" xr:uid="{2C7510C8-0201-4CB6-A479-7A54DF46D318}">
      <formula1>-9.99999999999999E+40</formula1>
    </dataValidation>
    <dataValidation type="date" errorStyle="warning" allowBlank="1" showInputMessage="1" showErrorMessage="1" prompt="(Storage Date End for Postharvest)" sqref="MU724:MU771 MR772:MR916 MR918:MR922 MR947:MR952 MR933:MR938 MR924:MR931 MR982:MR984 MR975:MR980 MR961:MR966 MR940:MR945 MR968:MR973 MR954:MR959" xr:uid="{6E6D16CE-A034-41FE-A2F1-581775882B16}">
      <formula1>MQ724</formula1>
      <formula2>73415</formula2>
    </dataValidation>
    <dataValidation type="date" errorStyle="warning" allowBlank="1" showInputMessage="1" showErrorMessage="1" prompt="(Storage Date Start for Postharvest)" sqref="MT724:MT771 MQ772:MQ916 MQ918:MQ922 MQ924:MQ984" xr:uid="{090766B9-4888-4E7E-AE3A-1EE7AAA611ED}">
      <formula1>1</formula1>
      <formula2>73415</formula2>
    </dataValidation>
    <dataValidation type="date" errorStyle="warning" operator="greaterThanOrEqual" allowBlank="1" showInputMessage="1" showErrorMessage="1" prompt="Harvest Date End (dd/mm/yy)" sqref="MM724:MM771 MJ772:MJ916 MJ918:MJ922 MJ947:MJ952 MJ933:MJ938 MJ924:MJ931 MJ982:MJ984 MJ975:MJ980 MJ961:MJ966 MJ940:MJ945 MJ968:MJ973 MJ954:MJ959" xr:uid="{3765FBC2-A97D-45D3-9866-855C1103893B}">
      <formula1>MI724</formula1>
    </dataValidation>
    <dataValidation type="date" errorStyle="warning" allowBlank="1" showInputMessage="1" showErrorMessage="1" prompt="Harvest Date Start (dd/mm/yy)" sqref="ML724:ML771 MI772:MI916 MI918:MI922 MI924:MI984" xr:uid="{4EC3F1B7-3066-4352-B777-B28852D6D2CD}">
      <formula1>1</formula1>
      <formula2>73415</formula2>
    </dataValidation>
    <dataValidation type="list" errorStyle="warning" allowBlank="1" showInputMessage="1" showErrorMessage="1" prompt="Tree (plant species). Only required if a material comes from a tree or shrub" sqref="LL724:LL771 LI772:LI916 LI918:LI922 LI924:LI984" xr:uid="{EA15D598-2388-47BF-8949-0434FDD6192F}">
      <formula1>tree.latin.name</formula1>
    </dataValidation>
    <dataValidation errorStyle="warning" allowBlank="1" showInputMessage="1" showErrorMessage="1" prompt="Name of the agroforestry practice. This dimension captures whether trees are part of a rotation." sqref="IZ772:IZ855 IY856:IY898 JA724:JA771" xr:uid="{7C5AE310-7106-444C-BCE9-5481CE7A75A0}"/>
    <dataValidation type="decimal" errorStyle="warning" operator="greaterThanOrEqual" allowBlank="1" showInputMessage="1" showErrorMessage="1" prompt="Amount of Water Applied" sqref="MC724:MC771 LZ772:LZ916 LZ918:LZ922 LZ924:LZ984" xr:uid="{BF334BF7-3EE4-4511-A238-B4ADB7E913FF}">
      <formula1>0</formula1>
    </dataValidation>
    <dataValidation type="date" errorStyle="warning" operator="greaterThanOrEqual" allowBlank="1" showInputMessage="1" showErrorMessage="1" prompt="Date End of the irrigation" sqref="MA724:MA771 LX772:LX916 LX918:LX922 LX947:LX952 LX933:LX938 LX924:LX931 LX982:LX984 LX975:LX980 LX961:LX966 LX940:LX945 LX968:LX973 LX954:LX959" xr:uid="{C0FF830C-DBB5-44F0-AECB-F626ACCD0DF7}">
      <formula1>LW724</formula1>
    </dataValidation>
    <dataValidation type="date" errorStyle="warning" allowBlank="1" showInputMessage="1" showErrorMessage="1" prompt="Date Start of the irrigation" sqref="LZ724:LZ771 LW772:LW916 LW918:LW922 LW924:LW984" xr:uid="{EA303D7C-BCBD-4C7C-95E1-999A9B86B98F}">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Q724:HQ855 HQ877:HQ916 HQ918:HQ922 HQ924:HQ984" xr:uid="{480073FF-0396-4C60-BFF3-DA59B2DBCCBE}"/>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K724:HK855 HK899:HK916 HK918:HK922 HK924:HK984" xr:uid="{1FC2832B-DEC8-4C4B-BC06-9A649EDC84F9}"/>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PC856:PC898 OU724:OU855 OX899:OX904 OU909:OU910 OW905:OW916 OJ918:OJ922 OJ931 OJ938 OJ924:OJ929 OJ945 OJ940:OJ943 OJ954:OJ957 OJ952 OJ947:OJ950 OJ933:OJ936 OJ959 OJ968:OJ971 OJ966 OJ975:OJ978 OJ973 OJ982:OJ984 OJ980 OJ961:OJ964" xr:uid="{6CBC2DCB-1949-498C-B83D-D3AAA64E9968}"/>
    <dataValidation type="decimal" errorStyle="warning" operator="greaterThanOrEqual" allowBlank="1" showInputMessage="1" showErrorMessage="1" prompt="Amount Applied. Captures the total amount of pH-altering material applied" sqref="LW724:LW771 LS772:LS916 LS918:LS922 LS924:LS984" xr:uid="{C75796F6-F91D-44E3-80E9-A370CDF23DD5}">
      <formula1>0</formula1>
    </dataValidation>
    <dataValidation type="decimal" errorStyle="warning" operator="greaterThanOrEqual" allowBlank="1" showInputMessage="1" showErrorMessage="1" prompt="Amount of material applied in the study_x000a__x000a_Should be 0 or higher" sqref="LQ724:LQ771 LN772:LN916 LN918:LN922 LN924:LN984" xr:uid="{B5694E3F-3C3E-40CC-B64B-FDE812FE4FE2}">
      <formula1>0</formula1>
    </dataValidation>
    <dataValidation type="whole" errorStyle="warning" allowBlank="1" showInputMessage="1" prompt="The start year of the crop rotation practice" sqref="IU724:IU771 IS924:IS984 IS918:IS922 IS772:IS916" xr:uid="{606B2F91-39D3-45A2-93B2-FB401B82068E}">
      <formula1>1900</formula1>
      <formula2>2100</formula2>
    </dataValidation>
    <dataValidation errorStyle="warning" allowBlank="1" showInputMessage="1" showErrorMessage="1" prompt="Intercropping start season" sqref="IN772:IN855 IM856:IM876 IM724:IM771 IM899:IM916 IM918:IM922 IM924:IM984" xr:uid="{EF1FEA8E-9687-4E66-A6F7-07F07C389092}"/>
    <dataValidation type="whole" errorStyle="warning" allowBlank="1" showInputMessage="1" showErrorMessage="1" prompt="Intercropping start year" sqref="IM772:IM855 IL724:IL771 IL856:IL916 IL918:IL922 IL924:IL984" xr:uid="{8B15CD11-F226-4E46-9913-3B7216F1657B}">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I772:II855 IH724:IH771 IQ724:IQ771 IO772:IO855 IO899:IO916 IO918:IO922 IH931:IH935 IH937:IH942 IH945:IH949 IH951:IH956 IH979:IH984 IH959:IH963 IH965:IH970 IH973:IH977 IO924:IO984" xr:uid="{0A08FE25-BB87-4265-9E12-57C6B75EA642}"/>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Y724:OY855 OY905:OY916" xr:uid="{8CAF9AD6-8540-4AB6-9D10-273C23B6470B}">
      <formula1>OX724</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PF856:PF898 OX966:OX970 PA899:PA904 OX905:OX916 OX931:OX935 OX938:OX942 OX959:OX963 OX724:OX855" xr:uid="{A970E12F-CD89-40A4-A18B-FE60555011C3}">
      <formula1>1900</formula1>
      <formula2>2100</formula2>
    </dataValidation>
    <dataValidation type="decimal" errorStyle="warning" operator="greaterThan" allowBlank="1" showInputMessage="1" prompt="The size of a treatment plot in the experiment, if variable use the mean value or mid-point of the size range._x000a__x000a_Valulue should be greater than 0" sqref="AW899:AW916 AW724:AW855" xr:uid="{F22C8BF3-A14F-4C04-8F69-7EC03398AFCE}">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899:AV984 AV724:AV855" xr:uid="{B550E6F6-C584-401C-B6AD-7E77E170764F}"/>
    <dataValidation type="decimal" errorStyle="warning" operator="greaterThanOrEqual" allowBlank="1" showInputMessage="1" prompt="Value should be above 0, or write &quot;Unspecified&quot; if unknown." sqref="JJ772:JJ855 JI856:JI898 JK724:JK771 JH899:JH916 JH918:JH922 JH924:JH984" xr:uid="{81634B21-EFD6-4587-9A4F-F87B555CA8D7}">
      <formula1>0</formula1>
    </dataValidation>
    <dataValidation type="decimal" errorStyle="warning" operator="greaterThanOrEqual" allowBlank="1" showInputMessage="1" showErrorMessage="1" prompt="Value should be above 0, or write &quot;Unspecified&quot; if unknown." sqref="JI772:JI855 JH856:JH898 JJ724:JJ771 JG899:JG916 JG918:JG922 JG924:JG984" xr:uid="{3D086E7E-59C8-4851-8C2C-37ECDF5CD749}">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H772:JH855 JG856:JG898 JI724:JI771 JF899:JF916 JF918:JF922 JF947:JF952 JF933:JF938 JF924:JF931 JF982:JF984 JF975:JF980 JF961:JF966 JF940:JF945 JF968:JF973 JF954:JF959" xr:uid="{5C81D8D4-36D0-4B46-B054-09623B9D0735}">
      <formula1>JE724</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G772:JG855 JF856:JF898 JH724:JH771 JE899:JE916 JE918:JE922 JE924:JE984" xr:uid="{05A89733-E896-4639-8D89-23842606C351}">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F772:JF855 JE856:JE898 JG724:JG771 JD899:JD916 JD918:JD922 JD924:JD984" xr:uid="{3AD709CB-9A49-4A42-908E-0577B541DAAD}">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E772:JE855 JD856:JD898 JF724:JF771 JC899:JC916 JC918:JC922 JC947:JC952 JC933:JC938 JC924:JC931 JC982:JC984 JC975:JC980 JC961:JC966 JC940:JC945 JC968:JC973 JC954:JC959" xr:uid="{9C2AE320-F0D8-4396-A1CB-4AA48AB6E215}">
      <formula1>JB724</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D772:JD855 JC856:JC898 JE724:JE771 JB899:JB916 JB918:JB922 JB924:JB984" xr:uid="{F87BD5F0-36EB-488F-86C9-A16C2872BB78}">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C772:JC855 JB856:JB898 JD724:JD771 JA899:JA916 JA918:JA922 JA924:JA984" xr:uid="{A2CCCEE3-CC67-4FFE-9D67-EA7113978386}">
      <formula1>0</formula1>
      <formula2>100</formula2>
    </dataValidation>
    <dataValidation type="whole" errorStyle="warning" operator="greaterThanOrEqual" allowBlank="1" showInputMessage="1" showErrorMessage="1" prompt="This only required for temporally aggregated observations in areas with more than one growing season" sqref="PC772:PC855 PA724:PA771 PA856:PA916 PA930:PA935 PA937:PA942 PA944:PA949 PA951:PA956 PA979:PA984 PA958:PA963 PA965:PA970 PA972:PA977" xr:uid="{9D2E0F31-F5E3-47DA-9C4E-5993ABED1AF4}">
      <formula1>1</formula1>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PJ856:PJ898 OZ724:OZ771 OZ899:OZ916 OZ930:OZ935 OZ937:OZ942 OZ944:OZ949 OZ951:OZ956 OZ979:OZ984 OZ958:OZ963 OZ965:OZ970 OZ972:OZ977" xr:uid="{293B2D6E-5543-4BBE-94C6-823213CF2278}">
      <formula1>1</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S724:NS984" xr:uid="{CA5C58A7-E559-4488-A925-72D97C2CA552}"/>
    <dataValidation type="decimal" errorStyle="warning" operator="greaterThanOrEqual" allowBlank="1" showInputMessage="1" showErrorMessage="1" prompt="Starting Weight Unit. Use with Weight Gain subindicator." sqref="NR724:NR984" xr:uid="{6A8C3B2C-AF64-4842-9737-1A093CDA2CB2}">
      <formula1>0</formula1>
    </dataValidation>
    <dataValidation type="decimal" errorStyle="warning" allowBlank="1" showInputMessage="1" showErrorMessage="1" prompt="Economic Discount Rate (%). Typically associated with calculations of Net Present Value (NPV)." sqref="NP724:NP984" xr:uid="{1DC24E28-359F-4D60-B797-D28735A6F14F}">
      <formula1>0</formula1>
      <formula2>100</formula2>
    </dataValidation>
    <dataValidation type="decimal" errorStyle="warning" operator="greaterThanOrEqual" allowBlank="1" showInputMessage="1" prompt="Indicates the total amount of elemental potassium (K) from non-composted organic materials_x000a__x000a_Should be 0 or higher" sqref="NT877:NT887 LH772:LH876 LK724:LK771 LH888:LH916" xr:uid="{8DE57BA2-53CC-455D-B5C3-50043C4575A4}">
      <formula1>0</formula1>
    </dataValidation>
    <dataValidation type="decimal" errorStyle="warning" operator="greaterThanOrEqual" allowBlank="1" showInputMessage="1" prompt="Specifies the total amount of elemental phosphorus (P) from non-composted organic materials_x000a__x000a_Should be 0 or higher" sqref="LJ724:LJ771 LF772:LG916" xr:uid="{4887B2BA-DB88-416D-9F9D-75C1FF07946A}">
      <formula1>0</formula1>
    </dataValidation>
    <dataValidation type="decimal" errorStyle="warning" operator="greaterThanOrEqual" allowBlank="1" showInputMessage="1" prompt="Represents the total amount of elemental nitrogen (N) added from non-composted organic materials_x000a__x000a_Should be 0 or higher" sqref="LI724:LI771 LD772:LE916 LH917:LH984 LD917:LD984 LF917:LF984 LB917:LB984" xr:uid="{1230F3A8-FA07-453D-874F-63FC639DB82A}">
      <formula1>0</formula1>
    </dataValidation>
    <dataValidation errorStyle="warning" allowBlank="1" showInputMessage="1" showErrorMessage="1" prompt="Frequency of the weeding practice" sqref="KH772:KH876 KK724:KK771 KH899:KH916 KH918:KH922 KH924:KH984" xr:uid="{0E7E7BD9-DDE1-4A97-9966-C7ED6C492363}"/>
    <dataValidation errorStyle="warning" allowBlank="1" showInputMessage="1" showErrorMessage="1" prompt="Fate of crop residues from the previous season" sqref="IU772:IU855 IW724:IW771" xr:uid="{157FC97D-C7C8-4ED9-81DF-266EB789D037}"/>
    <dataValidation type="decimal" errorStyle="warning" allowBlank="1" showInputMessage="1" showErrorMessage="1" prompt="The calendar year the measurement was taken. Seasons in multi-season systems are identified by decimals ‘.1’ or ‘.2’ for the first and second season respectively." sqref="PE856:PE898 OW772:OW855 OY770:OY771 OW724:OW769 OZ899:OZ904 OW909:OW910 OL918:OL922 OL931 OW930:OW935 OL938 OW937:OW942 OL924:OL929 OL945 OL940:OL943 OW944:OW949 OL954:OL957 OL952 OL947:OL950 OL933:OL936 OW951:OW956 OW979:OW984 OL959 OW958:OW963 OL968:OL971 OL966 OW965:OW970 OL975:OL978 OL973 OW972:OW977 OL982:OL984 OL980 OL961:OL964" xr:uid="{3C084D86-460B-4383-9A28-A862B128ECBC}">
      <formula1>1900</formula1>
      <formula2>2100</formula2>
    </dataValidation>
    <dataValidation type="decimal" errorStyle="warning" allowBlank="1" showInputMessage="1" showErrorMessage="1" prompt="Economic Period (Years). Use with Net Present Value (NPV) outcome or similar only." sqref="NQ724:NQ984" xr:uid="{3D3D481D-15E7-4FBF-A524-02AD8A3C1C83}">
      <formula1>0</formula1>
      <formula2>100</formula2>
    </dataValidation>
    <dataValidation type="decimal" errorStyle="warning" operator="greaterThanOrEqual" allowBlank="1" showInputMessage="1" showErrorMessage="1" prompt="Upper limit for variation in suboutcome when  variation is reported as a confidence interval or interquartile range." sqref="OA724:OA949 NW936:NW942 OA957:OA977" xr:uid="{1923AAE7-EA14-4ABF-8CA6-EC760CA6FE38}">
      <formula1>NV724</formula1>
    </dataValidation>
    <dataValidation type="whole" errorStyle="warning" operator="greaterThanOrEqual" allowBlank="1" showInputMessage="1" prompt="Number of independent sampling units on which the sub-outcome estimate is based for this specific practice. " sqref="OB724:OB898 OB911:OB984 NW899:NW910" xr:uid="{D97F0AC0-3D92-4D47-BB7C-50EA89F66227}">
      <formula1>0</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NJ724:NJ898 NA762:NA771 NJ909:NJ910 NJ917:NJ984" xr:uid="{027A1A12-FA31-4163-886E-A634C1F27082}"/>
    <dataValidation errorStyle="warning" allowBlank="1" showInputMessage="1" showErrorMessage="1" prompt="Description of the suboutcome as reported in the primary study or systematic synthesis. Record sufficient detail to clearly identify what was measured and how it was defined." sqref="NK724:NK783 NJ784:NJ795 NA736:NA761 NK796:NK984" xr:uid="{32A170B4-17A8-4D7C-91DF-14C542EC9132}"/>
    <dataValidation errorStyle="warning" allowBlank="1" showInputMessage="1" showErrorMessage="1" prompt="taxa details, output from economic indictors" sqref="NA724:NA735 NA856:NA916 NA918:NA922 NA924:NA984" xr:uid="{0BB0A35E-6F58-42C8-81EA-6F0321F52A4A}"/>
    <dataValidation type="decimal" errorStyle="warning" operator="greaterThanOrEqual" allowBlank="1" showInputMessage="1" showErrorMessage="1" prompt="Number of years since the agroforestry system or comparator was established or transitioned to its current state, measured at the time of the study. Report values in years using a numeric format" sqref="JC724 JC730 JC736 JC742 JC749 JC762 JB796 JB792 JB800 JB804 JB772 JB776 JB780 JB784 JB788 JB808 JB812 JB816 JB820 JB824 JB828 JB832 JB836 JB840 JB844 JB848 JB852 JC757 IZ918:IZ922 IZ924:IZ984" xr:uid="{D8F47236-D22B-4F3A-9D89-044246A745E3}">
      <formula1>0</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R724 GR757 GR844 GR848 GR852 GR832 GR836 GR840 GR820 GR824 GR828 GR808 GR812 GR816 GR788 GR792 GR772 GR776 GR780 GR796 GR800 GR804 GR784 GR762 GR749 GR742 GR736 GR730 GR918:GR922 GR947:GR952 GR933:GR938 GR924:GR931 GR982:GR984 GR975:GR980 GR961:GR966 GR940:GR945 GR968:GR973 GR954:GR959" xr:uid="{FC65B853-B6C3-43BC-A47F-5B28C3BF6C4D}">
      <formula1>INDIRECT($GQ724)</formula1>
    </dataValidation>
    <dataValidation type="decimal" errorStyle="warning" operator="greaterThanOrEqual" allowBlank="1" showInputMessage="1" showErrorMessage="1" sqref="JC725:JC729 JC731:JC735 JC737:JC741 JC758:JC761 JB821:JB823 JB813:JB815 JB805:JB807 JB797:JB799 JB801:JB803 JB789:JB791 JB773:JB775 JB777:JB779 JC763:JC771 JB793:JB795 JB785:JB787 JB817:JB819 JB809:JB811 JB825:JB827 JB829:JB831 JB837:JB839 JB833:JB835 JB841:JB843 JB845:JB847 JB849:JB851 JA856:JA898 JB853:JB855 JB781:JB783 JC743:JC748 JC750:JC756 IZ899:IZ916" xr:uid="{3101AD3A-B2C2-4794-8270-C1FF5713761B}">
      <formula1>0</formula1>
    </dataValidation>
    <dataValidation type="list" errorStyle="warning" allowBlank="1" showInputMessage="1" showErrorMessage="1" sqref="GR725:GR729 GR731:GR735 GR758:GR761 GR750:GR756 GR743:GR748 GR781:GR783 GR849:GR851 GR845:GR847 GR841:GR843 GR837:GR839 GR833:GR835 GR829:GR831 GR825:GR827 GR821:GR823 GR813:GR815 GR817:GR819 GR763:GR771 GR785:GR787 GR789:GR791 GR773:GR775 GR777:GR779 GR793:GR795 GR797:GR799 GR801:GR803 GR809:GR811 GR805:GR807 GR737:GR741 GR853:GR916" xr:uid="{D3941458-8129-48F3-90D2-591CFE713D2E}">
      <formula1>INDIRECT($GQ725)</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882 KO893" xr:uid="{E3B19FF4-84B0-437D-9375-91ADD97810CC}">
      <formula1>INDIRECT(#REF!)</formula1>
    </dataValidation>
    <dataValidation type="decimal" errorStyle="warning" operator="greaterThanOrEqual" allowBlank="1" showInputMessage="1" prompt="Value should be above agrof_dhb_min, or write &quot;Unspecified&quot; if unknown." sqref="JJ856:JJ898 JI954:JI959 JI899:JI916 JI918:JI922 JI947:JI952 JI933:JI938 JI924:JI931 JI982:JI984 JI975:JI980 JI961:JI966 JI940:JI945 JI968:JI973 JK824:JK831 JK800:JK807 JK788:JK795 JK776:JK783 JK812:JK819 JK836:JK843 JK848:JK855" xr:uid="{6FC8B9D0-5BCE-41A6-B765-50D41A181705}">
      <formula1>JH776</formula1>
    </dataValidation>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J924:JJ984 JJ899:JJ916 JJ918:JJ922 JL772 JL810:JL820 JL786:JL796 JL798:JL808 JL822:JL832 JL774:JL784 JL834:JL844 JL846:JL855" xr:uid="{143AFB7E-A125-4B45-8E08-DF8DAC6F7032}"/>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PI856:PI898" xr:uid="{EA1FB1B4-DE06-49CF-ACC6-25E5D7AF8E6B}">
      <formula1>PF856</formula1>
      <formula2>2100</formula2>
    </dataValidation>
    <dataValidation type="decimal" errorStyle="warning" operator="lessThanOrEqual" allowBlank="1" showInputMessage="1" showErrorMessage="1" prompt="Size of Harvested Plot (m2)." sqref="AW856:AW898" xr:uid="{5E20A7F6-4E0C-4374-9D1B-84E7C83B8DC7}">
      <formula1>WVO856</formula1>
    </dataValidation>
    <dataValidation type="date" errorStyle="warning" allowBlank="1" showInputMessage="1" prompt="Planting Date End (dd/mm/yy)" sqref="HU748 HU750 HU756 HU918:HU920 HU928" xr:uid="{EC201537-B2D8-4F0A-B246-9C9EF4CD40E2}">
      <formula1>HT753</formula1>
      <formula2>73415</formula2>
    </dataValidation>
    <dataValidation type="date" errorStyle="warning" allowBlank="1" showInputMessage="1" prompt="Planting Date End (dd/mm/yy)" sqref="HU749 HU751 HU753 HU757 HU759" xr:uid="{97DD65F6-7972-48CD-B115-3CC87F5BD477}">
      <formula1>HT750</formula1>
      <formula2>73415</formula2>
    </dataValidation>
    <dataValidation type="date" errorStyle="warning" allowBlank="1" showInputMessage="1" prompt="Planting Date End (dd/mm/yy)" sqref="HU760" xr:uid="{0E8BD939-4014-43B1-8F01-266AF4D8ECC0}">
      <formula1>HT771</formula1>
      <formula2>73415</formula2>
    </dataValidation>
    <dataValidation type="date" errorStyle="warning" allowBlank="1" showInputMessage="1" prompt="Planting Date End (dd/mm/yy)" sqref="HU752 HU754" xr:uid="{772E5A8B-7C08-465F-A0A7-9B1B803041A9}">
      <formula1>HT762</formula1>
      <formula2>73415</formula2>
    </dataValidation>
    <dataValidation type="date" errorStyle="warning" allowBlank="1" showInputMessage="1" prompt="Planting Date End (dd/mm/yy)" sqref="HU755 HU924:HU926" xr:uid="{C49B960B-10AE-4CEA-8A5C-D82B57D9FE24}">
      <formula1>HT763</formula1>
      <formula2>73415</formula2>
    </dataValidation>
    <dataValidation type="date" errorStyle="warning" allowBlank="1" showInputMessage="1" prompt="Planting Date End (dd/mm/yy)" sqref="HU758 HU761 HU929:HU931 HU947:HU952 HU933:HU938 HU982:HU984 HU975:HU980 HU961:HU966 HU940:HU945 HU968:HU973 HU954:HU959" xr:uid="{152DD376-8E75-441C-9FF7-0D3688DFE58D}">
      <formula1>#REF!</formula1>
      <formula2>73415</formula2>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H724:H771 O724:O898 X724:X898 AG724:AG898 F724:F898 AP724:AP898" xr:uid="{B4C358E2-C648-472F-B8C8-1CC93DBC6356}"/>
    <dataValidation type="list" errorStyle="warning" allowBlank="1" showInputMessage="1" showErrorMessage="1" prompt="Name of the organic fertilizer" sqref="JZ724:JZ771" xr:uid="{D3375C45-2467-407C-A075-AC17D8E93E50}">
      <formula1>INDIRECT($JY724)</formula1>
    </dataValidation>
    <dataValidation type="list" errorStyle="warning" allowBlank="1" showInputMessage="1" prompt="Please use active ingredient name over trade-name of product, unless the  product contains multiple active ingredients then it is acceptible to use the product name." sqref="KN724:KN771" xr:uid="{E9444A6E-62DE-4D36-A780-CEE578DEBB9A}">
      <formula1>INDIRECT($KM724)</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V724:KV771" xr:uid="{92858304-40D0-492A-A8D2-37A1BEF146CE}">
      <formula1>INDIRECT($KU724)</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R724:KR771" xr:uid="{E310B1B7-DAFB-4BD2-963D-F65A32122ABC}">
      <formula1>INDIRECT($KQ724)</formula1>
    </dataValidation>
    <dataValidation type="decimal" errorStyle="warning" operator="lessThanOrEqual" allowBlank="1" showInputMessage="1" showErrorMessage="1" prompt="Size of Harvested Plot (m2)." sqref="MZ682:MZ916 MZ930 MZ937 MZ951 MZ944 MZ958 MZ965 MZ979 MZ972" xr:uid="{1DDDEB14-FD68-4D4F-AAC2-3A581ACFC0E2}">
      <formula1>AW682</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M954:JM959 JM918:JM922 JM947:JM952 JM933:JM938 JM924:JM931 JM982:JM984 JM975:JM980 JM961:JM966 JM940:JM945 JM968:JM973 JM682:JM916" xr:uid="{D36AE503-C403-4B90-88C7-B43D1F894D0C}">
      <formula1>INDIRECT($JL682)</formula1>
    </dataValidation>
    <dataValidation allowBlank="1" showInputMessage="1" showErrorMessage="1" prompt="Subpractice or specific implementation detail of the broader practice as reported (e.g., “reduced tillage”, “legume intercrop”, “organic manure application”)." sqref="IV899:IV916 IH899:IH916 HV899:HV916 BD899:BD916 NU909:NU910 NU903:NU904 NU915:NU916" xr:uid="{C6A9266B-993C-4A70-A0F6-7AC1D639DE4E}"/>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E724:IE898 IB899:IB916 IB918:IB922 IB924:IB984" xr:uid="{0CFE63BC-FF2C-4D5D-B8F0-D92BF21FCD5F}"/>
    <dataValidation type="list" errorStyle="warning" allowBlank="1" showInputMessage="1" showErrorMessage="1" prompt="Breed of the animal" sqref="ID724:ID898" xr:uid="{A64859D3-A932-4A3C-A336-CB6BD1D5CC8F}">
      <formula1>INDIRECT($IB724)</formula1>
    </dataValidation>
    <dataValidation type="list" errorStyle="warning" allowBlank="1" showInputMessage="1" showErrorMessage="1" prompt="Name of the animal" sqref="IB724:IC898 IC899:IC916 IC918:IC922 IC924:IC984" xr:uid="{D857FD4D-36AB-479D-BA49-F83B4424DE9C}">
      <formula1>AnimalsList</formula1>
    </dataValidation>
    <dataValidation type="list" errorStyle="warning" allowBlank="1" showInputMessage="1" showErrorMessage="1" prompt="Variety, cultivar of the crop" sqref="HX724:HX898" xr:uid="{226763E0-5D9B-4370-99B2-867A1857843D}">
      <formula1>INDIRECT($HV724)</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V724:HW898 HW899:HW916 HW918:HW922 HW924:HW984" xr:uid="{0C690494-5E7F-4888-9FB9-3FAE056861D4}">
      <formula1>CropList</formula1>
    </dataValidation>
    <dataValidation type="date" errorStyle="warning" allowBlank="1" showInputMessage="1" prompt="Planting Date End (dd/mm/yy)" sqref="HU902:HU904" xr:uid="{7BC9E5B2-EC77-4814-A71F-D6F3A87D37EA}">
      <formula1>HT940</formula1>
      <formula2>73415</formula2>
    </dataValidation>
    <dataValidation type="date" errorStyle="warning" allowBlank="1" showInputMessage="1" prompt="Planting Date End (dd/mm/yy)" sqref="HU908" xr:uid="{F4F9359F-BE6B-4418-AF1A-4A25F537CCC2}">
      <formula1>HT924</formula1>
      <formula2>73415</formula2>
    </dataValidation>
    <dataValidation type="date" errorStyle="warning" allowBlank="1" showInputMessage="1" prompt="Planting Date End (dd/mm/yy)" sqref="HU911" xr:uid="{D813E6C3-92EC-4AB1-A970-DC14DAFB99E9}">
      <formula1>HT913</formula1>
      <formula2>73415</formula2>
    </dataValidation>
    <dataValidation type="date" errorStyle="warning" allowBlank="1" showInputMessage="1" prompt="Planting Date End (dd/mm/yy)" sqref="HU910 HU921" xr:uid="{F2C19170-EAD1-473C-9B20-63FAA11D1CDB}">
      <formula1>HT914</formula1>
      <formula2>73415</formula2>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CQ899:CQ916 CL899:CL916 CG899:CG916 CB899:CB916 BW899:BW916 BR899:BR916 DZ899:DZ916 DU899:DU916 DP899:DP916 DK899:DK916 DF899:DF916 DA899:DA916 BH899:BH984 CV899:CV916 BM918:BM922 CV918:CV922 CQ918:CQ922 CL918:CL922 CG918:CG922 CB918:CB922 BW918:BW922 BR918:BR922 DA918:DA922 DZ918:DZ922 DU918:DU922 DP918:DP922 DK918:DK922 DF918:DF922 DA982:DA984 DF982:DF984 DK982:DK984 DP982:DP984 DU982:DU984 DZ982:DZ984 BR982:BR984 BW982:BW984 CB982:CB984 CG982:CG984 CL982:CL984 CQ982:CQ984 CV982:CV984 BM933:BM938 DA933:DA938 DF933:DF938 DK933:DK938 DP933:DP938 DU933:DU938 DZ933:DZ938 BR933:BR938 BW933:BW938 CB933:CB938 CG933:CG938 CL933:CL938 CQ933:CQ938 CV933:CV938 CQ924:CQ931 CL924:CL931 CG924:CG931 CB924:CB931 BW924:BW931 BR924:BR931 DZ924:DZ931 DU924:DU931 DP924:DP931 DK924:DK931 DF924:DF931 DA924:DA931 BM924:BM931 CV924:CV931 BM947:BM952 CV947:CV952 CQ947:CQ952 CL947:CL952 CG947:CG952 CB947:CB952 BW947:BW952 BR947:BR952 DZ947:DZ952 DU947:DU952 DP947:DP952 DK947:DK952 DF947:DF952 DA947:DA952 BM982:BM984 BM961:BM966 DA961:DA966 DF961:DF966 DK961:DK966 DP961:DP966 DU961:DU966 DZ961:DZ966 BR961:BR966 BW961:BW966 CB961:CB966 CG961:CG966 CL961:CL966 CQ961:CQ966 CV961:CV966 BM975:BM980 CV975:CV980 CQ975:CQ980 CL975:CL980 CG975:CG980 CB975:CB980 BW975:BW980 BR975:BR980 DZ975:DZ980 DU975:DU980 DP975:DP980 DK975:DK980 DF975:DF980 DA975:DA980 CV940:CV945 BM940:BM945 DA940:DA945 DF940:DF945 DK940:DK945 DP940:DP945 DU940:DU945 DZ940:DZ945 BR940:BR945 BW940:BW945 CB940:CB945 CG940:CG945 CL940:CL945 CQ940:CQ945 CV968:CV973 BM968:BM973 DA968:DA973 DF968:DF973 DK968:DK973 DP968:DP973 DU968:DU973 DZ968:DZ973 BR968:BR973 BW968:BW973 CB968:CB973 CG968:CG973 CL968:CL973 CQ968:CQ973 BM954:BM959 DA954:DA959 DF954:DF959 DK954:DK959 DP954:DP959 DU954:DU959 DZ954:DZ959 BR954:BR959 BW954:BW959 CB954:CB959 CG954:CG959 CL954:CL959 CQ954:CQ959 CV954:CV959" xr:uid="{C4E61B90-0279-4403-848D-74DD3225A7DC}">
      <formula1>INDIRECT(BG899)</formula1>
    </dataValidation>
    <dataValidation type="list" errorStyle="warning" allowBlank="1" showInputMessage="1" showErrorMessage="1" prompt="Breed of the animal" sqref="ID899:ID916 ID918:ID922 ID947:ID952 ID933:ID938 ID924:ID931 ID982:ID984 ID975:ID980 ID961:ID966 ID940:ID945 ID968:ID973 ID954:ID959" xr:uid="{29306B34-CE1C-4921-950E-E0D7768EF28A}">
      <formula1>INDIRECT($IC899)</formula1>
    </dataValidation>
    <dataValidation type="list" errorStyle="warning" allowBlank="1" showInputMessage="1" showErrorMessage="1" prompt="Variety, cultivar of the crop" sqref="HX899:HX916 HX918:HX922 HX947:HX952 HX933:HX938 HX924:HX931 HX982:HX984 HX975:HX980 HX961:HX966 HX940:HX945 HX968:HX973 HX954:HX959" xr:uid="{D9013683-DB5A-4C5B-8D04-77558B16A3B5}">
      <formula1>INDIRECT($HW899)</formula1>
    </dataValidation>
    <dataValidation type="list" errorStyle="warning" allowBlank="1" showInputMessage="1" showErrorMessage="1" prompt="Country where the study site is located" sqref="C682:C984" xr:uid="{18EB30CF-ABA9-4F1C-9C1B-7115994EB5B9}">
      <formula1>CountryList</formula1>
    </dataValidation>
    <dataValidation allowBlank="1" showInputMessage="1" showErrorMessage="1" prompt="Unique identifier assigned to each study" sqref="B682:B984" xr:uid="{2EFFABB1-AC60-45B2-802E-E095EEEE0D7A}"/>
    <dataValidation allowBlank="1" showInputMessage="1" showErrorMessage="1" prompt="Unique identifier assigned to the study by the original systematic synthesis." sqref="A682:A984" xr:uid="{C8006A29-A975-4583-8FDE-B0644218C57B}"/>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O682:HO916 HO918:HO922 HO924:HO928" xr:uid="{DD6567E6-2DA8-40D3-94D8-3910B4618E66}">
      <formula1>0</formula1>
      <formula2>150</formula2>
    </dataValidation>
    <dataValidation errorStyle="warning" allowBlank="1" showInputMessage="1" showErrorMessage="1" prompt="Longitude of the study location in decimal degrees, recorded at the precision reported in the publication or derived from place-based geocoding when coordinates are not provided." sqref="AT724:AT984 AK724:AK984 S724:S984 AB724:AB984 J682:J984" xr:uid="{E15A1357-1C58-42F7-AB83-3A33F3664CC4}"/>
    <dataValidation errorStyle="warning" allowBlank="1" showInputMessage="1" showErrorMessage="1" prompt="Latitude of the study location in decimal degrees, recorded at the precision reported in the publication or derived from place-based geocoding when coordinates are not provided." sqref="AS724:AS984 AJ724:AJ984 R724:R984 AA724:AA984 I682:I984" xr:uid="{0520ECAB-3336-4884-BCF3-9F927A923E02}"/>
    <dataValidation type="list" errorStyle="warning" allowBlank="1" showInputMessage="1" showErrorMessage="1" prompt="Standardised name of the specific study site" sqref="AO724:AO984" xr:uid="{25A6E9FE-29ED-4933-ADDD-5B8FA8F1BE8D}">
      <formula1>INDIRECT($AM724)</formula1>
    </dataValidation>
    <dataValidation type="list" errorStyle="warning" allowBlank="1" showInputMessage="1" showErrorMessage="1" prompt="Standardised name of the specific study site" sqref="AF724:AF984" xr:uid="{6A44F3D7-CAE6-40E9-87A8-3AC210A80996}">
      <formula1>INDIRECT($AD724)</formula1>
    </dataValidation>
    <dataValidation type="list" errorStyle="warning" allowBlank="1" showInputMessage="1" showErrorMessage="1" prompt="Standardised name of the specific study site" sqref="W724:W984" xr:uid="{BC6FA6B3-BACA-44A1-B43F-07E1401C9ABC}">
      <formula1>INDIRECT($U724)</formula1>
    </dataValidation>
    <dataValidation type="list" errorStyle="warning" allowBlank="1" showInputMessage="1" showErrorMessage="1" prompt="Standardised name of the specific study site" sqref="N724:N984" xr:uid="{1A9FE546-53F7-40E9-8BBC-4FA634AE3A9F}">
      <formula1>INDIRECT($L724)</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M724:GM916 GM918:GM922 GM947:GM952 GM933:GM938 GM924:GM931 GM982:GM984 GM975:GM980 GM961:GM966 GM940:GM945 GM968:GM973 GM954:GM959" xr:uid="{EAAC55A3-8182-46E2-81BD-60DC1ABF0F7C}">
      <formula1>INDIRECT($GL724)</formula1>
    </dataValidation>
    <dataValidation type="decimal" errorStyle="warning" operator="greaterThan" allowBlank="1" showInputMessage="1" showErrorMessage="1" prompt="Numerical value of animal growing density corresponding to the selected animal and density unit." sqref="HI724:HI916 GO724:GO916 GT724:GT916 GY724:GY916 HD724:HD916 HD918:HD922 GY918:GY922 GT918:GT922 GO918:GO922 HI918:HI922 GT924:GT984 GY924:GY984 HD924:HD984 HI924:HI984 GO924:GO984" xr:uid="{04E3E44C-781C-43D6-AFC3-D30D08029B3D}">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F724:HF916 GL724:GL916 GQ724:GQ916 GV724:GV916 HA724:HA916 HA918:HA922 GV918:GV922 GQ918:GQ922 GL918:GL922 HF918:HF922 GQ924:GQ984 GV924:GV984 HA924:HA984 HF924:HF984 GL924:GL984" xr:uid="{6B60068F-06A7-4374-8C99-8979D88F68B8}">
      <formula1>AnimalsList</formula1>
    </dataValidation>
    <dataValidation type="date" errorStyle="warning" allowBlank="1" showInputMessage="1" prompt="Planting Date Start (dd/mm/yy)" sqref="HT724:HT916 HT918:HT922 HT924:HT984" xr:uid="{93B71BE1-203B-4419-9C06-3CC9696D4997}">
      <formula1>1</formula1>
      <formula2>73415</formula2>
    </dataValidation>
    <dataValidation type="whole" errorStyle="warning" operator="greaterThan" allowBlank="1" showInputMessage="1" showErrorMessage="1" prompt="How many times was the land tilled during one experimental season " sqref="HP724:HP916 HP918:HP922 HO936:HO942 HO950:HO956 HO964:HO970 HP924:HP928 HO978:HP984" xr:uid="{FD296201-2558-4400-8BC1-D2D8BC2A7BBE}">
      <formula1>0</formula1>
    </dataValidation>
    <dataValidation type="decimal" errorStyle="warning" operator="greaterThanOrEqual" allowBlank="1" showInputMessage="1" showErrorMessage="1" prompt="Numerical value of tree planting density corresponding to the selected tree and density unit._x000a__x000a_Should be greater than 0" sqref="EN724:EN916 GJ724:GJ916 GF724:GF916 GB724:GB916 FX724:FX916 FT724:FT916 FP724:FP916 FL724:FL916 FH724:FH916 FD724:FD916 EZ724:EZ916 EV724:EV916 ER724:ER916 EJ724:EJ916 EF724:EF916 EJ918:EJ922 EN918:EN922 ER918:ER922 EV918:EV922 EZ918:EZ922 FD918:FD922 FH918:FH922 FL918:FL922 FP918:FP922 FT918:FT922 FX918:FX922 GB918:GB922 GF918:GF922 GJ918:GJ922 EF918:EF922 GF924:GF984 GB924:GB984 FX924:FX984 FT924:FT984 FP924:FP984 FL924:FL984 FH924:FH984 FD924:FD984 EZ924:EZ984 EV924:EV984 ER924:ER984 EN924:EN984 EJ924:EJ984 EF924:EF984 GJ924:GJ984" xr:uid="{0398326C-887F-4D10-B11C-1963B3FEE94B}">
      <formula1>0</formula1>
    </dataValidation>
    <dataValidation errorStyle="warning" allowBlank="1" showInputMessage="1" showErrorMessage="1" prompt="Season as stated by the author" sqref="BC724:BC984 NU931:NU943 NU917:NU929 NU973:NU984 NU959:NU971 NU945:NU957" xr:uid="{2924069F-A848-45D2-80A1-B5D79373880B}"/>
    <dataValidation type="whole" errorStyle="warning" allowBlank="1" showInputMessage="1" showErrorMessage="1" prompt="Year when the experiment stopped. Year End as stated by the author _x000a__x000a_Should be equal to start year or later" sqref="BB724:BB984" xr:uid="{341B74F7-BCDC-4009-B0B7-67CF4FDEAB9E}">
      <formula1>BA724</formula1>
      <formula2>2100</formula2>
    </dataValidation>
    <dataValidation type="whole" errorStyle="warning" allowBlank="1" showInputMessage="1" showErrorMessage="1" prompt="Year when the experiment started. Year Start as stated by the author" sqref="BA724:BA984" xr:uid="{4C0DB285-A052-4C12-BA15-58BBD5C79D72}">
      <formula1>1900</formula1>
      <formula2>2100</formula2>
    </dataValidation>
    <dataValidation errorStyle="warning" allowBlank="1" showInputMessage="1" showErrorMessage="1" prompt="Complete with the specific time period name the study provide" sqref="AZ724:AZ984" xr:uid="{74F4F920-C209-4F2F-92DC-76C3598B3A14}"/>
    <dataValidation type="whole" errorStyle="warning" operator="greaterThanOrEqual" allowBlank="1" showInputMessage="1" showErrorMessage="1" prompt="Length of time the experiment has been ongoing up to the date the data are being reported for in years._x000a__x000a_Should be 0 or greater" sqref="AY724:AY916" xr:uid="{3311242C-524E-4F8C-8026-F9B61FAEFDDC}">
      <formula1>0</formula1>
    </dataValidation>
    <dataValidation type="decimal" errorStyle="warning" operator="greaterThanOrEqual" allowBlank="1" showInputMessage="1" prompt="Field size in hectares_x000a__x000a_Should be greater than 0" sqref="AX724:AX984" xr:uid="{FF92857A-99CA-40E5-B5E9-5EFDDD47FB55}">
      <formula1>0</formula1>
    </dataValidation>
    <dataValidation type="list" errorStyle="warning" allowBlank="1" showInputMessage="1" showErrorMessage="1" prompt="Standardised name of the specific study site" sqref="E724:E984" xr:uid="{3345BC9E-DED7-4C74-95FF-4C4B6B043A26}">
      <formula1>INDIRECT($C724)</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GH724:GH916 ED724:ED916 GD724:GD916 FZ724:FZ916 FV724:FV916 FR724:FR916 FN724:FN916 FJ724:FJ916 FF724:FF916 FB724:FB916 EX724:EX916 ET724:ET916 EP724:EP916 EL724:EL916 EH724:EH916 EH918:EH922 EL918:EL922 EP918:EP922 ET918:ET922 EX918:EX922 FB918:FB922 FF918:FF922 FJ918:FJ922 FN918:FN922 FR918:FR922 FV918:FV922 FZ918:FZ922 GD918:GD922 ED918:ED922 GH918:GH922 GD924:GD984 FZ924:FZ984 FV924:FV984 FR924:FR984 FN924:FN984 FJ924:FJ984 FF924:FF984 FB924:FB984 EX924:EX984 ET924:ET984 EP924:EP984 EL924:EL984 EH924:EH984 GH924:GH984 ED924:ED984" xr:uid="{BF0FE447-55EF-4769-A7F0-55F3067D2E37}">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G724:HG916 HG918:HG922 HG947:HG952 HG933:HG938 HG924:HG931 HG982:HG984 HG975:HG980 HG961:HG966 HG940:HG945 HG968:HG973 HG954:HG959" xr:uid="{D6D80BA9-8D62-4100-AA01-F4E1D87984D7}">
      <formula1>INDIRECT($HF724)</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B724:HB916 HB918:HB922 HB947:HB952 HB933:HB938 HB924:HB931 HB982:HB984 HB975:HB980 HB961:HB966 HB940:HB945 HB968:HB973 HB954:HB959" xr:uid="{0A3F960D-DE89-4BC9-AC8D-1170B07A99AE}">
      <formula1>INDIRECT($HA724)</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W724:GW916 GW918:GW922 GW947:GW952 GW933:GW938 GW924:GW931 GW982:GW984 GW975:GW980 GW961:GW966 GW940:GW945 GW968:GW973 GW954:GW959" xr:uid="{BA785BAE-C389-4DCB-8B99-C88461F5C6B1}">
      <formula1>INDIRECT($GV724)</formula1>
    </dataValidation>
    <dataValidation type="list" errorStyle="warning" allowBlank="1" showInputMessage="1" showErrorMessage="1" errorTitle="Invalid Entry" error="Please select a country from the dropdown list." promptTitle="Country" prompt="Select a country from the dropdown list." sqref="L724:L984 U724:U984 AD724:AD984 AM724:AM984" xr:uid="{81189E27-41E4-4F45-80BB-F5DA4F963E2E}">
      <formula1>CountryList</formula1>
    </dataValidation>
    <dataValidation allowBlank="1" showInputMessage="1" prompt="Complete with an easy to recognize name for the varietal subpractice, you will use this name to reference it when building treatments later in the extraction process. Avoid using special characters." sqref="HV917:HV984" xr:uid="{252833CB-5092-4CBD-8F70-28D98071255A}"/>
    <dataValidation type="whole" errorStyle="warning" operator="greaterThanOrEqual" allowBlank="1" showInputMessage="1" showErrorMessage="1" prompt="Length of time the experiment has been ongoing up to the date the data are being reported for, recorded in YEARS._x000a__x000a_Should be 0 or greater" sqref="AY917:AY984" xr:uid="{774C6EE8-6521-4DFA-AFAC-383A4169E63E}">
      <formula1>0</formula1>
    </dataValidation>
    <dataValidation type="decimal" errorStyle="warning" operator="greaterThan" allowBlank="1" showInputMessage="1" prompt="The size of a treatment plot in the experiment, if variable use the mean value or mid-point of the size range. Recorded in m2._x000a__x000a_Valulue should be greater than 0" sqref="AW917:AW984" xr:uid="{6B939A3A-390A-4A97-A0DE-755896EB8331}">
      <formula1>0</formula1>
    </dataValidation>
    <dataValidation type="decimal" errorStyle="warning" operator="greaterThanOrEqual" allowBlank="1" showInputMessage="1" showErrorMessage="1" prompt="Upper limit for variation in suboutcome when  variation is reported as a confidence interval or interquartile range." sqref="NW929:NW935 NW950:NW963 NW978:NW984" xr:uid="{9B1995E0-01CE-4CE5-B591-6B9385101769}">
      <formula1>NZ929</formula1>
    </dataValidation>
    <dataValidation type="date" errorStyle="warning" allowBlank="1" showInputMessage="1" prompt="Planting Date End (dd/mm/yy)" sqref="HU935 HU942 HU949 HU956 HU963 HU970 HU977 HU984" xr:uid="{1E197311-A066-4944-A422-4B88B39738EE}">
      <formula1>HT930</formula1>
      <formula2>73415</formula2>
    </dataValidation>
    <dataValidation type="date" errorStyle="warning" allowBlank="1" showInputMessage="1" prompt="Planting Date End (dd/mm/yy)" sqref="HU933:HU934 HU940:HU941 HU947:HU948 HU954:HU955 HU961:HU962 HU968:HU969 HU975:HU976 HU982:HU983" xr:uid="{0795E3FC-8D2A-48B4-A039-6FB762CB8236}">
      <formula1>HT931</formula1>
      <formula2>73415</formula2>
    </dataValidation>
    <dataValidation type="date" errorStyle="warning" allowBlank="1" showInputMessage="1" prompt="Planting Date End (dd/mm/yy)" sqref="HU927" xr:uid="{6191144F-E18E-498C-A179-B7DE88FD7D0E}">
      <formula1>HT933</formula1>
      <formula2>73415</formula2>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28042-B740-45D4-8A2A-81A770D2C9A0}">
  <sheetPr codeName="Sheet2"/>
  <dimension ref="A1:R255"/>
  <sheetViews>
    <sheetView topLeftCell="A7" zoomScale="88" zoomScaleNormal="88" workbookViewId="0">
      <pane ySplit="1" topLeftCell="A59" activePane="bottomLeft" state="frozen"/>
      <selection activeCell="A7" sqref="A7"/>
      <selection pane="bottomLeft" activeCell="G67" sqref="G67"/>
    </sheetView>
  </sheetViews>
  <sheetFormatPr defaultRowHeight="15"/>
  <cols>
    <col min="1" max="1" width="23.28515625" customWidth="1"/>
    <col min="2" max="2" width="35.7109375" customWidth="1"/>
    <col min="3" max="3" width="10.5703125" customWidth="1"/>
    <col min="4" max="4" width="8.7109375" customWidth="1"/>
    <col min="5" max="5" width="66.28515625" customWidth="1"/>
    <col min="6" max="12" width="18.7109375" customWidth="1"/>
    <col min="13" max="13" width="18.5703125" customWidth="1"/>
  </cols>
  <sheetData>
    <row r="1" spans="1:17" hidden="1">
      <c r="A1" s="51" t="s">
        <v>1764</v>
      </c>
      <c r="B1" s="11">
        <v>7</v>
      </c>
      <c r="D1" s="11"/>
    </row>
    <row r="2" spans="1:17" hidden="1">
      <c r="A2" s="51" t="s">
        <v>1765</v>
      </c>
      <c r="B2" s="11" t="s">
        <v>1766</v>
      </c>
      <c r="D2" s="11"/>
    </row>
    <row r="3" spans="1:17" hidden="1">
      <c r="A3" s="51" t="s">
        <v>1767</v>
      </c>
    </row>
    <row r="4" spans="1:17" hidden="1">
      <c r="A4" s="51" t="s">
        <v>1768</v>
      </c>
    </row>
    <row r="5" spans="1:17" hidden="1">
      <c r="B5" s="51"/>
    </row>
    <row r="6" spans="1:17" hidden="1">
      <c r="B6" s="11"/>
    </row>
    <row r="7" spans="1:17" s="52" customFormat="1" ht="40.15" customHeight="1">
      <c r="B7" s="94" t="s">
        <v>1769</v>
      </c>
      <c r="C7" s="52" t="s">
        <v>1770</v>
      </c>
      <c r="D7" s="52" t="s">
        <v>1771</v>
      </c>
      <c r="E7" s="52" t="s">
        <v>1772</v>
      </c>
      <c r="F7" s="52" t="s">
        <v>1773</v>
      </c>
      <c r="G7" s="52" t="s">
        <v>1774</v>
      </c>
      <c r="H7" s="52" t="s">
        <v>1775</v>
      </c>
      <c r="I7" s="52" t="s">
        <v>1776</v>
      </c>
      <c r="J7" s="52" t="s">
        <v>1777</v>
      </c>
      <c r="K7" s="52" t="s">
        <v>1778</v>
      </c>
      <c r="L7" s="52" t="s">
        <v>1779</v>
      </c>
      <c r="M7" s="52" t="s">
        <v>1780</v>
      </c>
      <c r="N7" s="52" t="s">
        <v>1781</v>
      </c>
      <c r="O7" s="52" t="s">
        <v>1782</v>
      </c>
      <c r="P7" s="52" t="s">
        <v>1783</v>
      </c>
      <c r="Q7" s="52" t="s">
        <v>1784</v>
      </c>
    </row>
    <row r="8" spans="1:17">
      <c r="A8" s="53" t="s">
        <v>424</v>
      </c>
      <c r="B8" t="s">
        <v>0</v>
      </c>
      <c r="C8" t="s">
        <v>1785</v>
      </c>
      <c r="E8" t="s">
        <v>1786</v>
      </c>
      <c r="M8" t="s">
        <v>1787</v>
      </c>
    </row>
    <row r="9" spans="1:17">
      <c r="A9" s="53" t="s">
        <v>424</v>
      </c>
      <c r="B9" t="s">
        <v>1</v>
      </c>
      <c r="C9" t="s">
        <v>1785</v>
      </c>
      <c r="E9" t="s">
        <v>1788</v>
      </c>
      <c r="L9" t="s">
        <v>1789</v>
      </c>
      <c r="M9" t="s">
        <v>1787</v>
      </c>
      <c r="N9" t="s">
        <v>1790</v>
      </c>
    </row>
    <row r="10" spans="1:17">
      <c r="A10" s="23" t="s">
        <v>425</v>
      </c>
      <c r="B10" t="s">
        <v>1791</v>
      </c>
      <c r="C10" t="s">
        <v>1792</v>
      </c>
      <c r="E10" t="s">
        <v>1793</v>
      </c>
      <c r="G10" t="s">
        <v>1794</v>
      </c>
      <c r="L10" t="s">
        <v>1795</v>
      </c>
      <c r="M10" t="s">
        <v>1796</v>
      </c>
      <c r="N10" t="s">
        <v>1797</v>
      </c>
    </row>
    <row r="11" spans="1:17">
      <c r="A11" s="23" t="s">
        <v>425</v>
      </c>
      <c r="B11" t="s">
        <v>1798</v>
      </c>
      <c r="C11" t="s">
        <v>1792</v>
      </c>
      <c r="E11" t="s">
        <v>1799</v>
      </c>
      <c r="G11" t="s">
        <v>1800</v>
      </c>
      <c r="L11" t="s">
        <v>1801</v>
      </c>
      <c r="M11" t="s">
        <v>1796</v>
      </c>
      <c r="N11" t="s">
        <v>1802</v>
      </c>
    </row>
    <row r="12" spans="1:17">
      <c r="A12" s="23" t="s">
        <v>425</v>
      </c>
      <c r="B12" t="s">
        <v>1803</v>
      </c>
      <c r="C12" t="s">
        <v>1792</v>
      </c>
      <c r="E12" t="s">
        <v>1804</v>
      </c>
      <c r="G12" t="s">
        <v>1805</v>
      </c>
      <c r="L12" t="s">
        <v>1806</v>
      </c>
      <c r="M12" t="s">
        <v>1807</v>
      </c>
      <c r="N12" t="s">
        <v>1808</v>
      </c>
    </row>
    <row r="13" spans="1:17">
      <c r="A13" s="23" t="s">
        <v>425</v>
      </c>
      <c r="B13" t="s">
        <v>1809</v>
      </c>
      <c r="C13" t="s">
        <v>1792</v>
      </c>
      <c r="E13" t="s">
        <v>1810</v>
      </c>
      <c r="G13" s="4" t="s">
        <v>1811</v>
      </c>
      <c r="L13" t="s">
        <v>1812</v>
      </c>
      <c r="M13" t="s">
        <v>1796</v>
      </c>
      <c r="N13" t="s">
        <v>1813</v>
      </c>
    </row>
    <row r="14" spans="1:17">
      <c r="A14" s="23" t="s">
        <v>425</v>
      </c>
      <c r="B14" t="s">
        <v>1814</v>
      </c>
      <c r="C14" t="s">
        <v>1792</v>
      </c>
      <c r="E14" t="s">
        <v>1815</v>
      </c>
      <c r="G14" s="4" t="s">
        <v>1816</v>
      </c>
    </row>
    <row r="15" spans="1:17">
      <c r="A15" s="23" t="s">
        <v>425</v>
      </c>
      <c r="B15" t="s">
        <v>1817</v>
      </c>
      <c r="C15" t="s">
        <v>1792</v>
      </c>
      <c r="E15" t="s">
        <v>1818</v>
      </c>
      <c r="G15" s="4" t="s">
        <v>1819</v>
      </c>
      <c r="L15" t="s">
        <v>1820</v>
      </c>
      <c r="M15" t="s">
        <v>1796</v>
      </c>
      <c r="N15" t="s">
        <v>1821</v>
      </c>
    </row>
    <row r="16" spans="1:17">
      <c r="A16" s="23" t="s">
        <v>425</v>
      </c>
      <c r="B16" t="s">
        <v>1822</v>
      </c>
      <c r="C16" t="s">
        <v>1823</v>
      </c>
      <c r="D16" t="s">
        <v>1824</v>
      </c>
      <c r="E16" t="s">
        <v>1825</v>
      </c>
      <c r="L16" t="s">
        <v>1826</v>
      </c>
      <c r="M16" t="s">
        <v>1827</v>
      </c>
      <c r="N16" t="s">
        <v>1828</v>
      </c>
    </row>
    <row r="17" spans="1:14">
      <c r="A17" s="23" t="s">
        <v>425</v>
      </c>
      <c r="B17" t="s">
        <v>1829</v>
      </c>
      <c r="C17" t="s">
        <v>1823</v>
      </c>
      <c r="D17" t="s">
        <v>1824</v>
      </c>
      <c r="E17" t="s">
        <v>1830</v>
      </c>
      <c r="L17" t="s">
        <v>1831</v>
      </c>
      <c r="M17" t="s">
        <v>1827</v>
      </c>
      <c r="N17" t="s">
        <v>1828</v>
      </c>
    </row>
    <row r="18" spans="1:14">
      <c r="A18" s="23" t="s">
        <v>425</v>
      </c>
      <c r="B18" t="s">
        <v>1832</v>
      </c>
      <c r="C18" t="s">
        <v>1823</v>
      </c>
      <c r="D18" t="s">
        <v>1833</v>
      </c>
      <c r="E18" t="s">
        <v>1834</v>
      </c>
      <c r="L18" t="s">
        <v>1835</v>
      </c>
      <c r="M18" t="s">
        <v>1827</v>
      </c>
      <c r="N18" t="s">
        <v>1836</v>
      </c>
    </row>
    <row r="19" spans="1:14" ht="15.75" thickBot="1">
      <c r="A19" s="31" t="s">
        <v>1837</v>
      </c>
      <c r="B19" t="s">
        <v>47</v>
      </c>
      <c r="C19" t="s">
        <v>1785</v>
      </c>
      <c r="E19" t="s">
        <v>1838</v>
      </c>
      <c r="G19" t="s">
        <v>1839</v>
      </c>
      <c r="I19" t="s">
        <v>1840</v>
      </c>
      <c r="J19" t="s">
        <v>1841</v>
      </c>
      <c r="K19" t="s">
        <v>1842</v>
      </c>
    </row>
    <row r="20" spans="1:14" ht="15.75" thickBot="1">
      <c r="A20" s="31" t="s">
        <v>1837</v>
      </c>
      <c r="B20" t="s">
        <v>48</v>
      </c>
      <c r="C20" s="95" t="s">
        <v>1843</v>
      </c>
      <c r="D20" s="95" t="s">
        <v>1844</v>
      </c>
      <c r="E20" s="37" t="s">
        <v>1845</v>
      </c>
      <c r="F20" s="96"/>
      <c r="G20" t="s">
        <v>1846</v>
      </c>
      <c r="H20" s="96"/>
      <c r="I20" s="96"/>
      <c r="J20" s="96"/>
      <c r="K20" s="96"/>
      <c r="L20" t="s">
        <v>1847</v>
      </c>
    </row>
    <row r="21" spans="1:14" ht="14.65" customHeight="1" thickBot="1">
      <c r="A21" s="31" t="s">
        <v>1837</v>
      </c>
      <c r="B21" t="s">
        <v>49</v>
      </c>
      <c r="C21" s="95" t="s">
        <v>1843</v>
      </c>
      <c r="D21" s="95" t="s">
        <v>1848</v>
      </c>
      <c r="E21" s="95" t="s">
        <v>1849</v>
      </c>
      <c r="F21" s="97"/>
      <c r="G21" t="s">
        <v>1846</v>
      </c>
      <c r="H21" s="97"/>
      <c r="I21" s="97"/>
      <c r="J21" s="97"/>
      <c r="K21" s="97"/>
      <c r="L21" s="97" t="s">
        <v>1850</v>
      </c>
    </row>
    <row r="22" spans="1:14" ht="14.65" customHeight="1" thickBot="1">
      <c r="A22" s="31" t="s">
        <v>1837</v>
      </c>
      <c r="B22" t="s">
        <v>50</v>
      </c>
      <c r="C22" s="95" t="s">
        <v>1843</v>
      </c>
      <c r="D22" s="95" t="s">
        <v>1851</v>
      </c>
      <c r="E22" s="95" t="s">
        <v>1852</v>
      </c>
      <c r="F22" s="98"/>
      <c r="H22" s="98"/>
      <c r="I22" s="98"/>
      <c r="J22" s="98"/>
      <c r="K22" s="98"/>
      <c r="L22" s="98"/>
    </row>
    <row r="23" spans="1:14" ht="15.75" thickBot="1">
      <c r="A23" s="26" t="s">
        <v>1853</v>
      </c>
      <c r="B23" s="95" t="s">
        <v>51</v>
      </c>
      <c r="C23" s="95" t="s">
        <v>1785</v>
      </c>
      <c r="D23" s="95"/>
      <c r="E23" s="95" t="s">
        <v>1854</v>
      </c>
      <c r="F23" s="96"/>
      <c r="G23" s="96" t="s">
        <v>1839</v>
      </c>
      <c r="H23" s="96"/>
      <c r="I23" s="96"/>
      <c r="J23" s="96"/>
      <c r="K23" s="96"/>
    </row>
    <row r="24" spans="1:14" ht="15.75" thickBot="1">
      <c r="A24" s="26" t="s">
        <v>1853</v>
      </c>
      <c r="B24" s="95" t="s">
        <v>52</v>
      </c>
      <c r="C24" s="95" t="s">
        <v>1843</v>
      </c>
      <c r="D24" s="95"/>
      <c r="E24" s="95" t="s">
        <v>1855</v>
      </c>
      <c r="F24" s="96"/>
      <c r="G24" s="96" t="s">
        <v>1856</v>
      </c>
      <c r="H24" s="96"/>
      <c r="I24" s="96"/>
      <c r="J24" s="96"/>
      <c r="K24" s="96"/>
    </row>
    <row r="25" spans="1:14" ht="15.75" thickBot="1">
      <c r="A25" s="26" t="s">
        <v>1853</v>
      </c>
      <c r="B25" s="95" t="s">
        <v>53</v>
      </c>
      <c r="C25" s="95" t="s">
        <v>1843</v>
      </c>
      <c r="D25" s="95"/>
      <c r="E25" s="95" t="s">
        <v>1857</v>
      </c>
      <c r="F25" s="96"/>
      <c r="G25" s="96" t="s">
        <v>1856</v>
      </c>
      <c r="H25" s="96"/>
      <c r="I25" s="96"/>
      <c r="J25" s="96"/>
      <c r="K25" s="96"/>
    </row>
    <row r="26" spans="1:14" ht="15.75" thickBot="1">
      <c r="A26" s="26" t="s">
        <v>1853</v>
      </c>
      <c r="B26" s="95" t="s">
        <v>54</v>
      </c>
      <c r="C26" s="95" t="s">
        <v>1785</v>
      </c>
      <c r="D26" s="95"/>
      <c r="E26" s="95" t="s">
        <v>1858</v>
      </c>
      <c r="F26" s="96"/>
      <c r="G26" s="96" t="s">
        <v>1839</v>
      </c>
      <c r="H26" s="96"/>
      <c r="I26" s="96"/>
      <c r="J26" s="96"/>
      <c r="K26" s="96"/>
    </row>
    <row r="27" spans="1:14" ht="15.75" thickBot="1">
      <c r="A27" s="18" t="s">
        <v>428</v>
      </c>
      <c r="B27" s="95" t="s">
        <v>55</v>
      </c>
      <c r="C27" s="95" t="s">
        <v>1792</v>
      </c>
      <c r="D27" s="95" t="s">
        <v>537</v>
      </c>
      <c r="E27" s="95" t="s">
        <v>1859</v>
      </c>
      <c r="F27" s="95"/>
      <c r="G27" s="95"/>
      <c r="H27" s="95"/>
      <c r="I27" s="95"/>
      <c r="J27" s="95"/>
      <c r="K27" s="95"/>
      <c r="L27" t="s">
        <v>1860</v>
      </c>
      <c r="M27" t="s">
        <v>1787</v>
      </c>
      <c r="N27" t="s">
        <v>1861</v>
      </c>
    </row>
    <row r="28" spans="1:14" ht="15.75" thickBot="1">
      <c r="A28" s="18" t="s">
        <v>428</v>
      </c>
      <c r="B28" s="95" t="s">
        <v>56</v>
      </c>
      <c r="C28" s="95" t="s">
        <v>1792</v>
      </c>
      <c r="D28" s="95"/>
      <c r="E28" s="98" t="s">
        <v>1862</v>
      </c>
      <c r="F28" s="95"/>
      <c r="G28" s="95"/>
      <c r="H28" s="95"/>
      <c r="I28" s="95"/>
      <c r="J28" s="95"/>
      <c r="K28" s="95"/>
    </row>
    <row r="29" spans="1:14" ht="15.75" thickBot="1">
      <c r="A29" s="18" t="s">
        <v>428</v>
      </c>
      <c r="B29" s="95" t="s">
        <v>57</v>
      </c>
      <c r="C29" s="95" t="s">
        <v>1792</v>
      </c>
      <c r="D29" s="95"/>
      <c r="E29" s="98" t="s">
        <v>1863</v>
      </c>
      <c r="F29" s="95"/>
      <c r="G29" s="95"/>
      <c r="H29" s="95"/>
      <c r="I29" s="95"/>
      <c r="J29" s="95"/>
      <c r="K29" s="95"/>
    </row>
    <row r="30" spans="1:14" ht="15.75" thickBot="1">
      <c r="A30" s="1" t="s">
        <v>430</v>
      </c>
      <c r="B30" s="95" t="s">
        <v>1864</v>
      </c>
      <c r="C30" s="95" t="s">
        <v>1792</v>
      </c>
      <c r="D30" s="95" t="s">
        <v>537</v>
      </c>
      <c r="E30" s="95" t="s">
        <v>1865</v>
      </c>
      <c r="F30" s="95"/>
      <c r="G30" s="95" t="s">
        <v>1866</v>
      </c>
      <c r="H30" s="95"/>
      <c r="I30" s="95"/>
      <c r="J30" s="95"/>
      <c r="K30" s="95"/>
      <c r="L30" s="99"/>
    </row>
    <row r="31" spans="1:14" ht="15.75" thickBot="1">
      <c r="A31" s="1" t="s">
        <v>430</v>
      </c>
      <c r="B31" s="95" t="s">
        <v>1867</v>
      </c>
      <c r="C31" s="95" t="s">
        <v>1792</v>
      </c>
      <c r="D31" s="95" t="s">
        <v>537</v>
      </c>
      <c r="E31" s="95" t="s">
        <v>1868</v>
      </c>
      <c r="F31" s="95"/>
      <c r="G31" s="95" t="s">
        <v>1869</v>
      </c>
      <c r="H31" s="95" t="s">
        <v>1870</v>
      </c>
      <c r="I31" s="95"/>
      <c r="J31" s="95"/>
      <c r="K31" s="95"/>
      <c r="L31" s="99"/>
    </row>
    <row r="32" spans="1:14" ht="15.75" thickBot="1">
      <c r="A32" s="1" t="s">
        <v>430</v>
      </c>
      <c r="B32" s="95" t="s">
        <v>1871</v>
      </c>
      <c r="C32" s="95" t="s">
        <v>1792</v>
      </c>
      <c r="D32" s="95" t="s">
        <v>1872</v>
      </c>
      <c r="E32" s="95" t="s">
        <v>1873</v>
      </c>
      <c r="F32" s="95"/>
      <c r="G32" s="95" t="s">
        <v>1874</v>
      </c>
      <c r="H32" s="95"/>
      <c r="I32" s="95"/>
      <c r="J32" s="95"/>
      <c r="K32" s="95"/>
      <c r="L32" s="99"/>
    </row>
    <row r="33" spans="1:15" ht="15.75" thickBot="1">
      <c r="A33" s="1" t="s">
        <v>430</v>
      </c>
      <c r="B33" s="95" t="s">
        <v>1875</v>
      </c>
      <c r="C33" s="95" t="s">
        <v>1843</v>
      </c>
      <c r="D33" s="95" t="s">
        <v>537</v>
      </c>
      <c r="E33" s="95" t="s">
        <v>1876</v>
      </c>
      <c r="F33" s="95"/>
      <c r="G33" s="95"/>
      <c r="H33" s="95" t="s">
        <v>1877</v>
      </c>
      <c r="I33" s="95"/>
      <c r="J33" s="95"/>
      <c r="K33" s="95"/>
    </row>
    <row r="34" spans="1:15" ht="15.75" thickBot="1">
      <c r="A34" s="1" t="s">
        <v>430</v>
      </c>
      <c r="B34" s="95" t="s">
        <v>1878</v>
      </c>
      <c r="C34" s="95" t="s">
        <v>1792</v>
      </c>
      <c r="D34" s="95"/>
      <c r="E34" s="95" t="s">
        <v>1879</v>
      </c>
      <c r="F34" s="95"/>
      <c r="G34" s="95" t="s">
        <v>1880</v>
      </c>
      <c r="H34" s="95"/>
      <c r="I34" s="95"/>
      <c r="J34" s="95"/>
      <c r="K34" s="95"/>
    </row>
    <row r="35" spans="1:15" ht="15.75" thickBot="1">
      <c r="A35" s="31" t="s">
        <v>1881</v>
      </c>
      <c r="B35" s="95" t="s">
        <v>1882</v>
      </c>
      <c r="C35" s="95" t="s">
        <v>1792</v>
      </c>
      <c r="D35" s="95"/>
      <c r="E35" s="95" t="s">
        <v>1883</v>
      </c>
      <c r="F35" s="95"/>
      <c r="G35" s="95" t="s">
        <v>1884</v>
      </c>
      <c r="H35" s="95" t="s">
        <v>1049</v>
      </c>
      <c r="I35" s="95" t="s">
        <v>1840</v>
      </c>
      <c r="J35" s="95" t="s">
        <v>1885</v>
      </c>
      <c r="K35" s="100" t="s">
        <v>1886</v>
      </c>
      <c r="L35" s="3"/>
    </row>
    <row r="36" spans="1:15" ht="15.75" thickBot="1">
      <c r="A36" s="31" t="s">
        <v>1881</v>
      </c>
      <c r="B36" s="95" t="s">
        <v>1887</v>
      </c>
      <c r="C36" s="95" t="s">
        <v>1792</v>
      </c>
      <c r="D36" s="95" t="s">
        <v>1872</v>
      </c>
      <c r="E36" s="95" t="s">
        <v>1873</v>
      </c>
      <c r="F36" s="95"/>
      <c r="G36" s="95" t="s">
        <v>1874</v>
      </c>
      <c r="H36" s="95"/>
      <c r="I36" s="95"/>
      <c r="J36" s="95"/>
      <c r="K36" s="95"/>
      <c r="L36" s="99"/>
    </row>
    <row r="37" spans="1:15" ht="15.75" thickBot="1">
      <c r="A37" s="31" t="s">
        <v>1881</v>
      </c>
      <c r="B37" s="95" t="s">
        <v>1888</v>
      </c>
      <c r="C37" s="95" t="s">
        <v>1843</v>
      </c>
      <c r="D37" s="95"/>
      <c r="E37" s="95" t="s">
        <v>1889</v>
      </c>
      <c r="F37" s="95"/>
      <c r="H37" s="95" t="s">
        <v>1877</v>
      </c>
      <c r="I37" s="95"/>
      <c r="J37" s="95"/>
      <c r="K37" s="95"/>
    </row>
    <row r="38" spans="1:15" ht="15.75" thickBot="1">
      <c r="A38" s="31" t="s">
        <v>1881</v>
      </c>
      <c r="B38" s="95" t="s">
        <v>1890</v>
      </c>
      <c r="C38" s="95" t="s">
        <v>1792</v>
      </c>
      <c r="D38" s="95"/>
      <c r="E38" s="95" t="s">
        <v>1891</v>
      </c>
      <c r="F38" s="95"/>
      <c r="G38" s="95" t="s">
        <v>1880</v>
      </c>
      <c r="H38" s="95"/>
      <c r="I38" s="95"/>
      <c r="J38" s="95"/>
      <c r="K38" s="96"/>
    </row>
    <row r="39" spans="1:15" ht="15.75" thickBot="1">
      <c r="A39" s="23" t="s">
        <v>1892</v>
      </c>
      <c r="B39" s="95" t="s">
        <v>1893</v>
      </c>
      <c r="C39" s="95" t="s">
        <v>1792</v>
      </c>
      <c r="D39" s="95"/>
      <c r="E39" s="95" t="s">
        <v>1894</v>
      </c>
      <c r="F39" s="95"/>
      <c r="G39" s="95" t="s">
        <v>1895</v>
      </c>
      <c r="H39" s="95"/>
      <c r="I39" s="95"/>
      <c r="J39" s="95"/>
      <c r="K39" s="3"/>
      <c r="L39" s="3" t="s">
        <v>1896</v>
      </c>
      <c r="M39" t="s">
        <v>1897</v>
      </c>
      <c r="N39" t="s">
        <v>1898</v>
      </c>
    </row>
    <row r="40" spans="1:15" ht="15.75" thickBot="1">
      <c r="A40" s="23" t="s">
        <v>1892</v>
      </c>
      <c r="B40" s="95" t="s">
        <v>1899</v>
      </c>
      <c r="C40" s="95" t="s">
        <v>1792</v>
      </c>
      <c r="D40" s="95"/>
      <c r="E40" s="95" t="s">
        <v>1900</v>
      </c>
      <c r="F40" s="95"/>
      <c r="G40" s="95" t="s">
        <v>1901</v>
      </c>
      <c r="H40" s="95"/>
      <c r="I40" s="95"/>
      <c r="J40" s="95"/>
      <c r="L40" s="3" t="s">
        <v>1902</v>
      </c>
      <c r="M40" t="s">
        <v>1903</v>
      </c>
      <c r="N40" t="s">
        <v>1904</v>
      </c>
    </row>
    <row r="41" spans="1:15" ht="15.75" thickBot="1">
      <c r="A41" s="23" t="s">
        <v>1892</v>
      </c>
      <c r="B41" s="95" t="s">
        <v>1905</v>
      </c>
      <c r="C41" s="95" t="s">
        <v>1792</v>
      </c>
      <c r="D41" s="95"/>
      <c r="E41" s="95" t="s">
        <v>1906</v>
      </c>
      <c r="F41" s="95"/>
      <c r="G41" s="95" t="s">
        <v>1874</v>
      </c>
      <c r="H41" s="95"/>
      <c r="I41" s="95"/>
      <c r="J41" s="95"/>
      <c r="K41" s="95"/>
      <c r="L41" s="99" t="s">
        <v>1907</v>
      </c>
      <c r="M41" t="s">
        <v>1908</v>
      </c>
      <c r="N41" t="s">
        <v>1909</v>
      </c>
      <c r="O41" t="s">
        <v>1910</v>
      </c>
    </row>
    <row r="42" spans="1:15" ht="15.75" thickBot="1">
      <c r="A42" s="23" t="s">
        <v>1892</v>
      </c>
      <c r="B42" s="95" t="s">
        <v>1911</v>
      </c>
      <c r="C42" s="95" t="s">
        <v>1843</v>
      </c>
      <c r="D42" s="95"/>
      <c r="E42" s="95" t="s">
        <v>1912</v>
      </c>
      <c r="F42" s="95"/>
      <c r="G42" s="95"/>
      <c r="H42" s="95" t="s">
        <v>1877</v>
      </c>
      <c r="I42" s="95"/>
      <c r="J42" s="95"/>
      <c r="K42" s="95"/>
      <c r="L42" t="s">
        <v>1913</v>
      </c>
      <c r="M42" t="s">
        <v>1914</v>
      </c>
      <c r="N42" t="s">
        <v>1915</v>
      </c>
      <c r="O42" t="s">
        <v>1910</v>
      </c>
    </row>
    <row r="43" spans="1:15" ht="15.75" thickBot="1">
      <c r="A43" s="23" t="s">
        <v>1892</v>
      </c>
      <c r="B43" s="95" t="s">
        <v>1916</v>
      </c>
      <c r="C43" s="95" t="s">
        <v>1792</v>
      </c>
      <c r="D43" s="95"/>
      <c r="E43" s="95" t="s">
        <v>1891</v>
      </c>
      <c r="F43" s="95"/>
      <c r="G43" s="95" t="s">
        <v>1880</v>
      </c>
      <c r="H43" s="95"/>
      <c r="I43" s="95"/>
      <c r="J43" s="95"/>
      <c r="K43" s="95"/>
    </row>
    <row r="44" spans="1:15" ht="15.75" thickBot="1">
      <c r="A44" s="26" t="s">
        <v>1917</v>
      </c>
      <c r="B44" s="95" t="s">
        <v>218</v>
      </c>
      <c r="C44" s="95" t="s">
        <v>1792</v>
      </c>
      <c r="D44" s="95"/>
      <c r="E44" s="95" t="s">
        <v>1918</v>
      </c>
      <c r="F44" s="95"/>
      <c r="G44" s="95" t="s">
        <v>1839</v>
      </c>
      <c r="H44" s="95" t="s">
        <v>1919</v>
      </c>
      <c r="I44" s="95" t="s">
        <v>1049</v>
      </c>
      <c r="J44" s="95" t="s">
        <v>1049</v>
      </c>
      <c r="K44" s="95" t="s">
        <v>1049</v>
      </c>
    </row>
    <row r="45" spans="1:15" ht="15.75" thickBot="1">
      <c r="A45" s="26" t="s">
        <v>1917</v>
      </c>
      <c r="B45" s="95" t="s">
        <v>219</v>
      </c>
      <c r="C45" s="95" t="s">
        <v>1792</v>
      </c>
      <c r="D45" s="95"/>
      <c r="E45" s="95" t="s">
        <v>1920</v>
      </c>
      <c r="F45" s="95"/>
      <c r="G45" s="19" t="s">
        <v>1921</v>
      </c>
      <c r="H45" s="95"/>
      <c r="I45" s="95" t="s">
        <v>1840</v>
      </c>
      <c r="J45" s="95"/>
      <c r="K45" s="95"/>
    </row>
    <row r="46" spans="1:15" ht="15.75" thickBot="1">
      <c r="A46" s="26" t="s">
        <v>1922</v>
      </c>
      <c r="B46" s="95" t="s">
        <v>220</v>
      </c>
      <c r="C46" s="95" t="s">
        <v>1792</v>
      </c>
      <c r="D46" s="95"/>
      <c r="E46" s="95" t="s">
        <v>1923</v>
      </c>
      <c r="F46" s="95"/>
      <c r="G46" s="95" t="s">
        <v>1924</v>
      </c>
      <c r="H46" s="95" t="s">
        <v>1925</v>
      </c>
      <c r="I46" s="95" t="s">
        <v>1840</v>
      </c>
      <c r="J46" s="95" t="s">
        <v>1926</v>
      </c>
      <c r="K46" s="95" t="s">
        <v>1927</v>
      </c>
    </row>
    <row r="47" spans="1:15" ht="15.75" thickBot="1">
      <c r="A47" s="26" t="s">
        <v>1922</v>
      </c>
      <c r="B47" s="95" t="s">
        <v>221</v>
      </c>
      <c r="C47" s="95" t="s">
        <v>1792</v>
      </c>
      <c r="D47" s="95"/>
      <c r="E47" s="95" t="s">
        <v>1928</v>
      </c>
      <c r="F47" s="95"/>
      <c r="G47" s="95" t="s">
        <v>1929</v>
      </c>
      <c r="H47" s="95" t="s">
        <v>1049</v>
      </c>
      <c r="I47" s="95" t="s">
        <v>1930</v>
      </c>
      <c r="J47" s="95"/>
      <c r="K47" s="95"/>
    </row>
    <row r="48" spans="1:15" ht="15.75" thickBot="1">
      <c r="A48" s="26" t="s">
        <v>1922</v>
      </c>
      <c r="B48" s="95" t="s">
        <v>222</v>
      </c>
      <c r="C48" s="95" t="s">
        <v>1931</v>
      </c>
      <c r="D48" s="95" t="s">
        <v>1932</v>
      </c>
      <c r="E48" s="95" t="s">
        <v>1933</v>
      </c>
      <c r="F48" s="95"/>
      <c r="G48" s="95" t="s">
        <v>1049</v>
      </c>
      <c r="H48" s="95" t="s">
        <v>1934</v>
      </c>
      <c r="I48" s="95" t="s">
        <v>1840</v>
      </c>
      <c r="J48" s="95" t="s">
        <v>1935</v>
      </c>
      <c r="K48" s="95" t="s">
        <v>1936</v>
      </c>
    </row>
    <row r="49" spans="1:11" ht="15.75" thickBot="1">
      <c r="A49" s="26" t="s">
        <v>1922</v>
      </c>
      <c r="B49" s="95" t="s">
        <v>223</v>
      </c>
      <c r="C49" s="95" t="s">
        <v>1792</v>
      </c>
      <c r="D49" s="95"/>
      <c r="E49" s="95" t="s">
        <v>1937</v>
      </c>
      <c r="F49" s="95"/>
      <c r="G49" s="95" t="s">
        <v>1839</v>
      </c>
      <c r="H49" s="95" t="s">
        <v>1938</v>
      </c>
      <c r="I49" s="95"/>
      <c r="J49" s="95"/>
      <c r="K49" s="95"/>
    </row>
    <row r="50" spans="1:11" ht="15.75" thickBot="1">
      <c r="A50" s="31" t="s">
        <v>1939</v>
      </c>
      <c r="B50" s="95" t="s">
        <v>224</v>
      </c>
      <c r="C50" s="95" t="s">
        <v>1792</v>
      </c>
      <c r="D50" s="95"/>
      <c r="E50" s="95" t="s">
        <v>1940</v>
      </c>
      <c r="F50" s="95"/>
      <c r="G50" s="95" t="s">
        <v>1839</v>
      </c>
      <c r="H50" s="95"/>
      <c r="I50" s="95"/>
      <c r="J50" s="95"/>
      <c r="K50" s="95"/>
    </row>
    <row r="51" spans="1:11" ht="15.75" thickBot="1">
      <c r="A51" s="31" t="s">
        <v>1939</v>
      </c>
      <c r="B51" s="95" t="s">
        <v>225</v>
      </c>
      <c r="C51" s="95" t="s">
        <v>1792</v>
      </c>
      <c r="D51" s="95"/>
      <c r="E51" s="95" t="s">
        <v>1941</v>
      </c>
      <c r="F51" s="95"/>
      <c r="G51" s="95" t="s">
        <v>1942</v>
      </c>
      <c r="H51" s="95"/>
      <c r="I51" s="95"/>
      <c r="J51" s="95"/>
      <c r="K51" s="95"/>
    </row>
    <row r="52" spans="1:11" ht="15.75" thickBot="1">
      <c r="A52" s="31" t="s">
        <v>1943</v>
      </c>
      <c r="B52" s="95" t="s">
        <v>226</v>
      </c>
      <c r="C52" s="95" t="s">
        <v>1792</v>
      </c>
      <c r="D52" s="95"/>
      <c r="E52" s="95" t="s">
        <v>1944</v>
      </c>
      <c r="F52" s="95"/>
      <c r="G52" s="95" t="s">
        <v>1945</v>
      </c>
      <c r="H52" s="95"/>
      <c r="I52" s="95"/>
      <c r="J52" s="95"/>
      <c r="K52" s="95"/>
    </row>
    <row r="53" spans="1:11" ht="15.75" thickBot="1">
      <c r="A53" s="31" t="s">
        <v>1943</v>
      </c>
      <c r="B53" s="95" t="s">
        <v>227</v>
      </c>
      <c r="C53" t="s">
        <v>1946</v>
      </c>
      <c r="D53" s="95"/>
      <c r="E53" s="95" t="s">
        <v>1947</v>
      </c>
      <c r="G53" s="95"/>
      <c r="H53" s="95"/>
      <c r="I53" s="95"/>
      <c r="J53" s="95"/>
      <c r="K53" s="95"/>
    </row>
    <row r="54" spans="1:11" ht="15.75" thickBot="1">
      <c r="A54" s="31" t="s">
        <v>1943</v>
      </c>
      <c r="B54" s="95" t="s">
        <v>228</v>
      </c>
      <c r="C54" t="s">
        <v>1946</v>
      </c>
      <c r="D54" s="95"/>
      <c r="E54" s="95" t="s">
        <v>1948</v>
      </c>
      <c r="G54" s="95"/>
      <c r="H54" s="95"/>
      <c r="I54" s="95"/>
      <c r="J54" s="95"/>
      <c r="K54" s="95"/>
    </row>
    <row r="55" spans="1:11" ht="15.75" thickBot="1">
      <c r="A55" s="33" t="s">
        <v>1949</v>
      </c>
      <c r="B55" s="95" t="s">
        <v>229</v>
      </c>
      <c r="C55" s="95" t="s">
        <v>1792</v>
      </c>
      <c r="D55" s="95"/>
      <c r="E55" s="95" t="s">
        <v>1950</v>
      </c>
      <c r="G55" s="95" t="s">
        <v>1839</v>
      </c>
      <c r="H55" s="95"/>
      <c r="I55" s="95"/>
      <c r="J55" s="95"/>
      <c r="K55" s="95"/>
    </row>
    <row r="56" spans="1:11" ht="15.75" thickBot="1">
      <c r="A56" s="33" t="s">
        <v>1949</v>
      </c>
      <c r="B56" s="95" t="s">
        <v>231</v>
      </c>
      <c r="C56" s="95" t="s">
        <v>1792</v>
      </c>
      <c r="D56" s="95"/>
      <c r="E56" s="95" t="s">
        <v>1951</v>
      </c>
      <c r="F56" s="95"/>
      <c r="G56" s="95" t="s">
        <v>1952</v>
      </c>
      <c r="H56" s="95"/>
      <c r="I56" s="95"/>
      <c r="J56" s="95"/>
      <c r="K56" s="95"/>
    </row>
    <row r="57" spans="1:11" ht="15.75" thickBot="1">
      <c r="A57" s="33" t="s">
        <v>1949</v>
      </c>
      <c r="B57" s="95" t="s">
        <v>232</v>
      </c>
      <c r="C57" s="95" t="s">
        <v>1792</v>
      </c>
      <c r="D57" s="95"/>
      <c r="E57" s="95" t="s">
        <v>1953</v>
      </c>
      <c r="F57" s="95"/>
      <c r="G57" s="19" t="s">
        <v>1954</v>
      </c>
      <c r="H57" s="95"/>
      <c r="I57" s="95"/>
      <c r="J57" s="95"/>
      <c r="K57" s="95"/>
    </row>
    <row r="58" spans="1:11" ht="15.75" thickBot="1">
      <c r="A58" s="33" t="s">
        <v>1949</v>
      </c>
      <c r="B58" s="95" t="s">
        <v>233</v>
      </c>
      <c r="C58" s="95" t="s">
        <v>1792</v>
      </c>
      <c r="D58" s="95"/>
      <c r="E58" s="95" t="s">
        <v>1955</v>
      </c>
      <c r="F58" s="95"/>
      <c r="G58" s="95" t="s">
        <v>1956</v>
      </c>
      <c r="H58" s="95"/>
      <c r="I58" s="95"/>
      <c r="J58" s="95"/>
      <c r="K58" s="95"/>
    </row>
    <row r="59" spans="1:11" ht="15.75" thickBot="1">
      <c r="A59" s="33" t="s">
        <v>1949</v>
      </c>
      <c r="B59" s="95" t="s">
        <v>234</v>
      </c>
      <c r="C59" s="95" t="s">
        <v>1792</v>
      </c>
      <c r="D59" s="95"/>
      <c r="E59" s="95" t="s">
        <v>1957</v>
      </c>
      <c r="F59" s="95"/>
      <c r="G59" s="95" t="s">
        <v>1958</v>
      </c>
      <c r="H59" s="95" t="s">
        <v>1925</v>
      </c>
      <c r="I59" s="95"/>
      <c r="J59" s="95"/>
      <c r="K59" s="95"/>
    </row>
    <row r="60" spans="1:11" ht="15.75" thickBot="1">
      <c r="A60" s="39" t="s">
        <v>438</v>
      </c>
      <c r="B60" s="95" t="s">
        <v>235</v>
      </c>
      <c r="C60" s="95" t="s">
        <v>1792</v>
      </c>
      <c r="D60" s="95"/>
      <c r="E60" s="95" t="s">
        <v>1959</v>
      </c>
      <c r="F60" s="95"/>
      <c r="G60" s="95" t="s">
        <v>1839</v>
      </c>
      <c r="H60" s="95"/>
      <c r="I60" s="95"/>
      <c r="J60" s="95"/>
      <c r="K60" s="95"/>
    </row>
    <row r="61" spans="1:11" ht="15.75" thickBot="1">
      <c r="A61" s="39" t="s">
        <v>438</v>
      </c>
      <c r="B61" s="95" t="s">
        <v>237</v>
      </c>
      <c r="C61" s="95" t="s">
        <v>1792</v>
      </c>
      <c r="D61" s="95"/>
      <c r="E61" s="95" t="s">
        <v>1960</v>
      </c>
      <c r="F61" s="95"/>
      <c r="G61" s="95" t="s">
        <v>1901</v>
      </c>
      <c r="H61" s="95"/>
      <c r="I61" s="95"/>
      <c r="J61" s="95"/>
      <c r="K61" s="95"/>
    </row>
    <row r="62" spans="1:11" ht="15.75" thickBot="1">
      <c r="A62" s="39" t="s">
        <v>438</v>
      </c>
      <c r="B62" s="95" t="s">
        <v>238</v>
      </c>
      <c r="C62" s="95" t="s">
        <v>1792</v>
      </c>
      <c r="D62" s="95"/>
      <c r="E62" s="95" t="s">
        <v>1961</v>
      </c>
      <c r="F62" s="95"/>
      <c r="G62" s="19" t="s">
        <v>1962</v>
      </c>
      <c r="H62" s="95"/>
      <c r="I62" s="95"/>
      <c r="J62" s="95"/>
      <c r="K62" s="95"/>
    </row>
    <row r="63" spans="1:11" ht="15.75" thickBot="1">
      <c r="A63" s="39" t="s">
        <v>438</v>
      </c>
      <c r="B63" s="95" t="s">
        <v>239</v>
      </c>
      <c r="C63" s="95" t="s">
        <v>1792</v>
      </c>
      <c r="D63" s="95"/>
      <c r="E63" s="95" t="s">
        <v>1963</v>
      </c>
      <c r="F63" s="95"/>
      <c r="G63" s="95" t="s">
        <v>1964</v>
      </c>
      <c r="H63" s="95"/>
      <c r="I63" s="95"/>
      <c r="J63" s="95"/>
      <c r="K63" s="95"/>
    </row>
    <row r="64" spans="1:11" ht="15.75" thickBot="1">
      <c r="A64" s="39" t="s">
        <v>438</v>
      </c>
      <c r="B64" s="95" t="s">
        <v>240</v>
      </c>
      <c r="C64" s="95" t="s">
        <v>1792</v>
      </c>
      <c r="D64" s="95"/>
      <c r="E64" s="95" t="s">
        <v>1965</v>
      </c>
      <c r="F64" s="95"/>
      <c r="G64" s="95" t="s">
        <v>1966</v>
      </c>
      <c r="H64" s="95"/>
      <c r="I64" s="96"/>
      <c r="J64" s="96"/>
      <c r="K64" s="96"/>
    </row>
    <row r="65" spans="1:11" ht="15.75" thickBot="1">
      <c r="A65" s="30" t="s">
        <v>1967</v>
      </c>
      <c r="B65" s="95" t="s">
        <v>241</v>
      </c>
      <c r="C65" s="95" t="s">
        <v>1792</v>
      </c>
      <c r="D65" s="95"/>
      <c r="E65" s="95" t="s">
        <v>1968</v>
      </c>
      <c r="F65" s="95"/>
      <c r="G65" s="95" t="s">
        <v>1839</v>
      </c>
      <c r="H65" s="95"/>
    </row>
    <row r="66" spans="1:11" ht="15.75" thickBot="1">
      <c r="A66" s="30" t="s">
        <v>1967</v>
      </c>
      <c r="B66" s="95" t="s">
        <v>242</v>
      </c>
      <c r="C66" s="95" t="s">
        <v>1792</v>
      </c>
      <c r="D66" s="95"/>
      <c r="E66" s="95" t="s">
        <v>1969</v>
      </c>
      <c r="F66" s="95"/>
      <c r="G66" s="19" t="s">
        <v>1970</v>
      </c>
      <c r="H66" s="95" t="s">
        <v>1925</v>
      </c>
    </row>
    <row r="67" spans="1:11" ht="15.75" thickBot="1">
      <c r="A67" s="30" t="s">
        <v>1971</v>
      </c>
      <c r="B67" s="95" t="s">
        <v>243</v>
      </c>
      <c r="C67" s="95" t="s">
        <v>1792</v>
      </c>
      <c r="D67" s="95"/>
      <c r="E67" s="95" t="s">
        <v>1972</v>
      </c>
      <c r="F67" s="95"/>
      <c r="G67" s="95" t="s">
        <v>1973</v>
      </c>
      <c r="H67" s="95"/>
      <c r="J67" t="s">
        <v>1974</v>
      </c>
      <c r="K67" t="s">
        <v>1975</v>
      </c>
    </row>
    <row r="68" spans="1:11" ht="15.75" thickBot="1">
      <c r="A68" s="30" t="s">
        <v>1971</v>
      </c>
      <c r="B68" s="95" t="s">
        <v>244</v>
      </c>
      <c r="C68" s="95" t="s">
        <v>1792</v>
      </c>
      <c r="D68" s="95"/>
      <c r="E68" s="95" t="s">
        <v>1976</v>
      </c>
      <c r="F68" s="95"/>
      <c r="G68" s="95" t="s">
        <v>1977</v>
      </c>
      <c r="H68" s="95"/>
      <c r="J68" t="s">
        <v>1974</v>
      </c>
      <c r="K68" t="s">
        <v>1975</v>
      </c>
    </row>
    <row r="69" spans="1:11" ht="15.75" thickBot="1">
      <c r="A69" s="30" t="s">
        <v>1971</v>
      </c>
      <c r="B69" s="95" t="s">
        <v>245</v>
      </c>
      <c r="C69" s="95" t="s">
        <v>1792</v>
      </c>
      <c r="D69" s="95"/>
      <c r="E69" s="95" t="s">
        <v>1978</v>
      </c>
      <c r="F69" s="95"/>
      <c r="G69" s="95"/>
      <c r="H69" s="95"/>
    </row>
    <row r="70" spans="1:11" ht="14.65" customHeight="1" thickBot="1">
      <c r="A70" s="30" t="s">
        <v>1971</v>
      </c>
      <c r="B70" s="95" t="s">
        <v>246</v>
      </c>
      <c r="C70" s="95" t="s">
        <v>1792</v>
      </c>
      <c r="D70" s="95"/>
      <c r="E70" s="95" t="s">
        <v>1979</v>
      </c>
      <c r="F70" s="95"/>
      <c r="G70" s="95"/>
      <c r="H70" s="95"/>
    </row>
    <row r="71" spans="1:11" ht="14.65" customHeight="1" thickBot="1">
      <c r="A71" s="30" t="s">
        <v>1971</v>
      </c>
      <c r="B71" s="95" t="s">
        <v>247</v>
      </c>
      <c r="C71" s="95" t="s">
        <v>1792</v>
      </c>
      <c r="D71" s="95"/>
      <c r="E71" s="95" t="s">
        <v>1980</v>
      </c>
      <c r="F71" s="95"/>
      <c r="G71" s="4" t="s">
        <v>1981</v>
      </c>
      <c r="H71" s="95"/>
    </row>
    <row r="72" spans="1:11" ht="14.65" customHeight="1" thickBot="1">
      <c r="A72" s="26" t="s">
        <v>1982</v>
      </c>
      <c r="B72" s="95" t="s">
        <v>248</v>
      </c>
      <c r="C72" s="95" t="s">
        <v>1792</v>
      </c>
      <c r="D72" s="95"/>
      <c r="E72" s="95" t="s">
        <v>1983</v>
      </c>
      <c r="F72" s="95"/>
      <c r="G72" s="95" t="s">
        <v>1839</v>
      </c>
      <c r="H72" s="95"/>
      <c r="I72" s="95"/>
    </row>
    <row r="73" spans="1:11" ht="14.65" customHeight="1" thickBot="1">
      <c r="A73" s="26" t="s">
        <v>1982</v>
      </c>
      <c r="B73" s="95" t="s">
        <v>1984</v>
      </c>
      <c r="C73" s="95" t="s">
        <v>1792</v>
      </c>
      <c r="D73" s="95"/>
      <c r="E73" s="95" t="s">
        <v>1985</v>
      </c>
      <c r="F73" s="95"/>
      <c r="G73" s="19" t="s">
        <v>1986</v>
      </c>
      <c r="H73" s="95"/>
      <c r="I73" s="95"/>
    </row>
    <row r="74" spans="1:11" ht="15.75" thickBot="1">
      <c r="A74" s="26" t="s">
        <v>1987</v>
      </c>
      <c r="B74" s="95" t="s">
        <v>252</v>
      </c>
      <c r="C74" s="95" t="s">
        <v>1792</v>
      </c>
      <c r="D74" s="95"/>
      <c r="E74" s="95" t="s">
        <v>1988</v>
      </c>
      <c r="F74" s="95"/>
      <c r="G74" s="95"/>
      <c r="H74" s="95"/>
    </row>
    <row r="75" spans="1:11" ht="14.65" customHeight="1" thickBot="1">
      <c r="A75" s="26" t="s">
        <v>1987</v>
      </c>
      <c r="B75" s="95" t="s">
        <v>253</v>
      </c>
      <c r="C75" s="95" t="s">
        <v>1792</v>
      </c>
      <c r="D75" s="95"/>
      <c r="E75" s="95" t="s">
        <v>1979</v>
      </c>
      <c r="F75" s="95"/>
      <c r="G75" s="95"/>
      <c r="H75" s="95"/>
    </row>
    <row r="76" spans="1:11" ht="14.65" customHeight="1" thickBot="1">
      <c r="A76" s="26" t="s">
        <v>1987</v>
      </c>
      <c r="B76" s="95" t="s">
        <v>254</v>
      </c>
      <c r="C76" s="95" t="s">
        <v>1792</v>
      </c>
      <c r="D76" s="95"/>
      <c r="E76" s="95" t="s">
        <v>1980</v>
      </c>
      <c r="F76" s="95"/>
      <c r="G76" s="4" t="s">
        <v>1981</v>
      </c>
      <c r="H76" s="95"/>
    </row>
    <row r="77" spans="1:11" ht="15.75" thickBot="1">
      <c r="A77" s="31" t="s">
        <v>1989</v>
      </c>
      <c r="B77" s="95" t="s">
        <v>255</v>
      </c>
      <c r="C77" s="95" t="s">
        <v>1792</v>
      </c>
      <c r="D77" s="95"/>
      <c r="E77" s="95" t="s">
        <v>1990</v>
      </c>
      <c r="F77" s="95"/>
      <c r="G77" s="95" t="s">
        <v>1839</v>
      </c>
      <c r="H77" s="95"/>
      <c r="I77" s="95"/>
      <c r="J77" s="95"/>
      <c r="K77" s="95"/>
    </row>
    <row r="78" spans="1:11" ht="15.75" thickBot="1">
      <c r="A78" s="31" t="s">
        <v>1989</v>
      </c>
      <c r="B78" s="95" t="s">
        <v>256</v>
      </c>
      <c r="C78" s="95" t="s">
        <v>1792</v>
      </c>
      <c r="D78" s="95"/>
      <c r="E78" s="95" t="s">
        <v>1991</v>
      </c>
      <c r="F78" s="95"/>
      <c r="G78" s="18" t="s">
        <v>1992</v>
      </c>
      <c r="H78" s="95"/>
      <c r="I78" s="95" t="s">
        <v>1840</v>
      </c>
      <c r="J78" s="95" t="s">
        <v>1993</v>
      </c>
      <c r="K78" s="95" t="s">
        <v>1994</v>
      </c>
    </row>
    <row r="79" spans="1:11" ht="15.75" thickBot="1">
      <c r="A79" s="31" t="s">
        <v>1989</v>
      </c>
      <c r="B79" s="96" t="s">
        <v>257</v>
      </c>
      <c r="C79" s="95" t="s">
        <v>1792</v>
      </c>
      <c r="D79" s="96"/>
      <c r="E79" s="96" t="s">
        <v>1995</v>
      </c>
      <c r="F79" s="96"/>
      <c r="G79" s="18" t="s">
        <v>1996</v>
      </c>
      <c r="H79" s="96"/>
      <c r="I79" s="96"/>
      <c r="J79" s="96"/>
      <c r="K79" s="96"/>
    </row>
    <row r="80" spans="1:11" ht="15.75" thickBot="1">
      <c r="A80" s="31" t="s">
        <v>1989</v>
      </c>
      <c r="B80" s="96" t="s">
        <v>258</v>
      </c>
      <c r="C80" s="95" t="s">
        <v>1792</v>
      </c>
      <c r="D80" s="96"/>
      <c r="E80" s="95" t="s">
        <v>1997</v>
      </c>
      <c r="F80" s="96"/>
      <c r="G80" s="18" t="s">
        <v>1998</v>
      </c>
      <c r="H80" s="96"/>
      <c r="I80" s="96"/>
      <c r="J80" s="96"/>
      <c r="K80" s="96"/>
    </row>
    <row r="81" spans="1:14" ht="15.75" thickBot="1">
      <c r="A81" s="31" t="s">
        <v>1989</v>
      </c>
      <c r="B81" s="96" t="s">
        <v>259</v>
      </c>
      <c r="C81" s="95" t="s">
        <v>1843</v>
      </c>
      <c r="D81" s="95" t="s">
        <v>1851</v>
      </c>
      <c r="E81" s="95" t="s">
        <v>1999</v>
      </c>
      <c r="F81" s="96"/>
      <c r="G81" s="96"/>
      <c r="H81" s="96"/>
      <c r="I81" s="96"/>
      <c r="J81" s="96"/>
      <c r="K81" s="96"/>
    </row>
    <row r="82" spans="1:14" ht="15.75" thickBot="1">
      <c r="A82" s="31" t="s">
        <v>2000</v>
      </c>
      <c r="B82" s="95" t="s">
        <v>260</v>
      </c>
      <c r="C82" s="95" t="s">
        <v>1792</v>
      </c>
      <c r="D82" s="95" t="s">
        <v>2001</v>
      </c>
      <c r="E82" s="96" t="s">
        <v>2002</v>
      </c>
      <c r="F82" s="96"/>
      <c r="G82" s="96" t="s">
        <v>2003</v>
      </c>
      <c r="H82" s="96"/>
      <c r="I82" s="96"/>
      <c r="J82" s="96"/>
      <c r="K82" s="96"/>
    </row>
    <row r="83" spans="1:14" ht="15.75" thickBot="1">
      <c r="A83" s="31" t="s">
        <v>2000</v>
      </c>
      <c r="B83" s="95" t="s">
        <v>261</v>
      </c>
      <c r="C83" s="95" t="s">
        <v>1792</v>
      </c>
      <c r="D83" s="95" t="s">
        <v>2001</v>
      </c>
      <c r="E83" s="96" t="s">
        <v>2004</v>
      </c>
      <c r="F83" s="96"/>
      <c r="G83" s="96" t="s">
        <v>2003</v>
      </c>
      <c r="H83" s="96"/>
      <c r="I83" s="96"/>
      <c r="J83" s="96"/>
      <c r="K83" s="96"/>
    </row>
    <row r="84" spans="1:14" ht="15.75" thickBot="1">
      <c r="A84" s="31" t="s">
        <v>2000</v>
      </c>
      <c r="B84" s="95" t="s">
        <v>262</v>
      </c>
      <c r="C84" s="95" t="s">
        <v>1792</v>
      </c>
      <c r="D84" s="95" t="s">
        <v>2001</v>
      </c>
      <c r="E84" s="96" t="s">
        <v>2005</v>
      </c>
      <c r="F84" s="96"/>
      <c r="G84" s="96" t="s">
        <v>2003</v>
      </c>
      <c r="H84" s="96"/>
      <c r="I84" s="96"/>
      <c r="J84" s="96"/>
      <c r="K84" s="96"/>
    </row>
    <row r="85" spans="1:14" ht="15.75" thickBot="1">
      <c r="A85" s="31" t="s">
        <v>2000</v>
      </c>
      <c r="B85" s="95" t="s">
        <v>263</v>
      </c>
      <c r="C85" s="95" t="s">
        <v>1792</v>
      </c>
      <c r="D85" s="95" t="s">
        <v>1833</v>
      </c>
      <c r="E85" s="96" t="s">
        <v>2006</v>
      </c>
      <c r="F85" s="96"/>
      <c r="G85" s="96" t="s">
        <v>2007</v>
      </c>
      <c r="H85" s="96"/>
      <c r="I85" s="96"/>
      <c r="J85" s="96"/>
      <c r="K85" s="96"/>
    </row>
    <row r="86" spans="1:14" ht="15.75" thickBot="1">
      <c r="A86" s="31" t="s">
        <v>2000</v>
      </c>
      <c r="B86" s="95" t="s">
        <v>264</v>
      </c>
      <c r="C86" s="95" t="s">
        <v>1792</v>
      </c>
      <c r="D86" s="95" t="s">
        <v>1833</v>
      </c>
      <c r="E86" s="96" t="s">
        <v>2008</v>
      </c>
      <c r="F86" s="96"/>
      <c r="G86" s="96" t="s">
        <v>2007</v>
      </c>
      <c r="H86" s="96"/>
      <c r="I86" s="96"/>
      <c r="J86" s="96"/>
      <c r="K86" s="96"/>
    </row>
    <row r="87" spans="1:14" ht="15.75" thickBot="1">
      <c r="A87" s="31" t="s">
        <v>2000</v>
      </c>
      <c r="B87" s="95" t="s">
        <v>265</v>
      </c>
      <c r="C87" s="95" t="s">
        <v>1792</v>
      </c>
      <c r="D87" s="95" t="s">
        <v>1833</v>
      </c>
      <c r="E87" s="96" t="s">
        <v>2009</v>
      </c>
      <c r="F87" s="96"/>
      <c r="G87" s="96" t="s">
        <v>2007</v>
      </c>
      <c r="H87" s="96"/>
      <c r="I87" s="96"/>
      <c r="J87" s="96"/>
      <c r="K87" s="96"/>
    </row>
    <row r="88" spans="1:14" ht="15.75" thickBot="1">
      <c r="A88" s="31" t="s">
        <v>2000</v>
      </c>
      <c r="B88" s="95" t="s">
        <v>266</v>
      </c>
      <c r="C88" s="95" t="s">
        <v>1792</v>
      </c>
      <c r="D88" s="95" t="s">
        <v>1932</v>
      </c>
      <c r="E88" s="96" t="s">
        <v>2010</v>
      </c>
      <c r="F88" s="96"/>
      <c r="G88" s="96"/>
      <c r="H88" s="96"/>
      <c r="I88" s="96"/>
      <c r="J88" s="96"/>
      <c r="K88" s="96"/>
    </row>
    <row r="89" spans="1:14" ht="15.75" thickBot="1">
      <c r="A89" s="31" t="s">
        <v>2000</v>
      </c>
      <c r="B89" s="95" t="s">
        <v>267</v>
      </c>
      <c r="C89" s="95" t="s">
        <v>1792</v>
      </c>
      <c r="D89" s="95" t="s">
        <v>1932</v>
      </c>
      <c r="E89" s="96" t="s">
        <v>2011</v>
      </c>
      <c r="F89" s="96"/>
      <c r="G89" s="96"/>
      <c r="H89" s="96"/>
      <c r="I89" s="96"/>
      <c r="J89" s="96"/>
      <c r="K89" s="96"/>
    </row>
    <row r="90" spans="1:14" ht="15.75" thickBot="1">
      <c r="A90" s="31" t="s">
        <v>2000</v>
      </c>
      <c r="B90" s="95" t="s">
        <v>268</v>
      </c>
      <c r="C90" s="95" t="s">
        <v>1792</v>
      </c>
      <c r="D90" s="95" t="s">
        <v>1932</v>
      </c>
      <c r="E90" s="96" t="s">
        <v>2012</v>
      </c>
      <c r="F90" s="96"/>
      <c r="G90" s="96"/>
      <c r="H90" s="96"/>
      <c r="I90" s="96"/>
      <c r="J90" s="96"/>
      <c r="K90" s="96"/>
    </row>
    <row r="91" spans="1:14" ht="15.75" thickBot="1">
      <c r="A91" s="30" t="s">
        <v>2013</v>
      </c>
      <c r="B91" s="96" t="s">
        <v>269</v>
      </c>
      <c r="C91" s="95" t="s">
        <v>1792</v>
      </c>
      <c r="D91" s="95"/>
      <c r="E91" s="95" t="s">
        <v>2014</v>
      </c>
      <c r="F91" s="95"/>
      <c r="G91" s="95" t="s">
        <v>1839</v>
      </c>
      <c r="H91" s="95"/>
      <c r="I91" s="95"/>
      <c r="J91" s="95"/>
      <c r="K91" s="95"/>
      <c r="M91" t="s">
        <v>2015</v>
      </c>
    </row>
    <row r="92" spans="1:14" ht="15.75" thickBot="1">
      <c r="A92" s="30" t="s">
        <v>2013</v>
      </c>
      <c r="B92" s="96" t="s">
        <v>270</v>
      </c>
      <c r="C92" s="95" t="s">
        <v>1792</v>
      </c>
      <c r="D92" s="95"/>
      <c r="E92" s="95" t="s">
        <v>2016</v>
      </c>
      <c r="F92" s="95"/>
      <c r="G92" s="18" t="s">
        <v>2017</v>
      </c>
      <c r="H92" s="95"/>
      <c r="I92" s="95"/>
      <c r="J92" s="95"/>
      <c r="K92" s="95"/>
    </row>
    <row r="93" spans="1:14" ht="15.75" thickBot="1">
      <c r="A93" s="30" t="s">
        <v>2018</v>
      </c>
      <c r="B93" s="96" t="s">
        <v>271</v>
      </c>
      <c r="C93" s="95" t="s">
        <v>1792</v>
      </c>
      <c r="D93" s="95"/>
      <c r="E93" s="95" t="s">
        <v>2019</v>
      </c>
      <c r="F93" s="95"/>
      <c r="G93" s="95" t="s">
        <v>2020</v>
      </c>
      <c r="H93" s="95" t="s">
        <v>1049</v>
      </c>
      <c r="I93" s="95" t="s">
        <v>1840</v>
      </c>
      <c r="J93" s="95" t="s">
        <v>2021</v>
      </c>
      <c r="K93" s="95" t="s">
        <v>2022</v>
      </c>
      <c r="M93" t="s">
        <v>2023</v>
      </c>
      <c r="N93" s="101" t="s">
        <v>1821</v>
      </c>
    </row>
    <row r="94" spans="1:14" ht="15.75" thickBot="1">
      <c r="A94" s="30" t="s">
        <v>2018</v>
      </c>
      <c r="B94" s="95" t="s">
        <v>272</v>
      </c>
      <c r="C94" s="95" t="s">
        <v>1792</v>
      </c>
      <c r="D94" s="95"/>
      <c r="E94" s="95" t="s">
        <v>2024</v>
      </c>
      <c r="F94" s="95"/>
      <c r="G94" s="95" t="s">
        <v>2025</v>
      </c>
      <c r="H94" s="95" t="s">
        <v>2026</v>
      </c>
      <c r="I94" s="95" t="s">
        <v>1840</v>
      </c>
      <c r="J94" s="95" t="s">
        <v>2021</v>
      </c>
      <c r="K94" s="95" t="s">
        <v>2022</v>
      </c>
      <c r="N94" s="101"/>
    </row>
    <row r="95" spans="1:14" ht="15.75" thickBot="1">
      <c r="A95" s="30" t="s">
        <v>2018</v>
      </c>
      <c r="B95" s="95" t="s">
        <v>273</v>
      </c>
      <c r="C95" s="95" t="s">
        <v>1792</v>
      </c>
      <c r="D95" s="95" t="s">
        <v>2027</v>
      </c>
      <c r="E95" s="95" t="s">
        <v>2028</v>
      </c>
      <c r="F95" s="95"/>
      <c r="G95" s="95" t="s">
        <v>2029</v>
      </c>
      <c r="H95" s="95" t="s">
        <v>1049</v>
      </c>
      <c r="I95" s="95" t="s">
        <v>2030</v>
      </c>
      <c r="J95" s="95" t="s">
        <v>1840</v>
      </c>
      <c r="K95" s="95"/>
      <c r="M95" t="s">
        <v>2023</v>
      </c>
      <c r="N95" s="101" t="s">
        <v>1821</v>
      </c>
    </row>
    <row r="96" spans="1:14" ht="15.75" thickBot="1">
      <c r="A96" s="30" t="s">
        <v>2018</v>
      </c>
      <c r="B96" s="95" t="s">
        <v>274</v>
      </c>
      <c r="C96" s="95" t="s">
        <v>1843</v>
      </c>
      <c r="D96" s="95"/>
      <c r="E96" s="95" t="s">
        <v>2031</v>
      </c>
      <c r="F96" s="95"/>
      <c r="G96" s="95" t="s">
        <v>1049</v>
      </c>
      <c r="H96" s="95" t="s">
        <v>1877</v>
      </c>
      <c r="I96" s="95"/>
      <c r="J96" s="95"/>
      <c r="K96" s="95"/>
      <c r="M96" t="s">
        <v>1846</v>
      </c>
      <c r="N96" t="s">
        <v>2032</v>
      </c>
    </row>
    <row r="97" spans="1:14" ht="15.75" thickBot="1">
      <c r="A97" s="30" t="s">
        <v>2018</v>
      </c>
      <c r="B97" s="95" t="s">
        <v>275</v>
      </c>
      <c r="C97" s="95" t="s">
        <v>1792</v>
      </c>
      <c r="D97" s="95"/>
      <c r="E97" s="95" t="s">
        <v>2033</v>
      </c>
      <c r="F97" s="95"/>
      <c r="G97" s="95"/>
      <c r="H97" s="95"/>
      <c r="I97" s="95"/>
      <c r="J97" s="95"/>
      <c r="K97" s="95"/>
    </row>
    <row r="98" spans="1:14" ht="15.75" thickBot="1">
      <c r="A98" s="30" t="s">
        <v>2018</v>
      </c>
      <c r="B98" s="95" t="s">
        <v>276</v>
      </c>
      <c r="C98" s="95" t="s">
        <v>1843</v>
      </c>
      <c r="D98" s="95"/>
      <c r="E98" s="95" t="s">
        <v>2034</v>
      </c>
      <c r="F98" s="95"/>
      <c r="G98" s="95" t="s">
        <v>1049</v>
      </c>
      <c r="H98" s="95" t="s">
        <v>1877</v>
      </c>
      <c r="I98" s="95" t="s">
        <v>1840</v>
      </c>
      <c r="J98" s="95" t="s">
        <v>2035</v>
      </c>
      <c r="K98" s="95" t="s">
        <v>2036</v>
      </c>
      <c r="M98" t="s">
        <v>1846</v>
      </c>
      <c r="N98" t="s">
        <v>2032</v>
      </c>
    </row>
    <row r="99" spans="1:14" ht="15.75" thickBot="1">
      <c r="A99" s="30" t="s">
        <v>2018</v>
      </c>
      <c r="B99" s="95" t="s">
        <v>277</v>
      </c>
      <c r="C99" s="95" t="s">
        <v>1843</v>
      </c>
      <c r="D99" s="95"/>
      <c r="E99" s="95" t="s">
        <v>2037</v>
      </c>
      <c r="F99" s="95"/>
      <c r="G99" s="95" t="s">
        <v>1049</v>
      </c>
      <c r="H99" s="95" t="s">
        <v>1877</v>
      </c>
      <c r="I99" s="95" t="s">
        <v>1840</v>
      </c>
      <c r="J99" s="95" t="s">
        <v>2038</v>
      </c>
      <c r="K99" s="95" t="s">
        <v>2039</v>
      </c>
      <c r="M99" t="s">
        <v>1846</v>
      </c>
      <c r="N99" t="s">
        <v>2032</v>
      </c>
    </row>
    <row r="100" spans="1:14" ht="15.75" thickBot="1">
      <c r="A100" s="30" t="s">
        <v>2018</v>
      </c>
      <c r="B100" s="95" t="s">
        <v>278</v>
      </c>
      <c r="C100" s="95" t="s">
        <v>1843</v>
      </c>
      <c r="D100" s="95"/>
      <c r="E100" s="95" t="s">
        <v>2040</v>
      </c>
      <c r="F100" s="95"/>
      <c r="G100" s="95" t="s">
        <v>1049</v>
      </c>
      <c r="H100" s="95" t="s">
        <v>1877</v>
      </c>
      <c r="I100" s="95" t="s">
        <v>1840</v>
      </c>
      <c r="J100" s="95" t="s">
        <v>2038</v>
      </c>
      <c r="K100" s="95" t="s">
        <v>2039</v>
      </c>
      <c r="M100" t="s">
        <v>1846</v>
      </c>
      <c r="N100" t="s">
        <v>2032</v>
      </c>
    </row>
    <row r="101" spans="1:14" ht="15.75" thickBot="1">
      <c r="A101" s="30" t="s">
        <v>2018</v>
      </c>
      <c r="B101" s="95" t="s">
        <v>279</v>
      </c>
      <c r="C101" s="95" t="s">
        <v>1843</v>
      </c>
      <c r="D101" s="95"/>
      <c r="E101" s="95" t="s">
        <v>2041</v>
      </c>
      <c r="F101" s="95"/>
      <c r="G101" s="95" t="s">
        <v>1049</v>
      </c>
      <c r="H101" s="95" t="s">
        <v>1877</v>
      </c>
      <c r="I101" s="95" t="s">
        <v>1840</v>
      </c>
      <c r="J101" s="95" t="s">
        <v>2038</v>
      </c>
      <c r="K101" s="95" t="s">
        <v>2039</v>
      </c>
    </row>
    <row r="102" spans="1:14" ht="15.75" thickBot="1">
      <c r="A102" s="30" t="s">
        <v>2018</v>
      </c>
      <c r="B102" s="95" t="s">
        <v>280</v>
      </c>
      <c r="C102" s="95" t="s">
        <v>1843</v>
      </c>
      <c r="D102" s="95"/>
      <c r="E102" s="95" t="s">
        <v>2042</v>
      </c>
      <c r="F102" s="95"/>
      <c r="G102" s="95" t="s">
        <v>1049</v>
      </c>
      <c r="H102" s="95" t="s">
        <v>1877</v>
      </c>
      <c r="I102" s="95" t="s">
        <v>1840</v>
      </c>
      <c r="J102" s="95" t="s">
        <v>2043</v>
      </c>
      <c r="K102" s="95" t="s">
        <v>2044</v>
      </c>
    </row>
    <row r="103" spans="1:14" ht="15.75" thickBot="1">
      <c r="A103" s="26" t="s">
        <v>2045</v>
      </c>
      <c r="B103" s="95" t="s">
        <v>281</v>
      </c>
      <c r="C103" s="95" t="s">
        <v>1792</v>
      </c>
      <c r="D103" s="95"/>
      <c r="E103" s="95" t="s">
        <v>2046</v>
      </c>
      <c r="F103" s="95"/>
      <c r="G103" s="95" t="s">
        <v>2020</v>
      </c>
      <c r="H103" s="95" t="s">
        <v>1049</v>
      </c>
      <c r="I103" s="95" t="s">
        <v>1840</v>
      </c>
      <c r="J103" s="95" t="s">
        <v>2021</v>
      </c>
      <c r="K103" s="95" t="s">
        <v>2022</v>
      </c>
    </row>
    <row r="104" spans="1:14" ht="15.75" thickBot="1">
      <c r="A104" s="26" t="s">
        <v>2045</v>
      </c>
      <c r="B104" s="95" t="s">
        <v>282</v>
      </c>
      <c r="C104" s="95" t="s">
        <v>1792</v>
      </c>
      <c r="D104" s="95"/>
      <c r="E104" s="95" t="s">
        <v>2047</v>
      </c>
      <c r="F104" s="95"/>
      <c r="G104" s="95" t="s">
        <v>2048</v>
      </c>
      <c r="H104" s="95" t="s">
        <v>2026</v>
      </c>
      <c r="I104" s="95" t="s">
        <v>1840</v>
      </c>
      <c r="J104" s="95" t="s">
        <v>2021</v>
      </c>
      <c r="K104" s="95" t="s">
        <v>2022</v>
      </c>
    </row>
    <row r="105" spans="1:14" ht="15.75" thickBot="1">
      <c r="A105" s="26" t="s">
        <v>2045</v>
      </c>
      <c r="B105" s="95" t="s">
        <v>283</v>
      </c>
      <c r="C105" s="95" t="s">
        <v>1792</v>
      </c>
      <c r="D105" s="95" t="s">
        <v>2027</v>
      </c>
      <c r="E105" s="95" t="s">
        <v>2049</v>
      </c>
      <c r="F105" s="95"/>
      <c r="G105" s="95" t="s">
        <v>2029</v>
      </c>
      <c r="H105" s="95" t="s">
        <v>1049</v>
      </c>
      <c r="I105" s="95" t="s">
        <v>2030</v>
      </c>
      <c r="J105" s="95" t="s">
        <v>1840</v>
      </c>
      <c r="K105" s="95"/>
    </row>
    <row r="106" spans="1:14" ht="15.75" thickBot="1">
      <c r="A106" s="26" t="s">
        <v>2045</v>
      </c>
      <c r="B106" s="95" t="s">
        <v>284</v>
      </c>
      <c r="C106" s="95" t="s">
        <v>1843</v>
      </c>
      <c r="D106" s="95"/>
      <c r="E106" s="95" t="s">
        <v>2050</v>
      </c>
      <c r="F106" s="95"/>
      <c r="G106" s="95" t="s">
        <v>1049</v>
      </c>
      <c r="H106" s="95" t="s">
        <v>1877</v>
      </c>
      <c r="I106" s="95"/>
      <c r="J106" s="95"/>
      <c r="K106" s="95"/>
      <c r="M106" t="s">
        <v>1846</v>
      </c>
      <c r="N106" t="s">
        <v>2032</v>
      </c>
    </row>
    <row r="107" spans="1:14" ht="15.75" thickBot="1">
      <c r="A107" s="26" t="s">
        <v>2045</v>
      </c>
      <c r="B107" s="95" t="s">
        <v>285</v>
      </c>
      <c r="C107" s="95" t="s">
        <v>1792</v>
      </c>
      <c r="D107" s="95"/>
      <c r="E107" s="95" t="s">
        <v>2051</v>
      </c>
      <c r="F107" s="95"/>
      <c r="G107" s="95"/>
      <c r="H107" s="95"/>
      <c r="I107" s="95"/>
      <c r="J107" s="95"/>
      <c r="K107" s="95"/>
    </row>
    <row r="108" spans="1:14" ht="15.75" thickBot="1">
      <c r="A108" s="26" t="s">
        <v>2045</v>
      </c>
      <c r="B108" s="95" t="s">
        <v>286</v>
      </c>
      <c r="C108" s="95" t="s">
        <v>1843</v>
      </c>
      <c r="D108" s="95"/>
      <c r="E108" s="95" t="s">
        <v>2052</v>
      </c>
      <c r="F108" s="95"/>
      <c r="G108" s="95" t="s">
        <v>1049</v>
      </c>
      <c r="H108" s="95" t="s">
        <v>1877</v>
      </c>
      <c r="I108" s="95" t="s">
        <v>1840</v>
      </c>
      <c r="J108" s="95" t="s">
        <v>2053</v>
      </c>
      <c r="K108" s="95" t="s">
        <v>2054</v>
      </c>
      <c r="M108" t="s">
        <v>1846</v>
      </c>
      <c r="N108" t="s">
        <v>2032</v>
      </c>
    </row>
    <row r="109" spans="1:14" ht="15.75" thickBot="1">
      <c r="A109" s="26" t="s">
        <v>2045</v>
      </c>
      <c r="B109" s="95" t="s">
        <v>287</v>
      </c>
      <c r="C109" s="95" t="s">
        <v>1843</v>
      </c>
      <c r="D109" s="95"/>
      <c r="E109" s="95" t="s">
        <v>2055</v>
      </c>
      <c r="F109" s="95"/>
      <c r="G109" s="95" t="s">
        <v>1049</v>
      </c>
      <c r="H109" s="95" t="s">
        <v>1877</v>
      </c>
      <c r="I109" s="95" t="s">
        <v>1840</v>
      </c>
      <c r="J109" s="95" t="s">
        <v>2056</v>
      </c>
      <c r="K109" s="95" t="s">
        <v>2057</v>
      </c>
      <c r="M109" t="s">
        <v>1846</v>
      </c>
      <c r="N109" t="s">
        <v>2032</v>
      </c>
    </row>
    <row r="110" spans="1:14" ht="15.75" thickBot="1">
      <c r="A110" s="26" t="s">
        <v>2045</v>
      </c>
      <c r="B110" s="95" t="s">
        <v>288</v>
      </c>
      <c r="C110" s="95" t="s">
        <v>1843</v>
      </c>
      <c r="D110" s="95"/>
      <c r="E110" s="95" t="s">
        <v>2058</v>
      </c>
      <c r="F110" s="95"/>
      <c r="G110" s="95" t="s">
        <v>1049</v>
      </c>
      <c r="H110" s="95" t="s">
        <v>1877</v>
      </c>
      <c r="I110" s="95" t="s">
        <v>1840</v>
      </c>
      <c r="J110" s="95" t="s">
        <v>2059</v>
      </c>
      <c r="K110" s="95" t="s">
        <v>2060</v>
      </c>
      <c r="M110" t="s">
        <v>1846</v>
      </c>
      <c r="N110" t="s">
        <v>2032</v>
      </c>
    </row>
    <row r="111" spans="1:14" ht="15.75" thickBot="1">
      <c r="A111" s="26" t="s">
        <v>2045</v>
      </c>
      <c r="B111" s="95" t="s">
        <v>289</v>
      </c>
      <c r="C111" s="95" t="s">
        <v>1792</v>
      </c>
      <c r="D111" s="95"/>
      <c r="E111" s="95" t="s">
        <v>2061</v>
      </c>
      <c r="F111" s="95"/>
      <c r="G111" s="95" t="s">
        <v>2062</v>
      </c>
      <c r="H111" s="95" t="s">
        <v>1049</v>
      </c>
      <c r="I111" s="95" t="s">
        <v>2063</v>
      </c>
      <c r="J111" s="95" t="s">
        <v>1840</v>
      </c>
      <c r="K111" s="95"/>
    </row>
    <row r="112" spans="1:14" ht="15.75" thickBot="1">
      <c r="A112" s="30" t="s">
        <v>2064</v>
      </c>
      <c r="B112" s="95" t="s">
        <v>290</v>
      </c>
      <c r="C112" s="95" t="s">
        <v>1792</v>
      </c>
      <c r="D112" s="95"/>
      <c r="E112" s="95" t="s">
        <v>2065</v>
      </c>
      <c r="F112" s="95"/>
      <c r="G112" s="95" t="s">
        <v>1839</v>
      </c>
      <c r="H112" s="95" t="s">
        <v>1049</v>
      </c>
      <c r="I112" s="95" t="s">
        <v>1049</v>
      </c>
      <c r="J112" s="95" t="s">
        <v>1049</v>
      </c>
      <c r="K112" s="95" t="s">
        <v>1049</v>
      </c>
    </row>
    <row r="113" spans="1:13" ht="15.75" thickBot="1">
      <c r="A113" s="30" t="s">
        <v>2064</v>
      </c>
      <c r="B113" s="95" t="s">
        <v>291</v>
      </c>
      <c r="C113" s="95" t="s">
        <v>1792</v>
      </c>
      <c r="D113" s="95"/>
      <c r="E113" s="95" t="s">
        <v>2066</v>
      </c>
      <c r="F113" s="95"/>
      <c r="G113" s="111" t="s">
        <v>2067</v>
      </c>
      <c r="H113" s="95" t="s">
        <v>1049</v>
      </c>
      <c r="I113" s="95" t="s">
        <v>1840</v>
      </c>
      <c r="J113" s="95" t="s">
        <v>2068</v>
      </c>
      <c r="K113" s="95" t="s">
        <v>2069</v>
      </c>
      <c r="M113" s="101" t="s">
        <v>1821</v>
      </c>
    </row>
    <row r="114" spans="1:13" ht="15.75" thickBot="1">
      <c r="A114" s="30" t="s">
        <v>2070</v>
      </c>
      <c r="B114" s="95" t="s">
        <v>292</v>
      </c>
      <c r="C114" s="95" t="s">
        <v>1792</v>
      </c>
      <c r="D114" s="95"/>
      <c r="E114" s="95" t="s">
        <v>2071</v>
      </c>
      <c r="F114" s="95"/>
      <c r="G114" s="95" t="s">
        <v>2072</v>
      </c>
      <c r="H114" s="95" t="s">
        <v>1919</v>
      </c>
      <c r="I114" s="95" t="s">
        <v>1840</v>
      </c>
      <c r="J114" s="95"/>
      <c r="K114" s="95"/>
      <c r="L114" t="s">
        <v>2023</v>
      </c>
      <c r="M114" s="101" t="s">
        <v>1821</v>
      </c>
    </row>
    <row r="115" spans="1:13" ht="15.75" thickBot="1">
      <c r="A115" s="30" t="s">
        <v>2070</v>
      </c>
      <c r="B115" s="95" t="s">
        <v>293</v>
      </c>
      <c r="C115" s="95" t="s">
        <v>1792</v>
      </c>
      <c r="D115" s="95"/>
      <c r="E115" s="95" t="s">
        <v>2073</v>
      </c>
      <c r="F115" s="95"/>
      <c r="G115" s="95" t="s">
        <v>1839</v>
      </c>
      <c r="H115" s="95" t="s">
        <v>1049</v>
      </c>
      <c r="I115" s="95" t="s">
        <v>1049</v>
      </c>
      <c r="J115" s="95" t="s">
        <v>1049</v>
      </c>
      <c r="K115" s="95" t="s">
        <v>1049</v>
      </c>
    </row>
    <row r="116" spans="1:13" ht="15.75" thickBot="1">
      <c r="A116" s="26" t="s">
        <v>2074</v>
      </c>
      <c r="B116" s="95" t="s">
        <v>294</v>
      </c>
      <c r="C116" s="95" t="s">
        <v>1792</v>
      </c>
      <c r="D116" s="95"/>
      <c r="E116" s="95" t="s">
        <v>2075</v>
      </c>
      <c r="F116" s="95"/>
      <c r="G116" s="95" t="s">
        <v>1839</v>
      </c>
      <c r="H116" s="95" t="s">
        <v>1049</v>
      </c>
      <c r="I116" s="95" t="s">
        <v>1049</v>
      </c>
      <c r="J116" s="95" t="s">
        <v>1049</v>
      </c>
      <c r="K116" s="95" t="s">
        <v>1049</v>
      </c>
    </row>
    <row r="117" spans="1:13" ht="15.75" thickBot="1">
      <c r="A117" s="26" t="s">
        <v>2074</v>
      </c>
      <c r="B117" s="95" t="s">
        <v>2076</v>
      </c>
      <c r="C117" s="95" t="s">
        <v>1792</v>
      </c>
      <c r="D117" s="95"/>
      <c r="E117" s="95" t="s">
        <v>2077</v>
      </c>
      <c r="F117" s="95"/>
      <c r="G117" s="18" t="s">
        <v>2078</v>
      </c>
      <c r="H117" s="95" t="s">
        <v>1049</v>
      </c>
      <c r="I117" s="95" t="s">
        <v>1840</v>
      </c>
      <c r="J117" s="95" t="s">
        <v>2079</v>
      </c>
      <c r="K117" s="95" t="s">
        <v>2080</v>
      </c>
    </row>
    <row r="118" spans="1:13" ht="15.75" thickBot="1">
      <c r="A118" s="26" t="s">
        <v>2081</v>
      </c>
      <c r="B118" s="95" t="s">
        <v>2082</v>
      </c>
      <c r="C118" s="95" t="s">
        <v>1792</v>
      </c>
      <c r="D118" s="95"/>
      <c r="E118" s="95" t="s">
        <v>2083</v>
      </c>
      <c r="F118" s="95"/>
      <c r="G118" s="95" t="s">
        <v>2084</v>
      </c>
      <c r="H118" s="95" t="s">
        <v>1049</v>
      </c>
      <c r="I118" s="95" t="s">
        <v>1840</v>
      </c>
      <c r="J118" s="95" t="s">
        <v>2079</v>
      </c>
      <c r="K118" s="95" t="s">
        <v>2080</v>
      </c>
    </row>
    <row r="119" spans="1:13" ht="15.75" thickBot="1">
      <c r="A119" s="26" t="s">
        <v>2081</v>
      </c>
      <c r="B119" s="95" t="s">
        <v>2085</v>
      </c>
      <c r="C119" s="95" t="s">
        <v>1792</v>
      </c>
      <c r="D119" s="95" t="s">
        <v>2027</v>
      </c>
      <c r="E119" s="95" t="s">
        <v>2086</v>
      </c>
      <c r="F119" s="95"/>
      <c r="G119" s="95" t="s">
        <v>2087</v>
      </c>
      <c r="H119" s="95" t="s">
        <v>1049</v>
      </c>
      <c r="I119" s="95" t="s">
        <v>1840</v>
      </c>
      <c r="J119" s="95"/>
      <c r="K119" s="95"/>
      <c r="L119" t="s">
        <v>2023</v>
      </c>
      <c r="M119" s="101" t="s">
        <v>1821</v>
      </c>
    </row>
    <row r="120" spans="1:13" ht="15.75" thickBot="1">
      <c r="A120" s="26" t="s">
        <v>2081</v>
      </c>
      <c r="B120" s="95" t="s">
        <v>2088</v>
      </c>
      <c r="C120" s="95" t="s">
        <v>1843</v>
      </c>
      <c r="D120" s="95"/>
      <c r="E120" s="95" t="s">
        <v>2089</v>
      </c>
      <c r="F120" s="95"/>
      <c r="G120" s="95" t="s">
        <v>1049</v>
      </c>
      <c r="H120" s="95" t="s">
        <v>1877</v>
      </c>
      <c r="I120" s="95" t="s">
        <v>1840</v>
      </c>
      <c r="J120" s="95" t="s">
        <v>2090</v>
      </c>
      <c r="K120" s="95" t="s">
        <v>1994</v>
      </c>
      <c r="M120" t="s">
        <v>2032</v>
      </c>
    </row>
    <row r="121" spans="1:13" ht="15.75" thickBot="1">
      <c r="A121" s="30" t="s">
        <v>2091</v>
      </c>
      <c r="B121" s="95" t="s">
        <v>307</v>
      </c>
      <c r="C121" s="95" t="s">
        <v>1792</v>
      </c>
      <c r="D121" s="95"/>
      <c r="E121" s="95" t="s">
        <v>2092</v>
      </c>
      <c r="F121" s="95"/>
      <c r="G121" s="95" t="s">
        <v>1839</v>
      </c>
      <c r="H121" s="95" t="s">
        <v>1919</v>
      </c>
      <c r="I121" s="95" t="s">
        <v>1049</v>
      </c>
      <c r="J121" s="95" t="s">
        <v>1049</v>
      </c>
      <c r="K121" s="95" t="s">
        <v>1049</v>
      </c>
    </row>
    <row r="122" spans="1:13" ht="15.75" thickBot="1">
      <c r="A122" s="30" t="s">
        <v>2091</v>
      </c>
      <c r="B122" s="95" t="s">
        <v>2093</v>
      </c>
      <c r="C122" s="95" t="s">
        <v>1792</v>
      </c>
      <c r="D122" s="95"/>
      <c r="E122" s="95" t="s">
        <v>2094</v>
      </c>
      <c r="F122" s="95"/>
      <c r="G122" s="95" t="s">
        <v>2095</v>
      </c>
      <c r="H122" s="95" t="s">
        <v>1925</v>
      </c>
      <c r="I122" s="95" t="s">
        <v>1840</v>
      </c>
      <c r="J122" s="95" t="s">
        <v>2096</v>
      </c>
      <c r="K122" s="95" t="s">
        <v>2097</v>
      </c>
      <c r="L122" t="s">
        <v>2023</v>
      </c>
      <c r="M122" s="101" t="s">
        <v>1821</v>
      </c>
    </row>
    <row r="123" spans="1:13" ht="15.75" thickBot="1">
      <c r="A123" s="30" t="s">
        <v>2091</v>
      </c>
      <c r="B123" s="95" t="s">
        <v>312</v>
      </c>
      <c r="C123" s="95"/>
      <c r="D123" s="95"/>
      <c r="E123" s="227" t="s">
        <v>2098</v>
      </c>
      <c r="F123" s="95"/>
      <c r="G123" s="95"/>
      <c r="H123" s="95"/>
      <c r="I123" s="95"/>
      <c r="J123" s="95"/>
      <c r="K123" s="95"/>
      <c r="M123" s="101"/>
    </row>
    <row r="124" spans="1:13" ht="15.75" thickBot="1">
      <c r="A124" s="30" t="s">
        <v>2091</v>
      </c>
      <c r="B124" s="95" t="s">
        <v>313</v>
      </c>
      <c r="C124" s="95"/>
      <c r="D124" s="95"/>
      <c r="E124" s="95" t="s">
        <v>2099</v>
      </c>
      <c r="F124" s="95"/>
      <c r="G124" s="95"/>
      <c r="H124" s="95"/>
      <c r="I124" s="95"/>
      <c r="J124" s="95"/>
      <c r="K124" s="95"/>
      <c r="M124" s="101"/>
    </row>
    <row r="125" spans="1:13" ht="15.75" thickBot="1">
      <c r="A125" s="30" t="s">
        <v>2100</v>
      </c>
      <c r="B125" s="95" t="s">
        <v>314</v>
      </c>
      <c r="C125" s="95" t="s">
        <v>1792</v>
      </c>
      <c r="D125" s="95"/>
      <c r="E125" s="227" t="s">
        <v>2101</v>
      </c>
      <c r="F125" s="95"/>
      <c r="G125" s="95" t="s">
        <v>2029</v>
      </c>
      <c r="H125" s="95" t="s">
        <v>1049</v>
      </c>
      <c r="I125" s="95" t="s">
        <v>1840</v>
      </c>
      <c r="J125" s="95"/>
      <c r="K125" s="95"/>
      <c r="M125" s="101"/>
    </row>
    <row r="126" spans="1:13" ht="15.75" thickBot="1">
      <c r="A126" s="30" t="s">
        <v>2100</v>
      </c>
      <c r="B126" s="95" t="s">
        <v>315</v>
      </c>
      <c r="C126" s="95" t="s">
        <v>1843</v>
      </c>
      <c r="D126" s="95"/>
      <c r="E126" s="227" t="s">
        <v>2102</v>
      </c>
      <c r="F126" s="95"/>
      <c r="G126" s="95" t="s">
        <v>1049</v>
      </c>
      <c r="H126" s="95" t="s">
        <v>1877</v>
      </c>
      <c r="I126" s="95" t="s">
        <v>1840</v>
      </c>
      <c r="J126" s="95" t="s">
        <v>2103</v>
      </c>
      <c r="K126" s="95" t="s">
        <v>2104</v>
      </c>
      <c r="M126" s="101"/>
    </row>
    <row r="127" spans="1:13" ht="15.75" thickBot="1">
      <c r="A127" s="30" t="s">
        <v>2100</v>
      </c>
      <c r="B127" s="95" t="s">
        <v>316</v>
      </c>
      <c r="C127" s="95" t="s">
        <v>1792</v>
      </c>
      <c r="D127" s="95"/>
      <c r="E127" s="227" t="s">
        <v>2105</v>
      </c>
      <c r="F127" s="95"/>
      <c r="G127" s="95" t="s">
        <v>2029</v>
      </c>
      <c r="H127" s="95" t="s">
        <v>1049</v>
      </c>
      <c r="I127" s="95" t="s">
        <v>1840</v>
      </c>
      <c r="J127" s="95"/>
      <c r="K127" s="95"/>
      <c r="M127" s="101"/>
    </row>
    <row r="128" spans="1:13" ht="15.75" thickBot="1">
      <c r="A128" s="30" t="s">
        <v>2100</v>
      </c>
      <c r="B128" s="95" t="s">
        <v>317</v>
      </c>
      <c r="C128" s="95" t="s">
        <v>1843</v>
      </c>
      <c r="D128" s="95"/>
      <c r="E128" s="227" t="s">
        <v>2106</v>
      </c>
      <c r="F128" s="95"/>
      <c r="G128" s="95" t="s">
        <v>1049</v>
      </c>
      <c r="H128" s="95" t="s">
        <v>1877</v>
      </c>
      <c r="I128" s="95" t="s">
        <v>1840</v>
      </c>
      <c r="J128" s="95" t="s">
        <v>2107</v>
      </c>
      <c r="K128" s="95" t="s">
        <v>2108</v>
      </c>
      <c r="M128" s="101" t="s">
        <v>1821</v>
      </c>
    </row>
    <row r="129" spans="1:13" ht="15.75" thickBot="1">
      <c r="A129" s="30" t="s">
        <v>2100</v>
      </c>
      <c r="B129" s="95" t="s">
        <v>2109</v>
      </c>
      <c r="C129" s="95" t="s">
        <v>1792</v>
      </c>
      <c r="D129" s="95"/>
      <c r="E129" s="227" t="s">
        <v>2110</v>
      </c>
      <c r="F129" s="95"/>
      <c r="G129" s="95" t="s">
        <v>2029</v>
      </c>
      <c r="H129" s="95" t="s">
        <v>1049</v>
      </c>
      <c r="I129" s="95" t="s">
        <v>1840</v>
      </c>
      <c r="J129" s="95"/>
      <c r="K129" s="95"/>
      <c r="M129" s="101"/>
    </row>
    <row r="130" spans="1:13" ht="15.75" thickBot="1">
      <c r="A130" s="30" t="s">
        <v>2100</v>
      </c>
      <c r="B130" s="95" t="s">
        <v>319</v>
      </c>
      <c r="C130" s="95" t="s">
        <v>1843</v>
      </c>
      <c r="D130" s="95"/>
      <c r="E130" s="95" t="s">
        <v>2111</v>
      </c>
      <c r="F130" s="95"/>
      <c r="G130" s="95" t="s">
        <v>1049</v>
      </c>
      <c r="H130" s="95" t="s">
        <v>1877</v>
      </c>
      <c r="I130" s="95" t="s">
        <v>1840</v>
      </c>
      <c r="J130" s="95" t="s">
        <v>2112</v>
      </c>
      <c r="K130" s="95" t="s">
        <v>2113</v>
      </c>
    </row>
    <row r="131" spans="1:13" ht="15.75" thickBot="1">
      <c r="A131" s="30" t="s">
        <v>2100</v>
      </c>
      <c r="B131" s="95" t="s">
        <v>320</v>
      </c>
      <c r="C131" s="95" t="s">
        <v>1792</v>
      </c>
      <c r="D131" s="95"/>
      <c r="E131" s="95" t="s">
        <v>2114</v>
      </c>
      <c r="F131" s="95"/>
      <c r="G131" s="95" t="s">
        <v>2115</v>
      </c>
      <c r="H131" s="95" t="s">
        <v>1049</v>
      </c>
      <c r="I131" s="95" t="s">
        <v>1840</v>
      </c>
      <c r="J131" s="95" t="s">
        <v>2116</v>
      </c>
      <c r="K131" s="95" t="s">
        <v>2117</v>
      </c>
    </row>
    <row r="132" spans="1:13" ht="15.75" thickBot="1">
      <c r="A132" s="30" t="s">
        <v>2100</v>
      </c>
      <c r="B132" s="95" t="s">
        <v>321</v>
      </c>
      <c r="C132" s="95" t="s">
        <v>1792</v>
      </c>
      <c r="D132" s="95"/>
      <c r="E132" s="95" t="s">
        <v>2118</v>
      </c>
      <c r="F132" s="95"/>
      <c r="G132" s="95" t="s">
        <v>2119</v>
      </c>
      <c r="H132" s="95" t="s">
        <v>1919</v>
      </c>
      <c r="I132" s="95" t="s">
        <v>1840</v>
      </c>
      <c r="J132" s="95" t="s">
        <v>2120</v>
      </c>
      <c r="K132" s="95" t="s">
        <v>2121</v>
      </c>
    </row>
    <row r="133" spans="1:13" ht="15.75" thickBot="1">
      <c r="A133" s="30" t="s">
        <v>2100</v>
      </c>
      <c r="B133" s="95" t="s">
        <v>322</v>
      </c>
      <c r="C133" s="95" t="s">
        <v>1792</v>
      </c>
      <c r="D133" s="95"/>
      <c r="E133" s="95" t="s">
        <v>2122</v>
      </c>
      <c r="F133" s="95"/>
      <c r="G133" s="4" t="s">
        <v>2123</v>
      </c>
      <c r="H133" s="95"/>
      <c r="I133" s="95"/>
      <c r="J133" s="95"/>
      <c r="K133" s="95"/>
    </row>
    <row r="134" spans="1:13" ht="15.75" thickBot="1">
      <c r="A134" s="30" t="s">
        <v>2100</v>
      </c>
      <c r="B134" s="95" t="s">
        <v>323</v>
      </c>
      <c r="C134" s="95" t="s">
        <v>1792</v>
      </c>
      <c r="D134" s="95"/>
      <c r="E134" s="95" t="s">
        <v>2124</v>
      </c>
      <c r="F134" s="95"/>
      <c r="G134" s="95" t="s">
        <v>2125</v>
      </c>
      <c r="H134" s="95" t="s">
        <v>475</v>
      </c>
      <c r="I134" s="95" t="s">
        <v>1840</v>
      </c>
      <c r="J134" s="95"/>
      <c r="K134" s="95"/>
    </row>
    <row r="135" spans="1:13" ht="15.75" thickBot="1">
      <c r="A135" s="30" t="s">
        <v>2100</v>
      </c>
      <c r="B135" s="95" t="s">
        <v>324</v>
      </c>
      <c r="C135" s="95" t="s">
        <v>1792</v>
      </c>
      <c r="D135" s="95"/>
      <c r="E135" s="95" t="s">
        <v>2126</v>
      </c>
      <c r="F135" s="95"/>
      <c r="G135" s="95" t="s">
        <v>2127</v>
      </c>
      <c r="H135" s="95" t="s">
        <v>2128</v>
      </c>
      <c r="I135" s="95" t="s">
        <v>1840</v>
      </c>
      <c r="J135" s="95"/>
      <c r="K135" s="95"/>
    </row>
    <row r="136" spans="1:13" ht="15.75" thickBot="1">
      <c r="A136" s="30" t="s">
        <v>2100</v>
      </c>
      <c r="B136" s="95" t="s">
        <v>325</v>
      </c>
      <c r="C136" s="95" t="s">
        <v>1843</v>
      </c>
      <c r="D136" s="95"/>
      <c r="E136" s="95" t="s">
        <v>2129</v>
      </c>
      <c r="F136" s="95"/>
      <c r="G136" s="95" t="s">
        <v>1877</v>
      </c>
      <c r="H136" s="95" t="s">
        <v>475</v>
      </c>
      <c r="I136" s="95" t="s">
        <v>1840</v>
      </c>
      <c r="J136" s="95"/>
      <c r="K136" s="95"/>
    </row>
    <row r="137" spans="1:13" ht="15.75" thickBot="1">
      <c r="A137" s="29" t="s">
        <v>2130</v>
      </c>
      <c r="B137" s="95" t="s">
        <v>326</v>
      </c>
      <c r="C137" s="95" t="s">
        <v>1792</v>
      </c>
      <c r="D137" s="95"/>
      <c r="E137" s="95" t="s">
        <v>2092</v>
      </c>
      <c r="F137" s="95"/>
      <c r="G137" s="95" t="s">
        <v>1839</v>
      </c>
      <c r="H137" s="95" t="s">
        <v>1919</v>
      </c>
      <c r="I137" s="95" t="s">
        <v>1049</v>
      </c>
      <c r="J137" s="95" t="s">
        <v>1049</v>
      </c>
      <c r="K137" s="95" t="s">
        <v>1049</v>
      </c>
    </row>
    <row r="138" spans="1:13" ht="15.75" thickBot="1">
      <c r="A138" s="29" t="s">
        <v>2130</v>
      </c>
      <c r="B138" s="95" t="s">
        <v>327</v>
      </c>
      <c r="C138" s="95" t="s">
        <v>1792</v>
      </c>
      <c r="D138" s="95"/>
      <c r="E138" s="95" t="s">
        <v>2131</v>
      </c>
      <c r="F138" s="95"/>
      <c r="G138" s="95" t="s">
        <v>2132</v>
      </c>
      <c r="H138" s="95" t="s">
        <v>1049</v>
      </c>
      <c r="I138" s="95" t="s">
        <v>1840</v>
      </c>
      <c r="J138" s="95" t="s">
        <v>2133</v>
      </c>
      <c r="K138" s="95" t="s">
        <v>2134</v>
      </c>
    </row>
    <row r="139" spans="1:13" ht="15.75" thickBot="1">
      <c r="A139" s="29" t="s">
        <v>2135</v>
      </c>
      <c r="B139" s="95" t="s">
        <v>328</v>
      </c>
      <c r="C139" s="95" t="s">
        <v>1792</v>
      </c>
      <c r="D139" s="95"/>
      <c r="E139" s="95" t="s">
        <v>2136</v>
      </c>
      <c r="F139" s="95"/>
      <c r="G139" s="95" t="s">
        <v>2137</v>
      </c>
      <c r="H139" s="95" t="s">
        <v>1919</v>
      </c>
      <c r="I139" s="95" t="s">
        <v>1840</v>
      </c>
      <c r="J139" s="95" t="s">
        <v>2138</v>
      </c>
      <c r="K139" s="95" t="s">
        <v>2139</v>
      </c>
    </row>
    <row r="140" spans="1:13" ht="15.75" thickBot="1">
      <c r="A140" s="29" t="s">
        <v>2135</v>
      </c>
      <c r="B140" s="95" t="s">
        <v>329</v>
      </c>
      <c r="C140" s="95" t="s">
        <v>1792</v>
      </c>
      <c r="D140" s="95"/>
      <c r="E140" s="95" t="s">
        <v>2126</v>
      </c>
      <c r="F140" s="95"/>
      <c r="G140" s="95" t="s">
        <v>2140</v>
      </c>
      <c r="H140" s="95"/>
      <c r="I140" s="95" t="s">
        <v>1840</v>
      </c>
      <c r="J140" s="95"/>
      <c r="K140" s="95"/>
    </row>
    <row r="141" spans="1:13" ht="15.75" thickBot="1">
      <c r="A141" s="29" t="s">
        <v>2135</v>
      </c>
      <c r="B141" s="95" t="s">
        <v>330</v>
      </c>
      <c r="C141" s="95" t="s">
        <v>1843</v>
      </c>
      <c r="D141" s="95"/>
      <c r="E141" s="95" t="s">
        <v>2141</v>
      </c>
      <c r="F141" s="95" t="s">
        <v>1049</v>
      </c>
      <c r="G141" s="95" t="s">
        <v>1877</v>
      </c>
      <c r="H141" s="95"/>
      <c r="I141" s="95" t="s">
        <v>1840</v>
      </c>
      <c r="J141" s="95"/>
      <c r="K141" s="95"/>
    </row>
    <row r="142" spans="1:13" ht="15.75" thickBot="1">
      <c r="A142" s="54" t="s">
        <v>2142</v>
      </c>
      <c r="B142" s="95" t="s">
        <v>331</v>
      </c>
      <c r="C142" s="95" t="s">
        <v>1792</v>
      </c>
      <c r="D142" s="95"/>
      <c r="E142" s="95" t="s">
        <v>2092</v>
      </c>
      <c r="F142" s="95"/>
      <c r="G142" s="95" t="s">
        <v>1839</v>
      </c>
      <c r="H142" s="95" t="s">
        <v>1919</v>
      </c>
      <c r="I142" s="95" t="s">
        <v>1049</v>
      </c>
      <c r="J142" s="95" t="s">
        <v>1049</v>
      </c>
      <c r="K142" s="95" t="s">
        <v>1049</v>
      </c>
    </row>
    <row r="143" spans="1:13" ht="15.75" thickBot="1">
      <c r="A143" s="54" t="s">
        <v>2142</v>
      </c>
      <c r="B143" s="95" t="s">
        <v>332</v>
      </c>
      <c r="C143" s="95" t="s">
        <v>1792</v>
      </c>
      <c r="D143" s="95"/>
      <c r="E143" s="95" t="s">
        <v>2143</v>
      </c>
      <c r="F143" s="95"/>
      <c r="G143" s="19" t="s">
        <v>2144</v>
      </c>
      <c r="H143" s="95"/>
      <c r="I143" s="95" t="s">
        <v>1840</v>
      </c>
      <c r="J143" s="95" t="s">
        <v>1049</v>
      </c>
      <c r="K143" s="95" t="s">
        <v>1049</v>
      </c>
    </row>
    <row r="144" spans="1:13" ht="15.75" thickBot="1">
      <c r="A144" s="54" t="s">
        <v>2142</v>
      </c>
      <c r="B144" s="95" t="s">
        <v>333</v>
      </c>
      <c r="C144" s="95" t="s">
        <v>1792</v>
      </c>
      <c r="D144" s="95"/>
      <c r="E144" s="20"/>
      <c r="F144" s="96"/>
      <c r="G144" s="18"/>
      <c r="H144" s="96"/>
      <c r="I144" s="96"/>
      <c r="J144" s="96"/>
      <c r="K144" s="96"/>
    </row>
    <row r="145" spans="1:11" ht="15.75" thickBot="1">
      <c r="A145" s="54" t="s">
        <v>2145</v>
      </c>
      <c r="B145" s="95" t="s">
        <v>334</v>
      </c>
      <c r="C145" s="95" t="s">
        <v>1946</v>
      </c>
      <c r="D145" s="95"/>
      <c r="E145" s="95" t="s">
        <v>2146</v>
      </c>
      <c r="F145" s="96"/>
      <c r="G145" s="96"/>
      <c r="H145" s="96"/>
      <c r="I145" s="96"/>
      <c r="J145" s="96"/>
      <c r="K145" s="96"/>
    </row>
    <row r="146" spans="1:11" ht="15.75" thickBot="1">
      <c r="A146" s="54" t="s">
        <v>2145</v>
      </c>
      <c r="B146" s="95" t="s">
        <v>335</v>
      </c>
      <c r="C146" s="95" t="s">
        <v>1946</v>
      </c>
      <c r="D146" s="95"/>
      <c r="E146" s="95" t="s">
        <v>2147</v>
      </c>
      <c r="F146" s="96"/>
      <c r="G146" s="96"/>
      <c r="H146" s="96"/>
      <c r="I146" s="96"/>
      <c r="J146" s="96"/>
      <c r="K146" s="96"/>
    </row>
    <row r="147" spans="1:11" ht="15.75" thickBot="1">
      <c r="A147" s="54" t="s">
        <v>2145</v>
      </c>
      <c r="B147" s="95" t="s">
        <v>336</v>
      </c>
      <c r="C147" s="95" t="s">
        <v>1792</v>
      </c>
      <c r="D147" s="95"/>
      <c r="E147" s="95" t="s">
        <v>2148</v>
      </c>
      <c r="F147" s="96"/>
      <c r="G147" s="96" t="s">
        <v>2149</v>
      </c>
      <c r="H147" s="96" t="s">
        <v>1049</v>
      </c>
      <c r="I147" s="96" t="s">
        <v>1840</v>
      </c>
      <c r="J147" s="96"/>
      <c r="K147" s="96"/>
    </row>
    <row r="148" spans="1:11" ht="15.75" thickBot="1">
      <c r="A148" s="54" t="s">
        <v>2145</v>
      </c>
      <c r="B148" s="95" t="s">
        <v>337</v>
      </c>
      <c r="C148" s="95" t="s">
        <v>1843</v>
      </c>
      <c r="D148" s="95"/>
      <c r="E148" s="95" t="s">
        <v>2150</v>
      </c>
      <c r="F148" s="96"/>
      <c r="G148" s="96" t="s">
        <v>1049</v>
      </c>
      <c r="H148" s="96" t="s">
        <v>1877</v>
      </c>
      <c r="I148" s="96"/>
      <c r="J148" s="96"/>
      <c r="K148" s="96"/>
    </row>
    <row r="149" spans="1:11" ht="15.75" thickBot="1">
      <c r="A149" s="54" t="s">
        <v>2145</v>
      </c>
      <c r="B149" s="95" t="s">
        <v>338</v>
      </c>
      <c r="C149" s="95" t="s">
        <v>1792</v>
      </c>
      <c r="D149" s="95"/>
      <c r="E149" s="95" t="s">
        <v>2151</v>
      </c>
      <c r="F149" s="96"/>
      <c r="G149" s="96" t="s">
        <v>2152</v>
      </c>
      <c r="H149" s="96" t="s">
        <v>1049</v>
      </c>
      <c r="I149" s="96" t="s">
        <v>1840</v>
      </c>
      <c r="J149" s="96" t="s">
        <v>2153</v>
      </c>
      <c r="K149" s="96" t="s">
        <v>2154</v>
      </c>
    </row>
    <row r="150" spans="1:11" ht="15.75" thickBot="1">
      <c r="A150" s="109" t="s">
        <v>2155</v>
      </c>
      <c r="B150" s="95" t="s">
        <v>339</v>
      </c>
      <c r="C150" s="95" t="s">
        <v>1792</v>
      </c>
      <c r="D150" s="95"/>
      <c r="E150" s="95" t="s">
        <v>2092</v>
      </c>
      <c r="F150" s="96"/>
      <c r="G150" s="96" t="s">
        <v>1839</v>
      </c>
      <c r="H150" s="96" t="s">
        <v>1919</v>
      </c>
      <c r="I150" s="96" t="s">
        <v>1049</v>
      </c>
      <c r="J150" s="96" t="s">
        <v>1049</v>
      </c>
      <c r="K150" s="96" t="s">
        <v>1049</v>
      </c>
    </row>
    <row r="151" spans="1:11" ht="15.75" thickBot="1">
      <c r="A151" s="109" t="s">
        <v>2155</v>
      </c>
      <c r="B151" s="95" t="s">
        <v>2156</v>
      </c>
      <c r="C151" s="95" t="s">
        <v>1792</v>
      </c>
      <c r="D151" s="95"/>
      <c r="E151" s="96" t="s">
        <v>2157</v>
      </c>
      <c r="F151" s="96"/>
      <c r="G151" s="18" t="s">
        <v>2158</v>
      </c>
      <c r="H151" s="96" t="s">
        <v>1049</v>
      </c>
      <c r="I151" s="96" t="s">
        <v>1840</v>
      </c>
      <c r="J151" s="96" t="s">
        <v>2159</v>
      </c>
      <c r="K151" s="96" t="s">
        <v>2160</v>
      </c>
    </row>
    <row r="152" spans="1:11" ht="15.75" thickBot="1">
      <c r="A152" s="26" t="s">
        <v>2161</v>
      </c>
      <c r="B152" s="95" t="s">
        <v>344</v>
      </c>
      <c r="C152" s="95" t="s">
        <v>1792</v>
      </c>
      <c r="D152" s="95"/>
      <c r="E152" s="95" t="s">
        <v>2092</v>
      </c>
      <c r="F152" s="95"/>
      <c r="G152" s="95" t="s">
        <v>1839</v>
      </c>
      <c r="H152" s="95" t="s">
        <v>1919</v>
      </c>
      <c r="I152" s="95" t="s">
        <v>1049</v>
      </c>
      <c r="J152" s="95" t="s">
        <v>1049</v>
      </c>
      <c r="K152" s="95" t="s">
        <v>1049</v>
      </c>
    </row>
    <row r="153" spans="1:11" ht="15.75" thickBot="1">
      <c r="A153" s="26" t="s">
        <v>2161</v>
      </c>
      <c r="B153" s="95" t="s">
        <v>345</v>
      </c>
      <c r="C153" s="95" t="s">
        <v>1792</v>
      </c>
      <c r="D153" s="95"/>
      <c r="E153" s="95" t="s">
        <v>2162</v>
      </c>
      <c r="F153" s="95"/>
      <c r="G153" s="95" t="s">
        <v>2163</v>
      </c>
      <c r="H153" s="95" t="s">
        <v>1049</v>
      </c>
      <c r="I153" s="95" t="s">
        <v>1840</v>
      </c>
      <c r="J153" s="95" t="s">
        <v>2164</v>
      </c>
      <c r="K153" s="95" t="s">
        <v>2165</v>
      </c>
    </row>
    <row r="154" spans="1:11" ht="15.75" thickBot="1">
      <c r="A154" s="26" t="s">
        <v>2166</v>
      </c>
      <c r="B154" s="96" t="s">
        <v>346</v>
      </c>
      <c r="C154" s="95" t="s">
        <v>1946</v>
      </c>
      <c r="D154" s="95"/>
      <c r="E154" s="95" t="s">
        <v>2167</v>
      </c>
      <c r="F154" s="95"/>
      <c r="G154" s="95" t="s">
        <v>2168</v>
      </c>
      <c r="H154" s="95"/>
      <c r="I154" s="95"/>
      <c r="J154" s="95"/>
      <c r="K154" s="95"/>
    </row>
    <row r="155" spans="1:11" ht="15.75" thickBot="1">
      <c r="A155" s="26" t="s">
        <v>2166</v>
      </c>
      <c r="B155" s="96" t="s">
        <v>347</v>
      </c>
      <c r="C155" s="95" t="s">
        <v>1946</v>
      </c>
      <c r="D155" s="95"/>
      <c r="E155" s="95" t="s">
        <v>2169</v>
      </c>
      <c r="F155" s="95"/>
      <c r="G155" s="95" t="s">
        <v>2168</v>
      </c>
      <c r="H155" s="95"/>
      <c r="I155" s="95"/>
      <c r="J155" s="95"/>
      <c r="K155" s="95"/>
    </row>
    <row r="156" spans="1:11" ht="15.75" thickBot="1">
      <c r="A156" s="26" t="s">
        <v>2166</v>
      </c>
      <c r="B156" s="96" t="s">
        <v>348</v>
      </c>
      <c r="C156" s="96" t="s">
        <v>1931</v>
      </c>
      <c r="D156" s="95"/>
      <c r="E156" s="95" t="s">
        <v>2170</v>
      </c>
      <c r="F156" s="95"/>
      <c r="G156" s="95"/>
      <c r="H156" s="95" t="s">
        <v>2171</v>
      </c>
      <c r="I156" s="95"/>
      <c r="J156" s="95"/>
      <c r="K156" s="95"/>
    </row>
    <row r="157" spans="1:11" ht="15.75" thickBot="1">
      <c r="A157" s="25" t="s">
        <v>2172</v>
      </c>
      <c r="B157" s="96" t="s">
        <v>349</v>
      </c>
      <c r="C157" s="96" t="s">
        <v>1792</v>
      </c>
      <c r="D157" s="96"/>
      <c r="E157" s="96" t="s">
        <v>2092</v>
      </c>
      <c r="F157" s="96"/>
      <c r="G157" s="96"/>
      <c r="H157" s="96"/>
      <c r="I157" s="96"/>
      <c r="J157" s="96"/>
      <c r="K157" s="96"/>
    </row>
    <row r="158" spans="1:11" ht="15.75" thickBot="1">
      <c r="A158" s="25" t="s">
        <v>2172</v>
      </c>
      <c r="B158" s="96" t="s">
        <v>2173</v>
      </c>
      <c r="C158" s="96" t="s">
        <v>1792</v>
      </c>
      <c r="D158" s="96"/>
      <c r="E158" s="96" t="s">
        <v>2174</v>
      </c>
      <c r="F158" s="96"/>
      <c r="G158" s="18" t="s">
        <v>2175</v>
      </c>
      <c r="H158" s="95" t="s">
        <v>1925</v>
      </c>
      <c r="I158" s="96"/>
      <c r="J158" s="96"/>
      <c r="K158" s="96"/>
    </row>
    <row r="159" spans="1:11">
      <c r="A159" s="25" t="s">
        <v>2176</v>
      </c>
      <c r="B159" s="96" t="s">
        <v>354</v>
      </c>
      <c r="C159" s="96" t="s">
        <v>1946</v>
      </c>
      <c r="D159" s="96"/>
      <c r="E159" s="37" t="s">
        <v>2177</v>
      </c>
      <c r="F159" s="96"/>
      <c r="G159" s="96" t="s">
        <v>2168</v>
      </c>
      <c r="H159" s="96"/>
      <c r="I159" s="96"/>
      <c r="J159" s="96"/>
      <c r="K159" s="96"/>
    </row>
    <row r="160" spans="1:11">
      <c r="A160" s="25" t="s">
        <v>2176</v>
      </c>
      <c r="B160" s="96" t="s">
        <v>355</v>
      </c>
      <c r="C160" s="96" t="s">
        <v>1946</v>
      </c>
      <c r="D160" s="96"/>
      <c r="E160" s="102" t="s">
        <v>2178</v>
      </c>
      <c r="F160" s="96"/>
      <c r="G160" s="96" t="s">
        <v>2168</v>
      </c>
      <c r="H160" s="96"/>
      <c r="I160" s="96"/>
      <c r="J160" s="96"/>
      <c r="K160" s="96"/>
    </row>
    <row r="161" spans="1:14" ht="15.75" thickBot="1">
      <c r="A161" s="25" t="s">
        <v>2176</v>
      </c>
      <c r="B161" s="96" t="s">
        <v>356</v>
      </c>
      <c r="C161" s="96" t="s">
        <v>1931</v>
      </c>
      <c r="D161" s="96"/>
      <c r="E161" s="96" t="s">
        <v>2179</v>
      </c>
      <c r="F161" s="96"/>
      <c r="G161" s="96" t="s">
        <v>1049</v>
      </c>
      <c r="H161" s="37" t="s">
        <v>2171</v>
      </c>
      <c r="I161" s="96"/>
      <c r="J161" s="96"/>
      <c r="K161" s="96"/>
    </row>
    <row r="162" spans="1:14" ht="15.75" thickBot="1">
      <c r="A162" s="30" t="s">
        <v>462</v>
      </c>
      <c r="B162" s="96" t="s">
        <v>357</v>
      </c>
      <c r="C162" s="96" t="s">
        <v>1792</v>
      </c>
      <c r="D162" s="96"/>
      <c r="E162" s="95" t="s">
        <v>2092</v>
      </c>
      <c r="F162" s="96"/>
      <c r="G162" s="95" t="s">
        <v>1839</v>
      </c>
      <c r="H162" s="37"/>
      <c r="I162" s="96"/>
      <c r="J162" s="96"/>
      <c r="K162" s="96"/>
    </row>
    <row r="163" spans="1:14" ht="15.75" thickBot="1">
      <c r="A163" s="30" t="s">
        <v>462</v>
      </c>
      <c r="B163" s="96" t="s">
        <v>358</v>
      </c>
      <c r="C163" s="96" t="s">
        <v>1792</v>
      </c>
      <c r="D163" s="96"/>
      <c r="E163" s="95" t="s">
        <v>2180</v>
      </c>
      <c r="F163" s="96"/>
      <c r="G163" s="18" t="s">
        <v>2181</v>
      </c>
      <c r="H163" s="37"/>
      <c r="I163" s="96"/>
      <c r="J163" s="96"/>
      <c r="K163" s="96"/>
    </row>
    <row r="164" spans="1:14" ht="15.75" thickBot="1">
      <c r="A164" s="30" t="s">
        <v>462</v>
      </c>
      <c r="B164" s="96" t="s">
        <v>359</v>
      </c>
      <c r="C164" s="96" t="s">
        <v>1792</v>
      </c>
      <c r="D164" s="96"/>
      <c r="E164" t="s">
        <v>2182</v>
      </c>
      <c r="F164" s="96"/>
      <c r="G164" s="96" t="s">
        <v>2183</v>
      </c>
      <c r="H164" s="37"/>
      <c r="I164" s="96"/>
      <c r="J164" s="96"/>
      <c r="K164" s="96"/>
    </row>
    <row r="165" spans="1:14" ht="15.75" thickBot="1">
      <c r="A165" s="30" t="s">
        <v>462</v>
      </c>
      <c r="B165" s="96" t="s">
        <v>360</v>
      </c>
      <c r="C165" s="96" t="s">
        <v>1792</v>
      </c>
      <c r="D165" s="96"/>
      <c r="E165" s="96" t="s">
        <v>2184</v>
      </c>
      <c r="F165" s="96"/>
      <c r="G165" s="96" t="s">
        <v>2185</v>
      </c>
      <c r="H165" s="37"/>
      <c r="I165" s="96"/>
      <c r="J165" s="96"/>
      <c r="K165" s="96"/>
    </row>
    <row r="166" spans="1:14" ht="15.75" thickBot="1">
      <c r="A166" s="30" t="s">
        <v>462</v>
      </c>
      <c r="B166" s="96" t="s">
        <v>361</v>
      </c>
      <c r="C166" s="96" t="s">
        <v>1792</v>
      </c>
      <c r="D166" s="96"/>
      <c r="E166" s="96" t="s">
        <v>2186</v>
      </c>
      <c r="F166" s="96"/>
      <c r="G166" s="96" t="s">
        <v>2187</v>
      </c>
      <c r="H166" s="37"/>
      <c r="I166" s="96"/>
      <c r="J166" s="96"/>
      <c r="K166" s="96"/>
    </row>
    <row r="167" spans="1:14" ht="15.75" thickBot="1">
      <c r="A167" s="55" t="s">
        <v>2188</v>
      </c>
      <c r="B167" s="96"/>
      <c r="C167" s="96"/>
      <c r="D167" s="96"/>
      <c r="E167" s="96"/>
      <c r="F167" s="96"/>
      <c r="G167" s="96"/>
      <c r="H167" s="96"/>
      <c r="I167" s="96"/>
      <c r="J167" s="96"/>
      <c r="K167" s="96"/>
    </row>
    <row r="168" spans="1:14" ht="14.65" customHeight="1" thickBot="1">
      <c r="A168" s="24" t="s">
        <v>2189</v>
      </c>
      <c r="B168" s="95" t="s">
        <v>362</v>
      </c>
      <c r="C168" t="s">
        <v>1792</v>
      </c>
      <c r="E168" s="96" t="s">
        <v>2190</v>
      </c>
      <c r="G168" t="s">
        <v>1839</v>
      </c>
      <c r="H168" t="s">
        <v>2191</v>
      </c>
      <c r="I168" t="s">
        <v>1840</v>
      </c>
      <c r="J168" t="s">
        <v>1841</v>
      </c>
      <c r="K168" t="s">
        <v>1842</v>
      </c>
    </row>
    <row r="169" spans="1:14" ht="15.75" thickBot="1">
      <c r="A169" s="24" t="s">
        <v>2189</v>
      </c>
      <c r="B169" s="95" t="s">
        <v>363</v>
      </c>
      <c r="C169" s="95" t="s">
        <v>1843</v>
      </c>
      <c r="D169" s="95" t="s">
        <v>1844</v>
      </c>
      <c r="E169" s="95" t="s">
        <v>2192</v>
      </c>
      <c r="F169" s="95"/>
      <c r="G169" s="95"/>
      <c r="H169" s="95" t="s">
        <v>2193</v>
      </c>
      <c r="I169" s="95"/>
      <c r="J169" s="95"/>
      <c r="K169" s="95"/>
    </row>
    <row r="170" spans="1:14">
      <c r="A170" s="23" t="s">
        <v>2194</v>
      </c>
      <c r="B170" t="s">
        <v>364</v>
      </c>
      <c r="C170" s="96" t="s">
        <v>1792</v>
      </c>
      <c r="E170" t="s">
        <v>2195</v>
      </c>
    </row>
    <row r="171" spans="1:14">
      <c r="A171" s="23" t="s">
        <v>2194</v>
      </c>
      <c r="B171" t="s">
        <v>2196</v>
      </c>
      <c r="C171" s="96" t="s">
        <v>1792</v>
      </c>
      <c r="E171" s="226" t="s">
        <v>2197</v>
      </c>
      <c r="G171" t="s">
        <v>2198</v>
      </c>
    </row>
    <row r="172" spans="1:14" ht="15.75" thickBot="1">
      <c r="A172" s="23" t="s">
        <v>2194</v>
      </c>
      <c r="B172" t="s">
        <v>370</v>
      </c>
      <c r="C172" s="96" t="s">
        <v>1792</v>
      </c>
      <c r="E172" t="s">
        <v>2199</v>
      </c>
    </row>
    <row r="173" spans="1:14" ht="15.75" thickBot="1">
      <c r="A173" s="23" t="s">
        <v>2194</v>
      </c>
      <c r="B173" s="95" t="s">
        <v>371</v>
      </c>
      <c r="C173" s="95" t="s">
        <v>1792</v>
      </c>
      <c r="D173" s="95"/>
      <c r="E173" s="95" t="s">
        <v>2200</v>
      </c>
      <c r="F173" s="95"/>
      <c r="G173" s="95" t="s">
        <v>2201</v>
      </c>
      <c r="H173" s="95"/>
      <c r="I173" s="95"/>
      <c r="J173" s="95"/>
      <c r="K173" s="95"/>
    </row>
    <row r="174" spans="1:14" ht="15.75" thickBot="1">
      <c r="A174" s="23" t="s">
        <v>465</v>
      </c>
      <c r="B174" s="95" t="s">
        <v>372</v>
      </c>
      <c r="C174" s="95" t="s">
        <v>1792</v>
      </c>
      <c r="D174" s="95"/>
      <c r="E174" s="95" t="s">
        <v>2202</v>
      </c>
      <c r="F174" s="95"/>
      <c r="G174" s="95" t="s">
        <v>2203</v>
      </c>
      <c r="H174" s="95" t="s">
        <v>2204</v>
      </c>
      <c r="I174" s="95"/>
      <c r="J174" s="95"/>
      <c r="K174" s="95"/>
    </row>
    <row r="175" spans="1:14" ht="15.75" thickBot="1">
      <c r="A175" s="1" t="s">
        <v>466</v>
      </c>
      <c r="B175" s="95" t="s">
        <v>373</v>
      </c>
      <c r="C175" s="95" t="s">
        <v>1792</v>
      </c>
      <c r="D175" s="95" t="s">
        <v>537</v>
      </c>
      <c r="E175" s="95" t="s">
        <v>2205</v>
      </c>
      <c r="F175" s="95"/>
      <c r="G175" s="95" t="s">
        <v>1787</v>
      </c>
      <c r="H175" s="95"/>
      <c r="I175" s="95"/>
      <c r="J175" s="95"/>
      <c r="K175" s="95"/>
      <c r="L175" t="s">
        <v>2206</v>
      </c>
      <c r="M175" t="s">
        <v>1787</v>
      </c>
      <c r="N175" t="s">
        <v>537</v>
      </c>
    </row>
    <row r="176" spans="1:14" ht="15.75" thickBot="1">
      <c r="A176" s="1" t="s">
        <v>466</v>
      </c>
      <c r="B176" s="95" t="s">
        <v>374</v>
      </c>
      <c r="C176" s="95" t="s">
        <v>1792</v>
      </c>
      <c r="D176" s="95"/>
      <c r="E176" s="95" t="s">
        <v>2207</v>
      </c>
      <c r="F176" s="95"/>
      <c r="G176" s="95" t="s">
        <v>1787</v>
      </c>
      <c r="H176" s="95"/>
      <c r="I176" s="95"/>
      <c r="J176" s="95"/>
      <c r="K176" s="95"/>
      <c r="L176" t="s">
        <v>2208</v>
      </c>
      <c r="M176" t="s">
        <v>1787</v>
      </c>
      <c r="N176" t="s">
        <v>2209</v>
      </c>
    </row>
    <row r="177" spans="1:18" s="56" customFormat="1" ht="15.75" thickBot="1">
      <c r="A177" s="1" t="s">
        <v>466</v>
      </c>
      <c r="B177" s="95" t="s">
        <v>375</v>
      </c>
      <c r="C177" s="95" t="s">
        <v>1792</v>
      </c>
      <c r="D177" s="95"/>
      <c r="E177" s="95" t="s">
        <v>2210</v>
      </c>
      <c r="F177" s="95"/>
      <c r="G177" s="95" t="s">
        <v>2211</v>
      </c>
      <c r="H177" s="95"/>
      <c r="I177" s="95"/>
      <c r="J177" s="95"/>
      <c r="K177" s="95"/>
      <c r="L177" t="s">
        <v>2212</v>
      </c>
      <c r="M177" t="s">
        <v>1796</v>
      </c>
      <c r="N177" t="s">
        <v>2213</v>
      </c>
    </row>
    <row r="178" spans="1:18" ht="15.75" thickBot="1">
      <c r="A178" s="1" t="s">
        <v>466</v>
      </c>
      <c r="B178" s="95" t="s">
        <v>376</v>
      </c>
      <c r="C178" s="95" t="s">
        <v>1792</v>
      </c>
      <c r="D178" s="95" t="s">
        <v>537</v>
      </c>
      <c r="E178" s="95" t="s">
        <v>2214</v>
      </c>
      <c r="F178" s="95"/>
      <c r="G178" s="95" t="s">
        <v>2215</v>
      </c>
      <c r="H178" s="95" t="s">
        <v>2216</v>
      </c>
      <c r="I178" s="95" t="s">
        <v>1840</v>
      </c>
      <c r="J178" s="95"/>
      <c r="K178" s="95"/>
      <c r="L178" t="s">
        <v>2217</v>
      </c>
      <c r="M178" t="s">
        <v>2218</v>
      </c>
      <c r="N178" t="s">
        <v>537</v>
      </c>
    </row>
    <row r="179" spans="1:18" ht="15.75" thickBot="1">
      <c r="A179" s="1" t="s">
        <v>466</v>
      </c>
      <c r="B179" s="95" t="s">
        <v>377</v>
      </c>
      <c r="C179" s="95" t="s">
        <v>1843</v>
      </c>
      <c r="D179" s="95" t="s">
        <v>1932</v>
      </c>
      <c r="E179" s="95" t="s">
        <v>2219</v>
      </c>
      <c r="F179" s="95"/>
      <c r="G179" s="95"/>
      <c r="H179" s="95" t="s">
        <v>2220</v>
      </c>
      <c r="I179" s="95" t="s">
        <v>1840</v>
      </c>
      <c r="J179" s="95" t="s">
        <v>2221</v>
      </c>
      <c r="K179" s="95" t="s">
        <v>2222</v>
      </c>
    </row>
    <row r="180" spans="1:18" ht="15.75" thickBot="1">
      <c r="A180" s="1" t="s">
        <v>466</v>
      </c>
      <c r="B180" s="95" t="s">
        <v>378</v>
      </c>
      <c r="C180" s="95" t="s">
        <v>1843</v>
      </c>
      <c r="D180" s="95" t="s">
        <v>1932</v>
      </c>
      <c r="E180" s="95" t="s">
        <v>2223</v>
      </c>
      <c r="F180" s="95"/>
      <c r="G180" s="95"/>
      <c r="H180" s="95" t="s">
        <v>2224</v>
      </c>
      <c r="I180" s="95" t="s">
        <v>1840</v>
      </c>
      <c r="J180" s="95" t="s">
        <v>2221</v>
      </c>
      <c r="K180" s="95" t="s">
        <v>2222</v>
      </c>
    </row>
    <row r="181" spans="1:18" ht="15.75" thickBot="1">
      <c r="A181" s="1" t="s">
        <v>466</v>
      </c>
      <c r="B181" s="95" t="s">
        <v>379</v>
      </c>
      <c r="C181" s="95" t="s">
        <v>1843</v>
      </c>
      <c r="D181" s="95" t="s">
        <v>1450</v>
      </c>
      <c r="E181" s="95" t="s">
        <v>2225</v>
      </c>
      <c r="F181" s="95"/>
      <c r="G181" s="95" t="s">
        <v>1049</v>
      </c>
      <c r="H181" s="95" t="s">
        <v>2226</v>
      </c>
      <c r="I181" s="95" t="s">
        <v>1840</v>
      </c>
      <c r="J181" s="95"/>
      <c r="K181" s="95"/>
    </row>
    <row r="182" spans="1:18" ht="15.75" thickBot="1">
      <c r="A182" s="1" t="s">
        <v>466</v>
      </c>
      <c r="B182" s="95" t="s">
        <v>380</v>
      </c>
      <c r="C182" s="95" t="s">
        <v>1843</v>
      </c>
      <c r="D182" s="95" t="s">
        <v>1851</v>
      </c>
      <c r="E182" s="95" t="s">
        <v>2227</v>
      </c>
      <c r="F182" s="95"/>
      <c r="G182" s="95" t="s">
        <v>1049</v>
      </c>
      <c r="H182" s="95" t="s">
        <v>2226</v>
      </c>
      <c r="I182" s="95" t="s">
        <v>1840</v>
      </c>
      <c r="J182" s="95"/>
      <c r="K182" s="95"/>
    </row>
    <row r="183" spans="1:18" ht="15.75" thickBot="1">
      <c r="A183" s="1" t="s">
        <v>466</v>
      </c>
      <c r="B183" s="95" t="s">
        <v>381</v>
      </c>
      <c r="C183" s="95" t="s">
        <v>1792</v>
      </c>
      <c r="D183" s="95"/>
      <c r="E183" s="95" t="s">
        <v>2228</v>
      </c>
      <c r="F183" s="95"/>
      <c r="G183" s="95"/>
      <c r="H183" s="95" t="s">
        <v>2229</v>
      </c>
      <c r="I183" s="95" t="s">
        <v>2230</v>
      </c>
      <c r="J183" s="95" t="s">
        <v>1840</v>
      </c>
      <c r="K183" s="95"/>
    </row>
    <row r="184" spans="1:18" ht="15.75" thickBot="1">
      <c r="A184" s="1" t="s">
        <v>466</v>
      </c>
      <c r="B184" s="95" t="s">
        <v>382</v>
      </c>
      <c r="C184" s="95" t="s">
        <v>1843</v>
      </c>
      <c r="D184" s="95"/>
      <c r="E184" s="95" t="s">
        <v>2231</v>
      </c>
      <c r="F184" s="95"/>
      <c r="G184" s="95"/>
      <c r="H184" s="95" t="s">
        <v>1877</v>
      </c>
      <c r="I184" s="95" t="s">
        <v>1840</v>
      </c>
      <c r="J184" s="95" t="s">
        <v>2232</v>
      </c>
      <c r="K184" s="95" t="s">
        <v>2233</v>
      </c>
    </row>
    <row r="185" spans="1:18" ht="15.75" thickBot="1">
      <c r="A185" s="1" t="s">
        <v>466</v>
      </c>
      <c r="B185" s="95" t="s">
        <v>383</v>
      </c>
      <c r="C185" s="95" t="s">
        <v>1843</v>
      </c>
      <c r="D185" s="95" t="s">
        <v>2234</v>
      </c>
      <c r="E185" s="95" t="s">
        <v>2235</v>
      </c>
      <c r="F185" s="95"/>
      <c r="G185" s="95"/>
      <c r="H185" s="95" t="s">
        <v>2236</v>
      </c>
      <c r="I185" s="95" t="s">
        <v>2237</v>
      </c>
      <c r="J185" s="95" t="s">
        <v>2238</v>
      </c>
      <c r="K185" s="95" t="s">
        <v>2239</v>
      </c>
    </row>
    <row r="186" spans="1:18" s="17" customFormat="1" ht="15.75" thickBot="1">
      <c r="A186" s="1" t="s">
        <v>466</v>
      </c>
      <c r="B186" s="95" t="s">
        <v>384</v>
      </c>
      <c r="C186" s="95" t="s">
        <v>1792</v>
      </c>
      <c r="D186" s="95"/>
      <c r="E186" s="95" t="s">
        <v>2240</v>
      </c>
      <c r="F186"/>
      <c r="G186"/>
      <c r="H186"/>
      <c r="I186"/>
      <c r="J186"/>
      <c r="K186"/>
      <c r="L186"/>
      <c r="M186"/>
      <c r="N186"/>
      <c r="O186"/>
      <c r="P186"/>
      <c r="Q186"/>
      <c r="R186"/>
    </row>
    <row r="187" spans="1:18" ht="15.75" thickBot="1">
      <c r="A187" s="22" t="s">
        <v>2241</v>
      </c>
      <c r="B187" s="95" t="s">
        <v>385</v>
      </c>
      <c r="C187" s="95" t="s">
        <v>1792</v>
      </c>
      <c r="D187" s="95" t="s">
        <v>2242</v>
      </c>
      <c r="E187" s="95" t="s">
        <v>2243</v>
      </c>
      <c r="F187" s="95"/>
      <c r="G187" s="95" t="s">
        <v>2244</v>
      </c>
      <c r="H187" s="95"/>
      <c r="I187" s="95"/>
      <c r="J187" s="95"/>
      <c r="K187" s="95"/>
      <c r="L187" t="s">
        <v>2245</v>
      </c>
      <c r="M187" t="s">
        <v>1796</v>
      </c>
      <c r="N187" t="s">
        <v>2246</v>
      </c>
    </row>
    <row r="188" spans="1:18" ht="15.75" thickBot="1">
      <c r="A188" s="22" t="s">
        <v>2241</v>
      </c>
      <c r="B188" s="95" t="s">
        <v>386</v>
      </c>
      <c r="C188" s="95" t="s">
        <v>1843</v>
      </c>
      <c r="D188" s="95" t="s">
        <v>537</v>
      </c>
      <c r="E188" s="95" t="s">
        <v>2247</v>
      </c>
      <c r="F188" s="95"/>
      <c r="G188" s="95"/>
      <c r="H188" s="95"/>
      <c r="I188" s="95"/>
      <c r="J188" s="95"/>
      <c r="K188" s="95"/>
      <c r="L188" s="10" t="s">
        <v>2248</v>
      </c>
      <c r="M188" t="s">
        <v>1914</v>
      </c>
      <c r="N188" t="s">
        <v>2249</v>
      </c>
    </row>
    <row r="189" spans="1:18" ht="15.75" thickBot="1">
      <c r="A189" s="22" t="s">
        <v>2241</v>
      </c>
      <c r="B189" s="95" t="s">
        <v>387</v>
      </c>
      <c r="C189" s="95" t="s">
        <v>1792</v>
      </c>
      <c r="D189" s="95" t="s">
        <v>2242</v>
      </c>
      <c r="E189" s="95" t="s">
        <v>2250</v>
      </c>
      <c r="F189" s="95"/>
      <c r="G189" s="95" t="s">
        <v>2251</v>
      </c>
      <c r="H189" s="95"/>
      <c r="I189" s="95"/>
      <c r="J189" s="95"/>
      <c r="K189" s="95"/>
      <c r="L189" s="3" t="s">
        <v>2252</v>
      </c>
      <c r="M189" t="s">
        <v>1796</v>
      </c>
      <c r="N189" t="s">
        <v>2253</v>
      </c>
    </row>
    <row r="190" spans="1:18" ht="15.75" thickBot="1">
      <c r="A190" s="22" t="s">
        <v>2241</v>
      </c>
      <c r="B190" s="95" t="s">
        <v>388</v>
      </c>
      <c r="C190" s="95" t="s">
        <v>1843</v>
      </c>
      <c r="D190" s="95"/>
      <c r="E190" s="95" t="s">
        <v>2254</v>
      </c>
      <c r="F190" s="95"/>
      <c r="G190" s="95"/>
      <c r="H190" s="95"/>
      <c r="I190" s="95"/>
      <c r="J190" s="95"/>
      <c r="K190" s="95"/>
      <c r="L190" s="3" t="s">
        <v>2255</v>
      </c>
      <c r="M190" t="s">
        <v>1914</v>
      </c>
      <c r="N190" t="s">
        <v>2256</v>
      </c>
    </row>
    <row r="191" spans="1:18" ht="15.75" thickBot="1">
      <c r="A191" s="22" t="s">
        <v>2241</v>
      </c>
      <c r="B191" s="95" t="s">
        <v>389</v>
      </c>
      <c r="C191" s="95" t="s">
        <v>1843</v>
      </c>
      <c r="D191" s="95"/>
      <c r="E191" s="95" t="s">
        <v>2257</v>
      </c>
      <c r="F191" s="95"/>
      <c r="G191" s="95"/>
      <c r="H191" s="95"/>
      <c r="I191" s="95"/>
      <c r="J191" s="95"/>
      <c r="K191" s="95"/>
      <c r="L191" s="3" t="s">
        <v>2258</v>
      </c>
      <c r="M191" t="s">
        <v>1914</v>
      </c>
      <c r="N191" t="s">
        <v>2259</v>
      </c>
    </row>
    <row r="192" spans="1:18" ht="15.75" thickBot="1">
      <c r="A192" s="22" t="s">
        <v>2241</v>
      </c>
      <c r="B192" s="95" t="s">
        <v>390</v>
      </c>
      <c r="C192" s="95" t="s">
        <v>1843</v>
      </c>
      <c r="D192" s="95"/>
      <c r="E192" s="95" t="s">
        <v>2260</v>
      </c>
      <c r="F192" s="95"/>
      <c r="G192" s="95"/>
      <c r="H192" s="95"/>
      <c r="I192" s="95"/>
      <c r="J192" s="95"/>
      <c r="K192" s="95"/>
      <c r="L192" s="3" t="s">
        <v>2258</v>
      </c>
      <c r="M192" t="s">
        <v>1914</v>
      </c>
      <c r="N192" t="s">
        <v>2259</v>
      </c>
    </row>
    <row r="193" spans="1:14" ht="15.75" thickBot="1">
      <c r="A193" s="22" t="s">
        <v>2241</v>
      </c>
      <c r="B193" s="95" t="s">
        <v>391</v>
      </c>
      <c r="C193" s="95" t="s">
        <v>2261</v>
      </c>
      <c r="D193" s="95"/>
      <c r="E193" s="95" t="s">
        <v>2262</v>
      </c>
      <c r="F193" s="95"/>
      <c r="G193" s="95"/>
      <c r="H193" s="95"/>
      <c r="I193" s="95"/>
      <c r="J193" s="95"/>
      <c r="K193" s="95"/>
      <c r="L193" s="3" t="s">
        <v>2263</v>
      </c>
      <c r="M193" t="s">
        <v>2264</v>
      </c>
      <c r="N193" t="s">
        <v>2265</v>
      </c>
    </row>
    <row r="194" spans="1:14" ht="15.75" thickBot="1">
      <c r="A194" s="203" t="s">
        <v>2266</v>
      </c>
      <c r="B194" s="95" t="s">
        <v>2267</v>
      </c>
      <c r="C194" s="95"/>
      <c r="D194" s="95"/>
      <c r="E194" s="95"/>
      <c r="F194" s="95"/>
      <c r="G194" s="95"/>
      <c r="H194" s="95"/>
      <c r="I194" s="95"/>
      <c r="J194" s="95"/>
      <c r="K194" s="95"/>
      <c r="L194" s="3"/>
    </row>
    <row r="195" spans="1:14" ht="15.75" thickBot="1">
      <c r="A195" s="203" t="s">
        <v>2266</v>
      </c>
      <c r="B195" s="95" t="s">
        <v>2268</v>
      </c>
      <c r="C195" s="95"/>
      <c r="D195" s="95"/>
      <c r="E195" s="95"/>
      <c r="F195" s="95"/>
      <c r="G195" s="95"/>
      <c r="H195" s="95"/>
      <c r="I195" s="95"/>
      <c r="J195" s="95"/>
      <c r="K195" s="95"/>
      <c r="L195" s="3"/>
    </row>
    <row r="196" spans="1:14" ht="15.75" thickBot="1">
      <c r="A196" s="202" t="s">
        <v>2269</v>
      </c>
      <c r="B196" s="95" t="s">
        <v>2270</v>
      </c>
      <c r="C196" s="95"/>
      <c r="D196" s="95"/>
      <c r="E196" s="95"/>
      <c r="F196" s="95"/>
      <c r="G196" s="95"/>
      <c r="H196" s="95"/>
      <c r="I196" s="95"/>
      <c r="J196" s="95"/>
      <c r="K196" s="95"/>
      <c r="L196" s="3"/>
    </row>
    <row r="197" spans="1:14" ht="15.75" thickBot="1">
      <c r="A197" s="202" t="s">
        <v>2269</v>
      </c>
      <c r="B197" s="95" t="s">
        <v>2271</v>
      </c>
      <c r="C197" s="95"/>
      <c r="D197" s="95"/>
      <c r="E197" s="95"/>
      <c r="F197" s="95"/>
      <c r="G197" s="95"/>
      <c r="H197" s="95"/>
      <c r="I197" s="95"/>
      <c r="J197" s="95"/>
      <c r="K197" s="95"/>
      <c r="L197" s="3"/>
    </row>
    <row r="198" spans="1:14" ht="15.75" thickBot="1">
      <c r="A198" s="202" t="s">
        <v>2269</v>
      </c>
      <c r="B198" s="95" t="s">
        <v>408</v>
      </c>
      <c r="C198" s="95"/>
      <c r="D198" s="95"/>
      <c r="E198" s="95"/>
      <c r="F198" s="95"/>
      <c r="G198" s="95"/>
      <c r="H198" s="95"/>
      <c r="I198" s="95"/>
      <c r="J198" s="95"/>
      <c r="K198" s="95"/>
      <c r="L198" s="3"/>
    </row>
    <row r="199" spans="1:14" ht="15.75" thickBot="1">
      <c r="A199" s="202" t="s">
        <v>2269</v>
      </c>
      <c r="B199" s="95" t="s">
        <v>409</v>
      </c>
      <c r="C199" s="95"/>
      <c r="D199" s="95"/>
      <c r="E199" s="95"/>
      <c r="F199" s="95"/>
      <c r="G199" s="95"/>
      <c r="H199" s="95"/>
      <c r="I199" s="95"/>
      <c r="J199" s="95"/>
      <c r="K199" s="95"/>
      <c r="L199" s="3"/>
    </row>
    <row r="200" spans="1:14" ht="14.65" customHeight="1" thickBot="1">
      <c r="A200" s="22" t="s">
        <v>2241</v>
      </c>
      <c r="B200" s="95" t="s">
        <v>410</v>
      </c>
      <c r="C200" s="95" t="s">
        <v>1792</v>
      </c>
      <c r="D200" s="95"/>
      <c r="E200" s="95" t="s">
        <v>2272</v>
      </c>
      <c r="F200" s="95"/>
      <c r="G200" s="95"/>
      <c r="H200" s="95"/>
      <c r="I200" s="95"/>
      <c r="J200" s="95"/>
      <c r="K200" s="95"/>
      <c r="L200" s="3" t="s">
        <v>2273</v>
      </c>
      <c r="M200" t="s">
        <v>2274</v>
      </c>
      <c r="N200" t="s">
        <v>2275</v>
      </c>
    </row>
    <row r="201" spans="1:14" ht="15.75" thickBot="1">
      <c r="A201" s="31" t="s">
        <v>2276</v>
      </c>
      <c r="B201" s="95" t="s">
        <v>411</v>
      </c>
      <c r="C201" s="95" t="s">
        <v>1792</v>
      </c>
      <c r="D201" s="95"/>
      <c r="E201" s="95" t="s">
        <v>2277</v>
      </c>
      <c r="F201" s="95"/>
      <c r="G201" s="95" t="s">
        <v>2278</v>
      </c>
      <c r="H201" s="95"/>
      <c r="I201" s="95"/>
      <c r="J201" s="95"/>
      <c r="K201" s="95"/>
    </row>
    <row r="202" spans="1:14" ht="15" customHeight="1" thickBot="1">
      <c r="A202" s="31" t="s">
        <v>2276</v>
      </c>
      <c r="B202" s="95" t="s">
        <v>412</v>
      </c>
      <c r="C202" s="95" t="s">
        <v>1792</v>
      </c>
      <c r="D202" s="95"/>
      <c r="E202" s="96" t="s">
        <v>2279</v>
      </c>
      <c r="F202" s="95"/>
      <c r="G202" s="95"/>
      <c r="H202" s="95"/>
      <c r="I202" s="95"/>
      <c r="J202" s="95"/>
      <c r="K202" s="95"/>
    </row>
    <row r="203" spans="1:14" ht="15.75" thickBot="1">
      <c r="A203" s="31" t="s">
        <v>2276</v>
      </c>
      <c r="B203" s="95" t="s">
        <v>413</v>
      </c>
      <c r="C203" s="95" t="s">
        <v>2280</v>
      </c>
      <c r="D203" s="95"/>
      <c r="E203" s="103" t="s">
        <v>2281</v>
      </c>
      <c r="F203" s="95"/>
      <c r="G203" s="95"/>
      <c r="H203" s="95"/>
      <c r="I203" s="95"/>
      <c r="J203" s="95"/>
      <c r="K203" s="95"/>
    </row>
    <row r="204" spans="1:14" ht="15.75" thickBot="1">
      <c r="A204" s="31" t="s">
        <v>2276</v>
      </c>
      <c r="B204" s="95" t="s">
        <v>414</v>
      </c>
      <c r="C204" s="95" t="s">
        <v>2280</v>
      </c>
      <c r="D204" s="95"/>
      <c r="E204" s="103" t="s">
        <v>2282</v>
      </c>
      <c r="F204" s="95"/>
      <c r="G204" s="95"/>
      <c r="H204" s="95"/>
      <c r="I204" s="95"/>
      <c r="J204" s="95"/>
      <c r="K204" s="95"/>
    </row>
    <row r="205" spans="1:14" ht="15" customHeight="1" thickBot="1">
      <c r="A205" s="31" t="s">
        <v>2276</v>
      </c>
      <c r="B205" s="95" t="s">
        <v>415</v>
      </c>
      <c r="C205" s="95" t="s">
        <v>2280</v>
      </c>
      <c r="D205" s="95"/>
      <c r="E205" s="96" t="s">
        <v>2283</v>
      </c>
      <c r="F205" s="95"/>
      <c r="G205" s="95"/>
      <c r="H205" s="95"/>
      <c r="I205" s="95"/>
      <c r="J205" s="95"/>
      <c r="K205" s="95"/>
    </row>
    <row r="206" spans="1:14" ht="15" customHeight="1" thickBot="1">
      <c r="A206" s="31" t="s">
        <v>2276</v>
      </c>
      <c r="B206" s="95" t="s">
        <v>416</v>
      </c>
      <c r="C206" s="95" t="s">
        <v>2280</v>
      </c>
      <c r="D206" s="95"/>
      <c r="E206" s="96" t="s">
        <v>2284</v>
      </c>
      <c r="F206" s="95"/>
      <c r="G206" s="95"/>
      <c r="H206" s="95"/>
      <c r="I206" s="95"/>
      <c r="J206" s="95"/>
      <c r="K206" s="95"/>
    </row>
    <row r="207" spans="1:14" ht="15.75" thickBot="1">
      <c r="A207" s="73" t="s">
        <v>2285</v>
      </c>
      <c r="B207" s="95" t="s">
        <v>417</v>
      </c>
      <c r="C207" s="95"/>
      <c r="D207" s="95"/>
      <c r="E207" s="96" t="s">
        <v>2286</v>
      </c>
      <c r="F207" s="95"/>
      <c r="G207" s="95"/>
      <c r="H207" s="95"/>
      <c r="I207" s="95"/>
      <c r="J207" s="95"/>
      <c r="K207" s="95"/>
    </row>
    <row r="208" spans="1:14" ht="15.75" thickBot="1">
      <c r="A208" s="73" t="s">
        <v>2285</v>
      </c>
      <c r="B208" s="95" t="s">
        <v>418</v>
      </c>
      <c r="C208" s="95"/>
      <c r="D208" s="95"/>
      <c r="E208" s="96" t="s">
        <v>2287</v>
      </c>
      <c r="F208" s="95"/>
      <c r="G208" s="95"/>
      <c r="H208" s="95"/>
      <c r="I208" s="95"/>
      <c r="J208" s="95"/>
      <c r="K208" s="95"/>
    </row>
    <row r="209" spans="1:11" ht="15.75" thickBot="1">
      <c r="A209" s="73" t="s">
        <v>2285</v>
      </c>
      <c r="B209" s="95" t="s">
        <v>419</v>
      </c>
      <c r="C209" s="95"/>
      <c r="D209" s="95"/>
      <c r="E209" s="96"/>
      <c r="F209" s="95"/>
      <c r="G209" s="95"/>
      <c r="H209" s="95"/>
      <c r="I209" s="95"/>
      <c r="J209" s="95"/>
      <c r="K209" s="95"/>
    </row>
    <row r="210" spans="1:11" ht="15" customHeight="1" thickBot="1">
      <c r="A210" s="73" t="s">
        <v>2285</v>
      </c>
      <c r="B210" s="95" t="s">
        <v>420</v>
      </c>
      <c r="C210" s="95"/>
      <c r="D210" s="95"/>
      <c r="E210" s="96"/>
      <c r="F210" s="95"/>
      <c r="G210" s="95"/>
      <c r="H210" s="95"/>
      <c r="I210" s="95"/>
      <c r="J210" s="95"/>
      <c r="K210" s="95"/>
    </row>
    <row r="211" spans="1:11" ht="15.75" thickBot="1">
      <c r="A211" s="73" t="s">
        <v>2285</v>
      </c>
      <c r="B211" s="95" t="s">
        <v>421</v>
      </c>
      <c r="C211" s="95"/>
      <c r="D211" s="95"/>
      <c r="E211" s="96"/>
      <c r="F211" s="95"/>
      <c r="G211" s="95"/>
      <c r="H211" s="95"/>
      <c r="I211" s="95"/>
      <c r="J211" s="95"/>
      <c r="K211" s="95"/>
    </row>
    <row r="212" spans="1:11" ht="15.75" thickBot="1">
      <c r="A212" s="73" t="s">
        <v>2285</v>
      </c>
      <c r="B212" s="95" t="s">
        <v>422</v>
      </c>
      <c r="C212" s="95"/>
      <c r="D212" s="95"/>
      <c r="E212" s="96"/>
      <c r="F212" s="95"/>
      <c r="G212" s="95"/>
      <c r="H212" s="95"/>
      <c r="I212" s="95"/>
      <c r="J212" s="95"/>
      <c r="K212" s="95"/>
    </row>
    <row r="213" spans="1:11" ht="15.75" thickBot="1">
      <c r="A213" s="73" t="s">
        <v>2285</v>
      </c>
      <c r="B213" s="95" t="s">
        <v>423</v>
      </c>
      <c r="C213" s="95"/>
      <c r="D213" s="95"/>
      <c r="E213" s="96"/>
      <c r="F213" s="95"/>
      <c r="G213" s="95"/>
      <c r="H213" s="95"/>
      <c r="I213" s="95"/>
      <c r="J213" s="95"/>
      <c r="K213" s="95"/>
    </row>
    <row r="214" spans="1:11" ht="15.75" thickBot="1">
      <c r="A214" s="21"/>
      <c r="B214" s="104"/>
      <c r="C214" s="95"/>
      <c r="D214" s="95"/>
      <c r="E214" s="96"/>
      <c r="F214" s="95"/>
      <c r="G214" s="95"/>
      <c r="H214" s="95"/>
      <c r="I214" s="95"/>
      <c r="J214" s="95"/>
      <c r="K214" s="95"/>
    </row>
    <row r="215" spans="1:11" ht="15.75" thickBot="1">
      <c r="A215" s="21"/>
      <c r="B215" s="104"/>
      <c r="C215" s="95"/>
      <c r="D215" s="95"/>
      <c r="E215" s="96"/>
      <c r="F215" s="95"/>
      <c r="G215" s="95"/>
      <c r="H215" s="95"/>
      <c r="I215" s="95"/>
      <c r="J215" s="95"/>
      <c r="K215" s="95"/>
    </row>
    <row r="216" spans="1:11" ht="15.75" thickBot="1">
      <c r="A216" s="21"/>
      <c r="B216" s="104"/>
      <c r="C216" s="95"/>
      <c r="D216" s="95"/>
      <c r="E216" s="96"/>
      <c r="F216" s="95"/>
      <c r="G216" s="95"/>
      <c r="H216" s="95"/>
      <c r="I216" s="95"/>
      <c r="J216" s="95"/>
      <c r="K216" s="95"/>
    </row>
    <row r="217" spans="1:11" ht="15.75" thickBot="1">
      <c r="A217" s="21"/>
      <c r="B217" s="104"/>
      <c r="C217" s="95"/>
      <c r="D217" s="95"/>
      <c r="E217" s="96"/>
      <c r="F217" s="95"/>
      <c r="G217" s="95"/>
      <c r="H217" s="95"/>
      <c r="I217" s="95"/>
      <c r="J217" s="95"/>
      <c r="K217" s="95"/>
    </row>
    <row r="218" spans="1:11" ht="15.75" thickBot="1">
      <c r="A218" s="21"/>
      <c r="B218" s="104"/>
      <c r="C218" s="95"/>
      <c r="D218" s="95"/>
      <c r="E218" s="96"/>
      <c r="F218" s="95"/>
      <c r="G218" s="95"/>
      <c r="H218" s="95"/>
      <c r="I218" s="95"/>
      <c r="J218" s="95"/>
      <c r="K218" s="95"/>
    </row>
    <row r="219" spans="1:11" ht="15.75" thickBot="1">
      <c r="A219" s="21"/>
      <c r="B219" s="104"/>
      <c r="C219" s="95"/>
      <c r="D219" s="95"/>
      <c r="E219" s="96"/>
      <c r="F219" s="95"/>
      <c r="G219" s="95"/>
      <c r="H219" s="95"/>
      <c r="I219" s="95"/>
      <c r="J219" s="95"/>
      <c r="K219" s="95"/>
    </row>
    <row r="220" spans="1:11" ht="15.75" thickBot="1">
      <c r="A220" s="21"/>
      <c r="B220" s="104"/>
      <c r="C220" s="95"/>
      <c r="D220" s="95"/>
      <c r="E220" s="96"/>
      <c r="F220" s="95"/>
      <c r="G220" s="95"/>
      <c r="H220" s="95"/>
      <c r="I220" s="95"/>
      <c r="J220" s="95"/>
      <c r="K220" s="95"/>
    </row>
    <row r="221" spans="1:11" ht="15.75" thickBot="1">
      <c r="A221" s="21"/>
      <c r="B221" s="104"/>
      <c r="C221" s="95"/>
      <c r="D221" s="95"/>
      <c r="E221" s="96"/>
      <c r="F221" s="95"/>
      <c r="G221" s="95"/>
      <c r="H221" s="95"/>
      <c r="I221" s="95"/>
      <c r="J221" s="95"/>
      <c r="K221" s="95"/>
    </row>
    <row r="222" spans="1:11" ht="15.75" thickBot="1">
      <c r="A222" s="21"/>
      <c r="B222" s="104"/>
      <c r="C222" s="95"/>
      <c r="D222" s="95"/>
      <c r="E222" s="96"/>
      <c r="F222" s="95"/>
      <c r="G222" s="95"/>
      <c r="H222" s="95"/>
      <c r="I222" s="95"/>
      <c r="J222" s="95"/>
      <c r="K222" s="95"/>
    </row>
    <row r="223" spans="1:11" ht="15.75" thickBot="1">
      <c r="A223" s="21"/>
      <c r="B223" s="104"/>
      <c r="C223" s="95"/>
      <c r="D223" s="95"/>
      <c r="E223" s="96"/>
      <c r="F223" s="95"/>
      <c r="G223" s="95"/>
      <c r="H223" s="95"/>
      <c r="I223" s="95"/>
      <c r="J223" s="95"/>
      <c r="K223" s="95"/>
    </row>
    <row r="224" spans="1:11" ht="15.75" thickBot="1">
      <c r="A224" s="21"/>
      <c r="B224" s="104"/>
      <c r="C224" s="95"/>
      <c r="D224" s="95"/>
      <c r="E224" s="96"/>
      <c r="F224" s="95"/>
      <c r="G224" s="95"/>
      <c r="H224" s="95"/>
      <c r="I224" s="95"/>
      <c r="J224" s="95"/>
      <c r="K224" s="95"/>
    </row>
    <row r="225" spans="1:14" ht="15.75" thickBot="1">
      <c r="A225" s="31" t="s">
        <v>2288</v>
      </c>
      <c r="B225" s="95" t="s">
        <v>2289</v>
      </c>
      <c r="C225" s="95" t="s">
        <v>1946</v>
      </c>
      <c r="D225" s="95"/>
      <c r="E225" s="37" t="s">
        <v>2290</v>
      </c>
      <c r="F225" s="95"/>
      <c r="G225" s="95" t="s">
        <v>2291</v>
      </c>
      <c r="H225" s="95" t="s">
        <v>2292</v>
      </c>
      <c r="I225" s="95" t="s">
        <v>1840</v>
      </c>
      <c r="J225" s="95" t="s">
        <v>2293</v>
      </c>
      <c r="K225" s="95" t="s">
        <v>2294</v>
      </c>
    </row>
    <row r="226" spans="1:14" ht="15.75" thickBot="1">
      <c r="A226" s="31" t="s">
        <v>2288</v>
      </c>
      <c r="B226" s="95" t="s">
        <v>2295</v>
      </c>
      <c r="C226" s="95" t="s">
        <v>1946</v>
      </c>
      <c r="D226" s="95"/>
      <c r="E226" s="37" t="s">
        <v>2296</v>
      </c>
      <c r="F226" s="95"/>
      <c r="G226" s="95" t="s">
        <v>2291</v>
      </c>
      <c r="H226" s="95" t="s">
        <v>2297</v>
      </c>
      <c r="I226" s="95" t="s">
        <v>1840</v>
      </c>
      <c r="J226" s="95" t="s">
        <v>2293</v>
      </c>
      <c r="K226" s="95" t="s">
        <v>2294</v>
      </c>
    </row>
    <row r="227" spans="1:14">
      <c r="A227" s="31" t="s">
        <v>2288</v>
      </c>
      <c r="B227" s="96" t="s">
        <v>2298</v>
      </c>
      <c r="C227" s="96" t="s">
        <v>1931</v>
      </c>
      <c r="D227" s="96"/>
      <c r="E227" s="37" t="s">
        <v>2299</v>
      </c>
      <c r="F227" s="96"/>
      <c r="G227" s="96" t="s">
        <v>1049</v>
      </c>
      <c r="H227" s="96"/>
      <c r="I227" s="96"/>
      <c r="J227" s="96"/>
      <c r="K227" s="96"/>
    </row>
    <row r="228" spans="1:14">
      <c r="A228" s="31" t="s">
        <v>2288</v>
      </c>
      <c r="B228" s="96"/>
      <c r="C228" s="96"/>
      <c r="D228" s="96"/>
      <c r="E228" s="37"/>
      <c r="F228" s="96"/>
      <c r="G228" s="96"/>
      <c r="H228" s="96"/>
      <c r="I228" s="96"/>
      <c r="J228" s="96"/>
      <c r="K228" s="96"/>
    </row>
    <row r="229" spans="1:14">
      <c r="A229" s="31"/>
      <c r="B229" s="96"/>
      <c r="C229" s="96"/>
      <c r="D229" s="96"/>
      <c r="E229" s="37"/>
      <c r="F229" s="96"/>
      <c r="G229" s="96"/>
      <c r="H229" s="96"/>
      <c r="I229" s="96"/>
      <c r="J229" s="96"/>
      <c r="K229" s="96"/>
    </row>
    <row r="230" spans="1:14" ht="14.65" customHeight="1">
      <c r="A230" s="1"/>
      <c r="E230" s="102"/>
      <c r="F230" s="98"/>
      <c r="G230" s="98"/>
      <c r="H230" s="98"/>
      <c r="I230" s="98"/>
      <c r="J230" s="98"/>
      <c r="K230" s="98"/>
      <c r="L230" s="3"/>
    </row>
    <row r="231" spans="1:14" ht="14.65" customHeight="1">
      <c r="A231" s="57" t="s">
        <v>2300</v>
      </c>
      <c r="B231" t="s">
        <v>2301</v>
      </c>
      <c r="E231" s="98"/>
      <c r="F231" s="98"/>
      <c r="G231" s="98"/>
      <c r="H231" s="98"/>
      <c r="I231" s="98"/>
      <c r="J231" s="98"/>
      <c r="K231" s="98"/>
      <c r="L231" s="3"/>
    </row>
    <row r="232" spans="1:14">
      <c r="A232" s="57" t="s">
        <v>2300</v>
      </c>
      <c r="B232" t="s">
        <v>2302</v>
      </c>
      <c r="C232" t="s">
        <v>2303</v>
      </c>
      <c r="D232" t="s">
        <v>1851</v>
      </c>
      <c r="E232" t="s">
        <v>2304</v>
      </c>
      <c r="L232" t="s">
        <v>2305</v>
      </c>
      <c r="M232" t="s">
        <v>2306</v>
      </c>
      <c r="N232" t="s">
        <v>2307</v>
      </c>
    </row>
    <row r="233" spans="1:14">
      <c r="A233" s="57" t="s">
        <v>2300</v>
      </c>
      <c r="B233" t="s">
        <v>2308</v>
      </c>
      <c r="C233" t="s">
        <v>1785</v>
      </c>
      <c r="D233" t="s">
        <v>537</v>
      </c>
      <c r="E233" t="s">
        <v>2309</v>
      </c>
      <c r="L233" t="s">
        <v>2310</v>
      </c>
      <c r="M233" t="s">
        <v>2311</v>
      </c>
      <c r="N233" t="s">
        <v>2312</v>
      </c>
    </row>
    <row r="234" spans="1:14">
      <c r="A234" s="57" t="s">
        <v>2300</v>
      </c>
      <c r="B234" t="s">
        <v>2313</v>
      </c>
      <c r="C234" t="s">
        <v>2314</v>
      </c>
      <c r="D234" t="s">
        <v>2315</v>
      </c>
      <c r="E234" t="s">
        <v>2316</v>
      </c>
      <c r="G234" t="s">
        <v>2317</v>
      </c>
      <c r="L234" t="s">
        <v>2318</v>
      </c>
      <c r="N234" t="s">
        <v>2319</v>
      </c>
    </row>
    <row r="235" spans="1:14">
      <c r="A235" s="57" t="s">
        <v>2300</v>
      </c>
      <c r="B235" t="s">
        <v>2320</v>
      </c>
      <c r="C235" t="s">
        <v>2314</v>
      </c>
      <c r="D235" t="s">
        <v>2315</v>
      </c>
      <c r="E235" t="s">
        <v>2321</v>
      </c>
      <c r="G235" t="s">
        <v>2317</v>
      </c>
      <c r="L235" t="s">
        <v>2322</v>
      </c>
      <c r="M235" t="s">
        <v>2317</v>
      </c>
      <c r="N235" t="s">
        <v>2323</v>
      </c>
    </row>
    <row r="236" spans="1:14">
      <c r="A236" s="57" t="s">
        <v>2300</v>
      </c>
      <c r="B236" t="s">
        <v>2324</v>
      </c>
      <c r="C236" t="s">
        <v>2314</v>
      </c>
      <c r="E236" t="s">
        <v>2325</v>
      </c>
      <c r="L236" t="s">
        <v>2326</v>
      </c>
      <c r="M236" t="s">
        <v>2327</v>
      </c>
      <c r="N236" t="s">
        <v>2328</v>
      </c>
    </row>
    <row r="237" spans="1:14">
      <c r="A237" s="57" t="s">
        <v>2300</v>
      </c>
      <c r="B237" t="s">
        <v>2329</v>
      </c>
      <c r="C237" t="s">
        <v>2314</v>
      </c>
      <c r="E237" t="s">
        <v>2330</v>
      </c>
      <c r="L237" t="s">
        <v>2284</v>
      </c>
      <c r="M237" t="s">
        <v>2327</v>
      </c>
      <c r="N237" t="s">
        <v>2328</v>
      </c>
    </row>
    <row r="247" spans="1:12">
      <c r="A247" t="s">
        <v>2331</v>
      </c>
      <c r="B247" s="105" t="s">
        <v>2332</v>
      </c>
      <c r="C247" t="s">
        <v>1785</v>
      </c>
      <c r="L247" t="s">
        <v>2333</v>
      </c>
    </row>
    <row r="248" spans="1:12">
      <c r="A248" s="58"/>
      <c r="B248" s="106" t="s">
        <v>2334</v>
      </c>
      <c r="C248" t="s">
        <v>1785</v>
      </c>
    </row>
    <row r="249" spans="1:12">
      <c r="A249" s="1" t="s">
        <v>2331</v>
      </c>
      <c r="B249" s="105" t="s">
        <v>466</v>
      </c>
      <c r="C249" t="s">
        <v>1792</v>
      </c>
      <c r="L249" t="s">
        <v>2335</v>
      </c>
    </row>
    <row r="250" spans="1:12">
      <c r="A250" s="1" t="s">
        <v>2331</v>
      </c>
      <c r="B250" s="105" t="s">
        <v>2336</v>
      </c>
      <c r="C250" t="s">
        <v>1792</v>
      </c>
      <c r="L250" t="s">
        <v>2337</v>
      </c>
    </row>
    <row r="251" spans="1:12">
      <c r="A251" s="1" t="s">
        <v>2331</v>
      </c>
      <c r="B251" s="105" t="s">
        <v>2338</v>
      </c>
      <c r="C251" t="s">
        <v>1792</v>
      </c>
      <c r="L251" t="s">
        <v>2339</v>
      </c>
    </row>
    <row r="252" spans="1:12">
      <c r="A252" s="1" t="s">
        <v>2331</v>
      </c>
      <c r="B252" s="105" t="s">
        <v>2340</v>
      </c>
      <c r="C252" t="s">
        <v>1792</v>
      </c>
      <c r="L252" t="s">
        <v>2341</v>
      </c>
    </row>
    <row r="253" spans="1:12">
      <c r="A253" s="1" t="s">
        <v>2331</v>
      </c>
      <c r="B253" s="105" t="s">
        <v>2342</v>
      </c>
      <c r="C253" t="s">
        <v>1792</v>
      </c>
      <c r="L253" t="s">
        <v>2343</v>
      </c>
    </row>
    <row r="254" spans="1:12">
      <c r="A254" s="1" t="s">
        <v>2331</v>
      </c>
      <c r="B254" s="105" t="s">
        <v>2344</v>
      </c>
      <c r="C254" t="s">
        <v>1792</v>
      </c>
      <c r="L254" t="s">
        <v>2345</v>
      </c>
    </row>
    <row r="255" spans="1:12">
      <c r="A255" s="1" t="s">
        <v>2331</v>
      </c>
      <c r="B255" s="105" t="s">
        <v>2346</v>
      </c>
      <c r="C255" t="s">
        <v>1792</v>
      </c>
      <c r="L255" t="s">
        <v>2347</v>
      </c>
    </row>
  </sheetData>
  <autoFilter ref="A7:O206" xr:uid="{E2E14D23-A897-46A4-9AB6-9676AB69F3D4}"/>
  <hyperlinks>
    <hyperlink ref="K108" r:id="rId1" display="http://aims.fao.org/aos/agrovoc/c_5192" xr:uid="{22F13F67-48C9-4DAA-98C0-A389BBD887DD}"/>
    <hyperlink ref="K109" r:id="rId2" display="http://aims.fao.org/aos/agrovoc/c_5192" xr:uid="{5900B511-428C-4B08-A9E0-66E217024482}"/>
    <hyperlink ref="K110" r:id="rId3" display="http://aims.fao.org/aos/agrovoc/c_5192" xr:uid="{A7C3038F-4AFA-4929-A65B-D711A31AAB1F}"/>
    <hyperlink ref="K98" r:id="rId4" display="http://aims.fao.org/aos/agrovoc/c_5192" xr:uid="{84C06FE6-8B75-44AD-A53D-F999FEDEA9B2}"/>
    <hyperlink ref="K99" r:id="rId5" display="http://aims.fao.org/aos/agrovoc/c_5192" xr:uid="{836D52B8-35E6-4A61-BA63-091D91356CA3}"/>
    <hyperlink ref="K100" r:id="rId6" display="http://aims.fao.org/aos/agrovoc/c_5192" xr:uid="{AC62AA7F-9861-4FA1-97C5-FECC8D51F368}"/>
    <hyperlink ref="K101" r:id="rId7" display="http://aims.fao.org/aos/agrovoc/c_5192" xr:uid="{0ED5A39B-F9F8-4F42-83B3-8524B857D556}"/>
    <hyperlink ref="K93" r:id="rId8" xr:uid="{A5CFEA37-0516-491D-B1D1-B9CF34E4A545}"/>
    <hyperlink ref="K94" r:id="rId9" xr:uid="{3F3EA063-7226-4FE8-B625-5EBBEBF09757}"/>
    <hyperlink ref="K103" r:id="rId10" xr:uid="{A9684256-7E2B-40FD-B013-386552B3453F}"/>
    <hyperlink ref="K104" r:id="rId11" xr:uid="{F6CD4AEB-11BF-4490-9EFA-729EA12294B7}"/>
    <hyperlink ref="K117" r:id="rId12" xr:uid="{ED4D27FC-4663-4DEB-9C3B-11AB8ABBD1B7}"/>
    <hyperlink ref="K118" r:id="rId13" xr:uid="{0AE2B2E2-70E4-4883-8DC1-4B99A699ED8C}"/>
    <hyperlink ref="K120" r:id="rId14" xr:uid="{A0A1E1D0-C5F2-4474-B047-9EA533E920FB}"/>
    <hyperlink ref="K113" r:id="rId15" xr:uid="{370FFC6F-9E0B-40D8-B3A5-B797ABAF5A2E}"/>
    <hyperlink ref="K122" r:id="rId16" xr:uid="{53C43859-FCD1-4C8F-93BF-6422C4C0F97C}"/>
    <hyperlink ref="K128" r:id="rId17" xr:uid="{9CBEB1A7-CBED-4B91-9004-D35277CE763E}"/>
    <hyperlink ref="K130" r:id="rId18" xr:uid="{CF4270BD-C6BC-478A-B6B5-0A7C3C79F885}"/>
    <hyperlink ref="K131" r:id="rId19" xr:uid="{D69C48B9-4D2C-47FC-9251-452384DFC74C}"/>
    <hyperlink ref="K132" r:id="rId20" xr:uid="{7BCC3C16-61C9-4AAD-98F4-4C34F7F97A3D}"/>
    <hyperlink ref="K46" r:id="rId21" xr:uid="{C8E9944D-C574-4270-A901-4B0461052560}"/>
    <hyperlink ref="K168" r:id="rId22" xr:uid="{BCCF1AC0-7B15-46EF-BB12-377668A500A8}"/>
    <hyperlink ref="K138" r:id="rId23" xr:uid="{1E1463C4-087F-42D1-BC97-A5F3A8E0C1D7}"/>
    <hyperlink ref="K139" r:id="rId24" xr:uid="{2983C228-3922-4F34-AF76-6C72C25BF85C}"/>
    <hyperlink ref="K149" r:id="rId25" xr:uid="{7FF5313E-7165-40DE-9473-551281166658}"/>
    <hyperlink ref="K151" r:id="rId26" xr:uid="{FE3A4005-87A9-4C00-9E98-CACA14849190}"/>
    <hyperlink ref="K78" r:id="rId27" xr:uid="{471D5AF3-6A76-472B-BC92-8992AC81196E}"/>
    <hyperlink ref="K35" r:id="rId28" xr:uid="{EA43372D-7B31-4EA1-B7BA-7F16FF79FCA8}"/>
    <hyperlink ref="K19" r:id="rId29" xr:uid="{6A724EAB-DBD2-44AB-864D-1963F2312702}"/>
    <hyperlink ref="K184" r:id="rId30" xr:uid="{A7FA1A5D-4485-47FD-8550-FBC2086B9AFB}"/>
    <hyperlink ref="K185" r:id="rId31" display="http://aims.fao.org/aos/agrovoc/c_2412" xr:uid="{403866FF-BEA8-4458-9773-04F18C824104}"/>
    <hyperlink ref="K225" r:id="rId32" xr:uid="{864263C9-8D63-481F-89EA-D6B3321491B1}"/>
    <hyperlink ref="K226" r:id="rId33" xr:uid="{E3488E68-7CD7-454C-BEF0-C27662EECD82}"/>
  </hyperlinks>
  <pageMargins left="0.7" right="0.7" top="0.75" bottom="0.75" header="0.3" footer="0.3"/>
  <legacyDrawing r:id="rId3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73B012-950E-4062-B8C3-F9A6507E39C8}">
  <sheetPr codeName="Sheet3"/>
  <dimension ref="A1:PH189"/>
  <sheetViews>
    <sheetView topLeftCell="A163" workbookViewId="0">
      <selection activeCell="D178" sqref="D178"/>
    </sheetView>
  </sheetViews>
  <sheetFormatPr defaultRowHeight="15"/>
  <sheetData>
    <row r="1" spans="1:410" s="40" customFormat="1" ht="75.75" thickBot="1">
      <c r="A1" s="77" t="s">
        <v>0</v>
      </c>
      <c r="B1" s="40" t="s">
        <v>1</v>
      </c>
      <c r="C1" s="41" t="s">
        <v>2</v>
      </c>
      <c r="D1" s="41" t="s">
        <v>3</v>
      </c>
      <c r="E1" s="41" t="s">
        <v>4</v>
      </c>
      <c r="F1" s="41" t="s">
        <v>5</v>
      </c>
      <c r="G1" s="41" t="s">
        <v>6</v>
      </c>
      <c r="H1" s="41" t="s">
        <v>7</v>
      </c>
      <c r="I1" s="41" t="s">
        <v>8</v>
      </c>
      <c r="J1" s="41" t="s">
        <v>9</v>
      </c>
      <c r="K1" s="41" t="s">
        <v>10</v>
      </c>
      <c r="L1" s="41" t="s">
        <v>11</v>
      </c>
      <c r="M1" s="41" t="s">
        <v>12</v>
      </c>
      <c r="N1" s="41" t="s">
        <v>13</v>
      </c>
      <c r="O1" s="41" t="s">
        <v>14</v>
      </c>
      <c r="P1" s="41" t="s">
        <v>15</v>
      </c>
      <c r="Q1" s="41" t="s">
        <v>16</v>
      </c>
      <c r="R1" s="41" t="s">
        <v>17</v>
      </c>
      <c r="S1" s="41" t="s">
        <v>18</v>
      </c>
      <c r="T1" s="41" t="s">
        <v>19</v>
      </c>
      <c r="U1" s="41" t="s">
        <v>20</v>
      </c>
      <c r="V1" s="41" t="s">
        <v>21</v>
      </c>
      <c r="W1" s="41" t="s">
        <v>22</v>
      </c>
      <c r="X1" s="41" t="s">
        <v>23</v>
      </c>
      <c r="Y1" s="41" t="s">
        <v>24</v>
      </c>
      <c r="Z1" s="41" t="s">
        <v>25</v>
      </c>
      <c r="AA1" s="41" t="s">
        <v>26</v>
      </c>
      <c r="AB1" s="41" t="s">
        <v>27</v>
      </c>
      <c r="AC1" s="41" t="s">
        <v>28</v>
      </c>
      <c r="AD1" s="41" t="s">
        <v>29</v>
      </c>
      <c r="AE1" s="41" t="s">
        <v>30</v>
      </c>
      <c r="AF1" s="41" t="s">
        <v>31</v>
      </c>
      <c r="AG1" s="41" t="s">
        <v>32</v>
      </c>
      <c r="AH1" s="41" t="s">
        <v>33</v>
      </c>
      <c r="AI1" s="41" t="s">
        <v>34</v>
      </c>
      <c r="AJ1" s="41" t="s">
        <v>35</v>
      </c>
      <c r="AK1" s="41" t="s">
        <v>36</v>
      </c>
      <c r="AL1" s="41" t="s">
        <v>37</v>
      </c>
      <c r="AM1" s="41" t="s">
        <v>38</v>
      </c>
      <c r="AN1" s="41" t="s">
        <v>39</v>
      </c>
      <c r="AO1" s="41" t="s">
        <v>40</v>
      </c>
      <c r="AP1" s="41" t="s">
        <v>41</v>
      </c>
      <c r="AQ1" s="41" t="s">
        <v>42</v>
      </c>
      <c r="AR1" s="41" t="s">
        <v>43</v>
      </c>
      <c r="AS1" s="41" t="s">
        <v>44</v>
      </c>
      <c r="AT1" s="41" t="s">
        <v>45</v>
      </c>
      <c r="AU1" s="41" t="s">
        <v>46</v>
      </c>
      <c r="AV1" s="42" t="s">
        <v>47</v>
      </c>
      <c r="AW1" s="42" t="s">
        <v>48</v>
      </c>
      <c r="AX1" s="42" t="s">
        <v>49</v>
      </c>
      <c r="AY1" s="42" t="s">
        <v>50</v>
      </c>
      <c r="AZ1" s="35" t="s">
        <v>51</v>
      </c>
      <c r="BA1" s="35" t="s">
        <v>52</v>
      </c>
      <c r="BB1" s="35" t="s">
        <v>53</v>
      </c>
      <c r="BC1" s="35" t="s">
        <v>54</v>
      </c>
      <c r="BD1" s="34" t="s">
        <v>2348</v>
      </c>
      <c r="BE1" s="34" t="s">
        <v>55</v>
      </c>
      <c r="BF1" s="34" t="s">
        <v>56</v>
      </c>
      <c r="BG1" s="36" t="s">
        <v>2349</v>
      </c>
      <c r="BH1" s="1" t="s">
        <v>58</v>
      </c>
      <c r="BI1" s="1" t="s">
        <v>59</v>
      </c>
      <c r="BJ1" s="1" t="s">
        <v>60</v>
      </c>
      <c r="BK1" s="1" t="s">
        <v>61</v>
      </c>
      <c r="BL1" s="1" t="s">
        <v>62</v>
      </c>
      <c r="BM1" s="1" t="s">
        <v>63</v>
      </c>
      <c r="BN1" s="1" t="s">
        <v>64</v>
      </c>
      <c r="BO1" s="1" t="s">
        <v>65</v>
      </c>
      <c r="BP1" s="1" t="s">
        <v>66</v>
      </c>
      <c r="BQ1" s="1" t="s">
        <v>67</v>
      </c>
      <c r="BR1" s="1" t="s">
        <v>68</v>
      </c>
      <c r="BS1" s="1" t="s">
        <v>69</v>
      </c>
      <c r="BT1" s="1" t="s">
        <v>70</v>
      </c>
      <c r="BU1" s="1" t="s">
        <v>71</v>
      </c>
      <c r="BV1" s="1" t="s">
        <v>72</v>
      </c>
      <c r="BW1" s="1" t="s">
        <v>73</v>
      </c>
      <c r="BX1" s="1" t="s">
        <v>74</v>
      </c>
      <c r="BY1" s="1" t="s">
        <v>75</v>
      </c>
      <c r="BZ1" s="1" t="s">
        <v>76</v>
      </c>
      <c r="CA1" s="1" t="s">
        <v>77</v>
      </c>
      <c r="CB1" s="1" t="s">
        <v>78</v>
      </c>
      <c r="CC1" s="1" t="s">
        <v>79</v>
      </c>
      <c r="CD1" s="1" t="s">
        <v>80</v>
      </c>
      <c r="CE1" s="1" t="s">
        <v>81</v>
      </c>
      <c r="CF1" s="1" t="s">
        <v>82</v>
      </c>
      <c r="CG1" s="1" t="s">
        <v>83</v>
      </c>
      <c r="CH1" s="1" t="s">
        <v>84</v>
      </c>
      <c r="CI1" s="1" t="s">
        <v>85</v>
      </c>
      <c r="CJ1" s="1" t="s">
        <v>86</v>
      </c>
      <c r="CK1" s="1" t="s">
        <v>87</v>
      </c>
      <c r="CL1" s="1" t="s">
        <v>88</v>
      </c>
      <c r="CM1" s="1" t="s">
        <v>89</v>
      </c>
      <c r="CN1" s="1" t="s">
        <v>90</v>
      </c>
      <c r="CO1" s="1" t="s">
        <v>91</v>
      </c>
      <c r="CP1" s="1" t="s">
        <v>92</v>
      </c>
      <c r="CQ1" s="1" t="s">
        <v>93</v>
      </c>
      <c r="CR1" s="1" t="s">
        <v>94</v>
      </c>
      <c r="CS1" s="1" t="s">
        <v>95</v>
      </c>
      <c r="CT1" s="1" t="s">
        <v>96</v>
      </c>
      <c r="CU1" s="1" t="s">
        <v>97</v>
      </c>
      <c r="CV1" s="1" t="s">
        <v>98</v>
      </c>
      <c r="CW1" s="1" t="s">
        <v>99</v>
      </c>
      <c r="CX1" s="1" t="s">
        <v>100</v>
      </c>
      <c r="CY1" s="1" t="s">
        <v>101</v>
      </c>
      <c r="CZ1" s="1" t="s">
        <v>102</v>
      </c>
      <c r="DA1" s="1" t="s">
        <v>103</v>
      </c>
      <c r="DB1" s="1" t="s">
        <v>104</v>
      </c>
      <c r="DC1" s="1" t="s">
        <v>105</v>
      </c>
      <c r="DD1" s="1" t="s">
        <v>106</v>
      </c>
      <c r="DE1" s="1" t="s">
        <v>107</v>
      </c>
      <c r="DF1" s="1" t="s">
        <v>108</v>
      </c>
      <c r="DG1" s="1" t="s">
        <v>109</v>
      </c>
      <c r="DH1" s="1" t="s">
        <v>110</v>
      </c>
      <c r="DI1" s="1" t="s">
        <v>111</v>
      </c>
      <c r="DJ1" s="1" t="s">
        <v>112</v>
      </c>
      <c r="DK1" s="1" t="s">
        <v>113</v>
      </c>
      <c r="DL1" s="1" t="s">
        <v>114</v>
      </c>
      <c r="DM1" s="1" t="s">
        <v>115</v>
      </c>
      <c r="DN1" s="1" t="s">
        <v>116</v>
      </c>
      <c r="DO1" s="1" t="s">
        <v>117</v>
      </c>
      <c r="DP1" s="1" t="s">
        <v>118</v>
      </c>
      <c r="DQ1" s="1" t="s">
        <v>119</v>
      </c>
      <c r="DR1" s="1" t="s">
        <v>120</v>
      </c>
      <c r="DS1" s="1" t="s">
        <v>121</v>
      </c>
      <c r="DT1" s="1" t="s">
        <v>122</v>
      </c>
      <c r="DU1" s="1" t="s">
        <v>123</v>
      </c>
      <c r="DV1" s="1" t="s">
        <v>124</v>
      </c>
      <c r="DW1" s="1" t="s">
        <v>125</v>
      </c>
      <c r="DX1" s="1" t="s">
        <v>126</v>
      </c>
      <c r="DY1" s="1" t="s">
        <v>127</v>
      </c>
      <c r="DZ1" s="1" t="s">
        <v>128</v>
      </c>
      <c r="EA1" s="1" t="s">
        <v>129</v>
      </c>
      <c r="EB1" s="1" t="s">
        <v>130</v>
      </c>
      <c r="EC1" s="1" t="s">
        <v>131</v>
      </c>
      <c r="ED1" s="1" t="s">
        <v>132</v>
      </c>
      <c r="EE1" s="34" t="s">
        <v>133</v>
      </c>
      <c r="EF1" s="34" t="s">
        <v>134</v>
      </c>
      <c r="EG1" s="34" t="s">
        <v>135</v>
      </c>
      <c r="EH1" s="34" t="s">
        <v>136</v>
      </c>
      <c r="EI1" s="34" t="s">
        <v>137</v>
      </c>
      <c r="EJ1" s="34" t="s">
        <v>138</v>
      </c>
      <c r="EK1" s="34" t="s">
        <v>139</v>
      </c>
      <c r="EL1" s="34" t="s">
        <v>140</v>
      </c>
      <c r="EM1" s="34" t="s">
        <v>141</v>
      </c>
      <c r="EN1" s="34" t="s">
        <v>142</v>
      </c>
      <c r="EO1" s="34" t="s">
        <v>143</v>
      </c>
      <c r="EP1" s="34" t="s">
        <v>144</v>
      </c>
      <c r="EQ1" s="34" t="s">
        <v>145</v>
      </c>
      <c r="ER1" s="34" t="s">
        <v>146</v>
      </c>
      <c r="ES1" s="34" t="s">
        <v>147</v>
      </c>
      <c r="ET1" s="34" t="s">
        <v>148</v>
      </c>
      <c r="EU1" s="34" t="s">
        <v>149</v>
      </c>
      <c r="EV1" s="34" t="s">
        <v>150</v>
      </c>
      <c r="EW1" s="34" t="s">
        <v>151</v>
      </c>
      <c r="EX1" s="34" t="s">
        <v>152</v>
      </c>
      <c r="EY1" s="34" t="s">
        <v>153</v>
      </c>
      <c r="EZ1" s="34" t="s">
        <v>154</v>
      </c>
      <c r="FA1" s="34" t="s">
        <v>155</v>
      </c>
      <c r="FB1" s="34" t="s">
        <v>156</v>
      </c>
      <c r="FC1" s="34" t="s">
        <v>157</v>
      </c>
      <c r="FD1" s="34" t="s">
        <v>158</v>
      </c>
      <c r="FE1" s="34" t="s">
        <v>159</v>
      </c>
      <c r="FF1" s="34" t="s">
        <v>160</v>
      </c>
      <c r="FG1" s="34" t="s">
        <v>161</v>
      </c>
      <c r="FH1" s="34" t="s">
        <v>162</v>
      </c>
      <c r="FI1" s="34" t="s">
        <v>163</v>
      </c>
      <c r="FJ1" s="34" t="s">
        <v>164</v>
      </c>
      <c r="FK1" s="34" t="s">
        <v>165</v>
      </c>
      <c r="FL1" s="34" t="s">
        <v>166</v>
      </c>
      <c r="FM1" s="34" t="s">
        <v>167</v>
      </c>
      <c r="FN1" s="34" t="s">
        <v>168</v>
      </c>
      <c r="FO1" s="34" t="s">
        <v>169</v>
      </c>
      <c r="FP1" s="34" t="s">
        <v>170</v>
      </c>
      <c r="FQ1" s="34" t="s">
        <v>171</v>
      </c>
      <c r="FR1" s="34" t="s">
        <v>172</v>
      </c>
      <c r="FS1" s="34" t="s">
        <v>173</v>
      </c>
      <c r="FT1" s="34" t="s">
        <v>174</v>
      </c>
      <c r="FU1" s="34" t="s">
        <v>175</v>
      </c>
      <c r="FV1" s="34" t="s">
        <v>176</v>
      </c>
      <c r="FW1" s="34" t="s">
        <v>177</v>
      </c>
      <c r="FX1" s="34" t="s">
        <v>178</v>
      </c>
      <c r="FY1" s="34" t="s">
        <v>179</v>
      </c>
      <c r="FZ1" s="34" t="s">
        <v>180</v>
      </c>
      <c r="GA1" s="34" t="s">
        <v>181</v>
      </c>
      <c r="GB1" s="34" t="s">
        <v>182</v>
      </c>
      <c r="GC1" s="34" t="s">
        <v>183</v>
      </c>
      <c r="GD1" s="34" t="s">
        <v>184</v>
      </c>
      <c r="GE1" s="34" t="s">
        <v>185</v>
      </c>
      <c r="GF1" s="34" t="s">
        <v>186</v>
      </c>
      <c r="GG1" s="34" t="s">
        <v>187</v>
      </c>
      <c r="GH1" s="34" t="s">
        <v>188</v>
      </c>
      <c r="GI1" s="34" t="s">
        <v>189</v>
      </c>
      <c r="GJ1" s="34" t="s">
        <v>190</v>
      </c>
      <c r="GK1" s="34" t="s">
        <v>191</v>
      </c>
      <c r="GL1" s="34" t="s">
        <v>192</v>
      </c>
      <c r="GM1" s="34" t="s">
        <v>193</v>
      </c>
      <c r="GN1" s="34" t="s">
        <v>194</v>
      </c>
      <c r="GO1" s="34" t="s">
        <v>195</v>
      </c>
      <c r="GP1" s="34" t="s">
        <v>196</v>
      </c>
      <c r="GQ1" s="34" t="s">
        <v>197</v>
      </c>
      <c r="GR1" s="34" t="s">
        <v>198</v>
      </c>
      <c r="GS1" s="34" t="s">
        <v>199</v>
      </c>
      <c r="GT1" s="34" t="s">
        <v>200</v>
      </c>
      <c r="GU1" s="34" t="s">
        <v>201</v>
      </c>
      <c r="GV1" s="34" t="s">
        <v>202</v>
      </c>
      <c r="GW1" s="34" t="s">
        <v>203</v>
      </c>
      <c r="GX1" s="34" t="s">
        <v>204</v>
      </c>
      <c r="GY1" s="34" t="s">
        <v>205</v>
      </c>
      <c r="GZ1" s="34" t="s">
        <v>206</v>
      </c>
      <c r="HA1" s="34" t="s">
        <v>207</v>
      </c>
      <c r="HB1" s="34" t="s">
        <v>208</v>
      </c>
      <c r="HC1" s="34" t="s">
        <v>209</v>
      </c>
      <c r="HD1" s="34" t="s">
        <v>210</v>
      </c>
      <c r="HE1" s="34" t="s">
        <v>211</v>
      </c>
      <c r="HF1" s="34" t="s">
        <v>212</v>
      </c>
      <c r="HG1" s="34" t="s">
        <v>213</v>
      </c>
      <c r="HH1" s="34" t="s">
        <v>214</v>
      </c>
      <c r="HI1" s="34" t="s">
        <v>215</v>
      </c>
      <c r="HJ1" s="34" t="s">
        <v>216</v>
      </c>
      <c r="HK1" s="34" t="s">
        <v>217</v>
      </c>
      <c r="HL1" s="26" t="s">
        <v>218</v>
      </c>
      <c r="HM1" s="26" t="s">
        <v>219</v>
      </c>
      <c r="HN1" s="26" t="s">
        <v>220</v>
      </c>
      <c r="HO1" s="26" t="s">
        <v>221</v>
      </c>
      <c r="HP1" s="26" t="s">
        <v>222</v>
      </c>
      <c r="HQ1" s="26" t="s">
        <v>223</v>
      </c>
      <c r="HR1" s="34" t="s">
        <v>224</v>
      </c>
      <c r="HS1" s="34" t="s">
        <v>225</v>
      </c>
      <c r="HT1" s="34" t="s">
        <v>226</v>
      </c>
      <c r="HU1" s="34" t="s">
        <v>227</v>
      </c>
      <c r="HV1" s="34" t="s">
        <v>228</v>
      </c>
      <c r="HW1" s="34" t="s">
        <v>229</v>
      </c>
      <c r="HX1" s="34" t="s">
        <v>231</v>
      </c>
      <c r="HY1" s="34" t="s">
        <v>232</v>
      </c>
      <c r="HZ1" s="34" t="s">
        <v>233</v>
      </c>
      <c r="IA1" s="34" t="s">
        <v>234</v>
      </c>
      <c r="IB1" s="16" t="s">
        <v>235</v>
      </c>
      <c r="IC1" s="16" t="s">
        <v>237</v>
      </c>
      <c r="ID1" s="16" t="s">
        <v>238</v>
      </c>
      <c r="IE1" s="16" t="s">
        <v>239</v>
      </c>
      <c r="IF1" s="34" t="s">
        <v>241</v>
      </c>
      <c r="IG1" s="34" t="s">
        <v>242</v>
      </c>
      <c r="IH1" s="34" t="s">
        <v>243</v>
      </c>
      <c r="II1" s="34" t="s">
        <v>244</v>
      </c>
      <c r="IJ1" s="34" t="s">
        <v>245</v>
      </c>
      <c r="IK1" s="34" t="s">
        <v>246</v>
      </c>
      <c r="IL1" s="34" t="s">
        <v>247</v>
      </c>
      <c r="IM1" s="34" t="s">
        <v>248</v>
      </c>
      <c r="IN1" s="34" t="s">
        <v>249</v>
      </c>
      <c r="IO1" s="34" t="s">
        <v>250</v>
      </c>
      <c r="IP1" s="34" t="s">
        <v>251</v>
      </c>
      <c r="IQ1" s="34" t="s">
        <v>252</v>
      </c>
      <c r="IR1" s="34" t="s">
        <v>253</v>
      </c>
      <c r="IS1" s="34" t="s">
        <v>254</v>
      </c>
      <c r="IT1" s="42" t="s">
        <v>255</v>
      </c>
      <c r="IU1" s="42" t="s">
        <v>256</v>
      </c>
      <c r="IV1" s="42" t="s">
        <v>257</v>
      </c>
      <c r="IW1" s="42" t="s">
        <v>2350</v>
      </c>
      <c r="IX1" s="42" t="s">
        <v>258</v>
      </c>
      <c r="IY1" s="42" t="s">
        <v>260</v>
      </c>
      <c r="IZ1" s="42" t="s">
        <v>261</v>
      </c>
      <c r="JA1" s="42" t="s">
        <v>262</v>
      </c>
      <c r="JB1" s="42" t="s">
        <v>263</v>
      </c>
      <c r="JC1" s="42" t="s">
        <v>264</v>
      </c>
      <c r="JD1" s="42" t="s">
        <v>265</v>
      </c>
      <c r="JE1" s="42" t="s">
        <v>266</v>
      </c>
      <c r="JF1" s="42" t="s">
        <v>267</v>
      </c>
      <c r="JG1" s="42" t="s">
        <v>268</v>
      </c>
      <c r="JH1" s="36" t="s">
        <v>269</v>
      </c>
      <c r="JI1" s="36" t="s">
        <v>270</v>
      </c>
      <c r="JJ1" s="36" t="s">
        <v>271</v>
      </c>
      <c r="JK1" s="34" t="s">
        <v>272</v>
      </c>
      <c r="JL1" s="34" t="s">
        <v>273</v>
      </c>
      <c r="JM1" s="34" t="s">
        <v>274</v>
      </c>
      <c r="JN1" s="34" t="s">
        <v>275</v>
      </c>
      <c r="JO1" s="34" t="s">
        <v>276</v>
      </c>
      <c r="JP1" s="34" t="s">
        <v>277</v>
      </c>
      <c r="JQ1" s="34" t="s">
        <v>278</v>
      </c>
      <c r="JR1" s="34" t="s">
        <v>279</v>
      </c>
      <c r="JS1" s="34" t="s">
        <v>280</v>
      </c>
      <c r="JT1" s="34" t="s">
        <v>281</v>
      </c>
      <c r="JU1" s="34" t="s">
        <v>282</v>
      </c>
      <c r="JV1" s="34" t="s">
        <v>283</v>
      </c>
      <c r="JW1" s="34" t="s">
        <v>284</v>
      </c>
      <c r="JX1" s="34" t="s">
        <v>285</v>
      </c>
      <c r="JY1" s="34" t="s">
        <v>286</v>
      </c>
      <c r="JZ1" s="34" t="s">
        <v>287</v>
      </c>
      <c r="KA1" s="34" t="s">
        <v>288</v>
      </c>
      <c r="KB1" s="34" t="s">
        <v>289</v>
      </c>
      <c r="KC1" s="34" t="s">
        <v>290</v>
      </c>
      <c r="KD1" s="34" t="s">
        <v>291</v>
      </c>
      <c r="KE1" s="34" t="s">
        <v>292</v>
      </c>
      <c r="KF1" s="34" t="s">
        <v>293</v>
      </c>
      <c r="KG1" s="34" t="s">
        <v>294</v>
      </c>
      <c r="KH1" s="34" t="s">
        <v>295</v>
      </c>
      <c r="KI1" s="34" t="s">
        <v>296</v>
      </c>
      <c r="KJ1" s="34" t="s">
        <v>297</v>
      </c>
      <c r="KK1" s="34" t="s">
        <v>298</v>
      </c>
      <c r="KL1" s="34" t="s">
        <v>299</v>
      </c>
      <c r="KM1" s="34" t="s">
        <v>300</v>
      </c>
      <c r="KN1" s="34" t="s">
        <v>301</v>
      </c>
      <c r="KO1" s="34" t="s">
        <v>302</v>
      </c>
      <c r="KP1" s="34" t="s">
        <v>303</v>
      </c>
      <c r="KQ1" s="34" t="s">
        <v>304</v>
      </c>
      <c r="KR1" s="34" t="s">
        <v>305</v>
      </c>
      <c r="KS1" s="34" t="s">
        <v>306</v>
      </c>
      <c r="KT1" s="34" t="s">
        <v>307</v>
      </c>
      <c r="KU1" s="34" t="s">
        <v>308</v>
      </c>
      <c r="KV1" s="34" t="s">
        <v>309</v>
      </c>
      <c r="KW1" s="34" t="s">
        <v>310</v>
      </c>
      <c r="KX1" s="34" t="s">
        <v>311</v>
      </c>
      <c r="KY1" s="34" t="s">
        <v>2351</v>
      </c>
      <c r="KZ1" s="34" t="s">
        <v>315</v>
      </c>
      <c r="LA1" s="34" t="s">
        <v>317</v>
      </c>
      <c r="LB1" s="34" t="s">
        <v>319</v>
      </c>
      <c r="LC1" s="34" t="s">
        <v>320</v>
      </c>
      <c r="LD1" s="34" t="s">
        <v>321</v>
      </c>
      <c r="LE1" s="34" t="s">
        <v>322</v>
      </c>
      <c r="LF1" s="34" t="s">
        <v>323</v>
      </c>
      <c r="LG1" s="34" t="s">
        <v>324</v>
      </c>
      <c r="LH1" s="34" t="s">
        <v>325</v>
      </c>
      <c r="LI1" s="34" t="s">
        <v>326</v>
      </c>
      <c r="LJ1" s="34" t="s">
        <v>327</v>
      </c>
      <c r="LK1" s="34" t="s">
        <v>328</v>
      </c>
      <c r="LL1" s="34" t="s">
        <v>329</v>
      </c>
      <c r="LM1" s="34" t="s">
        <v>330</v>
      </c>
      <c r="LN1" s="34" t="s">
        <v>331</v>
      </c>
      <c r="LO1" s="34" t="s">
        <v>332</v>
      </c>
      <c r="LP1" s="36" t="s">
        <v>334</v>
      </c>
      <c r="LQ1" s="36" t="s">
        <v>335</v>
      </c>
      <c r="LR1" s="36" t="s">
        <v>336</v>
      </c>
      <c r="LS1" s="36" t="s">
        <v>337</v>
      </c>
      <c r="LT1" s="36" t="s">
        <v>338</v>
      </c>
      <c r="LU1" s="36" t="s">
        <v>339</v>
      </c>
      <c r="LV1" s="36" t="s">
        <v>340</v>
      </c>
      <c r="LW1" s="36" t="s">
        <v>341</v>
      </c>
      <c r="LX1" s="36" t="s">
        <v>342</v>
      </c>
      <c r="LY1" s="36" t="s">
        <v>343</v>
      </c>
      <c r="LZ1" s="34" t="s">
        <v>344</v>
      </c>
      <c r="MA1" s="34" t="s">
        <v>345</v>
      </c>
      <c r="MB1" s="36" t="s">
        <v>346</v>
      </c>
      <c r="MC1" s="36" t="s">
        <v>347</v>
      </c>
      <c r="MD1" s="36" t="s">
        <v>348</v>
      </c>
      <c r="ME1" s="36" t="s">
        <v>349</v>
      </c>
      <c r="MF1" s="36" t="s">
        <v>350</v>
      </c>
      <c r="MG1" s="36" t="s">
        <v>351</v>
      </c>
      <c r="MH1" s="36" t="s">
        <v>352</v>
      </c>
      <c r="MI1" s="36" t="s">
        <v>353</v>
      </c>
      <c r="MJ1" s="36" t="s">
        <v>354</v>
      </c>
      <c r="MK1" s="36" t="s">
        <v>355</v>
      </c>
      <c r="ML1" s="36" t="s">
        <v>356</v>
      </c>
      <c r="MM1" s="34" t="s">
        <v>362</v>
      </c>
      <c r="MN1" s="35" t="s">
        <v>363</v>
      </c>
      <c r="MO1" s="43" t="s">
        <v>364</v>
      </c>
      <c r="MP1" s="43" t="s">
        <v>2352</v>
      </c>
      <c r="MQ1" s="43" t="s">
        <v>2353</v>
      </c>
      <c r="MR1" s="43" t="s">
        <v>2354</v>
      </c>
      <c r="MS1" s="43" t="s">
        <v>2355</v>
      </c>
      <c r="MT1" s="43" t="s">
        <v>2356</v>
      </c>
      <c r="MU1" s="43" t="s">
        <v>2357</v>
      </c>
      <c r="MV1" s="43" t="s">
        <v>370</v>
      </c>
      <c r="MW1" s="43" t="s">
        <v>371</v>
      </c>
      <c r="MX1" s="34" t="s">
        <v>372</v>
      </c>
      <c r="MY1" s="34" t="s">
        <v>373</v>
      </c>
      <c r="MZ1" s="34" t="s">
        <v>374</v>
      </c>
      <c r="NA1" s="34" t="s">
        <v>375</v>
      </c>
      <c r="NB1" s="34" t="s">
        <v>376</v>
      </c>
      <c r="NC1" s="34" t="s">
        <v>377</v>
      </c>
      <c r="ND1" s="34" t="s">
        <v>378</v>
      </c>
      <c r="NE1" s="34" t="s">
        <v>379</v>
      </c>
      <c r="NF1" s="34" t="s">
        <v>380</v>
      </c>
      <c r="NG1" s="34" t="s">
        <v>381</v>
      </c>
      <c r="NH1" s="34" t="s">
        <v>382</v>
      </c>
      <c r="NI1" s="34" t="s">
        <v>383</v>
      </c>
      <c r="NJ1" s="34" t="s">
        <v>384</v>
      </c>
      <c r="NK1" s="34" t="s">
        <v>385</v>
      </c>
      <c r="NL1" s="34" t="s">
        <v>386</v>
      </c>
      <c r="NM1" s="34" t="s">
        <v>387</v>
      </c>
      <c r="NN1" s="34" t="s">
        <v>388</v>
      </c>
      <c r="NO1" s="34" t="s">
        <v>389</v>
      </c>
      <c r="NP1" s="34" t="s">
        <v>390</v>
      </c>
      <c r="NQ1" s="34" t="s">
        <v>391</v>
      </c>
      <c r="NR1" s="34" t="s">
        <v>2358</v>
      </c>
      <c r="NS1" s="34" t="s">
        <v>2359</v>
      </c>
      <c r="NT1" s="34" t="s">
        <v>2360</v>
      </c>
      <c r="NU1" s="34" t="s">
        <v>2361</v>
      </c>
      <c r="NV1" s="34" t="s">
        <v>2362</v>
      </c>
      <c r="NW1" s="34" t="s">
        <v>2363</v>
      </c>
      <c r="NX1" s="34" t="s">
        <v>2364</v>
      </c>
      <c r="NY1" s="34" t="s">
        <v>2365</v>
      </c>
      <c r="NZ1" s="34" t="s">
        <v>2366</v>
      </c>
      <c r="OA1" s="34" t="s">
        <v>2367</v>
      </c>
      <c r="OB1" s="34" t="s">
        <v>410</v>
      </c>
      <c r="OC1" s="34" t="s">
        <v>411</v>
      </c>
      <c r="OD1" s="34" t="s">
        <v>412</v>
      </c>
      <c r="OE1" s="34" t="s">
        <v>413</v>
      </c>
      <c r="OF1" s="34" t="s">
        <v>414</v>
      </c>
      <c r="OG1" s="34" t="s">
        <v>415</v>
      </c>
      <c r="OH1" s="34" t="s">
        <v>416</v>
      </c>
      <c r="OI1" s="71" t="s">
        <v>417</v>
      </c>
      <c r="OJ1" s="71" t="s">
        <v>418</v>
      </c>
      <c r="OK1" s="72" t="s">
        <v>419</v>
      </c>
      <c r="OL1" s="72" t="s">
        <v>420</v>
      </c>
      <c r="OM1" s="72" t="s">
        <v>421</v>
      </c>
      <c r="ON1" s="72" t="s">
        <v>422</v>
      </c>
      <c r="OO1" s="70" t="s">
        <v>423</v>
      </c>
    </row>
    <row r="2" spans="1:410" ht="15.75" thickBot="1">
      <c r="A2" t="s">
        <v>469</v>
      </c>
      <c r="B2" t="s">
        <v>2368</v>
      </c>
      <c r="C2" t="s">
        <v>863</v>
      </c>
      <c r="D2" s="89" t="s">
        <v>1179</v>
      </c>
      <c r="E2" s="81" t="s">
        <v>2369</v>
      </c>
      <c r="F2" s="89" t="s">
        <v>1179</v>
      </c>
      <c r="G2" s="78" t="s">
        <v>475</v>
      </c>
      <c r="H2" s="78" t="s">
        <v>476</v>
      </c>
      <c r="I2">
        <v>7.3666666669999996</v>
      </c>
      <c r="J2">
        <v>3.8333333330000001</v>
      </c>
      <c r="K2" s="78" t="s">
        <v>480</v>
      </c>
      <c r="AV2" t="s">
        <v>2370</v>
      </c>
      <c r="AW2" t="s">
        <v>1049</v>
      </c>
      <c r="AX2" t="s">
        <v>2371</v>
      </c>
      <c r="AY2" t="s">
        <v>1049</v>
      </c>
      <c r="AZ2" t="s">
        <v>1049</v>
      </c>
      <c r="BA2">
        <v>2003</v>
      </c>
      <c r="BB2">
        <v>2004</v>
      </c>
      <c r="BD2" t="s">
        <v>998</v>
      </c>
      <c r="BE2" t="s">
        <v>2372</v>
      </c>
      <c r="BF2" t="s">
        <v>536</v>
      </c>
      <c r="BG2" s="69" t="s">
        <v>484</v>
      </c>
      <c r="BH2" t="s">
        <v>485</v>
      </c>
      <c r="BI2" t="s">
        <v>2373</v>
      </c>
      <c r="BJ2" t="s">
        <v>1049</v>
      </c>
      <c r="BK2" t="s">
        <v>1049</v>
      </c>
      <c r="BL2" t="s">
        <v>537</v>
      </c>
      <c r="BM2" t="s">
        <v>2374</v>
      </c>
      <c r="BN2" t="s">
        <v>2375</v>
      </c>
      <c r="BO2" t="s">
        <v>1049</v>
      </c>
      <c r="BP2" t="s">
        <v>1049</v>
      </c>
      <c r="BQ2" t="s">
        <v>537</v>
      </c>
      <c r="BR2" t="s">
        <v>2376</v>
      </c>
      <c r="BS2" t="s">
        <v>866</v>
      </c>
      <c r="BT2" t="s">
        <v>1049</v>
      </c>
      <c r="BU2" t="s">
        <v>1049</v>
      </c>
      <c r="BV2" t="s">
        <v>1049</v>
      </c>
      <c r="HR2" t="s">
        <v>1049</v>
      </c>
      <c r="HS2" t="s">
        <v>1049</v>
      </c>
      <c r="HT2" t="s">
        <v>1049</v>
      </c>
      <c r="HU2" t="s">
        <v>1049</v>
      </c>
      <c r="HV2" t="s">
        <v>1049</v>
      </c>
      <c r="HW2" t="s">
        <v>1049</v>
      </c>
      <c r="HX2" t="s">
        <v>1049</v>
      </c>
      <c r="HY2" t="s">
        <v>1049</v>
      </c>
      <c r="HZ2" t="s">
        <v>1049</v>
      </c>
      <c r="IA2" t="s">
        <v>1049</v>
      </c>
      <c r="IB2" t="s">
        <v>1049</v>
      </c>
      <c r="IC2" t="s">
        <v>1049</v>
      </c>
      <c r="ID2" t="s">
        <v>1049</v>
      </c>
      <c r="IE2" t="s">
        <v>1049</v>
      </c>
      <c r="IF2" t="s">
        <v>2372</v>
      </c>
      <c r="IG2" t="s">
        <v>1049</v>
      </c>
      <c r="IH2" t="s">
        <v>1049</v>
      </c>
      <c r="II2" t="s">
        <v>1049</v>
      </c>
      <c r="IJ2" t="s">
        <v>1049</v>
      </c>
      <c r="IK2" t="s">
        <v>1049</v>
      </c>
      <c r="IL2" t="s">
        <v>1049</v>
      </c>
      <c r="JH2" t="s">
        <v>2377</v>
      </c>
      <c r="JI2" s="75" t="s">
        <v>494</v>
      </c>
      <c r="JJ2" t="s">
        <v>495</v>
      </c>
      <c r="JK2" t="s">
        <v>2378</v>
      </c>
      <c r="JL2" t="s">
        <v>508</v>
      </c>
      <c r="JM2" t="s">
        <v>2379</v>
      </c>
      <c r="KH2" s="46" t="s">
        <v>504</v>
      </c>
      <c r="MM2" t="s">
        <v>2380</v>
      </c>
      <c r="MN2" t="s">
        <v>1049</v>
      </c>
      <c r="MO2" t="s">
        <v>2381</v>
      </c>
      <c r="MQ2" t="s">
        <v>485</v>
      </c>
      <c r="MR2" t="s">
        <v>2374</v>
      </c>
      <c r="MS2" t="s">
        <v>2376</v>
      </c>
      <c r="MY2" t="s">
        <v>2382</v>
      </c>
      <c r="MZ2" t="s">
        <v>2383</v>
      </c>
      <c r="NA2" t="s">
        <v>946</v>
      </c>
      <c r="NB2" t="s">
        <v>2384</v>
      </c>
      <c r="NK2" t="s">
        <v>518</v>
      </c>
      <c r="NM2" t="s">
        <v>2385</v>
      </c>
      <c r="NQ2">
        <v>2</v>
      </c>
      <c r="OB2" t="s">
        <v>1053</v>
      </c>
      <c r="OC2" s="78" t="s">
        <v>475</v>
      </c>
      <c r="OD2">
        <v>2003</v>
      </c>
      <c r="OI2" t="s">
        <v>522</v>
      </c>
      <c r="OJ2" s="50">
        <v>46105</v>
      </c>
    </row>
    <row r="3" spans="1:410" ht="15.75" thickBot="1">
      <c r="A3" t="s">
        <v>469</v>
      </c>
      <c r="B3" t="s">
        <v>2368</v>
      </c>
      <c r="C3" t="s">
        <v>863</v>
      </c>
      <c r="D3" s="89" t="s">
        <v>1179</v>
      </c>
      <c r="E3" s="81" t="s">
        <v>2369</v>
      </c>
      <c r="F3" s="89" t="s">
        <v>1179</v>
      </c>
      <c r="G3" s="78" t="s">
        <v>475</v>
      </c>
      <c r="H3" s="78" t="s">
        <v>476</v>
      </c>
      <c r="I3">
        <v>7.3666666669999996</v>
      </c>
      <c r="J3">
        <v>3.8333333330000001</v>
      </c>
      <c r="K3" s="78" t="s">
        <v>480</v>
      </c>
      <c r="AV3" t="s">
        <v>1049</v>
      </c>
      <c r="AW3" t="s">
        <v>1049</v>
      </c>
      <c r="AX3" t="s">
        <v>2371</v>
      </c>
      <c r="AY3" t="s">
        <v>1049</v>
      </c>
      <c r="AZ3" t="s">
        <v>1049</v>
      </c>
      <c r="BA3">
        <v>2003</v>
      </c>
      <c r="BB3">
        <v>2004</v>
      </c>
      <c r="BD3" t="s">
        <v>998</v>
      </c>
      <c r="BE3" t="s">
        <v>2386</v>
      </c>
      <c r="BF3" t="s">
        <v>566</v>
      </c>
      <c r="BG3" s="69" t="s">
        <v>484</v>
      </c>
      <c r="BH3" t="s">
        <v>485</v>
      </c>
      <c r="BI3" t="s">
        <v>2373</v>
      </c>
      <c r="BJ3" t="s">
        <v>1049</v>
      </c>
      <c r="BK3" t="s">
        <v>1049</v>
      </c>
      <c r="BL3" t="s">
        <v>537</v>
      </c>
      <c r="BM3" t="s">
        <v>2374</v>
      </c>
      <c r="BN3" t="s">
        <v>2387</v>
      </c>
      <c r="BO3" t="s">
        <v>1049</v>
      </c>
      <c r="BP3" t="s">
        <v>1049</v>
      </c>
      <c r="HR3" t="s">
        <v>1049</v>
      </c>
      <c r="HS3" t="s">
        <v>1049</v>
      </c>
      <c r="HT3" t="s">
        <v>1049</v>
      </c>
      <c r="HU3" t="s">
        <v>1049</v>
      </c>
      <c r="HV3" t="s">
        <v>1049</v>
      </c>
      <c r="HW3" t="s">
        <v>1049</v>
      </c>
      <c r="HX3" t="s">
        <v>1049</v>
      </c>
      <c r="HY3" t="s">
        <v>1049</v>
      </c>
      <c r="HZ3" t="s">
        <v>1049</v>
      </c>
      <c r="IA3" t="s">
        <v>1049</v>
      </c>
      <c r="IB3" t="s">
        <v>1049</v>
      </c>
      <c r="IC3" t="s">
        <v>1049</v>
      </c>
      <c r="ID3" t="s">
        <v>1049</v>
      </c>
      <c r="IE3" t="s">
        <v>1049</v>
      </c>
      <c r="IF3" t="s">
        <v>2386</v>
      </c>
      <c r="IG3" t="s">
        <v>1049</v>
      </c>
      <c r="IH3" t="s">
        <v>1049</v>
      </c>
      <c r="II3" t="s">
        <v>1049</v>
      </c>
      <c r="IJ3" t="s">
        <v>1049</v>
      </c>
      <c r="IK3" t="s">
        <v>1049</v>
      </c>
      <c r="IL3" t="s">
        <v>1049</v>
      </c>
      <c r="JH3" t="s">
        <v>2388</v>
      </c>
      <c r="JI3" s="75" t="s">
        <v>494</v>
      </c>
      <c r="JJ3" t="s">
        <v>495</v>
      </c>
      <c r="JK3" t="s">
        <v>2378</v>
      </c>
      <c r="JL3" t="s">
        <v>508</v>
      </c>
      <c r="JM3" t="s">
        <v>2389</v>
      </c>
      <c r="KH3" s="46" t="s">
        <v>504</v>
      </c>
      <c r="MM3" t="s">
        <v>2380</v>
      </c>
      <c r="MN3" t="s">
        <v>1049</v>
      </c>
      <c r="MO3" t="s">
        <v>2390</v>
      </c>
      <c r="MQ3" t="s">
        <v>485</v>
      </c>
      <c r="MR3" t="s">
        <v>2374</v>
      </c>
      <c r="MY3" t="s">
        <v>2382</v>
      </c>
      <c r="MZ3" t="s">
        <v>2383</v>
      </c>
      <c r="NA3" t="s">
        <v>946</v>
      </c>
      <c r="NB3" t="s">
        <v>2384</v>
      </c>
      <c r="NK3" t="s">
        <v>518</v>
      </c>
      <c r="NM3" t="s">
        <v>2385</v>
      </c>
      <c r="NQ3">
        <v>2</v>
      </c>
      <c r="OB3" t="s">
        <v>1053</v>
      </c>
      <c r="OC3" s="78" t="s">
        <v>475</v>
      </c>
      <c r="OD3">
        <v>2003</v>
      </c>
      <c r="OI3" t="s">
        <v>522</v>
      </c>
      <c r="OJ3" s="50">
        <v>46105</v>
      </c>
    </row>
    <row r="4" spans="1:410" ht="15.75" thickBot="1">
      <c r="A4" t="s">
        <v>469</v>
      </c>
      <c r="B4" t="s">
        <v>2368</v>
      </c>
      <c r="C4" t="s">
        <v>863</v>
      </c>
      <c r="D4" s="89" t="s">
        <v>1179</v>
      </c>
      <c r="E4" s="81" t="s">
        <v>2369</v>
      </c>
      <c r="F4" s="89" t="s">
        <v>1179</v>
      </c>
      <c r="G4" s="78" t="s">
        <v>475</v>
      </c>
      <c r="H4" s="78" t="s">
        <v>476</v>
      </c>
      <c r="I4">
        <v>7.3666666669999996</v>
      </c>
      <c r="J4">
        <v>3.8333333330000001</v>
      </c>
      <c r="K4" s="78" t="s">
        <v>480</v>
      </c>
      <c r="AV4" t="s">
        <v>1049</v>
      </c>
      <c r="AW4" t="s">
        <v>1049</v>
      </c>
      <c r="AX4" t="s">
        <v>2371</v>
      </c>
      <c r="AY4" t="s">
        <v>1049</v>
      </c>
      <c r="AZ4" t="s">
        <v>1049</v>
      </c>
      <c r="BA4">
        <v>2003</v>
      </c>
      <c r="BB4">
        <v>2004</v>
      </c>
      <c r="BD4" t="s">
        <v>998</v>
      </c>
      <c r="BE4" t="s">
        <v>2391</v>
      </c>
      <c r="BF4" t="s">
        <v>572</v>
      </c>
      <c r="BG4" s="69" t="s">
        <v>484</v>
      </c>
      <c r="BH4" t="s">
        <v>485</v>
      </c>
      <c r="BI4" t="s">
        <v>2373</v>
      </c>
      <c r="BJ4" t="s">
        <v>1049</v>
      </c>
      <c r="BK4" t="s">
        <v>1049</v>
      </c>
      <c r="BL4" t="s">
        <v>537</v>
      </c>
      <c r="BM4" t="s">
        <v>2376</v>
      </c>
      <c r="BN4" t="s">
        <v>866</v>
      </c>
      <c r="BO4" t="s">
        <v>1049</v>
      </c>
      <c r="BP4" t="s">
        <v>1049</v>
      </c>
      <c r="HR4" t="s">
        <v>1049</v>
      </c>
      <c r="HS4" t="s">
        <v>1049</v>
      </c>
      <c r="HT4" t="s">
        <v>1049</v>
      </c>
      <c r="HU4" t="s">
        <v>1049</v>
      </c>
      <c r="HV4" t="s">
        <v>1049</v>
      </c>
      <c r="HW4" t="s">
        <v>1049</v>
      </c>
      <c r="HX4" t="s">
        <v>1049</v>
      </c>
      <c r="HY4" t="s">
        <v>1049</v>
      </c>
      <c r="HZ4" t="s">
        <v>1049</v>
      </c>
      <c r="IA4" t="s">
        <v>1049</v>
      </c>
      <c r="IB4" t="s">
        <v>1049</v>
      </c>
      <c r="IC4" t="s">
        <v>1049</v>
      </c>
      <c r="ID4" t="s">
        <v>1049</v>
      </c>
      <c r="IE4" t="s">
        <v>1049</v>
      </c>
      <c r="IF4" t="s">
        <v>2391</v>
      </c>
      <c r="IG4" t="s">
        <v>1049</v>
      </c>
      <c r="IH4" t="s">
        <v>1049</v>
      </c>
      <c r="II4" t="s">
        <v>1049</v>
      </c>
      <c r="IJ4" t="s">
        <v>1049</v>
      </c>
      <c r="IK4" t="s">
        <v>1049</v>
      </c>
      <c r="IL4" t="s">
        <v>1049</v>
      </c>
      <c r="JH4" t="s">
        <v>2392</v>
      </c>
      <c r="JI4" s="75" t="s">
        <v>494</v>
      </c>
      <c r="JJ4" t="s">
        <v>495</v>
      </c>
      <c r="JK4" t="s">
        <v>2378</v>
      </c>
      <c r="JL4" t="s">
        <v>508</v>
      </c>
      <c r="JM4" t="s">
        <v>2393</v>
      </c>
      <c r="KH4" s="46" t="s">
        <v>504</v>
      </c>
      <c r="MM4" t="s">
        <v>2380</v>
      </c>
      <c r="MN4" t="s">
        <v>1049</v>
      </c>
      <c r="MO4" t="s">
        <v>2394</v>
      </c>
      <c r="MQ4" t="s">
        <v>485</v>
      </c>
      <c r="MR4" t="s">
        <v>2376</v>
      </c>
      <c r="MY4" t="s">
        <v>2382</v>
      </c>
      <c r="MZ4" t="s">
        <v>2383</v>
      </c>
      <c r="NA4" t="s">
        <v>946</v>
      </c>
      <c r="NB4" t="s">
        <v>2384</v>
      </c>
      <c r="NK4" t="s">
        <v>518</v>
      </c>
      <c r="NM4" t="s">
        <v>2385</v>
      </c>
      <c r="NQ4">
        <v>2</v>
      </c>
      <c r="OB4" t="s">
        <v>1053</v>
      </c>
      <c r="OC4" s="78" t="s">
        <v>475</v>
      </c>
      <c r="OD4">
        <v>2003</v>
      </c>
      <c r="OI4" t="s">
        <v>522</v>
      </c>
      <c r="OJ4" s="50">
        <v>46105</v>
      </c>
    </row>
    <row r="5" spans="1:410" ht="15.75" thickBot="1">
      <c r="A5" t="s">
        <v>469</v>
      </c>
      <c r="B5" t="s">
        <v>2368</v>
      </c>
      <c r="C5" t="s">
        <v>863</v>
      </c>
      <c r="D5" s="89" t="s">
        <v>1179</v>
      </c>
      <c r="E5" s="81" t="s">
        <v>2369</v>
      </c>
      <c r="F5" s="89" t="s">
        <v>1179</v>
      </c>
      <c r="G5" s="78" t="s">
        <v>475</v>
      </c>
      <c r="H5" s="78" t="s">
        <v>476</v>
      </c>
      <c r="I5">
        <v>7.3666666669999996</v>
      </c>
      <c r="J5">
        <v>3.8333333330000001</v>
      </c>
      <c r="K5" s="78" t="s">
        <v>480</v>
      </c>
      <c r="AV5" t="s">
        <v>1049</v>
      </c>
      <c r="AW5" t="s">
        <v>1049</v>
      </c>
      <c r="AX5" t="s">
        <v>2371</v>
      </c>
      <c r="AY5" t="s">
        <v>1049</v>
      </c>
      <c r="AZ5" t="s">
        <v>1049</v>
      </c>
      <c r="BA5">
        <v>2003</v>
      </c>
      <c r="BB5">
        <v>2004</v>
      </c>
      <c r="BD5" t="s">
        <v>492</v>
      </c>
      <c r="BE5" t="s">
        <v>2395</v>
      </c>
      <c r="BF5" t="s">
        <v>524</v>
      </c>
      <c r="BG5" s="69" t="s">
        <v>484</v>
      </c>
      <c r="BH5" t="s">
        <v>485</v>
      </c>
      <c r="BI5" t="s">
        <v>2373</v>
      </c>
      <c r="BJ5" t="s">
        <v>1049</v>
      </c>
      <c r="BK5" t="s">
        <v>1049</v>
      </c>
      <c r="HR5" t="s">
        <v>1049</v>
      </c>
      <c r="HS5" t="s">
        <v>1049</v>
      </c>
      <c r="HT5" t="s">
        <v>1049</v>
      </c>
      <c r="HU5" t="s">
        <v>1049</v>
      </c>
      <c r="HV5" t="s">
        <v>1049</v>
      </c>
      <c r="HW5" t="s">
        <v>1049</v>
      </c>
      <c r="HX5" t="s">
        <v>1049</v>
      </c>
      <c r="HY5" t="s">
        <v>1049</v>
      </c>
      <c r="HZ5" t="s">
        <v>1049</v>
      </c>
      <c r="IA5" t="s">
        <v>1049</v>
      </c>
      <c r="IB5" t="s">
        <v>1049</v>
      </c>
      <c r="IC5" t="s">
        <v>1049</v>
      </c>
      <c r="ID5" t="s">
        <v>1049</v>
      </c>
      <c r="IE5" t="s">
        <v>1049</v>
      </c>
      <c r="IF5" t="s">
        <v>2395</v>
      </c>
      <c r="IG5" t="s">
        <v>492</v>
      </c>
      <c r="IH5" t="s">
        <v>1049</v>
      </c>
      <c r="II5" t="s">
        <v>1049</v>
      </c>
      <c r="IJ5" t="s">
        <v>1049</v>
      </c>
      <c r="IK5" t="s">
        <v>1049</v>
      </c>
      <c r="IL5" t="s">
        <v>1049</v>
      </c>
      <c r="JH5" t="s">
        <v>2392</v>
      </c>
      <c r="JI5" s="75" t="s">
        <v>494</v>
      </c>
      <c r="JJ5" t="s">
        <v>495</v>
      </c>
      <c r="JK5" t="s">
        <v>2378</v>
      </c>
      <c r="JL5" t="s">
        <v>508</v>
      </c>
      <c r="JM5" t="s">
        <v>2396</v>
      </c>
      <c r="KH5" s="46" t="s">
        <v>504</v>
      </c>
      <c r="MM5" t="s">
        <v>2380</v>
      </c>
      <c r="MN5" t="s">
        <v>1049</v>
      </c>
      <c r="MO5" t="s">
        <v>2397</v>
      </c>
      <c r="MQ5" t="s">
        <v>485</v>
      </c>
      <c r="MY5" t="s">
        <v>2382</v>
      </c>
      <c r="MZ5" t="s">
        <v>2383</v>
      </c>
      <c r="NA5" t="s">
        <v>946</v>
      </c>
      <c r="NB5" t="s">
        <v>2384</v>
      </c>
      <c r="NK5" t="s">
        <v>518</v>
      </c>
      <c r="NM5" t="s">
        <v>2385</v>
      </c>
      <c r="NQ5">
        <v>2</v>
      </c>
      <c r="OB5" t="s">
        <v>1053</v>
      </c>
      <c r="OC5" s="78" t="s">
        <v>475</v>
      </c>
      <c r="OD5">
        <v>2003</v>
      </c>
      <c r="OI5" t="s">
        <v>522</v>
      </c>
      <c r="OJ5" s="50">
        <v>46105</v>
      </c>
    </row>
    <row r="6" spans="1:410" ht="15.75" thickBot="1">
      <c r="A6" t="s">
        <v>469</v>
      </c>
      <c r="B6" t="s">
        <v>2368</v>
      </c>
      <c r="C6" t="s">
        <v>863</v>
      </c>
      <c r="D6" s="89" t="s">
        <v>1179</v>
      </c>
      <c r="E6" s="81" t="s">
        <v>2369</v>
      </c>
      <c r="F6" s="89" t="s">
        <v>1179</v>
      </c>
      <c r="G6" s="78" t="s">
        <v>475</v>
      </c>
      <c r="H6" s="78" t="s">
        <v>476</v>
      </c>
      <c r="I6">
        <v>7.3666666669999996</v>
      </c>
      <c r="J6">
        <v>3.8333333330000001</v>
      </c>
      <c r="K6" s="78" t="s">
        <v>480</v>
      </c>
      <c r="AV6" t="s">
        <v>1049</v>
      </c>
      <c r="AW6" t="s">
        <v>1049</v>
      </c>
      <c r="AX6" t="s">
        <v>2371</v>
      </c>
      <c r="AY6" t="s">
        <v>1049</v>
      </c>
      <c r="AZ6" t="s">
        <v>1049</v>
      </c>
      <c r="BA6">
        <v>2003</v>
      </c>
      <c r="BB6">
        <v>2004</v>
      </c>
      <c r="BD6" t="s">
        <v>998</v>
      </c>
      <c r="BE6" t="s">
        <v>2398</v>
      </c>
      <c r="BF6" t="s">
        <v>553</v>
      </c>
      <c r="BG6" s="69" t="s">
        <v>484</v>
      </c>
      <c r="BH6" t="s">
        <v>2374</v>
      </c>
      <c r="BI6" t="s">
        <v>2375</v>
      </c>
      <c r="BJ6" t="s">
        <v>1049</v>
      </c>
      <c r="BK6" t="s">
        <v>1049</v>
      </c>
      <c r="BL6" t="s">
        <v>537</v>
      </c>
      <c r="BM6" t="s">
        <v>2376</v>
      </c>
      <c r="BN6" t="s">
        <v>866</v>
      </c>
      <c r="BO6" t="s">
        <v>1049</v>
      </c>
      <c r="BP6" t="s">
        <v>1049</v>
      </c>
      <c r="HR6" t="s">
        <v>1049</v>
      </c>
      <c r="HS6" t="s">
        <v>1049</v>
      </c>
      <c r="HT6" t="s">
        <v>1049</v>
      </c>
      <c r="HU6" t="s">
        <v>1049</v>
      </c>
      <c r="HV6" t="s">
        <v>1049</v>
      </c>
      <c r="HW6" t="s">
        <v>1049</v>
      </c>
      <c r="HX6" t="s">
        <v>1049</v>
      </c>
      <c r="HY6" t="s">
        <v>1049</v>
      </c>
      <c r="HZ6" t="s">
        <v>1049</v>
      </c>
      <c r="IA6" t="s">
        <v>1049</v>
      </c>
      <c r="IB6" t="s">
        <v>1049</v>
      </c>
      <c r="IC6" t="s">
        <v>1049</v>
      </c>
      <c r="ID6" t="s">
        <v>1049</v>
      </c>
      <c r="IE6" t="s">
        <v>1049</v>
      </c>
      <c r="IF6" t="s">
        <v>2398</v>
      </c>
      <c r="IG6" t="s">
        <v>1049</v>
      </c>
      <c r="IH6" t="s">
        <v>1049</v>
      </c>
      <c r="II6" t="s">
        <v>1049</v>
      </c>
      <c r="IJ6" t="s">
        <v>1049</v>
      </c>
      <c r="IK6" t="s">
        <v>1049</v>
      </c>
      <c r="IL6" t="s">
        <v>1049</v>
      </c>
      <c r="JH6" t="s">
        <v>2392</v>
      </c>
      <c r="JI6" s="75" t="s">
        <v>494</v>
      </c>
      <c r="JJ6" t="s">
        <v>495</v>
      </c>
      <c r="JK6" t="s">
        <v>2399</v>
      </c>
      <c r="JL6" t="s">
        <v>508</v>
      </c>
      <c r="JM6">
        <v>120</v>
      </c>
      <c r="KH6" s="46" t="s">
        <v>504</v>
      </c>
      <c r="MM6" t="s">
        <v>2380</v>
      </c>
      <c r="MN6" t="s">
        <v>1049</v>
      </c>
      <c r="MO6" t="s">
        <v>2400</v>
      </c>
      <c r="MQ6" t="s">
        <v>2374</v>
      </c>
      <c r="MR6" t="s">
        <v>2376</v>
      </c>
      <c r="MY6" t="s">
        <v>2382</v>
      </c>
      <c r="MZ6" t="s">
        <v>2383</v>
      </c>
      <c r="NA6" t="s">
        <v>946</v>
      </c>
      <c r="NB6" t="s">
        <v>2384</v>
      </c>
      <c r="NK6" t="s">
        <v>518</v>
      </c>
      <c r="NM6" t="s">
        <v>2385</v>
      </c>
      <c r="NQ6">
        <v>2</v>
      </c>
      <c r="OB6" t="s">
        <v>1053</v>
      </c>
      <c r="OC6" s="78" t="s">
        <v>475</v>
      </c>
      <c r="OD6">
        <v>2003</v>
      </c>
      <c r="OI6" t="s">
        <v>522</v>
      </c>
      <c r="OJ6" s="50">
        <v>46105</v>
      </c>
    </row>
    <row r="7" spans="1:410" ht="15.75" thickBot="1">
      <c r="A7" t="s">
        <v>469</v>
      </c>
      <c r="B7" t="s">
        <v>2368</v>
      </c>
      <c r="C7" t="s">
        <v>863</v>
      </c>
      <c r="D7" s="89" t="s">
        <v>1179</v>
      </c>
      <c r="E7" s="81" t="s">
        <v>2369</v>
      </c>
      <c r="F7" s="89" t="s">
        <v>1179</v>
      </c>
      <c r="G7" s="78" t="s">
        <v>475</v>
      </c>
      <c r="H7" s="78" t="s">
        <v>476</v>
      </c>
      <c r="I7">
        <v>7.3666666669999996</v>
      </c>
      <c r="J7">
        <v>3.8333333330000001</v>
      </c>
      <c r="K7" s="78" t="s">
        <v>480</v>
      </c>
      <c r="AV7" t="s">
        <v>1049</v>
      </c>
      <c r="AW7" t="s">
        <v>1049</v>
      </c>
      <c r="AX7" t="s">
        <v>2371</v>
      </c>
      <c r="AY7" t="s">
        <v>1049</v>
      </c>
      <c r="AZ7" t="s">
        <v>1049</v>
      </c>
      <c r="BA7">
        <v>2003</v>
      </c>
      <c r="BB7">
        <v>2004</v>
      </c>
      <c r="BD7" t="s">
        <v>492</v>
      </c>
      <c r="BE7" t="s">
        <v>2401</v>
      </c>
      <c r="BF7" t="s">
        <v>483</v>
      </c>
      <c r="BG7" s="69" t="s">
        <v>484</v>
      </c>
      <c r="BH7" t="s">
        <v>2374</v>
      </c>
      <c r="BI7" t="s">
        <v>2375</v>
      </c>
      <c r="BJ7" t="s">
        <v>1049</v>
      </c>
      <c r="BK7" t="s">
        <v>1049</v>
      </c>
      <c r="HR7" t="s">
        <v>1049</v>
      </c>
      <c r="HS7" t="s">
        <v>1049</v>
      </c>
      <c r="HT7" t="s">
        <v>1049</v>
      </c>
      <c r="HU7" t="s">
        <v>1049</v>
      </c>
      <c r="HV7" t="s">
        <v>1049</v>
      </c>
      <c r="HW7" t="s">
        <v>1049</v>
      </c>
      <c r="HX7" t="s">
        <v>1049</v>
      </c>
      <c r="HY7" t="s">
        <v>1049</v>
      </c>
      <c r="HZ7" t="s">
        <v>1049</v>
      </c>
      <c r="IA7" t="s">
        <v>1049</v>
      </c>
      <c r="IB7" t="s">
        <v>1049</v>
      </c>
      <c r="IC7" t="s">
        <v>1049</v>
      </c>
      <c r="ID7" t="s">
        <v>1049</v>
      </c>
      <c r="IE7" t="s">
        <v>1049</v>
      </c>
      <c r="IF7" t="s">
        <v>2401</v>
      </c>
      <c r="IG7" t="s">
        <v>492</v>
      </c>
      <c r="IH7" t="s">
        <v>1049</v>
      </c>
      <c r="II7" t="s">
        <v>1049</v>
      </c>
      <c r="IJ7" t="s">
        <v>1049</v>
      </c>
      <c r="IK7" t="s">
        <v>1049</v>
      </c>
      <c r="IL7" t="s">
        <v>1049</v>
      </c>
      <c r="JH7" t="s">
        <v>2392</v>
      </c>
      <c r="JI7" s="75" t="s">
        <v>494</v>
      </c>
      <c r="JJ7" t="s">
        <v>495</v>
      </c>
      <c r="JK7" t="s">
        <v>2399</v>
      </c>
      <c r="JL7" t="s">
        <v>508</v>
      </c>
      <c r="JM7">
        <v>120</v>
      </c>
      <c r="KH7" s="46" t="s">
        <v>504</v>
      </c>
      <c r="MM7" t="s">
        <v>2380</v>
      </c>
      <c r="MN7" t="s">
        <v>1049</v>
      </c>
      <c r="MO7" t="s">
        <v>2402</v>
      </c>
      <c r="MQ7" t="s">
        <v>2374</v>
      </c>
      <c r="MY7" t="s">
        <v>2382</v>
      </c>
      <c r="MZ7" t="s">
        <v>2383</v>
      </c>
      <c r="NA7" t="s">
        <v>946</v>
      </c>
      <c r="NB7" t="s">
        <v>2384</v>
      </c>
      <c r="NK7" t="s">
        <v>518</v>
      </c>
      <c r="NM7" t="s">
        <v>2385</v>
      </c>
      <c r="NQ7">
        <v>2</v>
      </c>
      <c r="OB7" t="s">
        <v>1053</v>
      </c>
      <c r="OC7" s="78" t="s">
        <v>475</v>
      </c>
      <c r="OD7">
        <v>2003</v>
      </c>
      <c r="OI7" t="s">
        <v>522</v>
      </c>
      <c r="OJ7" s="50">
        <v>46105</v>
      </c>
    </row>
    <row r="8" spans="1:410" ht="15.75" thickBot="1">
      <c r="A8" t="s">
        <v>469</v>
      </c>
      <c r="B8" t="s">
        <v>2368</v>
      </c>
      <c r="C8" t="s">
        <v>863</v>
      </c>
      <c r="D8" s="89" t="s">
        <v>1179</v>
      </c>
      <c r="E8" s="81" t="s">
        <v>2369</v>
      </c>
      <c r="F8" s="89" t="s">
        <v>1179</v>
      </c>
      <c r="G8" s="78" t="s">
        <v>475</v>
      </c>
      <c r="H8" s="78" t="s">
        <v>476</v>
      </c>
      <c r="I8">
        <v>7.3666666669999996</v>
      </c>
      <c r="J8">
        <v>3.8333333330000001</v>
      </c>
      <c r="K8" s="78" t="s">
        <v>480</v>
      </c>
      <c r="AV8" t="s">
        <v>1049</v>
      </c>
      <c r="AW8" t="s">
        <v>1049</v>
      </c>
      <c r="AX8" t="s">
        <v>2371</v>
      </c>
      <c r="AY8" t="s">
        <v>1049</v>
      </c>
      <c r="AZ8" t="s">
        <v>1049</v>
      </c>
      <c r="BA8">
        <v>2003</v>
      </c>
      <c r="BB8">
        <v>2004</v>
      </c>
      <c r="BD8" t="s">
        <v>492</v>
      </c>
      <c r="BE8" t="s">
        <v>2403</v>
      </c>
      <c r="BF8" t="s">
        <v>607</v>
      </c>
      <c r="BG8" s="69" t="s">
        <v>484</v>
      </c>
      <c r="BH8" t="s">
        <v>2376</v>
      </c>
      <c r="BI8" t="s">
        <v>866</v>
      </c>
      <c r="BJ8" t="s">
        <v>1049</v>
      </c>
      <c r="BK8" t="s">
        <v>1049</v>
      </c>
      <c r="HR8" t="s">
        <v>1049</v>
      </c>
      <c r="HS8" t="s">
        <v>1049</v>
      </c>
      <c r="HT8" t="s">
        <v>1049</v>
      </c>
      <c r="HU8" t="s">
        <v>1049</v>
      </c>
      <c r="HV8" t="s">
        <v>1049</v>
      </c>
      <c r="HW8" t="s">
        <v>1049</v>
      </c>
      <c r="HX8" t="s">
        <v>1049</v>
      </c>
      <c r="HY8" t="s">
        <v>1049</v>
      </c>
      <c r="HZ8" t="s">
        <v>1049</v>
      </c>
      <c r="IA8" t="s">
        <v>1049</v>
      </c>
      <c r="IB8" t="s">
        <v>1049</v>
      </c>
      <c r="IC8" t="s">
        <v>1049</v>
      </c>
      <c r="ID8" t="s">
        <v>1049</v>
      </c>
      <c r="IE8" t="s">
        <v>1049</v>
      </c>
      <c r="IF8" t="s">
        <v>2403</v>
      </c>
      <c r="IG8" t="s">
        <v>492</v>
      </c>
      <c r="IH8" t="s">
        <v>1049</v>
      </c>
      <c r="II8" t="s">
        <v>1049</v>
      </c>
      <c r="IJ8" t="s">
        <v>1049</v>
      </c>
      <c r="IK8" t="s">
        <v>1049</v>
      </c>
      <c r="IL8" t="s">
        <v>1049</v>
      </c>
      <c r="JH8" t="s">
        <v>2404</v>
      </c>
      <c r="JI8" s="75" t="s">
        <v>682</v>
      </c>
      <c r="JJ8" t="s">
        <v>1187</v>
      </c>
      <c r="KH8" s="46" t="s">
        <v>504</v>
      </c>
      <c r="MM8" t="s">
        <v>2380</v>
      </c>
      <c r="MN8" t="s">
        <v>1049</v>
      </c>
      <c r="MO8" t="s">
        <v>2405</v>
      </c>
      <c r="MQ8" t="s">
        <v>2376</v>
      </c>
      <c r="MY8" t="s">
        <v>2382</v>
      </c>
      <c r="MZ8" t="s">
        <v>2383</v>
      </c>
      <c r="NA8" t="s">
        <v>946</v>
      </c>
      <c r="NB8" t="s">
        <v>2384</v>
      </c>
      <c r="NK8" t="s">
        <v>518</v>
      </c>
      <c r="NM8" t="s">
        <v>2385</v>
      </c>
      <c r="NQ8">
        <v>2</v>
      </c>
      <c r="OB8" t="s">
        <v>1053</v>
      </c>
      <c r="OC8" s="78" t="s">
        <v>475</v>
      </c>
      <c r="OD8">
        <v>2003</v>
      </c>
      <c r="OI8" t="s">
        <v>522</v>
      </c>
      <c r="OJ8" s="50">
        <v>46105</v>
      </c>
    </row>
    <row r="9" spans="1:410" s="40" customFormat="1" ht="75.75" thickBot="1">
      <c r="A9" s="77" t="s">
        <v>0</v>
      </c>
      <c r="B9" s="40" t="s">
        <v>1</v>
      </c>
      <c r="C9" s="41" t="s">
        <v>2</v>
      </c>
      <c r="D9" s="41" t="s">
        <v>3</v>
      </c>
      <c r="E9" s="41" t="s">
        <v>4</v>
      </c>
      <c r="F9" s="41" t="s">
        <v>5</v>
      </c>
      <c r="G9" s="41" t="s">
        <v>6</v>
      </c>
      <c r="H9" s="41" t="s">
        <v>7</v>
      </c>
      <c r="I9" s="41" t="s">
        <v>8</v>
      </c>
      <c r="J9" s="41" t="s">
        <v>9</v>
      </c>
      <c r="K9" s="41" t="s">
        <v>10</v>
      </c>
      <c r="L9" s="41" t="s">
        <v>11</v>
      </c>
      <c r="M9" s="41" t="s">
        <v>12</v>
      </c>
      <c r="N9" s="41" t="s">
        <v>13</v>
      </c>
      <c r="O9" s="41" t="s">
        <v>14</v>
      </c>
      <c r="P9" s="41" t="s">
        <v>15</v>
      </c>
      <c r="Q9" s="41" t="s">
        <v>16</v>
      </c>
      <c r="R9" s="41" t="s">
        <v>17</v>
      </c>
      <c r="S9" s="41" t="s">
        <v>18</v>
      </c>
      <c r="T9" s="41" t="s">
        <v>19</v>
      </c>
      <c r="U9" s="41" t="s">
        <v>20</v>
      </c>
      <c r="V9" s="41" t="s">
        <v>21</v>
      </c>
      <c r="W9" s="41" t="s">
        <v>22</v>
      </c>
      <c r="X9" s="41" t="s">
        <v>23</v>
      </c>
      <c r="Y9" s="41" t="s">
        <v>24</v>
      </c>
      <c r="Z9" s="41" t="s">
        <v>25</v>
      </c>
      <c r="AA9" s="41" t="s">
        <v>26</v>
      </c>
      <c r="AB9" s="41" t="s">
        <v>27</v>
      </c>
      <c r="AC9" s="41" t="s">
        <v>28</v>
      </c>
      <c r="AD9" s="41" t="s">
        <v>29</v>
      </c>
      <c r="AE9" s="41" t="s">
        <v>30</v>
      </c>
      <c r="AF9" s="41" t="s">
        <v>31</v>
      </c>
      <c r="AG9" s="41" t="s">
        <v>32</v>
      </c>
      <c r="AH9" s="41" t="s">
        <v>33</v>
      </c>
      <c r="AI9" s="41" t="s">
        <v>34</v>
      </c>
      <c r="AJ9" s="41" t="s">
        <v>35</v>
      </c>
      <c r="AK9" s="41" t="s">
        <v>36</v>
      </c>
      <c r="AL9" s="41" t="s">
        <v>37</v>
      </c>
      <c r="AM9" s="41" t="s">
        <v>38</v>
      </c>
      <c r="AN9" s="41" t="s">
        <v>39</v>
      </c>
      <c r="AO9" s="41" t="s">
        <v>40</v>
      </c>
      <c r="AP9" s="41" t="s">
        <v>41</v>
      </c>
      <c r="AQ9" s="41" t="s">
        <v>42</v>
      </c>
      <c r="AR9" s="41" t="s">
        <v>43</v>
      </c>
      <c r="AS9" s="41" t="s">
        <v>44</v>
      </c>
      <c r="AT9" s="41" t="s">
        <v>45</v>
      </c>
      <c r="AU9" s="41" t="s">
        <v>46</v>
      </c>
      <c r="AV9" s="42" t="s">
        <v>47</v>
      </c>
      <c r="AW9" s="42" t="s">
        <v>48</v>
      </c>
      <c r="AX9" s="42" t="s">
        <v>49</v>
      </c>
      <c r="AY9" s="42" t="s">
        <v>50</v>
      </c>
      <c r="AZ9" s="35" t="s">
        <v>51</v>
      </c>
      <c r="BA9" s="35" t="s">
        <v>52</v>
      </c>
      <c r="BB9" s="35" t="s">
        <v>53</v>
      </c>
      <c r="BC9" s="35" t="s">
        <v>54</v>
      </c>
      <c r="BD9" s="34" t="s">
        <v>2348</v>
      </c>
      <c r="BE9" s="34" t="s">
        <v>55</v>
      </c>
      <c r="BF9" s="34" t="s">
        <v>56</v>
      </c>
      <c r="BG9" s="36" t="s">
        <v>57</v>
      </c>
      <c r="BH9" s="1" t="s">
        <v>58</v>
      </c>
      <c r="BI9" s="1" t="s">
        <v>59</v>
      </c>
      <c r="BJ9" s="1" t="s">
        <v>60</v>
      </c>
      <c r="BK9" s="1" t="s">
        <v>61</v>
      </c>
      <c r="BL9" s="1" t="s">
        <v>62</v>
      </c>
      <c r="BM9" s="1" t="s">
        <v>63</v>
      </c>
      <c r="BN9" s="1" t="s">
        <v>64</v>
      </c>
      <c r="BO9" s="1" t="s">
        <v>65</v>
      </c>
      <c r="BP9" s="1" t="s">
        <v>66</v>
      </c>
      <c r="BQ9" s="1" t="s">
        <v>67</v>
      </c>
      <c r="BR9" s="1" t="s">
        <v>68</v>
      </c>
      <c r="BS9" s="1" t="s">
        <v>69</v>
      </c>
      <c r="BT9" s="1" t="s">
        <v>70</v>
      </c>
      <c r="BU9" s="1" t="s">
        <v>71</v>
      </c>
      <c r="BV9" s="1" t="s">
        <v>72</v>
      </c>
      <c r="BW9" s="1" t="s">
        <v>73</v>
      </c>
      <c r="BX9" s="1" t="s">
        <v>74</v>
      </c>
      <c r="BY9" s="1" t="s">
        <v>75</v>
      </c>
      <c r="BZ9" s="1" t="s">
        <v>76</v>
      </c>
      <c r="CA9" s="1" t="s">
        <v>77</v>
      </c>
      <c r="CB9" s="1" t="s">
        <v>78</v>
      </c>
      <c r="CC9" s="1" t="s">
        <v>79</v>
      </c>
      <c r="CD9" s="1" t="s">
        <v>80</v>
      </c>
      <c r="CE9" s="1" t="s">
        <v>81</v>
      </c>
      <c r="CF9" s="1" t="s">
        <v>82</v>
      </c>
      <c r="CG9" s="1" t="s">
        <v>83</v>
      </c>
      <c r="CH9" s="1" t="s">
        <v>84</v>
      </c>
      <c r="CI9" s="1" t="s">
        <v>85</v>
      </c>
      <c r="CJ9" s="1" t="s">
        <v>86</v>
      </c>
      <c r="CK9" s="1" t="s">
        <v>87</v>
      </c>
      <c r="CL9" s="1" t="s">
        <v>88</v>
      </c>
      <c r="CM9" s="1" t="s">
        <v>89</v>
      </c>
      <c r="CN9" s="1" t="s">
        <v>90</v>
      </c>
      <c r="CO9" s="1" t="s">
        <v>91</v>
      </c>
      <c r="CP9" s="1" t="s">
        <v>92</v>
      </c>
      <c r="CQ9" s="1" t="s">
        <v>93</v>
      </c>
      <c r="CR9" s="1" t="s">
        <v>94</v>
      </c>
      <c r="CS9" s="1" t="s">
        <v>95</v>
      </c>
      <c r="CT9" s="1" t="s">
        <v>96</v>
      </c>
      <c r="CU9" s="1" t="s">
        <v>97</v>
      </c>
      <c r="CV9" s="1" t="s">
        <v>98</v>
      </c>
      <c r="CW9" s="1" t="s">
        <v>99</v>
      </c>
      <c r="CX9" s="1" t="s">
        <v>100</v>
      </c>
      <c r="CY9" s="1" t="s">
        <v>101</v>
      </c>
      <c r="CZ9" s="1" t="s">
        <v>102</v>
      </c>
      <c r="DA9" s="1" t="s">
        <v>103</v>
      </c>
      <c r="DB9" s="1" t="s">
        <v>104</v>
      </c>
      <c r="DC9" s="1" t="s">
        <v>105</v>
      </c>
      <c r="DD9" s="1" t="s">
        <v>106</v>
      </c>
      <c r="DE9" s="1" t="s">
        <v>107</v>
      </c>
      <c r="DF9" s="1" t="s">
        <v>108</v>
      </c>
      <c r="DG9" s="1" t="s">
        <v>109</v>
      </c>
      <c r="DH9" s="1" t="s">
        <v>110</v>
      </c>
      <c r="DI9" s="1" t="s">
        <v>111</v>
      </c>
      <c r="DJ9" s="1" t="s">
        <v>112</v>
      </c>
      <c r="DK9" s="1" t="s">
        <v>113</v>
      </c>
      <c r="DL9" s="1" t="s">
        <v>114</v>
      </c>
      <c r="DM9" s="1" t="s">
        <v>115</v>
      </c>
      <c r="DN9" s="1" t="s">
        <v>116</v>
      </c>
      <c r="DO9" s="1" t="s">
        <v>117</v>
      </c>
      <c r="DP9" s="1" t="s">
        <v>118</v>
      </c>
      <c r="DQ9" s="1" t="s">
        <v>119</v>
      </c>
      <c r="DR9" s="1" t="s">
        <v>120</v>
      </c>
      <c r="DS9" s="1" t="s">
        <v>121</v>
      </c>
      <c r="DT9" s="1" t="s">
        <v>122</v>
      </c>
      <c r="DU9" s="1" t="s">
        <v>123</v>
      </c>
      <c r="DV9" s="1" t="s">
        <v>124</v>
      </c>
      <c r="DW9" s="1" t="s">
        <v>125</v>
      </c>
      <c r="DX9" s="1" t="s">
        <v>126</v>
      </c>
      <c r="DY9" s="1" t="s">
        <v>127</v>
      </c>
      <c r="DZ9" s="1" t="s">
        <v>128</v>
      </c>
      <c r="EA9" s="1" t="s">
        <v>129</v>
      </c>
      <c r="EB9" s="1" t="s">
        <v>130</v>
      </c>
      <c r="EC9" s="1" t="s">
        <v>131</v>
      </c>
      <c r="ED9" s="1" t="s">
        <v>132</v>
      </c>
      <c r="EE9" s="34" t="s">
        <v>133</v>
      </c>
      <c r="EF9" s="34" t="s">
        <v>134</v>
      </c>
      <c r="EG9" s="34" t="s">
        <v>135</v>
      </c>
      <c r="EH9" s="34" t="s">
        <v>136</v>
      </c>
      <c r="EI9" s="34" t="s">
        <v>137</v>
      </c>
      <c r="EJ9" s="34" t="s">
        <v>138</v>
      </c>
      <c r="EK9" s="34" t="s">
        <v>139</v>
      </c>
      <c r="EL9" s="34" t="s">
        <v>140</v>
      </c>
      <c r="EM9" s="34" t="s">
        <v>141</v>
      </c>
      <c r="EN9" s="34" t="s">
        <v>142</v>
      </c>
      <c r="EO9" s="34" t="s">
        <v>143</v>
      </c>
      <c r="EP9" s="34" t="s">
        <v>144</v>
      </c>
      <c r="EQ9" s="34" t="s">
        <v>145</v>
      </c>
      <c r="ER9" s="34" t="s">
        <v>146</v>
      </c>
      <c r="ES9" s="34" t="s">
        <v>147</v>
      </c>
      <c r="ET9" s="34" t="s">
        <v>148</v>
      </c>
      <c r="EU9" s="34" t="s">
        <v>149</v>
      </c>
      <c r="EV9" s="34" t="s">
        <v>150</v>
      </c>
      <c r="EW9" s="34" t="s">
        <v>151</v>
      </c>
      <c r="EX9" s="34" t="s">
        <v>152</v>
      </c>
      <c r="EY9" s="34" t="s">
        <v>153</v>
      </c>
      <c r="EZ9" s="34" t="s">
        <v>154</v>
      </c>
      <c r="FA9" s="34" t="s">
        <v>155</v>
      </c>
      <c r="FB9" s="34" t="s">
        <v>156</v>
      </c>
      <c r="FC9" s="34" t="s">
        <v>157</v>
      </c>
      <c r="FD9" s="34" t="s">
        <v>158</v>
      </c>
      <c r="FE9" s="34" t="s">
        <v>159</v>
      </c>
      <c r="FF9" s="34" t="s">
        <v>160</v>
      </c>
      <c r="FG9" s="34" t="s">
        <v>161</v>
      </c>
      <c r="FH9" s="34" t="s">
        <v>162</v>
      </c>
      <c r="FI9" s="34" t="s">
        <v>163</v>
      </c>
      <c r="FJ9" s="34" t="s">
        <v>164</v>
      </c>
      <c r="FK9" s="34" t="s">
        <v>165</v>
      </c>
      <c r="FL9" s="34" t="s">
        <v>166</v>
      </c>
      <c r="FM9" s="34" t="s">
        <v>167</v>
      </c>
      <c r="FN9" s="34" t="s">
        <v>168</v>
      </c>
      <c r="FO9" s="34" t="s">
        <v>169</v>
      </c>
      <c r="FP9" s="34" t="s">
        <v>170</v>
      </c>
      <c r="FQ9" s="34" t="s">
        <v>171</v>
      </c>
      <c r="FR9" s="34" t="s">
        <v>172</v>
      </c>
      <c r="FS9" s="34" t="s">
        <v>173</v>
      </c>
      <c r="FT9" s="34" t="s">
        <v>174</v>
      </c>
      <c r="FU9" s="34" t="s">
        <v>175</v>
      </c>
      <c r="FV9" s="34" t="s">
        <v>176</v>
      </c>
      <c r="FW9" s="34" t="s">
        <v>177</v>
      </c>
      <c r="FX9" s="34" t="s">
        <v>178</v>
      </c>
      <c r="FY9" s="34" t="s">
        <v>179</v>
      </c>
      <c r="FZ9" s="34" t="s">
        <v>180</v>
      </c>
      <c r="GA9" s="34" t="s">
        <v>181</v>
      </c>
      <c r="GB9" s="34" t="s">
        <v>182</v>
      </c>
      <c r="GC9" s="34" t="s">
        <v>183</v>
      </c>
      <c r="GD9" s="34" t="s">
        <v>184</v>
      </c>
      <c r="GE9" s="34" t="s">
        <v>185</v>
      </c>
      <c r="GF9" s="34" t="s">
        <v>186</v>
      </c>
      <c r="GG9" s="34" t="s">
        <v>187</v>
      </c>
      <c r="GH9" s="34" t="s">
        <v>188</v>
      </c>
      <c r="GI9" s="34" t="s">
        <v>189</v>
      </c>
      <c r="GJ9" s="34" t="s">
        <v>190</v>
      </c>
      <c r="GK9" s="34" t="s">
        <v>191</v>
      </c>
      <c r="GL9" s="34" t="s">
        <v>192</v>
      </c>
      <c r="GM9" s="34" t="s">
        <v>193</v>
      </c>
      <c r="GN9" s="34" t="s">
        <v>194</v>
      </c>
      <c r="GO9" s="34" t="s">
        <v>195</v>
      </c>
      <c r="GP9" s="34" t="s">
        <v>196</v>
      </c>
      <c r="GQ9" s="34" t="s">
        <v>197</v>
      </c>
      <c r="GR9" s="34" t="s">
        <v>198</v>
      </c>
      <c r="GS9" s="34" t="s">
        <v>199</v>
      </c>
      <c r="GT9" s="34" t="s">
        <v>200</v>
      </c>
      <c r="GU9" s="34" t="s">
        <v>201</v>
      </c>
      <c r="GV9" s="34" t="s">
        <v>202</v>
      </c>
      <c r="GW9" s="34" t="s">
        <v>203</v>
      </c>
      <c r="GX9" s="34" t="s">
        <v>204</v>
      </c>
      <c r="GY9" s="34" t="s">
        <v>205</v>
      </c>
      <c r="GZ9" s="34" t="s">
        <v>206</v>
      </c>
      <c r="HA9" s="34" t="s">
        <v>207</v>
      </c>
      <c r="HB9" s="34" t="s">
        <v>208</v>
      </c>
      <c r="HC9" s="34" t="s">
        <v>209</v>
      </c>
      <c r="HD9" s="34" t="s">
        <v>210</v>
      </c>
      <c r="HE9" s="34" t="s">
        <v>211</v>
      </c>
      <c r="HF9" s="34" t="s">
        <v>212</v>
      </c>
      <c r="HG9" s="34" t="s">
        <v>213</v>
      </c>
      <c r="HH9" s="34" t="s">
        <v>214</v>
      </c>
      <c r="HI9" s="34" t="s">
        <v>215</v>
      </c>
      <c r="HJ9" s="34" t="s">
        <v>216</v>
      </c>
      <c r="HK9" s="34" t="s">
        <v>217</v>
      </c>
      <c r="HL9" s="26" t="s">
        <v>218</v>
      </c>
      <c r="HM9" s="26" t="s">
        <v>219</v>
      </c>
      <c r="HN9" s="26" t="s">
        <v>220</v>
      </c>
      <c r="HO9" s="26" t="s">
        <v>221</v>
      </c>
      <c r="HP9" s="26" t="s">
        <v>222</v>
      </c>
      <c r="HQ9" s="26" t="s">
        <v>223</v>
      </c>
      <c r="HR9" s="34" t="s">
        <v>224</v>
      </c>
      <c r="HS9" s="34" t="s">
        <v>225</v>
      </c>
      <c r="HT9" s="34" t="s">
        <v>226</v>
      </c>
      <c r="HU9" s="34" t="s">
        <v>227</v>
      </c>
      <c r="HV9" s="34" t="s">
        <v>228</v>
      </c>
      <c r="HW9" s="34" t="s">
        <v>229</v>
      </c>
      <c r="HX9" s="34" t="s">
        <v>231</v>
      </c>
      <c r="HY9" s="34" t="s">
        <v>232</v>
      </c>
      <c r="HZ9" s="34" t="s">
        <v>233</v>
      </c>
      <c r="IA9" s="34" t="s">
        <v>234</v>
      </c>
      <c r="IB9" s="16" t="s">
        <v>235</v>
      </c>
      <c r="IC9" s="16" t="s">
        <v>237</v>
      </c>
      <c r="ID9" s="16" t="s">
        <v>238</v>
      </c>
      <c r="IE9" s="16" t="s">
        <v>239</v>
      </c>
      <c r="IF9" s="34" t="s">
        <v>241</v>
      </c>
      <c r="IG9" s="34" t="s">
        <v>242</v>
      </c>
      <c r="IH9" s="34" t="s">
        <v>243</v>
      </c>
      <c r="II9" s="34" t="s">
        <v>244</v>
      </c>
      <c r="IJ9" s="34" t="s">
        <v>245</v>
      </c>
      <c r="IK9" s="34" t="s">
        <v>246</v>
      </c>
      <c r="IL9" s="34" t="s">
        <v>247</v>
      </c>
      <c r="IM9" s="34" t="s">
        <v>248</v>
      </c>
      <c r="IN9" s="34" t="s">
        <v>249</v>
      </c>
      <c r="IO9" s="34" t="s">
        <v>250</v>
      </c>
      <c r="IP9" s="34" t="s">
        <v>251</v>
      </c>
      <c r="IQ9" s="34" t="s">
        <v>252</v>
      </c>
      <c r="IR9" s="34" t="s">
        <v>253</v>
      </c>
      <c r="IS9" s="34" t="s">
        <v>254</v>
      </c>
      <c r="IT9" s="42" t="s">
        <v>255</v>
      </c>
      <c r="IU9" s="42" t="s">
        <v>256</v>
      </c>
      <c r="IV9" s="42" t="s">
        <v>257</v>
      </c>
      <c r="IW9" s="42" t="s">
        <v>258</v>
      </c>
      <c r="IX9" s="42" t="s">
        <v>259</v>
      </c>
      <c r="IY9" s="42" t="s">
        <v>260</v>
      </c>
      <c r="IZ9" s="42" t="s">
        <v>261</v>
      </c>
      <c r="JA9" s="42" t="s">
        <v>262</v>
      </c>
      <c r="JB9" s="42" t="s">
        <v>263</v>
      </c>
      <c r="JC9" s="42" t="s">
        <v>264</v>
      </c>
      <c r="JD9" s="42" t="s">
        <v>265</v>
      </c>
      <c r="JE9" s="42" t="s">
        <v>266</v>
      </c>
      <c r="JF9" s="42" t="s">
        <v>267</v>
      </c>
      <c r="JG9" s="42" t="s">
        <v>268</v>
      </c>
      <c r="JH9" s="36" t="s">
        <v>269</v>
      </c>
      <c r="JI9" s="36" t="s">
        <v>270</v>
      </c>
      <c r="JJ9" s="36" t="s">
        <v>271</v>
      </c>
      <c r="JK9" s="34" t="s">
        <v>272</v>
      </c>
      <c r="JL9" s="34" t="s">
        <v>273</v>
      </c>
      <c r="JM9" s="34" t="s">
        <v>274</v>
      </c>
      <c r="JN9" s="34" t="s">
        <v>275</v>
      </c>
      <c r="JO9" s="34" t="s">
        <v>276</v>
      </c>
      <c r="JP9" s="34" t="s">
        <v>277</v>
      </c>
      <c r="JQ9" s="34" t="s">
        <v>278</v>
      </c>
      <c r="JR9" s="34" t="s">
        <v>279</v>
      </c>
      <c r="JS9" s="34" t="s">
        <v>280</v>
      </c>
      <c r="JT9" s="34" t="s">
        <v>281</v>
      </c>
      <c r="JU9" s="34" t="s">
        <v>282</v>
      </c>
      <c r="JV9" s="34" t="s">
        <v>283</v>
      </c>
      <c r="JW9" s="34" t="s">
        <v>284</v>
      </c>
      <c r="JX9" s="34" t="s">
        <v>285</v>
      </c>
      <c r="JY9" s="34" t="s">
        <v>286</v>
      </c>
      <c r="JZ9" s="34" t="s">
        <v>287</v>
      </c>
      <c r="KA9" s="34" t="s">
        <v>288</v>
      </c>
      <c r="KB9" s="34" t="s">
        <v>289</v>
      </c>
      <c r="KC9" s="34" t="s">
        <v>290</v>
      </c>
      <c r="KD9" s="34" t="s">
        <v>291</v>
      </c>
      <c r="KE9" s="34" t="s">
        <v>292</v>
      </c>
      <c r="KF9" s="34" t="s">
        <v>293</v>
      </c>
      <c r="KG9" s="34" t="s">
        <v>294</v>
      </c>
      <c r="KH9" s="34" t="s">
        <v>295</v>
      </c>
      <c r="KI9" s="34" t="s">
        <v>296</v>
      </c>
      <c r="KJ9" s="34" t="s">
        <v>297</v>
      </c>
      <c r="KK9" s="34" t="s">
        <v>298</v>
      </c>
      <c r="KL9" s="34" t="s">
        <v>299</v>
      </c>
      <c r="KM9" s="34" t="s">
        <v>300</v>
      </c>
      <c r="KN9" s="34" t="s">
        <v>301</v>
      </c>
      <c r="KO9" s="34" t="s">
        <v>302</v>
      </c>
      <c r="KP9" s="34" t="s">
        <v>303</v>
      </c>
      <c r="KQ9" s="34" t="s">
        <v>304</v>
      </c>
      <c r="KR9" s="34" t="s">
        <v>305</v>
      </c>
      <c r="KS9" s="34" t="s">
        <v>306</v>
      </c>
      <c r="KT9" s="34" t="s">
        <v>307</v>
      </c>
      <c r="KU9" s="34" t="s">
        <v>308</v>
      </c>
      <c r="KV9" s="34" t="s">
        <v>309</v>
      </c>
      <c r="KW9" s="34" t="s">
        <v>310</v>
      </c>
      <c r="KX9" s="34" t="s">
        <v>311</v>
      </c>
      <c r="KY9" s="34" t="s">
        <v>2351</v>
      </c>
      <c r="KZ9" s="34" t="s">
        <v>315</v>
      </c>
      <c r="LA9" s="34" t="s">
        <v>317</v>
      </c>
      <c r="LB9" s="34" t="s">
        <v>319</v>
      </c>
      <c r="LC9" s="34" t="s">
        <v>320</v>
      </c>
      <c r="LD9" s="34" t="s">
        <v>321</v>
      </c>
      <c r="LE9" s="34" t="s">
        <v>322</v>
      </c>
      <c r="LF9" s="34" t="s">
        <v>323</v>
      </c>
      <c r="LG9" s="34" t="s">
        <v>324</v>
      </c>
      <c r="LH9" s="34" t="s">
        <v>325</v>
      </c>
      <c r="LI9" s="34" t="s">
        <v>326</v>
      </c>
      <c r="LJ9" s="34" t="s">
        <v>327</v>
      </c>
      <c r="LK9" s="34" t="s">
        <v>328</v>
      </c>
      <c r="LL9" s="34" t="s">
        <v>329</v>
      </c>
      <c r="LM9" s="34" t="s">
        <v>330</v>
      </c>
      <c r="LN9" s="34" t="s">
        <v>331</v>
      </c>
      <c r="LO9" s="34" t="s">
        <v>332</v>
      </c>
      <c r="LP9" s="36" t="s">
        <v>334</v>
      </c>
      <c r="LQ9" s="36" t="s">
        <v>335</v>
      </c>
      <c r="LR9" s="36" t="s">
        <v>336</v>
      </c>
      <c r="LS9" s="36" t="s">
        <v>337</v>
      </c>
      <c r="LT9" s="36" t="s">
        <v>338</v>
      </c>
      <c r="LU9" s="36" t="s">
        <v>339</v>
      </c>
      <c r="LV9" s="36" t="s">
        <v>340</v>
      </c>
      <c r="LW9" s="36" t="s">
        <v>341</v>
      </c>
      <c r="LX9" s="36" t="s">
        <v>342</v>
      </c>
      <c r="LY9" s="36" t="s">
        <v>343</v>
      </c>
      <c r="LZ9" s="107" t="s">
        <v>344</v>
      </c>
      <c r="MA9" s="107" t="s">
        <v>345</v>
      </c>
      <c r="MB9" s="107" t="s">
        <v>346</v>
      </c>
      <c r="MC9" s="107" t="s">
        <v>347</v>
      </c>
      <c r="MD9" s="107" t="s">
        <v>348</v>
      </c>
      <c r="ME9" s="108" t="s">
        <v>349</v>
      </c>
      <c r="MF9" s="108" t="s">
        <v>350</v>
      </c>
      <c r="MG9" s="108" t="s">
        <v>351</v>
      </c>
      <c r="MH9" s="108" t="s">
        <v>352</v>
      </c>
      <c r="MI9" s="108" t="s">
        <v>353</v>
      </c>
      <c r="MJ9" s="108" t="s">
        <v>354</v>
      </c>
      <c r="MK9" s="108" t="s">
        <v>355</v>
      </c>
      <c r="ML9" s="108" t="s">
        <v>356</v>
      </c>
      <c r="MM9" s="96" t="s">
        <v>357</v>
      </c>
      <c r="MN9" s="96" t="s">
        <v>358</v>
      </c>
      <c r="MO9" s="96" t="s">
        <v>359</v>
      </c>
      <c r="MP9" s="96" t="s">
        <v>360</v>
      </c>
      <c r="MQ9" s="96" t="s">
        <v>361</v>
      </c>
      <c r="MR9" s="34" t="s">
        <v>362</v>
      </c>
      <c r="MS9" s="35" t="s">
        <v>363</v>
      </c>
      <c r="MT9" s="43" t="s">
        <v>364</v>
      </c>
      <c r="MU9" s="43" t="s">
        <v>2352</v>
      </c>
      <c r="MV9" s="43" t="s">
        <v>2353</v>
      </c>
      <c r="MW9" s="43" t="s">
        <v>2354</v>
      </c>
      <c r="MX9" s="43" t="s">
        <v>2355</v>
      </c>
      <c r="MY9" s="43" t="s">
        <v>2356</v>
      </c>
      <c r="MZ9" s="43" t="s">
        <v>2357</v>
      </c>
      <c r="NA9" s="43" t="s">
        <v>370</v>
      </c>
      <c r="NB9" s="43" t="s">
        <v>371</v>
      </c>
      <c r="NC9" s="34" t="s">
        <v>372</v>
      </c>
      <c r="ND9" s="34" t="s">
        <v>373</v>
      </c>
      <c r="NE9" s="34" t="s">
        <v>374</v>
      </c>
      <c r="NF9" s="34" t="s">
        <v>375</v>
      </c>
      <c r="NG9" s="34" t="s">
        <v>376</v>
      </c>
      <c r="NH9" s="34" t="s">
        <v>377</v>
      </c>
      <c r="NI9" s="34" t="s">
        <v>378</v>
      </c>
      <c r="NJ9" s="34" t="s">
        <v>379</v>
      </c>
      <c r="NK9" s="34" t="s">
        <v>380</v>
      </c>
      <c r="NL9" s="34" t="s">
        <v>381</v>
      </c>
      <c r="NM9" s="34" t="s">
        <v>382</v>
      </c>
      <c r="NN9" s="34" t="s">
        <v>383</v>
      </c>
      <c r="NO9" s="34" t="s">
        <v>384</v>
      </c>
      <c r="NP9" s="34" t="s">
        <v>385</v>
      </c>
      <c r="NQ9" s="34" t="s">
        <v>386</v>
      </c>
      <c r="NR9" s="34" t="s">
        <v>387</v>
      </c>
      <c r="NS9" s="34" t="s">
        <v>388</v>
      </c>
      <c r="NT9" s="34" t="s">
        <v>389</v>
      </c>
      <c r="NU9" s="34" t="s">
        <v>390</v>
      </c>
      <c r="NV9" s="34" t="s">
        <v>391</v>
      </c>
      <c r="NW9" s="34" t="s">
        <v>2358</v>
      </c>
      <c r="NX9" s="34" t="s">
        <v>2359</v>
      </c>
      <c r="NY9" s="34" t="s">
        <v>2360</v>
      </c>
      <c r="NZ9" s="34" t="s">
        <v>2361</v>
      </c>
      <c r="OA9" s="34" t="s">
        <v>2362</v>
      </c>
      <c r="OB9" s="34" t="s">
        <v>2363</v>
      </c>
      <c r="OC9" s="34" t="s">
        <v>2364</v>
      </c>
      <c r="OD9" s="34" t="s">
        <v>2365</v>
      </c>
      <c r="OE9" s="34" t="s">
        <v>2366</v>
      </c>
      <c r="OF9" s="34" t="s">
        <v>2367</v>
      </c>
      <c r="OG9" s="34" t="s">
        <v>410</v>
      </c>
      <c r="OH9" s="34" t="s">
        <v>411</v>
      </c>
      <c r="OI9" s="34" t="s">
        <v>412</v>
      </c>
      <c r="OJ9" s="34" t="s">
        <v>413</v>
      </c>
      <c r="OK9" s="34" t="s">
        <v>414</v>
      </c>
      <c r="OL9" s="34" t="s">
        <v>415</v>
      </c>
      <c r="OM9" s="34" t="s">
        <v>416</v>
      </c>
      <c r="ON9" s="71" t="s">
        <v>417</v>
      </c>
      <c r="OO9" s="71" t="s">
        <v>418</v>
      </c>
      <c r="OP9" s="72" t="s">
        <v>419</v>
      </c>
      <c r="OQ9" s="72" t="s">
        <v>420</v>
      </c>
      <c r="OR9" s="72" t="s">
        <v>421</v>
      </c>
      <c r="OS9" s="72" t="s">
        <v>422</v>
      </c>
      <c r="OT9" s="70" t="s">
        <v>423</v>
      </c>
    </row>
    <row r="10" spans="1:410" ht="15.75" thickBot="1">
      <c r="A10" t="s">
        <v>469</v>
      </c>
      <c r="B10" t="s">
        <v>2406</v>
      </c>
      <c r="C10" t="s">
        <v>667</v>
      </c>
      <c r="D10" s="89" t="s">
        <v>1179</v>
      </c>
      <c r="E10" s="81" t="s">
        <v>2407</v>
      </c>
      <c r="F10" s="89" t="s">
        <v>1179</v>
      </c>
      <c r="G10" s="78" t="s">
        <v>475</v>
      </c>
      <c r="H10" s="78" t="s">
        <v>476</v>
      </c>
      <c r="I10">
        <v>-0.41666666699999999</v>
      </c>
      <c r="J10">
        <v>34.200000000000003</v>
      </c>
      <c r="K10" s="78" t="s">
        <v>480</v>
      </c>
      <c r="AV10" t="s">
        <v>2408</v>
      </c>
      <c r="AW10">
        <v>36</v>
      </c>
      <c r="AX10" t="s">
        <v>866</v>
      </c>
      <c r="AY10">
        <v>1</v>
      </c>
      <c r="AZ10" t="s">
        <v>2409</v>
      </c>
      <c r="BA10">
        <v>2007</v>
      </c>
      <c r="BB10">
        <v>2008</v>
      </c>
      <c r="BD10" t="s">
        <v>492</v>
      </c>
      <c r="BE10" t="s">
        <v>2410</v>
      </c>
      <c r="BF10" t="s">
        <v>524</v>
      </c>
      <c r="BH10" t="s">
        <v>485</v>
      </c>
      <c r="BI10" t="s">
        <v>2411</v>
      </c>
      <c r="BJ10" s="78" t="s">
        <v>486</v>
      </c>
      <c r="BK10">
        <v>44444</v>
      </c>
      <c r="IF10" t="s">
        <v>2410</v>
      </c>
      <c r="IG10" t="s">
        <v>492</v>
      </c>
      <c r="JH10" t="s">
        <v>2412</v>
      </c>
      <c r="JI10" t="s">
        <v>494</v>
      </c>
      <c r="JJ10" t="s">
        <v>495</v>
      </c>
      <c r="JK10" s="8" t="s">
        <v>1466</v>
      </c>
      <c r="JN10" t="s">
        <v>508</v>
      </c>
      <c r="JO10">
        <v>40</v>
      </c>
      <c r="JP10">
        <v>50</v>
      </c>
      <c r="KD10" t="s">
        <v>500</v>
      </c>
      <c r="MR10" t="s">
        <v>2413</v>
      </c>
      <c r="MS10">
        <v>36</v>
      </c>
      <c r="MT10" t="s">
        <v>2414</v>
      </c>
      <c r="MV10" t="s">
        <v>548</v>
      </c>
      <c r="NC10" t="s">
        <v>2415</v>
      </c>
      <c r="ND10" t="s">
        <v>2416</v>
      </c>
      <c r="NE10" t="s">
        <v>2417</v>
      </c>
      <c r="NF10" s="4" t="s">
        <v>515</v>
      </c>
      <c r="NG10" t="s">
        <v>516</v>
      </c>
      <c r="NO10" s="69" t="s">
        <v>517</v>
      </c>
      <c r="NP10" t="s">
        <v>518</v>
      </c>
      <c r="NQ10">
        <v>-126.7</v>
      </c>
      <c r="NR10" s="4" t="s">
        <v>520</v>
      </c>
      <c r="NS10">
        <v>19</v>
      </c>
      <c r="NV10">
        <v>4</v>
      </c>
      <c r="OG10" t="s">
        <v>2418</v>
      </c>
      <c r="OH10" s="78" t="s">
        <v>475</v>
      </c>
      <c r="OI10">
        <v>2007</v>
      </c>
      <c r="OL10" t="s">
        <v>2419</v>
      </c>
      <c r="ON10" t="s">
        <v>522</v>
      </c>
      <c r="OO10" s="50">
        <v>46105</v>
      </c>
    </row>
    <row r="11" spans="1:410" ht="15.75" thickBot="1">
      <c r="A11" t="s">
        <v>469</v>
      </c>
      <c r="B11" t="s">
        <v>2406</v>
      </c>
      <c r="C11" t="s">
        <v>667</v>
      </c>
      <c r="D11" s="89" t="s">
        <v>1179</v>
      </c>
      <c r="E11" s="81" t="s">
        <v>2407</v>
      </c>
      <c r="F11" s="89" t="s">
        <v>1179</v>
      </c>
      <c r="G11" s="78" t="s">
        <v>475</v>
      </c>
      <c r="H11" s="78" t="s">
        <v>476</v>
      </c>
      <c r="I11">
        <v>-0.41666666699999999</v>
      </c>
      <c r="J11">
        <v>34.200000000000003</v>
      </c>
      <c r="K11" s="78" t="s">
        <v>480</v>
      </c>
      <c r="AV11" t="s">
        <v>2408</v>
      </c>
      <c r="AW11">
        <v>37</v>
      </c>
      <c r="AX11" t="s">
        <v>866</v>
      </c>
      <c r="AY11">
        <v>1</v>
      </c>
      <c r="AZ11" t="s">
        <v>2409</v>
      </c>
      <c r="BA11">
        <v>2007</v>
      </c>
      <c r="BB11">
        <v>2008</v>
      </c>
      <c r="BD11" t="s">
        <v>998</v>
      </c>
      <c r="BE11" t="s">
        <v>2420</v>
      </c>
      <c r="BF11" t="s">
        <v>536</v>
      </c>
      <c r="BH11" t="s">
        <v>485</v>
      </c>
      <c r="BI11" t="s">
        <v>2411</v>
      </c>
      <c r="BJ11" s="78" t="s">
        <v>486</v>
      </c>
      <c r="BK11">
        <v>44444</v>
      </c>
      <c r="BL11" t="s">
        <v>537</v>
      </c>
      <c r="BM11" t="s">
        <v>1425</v>
      </c>
      <c r="BN11" t="s">
        <v>2421</v>
      </c>
      <c r="BO11" s="78" t="s">
        <v>486</v>
      </c>
      <c r="BP11">
        <v>44444</v>
      </c>
      <c r="IF11" t="s">
        <v>2420</v>
      </c>
      <c r="IG11" s="75" t="s">
        <v>1714</v>
      </c>
      <c r="IH11" t="s">
        <v>542</v>
      </c>
      <c r="II11" t="s">
        <v>543</v>
      </c>
      <c r="IJ11" t="s">
        <v>1049</v>
      </c>
      <c r="IK11" t="s">
        <v>1049</v>
      </c>
      <c r="IL11" s="78" t="s">
        <v>480</v>
      </c>
      <c r="JH11" t="s">
        <v>2412</v>
      </c>
      <c r="JI11" t="s">
        <v>494</v>
      </c>
      <c r="JJ11" t="s">
        <v>495</v>
      </c>
      <c r="JK11" s="8" t="s">
        <v>1466</v>
      </c>
      <c r="JN11" t="s">
        <v>508</v>
      </c>
      <c r="JO11">
        <v>40</v>
      </c>
      <c r="JP11">
        <v>50</v>
      </c>
      <c r="KD11" t="s">
        <v>500</v>
      </c>
      <c r="MR11" t="s">
        <v>2413</v>
      </c>
      <c r="MS11">
        <v>36</v>
      </c>
      <c r="MT11" t="s">
        <v>2422</v>
      </c>
      <c r="MV11" t="s">
        <v>548</v>
      </c>
      <c r="MW11" t="s">
        <v>1674</v>
      </c>
      <c r="NC11" t="s">
        <v>2423</v>
      </c>
      <c r="ND11" t="s">
        <v>2416</v>
      </c>
      <c r="NE11" t="s">
        <v>2417</v>
      </c>
      <c r="NF11" s="4" t="s">
        <v>515</v>
      </c>
      <c r="NG11" t="s">
        <v>516</v>
      </c>
      <c r="NO11" s="69"/>
      <c r="NP11" t="s">
        <v>518</v>
      </c>
      <c r="NQ11">
        <v>129.30000000000001</v>
      </c>
      <c r="NR11" s="4" t="s">
        <v>520</v>
      </c>
      <c r="NS11">
        <v>49</v>
      </c>
      <c r="NV11">
        <v>4</v>
      </c>
      <c r="OG11" t="s">
        <v>2418</v>
      </c>
      <c r="OH11" s="78" t="s">
        <v>475</v>
      </c>
      <c r="OI11">
        <v>2007</v>
      </c>
      <c r="OL11" t="s">
        <v>2419</v>
      </c>
      <c r="ON11" t="s">
        <v>522</v>
      </c>
      <c r="OO11" s="50">
        <v>46105</v>
      </c>
    </row>
    <row r="12" spans="1:410" ht="15.75" thickBot="1">
      <c r="A12" t="s">
        <v>469</v>
      </c>
      <c r="B12" t="s">
        <v>2406</v>
      </c>
      <c r="C12" t="s">
        <v>667</v>
      </c>
      <c r="D12" s="89" t="s">
        <v>1179</v>
      </c>
      <c r="E12" s="81" t="s">
        <v>2407</v>
      </c>
      <c r="F12" s="89" t="s">
        <v>1179</v>
      </c>
      <c r="G12" s="78" t="s">
        <v>475</v>
      </c>
      <c r="H12" s="78" t="s">
        <v>476</v>
      </c>
      <c r="I12">
        <v>-0.41666666699999999</v>
      </c>
      <c r="J12">
        <v>34.200000000000003</v>
      </c>
      <c r="K12" s="78" t="s">
        <v>480</v>
      </c>
      <c r="AV12" t="s">
        <v>2408</v>
      </c>
      <c r="AW12">
        <v>38</v>
      </c>
      <c r="AX12" t="s">
        <v>866</v>
      </c>
      <c r="AY12">
        <v>1</v>
      </c>
      <c r="AZ12" t="s">
        <v>2409</v>
      </c>
      <c r="BA12">
        <v>2007</v>
      </c>
      <c r="BB12">
        <v>2008</v>
      </c>
      <c r="BD12" t="s">
        <v>998</v>
      </c>
      <c r="BE12" t="s">
        <v>2424</v>
      </c>
      <c r="BF12" t="s">
        <v>566</v>
      </c>
      <c r="BH12" t="s">
        <v>485</v>
      </c>
      <c r="BI12" t="s">
        <v>2411</v>
      </c>
      <c r="BJ12" s="78" t="s">
        <v>486</v>
      </c>
      <c r="BK12">
        <v>44444</v>
      </c>
      <c r="BL12" t="s">
        <v>537</v>
      </c>
      <c r="BM12" t="s">
        <v>2425</v>
      </c>
      <c r="BN12" t="s">
        <v>866</v>
      </c>
      <c r="BO12" t="s">
        <v>866</v>
      </c>
      <c r="BP12" t="s">
        <v>866</v>
      </c>
      <c r="IF12" t="s">
        <v>2424</v>
      </c>
      <c r="IG12" s="75" t="s">
        <v>2426</v>
      </c>
      <c r="IH12" t="s">
        <v>542</v>
      </c>
      <c r="II12" t="s">
        <v>543</v>
      </c>
      <c r="IJ12" t="s">
        <v>1049</v>
      </c>
      <c r="IK12" t="s">
        <v>1049</v>
      </c>
      <c r="IL12" s="78" t="s">
        <v>480</v>
      </c>
      <c r="JH12" t="s">
        <v>2412</v>
      </c>
      <c r="JI12" t="s">
        <v>494</v>
      </c>
      <c r="JJ12" t="s">
        <v>495</v>
      </c>
      <c r="JK12" s="8" t="s">
        <v>1466</v>
      </c>
      <c r="JN12" t="s">
        <v>508</v>
      </c>
      <c r="JO12">
        <v>40</v>
      </c>
      <c r="JP12">
        <v>50</v>
      </c>
      <c r="KD12" t="s">
        <v>500</v>
      </c>
      <c r="MR12" t="s">
        <v>2413</v>
      </c>
      <c r="MS12">
        <v>36</v>
      </c>
      <c r="MT12" t="s">
        <v>2427</v>
      </c>
      <c r="MV12" t="s">
        <v>548</v>
      </c>
      <c r="MW12" t="s">
        <v>2428</v>
      </c>
      <c r="MX12" t="s">
        <v>2429</v>
      </c>
      <c r="NC12" t="s">
        <v>2423</v>
      </c>
      <c r="ND12" t="s">
        <v>2416</v>
      </c>
      <c r="NE12" t="s">
        <v>2417</v>
      </c>
      <c r="NF12" s="4" t="s">
        <v>515</v>
      </c>
      <c r="NG12" t="s">
        <v>516</v>
      </c>
      <c r="NO12" s="69"/>
      <c r="NP12" t="s">
        <v>518</v>
      </c>
      <c r="NQ12">
        <v>730.3</v>
      </c>
      <c r="NR12" s="4" t="s">
        <v>520</v>
      </c>
      <c r="NS12">
        <v>38</v>
      </c>
      <c r="NV12">
        <v>4</v>
      </c>
      <c r="OG12" t="s">
        <v>2418</v>
      </c>
      <c r="OH12" s="78" t="s">
        <v>475</v>
      </c>
      <c r="OI12">
        <v>2007</v>
      </c>
      <c r="OL12" t="s">
        <v>2419</v>
      </c>
      <c r="ON12" t="s">
        <v>522</v>
      </c>
      <c r="OO12" s="50">
        <v>46105</v>
      </c>
    </row>
    <row r="13" spans="1:410" ht="15.75" thickBot="1">
      <c r="A13" t="s">
        <v>469</v>
      </c>
      <c r="B13" t="s">
        <v>2406</v>
      </c>
      <c r="C13" t="s">
        <v>667</v>
      </c>
      <c r="D13" s="89" t="s">
        <v>1179</v>
      </c>
      <c r="E13" s="81" t="s">
        <v>2407</v>
      </c>
      <c r="F13" s="89" t="s">
        <v>1179</v>
      </c>
      <c r="G13" s="78" t="s">
        <v>475</v>
      </c>
      <c r="H13" s="78" t="s">
        <v>476</v>
      </c>
      <c r="I13">
        <v>-0.41666666699999999</v>
      </c>
      <c r="J13">
        <v>34.200000000000003</v>
      </c>
      <c r="K13" s="78" t="s">
        <v>480</v>
      </c>
      <c r="AV13" t="s">
        <v>2408</v>
      </c>
      <c r="AW13">
        <v>39</v>
      </c>
      <c r="AX13" t="s">
        <v>866</v>
      </c>
      <c r="AY13">
        <v>1</v>
      </c>
      <c r="AZ13" t="s">
        <v>2409</v>
      </c>
      <c r="BA13">
        <v>2007</v>
      </c>
      <c r="BB13">
        <v>2008</v>
      </c>
      <c r="BD13" t="s">
        <v>998</v>
      </c>
      <c r="BE13" t="s">
        <v>2430</v>
      </c>
      <c r="BF13" t="s">
        <v>572</v>
      </c>
      <c r="BH13" t="s">
        <v>485</v>
      </c>
      <c r="BI13" t="s">
        <v>2411</v>
      </c>
      <c r="BJ13" s="78" t="s">
        <v>486</v>
      </c>
      <c r="BK13">
        <v>44444</v>
      </c>
      <c r="BL13" t="s">
        <v>537</v>
      </c>
      <c r="BM13" t="s">
        <v>1425</v>
      </c>
      <c r="BN13" t="s">
        <v>2421</v>
      </c>
      <c r="BO13" s="78" t="s">
        <v>486</v>
      </c>
      <c r="BP13">
        <v>44444</v>
      </c>
      <c r="BQ13" t="s">
        <v>537</v>
      </c>
      <c r="BR13" t="s">
        <v>2425</v>
      </c>
      <c r="BS13" t="s">
        <v>866</v>
      </c>
      <c r="BT13" t="s">
        <v>866</v>
      </c>
      <c r="BU13" t="s">
        <v>866</v>
      </c>
      <c r="IF13" t="s">
        <v>2430</v>
      </c>
      <c r="IG13" s="75" t="s">
        <v>2426</v>
      </c>
      <c r="IH13" t="s">
        <v>542</v>
      </c>
      <c r="II13" t="s">
        <v>543</v>
      </c>
      <c r="IJ13" t="s">
        <v>1049</v>
      </c>
      <c r="IK13" t="s">
        <v>1049</v>
      </c>
      <c r="IL13" s="78" t="s">
        <v>480</v>
      </c>
      <c r="JH13" t="s">
        <v>2412</v>
      </c>
      <c r="JI13" t="s">
        <v>494</v>
      </c>
      <c r="JJ13" t="s">
        <v>495</v>
      </c>
      <c r="JK13" s="8" t="s">
        <v>1466</v>
      </c>
      <c r="JN13" t="s">
        <v>508</v>
      </c>
      <c r="JO13">
        <v>40</v>
      </c>
      <c r="JP13">
        <v>50</v>
      </c>
      <c r="KD13" t="s">
        <v>500</v>
      </c>
      <c r="MR13" t="s">
        <v>2413</v>
      </c>
      <c r="MS13">
        <v>36</v>
      </c>
      <c r="MT13" t="s">
        <v>2431</v>
      </c>
      <c r="MV13" t="s">
        <v>548</v>
      </c>
      <c r="MW13" t="s">
        <v>1674</v>
      </c>
      <c r="MX13" t="s">
        <v>2428</v>
      </c>
      <c r="MY13" t="s">
        <v>2429</v>
      </c>
      <c r="NC13" t="s">
        <v>2423</v>
      </c>
      <c r="ND13" t="s">
        <v>2416</v>
      </c>
      <c r="NE13" t="s">
        <v>2417</v>
      </c>
      <c r="NF13" s="4" t="s">
        <v>515</v>
      </c>
      <c r="NG13" t="s">
        <v>516</v>
      </c>
      <c r="NO13" s="69"/>
      <c r="NP13" t="s">
        <v>518</v>
      </c>
      <c r="NQ13">
        <v>629.79999999999995</v>
      </c>
      <c r="NR13" s="4" t="s">
        <v>520</v>
      </c>
      <c r="NS13">
        <v>30</v>
      </c>
      <c r="NV13">
        <v>4</v>
      </c>
      <c r="OG13" t="s">
        <v>2418</v>
      </c>
      <c r="OH13" s="78" t="s">
        <v>475</v>
      </c>
      <c r="OI13">
        <v>2007</v>
      </c>
      <c r="OL13" t="s">
        <v>2419</v>
      </c>
      <c r="ON13" t="s">
        <v>522</v>
      </c>
      <c r="OO13" s="50">
        <v>46105</v>
      </c>
    </row>
    <row r="14" spans="1:410" ht="15.75" thickBot="1">
      <c r="A14" t="s">
        <v>469</v>
      </c>
      <c r="B14" t="s">
        <v>2406</v>
      </c>
      <c r="C14" t="s">
        <v>667</v>
      </c>
      <c r="D14" s="89" t="s">
        <v>1179</v>
      </c>
      <c r="E14" s="81" t="s">
        <v>2407</v>
      </c>
      <c r="F14" s="89" t="s">
        <v>1179</v>
      </c>
      <c r="G14" s="78" t="s">
        <v>475</v>
      </c>
      <c r="H14" s="78" t="s">
        <v>476</v>
      </c>
      <c r="I14">
        <v>-0.41666666699999999</v>
      </c>
      <c r="J14">
        <v>34.200000000000003</v>
      </c>
      <c r="K14" s="78" t="s">
        <v>480</v>
      </c>
      <c r="N14" t="s">
        <v>2432</v>
      </c>
      <c r="O14" t="s">
        <v>2433</v>
      </c>
      <c r="P14" t="s">
        <v>2434</v>
      </c>
      <c r="Q14" t="s">
        <v>2435</v>
      </c>
      <c r="R14" t="s">
        <v>2436</v>
      </c>
      <c r="S14" t="s">
        <v>2437</v>
      </c>
      <c r="T14" t="s">
        <v>2438</v>
      </c>
      <c r="U14" t="s">
        <v>2439</v>
      </c>
      <c r="V14" t="s">
        <v>2440</v>
      </c>
      <c r="AV14" t="s">
        <v>2408</v>
      </c>
      <c r="AW14">
        <v>40</v>
      </c>
      <c r="AX14" t="s">
        <v>866</v>
      </c>
      <c r="AY14">
        <v>1</v>
      </c>
      <c r="AZ14" t="s">
        <v>2409</v>
      </c>
      <c r="BA14">
        <v>2007</v>
      </c>
      <c r="BB14">
        <v>2008</v>
      </c>
      <c r="BD14" t="s">
        <v>998</v>
      </c>
      <c r="BE14" t="s">
        <v>2441</v>
      </c>
      <c r="BF14" t="s">
        <v>553</v>
      </c>
      <c r="BH14" t="s">
        <v>485</v>
      </c>
      <c r="BI14" t="s">
        <v>2411</v>
      </c>
      <c r="BJ14" s="78" t="s">
        <v>486</v>
      </c>
      <c r="BK14">
        <v>44444</v>
      </c>
      <c r="BL14" t="s">
        <v>537</v>
      </c>
      <c r="BM14" t="s">
        <v>1425</v>
      </c>
      <c r="BN14" t="s">
        <v>2421</v>
      </c>
      <c r="BO14" s="78" t="s">
        <v>486</v>
      </c>
      <c r="BP14">
        <v>44444</v>
      </c>
      <c r="BQ14" t="s">
        <v>537</v>
      </c>
      <c r="BR14" t="s">
        <v>2425</v>
      </c>
      <c r="BS14" t="s">
        <v>866</v>
      </c>
      <c r="BT14" t="s">
        <v>866</v>
      </c>
      <c r="BU14" t="s">
        <v>866</v>
      </c>
      <c r="IF14" t="s">
        <v>2442</v>
      </c>
      <c r="IG14" s="75" t="s">
        <v>2426</v>
      </c>
      <c r="IH14" t="s">
        <v>542</v>
      </c>
      <c r="II14" t="s">
        <v>543</v>
      </c>
      <c r="IJ14" t="s">
        <v>1049</v>
      </c>
      <c r="IK14" t="s">
        <v>1049</v>
      </c>
      <c r="IL14" s="78" t="s">
        <v>480</v>
      </c>
      <c r="JH14" t="s">
        <v>2412</v>
      </c>
      <c r="JI14" t="s">
        <v>494</v>
      </c>
      <c r="JJ14" t="s">
        <v>495</v>
      </c>
      <c r="JK14" s="8" t="s">
        <v>1466</v>
      </c>
      <c r="JN14" t="s">
        <v>508</v>
      </c>
      <c r="JO14">
        <v>40</v>
      </c>
      <c r="JP14">
        <v>50</v>
      </c>
      <c r="KD14" t="s">
        <v>500</v>
      </c>
      <c r="MR14" t="s">
        <v>2413</v>
      </c>
      <c r="MS14">
        <v>36</v>
      </c>
      <c r="MT14" t="s">
        <v>2431</v>
      </c>
      <c r="MV14" t="s">
        <v>548</v>
      </c>
      <c r="MW14" t="s">
        <v>1674</v>
      </c>
      <c r="MX14" t="s">
        <v>2428</v>
      </c>
      <c r="MY14" t="s">
        <v>2429</v>
      </c>
      <c r="NC14" t="s">
        <v>2423</v>
      </c>
      <c r="ND14" t="s">
        <v>2416</v>
      </c>
      <c r="NE14" t="s">
        <v>2417</v>
      </c>
      <c r="NF14" s="4" t="s">
        <v>515</v>
      </c>
      <c r="NG14" t="s">
        <v>516</v>
      </c>
      <c r="NO14" s="69"/>
      <c r="NP14" t="s">
        <v>518</v>
      </c>
      <c r="NQ14">
        <v>908</v>
      </c>
      <c r="NR14" s="4" t="s">
        <v>520</v>
      </c>
      <c r="NS14">
        <v>72</v>
      </c>
      <c r="NV14">
        <v>4</v>
      </c>
      <c r="OG14" t="s">
        <v>2418</v>
      </c>
      <c r="OH14" s="78" t="s">
        <v>475</v>
      </c>
      <c r="OI14">
        <v>2007</v>
      </c>
      <c r="OL14" t="s">
        <v>2419</v>
      </c>
      <c r="ON14" t="s">
        <v>522</v>
      </c>
      <c r="OO14" s="50">
        <v>46105</v>
      </c>
    </row>
    <row r="15" spans="1:410" ht="15.75" thickBot="1">
      <c r="A15" t="s">
        <v>469</v>
      </c>
      <c r="B15" t="s">
        <v>2406</v>
      </c>
      <c r="C15" t="s">
        <v>667</v>
      </c>
      <c r="D15" s="89" t="s">
        <v>1179</v>
      </c>
      <c r="E15" s="81" t="s">
        <v>2407</v>
      </c>
      <c r="F15" s="89" t="s">
        <v>1179</v>
      </c>
      <c r="G15" s="78" t="s">
        <v>475</v>
      </c>
      <c r="H15" s="78" t="s">
        <v>476</v>
      </c>
      <c r="I15">
        <v>-0.41666666699999999</v>
      </c>
      <c r="J15">
        <v>34.200000000000003</v>
      </c>
      <c r="K15" s="78" t="s">
        <v>480</v>
      </c>
      <c r="N15" t="s">
        <v>2443</v>
      </c>
      <c r="O15" t="s">
        <v>2444</v>
      </c>
      <c r="P15" s="9">
        <v>2600</v>
      </c>
      <c r="Q15" s="9">
        <v>1380</v>
      </c>
      <c r="R15">
        <v>10.3622</v>
      </c>
      <c r="S15">
        <v>76.980199999999996</v>
      </c>
      <c r="T15" s="9">
        <v>3000</v>
      </c>
      <c r="U15" t="s">
        <v>2445</v>
      </c>
      <c r="V15" t="s">
        <v>2446</v>
      </c>
      <c r="AV15" t="s">
        <v>2408</v>
      </c>
      <c r="AW15">
        <v>41</v>
      </c>
      <c r="AX15" t="s">
        <v>866</v>
      </c>
      <c r="AY15">
        <v>1</v>
      </c>
      <c r="AZ15" t="s">
        <v>2447</v>
      </c>
      <c r="BA15">
        <v>2007</v>
      </c>
      <c r="BB15">
        <v>2008</v>
      </c>
      <c r="BD15" t="s">
        <v>492</v>
      </c>
      <c r="BE15" t="s">
        <v>2410</v>
      </c>
      <c r="BF15" t="s">
        <v>524</v>
      </c>
      <c r="BH15" t="s">
        <v>485</v>
      </c>
      <c r="BI15" t="s">
        <v>2411</v>
      </c>
      <c r="BJ15" s="78" t="s">
        <v>486</v>
      </c>
      <c r="BK15">
        <v>44444</v>
      </c>
      <c r="IF15" t="s">
        <v>2410</v>
      </c>
      <c r="IG15" t="s">
        <v>492</v>
      </c>
      <c r="JH15" t="s">
        <v>2412</v>
      </c>
      <c r="JI15" t="s">
        <v>494</v>
      </c>
      <c r="JJ15" t="s">
        <v>495</v>
      </c>
      <c r="JK15" s="8" t="s">
        <v>1466</v>
      </c>
      <c r="JN15" t="s">
        <v>508</v>
      </c>
      <c r="JO15">
        <v>40</v>
      </c>
      <c r="JP15">
        <v>50</v>
      </c>
      <c r="KD15" t="s">
        <v>500</v>
      </c>
      <c r="MR15" t="s">
        <v>2413</v>
      </c>
      <c r="MS15">
        <v>36</v>
      </c>
      <c r="MT15" t="s">
        <v>2414</v>
      </c>
      <c r="MV15" t="s">
        <v>548</v>
      </c>
      <c r="NC15" t="s">
        <v>2415</v>
      </c>
      <c r="ND15" t="s">
        <v>2416</v>
      </c>
      <c r="NE15" t="s">
        <v>2417</v>
      </c>
      <c r="NF15" s="4" t="s">
        <v>515</v>
      </c>
      <c r="NG15" t="s">
        <v>516</v>
      </c>
      <c r="NO15" s="69" t="s">
        <v>517</v>
      </c>
      <c r="NP15" t="s">
        <v>518</v>
      </c>
      <c r="NQ15">
        <v>-176.1</v>
      </c>
      <c r="NR15" s="4" t="s">
        <v>520</v>
      </c>
      <c r="NS15">
        <v>73</v>
      </c>
      <c r="NV15">
        <v>4</v>
      </c>
      <c r="OG15" t="s">
        <v>2418</v>
      </c>
      <c r="OH15" s="78" t="s">
        <v>475</v>
      </c>
      <c r="OI15">
        <v>2008</v>
      </c>
      <c r="OL15" t="s">
        <v>2448</v>
      </c>
      <c r="ON15" t="s">
        <v>522</v>
      </c>
      <c r="OO15" s="50">
        <v>46105</v>
      </c>
    </row>
    <row r="16" spans="1:410" ht="15.75" thickBot="1">
      <c r="A16" t="s">
        <v>469</v>
      </c>
      <c r="B16" t="s">
        <v>2406</v>
      </c>
      <c r="C16" t="s">
        <v>667</v>
      </c>
      <c r="D16" s="89" t="s">
        <v>1179</v>
      </c>
      <c r="E16" s="81" t="s">
        <v>2407</v>
      </c>
      <c r="F16" s="89" t="s">
        <v>1179</v>
      </c>
      <c r="G16" s="78" t="s">
        <v>475</v>
      </c>
      <c r="H16" s="78" t="s">
        <v>476</v>
      </c>
      <c r="I16">
        <v>-0.41666666699999999</v>
      </c>
      <c r="J16">
        <v>34.200000000000003</v>
      </c>
      <c r="K16" s="78" t="s">
        <v>480</v>
      </c>
      <c r="N16" t="s">
        <v>2449</v>
      </c>
      <c r="O16" t="s">
        <v>2450</v>
      </c>
      <c r="P16">
        <v>185</v>
      </c>
      <c r="Q16" s="9">
        <v>1270</v>
      </c>
      <c r="R16">
        <v>10.385</v>
      </c>
      <c r="S16">
        <v>76.95</v>
      </c>
      <c r="T16" s="9">
        <v>1000</v>
      </c>
      <c r="U16" t="s">
        <v>2451</v>
      </c>
      <c r="V16" t="s">
        <v>2452</v>
      </c>
      <c r="AV16" t="s">
        <v>2408</v>
      </c>
      <c r="AW16">
        <v>42</v>
      </c>
      <c r="AX16" t="s">
        <v>866</v>
      </c>
      <c r="AY16">
        <v>1</v>
      </c>
      <c r="AZ16" t="s">
        <v>2447</v>
      </c>
      <c r="BA16">
        <v>2007</v>
      </c>
      <c r="BB16">
        <v>2008</v>
      </c>
      <c r="BD16" t="s">
        <v>998</v>
      </c>
      <c r="BE16" t="s">
        <v>2420</v>
      </c>
      <c r="BF16" t="s">
        <v>536</v>
      </c>
      <c r="BH16" t="s">
        <v>485</v>
      </c>
      <c r="BI16" t="s">
        <v>2411</v>
      </c>
      <c r="BJ16" s="78" t="s">
        <v>486</v>
      </c>
      <c r="BK16">
        <v>44444</v>
      </c>
      <c r="BL16" t="s">
        <v>537</v>
      </c>
      <c r="BM16" t="s">
        <v>1425</v>
      </c>
      <c r="BN16" t="s">
        <v>2421</v>
      </c>
      <c r="BO16" s="78" t="s">
        <v>486</v>
      </c>
      <c r="BP16">
        <v>44444</v>
      </c>
      <c r="IF16" t="s">
        <v>2420</v>
      </c>
      <c r="IG16" s="75" t="s">
        <v>1714</v>
      </c>
      <c r="IH16" t="s">
        <v>542</v>
      </c>
      <c r="II16" t="s">
        <v>543</v>
      </c>
      <c r="IJ16" t="s">
        <v>1049</v>
      </c>
      <c r="IK16" t="s">
        <v>1049</v>
      </c>
      <c r="IL16" s="78" t="s">
        <v>480</v>
      </c>
      <c r="JH16" t="s">
        <v>2412</v>
      </c>
      <c r="JI16" t="s">
        <v>494</v>
      </c>
      <c r="JJ16" t="s">
        <v>495</v>
      </c>
      <c r="JK16" s="8" t="s">
        <v>1466</v>
      </c>
      <c r="JN16" t="s">
        <v>508</v>
      </c>
      <c r="JO16">
        <v>40</v>
      </c>
      <c r="JP16">
        <v>50</v>
      </c>
      <c r="KD16" t="s">
        <v>500</v>
      </c>
      <c r="MR16" t="s">
        <v>2413</v>
      </c>
      <c r="MS16">
        <v>36</v>
      </c>
      <c r="MT16" t="s">
        <v>2422</v>
      </c>
      <c r="MV16" t="s">
        <v>548</v>
      </c>
      <c r="MW16" t="s">
        <v>1674</v>
      </c>
      <c r="NC16" t="s">
        <v>2423</v>
      </c>
      <c r="ND16" t="s">
        <v>2416</v>
      </c>
      <c r="NE16" t="s">
        <v>2417</v>
      </c>
      <c r="NF16" s="4" t="s">
        <v>515</v>
      </c>
      <c r="NG16" t="s">
        <v>516</v>
      </c>
      <c r="NO16" s="69"/>
      <c r="NP16" t="s">
        <v>518</v>
      </c>
      <c r="NQ16">
        <v>45.3</v>
      </c>
      <c r="NR16" s="4" t="s">
        <v>520</v>
      </c>
      <c r="NS16">
        <v>116</v>
      </c>
      <c r="NV16">
        <v>4</v>
      </c>
      <c r="OG16" t="s">
        <v>2418</v>
      </c>
      <c r="OH16" s="78" t="s">
        <v>475</v>
      </c>
      <c r="OI16">
        <v>2008</v>
      </c>
      <c r="OL16" t="s">
        <v>2448</v>
      </c>
      <c r="ON16" t="s">
        <v>522</v>
      </c>
      <c r="OO16" s="50">
        <v>46105</v>
      </c>
    </row>
    <row r="17" spans="1:405" ht="15.75" thickBot="1">
      <c r="A17" t="s">
        <v>469</v>
      </c>
      <c r="B17" t="s">
        <v>2406</v>
      </c>
      <c r="C17" t="s">
        <v>667</v>
      </c>
      <c r="D17" s="89" t="s">
        <v>1179</v>
      </c>
      <c r="E17" s="81" t="s">
        <v>2407</v>
      </c>
      <c r="F17" s="89" t="s">
        <v>1179</v>
      </c>
      <c r="G17" s="78" t="s">
        <v>475</v>
      </c>
      <c r="H17" s="78" t="s">
        <v>476</v>
      </c>
      <c r="I17">
        <v>-0.41666666699999999</v>
      </c>
      <c r="J17">
        <v>34.200000000000003</v>
      </c>
      <c r="K17" s="78" t="s">
        <v>480</v>
      </c>
      <c r="N17" t="s">
        <v>2453</v>
      </c>
      <c r="O17" t="s">
        <v>2454</v>
      </c>
      <c r="P17">
        <v>200</v>
      </c>
      <c r="Q17">
        <v>785</v>
      </c>
      <c r="R17">
        <v>10.234999999999999</v>
      </c>
      <c r="S17">
        <v>76.89</v>
      </c>
      <c r="T17" s="9">
        <v>1500</v>
      </c>
      <c r="U17" t="s">
        <v>2455</v>
      </c>
      <c r="V17" t="s">
        <v>2456</v>
      </c>
      <c r="AV17" t="s">
        <v>2408</v>
      </c>
      <c r="AW17">
        <v>43</v>
      </c>
      <c r="AX17" t="s">
        <v>866</v>
      </c>
      <c r="AY17">
        <v>1</v>
      </c>
      <c r="AZ17" t="s">
        <v>2447</v>
      </c>
      <c r="BA17">
        <v>2007</v>
      </c>
      <c r="BB17">
        <v>2008</v>
      </c>
      <c r="BD17" t="s">
        <v>998</v>
      </c>
      <c r="BE17" t="s">
        <v>2424</v>
      </c>
      <c r="BF17" t="s">
        <v>566</v>
      </c>
      <c r="BH17" t="s">
        <v>485</v>
      </c>
      <c r="BI17" t="s">
        <v>2411</v>
      </c>
      <c r="BJ17" s="78" t="s">
        <v>486</v>
      </c>
      <c r="BK17">
        <v>44444</v>
      </c>
      <c r="BL17" t="s">
        <v>537</v>
      </c>
      <c r="BM17" t="s">
        <v>2425</v>
      </c>
      <c r="BN17" t="s">
        <v>866</v>
      </c>
      <c r="BO17" t="s">
        <v>866</v>
      </c>
      <c r="BP17" t="s">
        <v>866</v>
      </c>
      <c r="IF17" t="s">
        <v>2424</v>
      </c>
      <c r="IG17" s="75" t="s">
        <v>2426</v>
      </c>
      <c r="IH17" t="s">
        <v>542</v>
      </c>
      <c r="II17" t="s">
        <v>543</v>
      </c>
      <c r="IJ17" t="s">
        <v>1049</v>
      </c>
      <c r="IK17" t="s">
        <v>1049</v>
      </c>
      <c r="IL17" s="78" t="s">
        <v>480</v>
      </c>
      <c r="JH17" t="s">
        <v>2412</v>
      </c>
      <c r="JI17" t="s">
        <v>494</v>
      </c>
      <c r="JJ17" t="s">
        <v>495</v>
      </c>
      <c r="JK17" s="8" t="s">
        <v>1466</v>
      </c>
      <c r="JN17" t="s">
        <v>508</v>
      </c>
      <c r="JO17">
        <v>40</v>
      </c>
      <c r="JP17">
        <v>50</v>
      </c>
      <c r="KD17" t="s">
        <v>500</v>
      </c>
      <c r="MR17" t="s">
        <v>2413</v>
      </c>
      <c r="MS17">
        <v>36</v>
      </c>
      <c r="MT17" t="s">
        <v>2427</v>
      </c>
      <c r="MV17" t="s">
        <v>548</v>
      </c>
      <c r="MW17" t="s">
        <v>2428</v>
      </c>
      <c r="MX17" t="s">
        <v>2429</v>
      </c>
      <c r="NC17" t="s">
        <v>2423</v>
      </c>
      <c r="ND17" t="s">
        <v>2416</v>
      </c>
      <c r="NE17" t="s">
        <v>2417</v>
      </c>
      <c r="NF17" s="4" t="s">
        <v>515</v>
      </c>
      <c r="NG17" t="s">
        <v>516</v>
      </c>
      <c r="NO17" s="69"/>
      <c r="NP17" t="s">
        <v>518</v>
      </c>
      <c r="NQ17">
        <v>940.4</v>
      </c>
      <c r="NR17" s="4" t="s">
        <v>520</v>
      </c>
      <c r="NS17">
        <v>56</v>
      </c>
      <c r="NV17">
        <v>4</v>
      </c>
      <c r="OG17" t="s">
        <v>2418</v>
      </c>
      <c r="OH17" s="78" t="s">
        <v>475</v>
      </c>
      <c r="OI17">
        <v>2008</v>
      </c>
      <c r="OL17" t="s">
        <v>2448</v>
      </c>
      <c r="ON17" t="s">
        <v>522</v>
      </c>
      <c r="OO17" s="50">
        <v>46105</v>
      </c>
    </row>
    <row r="18" spans="1:405" ht="15.75" thickBot="1">
      <c r="A18" t="s">
        <v>469</v>
      </c>
      <c r="B18" t="s">
        <v>2406</v>
      </c>
      <c r="C18" t="s">
        <v>667</v>
      </c>
      <c r="D18" s="89" t="s">
        <v>1179</v>
      </c>
      <c r="E18" s="81" t="s">
        <v>2407</v>
      </c>
      <c r="F18" s="89" t="s">
        <v>1179</v>
      </c>
      <c r="G18" s="78" t="s">
        <v>475</v>
      </c>
      <c r="H18" s="78" t="s">
        <v>476</v>
      </c>
      <c r="I18">
        <v>-0.41666666699999999</v>
      </c>
      <c r="J18">
        <v>34.200000000000003</v>
      </c>
      <c r="K18" s="78" t="s">
        <v>480</v>
      </c>
      <c r="N18" t="s">
        <v>2457</v>
      </c>
      <c r="O18" t="s">
        <v>2458</v>
      </c>
      <c r="P18">
        <v>100</v>
      </c>
      <c r="Q18" s="9">
        <v>1400</v>
      </c>
      <c r="R18">
        <v>10.37</v>
      </c>
      <c r="S18">
        <v>76.984999999999999</v>
      </c>
      <c r="T18">
        <v>500</v>
      </c>
      <c r="U18" t="s">
        <v>2445</v>
      </c>
      <c r="V18" t="s">
        <v>2459</v>
      </c>
      <c r="AV18" t="s">
        <v>2408</v>
      </c>
      <c r="AW18">
        <v>44</v>
      </c>
      <c r="AX18" t="s">
        <v>866</v>
      </c>
      <c r="AY18">
        <v>1</v>
      </c>
      <c r="AZ18" t="s">
        <v>2447</v>
      </c>
      <c r="BA18">
        <v>2007</v>
      </c>
      <c r="BB18">
        <v>2008</v>
      </c>
      <c r="BD18" t="s">
        <v>998</v>
      </c>
      <c r="BE18" t="s">
        <v>2430</v>
      </c>
      <c r="BF18" t="s">
        <v>572</v>
      </c>
      <c r="BH18" t="s">
        <v>485</v>
      </c>
      <c r="BI18" t="s">
        <v>2411</v>
      </c>
      <c r="BJ18" s="78" t="s">
        <v>486</v>
      </c>
      <c r="BK18">
        <v>44444</v>
      </c>
      <c r="BL18" t="s">
        <v>537</v>
      </c>
      <c r="BM18" t="s">
        <v>1425</v>
      </c>
      <c r="BN18" t="s">
        <v>2421</v>
      </c>
      <c r="BO18" s="78" t="s">
        <v>486</v>
      </c>
      <c r="BP18">
        <v>44444</v>
      </c>
      <c r="BQ18" t="s">
        <v>537</v>
      </c>
      <c r="BR18" t="s">
        <v>2425</v>
      </c>
      <c r="BS18" t="s">
        <v>866</v>
      </c>
      <c r="BT18" t="s">
        <v>866</v>
      </c>
      <c r="BU18" t="s">
        <v>866</v>
      </c>
      <c r="IF18" t="s">
        <v>2430</v>
      </c>
      <c r="IG18" s="75" t="s">
        <v>2426</v>
      </c>
      <c r="IH18" t="s">
        <v>542</v>
      </c>
      <c r="II18" t="s">
        <v>543</v>
      </c>
      <c r="IJ18" t="s">
        <v>1049</v>
      </c>
      <c r="IK18" t="s">
        <v>1049</v>
      </c>
      <c r="IL18" s="78" t="s">
        <v>480</v>
      </c>
      <c r="JH18" t="s">
        <v>2412</v>
      </c>
      <c r="JI18" t="s">
        <v>494</v>
      </c>
      <c r="JJ18" t="s">
        <v>495</v>
      </c>
      <c r="JK18" s="8" t="s">
        <v>1466</v>
      </c>
      <c r="JN18" t="s">
        <v>508</v>
      </c>
      <c r="JO18">
        <v>40</v>
      </c>
      <c r="JP18">
        <v>50</v>
      </c>
      <c r="KD18" t="s">
        <v>500</v>
      </c>
      <c r="MR18" t="s">
        <v>2413</v>
      </c>
      <c r="MS18">
        <v>36</v>
      </c>
      <c r="MT18" t="s">
        <v>2431</v>
      </c>
      <c r="MV18" t="s">
        <v>548</v>
      </c>
      <c r="MW18" t="s">
        <v>1674</v>
      </c>
      <c r="MX18" t="s">
        <v>2428</v>
      </c>
      <c r="MY18" t="s">
        <v>2429</v>
      </c>
      <c r="NC18" t="s">
        <v>2423</v>
      </c>
      <c r="ND18" t="s">
        <v>2416</v>
      </c>
      <c r="NE18" t="s">
        <v>2417</v>
      </c>
      <c r="NF18" s="4" t="s">
        <v>515</v>
      </c>
      <c r="NG18" t="s">
        <v>516</v>
      </c>
      <c r="NO18" s="69"/>
      <c r="NP18" t="s">
        <v>518</v>
      </c>
      <c r="NQ18">
        <v>934.9</v>
      </c>
      <c r="NR18" s="4" t="s">
        <v>520</v>
      </c>
      <c r="NS18">
        <v>58</v>
      </c>
      <c r="NV18">
        <v>4</v>
      </c>
      <c r="OG18" t="s">
        <v>2418</v>
      </c>
      <c r="OH18" s="78" t="s">
        <v>475</v>
      </c>
      <c r="OI18">
        <v>2008</v>
      </c>
      <c r="OL18" t="s">
        <v>2448</v>
      </c>
      <c r="ON18" t="s">
        <v>522</v>
      </c>
      <c r="OO18" s="50">
        <v>46105</v>
      </c>
    </row>
    <row r="19" spans="1:405" ht="15.75" thickBot="1">
      <c r="A19" t="s">
        <v>469</v>
      </c>
      <c r="B19" t="s">
        <v>2406</v>
      </c>
      <c r="C19" t="s">
        <v>667</v>
      </c>
      <c r="D19" s="89" t="s">
        <v>1179</v>
      </c>
      <c r="E19" s="81" t="s">
        <v>2407</v>
      </c>
      <c r="F19" s="89" t="s">
        <v>1179</v>
      </c>
      <c r="G19" s="78" t="s">
        <v>475</v>
      </c>
      <c r="H19" s="78" t="s">
        <v>476</v>
      </c>
      <c r="I19">
        <v>-0.41666666699999999</v>
      </c>
      <c r="J19">
        <v>34.200000000000003</v>
      </c>
      <c r="K19" s="78" t="s">
        <v>480</v>
      </c>
      <c r="N19" t="s">
        <v>2460</v>
      </c>
      <c r="O19" t="s">
        <v>2461</v>
      </c>
      <c r="P19">
        <v>92</v>
      </c>
      <c r="Q19" s="9">
        <v>1120</v>
      </c>
      <c r="R19">
        <v>10.33</v>
      </c>
      <c r="S19">
        <v>76.965000000000003</v>
      </c>
      <c r="T19">
        <v>500</v>
      </c>
      <c r="U19" t="s">
        <v>2445</v>
      </c>
      <c r="V19" t="s">
        <v>2462</v>
      </c>
      <c r="AV19" t="s">
        <v>2408</v>
      </c>
      <c r="AW19">
        <v>45</v>
      </c>
      <c r="AX19" t="s">
        <v>866</v>
      </c>
      <c r="AY19">
        <v>1</v>
      </c>
      <c r="AZ19" t="s">
        <v>2447</v>
      </c>
      <c r="BA19">
        <v>2007</v>
      </c>
      <c r="BB19">
        <v>2008</v>
      </c>
      <c r="BD19" t="s">
        <v>998</v>
      </c>
      <c r="BE19" t="s">
        <v>2442</v>
      </c>
      <c r="BF19" t="s">
        <v>553</v>
      </c>
      <c r="BH19" t="s">
        <v>485</v>
      </c>
      <c r="BI19" t="s">
        <v>2411</v>
      </c>
      <c r="BJ19" s="78" t="s">
        <v>486</v>
      </c>
      <c r="BK19">
        <v>44444</v>
      </c>
      <c r="BL19" t="s">
        <v>537</v>
      </c>
      <c r="BM19" t="s">
        <v>1425</v>
      </c>
      <c r="BN19" t="s">
        <v>2421</v>
      </c>
      <c r="BO19" s="78" t="s">
        <v>486</v>
      </c>
      <c r="BP19">
        <v>44444</v>
      </c>
      <c r="BQ19" t="s">
        <v>537</v>
      </c>
      <c r="BR19" t="s">
        <v>2425</v>
      </c>
      <c r="BS19" t="s">
        <v>866</v>
      </c>
      <c r="BT19" t="s">
        <v>866</v>
      </c>
      <c r="BU19" t="s">
        <v>866</v>
      </c>
      <c r="IF19" t="s">
        <v>2442</v>
      </c>
      <c r="IG19" s="75" t="s">
        <v>2426</v>
      </c>
      <c r="IH19" t="s">
        <v>542</v>
      </c>
      <c r="II19" t="s">
        <v>543</v>
      </c>
      <c r="IJ19" t="s">
        <v>1049</v>
      </c>
      <c r="IK19" t="s">
        <v>1049</v>
      </c>
      <c r="IL19" s="78" t="s">
        <v>480</v>
      </c>
      <c r="JH19" t="s">
        <v>2412</v>
      </c>
      <c r="JI19" t="s">
        <v>494</v>
      </c>
      <c r="JJ19" t="s">
        <v>495</v>
      </c>
      <c r="JK19" s="8" t="s">
        <v>1466</v>
      </c>
      <c r="JN19" t="s">
        <v>508</v>
      </c>
      <c r="JO19">
        <v>40</v>
      </c>
      <c r="JP19">
        <v>50</v>
      </c>
      <c r="KD19" t="s">
        <v>500</v>
      </c>
      <c r="MR19" t="s">
        <v>2413</v>
      </c>
      <c r="MS19">
        <v>36</v>
      </c>
      <c r="MT19" t="s">
        <v>2431</v>
      </c>
      <c r="MV19" t="s">
        <v>548</v>
      </c>
      <c r="MW19" t="s">
        <v>1674</v>
      </c>
      <c r="MX19" t="s">
        <v>2428</v>
      </c>
      <c r="MY19" t="s">
        <v>2429</v>
      </c>
      <c r="NC19" t="s">
        <v>2423</v>
      </c>
      <c r="ND19" t="s">
        <v>2416</v>
      </c>
      <c r="NE19" t="s">
        <v>2417</v>
      </c>
      <c r="NF19" s="4" t="s">
        <v>515</v>
      </c>
      <c r="NG19" t="s">
        <v>516</v>
      </c>
      <c r="NO19" s="69"/>
      <c r="NP19" t="s">
        <v>518</v>
      </c>
      <c r="NQ19">
        <v>1032</v>
      </c>
      <c r="NR19" s="4" t="s">
        <v>520</v>
      </c>
      <c r="NS19">
        <v>109</v>
      </c>
      <c r="NV19">
        <v>4</v>
      </c>
      <c r="OG19" t="s">
        <v>2418</v>
      </c>
      <c r="OH19" s="78" t="s">
        <v>475</v>
      </c>
      <c r="OI19">
        <v>2008</v>
      </c>
      <c r="OL19" t="s">
        <v>2448</v>
      </c>
      <c r="ON19" t="s">
        <v>522</v>
      </c>
      <c r="OO19" s="50">
        <v>46105</v>
      </c>
    </row>
    <row r="20" spans="1:405" ht="15.75" thickBot="1">
      <c r="A20" t="s">
        <v>469</v>
      </c>
      <c r="B20" t="s">
        <v>2406</v>
      </c>
      <c r="C20" t="s">
        <v>667</v>
      </c>
      <c r="D20" s="89" t="s">
        <v>1179</v>
      </c>
      <c r="E20" s="81" t="s">
        <v>2407</v>
      </c>
      <c r="F20" s="89" t="s">
        <v>1179</v>
      </c>
      <c r="G20" s="78" t="s">
        <v>475</v>
      </c>
      <c r="H20" s="78" t="s">
        <v>476</v>
      </c>
      <c r="I20">
        <v>-0.41666666699999999</v>
      </c>
      <c r="J20">
        <v>34.200000000000003</v>
      </c>
      <c r="K20" s="78" t="s">
        <v>480</v>
      </c>
      <c r="N20" t="s">
        <v>2463</v>
      </c>
      <c r="O20" t="s">
        <v>2464</v>
      </c>
      <c r="P20">
        <v>56</v>
      </c>
      <c r="Q20">
        <v>995</v>
      </c>
      <c r="R20">
        <v>10.308299999999999</v>
      </c>
      <c r="S20">
        <v>76.899900000000002</v>
      </c>
      <c r="T20">
        <v>500</v>
      </c>
      <c r="U20" t="s">
        <v>2445</v>
      </c>
      <c r="V20" t="s">
        <v>2465</v>
      </c>
      <c r="AV20" t="s">
        <v>2408</v>
      </c>
      <c r="AW20">
        <v>46</v>
      </c>
      <c r="AX20" t="s">
        <v>866</v>
      </c>
      <c r="AY20">
        <v>1</v>
      </c>
      <c r="AZ20" t="s">
        <v>2466</v>
      </c>
      <c r="BA20">
        <v>2007</v>
      </c>
      <c r="BB20">
        <v>2008</v>
      </c>
      <c r="BD20" t="s">
        <v>492</v>
      </c>
      <c r="BE20" t="s">
        <v>2467</v>
      </c>
      <c r="BF20" t="s">
        <v>483</v>
      </c>
      <c r="BH20" t="s">
        <v>485</v>
      </c>
      <c r="BI20" t="s">
        <v>2411</v>
      </c>
      <c r="BJ20" s="78" t="s">
        <v>486</v>
      </c>
      <c r="BK20">
        <v>44444</v>
      </c>
      <c r="IF20" t="s">
        <v>2467</v>
      </c>
      <c r="IG20" t="s">
        <v>492</v>
      </c>
      <c r="JH20" t="s">
        <v>2412</v>
      </c>
      <c r="JI20" t="s">
        <v>494</v>
      </c>
      <c r="JJ20" t="s">
        <v>495</v>
      </c>
      <c r="JK20" s="8" t="s">
        <v>1466</v>
      </c>
      <c r="JN20" t="s">
        <v>508</v>
      </c>
      <c r="JO20">
        <v>40</v>
      </c>
      <c r="JP20">
        <v>50</v>
      </c>
      <c r="KD20" t="s">
        <v>500</v>
      </c>
      <c r="MR20" t="s">
        <v>2413</v>
      </c>
      <c r="MS20">
        <v>36</v>
      </c>
      <c r="MT20" t="s">
        <v>2414</v>
      </c>
      <c r="MV20" t="s">
        <v>548</v>
      </c>
      <c r="NC20" t="s">
        <v>2415</v>
      </c>
      <c r="ND20" t="s">
        <v>2416</v>
      </c>
      <c r="NE20" t="s">
        <v>2417</v>
      </c>
      <c r="NF20" s="4" t="s">
        <v>515</v>
      </c>
      <c r="NG20" t="s">
        <v>516</v>
      </c>
      <c r="NO20" s="69" t="s">
        <v>604</v>
      </c>
      <c r="NP20" t="s">
        <v>518</v>
      </c>
      <c r="NQ20">
        <v>91.2</v>
      </c>
      <c r="NR20" s="4" t="s">
        <v>520</v>
      </c>
      <c r="NS20">
        <v>19</v>
      </c>
      <c r="NV20">
        <v>4</v>
      </c>
      <c r="OG20" t="s">
        <v>2468</v>
      </c>
      <c r="OH20" s="78" t="s">
        <v>475</v>
      </c>
      <c r="OI20">
        <v>2007</v>
      </c>
      <c r="OL20" t="s">
        <v>2448</v>
      </c>
      <c r="ON20" t="s">
        <v>522</v>
      </c>
      <c r="OO20" s="50">
        <v>46105</v>
      </c>
    </row>
    <row r="21" spans="1:405" ht="15.75" thickBot="1">
      <c r="A21" t="s">
        <v>469</v>
      </c>
      <c r="B21" t="s">
        <v>2406</v>
      </c>
      <c r="C21" t="s">
        <v>667</v>
      </c>
      <c r="D21" s="89" t="s">
        <v>1179</v>
      </c>
      <c r="E21" s="81" t="s">
        <v>2407</v>
      </c>
      <c r="F21" s="89" t="s">
        <v>1179</v>
      </c>
      <c r="G21" s="78" t="s">
        <v>475</v>
      </c>
      <c r="H21" s="78" t="s">
        <v>476</v>
      </c>
      <c r="I21">
        <v>-0.41666666699999999</v>
      </c>
      <c r="J21">
        <v>34.200000000000003</v>
      </c>
      <c r="K21" s="78" t="s">
        <v>480</v>
      </c>
      <c r="N21" t="s">
        <v>2469</v>
      </c>
      <c r="O21" t="s">
        <v>2470</v>
      </c>
      <c r="P21">
        <v>19.100000000000001</v>
      </c>
      <c r="Q21">
        <v>992</v>
      </c>
      <c r="R21">
        <v>10.31</v>
      </c>
      <c r="S21">
        <v>76.94</v>
      </c>
      <c r="T21">
        <v>300</v>
      </c>
      <c r="U21" t="s">
        <v>2451</v>
      </c>
      <c r="V21" t="s">
        <v>2471</v>
      </c>
      <c r="AV21" t="s">
        <v>2408</v>
      </c>
      <c r="AW21">
        <v>47</v>
      </c>
      <c r="AX21" t="s">
        <v>866</v>
      </c>
      <c r="AY21">
        <v>1</v>
      </c>
      <c r="AZ21" t="s">
        <v>2466</v>
      </c>
      <c r="BA21">
        <v>2007</v>
      </c>
      <c r="BB21">
        <v>2008</v>
      </c>
      <c r="BD21" t="s">
        <v>998</v>
      </c>
      <c r="BE21" t="s">
        <v>2472</v>
      </c>
      <c r="BF21" t="s">
        <v>607</v>
      </c>
      <c r="BH21" t="s">
        <v>485</v>
      </c>
      <c r="BI21" t="s">
        <v>2411</v>
      </c>
      <c r="BJ21" s="78" t="s">
        <v>486</v>
      </c>
      <c r="BK21">
        <v>44444</v>
      </c>
      <c r="BL21" t="s">
        <v>537</v>
      </c>
      <c r="BM21" t="s">
        <v>1425</v>
      </c>
      <c r="BN21" t="s">
        <v>2421</v>
      </c>
      <c r="BO21" s="78" t="s">
        <v>486</v>
      </c>
      <c r="BP21">
        <v>44444</v>
      </c>
      <c r="IF21" t="s">
        <v>2472</v>
      </c>
      <c r="IG21" s="75" t="s">
        <v>1714</v>
      </c>
      <c r="IH21" t="s">
        <v>542</v>
      </c>
      <c r="II21" t="s">
        <v>543</v>
      </c>
      <c r="IJ21" t="s">
        <v>1049</v>
      </c>
      <c r="IK21" t="s">
        <v>1049</v>
      </c>
      <c r="IL21" s="78" t="s">
        <v>480</v>
      </c>
      <c r="JH21" t="s">
        <v>2412</v>
      </c>
      <c r="JI21" t="s">
        <v>494</v>
      </c>
      <c r="JJ21" t="s">
        <v>495</v>
      </c>
      <c r="JK21" s="8" t="s">
        <v>1466</v>
      </c>
      <c r="JN21" t="s">
        <v>508</v>
      </c>
      <c r="JO21">
        <v>40</v>
      </c>
      <c r="JP21">
        <v>50</v>
      </c>
      <c r="KD21" t="s">
        <v>500</v>
      </c>
      <c r="MR21" t="s">
        <v>2413</v>
      </c>
      <c r="MS21">
        <v>36</v>
      </c>
      <c r="MT21" t="s">
        <v>2422</v>
      </c>
      <c r="MV21" t="s">
        <v>548</v>
      </c>
      <c r="MW21" t="s">
        <v>1674</v>
      </c>
      <c r="NC21" t="s">
        <v>2423</v>
      </c>
      <c r="ND21" t="s">
        <v>2416</v>
      </c>
      <c r="NE21" t="s">
        <v>2417</v>
      </c>
      <c r="NF21" s="4" t="s">
        <v>515</v>
      </c>
      <c r="NG21" t="s">
        <v>516</v>
      </c>
      <c r="NO21" s="69"/>
      <c r="NP21" t="s">
        <v>518</v>
      </c>
      <c r="NQ21">
        <v>123.4</v>
      </c>
      <c r="NR21" s="4" t="s">
        <v>520</v>
      </c>
      <c r="NS21">
        <v>49</v>
      </c>
      <c r="NV21">
        <v>4</v>
      </c>
      <c r="OG21" t="s">
        <v>2468</v>
      </c>
      <c r="OH21" s="78" t="s">
        <v>475</v>
      </c>
      <c r="OI21">
        <v>2007</v>
      </c>
      <c r="OL21" t="s">
        <v>2448</v>
      </c>
      <c r="ON21" t="s">
        <v>522</v>
      </c>
      <c r="OO21" s="50">
        <v>46105</v>
      </c>
    </row>
    <row r="22" spans="1:405" ht="15.75" thickBot="1">
      <c r="A22" t="s">
        <v>469</v>
      </c>
      <c r="B22" t="s">
        <v>2406</v>
      </c>
      <c r="C22" t="s">
        <v>667</v>
      </c>
      <c r="D22" s="89" t="s">
        <v>1179</v>
      </c>
      <c r="E22" s="81" t="s">
        <v>2407</v>
      </c>
      <c r="F22" s="89" t="s">
        <v>1179</v>
      </c>
      <c r="G22" s="78" t="s">
        <v>475</v>
      </c>
      <c r="H22" s="78" t="s">
        <v>476</v>
      </c>
      <c r="I22">
        <v>-0.41666666699999999</v>
      </c>
      <c r="J22">
        <v>34.200000000000003</v>
      </c>
      <c r="K22" s="78" t="s">
        <v>480</v>
      </c>
      <c r="N22" t="s">
        <v>2473</v>
      </c>
      <c r="O22" t="s">
        <v>2474</v>
      </c>
      <c r="P22">
        <v>32.6</v>
      </c>
      <c r="Q22">
        <v>980</v>
      </c>
      <c r="R22">
        <v>10.3512</v>
      </c>
      <c r="S22">
        <v>76.938400000000001</v>
      </c>
      <c r="T22">
        <v>400</v>
      </c>
      <c r="U22" t="s">
        <v>2445</v>
      </c>
      <c r="V22" t="s">
        <v>2475</v>
      </c>
      <c r="AV22" t="s">
        <v>2408</v>
      </c>
      <c r="AW22">
        <v>48</v>
      </c>
      <c r="AX22" t="s">
        <v>866</v>
      </c>
      <c r="AY22">
        <v>1</v>
      </c>
      <c r="AZ22" t="s">
        <v>2466</v>
      </c>
      <c r="BA22">
        <v>2007</v>
      </c>
      <c r="BB22">
        <v>2008</v>
      </c>
      <c r="BD22" t="s">
        <v>998</v>
      </c>
      <c r="BE22" t="s">
        <v>2476</v>
      </c>
      <c r="BF22" t="s">
        <v>611</v>
      </c>
      <c r="BH22" t="s">
        <v>485</v>
      </c>
      <c r="BI22" t="s">
        <v>2411</v>
      </c>
      <c r="BJ22" s="78" t="s">
        <v>486</v>
      </c>
      <c r="BK22">
        <v>44444</v>
      </c>
      <c r="BL22" t="s">
        <v>537</v>
      </c>
      <c r="BM22" t="s">
        <v>2425</v>
      </c>
      <c r="BN22" t="s">
        <v>866</v>
      </c>
      <c r="BO22" t="s">
        <v>866</v>
      </c>
      <c r="BP22" t="s">
        <v>866</v>
      </c>
      <c r="IF22" t="s">
        <v>2476</v>
      </c>
      <c r="IG22" s="75" t="s">
        <v>2426</v>
      </c>
      <c r="IH22" t="s">
        <v>542</v>
      </c>
      <c r="II22" t="s">
        <v>543</v>
      </c>
      <c r="IJ22" t="s">
        <v>1049</v>
      </c>
      <c r="IK22" t="s">
        <v>1049</v>
      </c>
      <c r="IL22" s="78" t="s">
        <v>480</v>
      </c>
      <c r="JH22" t="s">
        <v>2412</v>
      </c>
      <c r="JI22" t="s">
        <v>494</v>
      </c>
      <c r="JJ22" t="s">
        <v>495</v>
      </c>
      <c r="JK22" s="8" t="s">
        <v>1466</v>
      </c>
      <c r="JN22" t="s">
        <v>508</v>
      </c>
      <c r="JO22">
        <v>40</v>
      </c>
      <c r="JP22">
        <v>50</v>
      </c>
      <c r="KD22" t="s">
        <v>500</v>
      </c>
      <c r="MR22" t="s">
        <v>2413</v>
      </c>
      <c r="MS22">
        <v>36</v>
      </c>
      <c r="MT22" t="s">
        <v>2427</v>
      </c>
      <c r="MV22" t="s">
        <v>548</v>
      </c>
      <c r="MW22" t="s">
        <v>2428</v>
      </c>
      <c r="MX22" t="s">
        <v>2429</v>
      </c>
      <c r="NC22" t="s">
        <v>2423</v>
      </c>
      <c r="ND22" t="s">
        <v>2416</v>
      </c>
      <c r="NE22" t="s">
        <v>2417</v>
      </c>
      <c r="NF22" s="4" t="s">
        <v>515</v>
      </c>
      <c r="NG22" t="s">
        <v>516</v>
      </c>
      <c r="NO22" s="69"/>
      <c r="NP22" t="s">
        <v>518</v>
      </c>
      <c r="NQ22">
        <v>1272.8</v>
      </c>
      <c r="NR22" s="4" t="s">
        <v>520</v>
      </c>
      <c r="NS22">
        <v>58</v>
      </c>
      <c r="NV22">
        <v>4</v>
      </c>
      <c r="OG22" t="s">
        <v>2468</v>
      </c>
      <c r="OH22" s="78" t="s">
        <v>475</v>
      </c>
      <c r="OI22">
        <v>2007</v>
      </c>
      <c r="OL22" t="s">
        <v>2448</v>
      </c>
      <c r="ON22" t="s">
        <v>522</v>
      </c>
      <c r="OO22" s="50">
        <v>46105</v>
      </c>
    </row>
    <row r="23" spans="1:405" ht="15.75" thickBot="1">
      <c r="A23" t="s">
        <v>469</v>
      </c>
      <c r="B23" t="s">
        <v>2406</v>
      </c>
      <c r="C23" t="s">
        <v>667</v>
      </c>
      <c r="D23" s="89" t="s">
        <v>1179</v>
      </c>
      <c r="E23" s="81" t="s">
        <v>2407</v>
      </c>
      <c r="F23" s="89" t="s">
        <v>1179</v>
      </c>
      <c r="G23" s="78" t="s">
        <v>475</v>
      </c>
      <c r="H23" s="78" t="s">
        <v>476</v>
      </c>
      <c r="I23">
        <v>-0.41666666699999999</v>
      </c>
      <c r="J23">
        <v>34.200000000000003</v>
      </c>
      <c r="K23" s="78" t="s">
        <v>480</v>
      </c>
      <c r="N23" t="s">
        <v>2477</v>
      </c>
      <c r="O23" t="s">
        <v>2478</v>
      </c>
      <c r="P23">
        <v>88</v>
      </c>
      <c r="Q23" s="9">
        <v>1032</v>
      </c>
      <c r="R23">
        <v>10.279</v>
      </c>
      <c r="S23">
        <v>76.8874</v>
      </c>
      <c r="T23">
        <v>500</v>
      </c>
      <c r="U23" t="s">
        <v>2445</v>
      </c>
      <c r="V23" t="s">
        <v>2479</v>
      </c>
      <c r="AV23" t="s">
        <v>2408</v>
      </c>
      <c r="AW23">
        <v>49</v>
      </c>
      <c r="AX23" t="s">
        <v>866</v>
      </c>
      <c r="AY23">
        <v>1</v>
      </c>
      <c r="AZ23" t="s">
        <v>2466</v>
      </c>
      <c r="BA23">
        <v>2007</v>
      </c>
      <c r="BB23">
        <v>2008</v>
      </c>
      <c r="BD23" t="s">
        <v>998</v>
      </c>
      <c r="BE23" t="s">
        <v>2480</v>
      </c>
      <c r="BF23" t="s">
        <v>615</v>
      </c>
      <c r="BH23" t="s">
        <v>485</v>
      </c>
      <c r="BI23" t="s">
        <v>2411</v>
      </c>
      <c r="BJ23" s="78" t="s">
        <v>486</v>
      </c>
      <c r="BK23">
        <v>44444</v>
      </c>
      <c r="BL23" t="s">
        <v>537</v>
      </c>
      <c r="BM23" t="s">
        <v>1425</v>
      </c>
      <c r="BN23" t="s">
        <v>2421</v>
      </c>
      <c r="BO23" s="78" t="s">
        <v>486</v>
      </c>
      <c r="BP23">
        <v>44444</v>
      </c>
      <c r="BQ23" t="s">
        <v>537</v>
      </c>
      <c r="BR23" t="s">
        <v>2425</v>
      </c>
      <c r="BS23" t="s">
        <v>866</v>
      </c>
      <c r="BT23" t="s">
        <v>866</v>
      </c>
      <c r="BU23" t="s">
        <v>866</v>
      </c>
      <c r="IF23" t="s">
        <v>2480</v>
      </c>
      <c r="IG23" s="75" t="s">
        <v>2426</v>
      </c>
      <c r="IH23" t="s">
        <v>542</v>
      </c>
      <c r="II23" t="s">
        <v>543</v>
      </c>
      <c r="IJ23" t="s">
        <v>1049</v>
      </c>
      <c r="IK23" t="s">
        <v>1049</v>
      </c>
      <c r="IL23" s="78" t="s">
        <v>480</v>
      </c>
      <c r="JH23" t="s">
        <v>2412</v>
      </c>
      <c r="JI23" t="s">
        <v>494</v>
      </c>
      <c r="JJ23" t="s">
        <v>495</v>
      </c>
      <c r="JK23" s="8" t="s">
        <v>1466</v>
      </c>
      <c r="JN23" t="s">
        <v>508</v>
      </c>
      <c r="JO23">
        <v>40</v>
      </c>
      <c r="JP23">
        <v>50</v>
      </c>
      <c r="KD23" t="s">
        <v>500</v>
      </c>
      <c r="MR23" t="s">
        <v>2413</v>
      </c>
      <c r="MS23">
        <v>36</v>
      </c>
      <c r="MT23" t="s">
        <v>2431</v>
      </c>
      <c r="MV23" t="s">
        <v>548</v>
      </c>
      <c r="MW23" t="s">
        <v>1674</v>
      </c>
      <c r="MX23" t="s">
        <v>2428</v>
      </c>
      <c r="MY23" t="s">
        <v>2429</v>
      </c>
      <c r="NC23" t="s">
        <v>2423</v>
      </c>
      <c r="ND23" t="s">
        <v>2416</v>
      </c>
      <c r="NE23" t="s">
        <v>2417</v>
      </c>
      <c r="NF23" s="4" t="s">
        <v>515</v>
      </c>
      <c r="NG23" t="s">
        <v>516</v>
      </c>
      <c r="NO23" s="69"/>
      <c r="NP23" t="s">
        <v>518</v>
      </c>
      <c r="NQ23">
        <v>1265.2</v>
      </c>
      <c r="NR23" s="4" t="s">
        <v>520</v>
      </c>
      <c r="NS23">
        <v>14</v>
      </c>
      <c r="NV23">
        <v>4</v>
      </c>
      <c r="OG23" t="s">
        <v>2468</v>
      </c>
      <c r="OH23" s="78" t="s">
        <v>475</v>
      </c>
      <c r="OI23">
        <v>2007</v>
      </c>
      <c r="OL23" t="s">
        <v>2448</v>
      </c>
      <c r="ON23" t="s">
        <v>522</v>
      </c>
      <c r="OO23" s="50">
        <v>46105</v>
      </c>
    </row>
    <row r="24" spans="1:405" ht="15.75" thickBot="1">
      <c r="A24" t="s">
        <v>469</v>
      </c>
      <c r="B24" t="s">
        <v>2406</v>
      </c>
      <c r="C24" t="s">
        <v>667</v>
      </c>
      <c r="D24" s="89" t="s">
        <v>1179</v>
      </c>
      <c r="E24" s="81" t="s">
        <v>2407</v>
      </c>
      <c r="F24" s="89" t="s">
        <v>1179</v>
      </c>
      <c r="G24" s="78" t="s">
        <v>475</v>
      </c>
      <c r="H24" s="78" t="s">
        <v>476</v>
      </c>
      <c r="I24">
        <v>-0.41666666699999999</v>
      </c>
      <c r="J24">
        <v>34.200000000000003</v>
      </c>
      <c r="K24" s="78" t="s">
        <v>480</v>
      </c>
      <c r="N24" t="s">
        <v>2481</v>
      </c>
      <c r="O24" t="s">
        <v>2482</v>
      </c>
      <c r="P24">
        <v>11</v>
      </c>
      <c r="Q24">
        <v>975</v>
      </c>
      <c r="R24">
        <v>10.345000000000001</v>
      </c>
      <c r="S24">
        <v>76.924999999999997</v>
      </c>
      <c r="T24">
        <v>300</v>
      </c>
      <c r="U24" t="s">
        <v>2451</v>
      </c>
      <c r="V24" t="s">
        <v>2483</v>
      </c>
      <c r="AV24" t="s">
        <v>2408</v>
      </c>
      <c r="AW24">
        <v>50</v>
      </c>
      <c r="AX24" t="s">
        <v>866</v>
      </c>
      <c r="AY24">
        <v>1</v>
      </c>
      <c r="AZ24" t="s">
        <v>2466</v>
      </c>
      <c r="BA24">
        <v>2007</v>
      </c>
      <c r="BB24">
        <v>2008</v>
      </c>
      <c r="BD24" t="s">
        <v>998</v>
      </c>
      <c r="BE24" t="s">
        <v>2484</v>
      </c>
      <c r="BF24" t="s">
        <v>617</v>
      </c>
      <c r="BH24" t="s">
        <v>485</v>
      </c>
      <c r="BI24" t="s">
        <v>2411</v>
      </c>
      <c r="BJ24" s="78" t="s">
        <v>486</v>
      </c>
      <c r="BK24">
        <v>44444</v>
      </c>
      <c r="BL24" t="s">
        <v>537</v>
      </c>
      <c r="BM24" t="s">
        <v>1425</v>
      </c>
      <c r="BN24" t="s">
        <v>2421</v>
      </c>
      <c r="BO24" s="78" t="s">
        <v>486</v>
      </c>
      <c r="BP24">
        <v>44444</v>
      </c>
      <c r="BQ24" t="s">
        <v>537</v>
      </c>
      <c r="BR24" t="s">
        <v>2425</v>
      </c>
      <c r="BS24" t="s">
        <v>866</v>
      </c>
      <c r="BT24" t="s">
        <v>866</v>
      </c>
      <c r="BU24" t="s">
        <v>866</v>
      </c>
      <c r="IF24" t="s">
        <v>2484</v>
      </c>
      <c r="IG24" s="75" t="s">
        <v>2426</v>
      </c>
      <c r="IH24" t="s">
        <v>542</v>
      </c>
      <c r="II24" t="s">
        <v>543</v>
      </c>
      <c r="IJ24" t="s">
        <v>1049</v>
      </c>
      <c r="IK24" t="s">
        <v>1049</v>
      </c>
      <c r="IL24" s="78" t="s">
        <v>480</v>
      </c>
      <c r="JH24" t="s">
        <v>2412</v>
      </c>
      <c r="JI24" t="s">
        <v>494</v>
      </c>
      <c r="JJ24" t="s">
        <v>495</v>
      </c>
      <c r="JK24" s="8" t="s">
        <v>1466</v>
      </c>
      <c r="JN24" t="s">
        <v>508</v>
      </c>
      <c r="JO24">
        <v>40</v>
      </c>
      <c r="JP24">
        <v>50</v>
      </c>
      <c r="KD24" t="s">
        <v>500</v>
      </c>
      <c r="MR24" t="s">
        <v>2413</v>
      </c>
      <c r="MS24">
        <v>36</v>
      </c>
      <c r="MT24" t="s">
        <v>2431</v>
      </c>
      <c r="MV24" t="s">
        <v>548</v>
      </c>
      <c r="MW24" t="s">
        <v>1674</v>
      </c>
      <c r="MX24" t="s">
        <v>2428</v>
      </c>
      <c r="MY24" t="s">
        <v>2429</v>
      </c>
      <c r="NC24" t="s">
        <v>2423</v>
      </c>
      <c r="ND24" t="s">
        <v>2416</v>
      </c>
      <c r="NE24" t="s">
        <v>2417</v>
      </c>
      <c r="NF24" s="4" t="s">
        <v>515</v>
      </c>
      <c r="NG24" t="s">
        <v>516</v>
      </c>
      <c r="NO24" s="69"/>
      <c r="NP24" t="s">
        <v>518</v>
      </c>
      <c r="NQ24">
        <v>1212.3</v>
      </c>
      <c r="NR24" s="4" t="s">
        <v>520</v>
      </c>
      <c r="NS24">
        <v>31</v>
      </c>
      <c r="NV24">
        <v>4</v>
      </c>
      <c r="OG24" t="s">
        <v>2468</v>
      </c>
      <c r="OH24" s="78" t="s">
        <v>475</v>
      </c>
      <c r="OI24">
        <v>2007</v>
      </c>
      <c r="OL24" t="s">
        <v>2448</v>
      </c>
      <c r="ON24" t="s">
        <v>522</v>
      </c>
      <c r="OO24" s="50">
        <v>46105</v>
      </c>
    </row>
    <row r="25" spans="1:405" ht="15.75" thickBot="1">
      <c r="A25" t="s">
        <v>469</v>
      </c>
      <c r="B25" t="s">
        <v>2406</v>
      </c>
      <c r="C25" t="s">
        <v>667</v>
      </c>
      <c r="D25" s="89" t="s">
        <v>1179</v>
      </c>
      <c r="E25" s="81" t="s">
        <v>2407</v>
      </c>
      <c r="F25" s="89" t="s">
        <v>1179</v>
      </c>
      <c r="G25" s="78" t="s">
        <v>475</v>
      </c>
      <c r="H25" s="78" t="s">
        <v>476</v>
      </c>
      <c r="I25">
        <v>-0.41666666699999999</v>
      </c>
      <c r="J25">
        <v>34.200000000000003</v>
      </c>
      <c r="K25" s="78" t="s">
        <v>480</v>
      </c>
      <c r="N25" t="s">
        <v>2485</v>
      </c>
      <c r="O25" t="s">
        <v>2486</v>
      </c>
      <c r="P25">
        <v>83.8</v>
      </c>
      <c r="Q25" s="9">
        <v>1000</v>
      </c>
      <c r="R25">
        <v>10.29</v>
      </c>
      <c r="S25">
        <v>76.875</v>
      </c>
      <c r="T25">
        <v>600</v>
      </c>
      <c r="U25" t="s">
        <v>2451</v>
      </c>
      <c r="V25" t="s">
        <v>2487</v>
      </c>
      <c r="AV25" t="s">
        <v>2408</v>
      </c>
      <c r="AW25">
        <v>51</v>
      </c>
      <c r="AX25" t="s">
        <v>866</v>
      </c>
      <c r="AY25">
        <v>1</v>
      </c>
      <c r="AZ25" t="s">
        <v>2409</v>
      </c>
      <c r="BA25">
        <v>2007</v>
      </c>
      <c r="BB25">
        <v>2008</v>
      </c>
      <c r="BD25" t="s">
        <v>492</v>
      </c>
      <c r="BE25" t="s">
        <v>2467</v>
      </c>
      <c r="BF25" t="s">
        <v>483</v>
      </c>
      <c r="BH25" t="s">
        <v>485</v>
      </c>
      <c r="BI25" t="s">
        <v>2411</v>
      </c>
      <c r="BJ25" s="78" t="s">
        <v>486</v>
      </c>
      <c r="BK25">
        <v>44444</v>
      </c>
      <c r="IF25" t="s">
        <v>2467</v>
      </c>
      <c r="IG25" t="s">
        <v>492</v>
      </c>
      <c r="JH25" t="s">
        <v>2412</v>
      </c>
      <c r="JI25" t="s">
        <v>494</v>
      </c>
      <c r="JJ25" t="s">
        <v>495</v>
      </c>
      <c r="JK25" s="8" t="s">
        <v>1466</v>
      </c>
      <c r="JN25" t="s">
        <v>508</v>
      </c>
      <c r="JO25">
        <v>40</v>
      </c>
      <c r="JP25">
        <v>50</v>
      </c>
      <c r="KD25" t="s">
        <v>500</v>
      </c>
      <c r="MR25" t="s">
        <v>2413</v>
      </c>
      <c r="MS25">
        <v>36</v>
      </c>
      <c r="MT25" t="s">
        <v>2414</v>
      </c>
      <c r="MV25" t="s">
        <v>548</v>
      </c>
      <c r="NC25" t="s">
        <v>2415</v>
      </c>
      <c r="ND25" t="s">
        <v>2416</v>
      </c>
      <c r="NE25" t="s">
        <v>2417</v>
      </c>
      <c r="NF25" s="4" t="s">
        <v>515</v>
      </c>
      <c r="NG25" t="s">
        <v>516</v>
      </c>
      <c r="NO25" s="69" t="s">
        <v>604</v>
      </c>
      <c r="NP25" t="s">
        <v>518</v>
      </c>
      <c r="NQ25">
        <v>49.9</v>
      </c>
      <c r="NR25" s="4" t="s">
        <v>520</v>
      </c>
      <c r="NS25">
        <v>20</v>
      </c>
      <c r="NV25">
        <v>4</v>
      </c>
      <c r="OG25" t="s">
        <v>2488</v>
      </c>
      <c r="OH25" s="78" t="s">
        <v>475</v>
      </c>
      <c r="OI25">
        <v>2007</v>
      </c>
      <c r="OL25" t="s">
        <v>2419</v>
      </c>
      <c r="ON25" t="s">
        <v>522</v>
      </c>
      <c r="OO25" s="50">
        <v>46105</v>
      </c>
    </row>
    <row r="26" spans="1:405" ht="15.75" thickBot="1">
      <c r="A26" t="s">
        <v>469</v>
      </c>
      <c r="B26" t="s">
        <v>2406</v>
      </c>
      <c r="C26" t="s">
        <v>667</v>
      </c>
      <c r="D26" s="89" t="s">
        <v>1179</v>
      </c>
      <c r="E26" s="81" t="s">
        <v>2407</v>
      </c>
      <c r="F26" s="89" t="s">
        <v>1179</v>
      </c>
      <c r="G26" s="78" t="s">
        <v>475</v>
      </c>
      <c r="H26" s="78" t="s">
        <v>476</v>
      </c>
      <c r="I26">
        <v>-0.41666666699999999</v>
      </c>
      <c r="J26">
        <v>34.200000000000003</v>
      </c>
      <c r="K26" s="78" t="s">
        <v>480</v>
      </c>
      <c r="N26" t="s">
        <v>2489</v>
      </c>
      <c r="O26" t="s">
        <v>2490</v>
      </c>
      <c r="P26">
        <v>100</v>
      </c>
      <c r="Q26">
        <v>980</v>
      </c>
      <c r="R26">
        <v>10.348000000000001</v>
      </c>
      <c r="S26">
        <v>76.935000000000002</v>
      </c>
      <c r="T26">
        <v>600</v>
      </c>
      <c r="U26" t="s">
        <v>2455</v>
      </c>
      <c r="V26" t="s">
        <v>2491</v>
      </c>
      <c r="AV26" t="s">
        <v>2408</v>
      </c>
      <c r="AW26">
        <v>52</v>
      </c>
      <c r="AX26" t="s">
        <v>866</v>
      </c>
      <c r="AY26">
        <v>1</v>
      </c>
      <c r="AZ26" t="s">
        <v>2409</v>
      </c>
      <c r="BA26">
        <v>2007</v>
      </c>
      <c r="BB26">
        <v>2008</v>
      </c>
      <c r="BD26" t="s">
        <v>998</v>
      </c>
      <c r="BE26" t="s">
        <v>2472</v>
      </c>
      <c r="BF26" t="s">
        <v>607</v>
      </c>
      <c r="BH26" t="s">
        <v>485</v>
      </c>
      <c r="BI26" t="s">
        <v>2411</v>
      </c>
      <c r="BJ26" s="78" t="s">
        <v>486</v>
      </c>
      <c r="BK26">
        <v>44444</v>
      </c>
      <c r="BL26" t="s">
        <v>537</v>
      </c>
      <c r="BM26" t="s">
        <v>1425</v>
      </c>
      <c r="BN26" t="s">
        <v>2421</v>
      </c>
      <c r="BO26" s="78" t="s">
        <v>486</v>
      </c>
      <c r="BP26">
        <v>44444</v>
      </c>
      <c r="EH26" s="9"/>
      <c r="EI26" s="9"/>
      <c r="EJ26" s="9"/>
      <c r="EK26" s="9"/>
      <c r="EL26" s="9"/>
      <c r="EM26" s="9"/>
      <c r="EN26" s="9"/>
      <c r="EO26" s="9"/>
      <c r="EP26" s="9"/>
      <c r="EQ26" s="9"/>
      <c r="ER26" s="9"/>
      <c r="ES26" s="9"/>
      <c r="ET26" s="9"/>
      <c r="EU26" s="9"/>
      <c r="EV26" s="9"/>
      <c r="EW26" s="9"/>
      <c r="EX26" s="9"/>
      <c r="EY26" s="9"/>
      <c r="EZ26" s="9"/>
      <c r="FA26" s="9"/>
      <c r="FB26" s="9"/>
      <c r="FC26" s="9"/>
      <c r="FD26" s="9"/>
      <c r="FE26" s="9"/>
      <c r="FF26" s="9"/>
      <c r="FG26" s="9"/>
      <c r="FH26" s="9"/>
      <c r="FI26" s="9"/>
      <c r="FJ26" s="9"/>
      <c r="FK26" s="9"/>
      <c r="FL26" s="9"/>
      <c r="FM26" s="9"/>
      <c r="FN26" s="9"/>
      <c r="FO26" s="9"/>
      <c r="FP26" s="9"/>
      <c r="FQ26" s="9"/>
      <c r="FR26" s="9"/>
      <c r="FS26" s="9"/>
      <c r="FT26" s="9"/>
      <c r="FU26" s="9"/>
      <c r="FV26" s="9"/>
      <c r="FW26" s="9"/>
      <c r="FX26" s="9"/>
      <c r="FY26" s="9"/>
      <c r="FZ26" s="9"/>
      <c r="GA26" s="9"/>
      <c r="GB26" s="9"/>
      <c r="GC26" s="9"/>
      <c r="GD26" s="9"/>
      <c r="GE26" s="9"/>
      <c r="GF26" s="9"/>
      <c r="GG26" s="9"/>
      <c r="GH26" s="9"/>
      <c r="GI26" s="9"/>
      <c r="GJ26" s="9"/>
      <c r="GK26" s="9"/>
      <c r="GL26" s="9"/>
      <c r="GM26" s="9"/>
      <c r="GN26" s="9"/>
      <c r="GO26" s="9"/>
      <c r="GP26" s="9"/>
      <c r="GQ26" s="9"/>
      <c r="GR26" s="9"/>
      <c r="GS26" s="9"/>
      <c r="GT26" s="9"/>
      <c r="GU26" s="9"/>
      <c r="GV26" s="9"/>
      <c r="GW26" s="9"/>
      <c r="GX26" s="9"/>
      <c r="GY26" s="9"/>
      <c r="GZ26" s="9"/>
      <c r="HA26" s="9"/>
      <c r="HB26" s="9"/>
      <c r="HC26" s="9"/>
      <c r="HD26" s="9"/>
      <c r="HE26" s="9"/>
      <c r="HF26" s="9"/>
      <c r="HG26" s="9"/>
      <c r="HH26" s="9"/>
      <c r="HI26" s="9"/>
      <c r="HJ26" s="9"/>
      <c r="HK26" s="9"/>
      <c r="HW26" s="50"/>
      <c r="IF26" t="s">
        <v>2472</v>
      </c>
      <c r="IG26" s="75" t="s">
        <v>1714</v>
      </c>
      <c r="IH26" t="s">
        <v>542</v>
      </c>
      <c r="II26" t="s">
        <v>543</v>
      </c>
      <c r="IJ26" t="s">
        <v>1049</v>
      </c>
      <c r="IK26" t="s">
        <v>1049</v>
      </c>
      <c r="IL26" s="78" t="s">
        <v>480</v>
      </c>
      <c r="JH26" t="s">
        <v>2412</v>
      </c>
      <c r="JI26" t="s">
        <v>494</v>
      </c>
      <c r="JJ26" t="s">
        <v>495</v>
      </c>
      <c r="JK26" s="8" t="s">
        <v>1466</v>
      </c>
      <c r="JN26" t="s">
        <v>508</v>
      </c>
      <c r="JO26">
        <v>40</v>
      </c>
      <c r="JP26">
        <v>50</v>
      </c>
      <c r="KD26" t="s">
        <v>500</v>
      </c>
      <c r="MR26" t="s">
        <v>2413</v>
      </c>
      <c r="MS26">
        <v>36</v>
      </c>
      <c r="MT26" t="s">
        <v>2422</v>
      </c>
      <c r="MV26" t="s">
        <v>548</v>
      </c>
      <c r="MW26" t="s">
        <v>1674</v>
      </c>
      <c r="NC26" t="s">
        <v>2423</v>
      </c>
      <c r="ND26" t="s">
        <v>2416</v>
      </c>
      <c r="NE26" t="s">
        <v>2417</v>
      </c>
      <c r="NF26" s="4" t="s">
        <v>515</v>
      </c>
      <c r="NG26" t="s">
        <v>516</v>
      </c>
      <c r="NO26" s="69"/>
      <c r="NP26" t="s">
        <v>518</v>
      </c>
      <c r="NQ26">
        <v>75.099999999999994</v>
      </c>
      <c r="NR26" s="4" t="s">
        <v>520</v>
      </c>
      <c r="NS26">
        <v>49</v>
      </c>
      <c r="NV26">
        <v>4</v>
      </c>
      <c r="OG26" t="s">
        <v>2488</v>
      </c>
      <c r="OH26" s="78" t="s">
        <v>475</v>
      </c>
      <c r="OI26">
        <v>2007</v>
      </c>
      <c r="OL26" t="s">
        <v>2419</v>
      </c>
      <c r="ON26" t="s">
        <v>522</v>
      </c>
      <c r="OO26" s="50">
        <v>46105</v>
      </c>
    </row>
    <row r="27" spans="1:405" ht="15.75" thickBot="1">
      <c r="A27" t="s">
        <v>469</v>
      </c>
      <c r="B27" t="s">
        <v>2406</v>
      </c>
      <c r="C27" t="s">
        <v>667</v>
      </c>
      <c r="D27" s="89" t="s">
        <v>1179</v>
      </c>
      <c r="E27" s="81" t="s">
        <v>2407</v>
      </c>
      <c r="F27" s="89" t="s">
        <v>1179</v>
      </c>
      <c r="G27" s="78" t="s">
        <v>475</v>
      </c>
      <c r="H27" s="78" t="s">
        <v>476</v>
      </c>
      <c r="I27">
        <v>-0.41666666699999999</v>
      </c>
      <c r="J27">
        <v>34.200000000000003</v>
      </c>
      <c r="K27" s="78" t="s">
        <v>480</v>
      </c>
      <c r="AV27" t="s">
        <v>2408</v>
      </c>
      <c r="AW27">
        <v>53</v>
      </c>
      <c r="AX27" t="s">
        <v>866</v>
      </c>
      <c r="AY27">
        <v>1</v>
      </c>
      <c r="AZ27" t="s">
        <v>2409</v>
      </c>
      <c r="BA27">
        <v>2007</v>
      </c>
      <c r="BB27">
        <v>2008</v>
      </c>
      <c r="BD27" t="s">
        <v>998</v>
      </c>
      <c r="BE27" t="s">
        <v>2476</v>
      </c>
      <c r="BF27" t="s">
        <v>611</v>
      </c>
      <c r="BH27" t="s">
        <v>485</v>
      </c>
      <c r="BI27" t="s">
        <v>2411</v>
      </c>
      <c r="BJ27" s="78" t="s">
        <v>486</v>
      </c>
      <c r="BK27">
        <v>44444</v>
      </c>
      <c r="BL27" t="s">
        <v>537</v>
      </c>
      <c r="BM27" t="s">
        <v>2425</v>
      </c>
      <c r="BN27" t="s">
        <v>866</v>
      </c>
      <c r="BO27" t="s">
        <v>866</v>
      </c>
      <c r="BP27" t="s">
        <v>866</v>
      </c>
      <c r="EH27" s="9"/>
      <c r="EI27" s="9"/>
      <c r="EJ27" s="9"/>
      <c r="EK27" s="9"/>
      <c r="EL27" s="9"/>
      <c r="EM27" s="9"/>
      <c r="EN27" s="9"/>
      <c r="EO27" s="9"/>
      <c r="EP27" s="9"/>
      <c r="EQ27" s="9"/>
      <c r="ER27" s="9"/>
      <c r="ES27" s="9"/>
      <c r="ET27" s="9"/>
      <c r="EU27" s="9"/>
      <c r="EV27" s="9"/>
      <c r="EW27" s="9"/>
      <c r="EX27" s="9"/>
      <c r="EY27" s="9"/>
      <c r="EZ27" s="9"/>
      <c r="FA27" s="9"/>
      <c r="FB27" s="9"/>
      <c r="FC27" s="9"/>
      <c r="FD27" s="9"/>
      <c r="FE27" s="9"/>
      <c r="FF27" s="9"/>
      <c r="FG27" s="9"/>
      <c r="FH27" s="9"/>
      <c r="FI27" s="9"/>
      <c r="FJ27" s="9"/>
      <c r="FK27" s="9"/>
      <c r="FL27" s="9"/>
      <c r="FM27" s="9"/>
      <c r="FN27" s="9"/>
      <c r="FO27" s="9"/>
      <c r="FP27" s="9"/>
      <c r="FQ27" s="9"/>
      <c r="FR27" s="9"/>
      <c r="FS27" s="9"/>
      <c r="FT27" s="9"/>
      <c r="FU27" s="9"/>
      <c r="FV27" s="9"/>
      <c r="FW27" s="9"/>
      <c r="FX27" s="9"/>
      <c r="FY27" s="9"/>
      <c r="FZ27" s="9"/>
      <c r="GA27" s="9"/>
      <c r="GB27" s="9"/>
      <c r="GC27" s="9"/>
      <c r="GD27" s="9"/>
      <c r="GE27" s="9"/>
      <c r="GF27" s="9"/>
      <c r="GG27" s="9"/>
      <c r="GH27" s="9"/>
      <c r="GI27" s="9"/>
      <c r="GJ27" s="9"/>
      <c r="GK27" s="9"/>
      <c r="GL27" s="9"/>
      <c r="GM27" s="9"/>
      <c r="GN27" s="9"/>
      <c r="GO27" s="9"/>
      <c r="GP27" s="9"/>
      <c r="GQ27" s="9"/>
      <c r="GR27" s="9"/>
      <c r="GS27" s="9"/>
      <c r="GT27" s="9"/>
      <c r="GU27" s="9"/>
      <c r="GV27" s="9"/>
      <c r="GW27" s="9"/>
      <c r="GX27" s="9"/>
      <c r="GY27" s="9"/>
      <c r="GZ27" s="9"/>
      <c r="HA27" s="9"/>
      <c r="HB27" s="9"/>
      <c r="HC27" s="9"/>
      <c r="HD27" s="9"/>
      <c r="HE27" s="9"/>
      <c r="HF27" s="9"/>
      <c r="HG27" s="9"/>
      <c r="HH27" s="9"/>
      <c r="HI27" s="9"/>
      <c r="HJ27" s="9"/>
      <c r="HK27" s="9"/>
      <c r="HW27" s="50"/>
      <c r="IF27" t="s">
        <v>2476</v>
      </c>
      <c r="IG27" s="75" t="s">
        <v>2426</v>
      </c>
      <c r="IH27" t="s">
        <v>542</v>
      </c>
      <c r="II27" t="s">
        <v>543</v>
      </c>
      <c r="IJ27" t="s">
        <v>1049</v>
      </c>
      <c r="IK27" t="s">
        <v>1049</v>
      </c>
      <c r="IL27" s="78" t="s">
        <v>480</v>
      </c>
      <c r="JH27" t="s">
        <v>2412</v>
      </c>
      <c r="JI27" t="s">
        <v>494</v>
      </c>
      <c r="JJ27" t="s">
        <v>495</v>
      </c>
      <c r="JK27" s="8" t="s">
        <v>1466</v>
      </c>
      <c r="JN27" t="s">
        <v>508</v>
      </c>
      <c r="JO27">
        <v>40</v>
      </c>
      <c r="JP27">
        <v>50</v>
      </c>
      <c r="KD27" t="s">
        <v>500</v>
      </c>
      <c r="MR27" t="s">
        <v>2413</v>
      </c>
      <c r="MS27">
        <v>36</v>
      </c>
      <c r="MT27" t="s">
        <v>2427</v>
      </c>
      <c r="MV27" t="s">
        <v>548</v>
      </c>
      <c r="MW27" t="s">
        <v>2428</v>
      </c>
      <c r="MX27" t="s">
        <v>2429</v>
      </c>
      <c r="NC27" t="s">
        <v>2423</v>
      </c>
      <c r="ND27" t="s">
        <v>2416</v>
      </c>
      <c r="NE27" t="s">
        <v>2417</v>
      </c>
      <c r="NF27" s="4" t="s">
        <v>515</v>
      </c>
      <c r="NG27" t="s">
        <v>516</v>
      </c>
      <c r="NO27" s="69"/>
      <c r="NP27" t="s">
        <v>518</v>
      </c>
      <c r="NQ27">
        <v>1431.9</v>
      </c>
      <c r="NR27" s="4" t="s">
        <v>520</v>
      </c>
      <c r="NS27">
        <v>79</v>
      </c>
      <c r="NV27">
        <v>4</v>
      </c>
      <c r="OG27" t="s">
        <v>2488</v>
      </c>
      <c r="OH27" s="78" t="s">
        <v>475</v>
      </c>
      <c r="OI27">
        <v>2007</v>
      </c>
      <c r="OL27" t="s">
        <v>2419</v>
      </c>
      <c r="ON27" t="s">
        <v>522</v>
      </c>
      <c r="OO27" s="50">
        <v>46105</v>
      </c>
    </row>
    <row r="28" spans="1:405" ht="15.75" thickBot="1">
      <c r="A28" t="s">
        <v>469</v>
      </c>
      <c r="B28" t="s">
        <v>2406</v>
      </c>
      <c r="C28" t="s">
        <v>667</v>
      </c>
      <c r="D28" s="89" t="s">
        <v>1179</v>
      </c>
      <c r="E28" s="81" t="s">
        <v>2407</v>
      </c>
      <c r="F28" s="89" t="s">
        <v>1179</v>
      </c>
      <c r="G28" s="78" t="s">
        <v>475</v>
      </c>
      <c r="H28" s="78" t="s">
        <v>476</v>
      </c>
      <c r="I28">
        <v>-0.41666666699999999</v>
      </c>
      <c r="J28">
        <v>34.200000000000003</v>
      </c>
      <c r="K28" s="78" t="s">
        <v>480</v>
      </c>
      <c r="AV28" t="s">
        <v>2408</v>
      </c>
      <c r="AW28">
        <v>54</v>
      </c>
      <c r="AX28" t="s">
        <v>866</v>
      </c>
      <c r="AY28">
        <v>1</v>
      </c>
      <c r="AZ28" t="s">
        <v>2409</v>
      </c>
      <c r="BA28">
        <v>2007</v>
      </c>
      <c r="BB28">
        <v>2008</v>
      </c>
      <c r="BD28" t="s">
        <v>998</v>
      </c>
      <c r="BE28" t="s">
        <v>2480</v>
      </c>
      <c r="BF28" t="s">
        <v>615</v>
      </c>
      <c r="BH28" t="s">
        <v>485</v>
      </c>
      <c r="BI28" t="s">
        <v>2411</v>
      </c>
      <c r="BJ28" s="78" t="s">
        <v>486</v>
      </c>
      <c r="BK28">
        <v>44444</v>
      </c>
      <c r="BL28" t="s">
        <v>537</v>
      </c>
      <c r="BM28" t="s">
        <v>1425</v>
      </c>
      <c r="BN28" t="s">
        <v>2421</v>
      </c>
      <c r="BO28" s="78" t="s">
        <v>486</v>
      </c>
      <c r="BP28">
        <v>44444</v>
      </c>
      <c r="BQ28" t="s">
        <v>537</v>
      </c>
      <c r="BR28" t="s">
        <v>2425</v>
      </c>
      <c r="BS28" t="s">
        <v>866</v>
      </c>
      <c r="BT28" t="s">
        <v>866</v>
      </c>
      <c r="BU28" t="s">
        <v>866</v>
      </c>
      <c r="EH28" s="9"/>
      <c r="EI28" s="9"/>
      <c r="EJ28" s="9"/>
      <c r="EK28" s="9"/>
      <c r="EL28" s="9"/>
      <c r="EM28" s="9"/>
      <c r="EN28" s="9"/>
      <c r="EO28" s="9"/>
      <c r="EP28" s="9"/>
      <c r="EQ28" s="9"/>
      <c r="ER28" s="9"/>
      <c r="ES28" s="9"/>
      <c r="ET28" s="9"/>
      <c r="EU28" s="9"/>
      <c r="EV28" s="9"/>
      <c r="EW28" s="9"/>
      <c r="EX28" s="9"/>
      <c r="EY28" s="9"/>
      <c r="EZ28" s="9"/>
      <c r="FA28" s="9"/>
      <c r="FB28" s="9"/>
      <c r="FC28" s="9"/>
      <c r="FD28" s="9"/>
      <c r="FE28" s="9"/>
      <c r="FF28" s="9"/>
      <c r="FG28" s="9"/>
      <c r="FH28" s="9"/>
      <c r="FI28" s="9"/>
      <c r="FJ28" s="9"/>
      <c r="FK28" s="9"/>
      <c r="FL28" s="9"/>
      <c r="FM28" s="9"/>
      <c r="FN28" s="9"/>
      <c r="FO28" s="9"/>
      <c r="FP28" s="9"/>
      <c r="FQ28" s="9"/>
      <c r="FR28" s="9"/>
      <c r="FS28" s="9"/>
      <c r="FT28" s="9"/>
      <c r="FU28" s="9"/>
      <c r="FV28" s="9"/>
      <c r="FW28" s="9"/>
      <c r="FX28" s="9"/>
      <c r="FY28" s="9"/>
      <c r="FZ28" s="9"/>
      <c r="GA28" s="9"/>
      <c r="GB28" s="9"/>
      <c r="GC28" s="9"/>
      <c r="GD28" s="9"/>
      <c r="GE28" s="9"/>
      <c r="GF28" s="9"/>
      <c r="GG28" s="9"/>
      <c r="GH28" s="9"/>
      <c r="GI28" s="9"/>
      <c r="GJ28" s="9"/>
      <c r="GK28" s="9"/>
      <c r="GL28" s="9"/>
      <c r="GM28" s="9"/>
      <c r="GN28" s="9"/>
      <c r="GO28" s="9"/>
      <c r="GP28" s="9"/>
      <c r="GQ28" s="9"/>
      <c r="GR28" s="9"/>
      <c r="GS28" s="9"/>
      <c r="GT28" s="9"/>
      <c r="GU28" s="9"/>
      <c r="GV28" s="9"/>
      <c r="GW28" s="9"/>
      <c r="GX28" s="9"/>
      <c r="GY28" s="9"/>
      <c r="GZ28" s="9"/>
      <c r="HA28" s="9"/>
      <c r="HB28" s="9"/>
      <c r="HC28" s="9"/>
      <c r="HD28" s="9"/>
      <c r="HE28" s="9"/>
      <c r="HF28" s="9"/>
      <c r="HG28" s="9"/>
      <c r="HH28" s="9"/>
      <c r="HI28" s="9"/>
      <c r="HJ28" s="9"/>
      <c r="HK28" s="9"/>
      <c r="HW28" s="50"/>
      <c r="IF28" t="s">
        <v>2480</v>
      </c>
      <c r="IG28" s="75" t="s">
        <v>2426</v>
      </c>
      <c r="IH28" t="s">
        <v>542</v>
      </c>
      <c r="II28" t="s">
        <v>543</v>
      </c>
      <c r="IJ28" t="s">
        <v>1049</v>
      </c>
      <c r="IK28" t="s">
        <v>1049</v>
      </c>
      <c r="IL28" s="78" t="s">
        <v>480</v>
      </c>
      <c r="JH28" t="s">
        <v>2412</v>
      </c>
      <c r="JI28" t="s">
        <v>494</v>
      </c>
      <c r="JJ28" t="s">
        <v>495</v>
      </c>
      <c r="JK28" s="8" t="s">
        <v>1466</v>
      </c>
      <c r="JN28" t="s">
        <v>508</v>
      </c>
      <c r="JO28">
        <v>40</v>
      </c>
      <c r="JP28">
        <v>50</v>
      </c>
      <c r="KD28" t="s">
        <v>500</v>
      </c>
      <c r="MR28" t="s">
        <v>2413</v>
      </c>
      <c r="MS28">
        <v>36</v>
      </c>
      <c r="MT28" t="s">
        <v>2431</v>
      </c>
      <c r="MV28" t="s">
        <v>548</v>
      </c>
      <c r="MW28" t="s">
        <v>1674</v>
      </c>
      <c r="MX28" t="s">
        <v>2428</v>
      </c>
      <c r="MY28" t="s">
        <v>2429</v>
      </c>
      <c r="NC28" t="s">
        <v>2423</v>
      </c>
      <c r="ND28" t="s">
        <v>2416</v>
      </c>
      <c r="NE28" t="s">
        <v>2417</v>
      </c>
      <c r="NF28" s="4" t="s">
        <v>515</v>
      </c>
      <c r="NG28" t="s">
        <v>516</v>
      </c>
      <c r="NO28" s="69"/>
      <c r="NP28" t="s">
        <v>518</v>
      </c>
      <c r="NQ28">
        <v>1454</v>
      </c>
      <c r="NR28" s="4" t="s">
        <v>520</v>
      </c>
      <c r="NS28">
        <v>59</v>
      </c>
      <c r="NV28">
        <v>4</v>
      </c>
      <c r="OG28" t="s">
        <v>2488</v>
      </c>
      <c r="OH28" s="78" t="s">
        <v>475</v>
      </c>
      <c r="OI28">
        <v>2007</v>
      </c>
      <c r="OL28" t="s">
        <v>2419</v>
      </c>
      <c r="ON28" t="s">
        <v>522</v>
      </c>
      <c r="OO28" s="50">
        <v>46105</v>
      </c>
    </row>
    <row r="29" spans="1:405" ht="15.75" thickBot="1">
      <c r="A29" t="s">
        <v>469</v>
      </c>
      <c r="B29" t="s">
        <v>2406</v>
      </c>
      <c r="C29" t="s">
        <v>667</v>
      </c>
      <c r="D29" s="89" t="s">
        <v>1179</v>
      </c>
      <c r="E29" s="81" t="s">
        <v>2407</v>
      </c>
      <c r="F29" s="89" t="s">
        <v>1179</v>
      </c>
      <c r="G29" s="78" t="s">
        <v>475</v>
      </c>
      <c r="H29" s="78" t="s">
        <v>476</v>
      </c>
      <c r="I29">
        <v>-0.41666666699999999</v>
      </c>
      <c r="J29">
        <v>34.200000000000003</v>
      </c>
      <c r="K29" s="78" t="s">
        <v>480</v>
      </c>
      <c r="AV29" t="s">
        <v>2408</v>
      </c>
      <c r="AW29">
        <v>55</v>
      </c>
      <c r="AX29" t="s">
        <v>866</v>
      </c>
      <c r="AY29">
        <v>1</v>
      </c>
      <c r="AZ29" t="s">
        <v>2409</v>
      </c>
      <c r="BA29">
        <v>2007</v>
      </c>
      <c r="BB29">
        <v>2008</v>
      </c>
      <c r="BD29" t="s">
        <v>998</v>
      </c>
      <c r="BE29" t="s">
        <v>2484</v>
      </c>
      <c r="BF29" t="s">
        <v>617</v>
      </c>
      <c r="BH29" t="s">
        <v>485</v>
      </c>
      <c r="BI29" t="s">
        <v>2411</v>
      </c>
      <c r="BJ29" s="78" t="s">
        <v>486</v>
      </c>
      <c r="BK29">
        <v>44444</v>
      </c>
      <c r="BL29" t="s">
        <v>537</v>
      </c>
      <c r="BM29" t="s">
        <v>1425</v>
      </c>
      <c r="BN29" t="s">
        <v>2421</v>
      </c>
      <c r="BO29" s="78" t="s">
        <v>486</v>
      </c>
      <c r="BP29">
        <v>44444</v>
      </c>
      <c r="BQ29" t="s">
        <v>537</v>
      </c>
      <c r="BR29" t="s">
        <v>2425</v>
      </c>
      <c r="BS29" t="s">
        <v>866</v>
      </c>
      <c r="BT29" t="s">
        <v>866</v>
      </c>
      <c r="BU29" t="s">
        <v>866</v>
      </c>
      <c r="EH29" s="9"/>
      <c r="EI29" s="9"/>
      <c r="EJ29" s="9"/>
      <c r="EK29" s="9"/>
      <c r="EL29" s="9"/>
      <c r="EM29" s="9"/>
      <c r="EN29" s="9"/>
      <c r="EO29" s="9"/>
      <c r="EP29" s="9"/>
      <c r="EQ29" s="9"/>
      <c r="ER29" s="9"/>
      <c r="ES29" s="9"/>
      <c r="ET29" s="9"/>
      <c r="EU29" s="9"/>
      <c r="EV29" s="9"/>
      <c r="EW29" s="9"/>
      <c r="EX29" s="9"/>
      <c r="EY29" s="9"/>
      <c r="EZ29" s="9"/>
      <c r="FA29" s="9"/>
      <c r="FB29" s="9"/>
      <c r="FC29" s="9"/>
      <c r="FD29" s="9"/>
      <c r="FE29" s="9"/>
      <c r="FF29" s="9"/>
      <c r="FG29" s="9"/>
      <c r="FH29" s="9"/>
      <c r="FI29" s="9"/>
      <c r="FJ29" s="9"/>
      <c r="FK29" s="9"/>
      <c r="FL29" s="9"/>
      <c r="FM29" s="9"/>
      <c r="FN29" s="9"/>
      <c r="FO29" s="9"/>
      <c r="FP29" s="9"/>
      <c r="FQ29" s="9"/>
      <c r="FR29" s="9"/>
      <c r="FS29" s="9"/>
      <c r="FT29" s="9"/>
      <c r="FU29" s="9"/>
      <c r="FV29" s="9"/>
      <c r="FW29" s="9"/>
      <c r="FX29" s="9"/>
      <c r="FY29" s="9"/>
      <c r="FZ29" s="9"/>
      <c r="GA29" s="9"/>
      <c r="GB29" s="9"/>
      <c r="GC29" s="9"/>
      <c r="GD29" s="9"/>
      <c r="GE29" s="9"/>
      <c r="GF29" s="9"/>
      <c r="GG29" s="9"/>
      <c r="GH29" s="9"/>
      <c r="GI29" s="9"/>
      <c r="GJ29" s="9"/>
      <c r="GK29" s="9"/>
      <c r="GL29" s="9"/>
      <c r="GM29" s="9"/>
      <c r="GN29" s="9"/>
      <c r="GO29" s="9"/>
      <c r="GP29" s="9"/>
      <c r="GQ29" s="9"/>
      <c r="GR29" s="9"/>
      <c r="GS29" s="9"/>
      <c r="GT29" s="9"/>
      <c r="GU29" s="9"/>
      <c r="GV29" s="9"/>
      <c r="GW29" s="9"/>
      <c r="GX29" s="9"/>
      <c r="GY29" s="9"/>
      <c r="GZ29" s="9"/>
      <c r="HA29" s="9"/>
      <c r="HB29" s="9"/>
      <c r="HC29" s="9"/>
      <c r="HD29" s="9"/>
      <c r="HE29" s="9"/>
      <c r="HF29" s="9"/>
      <c r="HG29" s="9"/>
      <c r="HH29" s="9"/>
      <c r="HI29" s="9"/>
      <c r="HJ29" s="9"/>
      <c r="HK29" s="9"/>
      <c r="HW29" s="50"/>
      <c r="IF29" t="s">
        <v>2484</v>
      </c>
      <c r="IG29" s="75" t="s">
        <v>2426</v>
      </c>
      <c r="IH29" t="s">
        <v>542</v>
      </c>
      <c r="II29" t="s">
        <v>543</v>
      </c>
      <c r="IJ29" t="s">
        <v>1049</v>
      </c>
      <c r="IK29" t="s">
        <v>1049</v>
      </c>
      <c r="IL29" s="78" t="s">
        <v>480</v>
      </c>
      <c r="JH29" t="s">
        <v>2412</v>
      </c>
      <c r="JI29" t="s">
        <v>494</v>
      </c>
      <c r="JJ29" t="s">
        <v>495</v>
      </c>
      <c r="JK29" s="8" t="s">
        <v>1466</v>
      </c>
      <c r="JN29" t="s">
        <v>508</v>
      </c>
      <c r="JO29">
        <v>40</v>
      </c>
      <c r="JP29">
        <v>50</v>
      </c>
      <c r="KD29" t="s">
        <v>500</v>
      </c>
      <c r="MR29" t="s">
        <v>2413</v>
      </c>
      <c r="MS29">
        <v>36</v>
      </c>
      <c r="MT29" t="s">
        <v>2431</v>
      </c>
      <c r="MV29" t="s">
        <v>548</v>
      </c>
      <c r="MW29" t="s">
        <v>1674</v>
      </c>
      <c r="MX29" t="s">
        <v>2428</v>
      </c>
      <c r="MY29" t="s">
        <v>2429</v>
      </c>
      <c r="NC29" t="s">
        <v>2423</v>
      </c>
      <c r="ND29" t="s">
        <v>2416</v>
      </c>
      <c r="NE29" t="s">
        <v>2417</v>
      </c>
      <c r="NF29" s="4" t="s">
        <v>515</v>
      </c>
      <c r="NG29" t="s">
        <v>516</v>
      </c>
      <c r="NO29" s="69"/>
      <c r="NP29" t="s">
        <v>518</v>
      </c>
      <c r="NQ29">
        <v>1532</v>
      </c>
      <c r="NR29" s="4" t="s">
        <v>520</v>
      </c>
      <c r="NS29">
        <v>49</v>
      </c>
      <c r="NV29">
        <v>4</v>
      </c>
      <c r="OG29" t="s">
        <v>2488</v>
      </c>
      <c r="OH29" s="78" t="s">
        <v>475</v>
      </c>
      <c r="OI29">
        <v>2007</v>
      </c>
      <c r="OL29" t="s">
        <v>2419</v>
      </c>
      <c r="ON29" t="s">
        <v>522</v>
      </c>
      <c r="OO29" s="50">
        <v>46105</v>
      </c>
    </row>
    <row r="30" spans="1:405" ht="15.75" thickBot="1">
      <c r="A30" t="s">
        <v>469</v>
      </c>
      <c r="B30" t="s">
        <v>2406</v>
      </c>
      <c r="C30" t="s">
        <v>667</v>
      </c>
      <c r="D30" s="89" t="s">
        <v>1179</v>
      </c>
      <c r="E30" s="81" t="s">
        <v>2407</v>
      </c>
      <c r="F30" s="89" t="s">
        <v>1179</v>
      </c>
      <c r="G30" s="78" t="s">
        <v>475</v>
      </c>
      <c r="H30" s="78" t="s">
        <v>476</v>
      </c>
      <c r="I30">
        <v>-0.41666666699999999</v>
      </c>
      <c r="J30">
        <v>34.200000000000003</v>
      </c>
      <c r="K30" s="78" t="s">
        <v>480</v>
      </c>
      <c r="AV30" t="s">
        <v>2408</v>
      </c>
      <c r="AW30">
        <v>36</v>
      </c>
      <c r="AX30" t="s">
        <v>866</v>
      </c>
      <c r="AY30">
        <v>1</v>
      </c>
      <c r="AZ30" t="s">
        <v>2409</v>
      </c>
      <c r="BA30">
        <v>2007</v>
      </c>
      <c r="BB30">
        <v>2008</v>
      </c>
      <c r="BD30" t="s">
        <v>492</v>
      </c>
      <c r="BE30" t="s">
        <v>2410</v>
      </c>
      <c r="BF30" t="s">
        <v>524</v>
      </c>
      <c r="BH30" t="s">
        <v>485</v>
      </c>
      <c r="BI30" t="s">
        <v>2411</v>
      </c>
      <c r="BJ30" s="78" t="s">
        <v>486</v>
      </c>
      <c r="BK30">
        <v>44444</v>
      </c>
      <c r="IF30" t="s">
        <v>2410</v>
      </c>
      <c r="IG30" t="s">
        <v>492</v>
      </c>
      <c r="JH30" t="s">
        <v>2412</v>
      </c>
      <c r="JI30" t="s">
        <v>494</v>
      </c>
      <c r="JJ30" t="s">
        <v>495</v>
      </c>
      <c r="JK30" s="8" t="s">
        <v>1466</v>
      </c>
      <c r="JN30" t="s">
        <v>508</v>
      </c>
      <c r="JO30">
        <v>40</v>
      </c>
      <c r="JP30">
        <v>50</v>
      </c>
      <c r="KD30" t="s">
        <v>500</v>
      </c>
      <c r="MR30" t="s">
        <v>2413</v>
      </c>
      <c r="MS30">
        <v>36</v>
      </c>
      <c r="MT30" t="s">
        <v>2414</v>
      </c>
      <c r="MV30" t="s">
        <v>548</v>
      </c>
      <c r="ND30" t="s">
        <v>1481</v>
      </c>
      <c r="NE30" t="s">
        <v>2492</v>
      </c>
      <c r="NF30" t="s">
        <v>946</v>
      </c>
      <c r="NG30" t="s">
        <v>516</v>
      </c>
      <c r="NP30" t="s">
        <v>518</v>
      </c>
      <c r="NQ30">
        <v>672.8</v>
      </c>
      <c r="NR30" s="4" t="s">
        <v>520</v>
      </c>
      <c r="NS30">
        <v>11</v>
      </c>
      <c r="NV30">
        <v>4</v>
      </c>
      <c r="OG30" t="s">
        <v>2418</v>
      </c>
      <c r="OH30" s="78" t="s">
        <v>475</v>
      </c>
      <c r="OI30">
        <v>2007</v>
      </c>
      <c r="OL30" t="s">
        <v>2419</v>
      </c>
      <c r="ON30" t="s">
        <v>522</v>
      </c>
      <c r="OO30" s="50">
        <v>46105</v>
      </c>
    </row>
    <row r="31" spans="1:405" ht="15.75" thickBot="1">
      <c r="A31" t="s">
        <v>469</v>
      </c>
      <c r="B31" t="s">
        <v>2406</v>
      </c>
      <c r="C31" t="s">
        <v>667</v>
      </c>
      <c r="D31" s="89" t="s">
        <v>1179</v>
      </c>
      <c r="E31" s="81" t="s">
        <v>2407</v>
      </c>
      <c r="F31" s="89" t="s">
        <v>1179</v>
      </c>
      <c r="G31" s="78" t="s">
        <v>475</v>
      </c>
      <c r="H31" s="78" t="s">
        <v>476</v>
      </c>
      <c r="I31">
        <v>-0.41666666699999999</v>
      </c>
      <c r="J31">
        <v>34.200000000000003</v>
      </c>
      <c r="K31" s="78" t="s">
        <v>480</v>
      </c>
      <c r="AV31" t="s">
        <v>2408</v>
      </c>
      <c r="AW31">
        <v>37</v>
      </c>
      <c r="AX31" t="s">
        <v>866</v>
      </c>
      <c r="AY31">
        <v>1</v>
      </c>
      <c r="AZ31" t="s">
        <v>2409</v>
      </c>
      <c r="BA31">
        <v>2007</v>
      </c>
      <c r="BB31">
        <v>2008</v>
      </c>
      <c r="BD31" t="s">
        <v>998</v>
      </c>
      <c r="BE31" t="s">
        <v>2420</v>
      </c>
      <c r="BF31" t="s">
        <v>536</v>
      </c>
      <c r="BH31" t="s">
        <v>485</v>
      </c>
      <c r="BI31" t="s">
        <v>2411</v>
      </c>
      <c r="BJ31" s="78" t="s">
        <v>486</v>
      </c>
      <c r="BK31">
        <v>44444</v>
      </c>
      <c r="BL31" t="s">
        <v>537</v>
      </c>
      <c r="BM31" t="s">
        <v>1425</v>
      </c>
      <c r="BN31" t="s">
        <v>2421</v>
      </c>
      <c r="BO31" s="78" t="s">
        <v>486</v>
      </c>
      <c r="BP31">
        <v>44444</v>
      </c>
      <c r="IF31" t="s">
        <v>2420</v>
      </c>
      <c r="IG31" s="75" t="s">
        <v>1714</v>
      </c>
      <c r="IH31" t="s">
        <v>542</v>
      </c>
      <c r="II31" t="s">
        <v>543</v>
      </c>
      <c r="IJ31" t="s">
        <v>1049</v>
      </c>
      <c r="IK31" t="s">
        <v>1049</v>
      </c>
      <c r="IL31" s="78" t="s">
        <v>480</v>
      </c>
      <c r="JH31" t="s">
        <v>2412</v>
      </c>
      <c r="JI31" t="s">
        <v>494</v>
      </c>
      <c r="JJ31" t="s">
        <v>495</v>
      </c>
      <c r="JK31" s="8" t="s">
        <v>1466</v>
      </c>
      <c r="JN31" t="s">
        <v>508</v>
      </c>
      <c r="JO31">
        <v>40</v>
      </c>
      <c r="JP31">
        <v>50</v>
      </c>
      <c r="KD31" t="s">
        <v>500</v>
      </c>
      <c r="MR31" t="s">
        <v>2413</v>
      </c>
      <c r="MS31">
        <v>36</v>
      </c>
      <c r="MT31" t="s">
        <v>2422</v>
      </c>
      <c r="MV31" t="s">
        <v>548</v>
      </c>
      <c r="MW31" t="s">
        <v>1674</v>
      </c>
      <c r="ND31" t="s">
        <v>1481</v>
      </c>
      <c r="NE31" t="s">
        <v>2492</v>
      </c>
      <c r="NF31" t="s">
        <v>946</v>
      </c>
      <c r="NG31" t="s">
        <v>516</v>
      </c>
      <c r="NP31" t="s">
        <v>518</v>
      </c>
      <c r="NQ31">
        <v>1089.3</v>
      </c>
      <c r="NR31" s="4" t="s">
        <v>520</v>
      </c>
      <c r="NS31">
        <v>41</v>
      </c>
      <c r="NV31">
        <v>4</v>
      </c>
      <c r="OG31" t="s">
        <v>2418</v>
      </c>
      <c r="OH31" s="78" t="s">
        <v>475</v>
      </c>
      <c r="OI31">
        <v>2007</v>
      </c>
      <c r="OL31" t="s">
        <v>2419</v>
      </c>
      <c r="ON31" t="s">
        <v>522</v>
      </c>
      <c r="OO31" s="50">
        <v>46105</v>
      </c>
    </row>
    <row r="32" spans="1:405" ht="15.75" thickBot="1">
      <c r="A32" t="s">
        <v>469</v>
      </c>
      <c r="B32" t="s">
        <v>2406</v>
      </c>
      <c r="C32" t="s">
        <v>667</v>
      </c>
      <c r="D32" s="89" t="s">
        <v>1179</v>
      </c>
      <c r="E32" s="81" t="s">
        <v>2407</v>
      </c>
      <c r="F32" s="89" t="s">
        <v>1179</v>
      </c>
      <c r="G32" s="78" t="s">
        <v>475</v>
      </c>
      <c r="H32" s="78" t="s">
        <v>476</v>
      </c>
      <c r="I32">
        <v>-0.41666666699999999</v>
      </c>
      <c r="J32">
        <v>34.200000000000003</v>
      </c>
      <c r="K32" s="78" t="s">
        <v>480</v>
      </c>
      <c r="AV32" t="s">
        <v>2408</v>
      </c>
      <c r="AW32">
        <v>38</v>
      </c>
      <c r="AX32" t="s">
        <v>866</v>
      </c>
      <c r="AY32">
        <v>1</v>
      </c>
      <c r="AZ32" t="s">
        <v>2409</v>
      </c>
      <c r="BA32">
        <v>2007</v>
      </c>
      <c r="BB32">
        <v>2008</v>
      </c>
      <c r="BD32" t="s">
        <v>998</v>
      </c>
      <c r="BE32" t="s">
        <v>2424</v>
      </c>
      <c r="BF32" t="s">
        <v>566</v>
      </c>
      <c r="BH32" t="s">
        <v>485</v>
      </c>
      <c r="BI32" t="s">
        <v>2411</v>
      </c>
      <c r="BJ32" s="78" t="s">
        <v>486</v>
      </c>
      <c r="BK32">
        <v>44444</v>
      </c>
      <c r="BL32" t="s">
        <v>537</v>
      </c>
      <c r="BM32" t="s">
        <v>2425</v>
      </c>
      <c r="BN32" t="s">
        <v>866</v>
      </c>
      <c r="BO32" t="s">
        <v>866</v>
      </c>
      <c r="BP32" t="s">
        <v>866</v>
      </c>
      <c r="IF32" t="s">
        <v>2424</v>
      </c>
      <c r="IG32" s="75" t="s">
        <v>2426</v>
      </c>
      <c r="IH32" t="s">
        <v>542</v>
      </c>
      <c r="II32" t="s">
        <v>543</v>
      </c>
      <c r="IJ32" t="s">
        <v>1049</v>
      </c>
      <c r="IK32" t="s">
        <v>1049</v>
      </c>
      <c r="IL32" s="78" t="s">
        <v>480</v>
      </c>
      <c r="JH32" t="s">
        <v>2412</v>
      </c>
      <c r="JI32" t="s">
        <v>494</v>
      </c>
      <c r="JJ32" t="s">
        <v>495</v>
      </c>
      <c r="JK32" s="8" t="s">
        <v>1466</v>
      </c>
      <c r="JN32" t="s">
        <v>508</v>
      </c>
      <c r="JO32">
        <v>40</v>
      </c>
      <c r="JP32">
        <v>50</v>
      </c>
      <c r="KD32" t="s">
        <v>500</v>
      </c>
      <c r="MR32" t="s">
        <v>2413</v>
      </c>
      <c r="MS32">
        <v>36</v>
      </c>
      <c r="MT32" t="s">
        <v>2427</v>
      </c>
      <c r="MV32" t="s">
        <v>548</v>
      </c>
      <c r="MW32" t="s">
        <v>2428</v>
      </c>
      <c r="MX32" t="s">
        <v>2429</v>
      </c>
      <c r="ND32" t="s">
        <v>1481</v>
      </c>
      <c r="NE32" t="s">
        <v>2492</v>
      </c>
      <c r="NF32" t="s">
        <v>946</v>
      </c>
      <c r="NG32" t="s">
        <v>516</v>
      </c>
      <c r="NP32" t="s">
        <v>518</v>
      </c>
      <c r="NQ32">
        <v>1736.2</v>
      </c>
      <c r="NR32" s="4" t="s">
        <v>520</v>
      </c>
      <c r="NS32">
        <v>44</v>
      </c>
      <c r="NV32">
        <v>4</v>
      </c>
      <c r="OG32" t="s">
        <v>2418</v>
      </c>
      <c r="OH32" s="78" t="s">
        <v>475</v>
      </c>
      <c r="OI32">
        <v>2007</v>
      </c>
      <c r="OL32" t="s">
        <v>2419</v>
      </c>
      <c r="ON32" t="s">
        <v>522</v>
      </c>
      <c r="OO32" s="50">
        <v>46105</v>
      </c>
    </row>
    <row r="33" spans="1:405" ht="15.75" thickBot="1">
      <c r="A33" t="s">
        <v>469</v>
      </c>
      <c r="B33" t="s">
        <v>2406</v>
      </c>
      <c r="C33" t="s">
        <v>667</v>
      </c>
      <c r="D33" s="89" t="s">
        <v>1179</v>
      </c>
      <c r="E33" s="81" t="s">
        <v>2407</v>
      </c>
      <c r="F33" s="89" t="s">
        <v>1179</v>
      </c>
      <c r="G33" s="78" t="s">
        <v>475</v>
      </c>
      <c r="H33" s="78" t="s">
        <v>476</v>
      </c>
      <c r="I33">
        <v>-0.41666666699999999</v>
      </c>
      <c r="J33">
        <v>34.200000000000003</v>
      </c>
      <c r="K33" s="78" t="s">
        <v>480</v>
      </c>
      <c r="AV33" t="s">
        <v>2408</v>
      </c>
      <c r="AW33">
        <v>39</v>
      </c>
      <c r="AX33" t="s">
        <v>866</v>
      </c>
      <c r="AY33">
        <v>1</v>
      </c>
      <c r="AZ33" t="s">
        <v>2409</v>
      </c>
      <c r="BA33">
        <v>2007</v>
      </c>
      <c r="BB33">
        <v>2008</v>
      </c>
      <c r="BD33" t="s">
        <v>998</v>
      </c>
      <c r="BE33" t="s">
        <v>2430</v>
      </c>
      <c r="BF33" t="s">
        <v>572</v>
      </c>
      <c r="BH33" t="s">
        <v>485</v>
      </c>
      <c r="BI33" t="s">
        <v>2411</v>
      </c>
      <c r="BJ33" s="78" t="s">
        <v>486</v>
      </c>
      <c r="BK33">
        <v>44444</v>
      </c>
      <c r="BL33" t="s">
        <v>537</v>
      </c>
      <c r="BM33" t="s">
        <v>1425</v>
      </c>
      <c r="BN33" t="s">
        <v>2421</v>
      </c>
      <c r="BO33" s="78" t="s">
        <v>486</v>
      </c>
      <c r="BP33">
        <v>44444</v>
      </c>
      <c r="BQ33" t="s">
        <v>537</v>
      </c>
      <c r="BR33" t="s">
        <v>2425</v>
      </c>
      <c r="BS33" t="s">
        <v>866</v>
      </c>
      <c r="BT33" t="s">
        <v>866</v>
      </c>
      <c r="BU33" t="s">
        <v>866</v>
      </c>
      <c r="IF33" t="s">
        <v>2430</v>
      </c>
      <c r="IG33" s="75" t="s">
        <v>2426</v>
      </c>
      <c r="IH33" t="s">
        <v>542</v>
      </c>
      <c r="II33" t="s">
        <v>543</v>
      </c>
      <c r="IJ33" t="s">
        <v>1049</v>
      </c>
      <c r="IK33" t="s">
        <v>1049</v>
      </c>
      <c r="IL33" s="78" t="s">
        <v>480</v>
      </c>
      <c r="JH33" t="s">
        <v>2412</v>
      </c>
      <c r="JI33" t="s">
        <v>494</v>
      </c>
      <c r="JJ33" t="s">
        <v>495</v>
      </c>
      <c r="JK33" s="8" t="s">
        <v>1466</v>
      </c>
      <c r="JN33" t="s">
        <v>508</v>
      </c>
      <c r="JO33">
        <v>40</v>
      </c>
      <c r="JP33">
        <v>50</v>
      </c>
      <c r="KD33" t="s">
        <v>500</v>
      </c>
      <c r="MR33" t="s">
        <v>2413</v>
      </c>
      <c r="MS33">
        <v>36</v>
      </c>
      <c r="MT33" t="s">
        <v>2431</v>
      </c>
      <c r="MV33" t="s">
        <v>548</v>
      </c>
      <c r="MW33" t="s">
        <v>1674</v>
      </c>
      <c r="MX33" t="s">
        <v>2428</v>
      </c>
      <c r="MY33" t="s">
        <v>2429</v>
      </c>
      <c r="ND33" t="s">
        <v>1481</v>
      </c>
      <c r="NE33" t="s">
        <v>2492</v>
      </c>
      <c r="NF33" t="s">
        <v>946</v>
      </c>
      <c r="NG33" t="s">
        <v>516</v>
      </c>
      <c r="NP33" t="s">
        <v>518</v>
      </c>
      <c r="NQ33">
        <v>1739.7</v>
      </c>
      <c r="NR33" s="4" t="s">
        <v>520</v>
      </c>
      <c r="NS33">
        <v>28</v>
      </c>
      <c r="NV33">
        <v>4</v>
      </c>
      <c r="OG33" t="s">
        <v>2418</v>
      </c>
      <c r="OH33" s="78" t="s">
        <v>475</v>
      </c>
      <c r="OI33">
        <v>2007</v>
      </c>
      <c r="OL33" t="s">
        <v>2419</v>
      </c>
      <c r="ON33" t="s">
        <v>522</v>
      </c>
      <c r="OO33" s="50">
        <v>46105</v>
      </c>
    </row>
    <row r="34" spans="1:405" ht="15.75" thickBot="1">
      <c r="A34" t="s">
        <v>469</v>
      </c>
      <c r="B34" t="s">
        <v>2406</v>
      </c>
      <c r="C34" t="s">
        <v>667</v>
      </c>
      <c r="D34" s="89" t="s">
        <v>1179</v>
      </c>
      <c r="E34" s="81" t="s">
        <v>2407</v>
      </c>
      <c r="F34" s="89" t="s">
        <v>1179</v>
      </c>
      <c r="G34" s="78" t="s">
        <v>475</v>
      </c>
      <c r="H34" s="78" t="s">
        <v>476</v>
      </c>
      <c r="I34">
        <v>-0.41666666699999999</v>
      </c>
      <c r="J34">
        <v>34.200000000000003</v>
      </c>
      <c r="K34" s="78" t="s">
        <v>480</v>
      </c>
      <c r="AV34" t="s">
        <v>2408</v>
      </c>
      <c r="AW34">
        <v>40</v>
      </c>
      <c r="AX34" t="s">
        <v>866</v>
      </c>
      <c r="AY34">
        <v>1</v>
      </c>
      <c r="AZ34" t="s">
        <v>2409</v>
      </c>
      <c r="BA34">
        <v>2007</v>
      </c>
      <c r="BB34">
        <v>2008</v>
      </c>
      <c r="BD34" t="s">
        <v>998</v>
      </c>
      <c r="BE34" t="s">
        <v>2441</v>
      </c>
      <c r="BF34" t="s">
        <v>553</v>
      </c>
      <c r="BH34" t="s">
        <v>485</v>
      </c>
      <c r="BI34" t="s">
        <v>2411</v>
      </c>
      <c r="BJ34" s="78" t="s">
        <v>486</v>
      </c>
      <c r="BK34">
        <v>44444</v>
      </c>
      <c r="BL34" t="s">
        <v>537</v>
      </c>
      <c r="BM34" t="s">
        <v>1425</v>
      </c>
      <c r="BN34" t="s">
        <v>2421</v>
      </c>
      <c r="BO34" s="78" t="s">
        <v>486</v>
      </c>
      <c r="BP34">
        <v>44444</v>
      </c>
      <c r="BQ34" t="s">
        <v>537</v>
      </c>
      <c r="BR34" t="s">
        <v>2425</v>
      </c>
      <c r="BS34" t="s">
        <v>866</v>
      </c>
      <c r="BT34" t="s">
        <v>866</v>
      </c>
      <c r="BU34" t="s">
        <v>866</v>
      </c>
      <c r="IF34" t="s">
        <v>2442</v>
      </c>
      <c r="IG34" s="75" t="s">
        <v>2426</v>
      </c>
      <c r="IH34" t="s">
        <v>542</v>
      </c>
      <c r="II34" t="s">
        <v>543</v>
      </c>
      <c r="IJ34" t="s">
        <v>1049</v>
      </c>
      <c r="IK34" t="s">
        <v>1049</v>
      </c>
      <c r="IL34" s="78" t="s">
        <v>480</v>
      </c>
      <c r="JH34" t="s">
        <v>2412</v>
      </c>
      <c r="JI34" t="s">
        <v>494</v>
      </c>
      <c r="JJ34" t="s">
        <v>495</v>
      </c>
      <c r="JK34" s="8" t="s">
        <v>1466</v>
      </c>
      <c r="JN34" t="s">
        <v>508</v>
      </c>
      <c r="JO34">
        <v>40</v>
      </c>
      <c r="JP34">
        <v>50</v>
      </c>
      <c r="KD34" t="s">
        <v>500</v>
      </c>
      <c r="MR34" t="s">
        <v>2413</v>
      </c>
      <c r="MS34">
        <v>36</v>
      </c>
      <c r="MT34" t="s">
        <v>2431</v>
      </c>
      <c r="MV34" t="s">
        <v>548</v>
      </c>
      <c r="MW34" t="s">
        <v>1674</v>
      </c>
      <c r="MX34" t="s">
        <v>2428</v>
      </c>
      <c r="MY34" t="s">
        <v>2429</v>
      </c>
      <c r="ND34" t="s">
        <v>1481</v>
      </c>
      <c r="NE34" t="s">
        <v>2492</v>
      </c>
      <c r="NF34" t="s">
        <v>946</v>
      </c>
      <c r="NG34" t="s">
        <v>516</v>
      </c>
      <c r="NP34" t="s">
        <v>518</v>
      </c>
      <c r="NQ34">
        <v>2056.6999999999998</v>
      </c>
      <c r="NR34" s="4" t="s">
        <v>520</v>
      </c>
      <c r="NS34">
        <v>68</v>
      </c>
      <c r="NV34">
        <v>4</v>
      </c>
      <c r="OG34" t="s">
        <v>2418</v>
      </c>
      <c r="OH34" s="78" t="s">
        <v>475</v>
      </c>
      <c r="OI34">
        <v>2007</v>
      </c>
      <c r="OL34" t="s">
        <v>2419</v>
      </c>
      <c r="ON34" t="s">
        <v>522</v>
      </c>
      <c r="OO34" s="50">
        <v>46105</v>
      </c>
    </row>
    <row r="35" spans="1:405" ht="15.75" thickBot="1">
      <c r="A35" t="s">
        <v>469</v>
      </c>
      <c r="B35" t="s">
        <v>2406</v>
      </c>
      <c r="C35" t="s">
        <v>667</v>
      </c>
      <c r="D35" s="89" t="s">
        <v>1179</v>
      </c>
      <c r="E35" s="81" t="s">
        <v>2407</v>
      </c>
      <c r="F35" s="89" t="s">
        <v>1179</v>
      </c>
      <c r="G35" s="78" t="s">
        <v>475</v>
      </c>
      <c r="H35" s="78" t="s">
        <v>476</v>
      </c>
      <c r="I35">
        <v>-0.41666666699999999</v>
      </c>
      <c r="J35">
        <v>34.200000000000003</v>
      </c>
      <c r="K35" s="78" t="s">
        <v>480</v>
      </c>
      <c r="AV35" t="s">
        <v>2408</v>
      </c>
      <c r="AW35">
        <v>41</v>
      </c>
      <c r="AX35" t="s">
        <v>866</v>
      </c>
      <c r="AY35">
        <v>1</v>
      </c>
      <c r="AZ35" t="s">
        <v>2447</v>
      </c>
      <c r="BA35">
        <v>2007</v>
      </c>
      <c r="BB35">
        <v>2008</v>
      </c>
      <c r="BD35" t="s">
        <v>492</v>
      </c>
      <c r="BE35" t="s">
        <v>2410</v>
      </c>
      <c r="BF35" t="s">
        <v>524</v>
      </c>
      <c r="BH35" t="s">
        <v>485</v>
      </c>
      <c r="BI35" t="s">
        <v>2411</v>
      </c>
      <c r="BJ35" s="78" t="s">
        <v>486</v>
      </c>
      <c r="BK35">
        <v>44444</v>
      </c>
      <c r="IF35" t="s">
        <v>2410</v>
      </c>
      <c r="IG35" t="s">
        <v>492</v>
      </c>
      <c r="JH35" t="s">
        <v>2412</v>
      </c>
      <c r="JI35" t="s">
        <v>494</v>
      </c>
      <c r="JJ35" t="s">
        <v>495</v>
      </c>
      <c r="JK35" s="8" t="s">
        <v>1466</v>
      </c>
      <c r="JN35" t="s">
        <v>508</v>
      </c>
      <c r="JO35">
        <v>40</v>
      </c>
      <c r="JP35">
        <v>50</v>
      </c>
      <c r="KD35" t="s">
        <v>500</v>
      </c>
      <c r="MR35" t="s">
        <v>2413</v>
      </c>
      <c r="MS35">
        <v>36</v>
      </c>
      <c r="MT35" t="s">
        <v>2414</v>
      </c>
      <c r="MV35" t="s">
        <v>548</v>
      </c>
      <c r="ND35" t="s">
        <v>1481</v>
      </c>
      <c r="NE35" t="s">
        <v>2492</v>
      </c>
      <c r="NF35" t="s">
        <v>946</v>
      </c>
      <c r="NG35" t="s">
        <v>516</v>
      </c>
      <c r="NP35" t="s">
        <v>518</v>
      </c>
      <c r="NQ35">
        <v>667.7</v>
      </c>
      <c r="NR35" s="4" t="s">
        <v>520</v>
      </c>
      <c r="NS35">
        <v>77</v>
      </c>
      <c r="NV35">
        <v>4</v>
      </c>
      <c r="OG35" t="s">
        <v>2418</v>
      </c>
      <c r="OH35" s="78" t="s">
        <v>475</v>
      </c>
      <c r="OI35">
        <v>2008</v>
      </c>
      <c r="OL35" t="s">
        <v>2448</v>
      </c>
      <c r="ON35" t="s">
        <v>522</v>
      </c>
      <c r="OO35" s="50">
        <v>46105</v>
      </c>
    </row>
    <row r="36" spans="1:405" ht="15.75" thickBot="1">
      <c r="A36" t="s">
        <v>469</v>
      </c>
      <c r="B36" t="s">
        <v>2406</v>
      </c>
      <c r="C36" t="s">
        <v>667</v>
      </c>
      <c r="D36" s="89" t="s">
        <v>1179</v>
      </c>
      <c r="E36" s="81" t="s">
        <v>2407</v>
      </c>
      <c r="F36" s="89" t="s">
        <v>1179</v>
      </c>
      <c r="G36" s="78" t="s">
        <v>475</v>
      </c>
      <c r="H36" s="78" t="s">
        <v>476</v>
      </c>
      <c r="I36">
        <v>-0.41666666699999999</v>
      </c>
      <c r="J36">
        <v>34.200000000000003</v>
      </c>
      <c r="K36" s="78" t="s">
        <v>480</v>
      </c>
      <c r="AV36" t="s">
        <v>2408</v>
      </c>
      <c r="AW36">
        <v>42</v>
      </c>
      <c r="AX36" t="s">
        <v>866</v>
      </c>
      <c r="AY36">
        <v>1</v>
      </c>
      <c r="AZ36" t="s">
        <v>2447</v>
      </c>
      <c r="BA36">
        <v>2007</v>
      </c>
      <c r="BB36">
        <v>2008</v>
      </c>
      <c r="BD36" t="s">
        <v>998</v>
      </c>
      <c r="BE36" t="s">
        <v>2420</v>
      </c>
      <c r="BF36" t="s">
        <v>536</v>
      </c>
      <c r="BH36" t="s">
        <v>485</v>
      </c>
      <c r="BI36" t="s">
        <v>2411</v>
      </c>
      <c r="BJ36" s="78" t="s">
        <v>486</v>
      </c>
      <c r="BK36">
        <v>44444</v>
      </c>
      <c r="BL36" t="s">
        <v>537</v>
      </c>
      <c r="BM36" t="s">
        <v>1425</v>
      </c>
      <c r="BN36" t="s">
        <v>2421</v>
      </c>
      <c r="BO36" s="78" t="s">
        <v>486</v>
      </c>
      <c r="BP36">
        <v>44444</v>
      </c>
      <c r="IF36" t="s">
        <v>2420</v>
      </c>
      <c r="IG36" s="75" t="s">
        <v>1714</v>
      </c>
      <c r="IH36" t="s">
        <v>542</v>
      </c>
      <c r="II36" t="s">
        <v>543</v>
      </c>
      <c r="IJ36" t="s">
        <v>1049</v>
      </c>
      <c r="IK36" t="s">
        <v>1049</v>
      </c>
      <c r="IL36" s="78" t="s">
        <v>480</v>
      </c>
      <c r="JH36" t="s">
        <v>2412</v>
      </c>
      <c r="JI36" t="s">
        <v>494</v>
      </c>
      <c r="JJ36" t="s">
        <v>495</v>
      </c>
      <c r="JK36" s="8" t="s">
        <v>1466</v>
      </c>
      <c r="JN36" t="s">
        <v>508</v>
      </c>
      <c r="JO36">
        <v>40</v>
      </c>
      <c r="JP36">
        <v>50</v>
      </c>
      <c r="KD36" t="s">
        <v>500</v>
      </c>
      <c r="MR36" t="s">
        <v>2413</v>
      </c>
      <c r="MS36">
        <v>36</v>
      </c>
      <c r="MT36" t="s">
        <v>2422</v>
      </c>
      <c r="MV36" t="s">
        <v>548</v>
      </c>
      <c r="MW36" t="s">
        <v>1674</v>
      </c>
      <c r="ND36" t="s">
        <v>1481</v>
      </c>
      <c r="NE36" t="s">
        <v>2492</v>
      </c>
      <c r="NF36" t="s">
        <v>946</v>
      </c>
      <c r="NG36" t="s">
        <v>516</v>
      </c>
      <c r="NP36" t="s">
        <v>518</v>
      </c>
      <c r="NQ36">
        <v>990.6</v>
      </c>
      <c r="NR36" s="4" t="s">
        <v>520</v>
      </c>
      <c r="NS36">
        <v>103</v>
      </c>
      <c r="NV36">
        <v>4</v>
      </c>
      <c r="OG36" t="s">
        <v>2418</v>
      </c>
      <c r="OH36" s="78" t="s">
        <v>475</v>
      </c>
      <c r="OI36">
        <v>2008</v>
      </c>
      <c r="OL36" t="s">
        <v>2448</v>
      </c>
      <c r="ON36" t="s">
        <v>522</v>
      </c>
      <c r="OO36" s="50">
        <v>46105</v>
      </c>
    </row>
    <row r="37" spans="1:405" ht="15.75" thickBot="1">
      <c r="A37" t="s">
        <v>469</v>
      </c>
      <c r="B37" t="s">
        <v>2406</v>
      </c>
      <c r="C37" t="s">
        <v>667</v>
      </c>
      <c r="D37" s="89" t="s">
        <v>1179</v>
      </c>
      <c r="E37" s="81" t="s">
        <v>2407</v>
      </c>
      <c r="F37" s="89" t="s">
        <v>1179</v>
      </c>
      <c r="G37" s="78" t="s">
        <v>475</v>
      </c>
      <c r="H37" s="78" t="s">
        <v>476</v>
      </c>
      <c r="I37">
        <v>-0.41666666699999999</v>
      </c>
      <c r="J37">
        <v>34.200000000000003</v>
      </c>
      <c r="K37" s="78" t="s">
        <v>480</v>
      </c>
      <c r="AV37" t="s">
        <v>2408</v>
      </c>
      <c r="AW37">
        <v>43</v>
      </c>
      <c r="AX37" t="s">
        <v>866</v>
      </c>
      <c r="AY37">
        <v>1</v>
      </c>
      <c r="AZ37" t="s">
        <v>2447</v>
      </c>
      <c r="BA37">
        <v>2007</v>
      </c>
      <c r="BB37">
        <v>2008</v>
      </c>
      <c r="BD37" t="s">
        <v>998</v>
      </c>
      <c r="BE37" t="s">
        <v>2424</v>
      </c>
      <c r="BF37" t="s">
        <v>566</v>
      </c>
      <c r="BH37" t="s">
        <v>485</v>
      </c>
      <c r="BI37" t="s">
        <v>2411</v>
      </c>
      <c r="BJ37" s="78" t="s">
        <v>486</v>
      </c>
      <c r="BK37">
        <v>44444</v>
      </c>
      <c r="BL37" t="s">
        <v>537</v>
      </c>
      <c r="BM37" t="s">
        <v>2425</v>
      </c>
      <c r="BN37" t="s">
        <v>866</v>
      </c>
      <c r="BO37" t="s">
        <v>866</v>
      </c>
      <c r="BP37" t="s">
        <v>866</v>
      </c>
      <c r="IF37" t="s">
        <v>2424</v>
      </c>
      <c r="IG37" s="75" t="s">
        <v>2426</v>
      </c>
      <c r="IH37" t="s">
        <v>542</v>
      </c>
      <c r="II37" t="s">
        <v>543</v>
      </c>
      <c r="IJ37" t="s">
        <v>1049</v>
      </c>
      <c r="IK37" t="s">
        <v>1049</v>
      </c>
      <c r="IL37" s="78" t="s">
        <v>480</v>
      </c>
      <c r="JH37" t="s">
        <v>2412</v>
      </c>
      <c r="JI37" t="s">
        <v>494</v>
      </c>
      <c r="JJ37" t="s">
        <v>495</v>
      </c>
      <c r="JK37" s="8" t="s">
        <v>1466</v>
      </c>
      <c r="JN37" t="s">
        <v>508</v>
      </c>
      <c r="JO37">
        <v>40</v>
      </c>
      <c r="JP37">
        <v>50</v>
      </c>
      <c r="KD37" t="s">
        <v>500</v>
      </c>
      <c r="MR37" t="s">
        <v>2413</v>
      </c>
      <c r="MS37">
        <v>36</v>
      </c>
      <c r="MT37" t="s">
        <v>2427</v>
      </c>
      <c r="MV37" t="s">
        <v>548</v>
      </c>
      <c r="MW37" t="s">
        <v>2428</v>
      </c>
      <c r="MX37" t="s">
        <v>2429</v>
      </c>
      <c r="ND37" t="s">
        <v>1481</v>
      </c>
      <c r="NE37" t="s">
        <v>2492</v>
      </c>
      <c r="NF37" t="s">
        <v>946</v>
      </c>
      <c r="NG37" t="s">
        <v>516</v>
      </c>
      <c r="NP37" t="s">
        <v>518</v>
      </c>
      <c r="NQ37">
        <v>1967.3</v>
      </c>
      <c r="NR37" s="4" t="s">
        <v>520</v>
      </c>
      <c r="NS37">
        <v>54</v>
      </c>
      <c r="NV37">
        <v>4</v>
      </c>
      <c r="OG37" t="s">
        <v>2418</v>
      </c>
      <c r="OH37" s="78" t="s">
        <v>475</v>
      </c>
      <c r="OI37">
        <v>2008</v>
      </c>
      <c r="OL37" t="s">
        <v>2448</v>
      </c>
      <c r="ON37" t="s">
        <v>522</v>
      </c>
      <c r="OO37" s="50">
        <v>46105</v>
      </c>
    </row>
    <row r="38" spans="1:405" ht="15.75" thickBot="1">
      <c r="A38" t="s">
        <v>469</v>
      </c>
      <c r="B38" t="s">
        <v>2406</v>
      </c>
      <c r="C38" t="s">
        <v>667</v>
      </c>
      <c r="D38" s="89" t="s">
        <v>1179</v>
      </c>
      <c r="E38" s="81" t="s">
        <v>2407</v>
      </c>
      <c r="F38" s="89" t="s">
        <v>1179</v>
      </c>
      <c r="G38" s="78" t="s">
        <v>475</v>
      </c>
      <c r="H38" s="78" t="s">
        <v>476</v>
      </c>
      <c r="I38">
        <v>-0.41666666699999999</v>
      </c>
      <c r="J38">
        <v>34.200000000000003</v>
      </c>
      <c r="K38" s="78" t="s">
        <v>480</v>
      </c>
      <c r="AV38" t="s">
        <v>2408</v>
      </c>
      <c r="AW38">
        <v>44</v>
      </c>
      <c r="AX38" t="s">
        <v>866</v>
      </c>
      <c r="AY38">
        <v>1</v>
      </c>
      <c r="AZ38" t="s">
        <v>2447</v>
      </c>
      <c r="BA38">
        <v>2007</v>
      </c>
      <c r="BB38">
        <v>2008</v>
      </c>
      <c r="BD38" t="s">
        <v>998</v>
      </c>
      <c r="BE38" t="s">
        <v>2430</v>
      </c>
      <c r="BF38" t="s">
        <v>572</v>
      </c>
      <c r="BH38" t="s">
        <v>485</v>
      </c>
      <c r="BI38" t="s">
        <v>2411</v>
      </c>
      <c r="BJ38" s="78" t="s">
        <v>486</v>
      </c>
      <c r="BK38">
        <v>44444</v>
      </c>
      <c r="BL38" t="s">
        <v>537</v>
      </c>
      <c r="BM38" t="s">
        <v>1425</v>
      </c>
      <c r="BN38" t="s">
        <v>2421</v>
      </c>
      <c r="BO38" s="78" t="s">
        <v>486</v>
      </c>
      <c r="BP38">
        <v>44444</v>
      </c>
      <c r="BQ38" t="s">
        <v>537</v>
      </c>
      <c r="BR38" t="s">
        <v>2425</v>
      </c>
      <c r="BS38" t="s">
        <v>866</v>
      </c>
      <c r="BT38" t="s">
        <v>866</v>
      </c>
      <c r="BU38" t="s">
        <v>866</v>
      </c>
      <c r="IF38" t="s">
        <v>2430</v>
      </c>
      <c r="IG38" s="75" t="s">
        <v>2426</v>
      </c>
      <c r="IH38" t="s">
        <v>542</v>
      </c>
      <c r="II38" t="s">
        <v>543</v>
      </c>
      <c r="IJ38" t="s">
        <v>1049</v>
      </c>
      <c r="IK38" t="s">
        <v>1049</v>
      </c>
      <c r="IL38" s="78" t="s">
        <v>480</v>
      </c>
      <c r="JH38" t="s">
        <v>2412</v>
      </c>
      <c r="JI38" t="s">
        <v>494</v>
      </c>
      <c r="JJ38" t="s">
        <v>495</v>
      </c>
      <c r="JK38" s="8" t="s">
        <v>1466</v>
      </c>
      <c r="JN38" t="s">
        <v>508</v>
      </c>
      <c r="JO38">
        <v>40</v>
      </c>
      <c r="JP38">
        <v>50</v>
      </c>
      <c r="KD38" t="s">
        <v>500</v>
      </c>
      <c r="MR38" t="s">
        <v>2413</v>
      </c>
      <c r="MS38">
        <v>36</v>
      </c>
      <c r="MT38" t="s">
        <v>2431</v>
      </c>
      <c r="MV38" t="s">
        <v>548</v>
      </c>
      <c r="MW38" t="s">
        <v>1674</v>
      </c>
      <c r="MX38" t="s">
        <v>2428</v>
      </c>
      <c r="MY38" t="s">
        <v>2429</v>
      </c>
      <c r="ND38" t="s">
        <v>1481</v>
      </c>
      <c r="NE38" t="s">
        <v>2492</v>
      </c>
      <c r="NF38" t="s">
        <v>946</v>
      </c>
      <c r="NG38" t="s">
        <v>516</v>
      </c>
      <c r="NP38" t="s">
        <v>518</v>
      </c>
      <c r="NQ38">
        <v>2035.7</v>
      </c>
      <c r="NR38" s="4" t="s">
        <v>520</v>
      </c>
      <c r="NS38">
        <v>53</v>
      </c>
      <c r="NV38">
        <v>4</v>
      </c>
      <c r="OG38" t="s">
        <v>2418</v>
      </c>
      <c r="OH38" s="78" t="s">
        <v>475</v>
      </c>
      <c r="OI38">
        <v>2008</v>
      </c>
      <c r="OL38" t="s">
        <v>2448</v>
      </c>
      <c r="ON38" t="s">
        <v>522</v>
      </c>
      <c r="OO38" s="50">
        <v>46105</v>
      </c>
    </row>
    <row r="39" spans="1:405" ht="15.75" thickBot="1">
      <c r="A39" t="s">
        <v>469</v>
      </c>
      <c r="B39" t="s">
        <v>2406</v>
      </c>
      <c r="C39" t="s">
        <v>667</v>
      </c>
      <c r="D39" s="89" t="s">
        <v>1179</v>
      </c>
      <c r="E39" s="81" t="s">
        <v>2407</v>
      </c>
      <c r="F39" s="89" t="s">
        <v>1179</v>
      </c>
      <c r="G39" s="78" t="s">
        <v>475</v>
      </c>
      <c r="H39" s="78" t="s">
        <v>476</v>
      </c>
      <c r="I39">
        <v>-0.41666666699999999</v>
      </c>
      <c r="J39">
        <v>34.200000000000003</v>
      </c>
      <c r="K39" s="78" t="s">
        <v>480</v>
      </c>
      <c r="AV39" t="s">
        <v>2408</v>
      </c>
      <c r="AW39">
        <v>45</v>
      </c>
      <c r="AX39" t="s">
        <v>866</v>
      </c>
      <c r="AY39">
        <v>1</v>
      </c>
      <c r="AZ39" t="s">
        <v>2447</v>
      </c>
      <c r="BA39">
        <v>2007</v>
      </c>
      <c r="BB39">
        <v>2008</v>
      </c>
      <c r="BD39" t="s">
        <v>998</v>
      </c>
      <c r="BE39" t="s">
        <v>2442</v>
      </c>
      <c r="BF39" t="s">
        <v>553</v>
      </c>
      <c r="BH39" t="s">
        <v>485</v>
      </c>
      <c r="BI39" t="s">
        <v>2411</v>
      </c>
      <c r="BJ39" s="78" t="s">
        <v>486</v>
      </c>
      <c r="BK39">
        <v>44444</v>
      </c>
      <c r="BL39" t="s">
        <v>537</v>
      </c>
      <c r="BM39" t="s">
        <v>1425</v>
      </c>
      <c r="BN39" t="s">
        <v>2421</v>
      </c>
      <c r="BO39" s="78" t="s">
        <v>486</v>
      </c>
      <c r="BP39">
        <v>44444</v>
      </c>
      <c r="BQ39" t="s">
        <v>537</v>
      </c>
      <c r="BR39" t="s">
        <v>2425</v>
      </c>
      <c r="BS39" t="s">
        <v>866</v>
      </c>
      <c r="BT39" t="s">
        <v>866</v>
      </c>
      <c r="BU39" t="s">
        <v>866</v>
      </c>
      <c r="IF39" t="s">
        <v>2442</v>
      </c>
      <c r="IG39" s="75" t="s">
        <v>2426</v>
      </c>
      <c r="IH39" t="s">
        <v>542</v>
      </c>
      <c r="II39" t="s">
        <v>543</v>
      </c>
      <c r="IJ39" t="s">
        <v>1049</v>
      </c>
      <c r="IK39" t="s">
        <v>1049</v>
      </c>
      <c r="IL39" s="78" t="s">
        <v>480</v>
      </c>
      <c r="JH39" t="s">
        <v>2412</v>
      </c>
      <c r="JI39" t="s">
        <v>494</v>
      </c>
      <c r="JJ39" t="s">
        <v>495</v>
      </c>
      <c r="JK39" s="8" t="s">
        <v>1466</v>
      </c>
      <c r="JN39" t="s">
        <v>508</v>
      </c>
      <c r="JO39">
        <v>40</v>
      </c>
      <c r="JP39">
        <v>50</v>
      </c>
      <c r="KD39" t="s">
        <v>500</v>
      </c>
      <c r="MR39" t="s">
        <v>2413</v>
      </c>
      <c r="MS39">
        <v>36</v>
      </c>
      <c r="MT39" t="s">
        <v>2431</v>
      </c>
      <c r="MV39" t="s">
        <v>548</v>
      </c>
      <c r="MW39" t="s">
        <v>1674</v>
      </c>
      <c r="MX39" t="s">
        <v>2428</v>
      </c>
      <c r="MY39" t="s">
        <v>2429</v>
      </c>
      <c r="ND39" t="s">
        <v>1481</v>
      </c>
      <c r="NE39" t="s">
        <v>2492</v>
      </c>
      <c r="NF39" t="s">
        <v>946</v>
      </c>
      <c r="NG39" t="s">
        <v>516</v>
      </c>
      <c r="NP39" t="s">
        <v>518</v>
      </c>
      <c r="NQ39">
        <v>2193.9</v>
      </c>
      <c r="NR39" s="4" t="s">
        <v>520</v>
      </c>
      <c r="NS39">
        <v>107</v>
      </c>
      <c r="NV39">
        <v>4</v>
      </c>
      <c r="OG39" t="s">
        <v>2418</v>
      </c>
      <c r="OH39" s="78" t="s">
        <v>475</v>
      </c>
      <c r="OI39">
        <v>2008</v>
      </c>
      <c r="OL39" t="s">
        <v>2448</v>
      </c>
      <c r="ON39" t="s">
        <v>522</v>
      </c>
      <c r="OO39" s="50">
        <v>46105</v>
      </c>
    </row>
    <row r="40" spans="1:405" ht="15.75" thickBot="1">
      <c r="A40" t="s">
        <v>469</v>
      </c>
      <c r="B40" t="s">
        <v>2406</v>
      </c>
      <c r="C40" t="s">
        <v>667</v>
      </c>
      <c r="D40" s="89" t="s">
        <v>1179</v>
      </c>
      <c r="E40" s="81" t="s">
        <v>2407</v>
      </c>
      <c r="F40" s="89" t="s">
        <v>1179</v>
      </c>
      <c r="G40" s="78" t="s">
        <v>475</v>
      </c>
      <c r="H40" s="78" t="s">
        <v>476</v>
      </c>
      <c r="I40">
        <v>-0.41666666699999999</v>
      </c>
      <c r="J40">
        <v>34.200000000000003</v>
      </c>
      <c r="K40" s="78" t="s">
        <v>480</v>
      </c>
      <c r="AV40" t="s">
        <v>2408</v>
      </c>
      <c r="AW40">
        <v>46</v>
      </c>
      <c r="AX40" t="s">
        <v>866</v>
      </c>
      <c r="AY40">
        <v>1</v>
      </c>
      <c r="AZ40" t="s">
        <v>2466</v>
      </c>
      <c r="BA40">
        <v>2007</v>
      </c>
      <c r="BB40">
        <v>2008</v>
      </c>
      <c r="BD40" t="s">
        <v>492</v>
      </c>
      <c r="BE40" t="s">
        <v>2467</v>
      </c>
      <c r="BF40" t="s">
        <v>483</v>
      </c>
      <c r="BH40" t="s">
        <v>485</v>
      </c>
      <c r="BI40" t="s">
        <v>2411</v>
      </c>
      <c r="BJ40" s="78" t="s">
        <v>486</v>
      </c>
      <c r="BK40">
        <v>44444</v>
      </c>
      <c r="IF40" t="s">
        <v>2467</v>
      </c>
      <c r="IG40" t="s">
        <v>492</v>
      </c>
      <c r="JH40" t="s">
        <v>2412</v>
      </c>
      <c r="JI40" t="s">
        <v>494</v>
      </c>
      <c r="JJ40" t="s">
        <v>495</v>
      </c>
      <c r="JK40" s="8" t="s">
        <v>1466</v>
      </c>
      <c r="JN40" t="s">
        <v>508</v>
      </c>
      <c r="JO40">
        <v>40</v>
      </c>
      <c r="JP40">
        <v>50</v>
      </c>
      <c r="KD40" t="s">
        <v>500</v>
      </c>
      <c r="MR40" t="s">
        <v>2413</v>
      </c>
      <c r="MS40">
        <v>36</v>
      </c>
      <c r="MT40" t="s">
        <v>2414</v>
      </c>
      <c r="MV40" t="s">
        <v>548</v>
      </c>
      <c r="ND40" t="s">
        <v>1481</v>
      </c>
      <c r="NE40" t="s">
        <v>2492</v>
      </c>
      <c r="NF40" t="s">
        <v>946</v>
      </c>
      <c r="NG40" t="s">
        <v>516</v>
      </c>
      <c r="NP40" t="s">
        <v>518</v>
      </c>
      <c r="NQ40">
        <v>847.2</v>
      </c>
      <c r="NR40" s="4" t="s">
        <v>520</v>
      </c>
      <c r="NS40">
        <v>19</v>
      </c>
      <c r="NV40">
        <v>4</v>
      </c>
      <c r="OG40" t="s">
        <v>2468</v>
      </c>
      <c r="OH40" s="78" t="s">
        <v>475</v>
      </c>
      <c r="OI40">
        <v>2007</v>
      </c>
      <c r="OL40" t="s">
        <v>2448</v>
      </c>
      <c r="ON40" t="s">
        <v>522</v>
      </c>
      <c r="OO40" s="50">
        <v>46105</v>
      </c>
    </row>
    <row r="41" spans="1:405" ht="15.75" thickBot="1">
      <c r="A41" t="s">
        <v>469</v>
      </c>
      <c r="B41" t="s">
        <v>2406</v>
      </c>
      <c r="C41" t="s">
        <v>667</v>
      </c>
      <c r="D41" s="89" t="s">
        <v>1179</v>
      </c>
      <c r="E41" s="81" t="s">
        <v>2407</v>
      </c>
      <c r="F41" s="89" t="s">
        <v>1179</v>
      </c>
      <c r="G41" s="78" t="s">
        <v>475</v>
      </c>
      <c r="H41" s="78" t="s">
        <v>476</v>
      </c>
      <c r="I41">
        <v>-0.41666666699999999</v>
      </c>
      <c r="J41">
        <v>34.200000000000003</v>
      </c>
      <c r="K41" s="78" t="s">
        <v>480</v>
      </c>
      <c r="AV41" t="s">
        <v>2408</v>
      </c>
      <c r="AW41">
        <v>47</v>
      </c>
      <c r="AX41" t="s">
        <v>866</v>
      </c>
      <c r="AY41">
        <v>1</v>
      </c>
      <c r="AZ41" t="s">
        <v>2466</v>
      </c>
      <c r="BA41">
        <v>2007</v>
      </c>
      <c r="BB41">
        <v>2008</v>
      </c>
      <c r="BD41" t="s">
        <v>998</v>
      </c>
      <c r="BE41" t="s">
        <v>2472</v>
      </c>
      <c r="BF41" t="s">
        <v>607</v>
      </c>
      <c r="BH41" t="s">
        <v>485</v>
      </c>
      <c r="BI41" t="s">
        <v>2411</v>
      </c>
      <c r="BJ41" s="78" t="s">
        <v>486</v>
      </c>
      <c r="BK41">
        <v>44444</v>
      </c>
      <c r="BL41" t="s">
        <v>537</v>
      </c>
      <c r="BM41" t="s">
        <v>1425</v>
      </c>
      <c r="BN41" t="s">
        <v>2421</v>
      </c>
      <c r="BO41" s="78" t="s">
        <v>486</v>
      </c>
      <c r="BP41">
        <v>44444</v>
      </c>
      <c r="IF41" t="s">
        <v>2472</v>
      </c>
      <c r="IG41" s="75" t="s">
        <v>1714</v>
      </c>
      <c r="IH41" t="s">
        <v>542</v>
      </c>
      <c r="II41" t="s">
        <v>543</v>
      </c>
      <c r="IJ41" t="s">
        <v>1049</v>
      </c>
      <c r="IK41" t="s">
        <v>1049</v>
      </c>
      <c r="IL41" s="78" t="s">
        <v>480</v>
      </c>
      <c r="JH41" t="s">
        <v>2412</v>
      </c>
      <c r="JI41" t="s">
        <v>494</v>
      </c>
      <c r="JJ41" t="s">
        <v>495</v>
      </c>
      <c r="JK41" s="8" t="s">
        <v>1466</v>
      </c>
      <c r="JN41" t="s">
        <v>508</v>
      </c>
      <c r="JO41">
        <v>40</v>
      </c>
      <c r="JP41">
        <v>50</v>
      </c>
      <c r="KD41" t="s">
        <v>500</v>
      </c>
      <c r="MR41" t="s">
        <v>2413</v>
      </c>
      <c r="MS41">
        <v>36</v>
      </c>
      <c r="MT41" t="s">
        <v>2422</v>
      </c>
      <c r="MV41" t="s">
        <v>548</v>
      </c>
      <c r="MW41" t="s">
        <v>1674</v>
      </c>
      <c r="ND41" t="s">
        <v>1481</v>
      </c>
      <c r="NE41" t="s">
        <v>2492</v>
      </c>
      <c r="NF41" t="s">
        <v>946</v>
      </c>
      <c r="NG41" t="s">
        <v>516</v>
      </c>
      <c r="NP41" t="s">
        <v>518</v>
      </c>
      <c r="NQ41">
        <v>1047.0999999999999</v>
      </c>
      <c r="NR41" s="4" t="s">
        <v>520</v>
      </c>
      <c r="NS41">
        <v>44</v>
      </c>
      <c r="NV41">
        <v>4</v>
      </c>
      <c r="OG41" t="s">
        <v>2468</v>
      </c>
      <c r="OH41" s="78" t="s">
        <v>475</v>
      </c>
      <c r="OI41">
        <v>2007</v>
      </c>
      <c r="OL41" t="s">
        <v>2448</v>
      </c>
      <c r="ON41" t="s">
        <v>522</v>
      </c>
      <c r="OO41" s="50">
        <v>46105</v>
      </c>
    </row>
    <row r="42" spans="1:405" ht="15.75" thickBot="1">
      <c r="A42" t="s">
        <v>469</v>
      </c>
      <c r="B42" t="s">
        <v>2406</v>
      </c>
      <c r="C42" t="s">
        <v>667</v>
      </c>
      <c r="D42" s="89" t="s">
        <v>1179</v>
      </c>
      <c r="E42" s="81" t="s">
        <v>2407</v>
      </c>
      <c r="F42" s="89" t="s">
        <v>1179</v>
      </c>
      <c r="G42" s="78" t="s">
        <v>475</v>
      </c>
      <c r="H42" s="78" t="s">
        <v>476</v>
      </c>
      <c r="I42">
        <v>-0.41666666699999999</v>
      </c>
      <c r="J42">
        <v>34.200000000000003</v>
      </c>
      <c r="K42" s="78" t="s">
        <v>480</v>
      </c>
      <c r="AV42" t="s">
        <v>2408</v>
      </c>
      <c r="AW42">
        <v>48</v>
      </c>
      <c r="AX42" t="s">
        <v>866</v>
      </c>
      <c r="AY42">
        <v>1</v>
      </c>
      <c r="AZ42" t="s">
        <v>2466</v>
      </c>
      <c r="BA42">
        <v>2007</v>
      </c>
      <c r="BB42">
        <v>2008</v>
      </c>
      <c r="BD42" t="s">
        <v>998</v>
      </c>
      <c r="BE42" t="s">
        <v>2476</v>
      </c>
      <c r="BF42" t="s">
        <v>611</v>
      </c>
      <c r="BH42" t="s">
        <v>485</v>
      </c>
      <c r="BI42" t="s">
        <v>2411</v>
      </c>
      <c r="BJ42" s="78" t="s">
        <v>486</v>
      </c>
      <c r="BK42">
        <v>44444</v>
      </c>
      <c r="BL42" t="s">
        <v>537</v>
      </c>
      <c r="BM42" t="s">
        <v>2425</v>
      </c>
      <c r="BN42" t="s">
        <v>866</v>
      </c>
      <c r="BO42" t="s">
        <v>866</v>
      </c>
      <c r="BP42" t="s">
        <v>866</v>
      </c>
      <c r="IF42" t="s">
        <v>2476</v>
      </c>
      <c r="IG42" s="75" t="s">
        <v>2426</v>
      </c>
      <c r="IH42" t="s">
        <v>542</v>
      </c>
      <c r="II42" t="s">
        <v>543</v>
      </c>
      <c r="IJ42" t="s">
        <v>1049</v>
      </c>
      <c r="IK42" t="s">
        <v>1049</v>
      </c>
      <c r="IL42" s="78" t="s">
        <v>480</v>
      </c>
      <c r="JH42" t="s">
        <v>2412</v>
      </c>
      <c r="JI42" t="s">
        <v>494</v>
      </c>
      <c r="JJ42" t="s">
        <v>495</v>
      </c>
      <c r="JK42" s="8" t="s">
        <v>1466</v>
      </c>
      <c r="JN42" t="s">
        <v>508</v>
      </c>
      <c r="JO42">
        <v>40</v>
      </c>
      <c r="JP42">
        <v>50</v>
      </c>
      <c r="KD42" t="s">
        <v>500</v>
      </c>
      <c r="MR42" t="s">
        <v>2413</v>
      </c>
      <c r="MS42">
        <v>36</v>
      </c>
      <c r="MT42" t="s">
        <v>2427</v>
      </c>
      <c r="MV42" t="s">
        <v>548</v>
      </c>
      <c r="MW42" t="s">
        <v>2428</v>
      </c>
      <c r="MX42" t="s">
        <v>2429</v>
      </c>
      <c r="ND42" t="s">
        <v>1481</v>
      </c>
      <c r="NE42" t="s">
        <v>2492</v>
      </c>
      <c r="NF42" t="s">
        <v>946</v>
      </c>
      <c r="NG42" t="s">
        <v>516</v>
      </c>
      <c r="NP42" t="s">
        <v>518</v>
      </c>
      <c r="NQ42">
        <v>2296.9</v>
      </c>
      <c r="NR42" s="4" t="s">
        <v>520</v>
      </c>
      <c r="NS42">
        <v>55</v>
      </c>
      <c r="NV42">
        <v>4</v>
      </c>
      <c r="OG42" t="s">
        <v>2468</v>
      </c>
      <c r="OH42" s="78" t="s">
        <v>475</v>
      </c>
      <c r="OI42">
        <v>2007</v>
      </c>
      <c r="OL42" t="s">
        <v>2448</v>
      </c>
      <c r="ON42" t="s">
        <v>522</v>
      </c>
      <c r="OO42" s="50">
        <v>46105</v>
      </c>
    </row>
    <row r="43" spans="1:405" ht="15.75" thickBot="1">
      <c r="A43" t="s">
        <v>469</v>
      </c>
      <c r="B43" t="s">
        <v>2406</v>
      </c>
      <c r="C43" t="s">
        <v>667</v>
      </c>
      <c r="D43" s="89" t="s">
        <v>1179</v>
      </c>
      <c r="E43" s="81" t="s">
        <v>2407</v>
      </c>
      <c r="F43" s="89" t="s">
        <v>1179</v>
      </c>
      <c r="G43" s="78" t="s">
        <v>475</v>
      </c>
      <c r="H43" s="78" t="s">
        <v>476</v>
      </c>
      <c r="I43">
        <v>-0.41666666699999999</v>
      </c>
      <c r="J43">
        <v>34.200000000000003</v>
      </c>
      <c r="K43" s="78" t="s">
        <v>480</v>
      </c>
      <c r="AV43" t="s">
        <v>2408</v>
      </c>
      <c r="AW43">
        <v>49</v>
      </c>
      <c r="AX43" t="s">
        <v>866</v>
      </c>
      <c r="AY43">
        <v>1</v>
      </c>
      <c r="AZ43" t="s">
        <v>2466</v>
      </c>
      <c r="BA43">
        <v>2007</v>
      </c>
      <c r="BB43">
        <v>2008</v>
      </c>
      <c r="BD43" t="s">
        <v>998</v>
      </c>
      <c r="BE43" t="s">
        <v>2480</v>
      </c>
      <c r="BF43" t="s">
        <v>615</v>
      </c>
      <c r="BH43" t="s">
        <v>485</v>
      </c>
      <c r="BI43" t="s">
        <v>2411</v>
      </c>
      <c r="BJ43" s="78" t="s">
        <v>486</v>
      </c>
      <c r="BK43">
        <v>44444</v>
      </c>
      <c r="BL43" t="s">
        <v>537</v>
      </c>
      <c r="BM43" t="s">
        <v>1425</v>
      </c>
      <c r="BN43" t="s">
        <v>2421</v>
      </c>
      <c r="BO43" s="78" t="s">
        <v>486</v>
      </c>
      <c r="BP43">
        <v>44444</v>
      </c>
      <c r="BQ43" t="s">
        <v>537</v>
      </c>
      <c r="BR43" t="s">
        <v>2425</v>
      </c>
      <c r="BS43" t="s">
        <v>866</v>
      </c>
      <c r="BT43" t="s">
        <v>866</v>
      </c>
      <c r="BU43" t="s">
        <v>866</v>
      </c>
      <c r="IF43" t="s">
        <v>2480</v>
      </c>
      <c r="IG43" s="75" t="s">
        <v>2426</v>
      </c>
      <c r="IH43" t="s">
        <v>542</v>
      </c>
      <c r="II43" t="s">
        <v>543</v>
      </c>
      <c r="IJ43" t="s">
        <v>1049</v>
      </c>
      <c r="IK43" t="s">
        <v>1049</v>
      </c>
      <c r="IL43" s="78" t="s">
        <v>480</v>
      </c>
      <c r="JH43" t="s">
        <v>2412</v>
      </c>
      <c r="JI43" t="s">
        <v>494</v>
      </c>
      <c r="JJ43" t="s">
        <v>495</v>
      </c>
      <c r="JK43" s="8" t="s">
        <v>1466</v>
      </c>
      <c r="JN43" t="s">
        <v>508</v>
      </c>
      <c r="JO43">
        <v>40</v>
      </c>
      <c r="JP43">
        <v>50</v>
      </c>
      <c r="KD43" t="s">
        <v>500</v>
      </c>
      <c r="MR43" t="s">
        <v>2413</v>
      </c>
      <c r="MS43">
        <v>36</v>
      </c>
      <c r="MT43" t="s">
        <v>2431</v>
      </c>
      <c r="MV43" t="s">
        <v>548</v>
      </c>
      <c r="MW43" t="s">
        <v>1674</v>
      </c>
      <c r="MX43" t="s">
        <v>2428</v>
      </c>
      <c r="MY43" t="s">
        <v>2429</v>
      </c>
      <c r="ND43" t="s">
        <v>1481</v>
      </c>
      <c r="NE43" t="s">
        <v>2492</v>
      </c>
      <c r="NF43" t="s">
        <v>946</v>
      </c>
      <c r="NG43" t="s">
        <v>516</v>
      </c>
      <c r="NP43" t="s">
        <v>518</v>
      </c>
      <c r="NQ43">
        <v>2366.5</v>
      </c>
      <c r="NR43" s="4" t="s">
        <v>520</v>
      </c>
      <c r="NS43">
        <v>22</v>
      </c>
      <c r="NV43">
        <v>4</v>
      </c>
      <c r="OG43" t="s">
        <v>2468</v>
      </c>
      <c r="OH43" s="78" t="s">
        <v>475</v>
      </c>
      <c r="OI43">
        <v>2007</v>
      </c>
      <c r="OL43" t="s">
        <v>2448</v>
      </c>
      <c r="ON43" t="s">
        <v>522</v>
      </c>
      <c r="OO43" s="50">
        <v>46105</v>
      </c>
    </row>
    <row r="44" spans="1:405" ht="15.75" thickBot="1">
      <c r="A44" t="s">
        <v>469</v>
      </c>
      <c r="B44" t="s">
        <v>2406</v>
      </c>
      <c r="C44" t="s">
        <v>667</v>
      </c>
      <c r="D44" s="89" t="s">
        <v>1179</v>
      </c>
      <c r="E44" s="81" t="s">
        <v>2407</v>
      </c>
      <c r="F44" s="89" t="s">
        <v>1179</v>
      </c>
      <c r="G44" s="78" t="s">
        <v>475</v>
      </c>
      <c r="H44" s="78" t="s">
        <v>476</v>
      </c>
      <c r="I44">
        <v>-0.41666666699999999</v>
      </c>
      <c r="J44">
        <v>34.200000000000003</v>
      </c>
      <c r="K44" s="78" t="s">
        <v>480</v>
      </c>
      <c r="AV44" t="s">
        <v>2408</v>
      </c>
      <c r="AW44">
        <v>50</v>
      </c>
      <c r="AX44" t="s">
        <v>866</v>
      </c>
      <c r="AY44">
        <v>1</v>
      </c>
      <c r="AZ44" t="s">
        <v>2466</v>
      </c>
      <c r="BA44">
        <v>2007</v>
      </c>
      <c r="BB44">
        <v>2008</v>
      </c>
      <c r="BD44" t="s">
        <v>998</v>
      </c>
      <c r="BE44" t="s">
        <v>2484</v>
      </c>
      <c r="BF44" t="s">
        <v>617</v>
      </c>
      <c r="BH44" t="s">
        <v>485</v>
      </c>
      <c r="BI44" t="s">
        <v>2411</v>
      </c>
      <c r="BJ44" s="78" t="s">
        <v>486</v>
      </c>
      <c r="BK44">
        <v>44444</v>
      </c>
      <c r="BL44" t="s">
        <v>537</v>
      </c>
      <c r="BM44" t="s">
        <v>1425</v>
      </c>
      <c r="BN44" t="s">
        <v>2421</v>
      </c>
      <c r="BO44" s="78" t="s">
        <v>486</v>
      </c>
      <c r="BP44">
        <v>44444</v>
      </c>
      <c r="BQ44" t="s">
        <v>537</v>
      </c>
      <c r="BR44" t="s">
        <v>2425</v>
      </c>
      <c r="BS44" t="s">
        <v>866</v>
      </c>
      <c r="BT44" t="s">
        <v>866</v>
      </c>
      <c r="BU44" t="s">
        <v>866</v>
      </c>
      <c r="IF44" t="s">
        <v>2484</v>
      </c>
      <c r="IG44" s="75" t="s">
        <v>2426</v>
      </c>
      <c r="IH44" t="s">
        <v>542</v>
      </c>
      <c r="II44" t="s">
        <v>543</v>
      </c>
      <c r="IJ44" t="s">
        <v>1049</v>
      </c>
      <c r="IK44" t="s">
        <v>1049</v>
      </c>
      <c r="IL44" s="78" t="s">
        <v>480</v>
      </c>
      <c r="JH44" t="s">
        <v>2412</v>
      </c>
      <c r="JI44" t="s">
        <v>494</v>
      </c>
      <c r="JJ44" t="s">
        <v>495</v>
      </c>
      <c r="JK44" s="8" t="s">
        <v>1466</v>
      </c>
      <c r="JN44" t="s">
        <v>508</v>
      </c>
      <c r="JO44">
        <v>40</v>
      </c>
      <c r="JP44">
        <v>50</v>
      </c>
      <c r="KD44" t="s">
        <v>500</v>
      </c>
      <c r="MR44" t="s">
        <v>2413</v>
      </c>
      <c r="MS44">
        <v>36</v>
      </c>
      <c r="MT44" t="s">
        <v>2431</v>
      </c>
      <c r="MV44" t="s">
        <v>548</v>
      </c>
      <c r="MW44" t="s">
        <v>1674</v>
      </c>
      <c r="MX44" t="s">
        <v>2428</v>
      </c>
      <c r="MY44" t="s">
        <v>2429</v>
      </c>
      <c r="ND44" t="s">
        <v>1481</v>
      </c>
      <c r="NE44" t="s">
        <v>2492</v>
      </c>
      <c r="NF44" t="s">
        <v>946</v>
      </c>
      <c r="NG44" t="s">
        <v>516</v>
      </c>
      <c r="NP44" t="s">
        <v>518</v>
      </c>
      <c r="NQ44">
        <v>2368.8000000000002</v>
      </c>
      <c r="NR44" s="4" t="s">
        <v>520</v>
      </c>
      <c r="NS44">
        <v>34</v>
      </c>
      <c r="NV44">
        <v>4</v>
      </c>
      <c r="OG44" t="s">
        <v>2468</v>
      </c>
      <c r="OH44" s="78" t="s">
        <v>475</v>
      </c>
      <c r="OI44">
        <v>2007</v>
      </c>
      <c r="OL44" t="s">
        <v>2448</v>
      </c>
      <c r="ON44" t="s">
        <v>522</v>
      </c>
      <c r="OO44" s="50">
        <v>46105</v>
      </c>
    </row>
    <row r="45" spans="1:405" ht="15.75" thickBot="1">
      <c r="A45" t="s">
        <v>469</v>
      </c>
      <c r="B45" t="s">
        <v>2406</v>
      </c>
      <c r="C45" t="s">
        <v>667</v>
      </c>
      <c r="D45" s="89" t="s">
        <v>1179</v>
      </c>
      <c r="E45" s="81" t="s">
        <v>2407</v>
      </c>
      <c r="F45" s="89" t="s">
        <v>1179</v>
      </c>
      <c r="G45" s="78" t="s">
        <v>475</v>
      </c>
      <c r="H45" s="78" t="s">
        <v>476</v>
      </c>
      <c r="I45">
        <v>-0.41666666699999999</v>
      </c>
      <c r="J45">
        <v>34.200000000000003</v>
      </c>
      <c r="K45" s="78" t="s">
        <v>480</v>
      </c>
      <c r="AV45" t="s">
        <v>2408</v>
      </c>
      <c r="AW45">
        <v>51</v>
      </c>
      <c r="AX45" t="s">
        <v>866</v>
      </c>
      <c r="AY45">
        <v>1</v>
      </c>
      <c r="AZ45" t="s">
        <v>2409</v>
      </c>
      <c r="BA45">
        <v>2007</v>
      </c>
      <c r="BB45">
        <v>2008</v>
      </c>
      <c r="BD45" t="s">
        <v>492</v>
      </c>
      <c r="BE45" t="s">
        <v>2467</v>
      </c>
      <c r="BF45" t="s">
        <v>483</v>
      </c>
      <c r="BH45" t="s">
        <v>485</v>
      </c>
      <c r="BI45" t="s">
        <v>2411</v>
      </c>
      <c r="BJ45" s="78" t="s">
        <v>486</v>
      </c>
      <c r="BK45">
        <v>44444</v>
      </c>
      <c r="IF45" t="s">
        <v>2467</v>
      </c>
      <c r="IG45" t="s">
        <v>492</v>
      </c>
      <c r="JH45" t="s">
        <v>2412</v>
      </c>
      <c r="JI45" t="s">
        <v>494</v>
      </c>
      <c r="JJ45" t="s">
        <v>495</v>
      </c>
      <c r="JK45" s="8" t="s">
        <v>1466</v>
      </c>
      <c r="JN45" t="s">
        <v>508</v>
      </c>
      <c r="JO45">
        <v>40</v>
      </c>
      <c r="JP45">
        <v>50</v>
      </c>
      <c r="KD45" t="s">
        <v>500</v>
      </c>
      <c r="MR45" t="s">
        <v>2413</v>
      </c>
      <c r="MS45">
        <v>36</v>
      </c>
      <c r="MT45" t="s">
        <v>2414</v>
      </c>
      <c r="MV45" t="s">
        <v>548</v>
      </c>
      <c r="ND45" t="s">
        <v>1481</v>
      </c>
      <c r="NE45" t="s">
        <v>2492</v>
      </c>
      <c r="NF45" t="s">
        <v>946</v>
      </c>
      <c r="NG45" t="s">
        <v>516</v>
      </c>
      <c r="NP45" t="s">
        <v>518</v>
      </c>
      <c r="NQ45">
        <v>822.4</v>
      </c>
      <c r="NR45" s="4" t="s">
        <v>520</v>
      </c>
      <c r="NS45">
        <v>16</v>
      </c>
      <c r="NV45">
        <v>4</v>
      </c>
      <c r="OG45" t="s">
        <v>2488</v>
      </c>
      <c r="OH45" s="78" t="s">
        <v>475</v>
      </c>
      <c r="OI45">
        <v>2007</v>
      </c>
      <c r="OL45" t="s">
        <v>2419</v>
      </c>
      <c r="ON45" t="s">
        <v>522</v>
      </c>
      <c r="OO45" s="50">
        <v>46105</v>
      </c>
    </row>
    <row r="46" spans="1:405" ht="15.75" thickBot="1">
      <c r="A46" t="s">
        <v>469</v>
      </c>
      <c r="B46" t="s">
        <v>2406</v>
      </c>
      <c r="C46" t="s">
        <v>667</v>
      </c>
      <c r="D46" s="89" t="s">
        <v>1179</v>
      </c>
      <c r="E46" s="81" t="s">
        <v>2407</v>
      </c>
      <c r="F46" s="89" t="s">
        <v>1179</v>
      </c>
      <c r="G46" s="78" t="s">
        <v>475</v>
      </c>
      <c r="H46" s="78" t="s">
        <v>476</v>
      </c>
      <c r="I46">
        <v>-0.41666666699999999</v>
      </c>
      <c r="J46">
        <v>34.200000000000003</v>
      </c>
      <c r="K46" s="78" t="s">
        <v>480</v>
      </c>
      <c r="AV46" t="s">
        <v>2408</v>
      </c>
      <c r="AW46">
        <v>52</v>
      </c>
      <c r="AX46" t="s">
        <v>866</v>
      </c>
      <c r="AY46">
        <v>1</v>
      </c>
      <c r="AZ46" t="s">
        <v>2409</v>
      </c>
      <c r="BA46">
        <v>2007</v>
      </c>
      <c r="BB46">
        <v>2008</v>
      </c>
      <c r="BD46" t="s">
        <v>998</v>
      </c>
      <c r="BE46" t="s">
        <v>2472</v>
      </c>
      <c r="BF46" t="s">
        <v>607</v>
      </c>
      <c r="BH46" t="s">
        <v>485</v>
      </c>
      <c r="BI46" t="s">
        <v>2411</v>
      </c>
      <c r="BJ46" s="78" t="s">
        <v>486</v>
      </c>
      <c r="BK46">
        <v>44444</v>
      </c>
      <c r="BL46" t="s">
        <v>537</v>
      </c>
      <c r="BM46" t="s">
        <v>1425</v>
      </c>
      <c r="BN46" t="s">
        <v>2421</v>
      </c>
      <c r="BO46" s="78" t="s">
        <v>486</v>
      </c>
      <c r="BP46">
        <v>44444</v>
      </c>
      <c r="EH46" s="9"/>
      <c r="EI46" s="9"/>
      <c r="EJ46" s="9"/>
      <c r="EK46" s="9"/>
      <c r="EL46" s="9"/>
      <c r="EM46" s="9"/>
      <c r="EN46" s="9"/>
      <c r="EO46" s="9"/>
      <c r="EP46" s="9"/>
      <c r="EQ46" s="9"/>
      <c r="ER46" s="9"/>
      <c r="ES46" s="9"/>
      <c r="ET46" s="9"/>
      <c r="EU46" s="9"/>
      <c r="EV46" s="9"/>
      <c r="EW46" s="9"/>
      <c r="EX46" s="9"/>
      <c r="EY46" s="9"/>
      <c r="EZ46" s="9"/>
      <c r="FA46" s="9"/>
      <c r="FB46" s="9"/>
      <c r="FC46" s="9"/>
      <c r="FD46" s="9"/>
      <c r="FE46" s="9"/>
      <c r="FF46" s="9"/>
      <c r="FG46" s="9"/>
      <c r="FH46" s="9"/>
      <c r="FI46" s="9"/>
      <c r="FJ46" s="9"/>
      <c r="FK46" s="9"/>
      <c r="FL46" s="9"/>
      <c r="FM46" s="9"/>
      <c r="FN46" s="9"/>
      <c r="FO46" s="9"/>
      <c r="FP46" s="9"/>
      <c r="FQ46" s="9"/>
      <c r="FR46" s="9"/>
      <c r="FS46" s="9"/>
      <c r="FT46" s="9"/>
      <c r="FU46" s="9"/>
      <c r="FV46" s="9"/>
      <c r="FW46" s="9"/>
      <c r="FX46" s="9"/>
      <c r="FY46" s="9"/>
      <c r="FZ46" s="9"/>
      <c r="GA46" s="9"/>
      <c r="GB46" s="9"/>
      <c r="GC46" s="9"/>
      <c r="GD46" s="9"/>
      <c r="GE46" s="9"/>
      <c r="GF46" s="9"/>
      <c r="GG46" s="9"/>
      <c r="GH46" s="9"/>
      <c r="GI46" s="9"/>
      <c r="GJ46" s="9"/>
      <c r="GK46" s="9"/>
      <c r="GL46" s="9"/>
      <c r="GM46" s="9"/>
      <c r="GN46" s="9"/>
      <c r="GO46" s="9"/>
      <c r="GP46" s="9"/>
      <c r="GQ46" s="9"/>
      <c r="GR46" s="9"/>
      <c r="GS46" s="9"/>
      <c r="GT46" s="9"/>
      <c r="GU46" s="9"/>
      <c r="GV46" s="9"/>
      <c r="GW46" s="9"/>
      <c r="GX46" s="9"/>
      <c r="GY46" s="9"/>
      <c r="GZ46" s="9"/>
      <c r="HA46" s="9"/>
      <c r="HB46" s="9"/>
      <c r="HC46" s="9"/>
      <c r="HD46" s="9"/>
      <c r="HE46" s="9"/>
      <c r="HF46" s="9"/>
      <c r="HG46" s="9"/>
      <c r="HH46" s="9"/>
      <c r="HI46" s="9"/>
      <c r="HJ46" s="9"/>
      <c r="HK46" s="9"/>
      <c r="HW46" s="50"/>
      <c r="IF46" t="s">
        <v>2472</v>
      </c>
      <c r="IG46" s="75" t="s">
        <v>1714</v>
      </c>
      <c r="IH46" t="s">
        <v>542</v>
      </c>
      <c r="II46" t="s">
        <v>543</v>
      </c>
      <c r="IJ46" t="s">
        <v>1049</v>
      </c>
      <c r="IK46" t="s">
        <v>1049</v>
      </c>
      <c r="IL46" s="78" t="s">
        <v>480</v>
      </c>
      <c r="JH46" t="s">
        <v>2412</v>
      </c>
      <c r="JI46" t="s">
        <v>494</v>
      </c>
      <c r="JJ46" t="s">
        <v>495</v>
      </c>
      <c r="JK46" s="8" t="s">
        <v>1466</v>
      </c>
      <c r="JN46" t="s">
        <v>508</v>
      </c>
      <c r="JO46">
        <v>40</v>
      </c>
      <c r="JP46">
        <v>50</v>
      </c>
      <c r="KD46" t="s">
        <v>500</v>
      </c>
      <c r="MR46" t="s">
        <v>2413</v>
      </c>
      <c r="MS46">
        <v>36</v>
      </c>
      <c r="MT46" t="s">
        <v>2422</v>
      </c>
      <c r="MV46" t="s">
        <v>548</v>
      </c>
      <c r="MW46" t="s">
        <v>1674</v>
      </c>
      <c r="ND46" t="s">
        <v>1481</v>
      </c>
      <c r="NE46" t="s">
        <v>2492</v>
      </c>
      <c r="NF46" t="s">
        <v>946</v>
      </c>
      <c r="NG46" t="s">
        <v>516</v>
      </c>
      <c r="NP46" t="s">
        <v>518</v>
      </c>
      <c r="NQ46">
        <v>945.9</v>
      </c>
      <c r="NR46" s="4" t="s">
        <v>520</v>
      </c>
      <c r="NS46">
        <v>53</v>
      </c>
      <c r="NV46">
        <v>4</v>
      </c>
      <c r="OG46" t="s">
        <v>2488</v>
      </c>
      <c r="OH46" s="78" t="s">
        <v>475</v>
      </c>
      <c r="OI46">
        <v>2007</v>
      </c>
      <c r="OL46" t="s">
        <v>2419</v>
      </c>
      <c r="ON46" t="s">
        <v>522</v>
      </c>
      <c r="OO46" s="50">
        <v>46105</v>
      </c>
    </row>
    <row r="47" spans="1:405" ht="15.75" thickBot="1">
      <c r="A47" t="s">
        <v>469</v>
      </c>
      <c r="B47" t="s">
        <v>2406</v>
      </c>
      <c r="C47" t="s">
        <v>667</v>
      </c>
      <c r="D47" s="89" t="s">
        <v>1179</v>
      </c>
      <c r="E47" s="81" t="s">
        <v>2407</v>
      </c>
      <c r="F47" s="89" t="s">
        <v>1179</v>
      </c>
      <c r="G47" s="78" t="s">
        <v>475</v>
      </c>
      <c r="H47" s="78" t="s">
        <v>476</v>
      </c>
      <c r="I47">
        <v>-0.41666666699999999</v>
      </c>
      <c r="J47">
        <v>34.200000000000003</v>
      </c>
      <c r="K47" s="78" t="s">
        <v>480</v>
      </c>
      <c r="AV47" t="s">
        <v>2408</v>
      </c>
      <c r="AW47">
        <v>53</v>
      </c>
      <c r="AX47" t="s">
        <v>866</v>
      </c>
      <c r="AY47">
        <v>1</v>
      </c>
      <c r="AZ47" t="s">
        <v>2409</v>
      </c>
      <c r="BA47">
        <v>2007</v>
      </c>
      <c r="BB47">
        <v>2008</v>
      </c>
      <c r="BD47" t="s">
        <v>998</v>
      </c>
      <c r="BE47" t="s">
        <v>2476</v>
      </c>
      <c r="BF47" t="s">
        <v>611</v>
      </c>
      <c r="BH47" t="s">
        <v>485</v>
      </c>
      <c r="BI47" t="s">
        <v>2411</v>
      </c>
      <c r="BJ47" s="78" t="s">
        <v>486</v>
      </c>
      <c r="BK47">
        <v>44444</v>
      </c>
      <c r="BL47" t="s">
        <v>537</v>
      </c>
      <c r="BM47" t="s">
        <v>2425</v>
      </c>
      <c r="BN47" t="s">
        <v>866</v>
      </c>
      <c r="BO47" t="s">
        <v>866</v>
      </c>
      <c r="BP47" t="s">
        <v>866</v>
      </c>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K47" s="9"/>
      <c r="HW47" s="50"/>
      <c r="IF47" t="s">
        <v>2476</v>
      </c>
      <c r="IG47" s="75" t="s">
        <v>2426</v>
      </c>
      <c r="IH47" t="s">
        <v>542</v>
      </c>
      <c r="II47" t="s">
        <v>543</v>
      </c>
      <c r="IJ47" t="s">
        <v>1049</v>
      </c>
      <c r="IK47" t="s">
        <v>1049</v>
      </c>
      <c r="IL47" s="78" t="s">
        <v>480</v>
      </c>
      <c r="JH47" t="s">
        <v>2412</v>
      </c>
      <c r="JI47" t="s">
        <v>494</v>
      </c>
      <c r="JJ47" t="s">
        <v>495</v>
      </c>
      <c r="JK47" s="8" t="s">
        <v>1466</v>
      </c>
      <c r="JN47" t="s">
        <v>508</v>
      </c>
      <c r="JO47">
        <v>40</v>
      </c>
      <c r="JP47">
        <v>50</v>
      </c>
      <c r="KD47" t="s">
        <v>500</v>
      </c>
      <c r="MR47" t="s">
        <v>2413</v>
      </c>
      <c r="MS47">
        <v>36</v>
      </c>
      <c r="MT47" t="s">
        <v>2427</v>
      </c>
      <c r="MV47" t="s">
        <v>548</v>
      </c>
      <c r="MW47" t="s">
        <v>2428</v>
      </c>
      <c r="MX47" t="s">
        <v>2429</v>
      </c>
      <c r="ND47" t="s">
        <v>1481</v>
      </c>
      <c r="NE47" t="s">
        <v>2492</v>
      </c>
      <c r="NF47" t="s">
        <v>946</v>
      </c>
      <c r="NG47" t="s">
        <v>516</v>
      </c>
      <c r="NP47" t="s">
        <v>518</v>
      </c>
      <c r="NQ47">
        <v>2393</v>
      </c>
      <c r="NR47" s="4" t="s">
        <v>520</v>
      </c>
      <c r="NS47">
        <v>51</v>
      </c>
      <c r="NV47">
        <v>4</v>
      </c>
      <c r="OG47" t="s">
        <v>2488</v>
      </c>
      <c r="OH47" s="78" t="s">
        <v>475</v>
      </c>
      <c r="OI47">
        <v>2007</v>
      </c>
      <c r="OL47" t="s">
        <v>2419</v>
      </c>
      <c r="ON47" t="s">
        <v>522</v>
      </c>
      <c r="OO47" s="50">
        <v>46105</v>
      </c>
    </row>
    <row r="48" spans="1:405" ht="15.75" thickBot="1">
      <c r="A48" t="s">
        <v>469</v>
      </c>
      <c r="B48" t="s">
        <v>2406</v>
      </c>
      <c r="C48" t="s">
        <v>667</v>
      </c>
      <c r="D48" s="89" t="s">
        <v>1179</v>
      </c>
      <c r="E48" s="81" t="s">
        <v>2407</v>
      </c>
      <c r="F48" s="89" t="s">
        <v>1179</v>
      </c>
      <c r="G48" s="78" t="s">
        <v>475</v>
      </c>
      <c r="H48" s="78" t="s">
        <v>476</v>
      </c>
      <c r="I48">
        <v>-0.41666666699999999</v>
      </c>
      <c r="J48">
        <v>34.200000000000003</v>
      </c>
      <c r="K48" s="78" t="s">
        <v>480</v>
      </c>
      <c r="AV48" t="s">
        <v>2408</v>
      </c>
      <c r="AW48">
        <v>54</v>
      </c>
      <c r="AX48" t="s">
        <v>866</v>
      </c>
      <c r="AY48">
        <v>1</v>
      </c>
      <c r="AZ48" t="s">
        <v>2409</v>
      </c>
      <c r="BA48">
        <v>2007</v>
      </c>
      <c r="BB48">
        <v>2008</v>
      </c>
      <c r="BD48" t="s">
        <v>998</v>
      </c>
      <c r="BE48" t="s">
        <v>2480</v>
      </c>
      <c r="BF48" t="s">
        <v>615</v>
      </c>
      <c r="BH48" t="s">
        <v>485</v>
      </c>
      <c r="BI48" t="s">
        <v>2411</v>
      </c>
      <c r="BJ48" s="78" t="s">
        <v>486</v>
      </c>
      <c r="BK48">
        <v>44444</v>
      </c>
      <c r="BL48" t="s">
        <v>537</v>
      </c>
      <c r="BM48" t="s">
        <v>1425</v>
      </c>
      <c r="BN48" t="s">
        <v>2421</v>
      </c>
      <c r="BO48" s="78" t="s">
        <v>486</v>
      </c>
      <c r="BP48">
        <v>44444</v>
      </c>
      <c r="BQ48" t="s">
        <v>537</v>
      </c>
      <c r="BR48" t="s">
        <v>2425</v>
      </c>
      <c r="BS48" t="s">
        <v>866</v>
      </c>
      <c r="BT48" t="s">
        <v>866</v>
      </c>
      <c r="BU48" t="s">
        <v>866</v>
      </c>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K48" s="9"/>
      <c r="HW48" s="50"/>
      <c r="IF48" t="s">
        <v>2480</v>
      </c>
      <c r="IG48" s="75" t="s">
        <v>2426</v>
      </c>
      <c r="IH48" t="s">
        <v>542</v>
      </c>
      <c r="II48" t="s">
        <v>543</v>
      </c>
      <c r="IJ48" t="s">
        <v>1049</v>
      </c>
      <c r="IK48" t="s">
        <v>1049</v>
      </c>
      <c r="IL48" s="78" t="s">
        <v>480</v>
      </c>
      <c r="JH48" t="s">
        <v>2412</v>
      </c>
      <c r="JI48" t="s">
        <v>494</v>
      </c>
      <c r="JJ48" t="s">
        <v>495</v>
      </c>
      <c r="JK48" s="8" t="s">
        <v>1466</v>
      </c>
      <c r="JN48" t="s">
        <v>508</v>
      </c>
      <c r="JO48">
        <v>40</v>
      </c>
      <c r="JP48">
        <v>50</v>
      </c>
      <c r="KD48" t="s">
        <v>500</v>
      </c>
      <c r="MR48" t="s">
        <v>2413</v>
      </c>
      <c r="MS48">
        <v>36</v>
      </c>
      <c r="MT48" t="s">
        <v>2431</v>
      </c>
      <c r="MV48" t="s">
        <v>548</v>
      </c>
      <c r="MW48" t="s">
        <v>1674</v>
      </c>
      <c r="MX48" t="s">
        <v>2428</v>
      </c>
      <c r="MY48" t="s">
        <v>2429</v>
      </c>
      <c r="ND48" t="s">
        <v>1481</v>
      </c>
      <c r="NE48" t="s">
        <v>2492</v>
      </c>
      <c r="NF48" t="s">
        <v>946</v>
      </c>
      <c r="NG48" t="s">
        <v>516</v>
      </c>
      <c r="NP48" t="s">
        <v>518</v>
      </c>
      <c r="NQ48">
        <v>25041.1</v>
      </c>
      <c r="NR48" s="4" t="s">
        <v>520</v>
      </c>
      <c r="NS48">
        <v>53</v>
      </c>
      <c r="NV48">
        <v>4</v>
      </c>
      <c r="OG48" t="s">
        <v>2488</v>
      </c>
      <c r="OH48" s="78" t="s">
        <v>475</v>
      </c>
      <c r="OI48">
        <v>2007</v>
      </c>
      <c r="OL48" t="s">
        <v>2419</v>
      </c>
      <c r="ON48" t="s">
        <v>522</v>
      </c>
      <c r="OO48" s="50">
        <v>46105</v>
      </c>
    </row>
    <row r="49" spans="1:405" ht="15.75" thickBot="1">
      <c r="A49" t="s">
        <v>469</v>
      </c>
      <c r="B49" t="s">
        <v>2406</v>
      </c>
      <c r="C49" t="s">
        <v>667</v>
      </c>
      <c r="D49" s="89" t="s">
        <v>1179</v>
      </c>
      <c r="E49" s="81" t="s">
        <v>2407</v>
      </c>
      <c r="F49" s="89" t="s">
        <v>1179</v>
      </c>
      <c r="G49" s="78" t="s">
        <v>475</v>
      </c>
      <c r="H49" s="78" t="s">
        <v>476</v>
      </c>
      <c r="I49">
        <v>-0.41666666699999999</v>
      </c>
      <c r="J49">
        <v>34.200000000000003</v>
      </c>
      <c r="K49" s="78" t="s">
        <v>480</v>
      </c>
      <c r="AV49" t="s">
        <v>2408</v>
      </c>
      <c r="AW49">
        <v>55</v>
      </c>
      <c r="AX49" t="s">
        <v>866</v>
      </c>
      <c r="AY49">
        <v>1</v>
      </c>
      <c r="AZ49" t="s">
        <v>2409</v>
      </c>
      <c r="BA49">
        <v>2007</v>
      </c>
      <c r="BB49">
        <v>2008</v>
      </c>
      <c r="BD49" t="s">
        <v>998</v>
      </c>
      <c r="BE49" t="s">
        <v>2484</v>
      </c>
      <c r="BF49" t="s">
        <v>617</v>
      </c>
      <c r="BH49" t="s">
        <v>485</v>
      </c>
      <c r="BI49" t="s">
        <v>2411</v>
      </c>
      <c r="BJ49" s="78" t="s">
        <v>486</v>
      </c>
      <c r="BK49">
        <v>44444</v>
      </c>
      <c r="BL49" t="s">
        <v>537</v>
      </c>
      <c r="BM49" t="s">
        <v>1425</v>
      </c>
      <c r="BN49" t="s">
        <v>2421</v>
      </c>
      <c r="BO49" s="78" t="s">
        <v>486</v>
      </c>
      <c r="BP49">
        <v>44444</v>
      </c>
      <c r="BQ49" t="s">
        <v>537</v>
      </c>
      <c r="BR49" t="s">
        <v>2425</v>
      </c>
      <c r="BS49" t="s">
        <v>866</v>
      </c>
      <c r="BT49" t="s">
        <v>866</v>
      </c>
      <c r="BU49" t="s">
        <v>866</v>
      </c>
      <c r="EH49" s="9"/>
      <c r="EI49" s="9"/>
      <c r="EJ49" s="9"/>
      <c r="EK49" s="9"/>
      <c r="EL49" s="9"/>
      <c r="EM49" s="9"/>
      <c r="EN49" s="9"/>
      <c r="EO49" s="9"/>
      <c r="EP49" s="9"/>
      <c r="EQ49" s="9"/>
      <c r="ER49" s="9"/>
      <c r="ES49" s="9"/>
      <c r="ET49" s="9"/>
      <c r="EU49" s="9"/>
      <c r="EV49" s="9"/>
      <c r="EW49" s="9"/>
      <c r="EX49" s="9"/>
      <c r="EY49" s="9"/>
      <c r="EZ49" s="9"/>
      <c r="FA49" s="9"/>
      <c r="FB49" s="9"/>
      <c r="FC49" s="9"/>
      <c r="FD49" s="9"/>
      <c r="FE49" s="9"/>
      <c r="FF49" s="9"/>
      <c r="FG49" s="9"/>
      <c r="FH49" s="9"/>
      <c r="FI49" s="9"/>
      <c r="FJ49" s="9"/>
      <c r="FK49" s="9"/>
      <c r="FL49" s="9"/>
      <c r="FM49" s="9"/>
      <c r="FN49" s="9"/>
      <c r="FO49" s="9"/>
      <c r="FP49" s="9"/>
      <c r="FQ49" s="9"/>
      <c r="FR49" s="9"/>
      <c r="FS49" s="9"/>
      <c r="FT49" s="9"/>
      <c r="FU49" s="9"/>
      <c r="FV49" s="9"/>
      <c r="FW49" s="9"/>
      <c r="FX49" s="9"/>
      <c r="FY49" s="9"/>
      <c r="FZ49" s="9"/>
      <c r="GA49" s="9"/>
      <c r="GB49" s="9"/>
      <c r="GC49" s="9"/>
      <c r="GD49" s="9"/>
      <c r="GE49" s="9"/>
      <c r="GF49" s="9"/>
      <c r="GG49" s="9"/>
      <c r="GH49" s="9"/>
      <c r="GI49" s="9"/>
      <c r="GJ49" s="9"/>
      <c r="GK49" s="9"/>
      <c r="GL49" s="9"/>
      <c r="GM49" s="9"/>
      <c r="GN49" s="9"/>
      <c r="GO49" s="9"/>
      <c r="GP49" s="9"/>
      <c r="GQ49" s="9"/>
      <c r="GR49" s="9"/>
      <c r="GS49" s="9"/>
      <c r="GT49" s="9"/>
      <c r="GU49" s="9"/>
      <c r="GV49" s="9"/>
      <c r="GW49" s="9"/>
      <c r="GX49" s="9"/>
      <c r="GY49" s="9"/>
      <c r="GZ49" s="9"/>
      <c r="HA49" s="9"/>
      <c r="HB49" s="9"/>
      <c r="HC49" s="9"/>
      <c r="HD49" s="9"/>
      <c r="HE49" s="9"/>
      <c r="HF49" s="9"/>
      <c r="HG49" s="9"/>
      <c r="HH49" s="9"/>
      <c r="HI49" s="9"/>
      <c r="HJ49" s="9"/>
      <c r="HK49" s="9"/>
      <c r="HW49" s="50"/>
      <c r="IF49" t="s">
        <v>2484</v>
      </c>
      <c r="IG49" s="75" t="s">
        <v>2426</v>
      </c>
      <c r="IH49" t="s">
        <v>542</v>
      </c>
      <c r="II49" t="s">
        <v>543</v>
      </c>
      <c r="IJ49" t="s">
        <v>1049</v>
      </c>
      <c r="IK49" t="s">
        <v>1049</v>
      </c>
      <c r="IL49" s="78" t="s">
        <v>480</v>
      </c>
      <c r="JH49" t="s">
        <v>2412</v>
      </c>
      <c r="JI49" t="s">
        <v>494</v>
      </c>
      <c r="JJ49" t="s">
        <v>495</v>
      </c>
      <c r="JK49" s="8" t="s">
        <v>1466</v>
      </c>
      <c r="JN49" t="s">
        <v>508</v>
      </c>
      <c r="JO49">
        <v>40</v>
      </c>
      <c r="JP49">
        <v>50</v>
      </c>
      <c r="KD49" t="s">
        <v>500</v>
      </c>
      <c r="MR49" t="s">
        <v>2413</v>
      </c>
      <c r="MS49">
        <v>36</v>
      </c>
      <c r="MT49" t="s">
        <v>2431</v>
      </c>
      <c r="MV49" t="s">
        <v>548</v>
      </c>
      <c r="MW49" t="s">
        <v>1674</v>
      </c>
      <c r="MX49" t="s">
        <v>2428</v>
      </c>
      <c r="MY49" t="s">
        <v>2429</v>
      </c>
      <c r="ND49" t="s">
        <v>1481</v>
      </c>
      <c r="NE49" t="s">
        <v>2492</v>
      </c>
      <c r="NF49" t="s">
        <v>946</v>
      </c>
      <c r="NG49" t="s">
        <v>516</v>
      </c>
      <c r="NP49" t="s">
        <v>518</v>
      </c>
      <c r="NQ49">
        <v>2582.5</v>
      </c>
      <c r="NR49" s="4" t="s">
        <v>520</v>
      </c>
      <c r="NS49">
        <v>75</v>
      </c>
      <c r="NV49">
        <v>4</v>
      </c>
      <c r="OG49" t="s">
        <v>2488</v>
      </c>
      <c r="OH49" s="78" t="s">
        <v>475</v>
      </c>
      <c r="OI49">
        <v>2007</v>
      </c>
      <c r="OL49" t="s">
        <v>2419</v>
      </c>
      <c r="ON49" t="s">
        <v>522</v>
      </c>
      <c r="OO49" s="50">
        <v>46105</v>
      </c>
    </row>
    <row r="50" spans="1:405" ht="15.75" thickBot="1">
      <c r="A50" t="s">
        <v>469</v>
      </c>
      <c r="B50" t="s">
        <v>2406</v>
      </c>
      <c r="C50" t="s">
        <v>667</v>
      </c>
      <c r="D50" s="89" t="s">
        <v>1179</v>
      </c>
      <c r="E50" s="81" t="s">
        <v>2407</v>
      </c>
      <c r="F50" s="89" t="s">
        <v>1179</v>
      </c>
      <c r="G50" s="78" t="s">
        <v>475</v>
      </c>
      <c r="H50" s="78" t="s">
        <v>476</v>
      </c>
      <c r="I50">
        <v>-0.41666666699999999</v>
      </c>
      <c r="J50">
        <v>34.200000000000003</v>
      </c>
      <c r="K50" s="78" t="s">
        <v>480</v>
      </c>
      <c r="AV50" t="s">
        <v>2408</v>
      </c>
      <c r="AW50">
        <v>36</v>
      </c>
      <c r="AX50" t="s">
        <v>866</v>
      </c>
      <c r="AY50">
        <v>1</v>
      </c>
      <c r="AZ50" t="s">
        <v>2409</v>
      </c>
      <c r="BA50">
        <v>2007</v>
      </c>
      <c r="BB50">
        <v>2008</v>
      </c>
      <c r="BD50" t="s">
        <v>492</v>
      </c>
      <c r="BE50" t="s">
        <v>2410</v>
      </c>
      <c r="BF50" t="s">
        <v>524</v>
      </c>
      <c r="BH50" t="s">
        <v>485</v>
      </c>
      <c r="BI50" t="s">
        <v>2411</v>
      </c>
      <c r="BJ50" s="78" t="s">
        <v>486</v>
      </c>
      <c r="BK50">
        <v>44444</v>
      </c>
      <c r="IF50" t="s">
        <v>2410</v>
      </c>
      <c r="IG50" t="s">
        <v>492</v>
      </c>
      <c r="JH50" t="s">
        <v>2412</v>
      </c>
      <c r="JI50" t="s">
        <v>494</v>
      </c>
      <c r="JJ50" t="s">
        <v>495</v>
      </c>
      <c r="JK50" s="8" t="s">
        <v>1466</v>
      </c>
      <c r="JN50" t="s">
        <v>508</v>
      </c>
      <c r="JO50">
        <v>40</v>
      </c>
      <c r="JP50">
        <v>50</v>
      </c>
      <c r="KD50" t="s">
        <v>500</v>
      </c>
      <c r="MR50" t="s">
        <v>2413</v>
      </c>
      <c r="MS50">
        <v>36</v>
      </c>
      <c r="NC50" t="s">
        <v>2415</v>
      </c>
      <c r="ND50" t="s">
        <v>943</v>
      </c>
      <c r="NF50" t="s">
        <v>944</v>
      </c>
      <c r="NG50" t="s">
        <v>516</v>
      </c>
      <c r="NP50" t="s">
        <v>518</v>
      </c>
      <c r="NQ50">
        <v>799.5</v>
      </c>
      <c r="NR50" s="4" t="s">
        <v>520</v>
      </c>
      <c r="NS50">
        <v>8</v>
      </c>
      <c r="NV50">
        <v>4</v>
      </c>
      <c r="OG50" t="s">
        <v>2418</v>
      </c>
      <c r="OH50" s="78" t="s">
        <v>475</v>
      </c>
      <c r="OI50">
        <v>2007</v>
      </c>
      <c r="OL50" t="s">
        <v>2419</v>
      </c>
      <c r="ON50" t="s">
        <v>522</v>
      </c>
      <c r="OO50" s="50">
        <v>46105</v>
      </c>
    </row>
    <row r="51" spans="1:405" ht="15.75" thickBot="1">
      <c r="A51" t="s">
        <v>469</v>
      </c>
      <c r="B51" t="s">
        <v>2406</v>
      </c>
      <c r="C51" t="s">
        <v>667</v>
      </c>
      <c r="D51" s="89" t="s">
        <v>1179</v>
      </c>
      <c r="E51" s="81" t="s">
        <v>2407</v>
      </c>
      <c r="F51" s="89" t="s">
        <v>1179</v>
      </c>
      <c r="G51" s="78" t="s">
        <v>475</v>
      </c>
      <c r="H51" s="78" t="s">
        <v>476</v>
      </c>
      <c r="I51">
        <v>-0.41666666699999999</v>
      </c>
      <c r="J51">
        <v>34.200000000000003</v>
      </c>
      <c r="K51" s="78" t="s">
        <v>480</v>
      </c>
      <c r="AV51" t="s">
        <v>2408</v>
      </c>
      <c r="AW51">
        <v>37</v>
      </c>
      <c r="AX51" t="s">
        <v>866</v>
      </c>
      <c r="AY51">
        <v>1</v>
      </c>
      <c r="AZ51" t="s">
        <v>2409</v>
      </c>
      <c r="BA51">
        <v>2007</v>
      </c>
      <c r="BB51">
        <v>2008</v>
      </c>
      <c r="BD51" t="s">
        <v>998</v>
      </c>
      <c r="BE51" t="s">
        <v>2420</v>
      </c>
      <c r="BF51" t="s">
        <v>536</v>
      </c>
      <c r="BH51" t="s">
        <v>485</v>
      </c>
      <c r="BI51" t="s">
        <v>2411</v>
      </c>
      <c r="BJ51" s="78" t="s">
        <v>486</v>
      </c>
      <c r="BK51">
        <v>44444</v>
      </c>
      <c r="BL51" t="s">
        <v>537</v>
      </c>
      <c r="BM51" t="s">
        <v>1425</v>
      </c>
      <c r="BN51" t="s">
        <v>2421</v>
      </c>
      <c r="BO51" s="78" t="s">
        <v>486</v>
      </c>
      <c r="BP51">
        <v>44444</v>
      </c>
      <c r="IF51" t="s">
        <v>2420</v>
      </c>
      <c r="IG51" s="75" t="s">
        <v>1714</v>
      </c>
      <c r="IH51" t="s">
        <v>542</v>
      </c>
      <c r="II51" t="s">
        <v>543</v>
      </c>
      <c r="IJ51" t="s">
        <v>1049</v>
      </c>
      <c r="IK51" t="s">
        <v>1049</v>
      </c>
      <c r="IL51" s="78" t="s">
        <v>480</v>
      </c>
      <c r="JH51" t="s">
        <v>2412</v>
      </c>
      <c r="JI51" t="s">
        <v>494</v>
      </c>
      <c r="JJ51" t="s">
        <v>495</v>
      </c>
      <c r="JK51" s="8" t="s">
        <v>1466</v>
      </c>
      <c r="JN51" t="s">
        <v>508</v>
      </c>
      <c r="JO51">
        <v>40</v>
      </c>
      <c r="JP51">
        <v>50</v>
      </c>
      <c r="KD51" t="s">
        <v>500</v>
      </c>
      <c r="MR51" t="s">
        <v>2413</v>
      </c>
      <c r="MS51">
        <v>36</v>
      </c>
      <c r="NC51" t="s">
        <v>2423</v>
      </c>
      <c r="ND51" t="s">
        <v>943</v>
      </c>
      <c r="NF51" t="s">
        <v>944</v>
      </c>
      <c r="NG51" t="s">
        <v>516</v>
      </c>
      <c r="NP51" t="s">
        <v>518</v>
      </c>
      <c r="NQ51">
        <v>959.9</v>
      </c>
      <c r="NR51" s="4" t="s">
        <v>520</v>
      </c>
      <c r="NS51">
        <v>14</v>
      </c>
      <c r="NV51">
        <v>4</v>
      </c>
      <c r="OG51" t="s">
        <v>2418</v>
      </c>
      <c r="OH51" s="78" t="s">
        <v>475</v>
      </c>
      <c r="OI51">
        <v>2007</v>
      </c>
      <c r="OL51" t="s">
        <v>2419</v>
      </c>
      <c r="ON51" t="s">
        <v>522</v>
      </c>
      <c r="OO51" s="50">
        <v>46105</v>
      </c>
    </row>
    <row r="52" spans="1:405" ht="15.75" thickBot="1">
      <c r="A52" t="s">
        <v>469</v>
      </c>
      <c r="B52" t="s">
        <v>2406</v>
      </c>
      <c r="C52" t="s">
        <v>667</v>
      </c>
      <c r="D52" s="89" t="s">
        <v>1179</v>
      </c>
      <c r="E52" s="81" t="s">
        <v>2407</v>
      </c>
      <c r="F52" s="89" t="s">
        <v>1179</v>
      </c>
      <c r="G52" s="78" t="s">
        <v>475</v>
      </c>
      <c r="H52" s="78" t="s">
        <v>476</v>
      </c>
      <c r="I52">
        <v>-0.41666666699999999</v>
      </c>
      <c r="J52">
        <v>34.200000000000003</v>
      </c>
      <c r="K52" s="78" t="s">
        <v>480</v>
      </c>
      <c r="AV52" t="s">
        <v>2408</v>
      </c>
      <c r="AW52">
        <v>38</v>
      </c>
      <c r="AX52" t="s">
        <v>866</v>
      </c>
      <c r="AY52">
        <v>1</v>
      </c>
      <c r="AZ52" t="s">
        <v>2409</v>
      </c>
      <c r="BA52">
        <v>2007</v>
      </c>
      <c r="BB52">
        <v>2008</v>
      </c>
      <c r="BD52" t="s">
        <v>998</v>
      </c>
      <c r="BE52" t="s">
        <v>2424</v>
      </c>
      <c r="BF52" t="s">
        <v>566</v>
      </c>
      <c r="BH52" t="s">
        <v>485</v>
      </c>
      <c r="BI52" t="s">
        <v>2411</v>
      </c>
      <c r="BJ52" s="78" t="s">
        <v>486</v>
      </c>
      <c r="BK52">
        <v>44444</v>
      </c>
      <c r="BL52" t="s">
        <v>537</v>
      </c>
      <c r="BM52" t="s">
        <v>2425</v>
      </c>
      <c r="BN52" t="s">
        <v>866</v>
      </c>
      <c r="BO52" t="s">
        <v>866</v>
      </c>
      <c r="BP52" t="s">
        <v>866</v>
      </c>
      <c r="IF52" t="s">
        <v>2424</v>
      </c>
      <c r="IG52" s="75" t="s">
        <v>2426</v>
      </c>
      <c r="IH52" t="s">
        <v>542</v>
      </c>
      <c r="II52" t="s">
        <v>543</v>
      </c>
      <c r="IJ52" t="s">
        <v>1049</v>
      </c>
      <c r="IK52" t="s">
        <v>1049</v>
      </c>
      <c r="IL52" s="78" t="s">
        <v>480</v>
      </c>
      <c r="JH52" t="s">
        <v>2412</v>
      </c>
      <c r="JI52" t="s">
        <v>494</v>
      </c>
      <c r="JJ52" t="s">
        <v>495</v>
      </c>
      <c r="JK52" s="8" t="s">
        <v>1466</v>
      </c>
      <c r="JN52" t="s">
        <v>508</v>
      </c>
      <c r="JO52">
        <v>40</v>
      </c>
      <c r="JP52">
        <v>50</v>
      </c>
      <c r="KD52" t="s">
        <v>500</v>
      </c>
      <c r="MR52" t="s">
        <v>2413</v>
      </c>
      <c r="MS52">
        <v>36</v>
      </c>
      <c r="NC52" t="s">
        <v>2423</v>
      </c>
      <c r="ND52" t="s">
        <v>943</v>
      </c>
      <c r="NF52" t="s">
        <v>944</v>
      </c>
      <c r="NG52" t="s">
        <v>516</v>
      </c>
      <c r="NP52" t="s">
        <v>518</v>
      </c>
      <c r="NQ52">
        <v>1006</v>
      </c>
      <c r="NR52" s="4" t="s">
        <v>520</v>
      </c>
      <c r="NS52">
        <v>7</v>
      </c>
      <c r="NV52">
        <v>4</v>
      </c>
      <c r="OG52" t="s">
        <v>2418</v>
      </c>
      <c r="OH52" s="78" t="s">
        <v>475</v>
      </c>
      <c r="OI52">
        <v>2007</v>
      </c>
      <c r="OL52" t="s">
        <v>2419</v>
      </c>
      <c r="ON52" t="s">
        <v>522</v>
      </c>
      <c r="OO52" s="50">
        <v>46105</v>
      </c>
    </row>
    <row r="53" spans="1:405" ht="15.75" thickBot="1">
      <c r="A53" t="s">
        <v>469</v>
      </c>
      <c r="B53" t="s">
        <v>2406</v>
      </c>
      <c r="C53" t="s">
        <v>667</v>
      </c>
      <c r="D53" s="89" t="s">
        <v>1179</v>
      </c>
      <c r="E53" s="81" t="s">
        <v>2407</v>
      </c>
      <c r="F53" s="89" t="s">
        <v>1179</v>
      </c>
      <c r="G53" s="78" t="s">
        <v>475</v>
      </c>
      <c r="H53" s="78" t="s">
        <v>476</v>
      </c>
      <c r="I53">
        <v>-0.41666666699999999</v>
      </c>
      <c r="J53">
        <v>34.200000000000003</v>
      </c>
      <c r="K53" s="78" t="s">
        <v>480</v>
      </c>
      <c r="AV53" t="s">
        <v>2408</v>
      </c>
      <c r="AW53">
        <v>39</v>
      </c>
      <c r="AX53" t="s">
        <v>866</v>
      </c>
      <c r="AY53">
        <v>1</v>
      </c>
      <c r="AZ53" t="s">
        <v>2409</v>
      </c>
      <c r="BA53">
        <v>2007</v>
      </c>
      <c r="BB53">
        <v>2008</v>
      </c>
      <c r="BD53" t="s">
        <v>998</v>
      </c>
      <c r="BE53" t="s">
        <v>2430</v>
      </c>
      <c r="BF53" t="s">
        <v>572</v>
      </c>
      <c r="BH53" t="s">
        <v>485</v>
      </c>
      <c r="BI53" t="s">
        <v>2411</v>
      </c>
      <c r="BJ53" s="78" t="s">
        <v>486</v>
      </c>
      <c r="BK53">
        <v>44444</v>
      </c>
      <c r="BL53" t="s">
        <v>537</v>
      </c>
      <c r="BM53" t="s">
        <v>1425</v>
      </c>
      <c r="BN53" t="s">
        <v>2421</v>
      </c>
      <c r="BO53" s="78" t="s">
        <v>486</v>
      </c>
      <c r="BP53">
        <v>44444</v>
      </c>
      <c r="BQ53" t="s">
        <v>537</v>
      </c>
      <c r="BR53" t="s">
        <v>2425</v>
      </c>
      <c r="BS53" t="s">
        <v>866</v>
      </c>
      <c r="BT53" t="s">
        <v>866</v>
      </c>
      <c r="BU53" t="s">
        <v>866</v>
      </c>
      <c r="IF53" t="s">
        <v>2430</v>
      </c>
      <c r="IG53" s="75" t="s">
        <v>2426</v>
      </c>
      <c r="IH53" t="s">
        <v>542</v>
      </c>
      <c r="II53" t="s">
        <v>543</v>
      </c>
      <c r="IJ53" t="s">
        <v>1049</v>
      </c>
      <c r="IK53" t="s">
        <v>1049</v>
      </c>
      <c r="IL53" s="78" t="s">
        <v>480</v>
      </c>
      <c r="JH53" t="s">
        <v>2412</v>
      </c>
      <c r="JI53" t="s">
        <v>494</v>
      </c>
      <c r="JJ53" t="s">
        <v>495</v>
      </c>
      <c r="JK53" s="8" t="s">
        <v>1466</v>
      </c>
      <c r="JN53" t="s">
        <v>508</v>
      </c>
      <c r="JO53">
        <v>40</v>
      </c>
      <c r="JP53">
        <v>50</v>
      </c>
      <c r="KD53" t="s">
        <v>500</v>
      </c>
      <c r="MR53" t="s">
        <v>2413</v>
      </c>
      <c r="MS53">
        <v>36</v>
      </c>
      <c r="NC53" t="s">
        <v>2423</v>
      </c>
      <c r="ND53" t="s">
        <v>943</v>
      </c>
      <c r="NF53" t="s">
        <v>944</v>
      </c>
      <c r="NG53" t="s">
        <v>516</v>
      </c>
      <c r="NP53" t="s">
        <v>518</v>
      </c>
      <c r="NQ53">
        <v>1109.9000000000001</v>
      </c>
      <c r="NR53" s="4" t="s">
        <v>520</v>
      </c>
      <c r="NS53">
        <v>2</v>
      </c>
      <c r="NV53">
        <v>4</v>
      </c>
      <c r="OG53" t="s">
        <v>2418</v>
      </c>
      <c r="OH53" s="78" t="s">
        <v>475</v>
      </c>
      <c r="OI53">
        <v>2007</v>
      </c>
      <c r="OL53" t="s">
        <v>2419</v>
      </c>
      <c r="ON53" t="s">
        <v>522</v>
      </c>
      <c r="OO53" s="50">
        <v>46105</v>
      </c>
    </row>
    <row r="54" spans="1:405" ht="15.75" thickBot="1">
      <c r="A54" t="s">
        <v>469</v>
      </c>
      <c r="B54" t="s">
        <v>2406</v>
      </c>
      <c r="C54" t="s">
        <v>667</v>
      </c>
      <c r="D54" s="89" t="s">
        <v>1179</v>
      </c>
      <c r="E54" s="81" t="s">
        <v>2407</v>
      </c>
      <c r="F54" s="89" t="s">
        <v>1179</v>
      </c>
      <c r="G54" s="78" t="s">
        <v>475</v>
      </c>
      <c r="H54" s="78" t="s">
        <v>476</v>
      </c>
      <c r="I54">
        <v>-0.41666666699999999</v>
      </c>
      <c r="J54">
        <v>34.200000000000003</v>
      </c>
      <c r="K54" s="78" t="s">
        <v>480</v>
      </c>
      <c r="AV54" t="s">
        <v>2408</v>
      </c>
      <c r="AW54">
        <v>40</v>
      </c>
      <c r="AX54" t="s">
        <v>866</v>
      </c>
      <c r="AY54">
        <v>1</v>
      </c>
      <c r="AZ54" t="s">
        <v>2409</v>
      </c>
      <c r="BA54">
        <v>2007</v>
      </c>
      <c r="BB54">
        <v>2008</v>
      </c>
      <c r="BD54" t="s">
        <v>998</v>
      </c>
      <c r="BE54" t="s">
        <v>2441</v>
      </c>
      <c r="BF54" t="s">
        <v>553</v>
      </c>
      <c r="BH54" t="s">
        <v>485</v>
      </c>
      <c r="BI54" t="s">
        <v>2411</v>
      </c>
      <c r="BJ54" s="78" t="s">
        <v>486</v>
      </c>
      <c r="BK54">
        <v>44444</v>
      </c>
      <c r="BL54" t="s">
        <v>537</v>
      </c>
      <c r="BM54" t="s">
        <v>1425</v>
      </c>
      <c r="BN54" t="s">
        <v>2421</v>
      </c>
      <c r="BO54" s="78" t="s">
        <v>486</v>
      </c>
      <c r="BP54">
        <v>44444</v>
      </c>
      <c r="BQ54" t="s">
        <v>537</v>
      </c>
      <c r="BR54" t="s">
        <v>2425</v>
      </c>
      <c r="BS54" t="s">
        <v>866</v>
      </c>
      <c r="BT54" t="s">
        <v>866</v>
      </c>
      <c r="BU54" t="s">
        <v>866</v>
      </c>
      <c r="IF54" t="s">
        <v>2442</v>
      </c>
      <c r="IG54" s="75" t="s">
        <v>2426</v>
      </c>
      <c r="IH54" t="s">
        <v>542</v>
      </c>
      <c r="II54" t="s">
        <v>543</v>
      </c>
      <c r="IJ54" t="s">
        <v>1049</v>
      </c>
      <c r="IK54" t="s">
        <v>1049</v>
      </c>
      <c r="IL54" s="78" t="s">
        <v>480</v>
      </c>
      <c r="JH54" t="s">
        <v>2412</v>
      </c>
      <c r="JI54" t="s">
        <v>494</v>
      </c>
      <c r="JJ54" t="s">
        <v>495</v>
      </c>
      <c r="JK54" s="8" t="s">
        <v>1466</v>
      </c>
      <c r="JN54" t="s">
        <v>508</v>
      </c>
      <c r="JO54">
        <v>40</v>
      </c>
      <c r="JP54">
        <v>50</v>
      </c>
      <c r="KD54" t="s">
        <v>500</v>
      </c>
      <c r="MR54" t="s">
        <v>2413</v>
      </c>
      <c r="MS54">
        <v>36</v>
      </c>
      <c r="NC54" t="s">
        <v>2423</v>
      </c>
      <c r="ND54" t="s">
        <v>943</v>
      </c>
      <c r="NF54" t="s">
        <v>944</v>
      </c>
      <c r="NG54" t="s">
        <v>516</v>
      </c>
      <c r="NP54" t="s">
        <v>518</v>
      </c>
      <c r="NQ54">
        <v>1148.7</v>
      </c>
      <c r="NR54" s="4" t="s">
        <v>520</v>
      </c>
      <c r="NS54">
        <v>6</v>
      </c>
      <c r="NV54">
        <v>4</v>
      </c>
      <c r="OG54" t="s">
        <v>2418</v>
      </c>
      <c r="OH54" s="78" t="s">
        <v>475</v>
      </c>
      <c r="OI54">
        <v>2007</v>
      </c>
      <c r="OL54" t="s">
        <v>2419</v>
      </c>
      <c r="ON54" t="s">
        <v>522</v>
      </c>
      <c r="OO54" s="50">
        <v>46105</v>
      </c>
    </row>
    <row r="55" spans="1:405" ht="15.75" thickBot="1">
      <c r="A55" t="s">
        <v>469</v>
      </c>
      <c r="B55" t="s">
        <v>2406</v>
      </c>
      <c r="C55" t="s">
        <v>667</v>
      </c>
      <c r="D55" s="89" t="s">
        <v>1179</v>
      </c>
      <c r="E55" s="81" t="s">
        <v>2407</v>
      </c>
      <c r="F55" s="89" t="s">
        <v>1179</v>
      </c>
      <c r="G55" s="78" t="s">
        <v>475</v>
      </c>
      <c r="H55" s="78" t="s">
        <v>476</v>
      </c>
      <c r="I55">
        <v>-0.41666666699999999</v>
      </c>
      <c r="J55">
        <v>34.200000000000003</v>
      </c>
      <c r="K55" s="78" t="s">
        <v>480</v>
      </c>
      <c r="AV55" t="s">
        <v>2408</v>
      </c>
      <c r="AW55">
        <v>41</v>
      </c>
      <c r="AX55" t="s">
        <v>866</v>
      </c>
      <c r="AY55">
        <v>1</v>
      </c>
      <c r="AZ55" t="s">
        <v>2447</v>
      </c>
      <c r="BA55">
        <v>2007</v>
      </c>
      <c r="BB55">
        <v>2008</v>
      </c>
      <c r="BD55" t="s">
        <v>492</v>
      </c>
      <c r="BE55" t="s">
        <v>2410</v>
      </c>
      <c r="BF55" t="s">
        <v>524</v>
      </c>
      <c r="BH55" t="s">
        <v>485</v>
      </c>
      <c r="BI55" t="s">
        <v>2411</v>
      </c>
      <c r="BJ55" s="78" t="s">
        <v>486</v>
      </c>
      <c r="BK55">
        <v>44444</v>
      </c>
      <c r="IF55" t="s">
        <v>2410</v>
      </c>
      <c r="IG55" t="s">
        <v>492</v>
      </c>
      <c r="JH55" t="s">
        <v>2412</v>
      </c>
      <c r="JI55" t="s">
        <v>494</v>
      </c>
      <c r="JJ55" t="s">
        <v>495</v>
      </c>
      <c r="JK55" s="8" t="s">
        <v>1466</v>
      </c>
      <c r="JN55" t="s">
        <v>508</v>
      </c>
      <c r="JO55">
        <v>40</v>
      </c>
      <c r="JP55">
        <v>50</v>
      </c>
      <c r="KD55" t="s">
        <v>500</v>
      </c>
      <c r="MR55" t="s">
        <v>2413</v>
      </c>
      <c r="MS55">
        <v>36</v>
      </c>
      <c r="NC55" t="s">
        <v>2415</v>
      </c>
      <c r="ND55" t="s">
        <v>943</v>
      </c>
      <c r="NF55" t="s">
        <v>944</v>
      </c>
      <c r="NG55" t="s">
        <v>516</v>
      </c>
      <c r="NP55" t="s">
        <v>518</v>
      </c>
      <c r="NQ55">
        <v>843.7</v>
      </c>
      <c r="NR55" s="4" t="s">
        <v>520</v>
      </c>
      <c r="NS55">
        <v>4</v>
      </c>
      <c r="NV55">
        <v>4</v>
      </c>
      <c r="OG55" t="s">
        <v>2418</v>
      </c>
      <c r="OH55" s="78" t="s">
        <v>475</v>
      </c>
      <c r="OI55">
        <v>2008</v>
      </c>
      <c r="OL55" t="s">
        <v>2448</v>
      </c>
      <c r="ON55" t="s">
        <v>522</v>
      </c>
      <c r="OO55" s="50">
        <v>46105</v>
      </c>
    </row>
    <row r="56" spans="1:405" ht="15.75" thickBot="1">
      <c r="A56" t="s">
        <v>469</v>
      </c>
      <c r="B56" t="s">
        <v>2406</v>
      </c>
      <c r="C56" t="s">
        <v>667</v>
      </c>
      <c r="D56" s="89" t="s">
        <v>1179</v>
      </c>
      <c r="E56" s="81" t="s">
        <v>2407</v>
      </c>
      <c r="F56" s="89" t="s">
        <v>1179</v>
      </c>
      <c r="G56" s="78" t="s">
        <v>475</v>
      </c>
      <c r="H56" s="78" t="s">
        <v>476</v>
      </c>
      <c r="I56">
        <v>-0.41666666699999999</v>
      </c>
      <c r="J56">
        <v>34.200000000000003</v>
      </c>
      <c r="K56" s="78" t="s">
        <v>480</v>
      </c>
      <c r="AV56" t="s">
        <v>2408</v>
      </c>
      <c r="AW56">
        <v>42</v>
      </c>
      <c r="AX56" t="s">
        <v>866</v>
      </c>
      <c r="AY56">
        <v>1</v>
      </c>
      <c r="AZ56" t="s">
        <v>2447</v>
      </c>
      <c r="BA56">
        <v>2007</v>
      </c>
      <c r="BB56">
        <v>2008</v>
      </c>
      <c r="BD56" t="s">
        <v>998</v>
      </c>
      <c r="BE56" t="s">
        <v>2420</v>
      </c>
      <c r="BF56" t="s">
        <v>536</v>
      </c>
      <c r="BH56" t="s">
        <v>485</v>
      </c>
      <c r="BI56" t="s">
        <v>2411</v>
      </c>
      <c r="BJ56" s="78" t="s">
        <v>486</v>
      </c>
      <c r="BK56">
        <v>44444</v>
      </c>
      <c r="BL56" t="s">
        <v>537</v>
      </c>
      <c r="BM56" t="s">
        <v>1425</v>
      </c>
      <c r="BN56" t="s">
        <v>2421</v>
      </c>
      <c r="BO56" s="78" t="s">
        <v>486</v>
      </c>
      <c r="BP56">
        <v>44444</v>
      </c>
      <c r="IF56" t="s">
        <v>2420</v>
      </c>
      <c r="IG56" s="75" t="s">
        <v>1714</v>
      </c>
      <c r="IH56" t="s">
        <v>542</v>
      </c>
      <c r="II56" t="s">
        <v>543</v>
      </c>
      <c r="IJ56" t="s">
        <v>1049</v>
      </c>
      <c r="IK56" t="s">
        <v>1049</v>
      </c>
      <c r="IL56" s="78" t="s">
        <v>480</v>
      </c>
      <c r="JH56" t="s">
        <v>2412</v>
      </c>
      <c r="JI56" t="s">
        <v>494</v>
      </c>
      <c r="JJ56" t="s">
        <v>495</v>
      </c>
      <c r="JK56" s="8" t="s">
        <v>1466</v>
      </c>
      <c r="JN56" t="s">
        <v>508</v>
      </c>
      <c r="JO56">
        <v>40</v>
      </c>
      <c r="JP56">
        <v>50</v>
      </c>
      <c r="KD56" t="s">
        <v>500</v>
      </c>
      <c r="MR56" t="s">
        <v>2413</v>
      </c>
      <c r="MS56">
        <v>36</v>
      </c>
      <c r="NC56" t="s">
        <v>2423</v>
      </c>
      <c r="ND56" t="s">
        <v>943</v>
      </c>
      <c r="NF56" t="s">
        <v>944</v>
      </c>
      <c r="NG56" t="s">
        <v>516</v>
      </c>
      <c r="NP56" t="s">
        <v>518</v>
      </c>
      <c r="NQ56">
        <v>945.3</v>
      </c>
      <c r="NR56" s="4" t="s">
        <v>520</v>
      </c>
      <c r="NS56">
        <v>14</v>
      </c>
      <c r="NV56">
        <v>4</v>
      </c>
      <c r="OG56" t="s">
        <v>2418</v>
      </c>
      <c r="OH56" s="78" t="s">
        <v>475</v>
      </c>
      <c r="OI56">
        <v>2008</v>
      </c>
      <c r="OL56" t="s">
        <v>2448</v>
      </c>
      <c r="ON56" t="s">
        <v>522</v>
      </c>
      <c r="OO56" s="50">
        <v>46105</v>
      </c>
    </row>
    <row r="57" spans="1:405" ht="15.75" thickBot="1">
      <c r="A57" t="s">
        <v>469</v>
      </c>
      <c r="B57" t="s">
        <v>2406</v>
      </c>
      <c r="C57" t="s">
        <v>667</v>
      </c>
      <c r="D57" s="89" t="s">
        <v>1179</v>
      </c>
      <c r="E57" s="81" t="s">
        <v>2407</v>
      </c>
      <c r="F57" s="89" t="s">
        <v>1179</v>
      </c>
      <c r="G57" s="78" t="s">
        <v>475</v>
      </c>
      <c r="H57" s="78" t="s">
        <v>476</v>
      </c>
      <c r="I57">
        <v>-0.41666666699999999</v>
      </c>
      <c r="J57">
        <v>34.200000000000003</v>
      </c>
      <c r="K57" s="78" t="s">
        <v>480</v>
      </c>
      <c r="AV57" t="s">
        <v>2408</v>
      </c>
      <c r="AW57">
        <v>43</v>
      </c>
      <c r="AX57" t="s">
        <v>866</v>
      </c>
      <c r="AY57">
        <v>1</v>
      </c>
      <c r="AZ57" t="s">
        <v>2447</v>
      </c>
      <c r="BA57">
        <v>2007</v>
      </c>
      <c r="BB57">
        <v>2008</v>
      </c>
      <c r="BD57" t="s">
        <v>998</v>
      </c>
      <c r="BE57" t="s">
        <v>2424</v>
      </c>
      <c r="BF57" t="s">
        <v>566</v>
      </c>
      <c r="BH57" t="s">
        <v>485</v>
      </c>
      <c r="BI57" t="s">
        <v>2411</v>
      </c>
      <c r="BJ57" s="78" t="s">
        <v>486</v>
      </c>
      <c r="BK57">
        <v>44444</v>
      </c>
      <c r="BL57" t="s">
        <v>537</v>
      </c>
      <c r="BM57" t="s">
        <v>2425</v>
      </c>
      <c r="BN57" t="s">
        <v>866</v>
      </c>
      <c r="BO57" t="s">
        <v>866</v>
      </c>
      <c r="BP57" t="s">
        <v>866</v>
      </c>
      <c r="IF57" t="s">
        <v>2424</v>
      </c>
      <c r="IG57" s="75" t="s">
        <v>2426</v>
      </c>
      <c r="IH57" t="s">
        <v>542</v>
      </c>
      <c r="II57" t="s">
        <v>543</v>
      </c>
      <c r="IJ57" t="s">
        <v>1049</v>
      </c>
      <c r="IK57" t="s">
        <v>1049</v>
      </c>
      <c r="IL57" s="78" t="s">
        <v>480</v>
      </c>
      <c r="JH57" t="s">
        <v>2412</v>
      </c>
      <c r="JI57" t="s">
        <v>494</v>
      </c>
      <c r="JJ57" t="s">
        <v>495</v>
      </c>
      <c r="JK57" s="8" t="s">
        <v>1466</v>
      </c>
      <c r="JN57" t="s">
        <v>508</v>
      </c>
      <c r="JO57">
        <v>40</v>
      </c>
      <c r="JP57">
        <v>50</v>
      </c>
      <c r="KD57" t="s">
        <v>500</v>
      </c>
      <c r="MR57" t="s">
        <v>2413</v>
      </c>
      <c r="MS57">
        <v>36</v>
      </c>
      <c r="NC57" t="s">
        <v>2423</v>
      </c>
      <c r="ND57" t="s">
        <v>943</v>
      </c>
      <c r="NF57" t="s">
        <v>944</v>
      </c>
      <c r="NG57" t="s">
        <v>516</v>
      </c>
      <c r="NP57" t="s">
        <v>518</v>
      </c>
      <c r="NQ57">
        <v>1026.9000000000001</v>
      </c>
      <c r="NR57" s="4" t="s">
        <v>520</v>
      </c>
      <c r="NS57">
        <v>6</v>
      </c>
      <c r="NV57">
        <v>4</v>
      </c>
      <c r="OG57" t="s">
        <v>2418</v>
      </c>
      <c r="OH57" s="78" t="s">
        <v>475</v>
      </c>
      <c r="OI57">
        <v>2008</v>
      </c>
      <c r="OL57" t="s">
        <v>2448</v>
      </c>
      <c r="ON57" t="s">
        <v>522</v>
      </c>
      <c r="OO57" s="50">
        <v>46105</v>
      </c>
    </row>
    <row r="58" spans="1:405" ht="15.75" thickBot="1">
      <c r="A58" t="s">
        <v>469</v>
      </c>
      <c r="B58" t="s">
        <v>2406</v>
      </c>
      <c r="C58" t="s">
        <v>667</v>
      </c>
      <c r="D58" s="89" t="s">
        <v>1179</v>
      </c>
      <c r="E58" s="81" t="s">
        <v>2407</v>
      </c>
      <c r="F58" s="89" t="s">
        <v>1179</v>
      </c>
      <c r="G58" s="78" t="s">
        <v>475</v>
      </c>
      <c r="H58" s="78" t="s">
        <v>476</v>
      </c>
      <c r="I58">
        <v>-0.41666666699999999</v>
      </c>
      <c r="J58">
        <v>34.200000000000003</v>
      </c>
      <c r="K58" s="78" t="s">
        <v>480</v>
      </c>
      <c r="AV58" t="s">
        <v>2408</v>
      </c>
      <c r="AW58">
        <v>44</v>
      </c>
      <c r="AX58" t="s">
        <v>866</v>
      </c>
      <c r="AY58">
        <v>1</v>
      </c>
      <c r="AZ58" t="s">
        <v>2447</v>
      </c>
      <c r="BA58">
        <v>2007</v>
      </c>
      <c r="BB58">
        <v>2008</v>
      </c>
      <c r="BD58" t="s">
        <v>998</v>
      </c>
      <c r="BE58" t="s">
        <v>2430</v>
      </c>
      <c r="BF58" t="s">
        <v>572</v>
      </c>
      <c r="BH58" t="s">
        <v>485</v>
      </c>
      <c r="BI58" t="s">
        <v>2411</v>
      </c>
      <c r="BJ58" s="78" t="s">
        <v>486</v>
      </c>
      <c r="BK58">
        <v>44444</v>
      </c>
      <c r="BL58" t="s">
        <v>537</v>
      </c>
      <c r="BM58" t="s">
        <v>1425</v>
      </c>
      <c r="BN58" t="s">
        <v>2421</v>
      </c>
      <c r="BO58" s="78" t="s">
        <v>486</v>
      </c>
      <c r="BP58">
        <v>44444</v>
      </c>
      <c r="BQ58" t="s">
        <v>537</v>
      </c>
      <c r="BR58" t="s">
        <v>2425</v>
      </c>
      <c r="BS58" t="s">
        <v>866</v>
      </c>
      <c r="BT58" t="s">
        <v>866</v>
      </c>
      <c r="BU58" t="s">
        <v>866</v>
      </c>
      <c r="IF58" t="s">
        <v>2430</v>
      </c>
      <c r="IG58" s="75" t="s">
        <v>2426</v>
      </c>
      <c r="IH58" t="s">
        <v>542</v>
      </c>
      <c r="II58" t="s">
        <v>543</v>
      </c>
      <c r="IJ58" t="s">
        <v>1049</v>
      </c>
      <c r="IK58" t="s">
        <v>1049</v>
      </c>
      <c r="IL58" s="78" t="s">
        <v>480</v>
      </c>
      <c r="JH58" t="s">
        <v>2412</v>
      </c>
      <c r="JI58" t="s">
        <v>494</v>
      </c>
      <c r="JJ58" t="s">
        <v>495</v>
      </c>
      <c r="JK58" s="8" t="s">
        <v>1466</v>
      </c>
      <c r="JN58" t="s">
        <v>508</v>
      </c>
      <c r="JO58">
        <v>40</v>
      </c>
      <c r="JP58">
        <v>50</v>
      </c>
      <c r="KD58" t="s">
        <v>500</v>
      </c>
      <c r="MR58" t="s">
        <v>2413</v>
      </c>
      <c r="MS58">
        <v>36</v>
      </c>
      <c r="NC58" t="s">
        <v>2423</v>
      </c>
      <c r="ND58" t="s">
        <v>943</v>
      </c>
      <c r="NF58" t="s">
        <v>944</v>
      </c>
      <c r="NG58" t="s">
        <v>516</v>
      </c>
      <c r="NP58" t="s">
        <v>518</v>
      </c>
      <c r="NQ58">
        <v>1100.8</v>
      </c>
      <c r="NR58" s="4" t="s">
        <v>520</v>
      </c>
      <c r="NS58">
        <v>6</v>
      </c>
      <c r="NV58">
        <v>4</v>
      </c>
      <c r="OG58" t="s">
        <v>2418</v>
      </c>
      <c r="OH58" s="78" t="s">
        <v>475</v>
      </c>
      <c r="OI58">
        <v>2008</v>
      </c>
      <c r="OL58" t="s">
        <v>2448</v>
      </c>
      <c r="ON58" t="s">
        <v>522</v>
      </c>
      <c r="OO58" s="50">
        <v>46105</v>
      </c>
    </row>
    <row r="59" spans="1:405" ht="15.75" thickBot="1">
      <c r="A59" t="s">
        <v>469</v>
      </c>
      <c r="B59" t="s">
        <v>2406</v>
      </c>
      <c r="C59" t="s">
        <v>667</v>
      </c>
      <c r="D59" s="89" t="s">
        <v>1179</v>
      </c>
      <c r="E59" s="81" t="s">
        <v>2407</v>
      </c>
      <c r="F59" s="89" t="s">
        <v>1179</v>
      </c>
      <c r="G59" s="78" t="s">
        <v>475</v>
      </c>
      <c r="H59" s="78" t="s">
        <v>476</v>
      </c>
      <c r="I59">
        <v>-0.41666666699999999</v>
      </c>
      <c r="J59">
        <v>34.200000000000003</v>
      </c>
      <c r="K59" s="78" t="s">
        <v>480</v>
      </c>
      <c r="AV59" t="s">
        <v>2408</v>
      </c>
      <c r="AW59">
        <v>45</v>
      </c>
      <c r="AX59" t="s">
        <v>866</v>
      </c>
      <c r="AY59">
        <v>1</v>
      </c>
      <c r="AZ59" t="s">
        <v>2447</v>
      </c>
      <c r="BA59">
        <v>2007</v>
      </c>
      <c r="BB59">
        <v>2008</v>
      </c>
      <c r="BD59" t="s">
        <v>998</v>
      </c>
      <c r="BE59" t="s">
        <v>2442</v>
      </c>
      <c r="BF59" t="s">
        <v>553</v>
      </c>
      <c r="BH59" t="s">
        <v>485</v>
      </c>
      <c r="BI59" t="s">
        <v>2411</v>
      </c>
      <c r="BJ59" s="78" t="s">
        <v>486</v>
      </c>
      <c r="BK59">
        <v>44444</v>
      </c>
      <c r="BL59" t="s">
        <v>537</v>
      </c>
      <c r="BM59" t="s">
        <v>1425</v>
      </c>
      <c r="BN59" t="s">
        <v>2421</v>
      </c>
      <c r="BO59" s="78" t="s">
        <v>486</v>
      </c>
      <c r="BP59">
        <v>44444</v>
      </c>
      <c r="BQ59" t="s">
        <v>537</v>
      </c>
      <c r="BR59" t="s">
        <v>2425</v>
      </c>
      <c r="BS59" t="s">
        <v>866</v>
      </c>
      <c r="BT59" t="s">
        <v>866</v>
      </c>
      <c r="BU59" t="s">
        <v>866</v>
      </c>
      <c r="IF59" t="s">
        <v>2442</v>
      </c>
      <c r="IG59" s="75" t="s">
        <v>2426</v>
      </c>
      <c r="IH59" t="s">
        <v>542</v>
      </c>
      <c r="II59" t="s">
        <v>543</v>
      </c>
      <c r="IJ59" t="s">
        <v>1049</v>
      </c>
      <c r="IK59" t="s">
        <v>1049</v>
      </c>
      <c r="IL59" s="78" t="s">
        <v>480</v>
      </c>
      <c r="JH59" t="s">
        <v>2412</v>
      </c>
      <c r="JI59" t="s">
        <v>494</v>
      </c>
      <c r="JJ59" t="s">
        <v>495</v>
      </c>
      <c r="JK59" s="8" t="s">
        <v>1466</v>
      </c>
      <c r="JN59" t="s">
        <v>508</v>
      </c>
      <c r="JO59">
        <v>40</v>
      </c>
      <c r="JP59">
        <v>50</v>
      </c>
      <c r="KD59" t="s">
        <v>500</v>
      </c>
      <c r="MR59" t="s">
        <v>2413</v>
      </c>
      <c r="MS59">
        <v>36</v>
      </c>
      <c r="NC59" t="s">
        <v>2423</v>
      </c>
      <c r="ND59" t="s">
        <v>943</v>
      </c>
      <c r="NF59" t="s">
        <v>944</v>
      </c>
      <c r="NG59" t="s">
        <v>516</v>
      </c>
      <c r="NP59" t="s">
        <v>518</v>
      </c>
      <c r="NQ59">
        <v>1161.8</v>
      </c>
      <c r="NR59" s="4" t="s">
        <v>520</v>
      </c>
      <c r="NS59">
        <v>5</v>
      </c>
      <c r="NV59">
        <v>4</v>
      </c>
      <c r="OG59" t="s">
        <v>2418</v>
      </c>
      <c r="OH59" s="78" t="s">
        <v>475</v>
      </c>
      <c r="OI59">
        <v>2008</v>
      </c>
      <c r="OL59" t="s">
        <v>2448</v>
      </c>
      <c r="ON59" t="s">
        <v>522</v>
      </c>
      <c r="OO59" s="50">
        <v>46105</v>
      </c>
    </row>
    <row r="60" spans="1:405" ht="15.75" thickBot="1">
      <c r="A60" t="s">
        <v>469</v>
      </c>
      <c r="B60" t="s">
        <v>2406</v>
      </c>
      <c r="C60" t="s">
        <v>667</v>
      </c>
      <c r="D60" s="89" t="s">
        <v>1179</v>
      </c>
      <c r="E60" s="81" t="s">
        <v>2407</v>
      </c>
      <c r="F60" s="89" t="s">
        <v>1179</v>
      </c>
      <c r="G60" s="78" t="s">
        <v>475</v>
      </c>
      <c r="H60" s="78" t="s">
        <v>476</v>
      </c>
      <c r="I60">
        <v>-0.41666666699999999</v>
      </c>
      <c r="J60">
        <v>34.200000000000003</v>
      </c>
      <c r="K60" s="78" t="s">
        <v>480</v>
      </c>
      <c r="AV60" t="s">
        <v>2408</v>
      </c>
      <c r="AW60">
        <v>46</v>
      </c>
      <c r="AX60" t="s">
        <v>866</v>
      </c>
      <c r="AY60">
        <v>1</v>
      </c>
      <c r="AZ60" t="s">
        <v>2466</v>
      </c>
      <c r="BA60">
        <v>2007</v>
      </c>
      <c r="BB60">
        <v>2008</v>
      </c>
      <c r="BD60" t="s">
        <v>492</v>
      </c>
      <c r="BE60" t="s">
        <v>2467</v>
      </c>
      <c r="BF60" t="s">
        <v>483</v>
      </c>
      <c r="BH60" t="s">
        <v>485</v>
      </c>
      <c r="BI60" t="s">
        <v>2411</v>
      </c>
      <c r="BJ60" s="78" t="s">
        <v>486</v>
      </c>
      <c r="BK60">
        <v>44444</v>
      </c>
      <c r="IF60" t="s">
        <v>2467</v>
      </c>
      <c r="IG60" t="s">
        <v>492</v>
      </c>
      <c r="JH60" t="s">
        <v>2412</v>
      </c>
      <c r="JI60" t="s">
        <v>494</v>
      </c>
      <c r="JJ60" t="s">
        <v>495</v>
      </c>
      <c r="JK60" s="8" t="s">
        <v>1466</v>
      </c>
      <c r="JN60" t="s">
        <v>508</v>
      </c>
      <c r="JO60">
        <v>40</v>
      </c>
      <c r="JP60">
        <v>50</v>
      </c>
      <c r="KD60" t="s">
        <v>500</v>
      </c>
      <c r="MR60" t="s">
        <v>2413</v>
      </c>
      <c r="MS60">
        <v>36</v>
      </c>
      <c r="NC60" t="s">
        <v>2415</v>
      </c>
      <c r="ND60" t="s">
        <v>943</v>
      </c>
      <c r="NF60" t="s">
        <v>944</v>
      </c>
      <c r="NG60" t="s">
        <v>516</v>
      </c>
      <c r="NP60" t="s">
        <v>518</v>
      </c>
      <c r="NQ60">
        <v>756</v>
      </c>
      <c r="NR60" s="4" t="s">
        <v>520</v>
      </c>
      <c r="NS60">
        <v>7</v>
      </c>
      <c r="NV60">
        <v>4</v>
      </c>
      <c r="OG60" t="s">
        <v>2468</v>
      </c>
      <c r="OH60" s="78" t="s">
        <v>475</v>
      </c>
      <c r="OI60">
        <v>2007</v>
      </c>
      <c r="OL60" t="s">
        <v>2448</v>
      </c>
      <c r="ON60" t="s">
        <v>522</v>
      </c>
      <c r="OO60" s="50">
        <v>46105</v>
      </c>
    </row>
    <row r="61" spans="1:405" ht="15.75" thickBot="1">
      <c r="A61" t="s">
        <v>469</v>
      </c>
      <c r="B61" t="s">
        <v>2406</v>
      </c>
      <c r="C61" t="s">
        <v>667</v>
      </c>
      <c r="D61" s="89" t="s">
        <v>1179</v>
      </c>
      <c r="E61" s="81" t="s">
        <v>2407</v>
      </c>
      <c r="F61" s="89" t="s">
        <v>1179</v>
      </c>
      <c r="G61" s="78" t="s">
        <v>475</v>
      </c>
      <c r="H61" s="78" t="s">
        <v>476</v>
      </c>
      <c r="I61">
        <v>-0.41666666699999999</v>
      </c>
      <c r="J61">
        <v>34.200000000000003</v>
      </c>
      <c r="K61" s="78" t="s">
        <v>480</v>
      </c>
      <c r="AV61" t="s">
        <v>2408</v>
      </c>
      <c r="AW61">
        <v>47</v>
      </c>
      <c r="AX61" t="s">
        <v>866</v>
      </c>
      <c r="AY61">
        <v>1</v>
      </c>
      <c r="AZ61" t="s">
        <v>2466</v>
      </c>
      <c r="BA61">
        <v>2007</v>
      </c>
      <c r="BB61">
        <v>2008</v>
      </c>
      <c r="BD61" t="s">
        <v>998</v>
      </c>
      <c r="BE61" t="s">
        <v>2472</v>
      </c>
      <c r="BF61" t="s">
        <v>607</v>
      </c>
      <c r="BH61" t="s">
        <v>485</v>
      </c>
      <c r="BI61" t="s">
        <v>2411</v>
      </c>
      <c r="BJ61" s="78" t="s">
        <v>486</v>
      </c>
      <c r="BK61">
        <v>44444</v>
      </c>
      <c r="BL61" t="s">
        <v>537</v>
      </c>
      <c r="BM61" t="s">
        <v>1425</v>
      </c>
      <c r="BN61" t="s">
        <v>2421</v>
      </c>
      <c r="BO61" s="78" t="s">
        <v>486</v>
      </c>
      <c r="BP61">
        <v>44444</v>
      </c>
      <c r="IF61" t="s">
        <v>2472</v>
      </c>
      <c r="IG61" s="75" t="s">
        <v>1714</v>
      </c>
      <c r="IH61" t="s">
        <v>542</v>
      </c>
      <c r="II61" t="s">
        <v>543</v>
      </c>
      <c r="IJ61" t="s">
        <v>1049</v>
      </c>
      <c r="IK61" t="s">
        <v>1049</v>
      </c>
      <c r="IL61" s="78" t="s">
        <v>480</v>
      </c>
      <c r="JH61" t="s">
        <v>2412</v>
      </c>
      <c r="JI61" t="s">
        <v>494</v>
      </c>
      <c r="JJ61" t="s">
        <v>495</v>
      </c>
      <c r="JK61" s="8" t="s">
        <v>1466</v>
      </c>
      <c r="JN61" t="s">
        <v>508</v>
      </c>
      <c r="JO61">
        <v>40</v>
      </c>
      <c r="JP61">
        <v>50</v>
      </c>
      <c r="KD61" t="s">
        <v>500</v>
      </c>
      <c r="MR61" t="s">
        <v>2413</v>
      </c>
      <c r="MS61">
        <v>36</v>
      </c>
      <c r="NC61" t="s">
        <v>2423</v>
      </c>
      <c r="ND61" t="s">
        <v>943</v>
      </c>
      <c r="NF61" t="s">
        <v>944</v>
      </c>
      <c r="NG61" t="s">
        <v>516</v>
      </c>
      <c r="NP61" t="s">
        <v>518</v>
      </c>
      <c r="NQ61">
        <v>923.7</v>
      </c>
      <c r="NR61" s="4" t="s">
        <v>520</v>
      </c>
      <c r="NS61">
        <v>7</v>
      </c>
      <c r="NV61">
        <v>4</v>
      </c>
      <c r="OG61" t="s">
        <v>2468</v>
      </c>
      <c r="OH61" s="78" t="s">
        <v>475</v>
      </c>
      <c r="OI61">
        <v>2007</v>
      </c>
      <c r="OL61" t="s">
        <v>2448</v>
      </c>
      <c r="ON61" t="s">
        <v>522</v>
      </c>
      <c r="OO61" s="50">
        <v>46105</v>
      </c>
    </row>
    <row r="62" spans="1:405" ht="15.75" thickBot="1">
      <c r="A62" t="s">
        <v>469</v>
      </c>
      <c r="B62" t="s">
        <v>2406</v>
      </c>
      <c r="C62" t="s">
        <v>667</v>
      </c>
      <c r="D62" s="89" t="s">
        <v>1179</v>
      </c>
      <c r="E62" s="81" t="s">
        <v>2407</v>
      </c>
      <c r="F62" s="89" t="s">
        <v>1179</v>
      </c>
      <c r="G62" s="78" t="s">
        <v>475</v>
      </c>
      <c r="H62" s="78" t="s">
        <v>476</v>
      </c>
      <c r="I62">
        <v>-0.41666666699999999</v>
      </c>
      <c r="J62">
        <v>34.200000000000003</v>
      </c>
      <c r="K62" s="78" t="s">
        <v>480</v>
      </c>
      <c r="AV62" t="s">
        <v>2408</v>
      </c>
      <c r="AW62">
        <v>48</v>
      </c>
      <c r="AX62" t="s">
        <v>866</v>
      </c>
      <c r="AY62">
        <v>1</v>
      </c>
      <c r="AZ62" t="s">
        <v>2466</v>
      </c>
      <c r="BA62">
        <v>2007</v>
      </c>
      <c r="BB62">
        <v>2008</v>
      </c>
      <c r="BD62" t="s">
        <v>998</v>
      </c>
      <c r="BE62" t="s">
        <v>2476</v>
      </c>
      <c r="BF62" t="s">
        <v>611</v>
      </c>
      <c r="BH62" t="s">
        <v>485</v>
      </c>
      <c r="BI62" t="s">
        <v>2411</v>
      </c>
      <c r="BJ62" s="78" t="s">
        <v>486</v>
      </c>
      <c r="BK62">
        <v>44444</v>
      </c>
      <c r="BL62" t="s">
        <v>537</v>
      </c>
      <c r="BM62" t="s">
        <v>2425</v>
      </c>
      <c r="BN62" t="s">
        <v>866</v>
      </c>
      <c r="BO62" t="s">
        <v>866</v>
      </c>
      <c r="BP62" t="s">
        <v>866</v>
      </c>
      <c r="IF62" t="s">
        <v>2476</v>
      </c>
      <c r="IG62" s="75" t="s">
        <v>2426</v>
      </c>
      <c r="IH62" t="s">
        <v>542</v>
      </c>
      <c r="II62" t="s">
        <v>543</v>
      </c>
      <c r="IJ62" t="s">
        <v>1049</v>
      </c>
      <c r="IK62" t="s">
        <v>1049</v>
      </c>
      <c r="IL62" s="78" t="s">
        <v>480</v>
      </c>
      <c r="JH62" t="s">
        <v>2412</v>
      </c>
      <c r="JI62" t="s">
        <v>494</v>
      </c>
      <c r="JJ62" t="s">
        <v>495</v>
      </c>
      <c r="JK62" s="8" t="s">
        <v>1466</v>
      </c>
      <c r="JN62" t="s">
        <v>508</v>
      </c>
      <c r="JO62">
        <v>40</v>
      </c>
      <c r="JP62">
        <v>50</v>
      </c>
      <c r="KD62" t="s">
        <v>500</v>
      </c>
      <c r="MR62" t="s">
        <v>2413</v>
      </c>
      <c r="MS62">
        <v>36</v>
      </c>
      <c r="NC62" t="s">
        <v>2423</v>
      </c>
      <c r="ND62" t="s">
        <v>943</v>
      </c>
      <c r="NF62" t="s">
        <v>944</v>
      </c>
      <c r="NG62" t="s">
        <v>516</v>
      </c>
      <c r="NP62" t="s">
        <v>518</v>
      </c>
      <c r="NQ62">
        <v>1024</v>
      </c>
      <c r="NR62" s="4" t="s">
        <v>520</v>
      </c>
      <c r="NS62">
        <v>7</v>
      </c>
      <c r="NV62">
        <v>4</v>
      </c>
      <c r="OG62" t="s">
        <v>2468</v>
      </c>
      <c r="OH62" s="78" t="s">
        <v>475</v>
      </c>
      <c r="OI62">
        <v>2007</v>
      </c>
      <c r="OL62" t="s">
        <v>2448</v>
      </c>
      <c r="ON62" t="s">
        <v>522</v>
      </c>
      <c r="OO62" s="50">
        <v>46105</v>
      </c>
    </row>
    <row r="63" spans="1:405" ht="15.75" thickBot="1">
      <c r="A63" t="s">
        <v>469</v>
      </c>
      <c r="B63" t="s">
        <v>2406</v>
      </c>
      <c r="C63" t="s">
        <v>667</v>
      </c>
      <c r="D63" s="89" t="s">
        <v>1179</v>
      </c>
      <c r="E63" s="81" t="s">
        <v>2407</v>
      </c>
      <c r="F63" s="89" t="s">
        <v>1179</v>
      </c>
      <c r="G63" s="78" t="s">
        <v>475</v>
      </c>
      <c r="H63" s="78" t="s">
        <v>476</v>
      </c>
      <c r="I63">
        <v>-0.41666666699999999</v>
      </c>
      <c r="J63">
        <v>34.200000000000003</v>
      </c>
      <c r="K63" s="78" t="s">
        <v>480</v>
      </c>
      <c r="AV63" t="s">
        <v>2408</v>
      </c>
      <c r="AW63">
        <v>49</v>
      </c>
      <c r="AX63" t="s">
        <v>866</v>
      </c>
      <c r="AY63">
        <v>1</v>
      </c>
      <c r="AZ63" t="s">
        <v>2466</v>
      </c>
      <c r="BA63">
        <v>2007</v>
      </c>
      <c r="BB63">
        <v>2008</v>
      </c>
      <c r="BD63" t="s">
        <v>998</v>
      </c>
      <c r="BE63" t="s">
        <v>2480</v>
      </c>
      <c r="BF63" t="s">
        <v>615</v>
      </c>
      <c r="BH63" t="s">
        <v>485</v>
      </c>
      <c r="BI63" t="s">
        <v>2411</v>
      </c>
      <c r="BJ63" s="78" t="s">
        <v>486</v>
      </c>
      <c r="BK63">
        <v>44444</v>
      </c>
      <c r="BL63" t="s">
        <v>537</v>
      </c>
      <c r="BM63" t="s">
        <v>1425</v>
      </c>
      <c r="BN63" t="s">
        <v>2421</v>
      </c>
      <c r="BO63" s="78" t="s">
        <v>486</v>
      </c>
      <c r="BP63">
        <v>44444</v>
      </c>
      <c r="BQ63" t="s">
        <v>537</v>
      </c>
      <c r="BR63" t="s">
        <v>2425</v>
      </c>
      <c r="BS63" t="s">
        <v>866</v>
      </c>
      <c r="BT63" t="s">
        <v>866</v>
      </c>
      <c r="BU63" t="s">
        <v>866</v>
      </c>
      <c r="IF63" t="s">
        <v>2480</v>
      </c>
      <c r="IG63" s="75" t="s">
        <v>2426</v>
      </c>
      <c r="IH63" t="s">
        <v>542</v>
      </c>
      <c r="II63" t="s">
        <v>543</v>
      </c>
      <c r="IJ63" t="s">
        <v>1049</v>
      </c>
      <c r="IK63" t="s">
        <v>1049</v>
      </c>
      <c r="IL63" s="78" t="s">
        <v>480</v>
      </c>
      <c r="JH63" t="s">
        <v>2412</v>
      </c>
      <c r="JI63" t="s">
        <v>494</v>
      </c>
      <c r="JJ63" t="s">
        <v>495</v>
      </c>
      <c r="JK63" s="8" t="s">
        <v>1466</v>
      </c>
      <c r="JN63" t="s">
        <v>508</v>
      </c>
      <c r="JO63">
        <v>40</v>
      </c>
      <c r="JP63">
        <v>50</v>
      </c>
      <c r="KD63" t="s">
        <v>500</v>
      </c>
      <c r="MR63" t="s">
        <v>2413</v>
      </c>
      <c r="MS63">
        <v>36</v>
      </c>
      <c r="NC63" t="s">
        <v>2423</v>
      </c>
      <c r="ND63" t="s">
        <v>943</v>
      </c>
      <c r="NF63" t="s">
        <v>944</v>
      </c>
      <c r="NG63" t="s">
        <v>516</v>
      </c>
      <c r="NP63" t="s">
        <v>518</v>
      </c>
      <c r="NQ63">
        <v>1101.3</v>
      </c>
      <c r="NR63" s="4" t="s">
        <v>520</v>
      </c>
      <c r="NS63">
        <v>9</v>
      </c>
      <c r="NV63">
        <v>4</v>
      </c>
      <c r="OG63" t="s">
        <v>2468</v>
      </c>
      <c r="OH63" s="78" t="s">
        <v>475</v>
      </c>
      <c r="OI63">
        <v>2007</v>
      </c>
      <c r="OL63" t="s">
        <v>2448</v>
      </c>
      <c r="ON63" t="s">
        <v>522</v>
      </c>
      <c r="OO63" s="50">
        <v>46105</v>
      </c>
    </row>
    <row r="64" spans="1:405" ht="15.75" thickBot="1">
      <c r="A64" t="s">
        <v>469</v>
      </c>
      <c r="B64" t="s">
        <v>2406</v>
      </c>
      <c r="C64" t="s">
        <v>667</v>
      </c>
      <c r="D64" s="89" t="s">
        <v>1179</v>
      </c>
      <c r="E64" s="81" t="s">
        <v>2407</v>
      </c>
      <c r="F64" s="89" t="s">
        <v>1179</v>
      </c>
      <c r="G64" s="78" t="s">
        <v>475</v>
      </c>
      <c r="H64" s="78" t="s">
        <v>476</v>
      </c>
      <c r="I64">
        <v>-0.41666666699999999</v>
      </c>
      <c r="J64">
        <v>34.200000000000003</v>
      </c>
      <c r="K64" s="78" t="s">
        <v>480</v>
      </c>
      <c r="AV64" t="s">
        <v>2408</v>
      </c>
      <c r="AW64">
        <v>50</v>
      </c>
      <c r="AX64" t="s">
        <v>866</v>
      </c>
      <c r="AY64">
        <v>1</v>
      </c>
      <c r="AZ64" t="s">
        <v>2466</v>
      </c>
      <c r="BA64">
        <v>2007</v>
      </c>
      <c r="BB64">
        <v>2008</v>
      </c>
      <c r="BD64" t="s">
        <v>998</v>
      </c>
      <c r="BE64" t="s">
        <v>2484</v>
      </c>
      <c r="BF64" t="s">
        <v>617</v>
      </c>
      <c r="BH64" t="s">
        <v>485</v>
      </c>
      <c r="BI64" t="s">
        <v>2411</v>
      </c>
      <c r="BJ64" s="78" t="s">
        <v>486</v>
      </c>
      <c r="BK64">
        <v>44444</v>
      </c>
      <c r="BL64" t="s">
        <v>537</v>
      </c>
      <c r="BM64" t="s">
        <v>1425</v>
      </c>
      <c r="BN64" t="s">
        <v>2421</v>
      </c>
      <c r="BO64" s="78" t="s">
        <v>486</v>
      </c>
      <c r="BP64">
        <v>44444</v>
      </c>
      <c r="BQ64" t="s">
        <v>537</v>
      </c>
      <c r="BR64" t="s">
        <v>2425</v>
      </c>
      <c r="BS64" t="s">
        <v>866</v>
      </c>
      <c r="BT64" t="s">
        <v>866</v>
      </c>
      <c r="BU64" t="s">
        <v>866</v>
      </c>
      <c r="IF64" t="s">
        <v>2484</v>
      </c>
      <c r="IG64" s="75" t="s">
        <v>2426</v>
      </c>
      <c r="IH64" t="s">
        <v>542</v>
      </c>
      <c r="II64" t="s">
        <v>543</v>
      </c>
      <c r="IJ64" t="s">
        <v>1049</v>
      </c>
      <c r="IK64" t="s">
        <v>1049</v>
      </c>
      <c r="IL64" s="78" t="s">
        <v>480</v>
      </c>
      <c r="JH64" t="s">
        <v>2412</v>
      </c>
      <c r="JI64" t="s">
        <v>494</v>
      </c>
      <c r="JJ64" t="s">
        <v>495</v>
      </c>
      <c r="JK64" s="8" t="s">
        <v>1466</v>
      </c>
      <c r="JN64" t="s">
        <v>508</v>
      </c>
      <c r="JO64">
        <v>40</v>
      </c>
      <c r="JP64">
        <v>50</v>
      </c>
      <c r="KD64" t="s">
        <v>500</v>
      </c>
      <c r="MR64" t="s">
        <v>2413</v>
      </c>
      <c r="MS64">
        <v>36</v>
      </c>
      <c r="NC64" t="s">
        <v>2423</v>
      </c>
      <c r="ND64" t="s">
        <v>943</v>
      </c>
      <c r="NF64" t="s">
        <v>944</v>
      </c>
      <c r="NG64" t="s">
        <v>516</v>
      </c>
      <c r="NP64" t="s">
        <v>518</v>
      </c>
      <c r="NQ64">
        <v>1156.5</v>
      </c>
      <c r="NR64" s="4" t="s">
        <v>520</v>
      </c>
      <c r="NS64">
        <v>6</v>
      </c>
      <c r="NV64">
        <v>4</v>
      </c>
      <c r="OG64" t="s">
        <v>2468</v>
      </c>
      <c r="OH64" s="78" t="s">
        <v>475</v>
      </c>
      <c r="OI64">
        <v>2007</v>
      </c>
      <c r="OL64" t="s">
        <v>2448</v>
      </c>
      <c r="ON64" t="s">
        <v>522</v>
      </c>
      <c r="OO64" s="50">
        <v>46105</v>
      </c>
    </row>
    <row r="65" spans="1:405" ht="15.75" thickBot="1">
      <c r="A65" t="s">
        <v>469</v>
      </c>
      <c r="B65" t="s">
        <v>2406</v>
      </c>
      <c r="C65" t="s">
        <v>667</v>
      </c>
      <c r="D65" s="89" t="s">
        <v>1179</v>
      </c>
      <c r="E65" s="81" t="s">
        <v>2407</v>
      </c>
      <c r="F65" s="89" t="s">
        <v>1179</v>
      </c>
      <c r="G65" s="78" t="s">
        <v>475</v>
      </c>
      <c r="H65" s="78" t="s">
        <v>476</v>
      </c>
      <c r="I65">
        <v>-0.41666666699999999</v>
      </c>
      <c r="J65">
        <v>34.200000000000003</v>
      </c>
      <c r="K65" s="78" t="s">
        <v>480</v>
      </c>
      <c r="AV65" t="s">
        <v>2408</v>
      </c>
      <c r="AW65">
        <v>51</v>
      </c>
      <c r="AX65" t="s">
        <v>866</v>
      </c>
      <c r="AY65">
        <v>1</v>
      </c>
      <c r="AZ65" t="s">
        <v>2409</v>
      </c>
      <c r="BA65">
        <v>2007</v>
      </c>
      <c r="BB65">
        <v>2008</v>
      </c>
      <c r="BD65" t="s">
        <v>492</v>
      </c>
      <c r="BE65" t="s">
        <v>2467</v>
      </c>
      <c r="BF65" t="s">
        <v>483</v>
      </c>
      <c r="BH65" t="s">
        <v>485</v>
      </c>
      <c r="BI65" t="s">
        <v>2411</v>
      </c>
      <c r="BJ65" s="78" t="s">
        <v>486</v>
      </c>
      <c r="BK65">
        <v>44444</v>
      </c>
      <c r="IF65" t="s">
        <v>2467</v>
      </c>
      <c r="IG65" t="s">
        <v>492</v>
      </c>
      <c r="JH65" t="s">
        <v>2412</v>
      </c>
      <c r="JI65" t="s">
        <v>494</v>
      </c>
      <c r="JJ65" t="s">
        <v>495</v>
      </c>
      <c r="JK65" s="8" t="s">
        <v>1466</v>
      </c>
      <c r="JN65" t="s">
        <v>508</v>
      </c>
      <c r="JO65">
        <v>40</v>
      </c>
      <c r="JP65">
        <v>50</v>
      </c>
      <c r="KD65" t="s">
        <v>500</v>
      </c>
      <c r="MR65" t="s">
        <v>2413</v>
      </c>
      <c r="MS65">
        <v>36</v>
      </c>
      <c r="NC65" t="s">
        <v>2415</v>
      </c>
      <c r="ND65" t="s">
        <v>943</v>
      </c>
      <c r="NF65" t="s">
        <v>944</v>
      </c>
      <c r="NG65" t="s">
        <v>516</v>
      </c>
      <c r="NP65" t="s">
        <v>518</v>
      </c>
      <c r="NQ65">
        <v>772.4</v>
      </c>
      <c r="NR65" s="4" t="s">
        <v>520</v>
      </c>
      <c r="NS65">
        <v>6</v>
      </c>
      <c r="NV65">
        <v>4</v>
      </c>
      <c r="OG65" t="s">
        <v>2488</v>
      </c>
      <c r="OH65" s="78" t="s">
        <v>475</v>
      </c>
      <c r="OI65">
        <v>2007</v>
      </c>
      <c r="OL65" t="s">
        <v>2419</v>
      </c>
      <c r="ON65" t="s">
        <v>522</v>
      </c>
      <c r="OO65" s="50">
        <v>46105</v>
      </c>
    </row>
    <row r="66" spans="1:405" ht="15.75" thickBot="1">
      <c r="A66" t="s">
        <v>469</v>
      </c>
      <c r="B66" t="s">
        <v>2406</v>
      </c>
      <c r="C66" t="s">
        <v>667</v>
      </c>
      <c r="D66" s="89" t="s">
        <v>1179</v>
      </c>
      <c r="E66" s="81" t="s">
        <v>2407</v>
      </c>
      <c r="F66" s="89" t="s">
        <v>1179</v>
      </c>
      <c r="G66" s="78" t="s">
        <v>475</v>
      </c>
      <c r="H66" s="78" t="s">
        <v>476</v>
      </c>
      <c r="I66">
        <v>-0.41666666699999999</v>
      </c>
      <c r="J66">
        <v>34.200000000000003</v>
      </c>
      <c r="K66" s="78" t="s">
        <v>480</v>
      </c>
      <c r="AV66" t="s">
        <v>2408</v>
      </c>
      <c r="AW66">
        <v>52</v>
      </c>
      <c r="AX66" t="s">
        <v>866</v>
      </c>
      <c r="AY66">
        <v>1</v>
      </c>
      <c r="AZ66" t="s">
        <v>2409</v>
      </c>
      <c r="BA66">
        <v>2007</v>
      </c>
      <c r="BB66">
        <v>2008</v>
      </c>
      <c r="BD66" t="s">
        <v>998</v>
      </c>
      <c r="BE66" t="s">
        <v>2472</v>
      </c>
      <c r="BF66" t="s">
        <v>607</v>
      </c>
      <c r="BH66" t="s">
        <v>485</v>
      </c>
      <c r="BI66" t="s">
        <v>2411</v>
      </c>
      <c r="BJ66" s="78" t="s">
        <v>486</v>
      </c>
      <c r="BK66">
        <v>44444</v>
      </c>
      <c r="BL66" t="s">
        <v>537</v>
      </c>
      <c r="BM66" t="s">
        <v>1425</v>
      </c>
      <c r="BN66" t="s">
        <v>2421</v>
      </c>
      <c r="BO66" s="78" t="s">
        <v>486</v>
      </c>
      <c r="BP66">
        <v>44444</v>
      </c>
      <c r="EH66" s="9"/>
      <c r="EI66" s="9"/>
      <c r="EJ66" s="9"/>
      <c r="EK66" s="9"/>
      <c r="EL66" s="9"/>
      <c r="EM66" s="9"/>
      <c r="EN66" s="9"/>
      <c r="EO66" s="9"/>
      <c r="EP66" s="9"/>
      <c r="EQ66" s="9"/>
      <c r="ER66" s="9"/>
      <c r="ES66" s="9"/>
      <c r="ET66" s="9"/>
      <c r="EU66" s="9"/>
      <c r="EV66" s="9"/>
      <c r="EW66" s="9"/>
      <c r="EX66" s="9"/>
      <c r="EY66" s="9"/>
      <c r="EZ66" s="9"/>
      <c r="FA66" s="9"/>
      <c r="FB66" s="9"/>
      <c r="FC66" s="9"/>
      <c r="FD66" s="9"/>
      <c r="FE66" s="9"/>
      <c r="FF66" s="9"/>
      <c r="FG66" s="9"/>
      <c r="FH66" s="9"/>
      <c r="FI66" s="9"/>
      <c r="FJ66" s="9"/>
      <c r="FK66" s="9"/>
      <c r="FL66" s="9"/>
      <c r="FM66" s="9"/>
      <c r="FN66" s="9"/>
      <c r="FO66" s="9"/>
      <c r="FP66" s="9"/>
      <c r="FQ66" s="9"/>
      <c r="FR66" s="9"/>
      <c r="FS66" s="9"/>
      <c r="FT66" s="9"/>
      <c r="FU66" s="9"/>
      <c r="FV66" s="9"/>
      <c r="FW66" s="9"/>
      <c r="FX66" s="9"/>
      <c r="FY66" s="9"/>
      <c r="FZ66" s="9"/>
      <c r="GA66" s="9"/>
      <c r="GB66" s="9"/>
      <c r="GC66" s="9"/>
      <c r="GD66" s="9"/>
      <c r="GE66" s="9"/>
      <c r="GF66" s="9"/>
      <c r="GG66" s="9"/>
      <c r="GH66" s="9"/>
      <c r="GI66" s="9"/>
      <c r="GJ66" s="9"/>
      <c r="GK66" s="9"/>
      <c r="GL66" s="9"/>
      <c r="GM66" s="9"/>
      <c r="GN66" s="9"/>
      <c r="GO66" s="9"/>
      <c r="GP66" s="9"/>
      <c r="GQ66" s="9"/>
      <c r="GR66" s="9"/>
      <c r="GS66" s="9"/>
      <c r="GT66" s="9"/>
      <c r="GU66" s="9"/>
      <c r="GV66" s="9"/>
      <c r="GW66" s="9"/>
      <c r="GX66" s="9"/>
      <c r="GY66" s="9"/>
      <c r="GZ66" s="9"/>
      <c r="HA66" s="9"/>
      <c r="HB66" s="9"/>
      <c r="HC66" s="9"/>
      <c r="HD66" s="9"/>
      <c r="HE66" s="9"/>
      <c r="HF66" s="9"/>
      <c r="HG66" s="9"/>
      <c r="HH66" s="9"/>
      <c r="HI66" s="9"/>
      <c r="HJ66" s="9"/>
      <c r="HK66" s="9"/>
      <c r="HW66" s="50"/>
      <c r="IF66" t="s">
        <v>2472</v>
      </c>
      <c r="IG66" s="75" t="s">
        <v>1714</v>
      </c>
      <c r="IH66" t="s">
        <v>542</v>
      </c>
      <c r="II66" t="s">
        <v>543</v>
      </c>
      <c r="IJ66" t="s">
        <v>1049</v>
      </c>
      <c r="IK66" t="s">
        <v>1049</v>
      </c>
      <c r="IL66" s="78" t="s">
        <v>480</v>
      </c>
      <c r="JH66" t="s">
        <v>2412</v>
      </c>
      <c r="JI66" t="s">
        <v>494</v>
      </c>
      <c r="JJ66" t="s">
        <v>495</v>
      </c>
      <c r="JK66" s="8" t="s">
        <v>1466</v>
      </c>
      <c r="JN66" t="s">
        <v>508</v>
      </c>
      <c r="JO66">
        <v>40</v>
      </c>
      <c r="JP66">
        <v>50</v>
      </c>
      <c r="KD66" t="s">
        <v>500</v>
      </c>
      <c r="MR66" t="s">
        <v>2413</v>
      </c>
      <c r="MS66">
        <v>36</v>
      </c>
      <c r="NC66" t="s">
        <v>2423</v>
      </c>
      <c r="ND66" t="s">
        <v>943</v>
      </c>
      <c r="NF66" t="s">
        <v>944</v>
      </c>
      <c r="NG66" t="s">
        <v>516</v>
      </c>
      <c r="NP66" t="s">
        <v>518</v>
      </c>
      <c r="NQ66">
        <v>870.8</v>
      </c>
      <c r="NR66" s="4" t="s">
        <v>520</v>
      </c>
      <c r="NS66">
        <v>6</v>
      </c>
      <c r="NV66">
        <v>4</v>
      </c>
      <c r="OG66" t="s">
        <v>2488</v>
      </c>
      <c r="OH66" s="78" t="s">
        <v>475</v>
      </c>
      <c r="OI66">
        <v>2007</v>
      </c>
      <c r="OL66" t="s">
        <v>2419</v>
      </c>
      <c r="ON66" t="s">
        <v>522</v>
      </c>
      <c r="OO66" s="50">
        <v>46105</v>
      </c>
    </row>
    <row r="67" spans="1:405" ht="15.75" thickBot="1">
      <c r="A67" t="s">
        <v>469</v>
      </c>
      <c r="B67" t="s">
        <v>2406</v>
      </c>
      <c r="C67" t="s">
        <v>667</v>
      </c>
      <c r="D67" s="89" t="s">
        <v>1179</v>
      </c>
      <c r="E67" s="81" t="s">
        <v>2407</v>
      </c>
      <c r="F67" s="89" t="s">
        <v>1179</v>
      </c>
      <c r="G67" s="78" t="s">
        <v>475</v>
      </c>
      <c r="H67" s="78" t="s">
        <v>476</v>
      </c>
      <c r="I67">
        <v>-0.41666666699999999</v>
      </c>
      <c r="J67">
        <v>34.200000000000003</v>
      </c>
      <c r="K67" s="78" t="s">
        <v>480</v>
      </c>
      <c r="AV67" t="s">
        <v>2408</v>
      </c>
      <c r="AW67">
        <v>53</v>
      </c>
      <c r="AX67" t="s">
        <v>866</v>
      </c>
      <c r="AY67">
        <v>1</v>
      </c>
      <c r="AZ67" t="s">
        <v>2409</v>
      </c>
      <c r="BA67">
        <v>2007</v>
      </c>
      <c r="BB67">
        <v>2008</v>
      </c>
      <c r="BD67" t="s">
        <v>998</v>
      </c>
      <c r="BE67" t="s">
        <v>2476</v>
      </c>
      <c r="BF67" t="s">
        <v>611</v>
      </c>
      <c r="BH67" t="s">
        <v>485</v>
      </c>
      <c r="BI67" t="s">
        <v>2411</v>
      </c>
      <c r="BJ67" s="78" t="s">
        <v>486</v>
      </c>
      <c r="BK67">
        <v>44444</v>
      </c>
      <c r="BL67" t="s">
        <v>537</v>
      </c>
      <c r="BM67" t="s">
        <v>2425</v>
      </c>
      <c r="BN67" t="s">
        <v>866</v>
      </c>
      <c r="BO67" t="s">
        <v>866</v>
      </c>
      <c r="BP67" t="s">
        <v>866</v>
      </c>
      <c r="EH67" s="9"/>
      <c r="EI67" s="9"/>
      <c r="EJ67" s="9"/>
      <c r="EK67" s="9"/>
      <c r="EL67" s="9"/>
      <c r="EM67" s="9"/>
      <c r="EN67" s="9"/>
      <c r="EO67" s="9"/>
      <c r="EP67" s="9"/>
      <c r="EQ67" s="9"/>
      <c r="ER67" s="9"/>
      <c r="ES67" s="9"/>
      <c r="ET67" s="9"/>
      <c r="EU67" s="9"/>
      <c r="EV67" s="9"/>
      <c r="EW67" s="9"/>
      <c r="EX67" s="9"/>
      <c r="EY67" s="9"/>
      <c r="EZ67" s="9"/>
      <c r="FA67" s="9"/>
      <c r="FB67" s="9"/>
      <c r="FC67" s="9"/>
      <c r="FD67" s="9"/>
      <c r="FE67" s="9"/>
      <c r="FF67" s="9"/>
      <c r="FG67" s="9"/>
      <c r="FH67" s="9"/>
      <c r="FI67" s="9"/>
      <c r="FJ67" s="9"/>
      <c r="FK67" s="9"/>
      <c r="FL67" s="9"/>
      <c r="FM67" s="9"/>
      <c r="FN67" s="9"/>
      <c r="FO67" s="9"/>
      <c r="FP67" s="9"/>
      <c r="FQ67" s="9"/>
      <c r="FR67" s="9"/>
      <c r="FS67" s="9"/>
      <c r="FT67" s="9"/>
      <c r="FU67" s="9"/>
      <c r="FV67" s="9"/>
      <c r="FW67" s="9"/>
      <c r="FX67" s="9"/>
      <c r="FY67" s="9"/>
      <c r="FZ67" s="9"/>
      <c r="GA67" s="9"/>
      <c r="GB67" s="9"/>
      <c r="GC67" s="9"/>
      <c r="GD67" s="9"/>
      <c r="GE67" s="9"/>
      <c r="GF67" s="9"/>
      <c r="GG67" s="9"/>
      <c r="GH67" s="9"/>
      <c r="GI67" s="9"/>
      <c r="GJ67" s="9"/>
      <c r="GK67" s="9"/>
      <c r="GL67" s="9"/>
      <c r="GM67" s="9"/>
      <c r="GN67" s="9"/>
      <c r="GO67" s="9"/>
      <c r="GP67" s="9"/>
      <c r="GQ67" s="9"/>
      <c r="GR67" s="9"/>
      <c r="GS67" s="9"/>
      <c r="GT67" s="9"/>
      <c r="GU67" s="9"/>
      <c r="GV67" s="9"/>
      <c r="GW67" s="9"/>
      <c r="GX67" s="9"/>
      <c r="GY67" s="9"/>
      <c r="GZ67" s="9"/>
      <c r="HA67" s="9"/>
      <c r="HB67" s="9"/>
      <c r="HC67" s="9"/>
      <c r="HD67" s="9"/>
      <c r="HE67" s="9"/>
      <c r="HF67" s="9"/>
      <c r="HG67" s="9"/>
      <c r="HH67" s="9"/>
      <c r="HI67" s="9"/>
      <c r="HJ67" s="9"/>
      <c r="HK67" s="9"/>
      <c r="HW67" s="50"/>
      <c r="IF67" t="s">
        <v>2476</v>
      </c>
      <c r="IG67" s="75" t="s">
        <v>2426</v>
      </c>
      <c r="IH67" t="s">
        <v>542</v>
      </c>
      <c r="II67" t="s">
        <v>543</v>
      </c>
      <c r="IJ67" t="s">
        <v>1049</v>
      </c>
      <c r="IK67" t="s">
        <v>1049</v>
      </c>
      <c r="IL67" s="78" t="s">
        <v>480</v>
      </c>
      <c r="JH67" t="s">
        <v>2412</v>
      </c>
      <c r="JI67" t="s">
        <v>494</v>
      </c>
      <c r="JJ67" t="s">
        <v>495</v>
      </c>
      <c r="JK67" s="8" t="s">
        <v>1466</v>
      </c>
      <c r="JN67" t="s">
        <v>508</v>
      </c>
      <c r="JO67">
        <v>40</v>
      </c>
      <c r="JP67">
        <v>50</v>
      </c>
      <c r="KD67" t="s">
        <v>500</v>
      </c>
      <c r="MR67" t="s">
        <v>2413</v>
      </c>
      <c r="MS67">
        <v>36</v>
      </c>
      <c r="NC67" t="s">
        <v>2423</v>
      </c>
      <c r="ND67" t="s">
        <v>943</v>
      </c>
      <c r="NF67" t="s">
        <v>944</v>
      </c>
      <c r="NG67" t="s">
        <v>516</v>
      </c>
      <c r="NP67" t="s">
        <v>518</v>
      </c>
      <c r="NQ67">
        <v>961.6</v>
      </c>
      <c r="NR67" s="4" t="s">
        <v>520</v>
      </c>
      <c r="NS67">
        <v>8</v>
      </c>
      <c r="NV67">
        <v>4</v>
      </c>
      <c r="OG67" t="s">
        <v>2488</v>
      </c>
      <c r="OH67" s="78" t="s">
        <v>475</v>
      </c>
      <c r="OI67">
        <v>2007</v>
      </c>
      <c r="OL67" t="s">
        <v>2419</v>
      </c>
      <c r="ON67" t="s">
        <v>522</v>
      </c>
      <c r="OO67" s="50">
        <v>46105</v>
      </c>
    </row>
    <row r="68" spans="1:405" ht="15.75" thickBot="1">
      <c r="A68" t="s">
        <v>469</v>
      </c>
      <c r="B68" t="s">
        <v>2406</v>
      </c>
      <c r="C68" t="s">
        <v>667</v>
      </c>
      <c r="D68" s="89" t="s">
        <v>1179</v>
      </c>
      <c r="E68" s="81" t="s">
        <v>2407</v>
      </c>
      <c r="F68" s="89" t="s">
        <v>1179</v>
      </c>
      <c r="G68" s="78" t="s">
        <v>475</v>
      </c>
      <c r="H68" s="78" t="s">
        <v>476</v>
      </c>
      <c r="I68">
        <v>-0.41666666699999999</v>
      </c>
      <c r="J68">
        <v>34.200000000000003</v>
      </c>
      <c r="K68" s="78" t="s">
        <v>480</v>
      </c>
      <c r="AV68" t="s">
        <v>2408</v>
      </c>
      <c r="AW68">
        <v>54</v>
      </c>
      <c r="AX68" t="s">
        <v>866</v>
      </c>
      <c r="AY68">
        <v>1</v>
      </c>
      <c r="AZ68" t="s">
        <v>2409</v>
      </c>
      <c r="BA68">
        <v>2007</v>
      </c>
      <c r="BB68">
        <v>2008</v>
      </c>
      <c r="BD68" t="s">
        <v>998</v>
      </c>
      <c r="BE68" t="s">
        <v>2480</v>
      </c>
      <c r="BF68" t="s">
        <v>615</v>
      </c>
      <c r="BH68" t="s">
        <v>485</v>
      </c>
      <c r="BI68" t="s">
        <v>2411</v>
      </c>
      <c r="BJ68" s="78" t="s">
        <v>486</v>
      </c>
      <c r="BK68">
        <v>44444</v>
      </c>
      <c r="BL68" t="s">
        <v>537</v>
      </c>
      <c r="BM68" t="s">
        <v>1425</v>
      </c>
      <c r="BN68" t="s">
        <v>2421</v>
      </c>
      <c r="BO68" s="78" t="s">
        <v>486</v>
      </c>
      <c r="BP68">
        <v>44444</v>
      </c>
      <c r="BQ68" t="s">
        <v>537</v>
      </c>
      <c r="BR68" t="s">
        <v>2425</v>
      </c>
      <c r="BS68" t="s">
        <v>866</v>
      </c>
      <c r="BT68" t="s">
        <v>866</v>
      </c>
      <c r="BU68" t="s">
        <v>866</v>
      </c>
      <c r="EH68" s="9"/>
      <c r="EI68" s="9"/>
      <c r="EJ68" s="9"/>
      <c r="EK68" s="9"/>
      <c r="EL68" s="9"/>
      <c r="EM68" s="9"/>
      <c r="EN68" s="9"/>
      <c r="EO68" s="9"/>
      <c r="EP68" s="9"/>
      <c r="EQ68" s="9"/>
      <c r="ER68" s="9"/>
      <c r="ES68" s="9"/>
      <c r="ET68" s="9"/>
      <c r="EU68" s="9"/>
      <c r="EV68" s="9"/>
      <c r="EW68" s="9"/>
      <c r="EX68" s="9"/>
      <c r="EY68" s="9"/>
      <c r="EZ68" s="9"/>
      <c r="FA68" s="9"/>
      <c r="FB68" s="9"/>
      <c r="FC68" s="9"/>
      <c r="FD68" s="9"/>
      <c r="FE68" s="9"/>
      <c r="FF68" s="9"/>
      <c r="FG68" s="9"/>
      <c r="FH68" s="9"/>
      <c r="FI68" s="9"/>
      <c r="FJ68" s="9"/>
      <c r="FK68" s="9"/>
      <c r="FL68" s="9"/>
      <c r="FM68" s="9"/>
      <c r="FN68" s="9"/>
      <c r="FO68" s="9"/>
      <c r="FP68" s="9"/>
      <c r="FQ68" s="9"/>
      <c r="FR68" s="9"/>
      <c r="FS68" s="9"/>
      <c r="FT68" s="9"/>
      <c r="FU68" s="9"/>
      <c r="FV68" s="9"/>
      <c r="FW68" s="9"/>
      <c r="FX68" s="9"/>
      <c r="FY68" s="9"/>
      <c r="FZ68" s="9"/>
      <c r="GA68" s="9"/>
      <c r="GB68" s="9"/>
      <c r="GC68" s="9"/>
      <c r="GD68" s="9"/>
      <c r="GE68" s="9"/>
      <c r="GF68" s="9"/>
      <c r="GG68" s="9"/>
      <c r="GH68" s="9"/>
      <c r="GI68" s="9"/>
      <c r="GJ68" s="9"/>
      <c r="GK68" s="9"/>
      <c r="GL68" s="9"/>
      <c r="GM68" s="9"/>
      <c r="GN68" s="9"/>
      <c r="GO68" s="9"/>
      <c r="GP68" s="9"/>
      <c r="GQ68" s="9"/>
      <c r="GR68" s="9"/>
      <c r="GS68" s="9"/>
      <c r="GT68" s="9"/>
      <c r="GU68" s="9"/>
      <c r="GV68" s="9"/>
      <c r="GW68" s="9"/>
      <c r="GX68" s="9"/>
      <c r="GY68" s="9"/>
      <c r="GZ68" s="9"/>
      <c r="HA68" s="9"/>
      <c r="HB68" s="9"/>
      <c r="HC68" s="9"/>
      <c r="HD68" s="9"/>
      <c r="HE68" s="9"/>
      <c r="HF68" s="9"/>
      <c r="HG68" s="9"/>
      <c r="HH68" s="9"/>
      <c r="HI68" s="9"/>
      <c r="HJ68" s="9"/>
      <c r="HK68" s="9"/>
      <c r="HW68" s="50"/>
      <c r="IF68" t="s">
        <v>2480</v>
      </c>
      <c r="IG68" s="75" t="s">
        <v>2426</v>
      </c>
      <c r="IH68" t="s">
        <v>542</v>
      </c>
      <c r="II68" t="s">
        <v>543</v>
      </c>
      <c r="IJ68" t="s">
        <v>1049</v>
      </c>
      <c r="IK68" t="s">
        <v>1049</v>
      </c>
      <c r="IL68" s="78" t="s">
        <v>480</v>
      </c>
      <c r="JH68" t="s">
        <v>2412</v>
      </c>
      <c r="JI68" t="s">
        <v>494</v>
      </c>
      <c r="JJ68" t="s">
        <v>495</v>
      </c>
      <c r="JK68" s="8" t="s">
        <v>1466</v>
      </c>
      <c r="JN68" t="s">
        <v>508</v>
      </c>
      <c r="JO68">
        <v>40</v>
      </c>
      <c r="JP68">
        <v>50</v>
      </c>
      <c r="KD68" t="s">
        <v>500</v>
      </c>
      <c r="MR68" t="s">
        <v>2413</v>
      </c>
      <c r="MS68">
        <v>36</v>
      </c>
      <c r="NC68" t="s">
        <v>2423</v>
      </c>
      <c r="ND68" t="s">
        <v>943</v>
      </c>
      <c r="NF68" t="s">
        <v>944</v>
      </c>
      <c r="NG68" t="s">
        <v>516</v>
      </c>
      <c r="NP68" t="s">
        <v>518</v>
      </c>
      <c r="NQ68">
        <v>1050.9000000000001</v>
      </c>
      <c r="NR68" s="4" t="s">
        <v>520</v>
      </c>
      <c r="NS68">
        <v>10</v>
      </c>
      <c r="NV68">
        <v>4</v>
      </c>
      <c r="OG68" t="s">
        <v>2488</v>
      </c>
      <c r="OH68" s="78" t="s">
        <v>475</v>
      </c>
      <c r="OI68">
        <v>2007</v>
      </c>
      <c r="OL68" t="s">
        <v>2419</v>
      </c>
      <c r="ON68" t="s">
        <v>522</v>
      </c>
      <c r="OO68" s="50">
        <v>46105</v>
      </c>
    </row>
    <row r="69" spans="1:405" ht="15.75" thickBot="1">
      <c r="A69" t="s">
        <v>469</v>
      </c>
      <c r="B69" t="s">
        <v>2406</v>
      </c>
      <c r="C69" t="s">
        <v>667</v>
      </c>
      <c r="D69" s="89" t="s">
        <v>1179</v>
      </c>
      <c r="E69" s="81" t="s">
        <v>2407</v>
      </c>
      <c r="F69" s="89" t="s">
        <v>1179</v>
      </c>
      <c r="G69" s="78" t="s">
        <v>475</v>
      </c>
      <c r="H69" s="78" t="s">
        <v>476</v>
      </c>
      <c r="I69">
        <v>-0.41666666699999999</v>
      </c>
      <c r="J69">
        <v>34.200000000000003</v>
      </c>
      <c r="K69" s="78" t="s">
        <v>480</v>
      </c>
      <c r="AV69" t="s">
        <v>2408</v>
      </c>
      <c r="AW69">
        <v>55</v>
      </c>
      <c r="AX69" t="s">
        <v>866</v>
      </c>
      <c r="AY69">
        <v>1</v>
      </c>
      <c r="AZ69" t="s">
        <v>2409</v>
      </c>
      <c r="BA69">
        <v>2007</v>
      </c>
      <c r="BB69">
        <v>2008</v>
      </c>
      <c r="BD69" t="s">
        <v>998</v>
      </c>
      <c r="BE69" t="s">
        <v>2484</v>
      </c>
      <c r="BF69" t="s">
        <v>617</v>
      </c>
      <c r="BH69" t="s">
        <v>485</v>
      </c>
      <c r="BI69" t="s">
        <v>2411</v>
      </c>
      <c r="BJ69" s="78" t="s">
        <v>486</v>
      </c>
      <c r="BK69">
        <v>44444</v>
      </c>
      <c r="BL69" t="s">
        <v>537</v>
      </c>
      <c r="BM69" t="s">
        <v>1425</v>
      </c>
      <c r="BN69" t="s">
        <v>2421</v>
      </c>
      <c r="BO69" s="78" t="s">
        <v>486</v>
      </c>
      <c r="BP69">
        <v>44444</v>
      </c>
      <c r="BQ69" t="s">
        <v>537</v>
      </c>
      <c r="BR69" t="s">
        <v>2425</v>
      </c>
      <c r="BS69" t="s">
        <v>866</v>
      </c>
      <c r="BT69" t="s">
        <v>866</v>
      </c>
      <c r="BU69" t="s">
        <v>866</v>
      </c>
      <c r="EH69" s="9"/>
      <c r="EI69" s="9"/>
      <c r="EJ69" s="9"/>
      <c r="EK69" s="9"/>
      <c r="EL69" s="9"/>
      <c r="EM69" s="9"/>
      <c r="EN69" s="9"/>
      <c r="EO69" s="9"/>
      <c r="EP69" s="9"/>
      <c r="EQ69" s="9"/>
      <c r="ER69" s="9"/>
      <c r="ES69" s="9"/>
      <c r="ET69" s="9"/>
      <c r="EU69" s="9"/>
      <c r="EV69" s="9"/>
      <c r="EW69" s="9"/>
      <c r="EX69" s="9"/>
      <c r="EY69" s="9"/>
      <c r="EZ69" s="9"/>
      <c r="FA69" s="9"/>
      <c r="FB69" s="9"/>
      <c r="FC69" s="9"/>
      <c r="FD69" s="9"/>
      <c r="FE69" s="9"/>
      <c r="FF69" s="9"/>
      <c r="FG69" s="9"/>
      <c r="FH69" s="9"/>
      <c r="FI69" s="9"/>
      <c r="FJ69" s="9"/>
      <c r="FK69" s="9"/>
      <c r="FL69" s="9"/>
      <c r="FM69" s="9"/>
      <c r="FN69" s="9"/>
      <c r="FO69" s="9"/>
      <c r="FP69" s="9"/>
      <c r="FQ69" s="9"/>
      <c r="FR69" s="9"/>
      <c r="FS69" s="9"/>
      <c r="FT69" s="9"/>
      <c r="FU69" s="9"/>
      <c r="FV69" s="9"/>
      <c r="FW69" s="9"/>
      <c r="FX69" s="9"/>
      <c r="FY69" s="9"/>
      <c r="FZ69" s="9"/>
      <c r="GA69" s="9"/>
      <c r="GB69" s="9"/>
      <c r="GC69" s="9"/>
      <c r="GD69" s="9"/>
      <c r="GE69" s="9"/>
      <c r="GF69" s="9"/>
      <c r="GG69" s="9"/>
      <c r="GH69" s="9"/>
      <c r="GI69" s="9"/>
      <c r="GJ69" s="9"/>
      <c r="GK69" s="9"/>
      <c r="GL69" s="9"/>
      <c r="GM69" s="9"/>
      <c r="GN69" s="9"/>
      <c r="GO69" s="9"/>
      <c r="GP69" s="9"/>
      <c r="GQ69" s="9"/>
      <c r="GR69" s="9"/>
      <c r="GS69" s="9"/>
      <c r="GT69" s="9"/>
      <c r="GU69" s="9"/>
      <c r="GV69" s="9"/>
      <c r="GW69" s="9"/>
      <c r="GX69" s="9"/>
      <c r="GY69" s="9"/>
      <c r="GZ69" s="9"/>
      <c r="HA69" s="9"/>
      <c r="HB69" s="9"/>
      <c r="HC69" s="9"/>
      <c r="HD69" s="9"/>
      <c r="HE69" s="9"/>
      <c r="HF69" s="9"/>
      <c r="HG69" s="9"/>
      <c r="HH69" s="9"/>
      <c r="HI69" s="9"/>
      <c r="HJ69" s="9"/>
      <c r="HK69" s="9"/>
      <c r="HW69" s="50"/>
      <c r="IF69" t="s">
        <v>2484</v>
      </c>
      <c r="IG69" s="75" t="s">
        <v>2426</v>
      </c>
      <c r="IH69" t="s">
        <v>542</v>
      </c>
      <c r="II69" t="s">
        <v>543</v>
      </c>
      <c r="IJ69" t="s">
        <v>1049</v>
      </c>
      <c r="IK69" t="s">
        <v>1049</v>
      </c>
      <c r="IL69" s="78" t="s">
        <v>480</v>
      </c>
      <c r="JH69" t="s">
        <v>2412</v>
      </c>
      <c r="JI69" t="s">
        <v>494</v>
      </c>
      <c r="JJ69" t="s">
        <v>495</v>
      </c>
      <c r="JK69" s="8" t="s">
        <v>1466</v>
      </c>
      <c r="JN69" t="s">
        <v>508</v>
      </c>
      <c r="JO69">
        <v>40</v>
      </c>
      <c r="JP69">
        <v>50</v>
      </c>
      <c r="KD69" t="s">
        <v>500</v>
      </c>
      <c r="MR69" t="s">
        <v>2413</v>
      </c>
      <c r="MS69">
        <v>36</v>
      </c>
      <c r="NC69" t="s">
        <v>2423</v>
      </c>
      <c r="ND69" t="s">
        <v>943</v>
      </c>
      <c r="NF69" t="s">
        <v>944</v>
      </c>
      <c r="NG69" t="s">
        <v>516</v>
      </c>
      <c r="NP69" t="s">
        <v>518</v>
      </c>
      <c r="NQ69">
        <v>1062.4000000000001</v>
      </c>
      <c r="NR69" s="4" t="s">
        <v>520</v>
      </c>
      <c r="NS69">
        <v>10</v>
      </c>
      <c r="NV69">
        <v>4</v>
      </c>
      <c r="OG69" t="s">
        <v>2488</v>
      </c>
      <c r="OH69" s="78" t="s">
        <v>475</v>
      </c>
      <c r="OI69">
        <v>2007</v>
      </c>
      <c r="OL69" t="s">
        <v>2419</v>
      </c>
      <c r="ON69" t="s">
        <v>522</v>
      </c>
      <c r="OO69" s="50">
        <v>46105</v>
      </c>
    </row>
    <row r="70" spans="1:405" ht="15.75" thickBot="1">
      <c r="A70" t="s">
        <v>469</v>
      </c>
      <c r="B70" t="s">
        <v>2406</v>
      </c>
      <c r="C70" t="s">
        <v>667</v>
      </c>
      <c r="D70" s="89" t="s">
        <v>1179</v>
      </c>
      <c r="E70" s="81" t="s">
        <v>2407</v>
      </c>
      <c r="F70" s="89" t="s">
        <v>1179</v>
      </c>
      <c r="G70" s="78" t="s">
        <v>475</v>
      </c>
      <c r="H70" s="78" t="s">
        <v>476</v>
      </c>
      <c r="I70">
        <v>-0.41666666699999999</v>
      </c>
      <c r="J70">
        <v>34.200000000000003</v>
      </c>
      <c r="K70" s="78" t="s">
        <v>480</v>
      </c>
      <c r="AV70" t="s">
        <v>2408</v>
      </c>
      <c r="AW70">
        <v>36</v>
      </c>
      <c r="AX70" t="s">
        <v>866</v>
      </c>
      <c r="AY70">
        <v>1</v>
      </c>
      <c r="AZ70" t="s">
        <v>2409</v>
      </c>
      <c r="BA70">
        <v>2007</v>
      </c>
      <c r="BB70">
        <v>2008</v>
      </c>
      <c r="BD70" t="s">
        <v>492</v>
      </c>
      <c r="BE70" t="s">
        <v>2410</v>
      </c>
      <c r="BF70" t="s">
        <v>524</v>
      </c>
      <c r="BH70" t="s">
        <v>485</v>
      </c>
      <c r="BI70" t="s">
        <v>2411</v>
      </c>
      <c r="BJ70" s="78" t="s">
        <v>486</v>
      </c>
      <c r="BK70">
        <v>44444</v>
      </c>
      <c r="IF70" t="s">
        <v>2410</v>
      </c>
      <c r="IG70" t="s">
        <v>492</v>
      </c>
      <c r="JH70" t="s">
        <v>2412</v>
      </c>
      <c r="JI70" t="s">
        <v>494</v>
      </c>
      <c r="JJ70" t="s">
        <v>495</v>
      </c>
      <c r="JK70" s="8" t="s">
        <v>1466</v>
      </c>
      <c r="JN70" t="s">
        <v>508</v>
      </c>
      <c r="JO70">
        <v>40</v>
      </c>
      <c r="JP70">
        <v>50</v>
      </c>
      <c r="KD70" t="s">
        <v>500</v>
      </c>
      <c r="MR70" t="s">
        <v>2413</v>
      </c>
      <c r="MS70">
        <v>36</v>
      </c>
      <c r="NC70" t="s">
        <v>2493</v>
      </c>
      <c r="ND70" t="s">
        <v>1061</v>
      </c>
      <c r="NF70" t="s">
        <v>625</v>
      </c>
      <c r="NG70" t="s">
        <v>516</v>
      </c>
      <c r="NP70" t="s">
        <v>518</v>
      </c>
      <c r="NQ70">
        <v>307.3</v>
      </c>
      <c r="NR70" s="4" t="s">
        <v>520</v>
      </c>
      <c r="NS70">
        <v>8</v>
      </c>
      <c r="NV70">
        <v>4</v>
      </c>
      <c r="OG70" t="s">
        <v>2418</v>
      </c>
      <c r="OH70" s="78" t="s">
        <v>475</v>
      </c>
      <c r="OI70">
        <v>2007</v>
      </c>
      <c r="OL70" t="s">
        <v>2419</v>
      </c>
      <c r="ON70" t="s">
        <v>522</v>
      </c>
      <c r="OO70" s="50">
        <v>46105</v>
      </c>
    </row>
    <row r="71" spans="1:405" ht="15.75" thickBot="1">
      <c r="A71" t="s">
        <v>469</v>
      </c>
      <c r="B71" t="s">
        <v>2406</v>
      </c>
      <c r="C71" t="s">
        <v>667</v>
      </c>
      <c r="D71" s="89" t="s">
        <v>1179</v>
      </c>
      <c r="E71" s="81" t="s">
        <v>2407</v>
      </c>
      <c r="F71" s="89" t="s">
        <v>1179</v>
      </c>
      <c r="G71" s="78" t="s">
        <v>475</v>
      </c>
      <c r="H71" s="78" t="s">
        <v>476</v>
      </c>
      <c r="I71">
        <v>-0.41666666699999999</v>
      </c>
      <c r="J71">
        <v>34.200000000000003</v>
      </c>
      <c r="K71" s="78" t="s">
        <v>480</v>
      </c>
      <c r="AV71" t="s">
        <v>2408</v>
      </c>
      <c r="AW71">
        <v>37</v>
      </c>
      <c r="AX71" t="s">
        <v>866</v>
      </c>
      <c r="AY71">
        <v>1</v>
      </c>
      <c r="AZ71" t="s">
        <v>2409</v>
      </c>
      <c r="BA71">
        <v>2007</v>
      </c>
      <c r="BB71">
        <v>2008</v>
      </c>
      <c r="BD71" t="s">
        <v>998</v>
      </c>
      <c r="BE71" t="s">
        <v>2420</v>
      </c>
      <c r="BF71" t="s">
        <v>536</v>
      </c>
      <c r="BH71" t="s">
        <v>485</v>
      </c>
      <c r="BI71" t="s">
        <v>2411</v>
      </c>
      <c r="BJ71" s="78" t="s">
        <v>486</v>
      </c>
      <c r="BK71">
        <v>44444</v>
      </c>
      <c r="BL71" t="s">
        <v>537</v>
      </c>
      <c r="BM71" t="s">
        <v>1425</v>
      </c>
      <c r="BN71" t="s">
        <v>2421</v>
      </c>
      <c r="BO71" s="78" t="s">
        <v>486</v>
      </c>
      <c r="BP71">
        <v>44444</v>
      </c>
      <c r="IF71" t="s">
        <v>2420</v>
      </c>
      <c r="IG71" s="75" t="s">
        <v>1714</v>
      </c>
      <c r="IH71" t="s">
        <v>542</v>
      </c>
      <c r="II71" t="s">
        <v>543</v>
      </c>
      <c r="IJ71" t="s">
        <v>1049</v>
      </c>
      <c r="IK71" t="s">
        <v>1049</v>
      </c>
      <c r="IL71" s="78" t="s">
        <v>480</v>
      </c>
      <c r="JH71" t="s">
        <v>2412</v>
      </c>
      <c r="JI71" t="s">
        <v>494</v>
      </c>
      <c r="JJ71" t="s">
        <v>495</v>
      </c>
      <c r="JK71" s="8" t="s">
        <v>1466</v>
      </c>
      <c r="JN71" t="s">
        <v>508</v>
      </c>
      <c r="JO71">
        <v>40</v>
      </c>
      <c r="JP71">
        <v>50</v>
      </c>
      <c r="KD71" t="s">
        <v>500</v>
      </c>
      <c r="MR71" t="s">
        <v>2413</v>
      </c>
      <c r="MS71">
        <v>36</v>
      </c>
      <c r="NC71" t="s">
        <v>2494</v>
      </c>
      <c r="ND71" t="s">
        <v>1061</v>
      </c>
      <c r="NF71" t="s">
        <v>625</v>
      </c>
      <c r="NG71" t="s">
        <v>516</v>
      </c>
      <c r="NP71" t="s">
        <v>518</v>
      </c>
      <c r="NQ71">
        <v>427.4</v>
      </c>
      <c r="NR71" s="4" t="s">
        <v>520</v>
      </c>
      <c r="NS71">
        <v>14</v>
      </c>
      <c r="NV71">
        <v>4</v>
      </c>
      <c r="OG71" t="s">
        <v>2418</v>
      </c>
      <c r="OH71" s="78" t="s">
        <v>475</v>
      </c>
      <c r="OI71">
        <v>2007</v>
      </c>
      <c r="OL71" t="s">
        <v>2419</v>
      </c>
      <c r="ON71" t="s">
        <v>522</v>
      </c>
      <c r="OO71" s="50">
        <v>46105</v>
      </c>
    </row>
    <row r="72" spans="1:405" ht="15.75" thickBot="1">
      <c r="A72" t="s">
        <v>469</v>
      </c>
      <c r="B72" t="s">
        <v>2406</v>
      </c>
      <c r="C72" t="s">
        <v>667</v>
      </c>
      <c r="D72" s="89" t="s">
        <v>1179</v>
      </c>
      <c r="E72" s="81" t="s">
        <v>2407</v>
      </c>
      <c r="F72" s="89" t="s">
        <v>1179</v>
      </c>
      <c r="G72" s="78" t="s">
        <v>475</v>
      </c>
      <c r="H72" s="78" t="s">
        <v>476</v>
      </c>
      <c r="I72">
        <v>-0.41666666699999999</v>
      </c>
      <c r="J72">
        <v>34.200000000000003</v>
      </c>
      <c r="K72" s="78" t="s">
        <v>480</v>
      </c>
      <c r="AV72" t="s">
        <v>2408</v>
      </c>
      <c r="AW72">
        <v>38</v>
      </c>
      <c r="AX72" t="s">
        <v>866</v>
      </c>
      <c r="AY72">
        <v>1</v>
      </c>
      <c r="AZ72" t="s">
        <v>2409</v>
      </c>
      <c r="BA72">
        <v>2007</v>
      </c>
      <c r="BB72">
        <v>2008</v>
      </c>
      <c r="BD72" t="s">
        <v>998</v>
      </c>
      <c r="BE72" t="s">
        <v>2424</v>
      </c>
      <c r="BF72" t="s">
        <v>566</v>
      </c>
      <c r="BH72" t="s">
        <v>485</v>
      </c>
      <c r="BI72" t="s">
        <v>2411</v>
      </c>
      <c r="BJ72" s="78" t="s">
        <v>486</v>
      </c>
      <c r="BK72">
        <v>44444</v>
      </c>
      <c r="BL72" t="s">
        <v>537</v>
      </c>
      <c r="BM72" t="s">
        <v>2425</v>
      </c>
      <c r="BN72" t="s">
        <v>866</v>
      </c>
      <c r="BO72" t="s">
        <v>866</v>
      </c>
      <c r="BP72" t="s">
        <v>866</v>
      </c>
      <c r="IF72" t="s">
        <v>2424</v>
      </c>
      <c r="IG72" s="75" t="s">
        <v>2426</v>
      </c>
      <c r="IH72" t="s">
        <v>542</v>
      </c>
      <c r="II72" t="s">
        <v>543</v>
      </c>
      <c r="IJ72" t="s">
        <v>1049</v>
      </c>
      <c r="IK72" t="s">
        <v>1049</v>
      </c>
      <c r="IL72" s="78" t="s">
        <v>480</v>
      </c>
      <c r="JH72" t="s">
        <v>2412</v>
      </c>
      <c r="JI72" t="s">
        <v>494</v>
      </c>
      <c r="JJ72" t="s">
        <v>495</v>
      </c>
      <c r="JK72" s="8" t="s">
        <v>1466</v>
      </c>
      <c r="JN72" t="s">
        <v>508</v>
      </c>
      <c r="JO72">
        <v>40</v>
      </c>
      <c r="JP72">
        <v>50</v>
      </c>
      <c r="KD72" t="s">
        <v>500</v>
      </c>
      <c r="MR72" t="s">
        <v>2413</v>
      </c>
      <c r="MS72">
        <v>36</v>
      </c>
      <c r="NC72" t="s">
        <v>2494</v>
      </c>
      <c r="ND72" t="s">
        <v>1061</v>
      </c>
      <c r="NF72" t="s">
        <v>625</v>
      </c>
      <c r="NG72" t="s">
        <v>516</v>
      </c>
      <c r="NP72" t="s">
        <v>518</v>
      </c>
      <c r="NQ72">
        <v>513.5</v>
      </c>
      <c r="NR72" s="4" t="s">
        <v>520</v>
      </c>
      <c r="NS72">
        <v>7</v>
      </c>
      <c r="NV72">
        <v>4</v>
      </c>
      <c r="OG72" t="s">
        <v>2418</v>
      </c>
      <c r="OH72" s="78" t="s">
        <v>475</v>
      </c>
      <c r="OI72">
        <v>2007</v>
      </c>
      <c r="OL72" t="s">
        <v>2419</v>
      </c>
      <c r="ON72" t="s">
        <v>522</v>
      </c>
      <c r="OO72" s="50">
        <v>46105</v>
      </c>
    </row>
    <row r="73" spans="1:405" ht="15.75" thickBot="1">
      <c r="A73" t="s">
        <v>469</v>
      </c>
      <c r="B73" t="s">
        <v>2406</v>
      </c>
      <c r="C73" t="s">
        <v>667</v>
      </c>
      <c r="D73" s="89" t="s">
        <v>1179</v>
      </c>
      <c r="E73" s="81" t="s">
        <v>2407</v>
      </c>
      <c r="F73" s="89" t="s">
        <v>1179</v>
      </c>
      <c r="G73" s="78" t="s">
        <v>475</v>
      </c>
      <c r="H73" s="78" t="s">
        <v>476</v>
      </c>
      <c r="I73">
        <v>-0.41666666699999999</v>
      </c>
      <c r="J73">
        <v>34.200000000000003</v>
      </c>
      <c r="K73" s="78" t="s">
        <v>480</v>
      </c>
      <c r="AV73" t="s">
        <v>2408</v>
      </c>
      <c r="AW73">
        <v>39</v>
      </c>
      <c r="AX73" t="s">
        <v>866</v>
      </c>
      <c r="AY73">
        <v>1</v>
      </c>
      <c r="AZ73" t="s">
        <v>2409</v>
      </c>
      <c r="BA73">
        <v>2007</v>
      </c>
      <c r="BB73">
        <v>2008</v>
      </c>
      <c r="BD73" t="s">
        <v>998</v>
      </c>
      <c r="BE73" t="s">
        <v>2430</v>
      </c>
      <c r="BF73" t="s">
        <v>572</v>
      </c>
      <c r="BH73" t="s">
        <v>485</v>
      </c>
      <c r="BI73" t="s">
        <v>2411</v>
      </c>
      <c r="BJ73" s="78" t="s">
        <v>486</v>
      </c>
      <c r="BK73">
        <v>44444</v>
      </c>
      <c r="BL73" t="s">
        <v>537</v>
      </c>
      <c r="BM73" t="s">
        <v>1425</v>
      </c>
      <c r="BN73" t="s">
        <v>2421</v>
      </c>
      <c r="BO73" s="78" t="s">
        <v>486</v>
      </c>
      <c r="BP73">
        <v>44444</v>
      </c>
      <c r="BQ73" t="s">
        <v>537</v>
      </c>
      <c r="BR73" t="s">
        <v>2425</v>
      </c>
      <c r="BS73" t="s">
        <v>866</v>
      </c>
      <c r="BT73" t="s">
        <v>866</v>
      </c>
      <c r="BU73" t="s">
        <v>866</v>
      </c>
      <c r="IF73" t="s">
        <v>2430</v>
      </c>
      <c r="IG73" s="75" t="s">
        <v>2426</v>
      </c>
      <c r="IH73" t="s">
        <v>542</v>
      </c>
      <c r="II73" t="s">
        <v>543</v>
      </c>
      <c r="IJ73" t="s">
        <v>1049</v>
      </c>
      <c r="IK73" t="s">
        <v>1049</v>
      </c>
      <c r="IL73" s="78" t="s">
        <v>480</v>
      </c>
      <c r="JH73" t="s">
        <v>2412</v>
      </c>
      <c r="JI73" t="s">
        <v>494</v>
      </c>
      <c r="JJ73" t="s">
        <v>495</v>
      </c>
      <c r="JK73" s="8" t="s">
        <v>1466</v>
      </c>
      <c r="JN73" t="s">
        <v>508</v>
      </c>
      <c r="JO73">
        <v>40</v>
      </c>
      <c r="JP73">
        <v>50</v>
      </c>
      <c r="KD73" t="s">
        <v>500</v>
      </c>
      <c r="MR73" t="s">
        <v>2413</v>
      </c>
      <c r="MS73">
        <v>36</v>
      </c>
      <c r="NC73" t="s">
        <v>2494</v>
      </c>
      <c r="ND73" t="s">
        <v>1061</v>
      </c>
      <c r="NF73" t="s">
        <v>625</v>
      </c>
      <c r="NG73" t="s">
        <v>516</v>
      </c>
      <c r="NP73" t="s">
        <v>518</v>
      </c>
      <c r="NQ73">
        <v>577.20000000000005</v>
      </c>
      <c r="NR73" s="4" t="s">
        <v>520</v>
      </c>
      <c r="NS73">
        <v>2</v>
      </c>
      <c r="NV73">
        <v>4</v>
      </c>
      <c r="OG73" t="s">
        <v>2418</v>
      </c>
      <c r="OH73" s="78" t="s">
        <v>475</v>
      </c>
      <c r="OI73">
        <v>2007</v>
      </c>
      <c r="OL73" t="s">
        <v>2419</v>
      </c>
      <c r="ON73" t="s">
        <v>522</v>
      </c>
      <c r="OO73" s="50">
        <v>46105</v>
      </c>
    </row>
    <row r="74" spans="1:405" ht="15.75" thickBot="1">
      <c r="A74" t="s">
        <v>469</v>
      </c>
      <c r="B74" t="s">
        <v>2406</v>
      </c>
      <c r="C74" t="s">
        <v>667</v>
      </c>
      <c r="D74" s="89" t="s">
        <v>1179</v>
      </c>
      <c r="E74" s="81" t="s">
        <v>2407</v>
      </c>
      <c r="F74" s="89" t="s">
        <v>1179</v>
      </c>
      <c r="G74" s="78" t="s">
        <v>475</v>
      </c>
      <c r="H74" s="78" t="s">
        <v>476</v>
      </c>
      <c r="I74">
        <v>-0.41666666699999999</v>
      </c>
      <c r="J74">
        <v>34.200000000000003</v>
      </c>
      <c r="K74" s="78" t="s">
        <v>480</v>
      </c>
      <c r="AV74" t="s">
        <v>2408</v>
      </c>
      <c r="AW74">
        <v>40</v>
      </c>
      <c r="AX74" t="s">
        <v>866</v>
      </c>
      <c r="AY74">
        <v>1</v>
      </c>
      <c r="AZ74" t="s">
        <v>2409</v>
      </c>
      <c r="BA74">
        <v>2007</v>
      </c>
      <c r="BB74">
        <v>2008</v>
      </c>
      <c r="BD74" t="s">
        <v>998</v>
      </c>
      <c r="BE74" t="s">
        <v>2441</v>
      </c>
      <c r="BF74" t="s">
        <v>553</v>
      </c>
      <c r="BH74" t="s">
        <v>485</v>
      </c>
      <c r="BI74" t="s">
        <v>2411</v>
      </c>
      <c r="BJ74" s="78" t="s">
        <v>486</v>
      </c>
      <c r="BK74">
        <v>44444</v>
      </c>
      <c r="BL74" t="s">
        <v>537</v>
      </c>
      <c r="BM74" t="s">
        <v>1425</v>
      </c>
      <c r="BN74" t="s">
        <v>2421</v>
      </c>
      <c r="BO74" s="78" t="s">
        <v>486</v>
      </c>
      <c r="BP74">
        <v>44444</v>
      </c>
      <c r="BQ74" t="s">
        <v>537</v>
      </c>
      <c r="BR74" t="s">
        <v>2425</v>
      </c>
      <c r="BS74" t="s">
        <v>866</v>
      </c>
      <c r="BT74" t="s">
        <v>866</v>
      </c>
      <c r="BU74" t="s">
        <v>866</v>
      </c>
      <c r="IF74" t="s">
        <v>2442</v>
      </c>
      <c r="IG74" s="75" t="s">
        <v>2426</v>
      </c>
      <c r="IH74" t="s">
        <v>542</v>
      </c>
      <c r="II74" t="s">
        <v>543</v>
      </c>
      <c r="IJ74" t="s">
        <v>1049</v>
      </c>
      <c r="IK74" t="s">
        <v>1049</v>
      </c>
      <c r="IL74" s="78" t="s">
        <v>480</v>
      </c>
      <c r="JH74" t="s">
        <v>2412</v>
      </c>
      <c r="JI74" t="s">
        <v>494</v>
      </c>
      <c r="JJ74" t="s">
        <v>495</v>
      </c>
      <c r="JK74" s="8" t="s">
        <v>1466</v>
      </c>
      <c r="JN74" t="s">
        <v>508</v>
      </c>
      <c r="JO74">
        <v>40</v>
      </c>
      <c r="JP74">
        <v>50</v>
      </c>
      <c r="KD74" t="s">
        <v>500</v>
      </c>
      <c r="MR74" t="s">
        <v>2413</v>
      </c>
      <c r="MS74">
        <v>36</v>
      </c>
      <c r="NC74" t="s">
        <v>2494</v>
      </c>
      <c r="ND74" t="s">
        <v>1061</v>
      </c>
      <c r="NF74" t="s">
        <v>625</v>
      </c>
      <c r="NG74" t="s">
        <v>516</v>
      </c>
      <c r="NP74" t="s">
        <v>518</v>
      </c>
      <c r="NQ74">
        <v>615.9</v>
      </c>
      <c r="NR74" s="4" t="s">
        <v>520</v>
      </c>
      <c r="NS74">
        <v>6</v>
      </c>
      <c r="NV74">
        <v>4</v>
      </c>
      <c r="OG74" t="s">
        <v>2418</v>
      </c>
      <c r="OH74" s="78" t="s">
        <v>475</v>
      </c>
      <c r="OI74">
        <v>2007</v>
      </c>
      <c r="OL74" t="s">
        <v>2419</v>
      </c>
      <c r="ON74" t="s">
        <v>522</v>
      </c>
      <c r="OO74" s="50">
        <v>46105</v>
      </c>
    </row>
    <row r="75" spans="1:405" ht="15.75" thickBot="1">
      <c r="A75" t="s">
        <v>469</v>
      </c>
      <c r="B75" t="s">
        <v>2406</v>
      </c>
      <c r="C75" t="s">
        <v>667</v>
      </c>
      <c r="D75" s="89" t="s">
        <v>1179</v>
      </c>
      <c r="E75" s="81" t="s">
        <v>2407</v>
      </c>
      <c r="F75" s="89" t="s">
        <v>1179</v>
      </c>
      <c r="G75" s="78" t="s">
        <v>475</v>
      </c>
      <c r="H75" s="78" t="s">
        <v>476</v>
      </c>
      <c r="I75">
        <v>-0.41666666699999999</v>
      </c>
      <c r="J75">
        <v>34.200000000000003</v>
      </c>
      <c r="K75" s="78" t="s">
        <v>480</v>
      </c>
      <c r="AV75" t="s">
        <v>2408</v>
      </c>
      <c r="AW75">
        <v>41</v>
      </c>
      <c r="AX75" t="s">
        <v>866</v>
      </c>
      <c r="AY75">
        <v>1</v>
      </c>
      <c r="AZ75" t="s">
        <v>2447</v>
      </c>
      <c r="BA75">
        <v>2007</v>
      </c>
      <c r="BB75">
        <v>2008</v>
      </c>
      <c r="BD75" t="s">
        <v>492</v>
      </c>
      <c r="BE75" t="s">
        <v>2410</v>
      </c>
      <c r="BF75" t="s">
        <v>524</v>
      </c>
      <c r="BH75" t="s">
        <v>485</v>
      </c>
      <c r="BI75" t="s">
        <v>2411</v>
      </c>
      <c r="BJ75" s="78" t="s">
        <v>486</v>
      </c>
      <c r="BK75">
        <v>44444</v>
      </c>
      <c r="IF75" t="s">
        <v>2410</v>
      </c>
      <c r="IG75" t="s">
        <v>492</v>
      </c>
      <c r="JH75" t="s">
        <v>2412</v>
      </c>
      <c r="JI75" t="s">
        <v>494</v>
      </c>
      <c r="JJ75" t="s">
        <v>495</v>
      </c>
      <c r="JK75" s="8" t="s">
        <v>1466</v>
      </c>
      <c r="JN75" t="s">
        <v>508</v>
      </c>
      <c r="JO75">
        <v>40</v>
      </c>
      <c r="JP75">
        <v>50</v>
      </c>
      <c r="KD75" t="s">
        <v>500</v>
      </c>
      <c r="MR75" t="s">
        <v>2413</v>
      </c>
      <c r="MS75">
        <v>36</v>
      </c>
      <c r="NC75" t="s">
        <v>2493</v>
      </c>
      <c r="ND75" t="s">
        <v>1061</v>
      </c>
      <c r="NF75" t="s">
        <v>625</v>
      </c>
      <c r="NG75" t="s">
        <v>516</v>
      </c>
      <c r="NP75" t="s">
        <v>518</v>
      </c>
      <c r="NQ75">
        <v>311.2</v>
      </c>
      <c r="NR75" s="4" t="s">
        <v>520</v>
      </c>
      <c r="NS75">
        <v>4</v>
      </c>
      <c r="NV75">
        <v>4</v>
      </c>
      <c r="OG75" t="s">
        <v>2418</v>
      </c>
      <c r="OH75" s="78" t="s">
        <v>475</v>
      </c>
      <c r="OI75">
        <v>2008</v>
      </c>
      <c r="OL75" t="s">
        <v>2448</v>
      </c>
      <c r="ON75" t="s">
        <v>522</v>
      </c>
      <c r="OO75" s="50">
        <v>46105</v>
      </c>
    </row>
    <row r="76" spans="1:405" ht="15.75" thickBot="1">
      <c r="A76" t="s">
        <v>469</v>
      </c>
      <c r="B76" t="s">
        <v>2406</v>
      </c>
      <c r="C76" t="s">
        <v>667</v>
      </c>
      <c r="D76" s="89" t="s">
        <v>1179</v>
      </c>
      <c r="E76" s="81" t="s">
        <v>2407</v>
      </c>
      <c r="F76" s="89" t="s">
        <v>1179</v>
      </c>
      <c r="G76" s="78" t="s">
        <v>475</v>
      </c>
      <c r="H76" s="78" t="s">
        <v>476</v>
      </c>
      <c r="I76">
        <v>-0.41666666699999999</v>
      </c>
      <c r="J76">
        <v>34.200000000000003</v>
      </c>
      <c r="K76" s="78" t="s">
        <v>480</v>
      </c>
      <c r="AV76" t="s">
        <v>2408</v>
      </c>
      <c r="AW76">
        <v>42</v>
      </c>
      <c r="AX76" t="s">
        <v>866</v>
      </c>
      <c r="AY76">
        <v>1</v>
      </c>
      <c r="AZ76" t="s">
        <v>2447</v>
      </c>
      <c r="BA76">
        <v>2007</v>
      </c>
      <c r="BB76">
        <v>2008</v>
      </c>
      <c r="BD76" t="s">
        <v>998</v>
      </c>
      <c r="BE76" t="s">
        <v>2420</v>
      </c>
      <c r="BF76" t="s">
        <v>536</v>
      </c>
      <c r="BH76" t="s">
        <v>485</v>
      </c>
      <c r="BI76" t="s">
        <v>2411</v>
      </c>
      <c r="BJ76" s="78" t="s">
        <v>486</v>
      </c>
      <c r="BK76">
        <v>44444</v>
      </c>
      <c r="BL76" t="s">
        <v>537</v>
      </c>
      <c r="BM76" t="s">
        <v>1425</v>
      </c>
      <c r="BN76" t="s">
        <v>2421</v>
      </c>
      <c r="BO76" s="78" t="s">
        <v>486</v>
      </c>
      <c r="BP76">
        <v>44444</v>
      </c>
      <c r="IF76" t="s">
        <v>2420</v>
      </c>
      <c r="IG76" s="75" t="s">
        <v>1714</v>
      </c>
      <c r="IH76" t="s">
        <v>542</v>
      </c>
      <c r="II76" t="s">
        <v>543</v>
      </c>
      <c r="IJ76" t="s">
        <v>1049</v>
      </c>
      <c r="IK76" t="s">
        <v>1049</v>
      </c>
      <c r="IL76" s="78" t="s">
        <v>480</v>
      </c>
      <c r="JH76" t="s">
        <v>2412</v>
      </c>
      <c r="JI76" t="s">
        <v>494</v>
      </c>
      <c r="JJ76" t="s">
        <v>495</v>
      </c>
      <c r="JK76" s="8" t="s">
        <v>1466</v>
      </c>
      <c r="JN76" t="s">
        <v>508</v>
      </c>
      <c r="JO76">
        <v>40</v>
      </c>
      <c r="JP76">
        <v>50</v>
      </c>
      <c r="KD76" t="s">
        <v>500</v>
      </c>
      <c r="MR76" t="s">
        <v>2413</v>
      </c>
      <c r="MS76">
        <v>36</v>
      </c>
      <c r="NC76" t="s">
        <v>2494</v>
      </c>
      <c r="ND76" t="s">
        <v>1061</v>
      </c>
      <c r="NF76" t="s">
        <v>625</v>
      </c>
      <c r="NG76" t="s">
        <v>516</v>
      </c>
      <c r="NP76" t="s">
        <v>518</v>
      </c>
      <c r="NQ76">
        <v>412.8</v>
      </c>
      <c r="NR76" s="4" t="s">
        <v>520</v>
      </c>
      <c r="NS76">
        <v>14</v>
      </c>
      <c r="NV76">
        <v>4</v>
      </c>
      <c r="OG76" t="s">
        <v>2418</v>
      </c>
      <c r="OH76" s="78" t="s">
        <v>475</v>
      </c>
      <c r="OI76">
        <v>2008</v>
      </c>
      <c r="OL76" t="s">
        <v>2448</v>
      </c>
      <c r="ON76" t="s">
        <v>522</v>
      </c>
      <c r="OO76" s="50">
        <v>46105</v>
      </c>
    </row>
    <row r="77" spans="1:405" ht="15.75" thickBot="1">
      <c r="A77" t="s">
        <v>469</v>
      </c>
      <c r="B77" t="s">
        <v>2406</v>
      </c>
      <c r="C77" t="s">
        <v>667</v>
      </c>
      <c r="D77" s="89" t="s">
        <v>1179</v>
      </c>
      <c r="E77" s="81" t="s">
        <v>2407</v>
      </c>
      <c r="F77" s="89" t="s">
        <v>1179</v>
      </c>
      <c r="G77" s="78" t="s">
        <v>475</v>
      </c>
      <c r="H77" s="78" t="s">
        <v>476</v>
      </c>
      <c r="I77">
        <v>-0.41666666699999999</v>
      </c>
      <c r="J77">
        <v>34.200000000000003</v>
      </c>
      <c r="K77" s="78" t="s">
        <v>480</v>
      </c>
      <c r="AV77" t="s">
        <v>2408</v>
      </c>
      <c r="AW77">
        <v>43</v>
      </c>
      <c r="AX77" t="s">
        <v>866</v>
      </c>
      <c r="AY77">
        <v>1</v>
      </c>
      <c r="AZ77" t="s">
        <v>2447</v>
      </c>
      <c r="BA77">
        <v>2007</v>
      </c>
      <c r="BB77">
        <v>2008</v>
      </c>
      <c r="BD77" t="s">
        <v>998</v>
      </c>
      <c r="BE77" t="s">
        <v>2424</v>
      </c>
      <c r="BF77" t="s">
        <v>566</v>
      </c>
      <c r="BH77" t="s">
        <v>485</v>
      </c>
      <c r="BI77" t="s">
        <v>2411</v>
      </c>
      <c r="BJ77" s="78" t="s">
        <v>486</v>
      </c>
      <c r="BK77">
        <v>44444</v>
      </c>
      <c r="BL77" t="s">
        <v>537</v>
      </c>
      <c r="BM77" t="s">
        <v>2425</v>
      </c>
      <c r="BN77" t="s">
        <v>866</v>
      </c>
      <c r="BO77" t="s">
        <v>866</v>
      </c>
      <c r="BP77" t="s">
        <v>866</v>
      </c>
      <c r="IF77" t="s">
        <v>2424</v>
      </c>
      <c r="IG77" s="75" t="s">
        <v>2426</v>
      </c>
      <c r="IH77" t="s">
        <v>542</v>
      </c>
      <c r="II77" t="s">
        <v>543</v>
      </c>
      <c r="IJ77" t="s">
        <v>1049</v>
      </c>
      <c r="IK77" t="s">
        <v>1049</v>
      </c>
      <c r="IL77" s="78" t="s">
        <v>480</v>
      </c>
      <c r="JH77" t="s">
        <v>2412</v>
      </c>
      <c r="JI77" t="s">
        <v>494</v>
      </c>
      <c r="JJ77" t="s">
        <v>495</v>
      </c>
      <c r="JK77" s="8" t="s">
        <v>1466</v>
      </c>
      <c r="JN77" t="s">
        <v>508</v>
      </c>
      <c r="JO77">
        <v>40</v>
      </c>
      <c r="JP77">
        <v>50</v>
      </c>
      <c r="KD77" t="s">
        <v>500</v>
      </c>
      <c r="MR77" t="s">
        <v>2413</v>
      </c>
      <c r="MS77">
        <v>36</v>
      </c>
      <c r="NC77" t="s">
        <v>2494</v>
      </c>
      <c r="ND77" t="s">
        <v>1061</v>
      </c>
      <c r="NF77" t="s">
        <v>625</v>
      </c>
      <c r="NG77" t="s">
        <v>516</v>
      </c>
      <c r="NP77" t="s">
        <v>518</v>
      </c>
      <c r="NQ77">
        <v>494.4</v>
      </c>
      <c r="NR77" s="4" t="s">
        <v>520</v>
      </c>
      <c r="NS77">
        <v>6</v>
      </c>
      <c r="NV77">
        <v>4</v>
      </c>
      <c r="OG77" t="s">
        <v>2418</v>
      </c>
      <c r="OH77" s="78" t="s">
        <v>475</v>
      </c>
      <c r="OI77">
        <v>2008</v>
      </c>
      <c r="OL77" t="s">
        <v>2448</v>
      </c>
      <c r="ON77" t="s">
        <v>522</v>
      </c>
      <c r="OO77" s="50">
        <v>46105</v>
      </c>
    </row>
    <row r="78" spans="1:405" ht="15.75" thickBot="1">
      <c r="A78" t="s">
        <v>469</v>
      </c>
      <c r="B78" t="s">
        <v>2406</v>
      </c>
      <c r="C78" t="s">
        <v>667</v>
      </c>
      <c r="D78" s="89" t="s">
        <v>1179</v>
      </c>
      <c r="E78" s="81" t="s">
        <v>2407</v>
      </c>
      <c r="F78" s="89" t="s">
        <v>1179</v>
      </c>
      <c r="G78" s="78" t="s">
        <v>475</v>
      </c>
      <c r="H78" s="78" t="s">
        <v>476</v>
      </c>
      <c r="I78">
        <v>-0.41666666699999999</v>
      </c>
      <c r="J78">
        <v>34.200000000000003</v>
      </c>
      <c r="K78" s="78" t="s">
        <v>480</v>
      </c>
      <c r="AV78" t="s">
        <v>2408</v>
      </c>
      <c r="AW78">
        <v>44</v>
      </c>
      <c r="AX78" t="s">
        <v>866</v>
      </c>
      <c r="AY78">
        <v>1</v>
      </c>
      <c r="AZ78" t="s">
        <v>2447</v>
      </c>
      <c r="BA78">
        <v>2007</v>
      </c>
      <c r="BB78">
        <v>2008</v>
      </c>
      <c r="BD78" t="s">
        <v>998</v>
      </c>
      <c r="BE78" t="s">
        <v>2430</v>
      </c>
      <c r="BF78" t="s">
        <v>572</v>
      </c>
      <c r="BH78" t="s">
        <v>485</v>
      </c>
      <c r="BI78" t="s">
        <v>2411</v>
      </c>
      <c r="BJ78" s="78" t="s">
        <v>486</v>
      </c>
      <c r="BK78">
        <v>44444</v>
      </c>
      <c r="BL78" t="s">
        <v>537</v>
      </c>
      <c r="BM78" t="s">
        <v>1425</v>
      </c>
      <c r="BN78" t="s">
        <v>2421</v>
      </c>
      <c r="BO78" s="78" t="s">
        <v>486</v>
      </c>
      <c r="BP78">
        <v>44444</v>
      </c>
      <c r="BQ78" t="s">
        <v>537</v>
      </c>
      <c r="BR78" t="s">
        <v>2425</v>
      </c>
      <c r="BS78" t="s">
        <v>866</v>
      </c>
      <c r="BT78" t="s">
        <v>866</v>
      </c>
      <c r="BU78" t="s">
        <v>866</v>
      </c>
      <c r="IF78" t="s">
        <v>2430</v>
      </c>
      <c r="IG78" s="75" t="s">
        <v>2426</v>
      </c>
      <c r="IH78" t="s">
        <v>542</v>
      </c>
      <c r="II78" t="s">
        <v>543</v>
      </c>
      <c r="IJ78" t="s">
        <v>1049</v>
      </c>
      <c r="IK78" t="s">
        <v>1049</v>
      </c>
      <c r="IL78" s="78" t="s">
        <v>480</v>
      </c>
      <c r="JH78" t="s">
        <v>2412</v>
      </c>
      <c r="JI78" t="s">
        <v>494</v>
      </c>
      <c r="JJ78" t="s">
        <v>495</v>
      </c>
      <c r="JK78" s="8" t="s">
        <v>1466</v>
      </c>
      <c r="JN78" t="s">
        <v>508</v>
      </c>
      <c r="JO78">
        <v>40</v>
      </c>
      <c r="JP78">
        <v>50</v>
      </c>
      <c r="KD78" t="s">
        <v>500</v>
      </c>
      <c r="MR78" t="s">
        <v>2413</v>
      </c>
      <c r="MS78">
        <v>36</v>
      </c>
      <c r="NC78" t="s">
        <v>2494</v>
      </c>
      <c r="ND78" t="s">
        <v>1061</v>
      </c>
      <c r="NF78" t="s">
        <v>625</v>
      </c>
      <c r="NG78" t="s">
        <v>516</v>
      </c>
      <c r="NP78" t="s">
        <v>518</v>
      </c>
      <c r="NQ78">
        <v>568.29999999999995</v>
      </c>
      <c r="NR78" s="4" t="s">
        <v>520</v>
      </c>
      <c r="NS78">
        <v>6</v>
      </c>
      <c r="NV78">
        <v>4</v>
      </c>
      <c r="OG78" t="s">
        <v>2418</v>
      </c>
      <c r="OH78" s="78" t="s">
        <v>475</v>
      </c>
      <c r="OI78">
        <v>2008</v>
      </c>
      <c r="OL78" t="s">
        <v>2448</v>
      </c>
      <c r="ON78" t="s">
        <v>522</v>
      </c>
      <c r="OO78" s="50">
        <v>46105</v>
      </c>
    </row>
    <row r="79" spans="1:405" ht="15.75" thickBot="1">
      <c r="A79" t="s">
        <v>469</v>
      </c>
      <c r="B79" t="s">
        <v>2406</v>
      </c>
      <c r="C79" t="s">
        <v>667</v>
      </c>
      <c r="D79" s="89" t="s">
        <v>1179</v>
      </c>
      <c r="E79" s="81" t="s">
        <v>2407</v>
      </c>
      <c r="F79" s="89" t="s">
        <v>1179</v>
      </c>
      <c r="G79" s="78" t="s">
        <v>475</v>
      </c>
      <c r="H79" s="78" t="s">
        <v>476</v>
      </c>
      <c r="I79">
        <v>-0.41666666699999999</v>
      </c>
      <c r="J79">
        <v>34.200000000000003</v>
      </c>
      <c r="K79" s="78" t="s">
        <v>480</v>
      </c>
      <c r="AV79" t="s">
        <v>2408</v>
      </c>
      <c r="AW79">
        <v>45</v>
      </c>
      <c r="AX79" t="s">
        <v>866</v>
      </c>
      <c r="AY79">
        <v>1</v>
      </c>
      <c r="AZ79" t="s">
        <v>2447</v>
      </c>
      <c r="BA79">
        <v>2007</v>
      </c>
      <c r="BB79">
        <v>2008</v>
      </c>
      <c r="BD79" t="s">
        <v>998</v>
      </c>
      <c r="BE79" t="s">
        <v>2442</v>
      </c>
      <c r="BF79" t="s">
        <v>553</v>
      </c>
      <c r="BH79" t="s">
        <v>485</v>
      </c>
      <c r="BI79" t="s">
        <v>2411</v>
      </c>
      <c r="BJ79" s="78" t="s">
        <v>486</v>
      </c>
      <c r="BK79">
        <v>44444</v>
      </c>
      <c r="BL79" t="s">
        <v>537</v>
      </c>
      <c r="BM79" t="s">
        <v>1425</v>
      </c>
      <c r="BN79" t="s">
        <v>2421</v>
      </c>
      <c r="BO79" s="78" t="s">
        <v>486</v>
      </c>
      <c r="BP79">
        <v>44444</v>
      </c>
      <c r="BQ79" t="s">
        <v>537</v>
      </c>
      <c r="BR79" t="s">
        <v>2425</v>
      </c>
      <c r="BS79" t="s">
        <v>866</v>
      </c>
      <c r="BT79" t="s">
        <v>866</v>
      </c>
      <c r="BU79" t="s">
        <v>866</v>
      </c>
      <c r="IF79" t="s">
        <v>2442</v>
      </c>
      <c r="IG79" s="75" t="s">
        <v>2426</v>
      </c>
      <c r="IH79" t="s">
        <v>542</v>
      </c>
      <c r="II79" t="s">
        <v>543</v>
      </c>
      <c r="IJ79" t="s">
        <v>1049</v>
      </c>
      <c r="IK79" t="s">
        <v>1049</v>
      </c>
      <c r="IL79" s="78" t="s">
        <v>480</v>
      </c>
      <c r="JH79" t="s">
        <v>2412</v>
      </c>
      <c r="JI79" t="s">
        <v>494</v>
      </c>
      <c r="JJ79" t="s">
        <v>495</v>
      </c>
      <c r="JK79" s="8" t="s">
        <v>1466</v>
      </c>
      <c r="JN79" t="s">
        <v>508</v>
      </c>
      <c r="JO79">
        <v>40</v>
      </c>
      <c r="JP79">
        <v>50</v>
      </c>
      <c r="KD79" t="s">
        <v>500</v>
      </c>
      <c r="MR79" t="s">
        <v>2413</v>
      </c>
      <c r="MS79">
        <v>36</v>
      </c>
      <c r="NC79" t="s">
        <v>2494</v>
      </c>
      <c r="ND79" t="s">
        <v>1061</v>
      </c>
      <c r="NF79" t="s">
        <v>625</v>
      </c>
      <c r="NG79" t="s">
        <v>516</v>
      </c>
      <c r="NP79" t="s">
        <v>518</v>
      </c>
      <c r="NQ79">
        <v>629.29999999999995</v>
      </c>
      <c r="NR79" s="4" t="s">
        <v>520</v>
      </c>
      <c r="NS79">
        <v>5</v>
      </c>
      <c r="NV79">
        <v>4</v>
      </c>
      <c r="OG79" t="s">
        <v>2418</v>
      </c>
      <c r="OH79" s="78" t="s">
        <v>475</v>
      </c>
      <c r="OI79">
        <v>2008</v>
      </c>
      <c r="OL79" t="s">
        <v>2448</v>
      </c>
      <c r="ON79" t="s">
        <v>522</v>
      </c>
      <c r="OO79" s="50">
        <v>46105</v>
      </c>
    </row>
    <row r="80" spans="1:405" ht="15.75" thickBot="1">
      <c r="A80" t="s">
        <v>469</v>
      </c>
      <c r="B80" t="s">
        <v>2406</v>
      </c>
      <c r="C80" t="s">
        <v>667</v>
      </c>
      <c r="D80" s="89" t="s">
        <v>1179</v>
      </c>
      <c r="E80" s="81" t="s">
        <v>2407</v>
      </c>
      <c r="F80" s="89" t="s">
        <v>1179</v>
      </c>
      <c r="G80" s="78" t="s">
        <v>475</v>
      </c>
      <c r="H80" s="78" t="s">
        <v>476</v>
      </c>
      <c r="I80">
        <v>-0.41666666699999999</v>
      </c>
      <c r="J80">
        <v>34.200000000000003</v>
      </c>
      <c r="K80" s="78" t="s">
        <v>480</v>
      </c>
      <c r="AV80" t="s">
        <v>2408</v>
      </c>
      <c r="AW80">
        <v>46</v>
      </c>
      <c r="AX80" t="s">
        <v>866</v>
      </c>
      <c r="AY80">
        <v>1</v>
      </c>
      <c r="AZ80" t="s">
        <v>2466</v>
      </c>
      <c r="BA80">
        <v>2007</v>
      </c>
      <c r="BB80">
        <v>2008</v>
      </c>
      <c r="BD80" t="s">
        <v>492</v>
      </c>
      <c r="BE80" t="s">
        <v>2467</v>
      </c>
      <c r="BF80" t="s">
        <v>483</v>
      </c>
      <c r="BH80" t="s">
        <v>485</v>
      </c>
      <c r="BI80" t="s">
        <v>2411</v>
      </c>
      <c r="BJ80" s="78" t="s">
        <v>486</v>
      </c>
      <c r="BK80">
        <v>44444</v>
      </c>
      <c r="IF80" t="s">
        <v>2467</v>
      </c>
      <c r="IG80" t="s">
        <v>492</v>
      </c>
      <c r="JH80" t="s">
        <v>2412</v>
      </c>
      <c r="JI80" t="s">
        <v>494</v>
      </c>
      <c r="JJ80" t="s">
        <v>495</v>
      </c>
      <c r="JK80" s="8" t="s">
        <v>1466</v>
      </c>
      <c r="JN80" t="s">
        <v>508</v>
      </c>
      <c r="JO80">
        <v>40</v>
      </c>
      <c r="JP80">
        <v>50</v>
      </c>
      <c r="KD80" t="s">
        <v>500</v>
      </c>
      <c r="MR80" t="s">
        <v>2413</v>
      </c>
      <c r="MS80">
        <v>36</v>
      </c>
      <c r="NC80" t="s">
        <v>2493</v>
      </c>
      <c r="ND80" t="s">
        <v>1061</v>
      </c>
      <c r="NF80" t="s">
        <v>625</v>
      </c>
      <c r="NG80" t="s">
        <v>516</v>
      </c>
      <c r="NP80" t="s">
        <v>518</v>
      </c>
      <c r="NQ80">
        <v>263.2</v>
      </c>
      <c r="NR80" s="4" t="s">
        <v>520</v>
      </c>
      <c r="NS80">
        <v>7</v>
      </c>
      <c r="NV80">
        <v>4</v>
      </c>
      <c r="OG80" t="s">
        <v>2468</v>
      </c>
      <c r="OH80" s="78" t="s">
        <v>475</v>
      </c>
      <c r="OI80">
        <v>2007</v>
      </c>
      <c r="OL80" t="s">
        <v>2448</v>
      </c>
      <c r="ON80" t="s">
        <v>522</v>
      </c>
      <c r="OO80" s="50">
        <v>46105</v>
      </c>
    </row>
    <row r="81" spans="1:405" ht="15.75" thickBot="1">
      <c r="A81" t="s">
        <v>469</v>
      </c>
      <c r="B81" t="s">
        <v>2406</v>
      </c>
      <c r="C81" t="s">
        <v>667</v>
      </c>
      <c r="D81" s="89" t="s">
        <v>1179</v>
      </c>
      <c r="E81" s="81" t="s">
        <v>2407</v>
      </c>
      <c r="F81" s="89" t="s">
        <v>1179</v>
      </c>
      <c r="G81" s="78" t="s">
        <v>475</v>
      </c>
      <c r="H81" s="78" t="s">
        <v>476</v>
      </c>
      <c r="I81">
        <v>-0.41666666699999999</v>
      </c>
      <c r="J81">
        <v>34.200000000000003</v>
      </c>
      <c r="K81" s="78" t="s">
        <v>480</v>
      </c>
      <c r="AV81" t="s">
        <v>2408</v>
      </c>
      <c r="AW81">
        <v>47</v>
      </c>
      <c r="AX81" t="s">
        <v>866</v>
      </c>
      <c r="AY81">
        <v>1</v>
      </c>
      <c r="AZ81" t="s">
        <v>2466</v>
      </c>
      <c r="BA81">
        <v>2007</v>
      </c>
      <c r="BB81">
        <v>2008</v>
      </c>
      <c r="BD81" t="s">
        <v>998</v>
      </c>
      <c r="BE81" t="s">
        <v>2472</v>
      </c>
      <c r="BF81" t="s">
        <v>607</v>
      </c>
      <c r="BH81" t="s">
        <v>485</v>
      </c>
      <c r="BI81" t="s">
        <v>2411</v>
      </c>
      <c r="BJ81" s="78" t="s">
        <v>486</v>
      </c>
      <c r="BK81">
        <v>44444</v>
      </c>
      <c r="BL81" t="s">
        <v>537</v>
      </c>
      <c r="BM81" t="s">
        <v>1425</v>
      </c>
      <c r="BN81" t="s">
        <v>2421</v>
      </c>
      <c r="BO81" s="78" t="s">
        <v>486</v>
      </c>
      <c r="BP81">
        <v>44444</v>
      </c>
      <c r="IF81" t="s">
        <v>2472</v>
      </c>
      <c r="IG81" s="75" t="s">
        <v>1714</v>
      </c>
      <c r="IH81" t="s">
        <v>542</v>
      </c>
      <c r="II81" t="s">
        <v>543</v>
      </c>
      <c r="IJ81" t="s">
        <v>1049</v>
      </c>
      <c r="IK81" t="s">
        <v>1049</v>
      </c>
      <c r="IL81" s="78" t="s">
        <v>480</v>
      </c>
      <c r="JH81" t="s">
        <v>2412</v>
      </c>
      <c r="JI81" t="s">
        <v>494</v>
      </c>
      <c r="JJ81" t="s">
        <v>495</v>
      </c>
      <c r="JK81" s="8" t="s">
        <v>1466</v>
      </c>
      <c r="JN81" t="s">
        <v>508</v>
      </c>
      <c r="JO81">
        <v>40</v>
      </c>
      <c r="JP81">
        <v>50</v>
      </c>
      <c r="KD81" t="s">
        <v>500</v>
      </c>
      <c r="MR81" t="s">
        <v>2413</v>
      </c>
      <c r="MS81">
        <v>36</v>
      </c>
      <c r="NC81" t="s">
        <v>2494</v>
      </c>
      <c r="ND81" t="s">
        <v>1061</v>
      </c>
      <c r="NF81" t="s">
        <v>625</v>
      </c>
      <c r="NG81" t="s">
        <v>516</v>
      </c>
      <c r="NP81" t="s">
        <v>518</v>
      </c>
      <c r="NQ81">
        <v>390.3</v>
      </c>
      <c r="NR81" s="4" t="s">
        <v>520</v>
      </c>
      <c r="NS81">
        <v>7</v>
      </c>
      <c r="NV81">
        <v>4</v>
      </c>
      <c r="OG81" t="s">
        <v>2468</v>
      </c>
      <c r="OH81" s="78" t="s">
        <v>475</v>
      </c>
      <c r="OI81">
        <v>2007</v>
      </c>
      <c r="OL81" t="s">
        <v>2448</v>
      </c>
      <c r="ON81" t="s">
        <v>522</v>
      </c>
      <c r="OO81" s="50">
        <v>46105</v>
      </c>
    </row>
    <row r="82" spans="1:405" ht="15.75" thickBot="1">
      <c r="A82" t="s">
        <v>469</v>
      </c>
      <c r="B82" t="s">
        <v>2406</v>
      </c>
      <c r="C82" t="s">
        <v>667</v>
      </c>
      <c r="D82" s="89" t="s">
        <v>1179</v>
      </c>
      <c r="E82" s="81" t="s">
        <v>2407</v>
      </c>
      <c r="F82" s="89" t="s">
        <v>1179</v>
      </c>
      <c r="G82" s="78" t="s">
        <v>475</v>
      </c>
      <c r="H82" s="78" t="s">
        <v>476</v>
      </c>
      <c r="I82">
        <v>-0.41666666699999999</v>
      </c>
      <c r="J82">
        <v>34.200000000000003</v>
      </c>
      <c r="K82" s="78" t="s">
        <v>480</v>
      </c>
      <c r="AV82" t="s">
        <v>2408</v>
      </c>
      <c r="AW82">
        <v>48</v>
      </c>
      <c r="AX82" t="s">
        <v>866</v>
      </c>
      <c r="AY82">
        <v>1</v>
      </c>
      <c r="AZ82" t="s">
        <v>2466</v>
      </c>
      <c r="BA82">
        <v>2007</v>
      </c>
      <c r="BB82">
        <v>2008</v>
      </c>
      <c r="BD82" t="s">
        <v>998</v>
      </c>
      <c r="BE82" t="s">
        <v>2476</v>
      </c>
      <c r="BF82" t="s">
        <v>611</v>
      </c>
      <c r="BH82" t="s">
        <v>485</v>
      </c>
      <c r="BI82" t="s">
        <v>2411</v>
      </c>
      <c r="BJ82" s="78" t="s">
        <v>486</v>
      </c>
      <c r="BK82">
        <v>44444</v>
      </c>
      <c r="BL82" t="s">
        <v>537</v>
      </c>
      <c r="BM82" t="s">
        <v>2425</v>
      </c>
      <c r="BN82" t="s">
        <v>866</v>
      </c>
      <c r="BO82" t="s">
        <v>866</v>
      </c>
      <c r="BP82" t="s">
        <v>866</v>
      </c>
      <c r="IF82" t="s">
        <v>2476</v>
      </c>
      <c r="IG82" s="75" t="s">
        <v>2426</v>
      </c>
      <c r="IH82" t="s">
        <v>542</v>
      </c>
      <c r="II82" t="s">
        <v>543</v>
      </c>
      <c r="IJ82" t="s">
        <v>1049</v>
      </c>
      <c r="IK82" t="s">
        <v>1049</v>
      </c>
      <c r="IL82" s="78" t="s">
        <v>480</v>
      </c>
      <c r="JH82" t="s">
        <v>2412</v>
      </c>
      <c r="JI82" t="s">
        <v>494</v>
      </c>
      <c r="JJ82" t="s">
        <v>495</v>
      </c>
      <c r="JK82" s="8" t="s">
        <v>1466</v>
      </c>
      <c r="JN82" t="s">
        <v>508</v>
      </c>
      <c r="JO82">
        <v>40</v>
      </c>
      <c r="JP82">
        <v>50</v>
      </c>
      <c r="KD82" t="s">
        <v>500</v>
      </c>
      <c r="MR82" t="s">
        <v>2413</v>
      </c>
      <c r="MS82">
        <v>36</v>
      </c>
      <c r="NC82" t="s">
        <v>2494</v>
      </c>
      <c r="ND82" t="s">
        <v>1061</v>
      </c>
      <c r="NF82" t="s">
        <v>625</v>
      </c>
      <c r="NG82" t="s">
        <v>516</v>
      </c>
      <c r="NP82" t="s">
        <v>518</v>
      </c>
      <c r="NQ82">
        <v>488.4</v>
      </c>
      <c r="NR82" s="4" t="s">
        <v>520</v>
      </c>
      <c r="NS82">
        <v>7</v>
      </c>
      <c r="NV82">
        <v>4</v>
      </c>
      <c r="OG82" t="s">
        <v>2468</v>
      </c>
      <c r="OH82" s="78" t="s">
        <v>475</v>
      </c>
      <c r="OI82">
        <v>2007</v>
      </c>
      <c r="OL82" t="s">
        <v>2448</v>
      </c>
      <c r="ON82" t="s">
        <v>522</v>
      </c>
      <c r="OO82" s="50">
        <v>46105</v>
      </c>
    </row>
    <row r="83" spans="1:405" ht="15.75" thickBot="1">
      <c r="A83" t="s">
        <v>469</v>
      </c>
      <c r="B83" t="s">
        <v>2406</v>
      </c>
      <c r="C83" t="s">
        <v>667</v>
      </c>
      <c r="D83" s="89" t="s">
        <v>1179</v>
      </c>
      <c r="E83" s="81" t="s">
        <v>2407</v>
      </c>
      <c r="F83" s="89" t="s">
        <v>1179</v>
      </c>
      <c r="G83" s="78" t="s">
        <v>475</v>
      </c>
      <c r="H83" s="78" t="s">
        <v>476</v>
      </c>
      <c r="I83">
        <v>-0.41666666699999999</v>
      </c>
      <c r="J83">
        <v>34.200000000000003</v>
      </c>
      <c r="K83" s="78" t="s">
        <v>480</v>
      </c>
      <c r="AV83" t="s">
        <v>2408</v>
      </c>
      <c r="AW83">
        <v>49</v>
      </c>
      <c r="AX83" t="s">
        <v>866</v>
      </c>
      <c r="AY83">
        <v>1</v>
      </c>
      <c r="AZ83" t="s">
        <v>2466</v>
      </c>
      <c r="BA83">
        <v>2007</v>
      </c>
      <c r="BB83">
        <v>2008</v>
      </c>
      <c r="BD83" t="s">
        <v>998</v>
      </c>
      <c r="BE83" t="s">
        <v>2480</v>
      </c>
      <c r="BF83" t="s">
        <v>615</v>
      </c>
      <c r="BH83" t="s">
        <v>485</v>
      </c>
      <c r="BI83" t="s">
        <v>2411</v>
      </c>
      <c r="BJ83" s="78" t="s">
        <v>486</v>
      </c>
      <c r="BK83">
        <v>44444</v>
      </c>
      <c r="BL83" t="s">
        <v>537</v>
      </c>
      <c r="BM83" t="s">
        <v>1425</v>
      </c>
      <c r="BN83" t="s">
        <v>2421</v>
      </c>
      <c r="BO83" s="78" t="s">
        <v>486</v>
      </c>
      <c r="BP83">
        <v>44444</v>
      </c>
      <c r="BQ83" t="s">
        <v>537</v>
      </c>
      <c r="BR83" t="s">
        <v>2425</v>
      </c>
      <c r="BS83" t="s">
        <v>866</v>
      </c>
      <c r="BT83" t="s">
        <v>866</v>
      </c>
      <c r="BU83" t="s">
        <v>866</v>
      </c>
      <c r="IF83" t="s">
        <v>2480</v>
      </c>
      <c r="IG83" s="75" t="s">
        <v>2426</v>
      </c>
      <c r="IH83" t="s">
        <v>542</v>
      </c>
      <c r="II83" t="s">
        <v>543</v>
      </c>
      <c r="IJ83" t="s">
        <v>1049</v>
      </c>
      <c r="IK83" t="s">
        <v>1049</v>
      </c>
      <c r="IL83" s="78" t="s">
        <v>480</v>
      </c>
      <c r="JH83" t="s">
        <v>2412</v>
      </c>
      <c r="JI83" t="s">
        <v>494</v>
      </c>
      <c r="JJ83" t="s">
        <v>495</v>
      </c>
      <c r="JK83" s="8" t="s">
        <v>1466</v>
      </c>
      <c r="JN83" t="s">
        <v>508</v>
      </c>
      <c r="JO83">
        <v>40</v>
      </c>
      <c r="JP83">
        <v>50</v>
      </c>
      <c r="KD83" t="s">
        <v>500</v>
      </c>
      <c r="MR83" t="s">
        <v>2413</v>
      </c>
      <c r="MS83">
        <v>36</v>
      </c>
      <c r="NC83" t="s">
        <v>2494</v>
      </c>
      <c r="ND83" t="s">
        <v>1061</v>
      </c>
      <c r="NF83" t="s">
        <v>625</v>
      </c>
      <c r="NG83" t="s">
        <v>516</v>
      </c>
      <c r="NP83" t="s">
        <v>518</v>
      </c>
      <c r="NQ83">
        <v>525</v>
      </c>
      <c r="NR83" s="4" t="s">
        <v>520</v>
      </c>
      <c r="NS83">
        <v>9</v>
      </c>
      <c r="NV83">
        <v>4</v>
      </c>
      <c r="OG83" t="s">
        <v>2468</v>
      </c>
      <c r="OH83" s="78" t="s">
        <v>475</v>
      </c>
      <c r="OI83">
        <v>2007</v>
      </c>
      <c r="OL83" t="s">
        <v>2448</v>
      </c>
      <c r="ON83" t="s">
        <v>522</v>
      </c>
      <c r="OO83" s="50">
        <v>46105</v>
      </c>
    </row>
    <row r="84" spans="1:405" ht="15.75" thickBot="1">
      <c r="A84" t="s">
        <v>469</v>
      </c>
      <c r="B84" t="s">
        <v>2406</v>
      </c>
      <c r="C84" t="s">
        <v>667</v>
      </c>
      <c r="D84" s="89" t="s">
        <v>1179</v>
      </c>
      <c r="E84" s="81" t="s">
        <v>2407</v>
      </c>
      <c r="F84" s="89" t="s">
        <v>1179</v>
      </c>
      <c r="G84" s="78" t="s">
        <v>475</v>
      </c>
      <c r="H84" s="78" t="s">
        <v>476</v>
      </c>
      <c r="I84">
        <v>-0.41666666699999999</v>
      </c>
      <c r="J84">
        <v>34.200000000000003</v>
      </c>
      <c r="K84" s="78" t="s">
        <v>480</v>
      </c>
      <c r="AV84" t="s">
        <v>2408</v>
      </c>
      <c r="AW84">
        <v>50</v>
      </c>
      <c r="AX84" t="s">
        <v>866</v>
      </c>
      <c r="AY84">
        <v>1</v>
      </c>
      <c r="AZ84" t="s">
        <v>2466</v>
      </c>
      <c r="BA84">
        <v>2007</v>
      </c>
      <c r="BB84">
        <v>2008</v>
      </c>
      <c r="BD84" t="s">
        <v>998</v>
      </c>
      <c r="BE84" t="s">
        <v>2484</v>
      </c>
      <c r="BF84" t="s">
        <v>617</v>
      </c>
      <c r="BH84" t="s">
        <v>485</v>
      </c>
      <c r="BI84" t="s">
        <v>2411</v>
      </c>
      <c r="BJ84" s="78" t="s">
        <v>486</v>
      </c>
      <c r="BK84">
        <v>44444</v>
      </c>
      <c r="BL84" t="s">
        <v>537</v>
      </c>
      <c r="BM84" t="s">
        <v>1425</v>
      </c>
      <c r="BN84" t="s">
        <v>2421</v>
      </c>
      <c r="BO84" s="78" t="s">
        <v>486</v>
      </c>
      <c r="BP84">
        <v>44444</v>
      </c>
      <c r="BQ84" t="s">
        <v>537</v>
      </c>
      <c r="BR84" t="s">
        <v>2425</v>
      </c>
      <c r="BS84" t="s">
        <v>866</v>
      </c>
      <c r="BT84" t="s">
        <v>866</v>
      </c>
      <c r="BU84" t="s">
        <v>866</v>
      </c>
      <c r="IF84" t="s">
        <v>2484</v>
      </c>
      <c r="IG84" s="75" t="s">
        <v>2426</v>
      </c>
      <c r="IH84" t="s">
        <v>542</v>
      </c>
      <c r="II84" t="s">
        <v>543</v>
      </c>
      <c r="IJ84" t="s">
        <v>1049</v>
      </c>
      <c r="IK84" t="s">
        <v>1049</v>
      </c>
      <c r="IL84" s="78" t="s">
        <v>480</v>
      </c>
      <c r="JH84" t="s">
        <v>2412</v>
      </c>
      <c r="JI84" t="s">
        <v>494</v>
      </c>
      <c r="JJ84" t="s">
        <v>495</v>
      </c>
      <c r="JK84" s="8" t="s">
        <v>1466</v>
      </c>
      <c r="JN84" t="s">
        <v>508</v>
      </c>
      <c r="JO84">
        <v>40</v>
      </c>
      <c r="JP84">
        <v>50</v>
      </c>
      <c r="KD84" t="s">
        <v>500</v>
      </c>
      <c r="MR84" t="s">
        <v>2413</v>
      </c>
      <c r="MS84">
        <v>36</v>
      </c>
      <c r="NC84" t="s">
        <v>2494</v>
      </c>
      <c r="ND84" t="s">
        <v>1061</v>
      </c>
      <c r="NF84" t="s">
        <v>625</v>
      </c>
      <c r="NG84" t="s">
        <v>516</v>
      </c>
      <c r="NP84" t="s">
        <v>518</v>
      </c>
      <c r="NQ84">
        <v>580.29999999999995</v>
      </c>
      <c r="NR84" s="4" t="s">
        <v>520</v>
      </c>
      <c r="NS84">
        <v>6</v>
      </c>
      <c r="NV84">
        <v>4</v>
      </c>
      <c r="OG84" t="s">
        <v>2468</v>
      </c>
      <c r="OH84" s="78" t="s">
        <v>475</v>
      </c>
      <c r="OI84">
        <v>2007</v>
      </c>
      <c r="OL84" t="s">
        <v>2448</v>
      </c>
      <c r="ON84" t="s">
        <v>522</v>
      </c>
      <c r="OO84" s="50">
        <v>46105</v>
      </c>
    </row>
    <row r="85" spans="1:405" ht="15.75" thickBot="1">
      <c r="A85" t="s">
        <v>469</v>
      </c>
      <c r="B85" t="s">
        <v>2406</v>
      </c>
      <c r="C85" t="s">
        <v>667</v>
      </c>
      <c r="D85" s="89" t="s">
        <v>1179</v>
      </c>
      <c r="E85" s="81" t="s">
        <v>2407</v>
      </c>
      <c r="F85" s="89" t="s">
        <v>1179</v>
      </c>
      <c r="G85" s="78" t="s">
        <v>475</v>
      </c>
      <c r="H85" s="78" t="s">
        <v>476</v>
      </c>
      <c r="I85">
        <v>-0.41666666699999999</v>
      </c>
      <c r="J85">
        <v>34.200000000000003</v>
      </c>
      <c r="K85" s="78" t="s">
        <v>480</v>
      </c>
      <c r="AV85" t="s">
        <v>2408</v>
      </c>
      <c r="AW85">
        <v>51</v>
      </c>
      <c r="AX85" t="s">
        <v>866</v>
      </c>
      <c r="AY85">
        <v>1</v>
      </c>
      <c r="AZ85" t="s">
        <v>2409</v>
      </c>
      <c r="BA85">
        <v>2007</v>
      </c>
      <c r="BB85">
        <v>2008</v>
      </c>
      <c r="BD85" t="s">
        <v>492</v>
      </c>
      <c r="BE85" t="s">
        <v>2467</v>
      </c>
      <c r="BF85" t="s">
        <v>483</v>
      </c>
      <c r="BH85" t="s">
        <v>485</v>
      </c>
      <c r="BI85" t="s">
        <v>2411</v>
      </c>
      <c r="BJ85" s="78" t="s">
        <v>486</v>
      </c>
      <c r="BK85">
        <v>44444</v>
      </c>
      <c r="IF85" t="s">
        <v>2467</v>
      </c>
      <c r="IG85" t="s">
        <v>492</v>
      </c>
      <c r="JH85" t="s">
        <v>2412</v>
      </c>
      <c r="JI85" t="s">
        <v>494</v>
      </c>
      <c r="JJ85" t="s">
        <v>495</v>
      </c>
      <c r="JK85" s="8" t="s">
        <v>1466</v>
      </c>
      <c r="JN85" t="s">
        <v>508</v>
      </c>
      <c r="JO85">
        <v>40</v>
      </c>
      <c r="JP85">
        <v>50</v>
      </c>
      <c r="KD85" t="s">
        <v>500</v>
      </c>
      <c r="MR85" t="s">
        <v>2413</v>
      </c>
      <c r="MS85">
        <v>36</v>
      </c>
      <c r="NC85" t="s">
        <v>2493</v>
      </c>
      <c r="ND85" t="s">
        <v>1061</v>
      </c>
      <c r="NF85" t="s">
        <v>625</v>
      </c>
      <c r="NG85" t="s">
        <v>516</v>
      </c>
      <c r="NP85" t="s">
        <v>518</v>
      </c>
      <c r="NQ85">
        <v>239</v>
      </c>
      <c r="NR85" s="4" t="s">
        <v>520</v>
      </c>
      <c r="NS85">
        <v>6</v>
      </c>
      <c r="NV85">
        <v>4</v>
      </c>
      <c r="OG85" t="s">
        <v>2488</v>
      </c>
      <c r="OH85" s="78" t="s">
        <v>475</v>
      </c>
      <c r="OI85">
        <v>2007</v>
      </c>
      <c r="OL85" t="s">
        <v>2419</v>
      </c>
      <c r="ON85" t="s">
        <v>522</v>
      </c>
      <c r="OO85" s="50">
        <v>46105</v>
      </c>
    </row>
    <row r="86" spans="1:405" ht="15.75" thickBot="1">
      <c r="A86" t="s">
        <v>469</v>
      </c>
      <c r="B86" t="s">
        <v>2406</v>
      </c>
      <c r="C86" t="s">
        <v>667</v>
      </c>
      <c r="D86" s="89" t="s">
        <v>1179</v>
      </c>
      <c r="E86" s="81" t="s">
        <v>2407</v>
      </c>
      <c r="F86" s="89" t="s">
        <v>1179</v>
      </c>
      <c r="G86" s="78" t="s">
        <v>475</v>
      </c>
      <c r="H86" s="78" t="s">
        <v>476</v>
      </c>
      <c r="I86">
        <v>-0.41666666699999999</v>
      </c>
      <c r="J86">
        <v>34.200000000000003</v>
      </c>
      <c r="K86" s="78" t="s">
        <v>480</v>
      </c>
      <c r="AV86" t="s">
        <v>2408</v>
      </c>
      <c r="AW86">
        <v>52</v>
      </c>
      <c r="AX86" t="s">
        <v>866</v>
      </c>
      <c r="AY86">
        <v>1</v>
      </c>
      <c r="AZ86" t="s">
        <v>2409</v>
      </c>
      <c r="BA86">
        <v>2007</v>
      </c>
      <c r="BB86">
        <v>2008</v>
      </c>
      <c r="BD86" t="s">
        <v>998</v>
      </c>
      <c r="BE86" t="s">
        <v>2472</v>
      </c>
      <c r="BF86" t="s">
        <v>607</v>
      </c>
      <c r="BH86" t="s">
        <v>485</v>
      </c>
      <c r="BI86" t="s">
        <v>2411</v>
      </c>
      <c r="BJ86" s="78" t="s">
        <v>486</v>
      </c>
      <c r="BK86">
        <v>44444</v>
      </c>
      <c r="BL86" t="s">
        <v>537</v>
      </c>
      <c r="BM86" t="s">
        <v>1425</v>
      </c>
      <c r="BN86" t="s">
        <v>2421</v>
      </c>
      <c r="BO86" s="78" t="s">
        <v>486</v>
      </c>
      <c r="BP86">
        <v>44444</v>
      </c>
      <c r="EH86" s="9"/>
      <c r="EI86" s="9"/>
      <c r="EJ86" s="9"/>
      <c r="EK86" s="9"/>
      <c r="EL86" s="9"/>
      <c r="EM86" s="9"/>
      <c r="EN86" s="9"/>
      <c r="EO86" s="9"/>
      <c r="EP86" s="9"/>
      <c r="EQ86" s="9"/>
      <c r="ER86" s="9"/>
      <c r="ES86" s="9"/>
      <c r="ET86" s="9"/>
      <c r="EU86" s="9"/>
      <c r="EV86" s="9"/>
      <c r="EW86" s="9"/>
      <c r="EX86" s="9"/>
      <c r="EY86" s="9"/>
      <c r="EZ86" s="9"/>
      <c r="FA86" s="9"/>
      <c r="FB86" s="9"/>
      <c r="FC86" s="9"/>
      <c r="FD86" s="9"/>
      <c r="FE86" s="9"/>
      <c r="FF86" s="9"/>
      <c r="FG86" s="9"/>
      <c r="FH86" s="9"/>
      <c r="FI86" s="9"/>
      <c r="FJ86" s="9"/>
      <c r="FK86" s="9"/>
      <c r="FL86" s="9"/>
      <c r="FM86" s="9"/>
      <c r="FN86" s="9"/>
      <c r="FO86" s="9"/>
      <c r="FP86" s="9"/>
      <c r="FQ86" s="9"/>
      <c r="FR86" s="9"/>
      <c r="FS86" s="9"/>
      <c r="FT86" s="9"/>
      <c r="FU86" s="9"/>
      <c r="FV86" s="9"/>
      <c r="FW86" s="9"/>
      <c r="FX86" s="9"/>
      <c r="FY86" s="9"/>
      <c r="FZ86" s="9"/>
      <c r="GA86" s="9"/>
      <c r="GB86" s="9"/>
      <c r="GC86" s="9"/>
      <c r="GD86" s="9"/>
      <c r="GE86" s="9"/>
      <c r="GF86" s="9"/>
      <c r="GG86" s="9"/>
      <c r="GH86" s="9"/>
      <c r="GI86" s="9"/>
      <c r="GJ86" s="9"/>
      <c r="GK86" s="9"/>
      <c r="GL86" s="9"/>
      <c r="GM86" s="9"/>
      <c r="GN86" s="9"/>
      <c r="GO86" s="9"/>
      <c r="GP86" s="9"/>
      <c r="GQ86" s="9"/>
      <c r="GR86" s="9"/>
      <c r="GS86" s="9"/>
      <c r="GT86" s="9"/>
      <c r="GU86" s="9"/>
      <c r="GV86" s="9"/>
      <c r="GW86" s="9"/>
      <c r="GX86" s="9"/>
      <c r="GY86" s="9"/>
      <c r="GZ86" s="9"/>
      <c r="HA86" s="9"/>
      <c r="HB86" s="9"/>
      <c r="HC86" s="9"/>
      <c r="HD86" s="9"/>
      <c r="HE86" s="9"/>
      <c r="HF86" s="9"/>
      <c r="HG86" s="9"/>
      <c r="HH86" s="9"/>
      <c r="HI86" s="9"/>
      <c r="HJ86" s="9"/>
      <c r="HK86" s="9"/>
      <c r="HW86" s="50"/>
      <c r="IF86" t="s">
        <v>2472</v>
      </c>
      <c r="IG86" s="75" t="s">
        <v>1714</v>
      </c>
      <c r="IH86" t="s">
        <v>542</v>
      </c>
      <c r="II86" t="s">
        <v>543</v>
      </c>
      <c r="IJ86" t="s">
        <v>1049</v>
      </c>
      <c r="IK86" t="s">
        <v>1049</v>
      </c>
      <c r="IL86" s="78" t="s">
        <v>480</v>
      </c>
      <c r="JH86" t="s">
        <v>2412</v>
      </c>
      <c r="JI86" t="s">
        <v>494</v>
      </c>
      <c r="JJ86" t="s">
        <v>495</v>
      </c>
      <c r="JK86" s="8" t="s">
        <v>1466</v>
      </c>
      <c r="JN86" t="s">
        <v>508</v>
      </c>
      <c r="JO86">
        <v>40</v>
      </c>
      <c r="JP86">
        <v>50</v>
      </c>
      <c r="KD86" t="s">
        <v>500</v>
      </c>
      <c r="MR86" t="s">
        <v>2413</v>
      </c>
      <c r="MS86">
        <v>36</v>
      </c>
      <c r="NC86" t="s">
        <v>2494</v>
      </c>
      <c r="ND86" t="s">
        <v>1061</v>
      </c>
      <c r="NF86" t="s">
        <v>625</v>
      </c>
      <c r="NG86" t="s">
        <v>516</v>
      </c>
      <c r="NP86" t="s">
        <v>518</v>
      </c>
      <c r="NQ86">
        <v>337.4</v>
      </c>
      <c r="NR86" s="4" t="s">
        <v>520</v>
      </c>
      <c r="NS86">
        <v>6</v>
      </c>
      <c r="NV86">
        <v>4</v>
      </c>
      <c r="OG86" t="s">
        <v>2488</v>
      </c>
      <c r="OH86" s="78" t="s">
        <v>475</v>
      </c>
      <c r="OI86">
        <v>2007</v>
      </c>
      <c r="OL86" t="s">
        <v>2419</v>
      </c>
      <c r="ON86" t="s">
        <v>522</v>
      </c>
      <c r="OO86" s="50">
        <v>46105</v>
      </c>
    </row>
    <row r="87" spans="1:405" ht="15.75" thickBot="1">
      <c r="A87" t="s">
        <v>469</v>
      </c>
      <c r="B87" t="s">
        <v>2406</v>
      </c>
      <c r="C87" t="s">
        <v>667</v>
      </c>
      <c r="D87" s="89" t="s">
        <v>1179</v>
      </c>
      <c r="E87" s="81" t="s">
        <v>2407</v>
      </c>
      <c r="F87" s="89" t="s">
        <v>1179</v>
      </c>
      <c r="G87" s="78" t="s">
        <v>475</v>
      </c>
      <c r="H87" s="78" t="s">
        <v>476</v>
      </c>
      <c r="I87">
        <v>-0.41666666699999999</v>
      </c>
      <c r="J87">
        <v>34.200000000000003</v>
      </c>
      <c r="K87" s="78" t="s">
        <v>480</v>
      </c>
      <c r="AV87" t="s">
        <v>2408</v>
      </c>
      <c r="AW87">
        <v>53</v>
      </c>
      <c r="AX87" t="s">
        <v>866</v>
      </c>
      <c r="AY87">
        <v>1</v>
      </c>
      <c r="AZ87" t="s">
        <v>2409</v>
      </c>
      <c r="BA87">
        <v>2007</v>
      </c>
      <c r="BB87">
        <v>2008</v>
      </c>
      <c r="BD87" t="s">
        <v>998</v>
      </c>
      <c r="BE87" t="s">
        <v>2476</v>
      </c>
      <c r="BF87" t="s">
        <v>611</v>
      </c>
      <c r="BH87" t="s">
        <v>485</v>
      </c>
      <c r="BI87" t="s">
        <v>2411</v>
      </c>
      <c r="BJ87" s="78" t="s">
        <v>486</v>
      </c>
      <c r="BK87">
        <v>44444</v>
      </c>
      <c r="BL87" t="s">
        <v>537</v>
      </c>
      <c r="BM87" t="s">
        <v>2425</v>
      </c>
      <c r="BN87" t="s">
        <v>866</v>
      </c>
      <c r="BO87" t="s">
        <v>866</v>
      </c>
      <c r="BP87" t="s">
        <v>866</v>
      </c>
      <c r="EH87" s="9"/>
      <c r="EI87" s="9"/>
      <c r="EJ87" s="9"/>
      <c r="EK87" s="9"/>
      <c r="EL87" s="9"/>
      <c r="EM87" s="9"/>
      <c r="EN87" s="9"/>
      <c r="EO87" s="9"/>
      <c r="EP87" s="9"/>
      <c r="EQ87" s="9"/>
      <c r="ER87" s="9"/>
      <c r="ES87" s="9"/>
      <c r="ET87" s="9"/>
      <c r="EU87" s="9"/>
      <c r="EV87" s="9"/>
      <c r="EW87" s="9"/>
      <c r="EX87" s="9"/>
      <c r="EY87" s="9"/>
      <c r="EZ87" s="9"/>
      <c r="FA87" s="9"/>
      <c r="FB87" s="9"/>
      <c r="FC87" s="9"/>
      <c r="FD87" s="9"/>
      <c r="FE87" s="9"/>
      <c r="FF87" s="9"/>
      <c r="FG87" s="9"/>
      <c r="FH87" s="9"/>
      <c r="FI87" s="9"/>
      <c r="FJ87" s="9"/>
      <c r="FK87" s="9"/>
      <c r="FL87" s="9"/>
      <c r="FM87" s="9"/>
      <c r="FN87" s="9"/>
      <c r="FO87" s="9"/>
      <c r="FP87" s="9"/>
      <c r="FQ87" s="9"/>
      <c r="FR87" s="9"/>
      <c r="FS87" s="9"/>
      <c r="FT87" s="9"/>
      <c r="FU87" s="9"/>
      <c r="FV87" s="9"/>
      <c r="FW87" s="9"/>
      <c r="FX87" s="9"/>
      <c r="FY87" s="9"/>
      <c r="FZ87" s="9"/>
      <c r="GA87" s="9"/>
      <c r="GB87" s="9"/>
      <c r="GC87" s="9"/>
      <c r="GD87" s="9"/>
      <c r="GE87" s="9"/>
      <c r="GF87" s="9"/>
      <c r="GG87" s="9"/>
      <c r="GH87" s="9"/>
      <c r="GI87" s="9"/>
      <c r="GJ87" s="9"/>
      <c r="GK87" s="9"/>
      <c r="GL87" s="9"/>
      <c r="GM87" s="9"/>
      <c r="GN87" s="9"/>
      <c r="GO87" s="9"/>
      <c r="GP87" s="9"/>
      <c r="GQ87" s="9"/>
      <c r="GR87" s="9"/>
      <c r="GS87" s="9"/>
      <c r="GT87" s="9"/>
      <c r="GU87" s="9"/>
      <c r="GV87" s="9"/>
      <c r="GW87" s="9"/>
      <c r="GX87" s="9"/>
      <c r="GY87" s="9"/>
      <c r="GZ87" s="9"/>
      <c r="HA87" s="9"/>
      <c r="HB87" s="9"/>
      <c r="HC87" s="9"/>
      <c r="HD87" s="9"/>
      <c r="HE87" s="9"/>
      <c r="HF87" s="9"/>
      <c r="HG87" s="9"/>
      <c r="HH87" s="9"/>
      <c r="HI87" s="9"/>
      <c r="HJ87" s="9"/>
      <c r="HK87" s="9"/>
      <c r="HW87" s="50"/>
      <c r="IF87" t="s">
        <v>2476</v>
      </c>
      <c r="IG87" s="75" t="s">
        <v>2426</v>
      </c>
      <c r="IH87" t="s">
        <v>542</v>
      </c>
      <c r="II87" t="s">
        <v>543</v>
      </c>
      <c r="IJ87" t="s">
        <v>1049</v>
      </c>
      <c r="IK87" t="s">
        <v>1049</v>
      </c>
      <c r="IL87" s="78" t="s">
        <v>480</v>
      </c>
      <c r="JH87" t="s">
        <v>2412</v>
      </c>
      <c r="JI87" t="s">
        <v>494</v>
      </c>
      <c r="JJ87" t="s">
        <v>495</v>
      </c>
      <c r="JK87" s="8" t="s">
        <v>1466</v>
      </c>
      <c r="JN87" t="s">
        <v>508</v>
      </c>
      <c r="JO87">
        <v>40</v>
      </c>
      <c r="JP87">
        <v>50</v>
      </c>
      <c r="KD87" t="s">
        <v>500</v>
      </c>
      <c r="MR87" t="s">
        <v>2413</v>
      </c>
      <c r="MS87">
        <v>36</v>
      </c>
      <c r="NC87" t="s">
        <v>2494</v>
      </c>
      <c r="ND87" t="s">
        <v>1061</v>
      </c>
      <c r="NF87" t="s">
        <v>625</v>
      </c>
      <c r="NG87" t="s">
        <v>516</v>
      </c>
      <c r="NP87" t="s">
        <v>518</v>
      </c>
      <c r="NQ87">
        <v>428.2</v>
      </c>
      <c r="NR87" s="4" t="s">
        <v>520</v>
      </c>
      <c r="NS87">
        <v>8</v>
      </c>
      <c r="NV87">
        <v>4</v>
      </c>
      <c r="OG87" t="s">
        <v>2488</v>
      </c>
      <c r="OH87" s="78" t="s">
        <v>475</v>
      </c>
      <c r="OI87">
        <v>2007</v>
      </c>
      <c r="OL87" t="s">
        <v>2419</v>
      </c>
      <c r="ON87" t="s">
        <v>522</v>
      </c>
      <c r="OO87" s="50">
        <v>46105</v>
      </c>
    </row>
    <row r="88" spans="1:405" ht="15.75" thickBot="1">
      <c r="A88" t="s">
        <v>469</v>
      </c>
      <c r="B88" t="s">
        <v>2406</v>
      </c>
      <c r="C88" t="s">
        <v>667</v>
      </c>
      <c r="D88" s="89" t="s">
        <v>1179</v>
      </c>
      <c r="E88" s="81" t="s">
        <v>2407</v>
      </c>
      <c r="F88" s="89" t="s">
        <v>1179</v>
      </c>
      <c r="G88" s="78" t="s">
        <v>475</v>
      </c>
      <c r="H88" s="78" t="s">
        <v>476</v>
      </c>
      <c r="I88">
        <v>-0.41666666699999999</v>
      </c>
      <c r="J88">
        <v>34.200000000000003</v>
      </c>
      <c r="K88" s="78" t="s">
        <v>480</v>
      </c>
      <c r="AV88" t="s">
        <v>2408</v>
      </c>
      <c r="AW88">
        <v>54</v>
      </c>
      <c r="AX88" t="s">
        <v>866</v>
      </c>
      <c r="AY88">
        <v>1</v>
      </c>
      <c r="AZ88" t="s">
        <v>2409</v>
      </c>
      <c r="BA88">
        <v>2007</v>
      </c>
      <c r="BB88">
        <v>2008</v>
      </c>
      <c r="BD88" t="s">
        <v>998</v>
      </c>
      <c r="BE88" t="s">
        <v>2480</v>
      </c>
      <c r="BF88" t="s">
        <v>615</v>
      </c>
      <c r="BH88" t="s">
        <v>485</v>
      </c>
      <c r="BI88" t="s">
        <v>2411</v>
      </c>
      <c r="BJ88" s="78" t="s">
        <v>486</v>
      </c>
      <c r="BK88">
        <v>44444</v>
      </c>
      <c r="BL88" t="s">
        <v>537</v>
      </c>
      <c r="BM88" t="s">
        <v>1425</v>
      </c>
      <c r="BN88" t="s">
        <v>2421</v>
      </c>
      <c r="BO88" s="78" t="s">
        <v>486</v>
      </c>
      <c r="BP88">
        <v>44444</v>
      </c>
      <c r="BQ88" t="s">
        <v>537</v>
      </c>
      <c r="BR88" t="s">
        <v>2425</v>
      </c>
      <c r="BS88" t="s">
        <v>866</v>
      </c>
      <c r="BT88" t="s">
        <v>866</v>
      </c>
      <c r="BU88" t="s">
        <v>866</v>
      </c>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K88" s="9"/>
      <c r="HW88" s="50"/>
      <c r="IF88" t="s">
        <v>2480</v>
      </c>
      <c r="IG88" s="75" t="s">
        <v>2426</v>
      </c>
      <c r="IH88" t="s">
        <v>542</v>
      </c>
      <c r="II88" t="s">
        <v>543</v>
      </c>
      <c r="IJ88" t="s">
        <v>1049</v>
      </c>
      <c r="IK88" t="s">
        <v>1049</v>
      </c>
      <c r="IL88" s="78" t="s">
        <v>480</v>
      </c>
      <c r="JH88" t="s">
        <v>2412</v>
      </c>
      <c r="JI88" t="s">
        <v>494</v>
      </c>
      <c r="JJ88" t="s">
        <v>495</v>
      </c>
      <c r="JK88" s="8" t="s">
        <v>1466</v>
      </c>
      <c r="JN88" t="s">
        <v>508</v>
      </c>
      <c r="JO88">
        <v>40</v>
      </c>
      <c r="JP88">
        <v>50</v>
      </c>
      <c r="KD88" t="s">
        <v>500</v>
      </c>
      <c r="MR88" t="s">
        <v>2413</v>
      </c>
      <c r="MS88">
        <v>36</v>
      </c>
      <c r="NC88" t="s">
        <v>2494</v>
      </c>
      <c r="ND88" t="s">
        <v>1061</v>
      </c>
      <c r="NF88" t="s">
        <v>625</v>
      </c>
      <c r="NG88" t="s">
        <v>516</v>
      </c>
      <c r="NP88" t="s">
        <v>518</v>
      </c>
      <c r="NQ88">
        <v>517.5</v>
      </c>
      <c r="NR88" s="4" t="s">
        <v>520</v>
      </c>
      <c r="NS88">
        <v>10</v>
      </c>
      <c r="NV88">
        <v>4</v>
      </c>
      <c r="OG88" t="s">
        <v>2488</v>
      </c>
      <c r="OH88" s="78" t="s">
        <v>475</v>
      </c>
      <c r="OI88">
        <v>2007</v>
      </c>
      <c r="OL88" t="s">
        <v>2419</v>
      </c>
      <c r="ON88" t="s">
        <v>522</v>
      </c>
      <c r="OO88" s="50">
        <v>46105</v>
      </c>
    </row>
    <row r="89" spans="1:405" ht="15.75" thickBot="1">
      <c r="A89" t="s">
        <v>469</v>
      </c>
      <c r="B89" t="s">
        <v>2406</v>
      </c>
      <c r="C89" t="s">
        <v>667</v>
      </c>
      <c r="D89" s="89" t="s">
        <v>1179</v>
      </c>
      <c r="E89" s="81" t="s">
        <v>2407</v>
      </c>
      <c r="F89" s="89" t="s">
        <v>1179</v>
      </c>
      <c r="G89" s="78" t="s">
        <v>475</v>
      </c>
      <c r="H89" s="78" t="s">
        <v>476</v>
      </c>
      <c r="I89">
        <v>-0.41666666699999999</v>
      </c>
      <c r="J89">
        <v>34.200000000000003</v>
      </c>
      <c r="K89" s="78" t="s">
        <v>480</v>
      </c>
      <c r="AV89" t="s">
        <v>2408</v>
      </c>
      <c r="AW89">
        <v>55</v>
      </c>
      <c r="AX89" t="s">
        <v>866</v>
      </c>
      <c r="AY89">
        <v>1</v>
      </c>
      <c r="AZ89" t="s">
        <v>2409</v>
      </c>
      <c r="BA89">
        <v>2007</v>
      </c>
      <c r="BB89">
        <v>2008</v>
      </c>
      <c r="BD89" t="s">
        <v>998</v>
      </c>
      <c r="BE89" t="s">
        <v>2484</v>
      </c>
      <c r="BF89" t="s">
        <v>617</v>
      </c>
      <c r="BH89" t="s">
        <v>485</v>
      </c>
      <c r="BI89" t="s">
        <v>2411</v>
      </c>
      <c r="BJ89" s="78" t="s">
        <v>486</v>
      </c>
      <c r="BK89">
        <v>44444</v>
      </c>
      <c r="BL89" t="s">
        <v>537</v>
      </c>
      <c r="BM89" t="s">
        <v>1425</v>
      </c>
      <c r="BN89" t="s">
        <v>2421</v>
      </c>
      <c r="BO89" s="78" t="s">
        <v>486</v>
      </c>
      <c r="BP89">
        <v>44444</v>
      </c>
      <c r="BQ89" t="s">
        <v>537</v>
      </c>
      <c r="BR89" t="s">
        <v>2425</v>
      </c>
      <c r="BS89" t="s">
        <v>866</v>
      </c>
      <c r="BT89" t="s">
        <v>866</v>
      </c>
      <c r="BU89" t="s">
        <v>866</v>
      </c>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K89" s="9"/>
      <c r="HW89" s="50"/>
      <c r="IF89" t="s">
        <v>2484</v>
      </c>
      <c r="IG89" s="75" t="s">
        <v>2426</v>
      </c>
      <c r="IH89" t="s">
        <v>542</v>
      </c>
      <c r="II89" t="s">
        <v>543</v>
      </c>
      <c r="IJ89" t="s">
        <v>1049</v>
      </c>
      <c r="IK89" t="s">
        <v>1049</v>
      </c>
      <c r="IL89" s="78" t="s">
        <v>480</v>
      </c>
      <c r="JH89" t="s">
        <v>2412</v>
      </c>
      <c r="JI89" t="s">
        <v>494</v>
      </c>
      <c r="JJ89" t="s">
        <v>495</v>
      </c>
      <c r="JK89" s="8" t="s">
        <v>1466</v>
      </c>
      <c r="JN89" t="s">
        <v>508</v>
      </c>
      <c r="JO89">
        <v>40</v>
      </c>
      <c r="JP89">
        <v>50</v>
      </c>
      <c r="KD89" t="s">
        <v>500</v>
      </c>
      <c r="MR89" t="s">
        <v>2413</v>
      </c>
      <c r="MS89">
        <v>36</v>
      </c>
      <c r="NC89" t="s">
        <v>2494</v>
      </c>
      <c r="ND89" t="s">
        <v>1061</v>
      </c>
      <c r="NF89" t="s">
        <v>625</v>
      </c>
      <c r="NG89" t="s">
        <v>516</v>
      </c>
      <c r="NP89" t="s">
        <v>518</v>
      </c>
      <c r="NQ89">
        <v>529</v>
      </c>
      <c r="NR89" s="4" t="s">
        <v>520</v>
      </c>
      <c r="NS89">
        <v>10</v>
      </c>
      <c r="NV89">
        <v>4</v>
      </c>
      <c r="OG89" t="s">
        <v>2488</v>
      </c>
      <c r="OH89" s="78" t="s">
        <v>475</v>
      </c>
      <c r="OI89">
        <v>2007</v>
      </c>
      <c r="OL89" t="s">
        <v>2419</v>
      </c>
      <c r="ON89" t="s">
        <v>522</v>
      </c>
      <c r="OO89" s="50">
        <v>46105</v>
      </c>
    </row>
    <row r="90" spans="1:405" ht="15.75" thickBot="1">
      <c r="A90" t="s">
        <v>469</v>
      </c>
      <c r="B90" t="s">
        <v>2406</v>
      </c>
      <c r="C90" t="s">
        <v>667</v>
      </c>
      <c r="D90" s="89" t="s">
        <v>1179</v>
      </c>
      <c r="E90" s="81" t="s">
        <v>2407</v>
      </c>
      <c r="F90" s="89" t="s">
        <v>1179</v>
      </c>
      <c r="G90" s="78" t="s">
        <v>475</v>
      </c>
      <c r="H90" s="78" t="s">
        <v>476</v>
      </c>
      <c r="I90">
        <v>-0.41666666699999999</v>
      </c>
      <c r="J90">
        <v>34.200000000000003</v>
      </c>
      <c r="K90" s="78" t="s">
        <v>480</v>
      </c>
      <c r="AV90" t="s">
        <v>2408</v>
      </c>
      <c r="AW90">
        <v>36</v>
      </c>
      <c r="AX90" t="s">
        <v>866</v>
      </c>
      <c r="AY90">
        <v>1</v>
      </c>
      <c r="AZ90" t="s">
        <v>2409</v>
      </c>
      <c r="BA90">
        <v>2007</v>
      </c>
      <c r="BB90">
        <v>2008</v>
      </c>
      <c r="BD90" t="s">
        <v>492</v>
      </c>
      <c r="BE90" t="s">
        <v>2410</v>
      </c>
      <c r="BF90" t="s">
        <v>524</v>
      </c>
      <c r="BH90" t="s">
        <v>485</v>
      </c>
      <c r="BI90" t="s">
        <v>2411</v>
      </c>
      <c r="BJ90" s="78" t="s">
        <v>486</v>
      </c>
      <c r="BK90">
        <v>44444</v>
      </c>
      <c r="IF90" t="s">
        <v>2410</v>
      </c>
      <c r="IG90" t="s">
        <v>492</v>
      </c>
      <c r="JH90" t="s">
        <v>2412</v>
      </c>
      <c r="JI90" t="s">
        <v>494</v>
      </c>
      <c r="JJ90" t="s">
        <v>495</v>
      </c>
      <c r="JK90" s="8" t="s">
        <v>1466</v>
      </c>
      <c r="JN90" t="s">
        <v>508</v>
      </c>
      <c r="JO90">
        <v>40</v>
      </c>
      <c r="JP90">
        <v>50</v>
      </c>
      <c r="KD90" t="s">
        <v>500</v>
      </c>
      <c r="MR90" t="s">
        <v>2413</v>
      </c>
      <c r="MS90">
        <v>36</v>
      </c>
      <c r="MT90" t="s">
        <v>2414</v>
      </c>
      <c r="MV90" t="s">
        <v>548</v>
      </c>
      <c r="NC90" t="s">
        <v>2415</v>
      </c>
      <c r="ND90" t="s">
        <v>1068</v>
      </c>
      <c r="NE90" t="s">
        <v>2417</v>
      </c>
      <c r="NF90" s="4" t="s">
        <v>1069</v>
      </c>
      <c r="NO90" s="69" t="s">
        <v>517</v>
      </c>
      <c r="NP90" t="s">
        <v>518</v>
      </c>
      <c r="NQ90">
        <v>0.8</v>
      </c>
      <c r="NR90" s="4" t="s">
        <v>866</v>
      </c>
      <c r="NS90" s="4" t="s">
        <v>866</v>
      </c>
      <c r="NV90">
        <v>4</v>
      </c>
      <c r="OG90" t="s">
        <v>2418</v>
      </c>
      <c r="OH90" s="78" t="s">
        <v>475</v>
      </c>
      <c r="OI90">
        <v>2007</v>
      </c>
      <c r="OL90" t="s">
        <v>2419</v>
      </c>
      <c r="ON90" t="s">
        <v>522</v>
      </c>
      <c r="OO90" s="50">
        <v>46105</v>
      </c>
    </row>
    <row r="91" spans="1:405" ht="15.75" thickBot="1">
      <c r="A91" t="s">
        <v>469</v>
      </c>
      <c r="B91" t="s">
        <v>2406</v>
      </c>
      <c r="C91" t="s">
        <v>667</v>
      </c>
      <c r="D91" s="89" t="s">
        <v>1179</v>
      </c>
      <c r="E91" s="81" t="s">
        <v>2407</v>
      </c>
      <c r="F91" s="89" t="s">
        <v>1179</v>
      </c>
      <c r="G91" s="78" t="s">
        <v>475</v>
      </c>
      <c r="H91" s="78" t="s">
        <v>476</v>
      </c>
      <c r="I91">
        <v>-0.41666666699999999</v>
      </c>
      <c r="J91">
        <v>34.200000000000003</v>
      </c>
      <c r="K91" s="78" t="s">
        <v>480</v>
      </c>
      <c r="AV91" t="s">
        <v>2408</v>
      </c>
      <c r="AW91">
        <v>37</v>
      </c>
      <c r="AX91" t="s">
        <v>866</v>
      </c>
      <c r="AY91">
        <v>1</v>
      </c>
      <c r="AZ91" t="s">
        <v>2409</v>
      </c>
      <c r="BA91">
        <v>2007</v>
      </c>
      <c r="BB91">
        <v>2008</v>
      </c>
      <c r="BD91" t="s">
        <v>998</v>
      </c>
      <c r="BE91" t="s">
        <v>2420</v>
      </c>
      <c r="BF91" t="s">
        <v>536</v>
      </c>
      <c r="BH91" t="s">
        <v>485</v>
      </c>
      <c r="BI91" t="s">
        <v>2411</v>
      </c>
      <c r="BJ91" s="78" t="s">
        <v>486</v>
      </c>
      <c r="BK91">
        <v>44444</v>
      </c>
      <c r="BL91" t="s">
        <v>537</v>
      </c>
      <c r="BM91" t="s">
        <v>1425</v>
      </c>
      <c r="BN91" t="s">
        <v>2421</v>
      </c>
      <c r="BO91" s="78" t="s">
        <v>486</v>
      </c>
      <c r="BP91">
        <v>44444</v>
      </c>
      <c r="IF91" t="s">
        <v>2420</v>
      </c>
      <c r="IG91" s="75" t="s">
        <v>1714</v>
      </c>
      <c r="IH91" t="s">
        <v>542</v>
      </c>
      <c r="II91" t="s">
        <v>543</v>
      </c>
      <c r="IJ91" t="s">
        <v>1049</v>
      </c>
      <c r="IK91" t="s">
        <v>1049</v>
      </c>
      <c r="IL91" s="78" t="s">
        <v>480</v>
      </c>
      <c r="JH91" t="s">
        <v>2412</v>
      </c>
      <c r="JI91" t="s">
        <v>494</v>
      </c>
      <c r="JJ91" t="s">
        <v>495</v>
      </c>
      <c r="JK91" s="8" t="s">
        <v>1466</v>
      </c>
      <c r="JN91" t="s">
        <v>508</v>
      </c>
      <c r="JO91">
        <v>40</v>
      </c>
      <c r="JP91">
        <v>50</v>
      </c>
      <c r="KD91" t="s">
        <v>500</v>
      </c>
      <c r="MR91" t="s">
        <v>2413</v>
      </c>
      <c r="MS91">
        <v>36</v>
      </c>
      <c r="MT91" t="s">
        <v>2422</v>
      </c>
      <c r="MV91" t="s">
        <v>548</v>
      </c>
      <c r="MW91" t="s">
        <v>1674</v>
      </c>
      <c r="NC91" t="s">
        <v>2423</v>
      </c>
      <c r="ND91" t="s">
        <v>1068</v>
      </c>
      <c r="NE91" t="s">
        <v>2417</v>
      </c>
      <c r="NF91" s="4" t="s">
        <v>1069</v>
      </c>
      <c r="NO91" s="69"/>
      <c r="NP91" t="s">
        <v>518</v>
      </c>
      <c r="NQ91">
        <v>1.1000000000000001</v>
      </c>
      <c r="NR91" s="4" t="s">
        <v>866</v>
      </c>
      <c r="NS91" s="4" t="s">
        <v>866</v>
      </c>
      <c r="NV91">
        <v>4</v>
      </c>
      <c r="OG91" t="s">
        <v>2418</v>
      </c>
      <c r="OH91" s="78" t="s">
        <v>475</v>
      </c>
      <c r="OI91">
        <v>2007</v>
      </c>
      <c r="OL91" t="s">
        <v>2419</v>
      </c>
      <c r="ON91" t="s">
        <v>522</v>
      </c>
      <c r="OO91" s="50">
        <v>46105</v>
      </c>
    </row>
    <row r="92" spans="1:405" ht="15.75" thickBot="1">
      <c r="A92" t="s">
        <v>469</v>
      </c>
      <c r="B92" t="s">
        <v>2406</v>
      </c>
      <c r="C92" t="s">
        <v>667</v>
      </c>
      <c r="D92" s="89" t="s">
        <v>1179</v>
      </c>
      <c r="E92" s="81" t="s">
        <v>2407</v>
      </c>
      <c r="F92" s="89" t="s">
        <v>1179</v>
      </c>
      <c r="G92" s="78" t="s">
        <v>475</v>
      </c>
      <c r="H92" s="78" t="s">
        <v>476</v>
      </c>
      <c r="I92">
        <v>-0.41666666699999999</v>
      </c>
      <c r="J92">
        <v>34.200000000000003</v>
      </c>
      <c r="K92" s="78" t="s">
        <v>480</v>
      </c>
      <c r="AV92" t="s">
        <v>2408</v>
      </c>
      <c r="AW92">
        <v>38</v>
      </c>
      <c r="AX92" t="s">
        <v>866</v>
      </c>
      <c r="AY92">
        <v>1</v>
      </c>
      <c r="AZ92" t="s">
        <v>2409</v>
      </c>
      <c r="BA92">
        <v>2007</v>
      </c>
      <c r="BB92">
        <v>2008</v>
      </c>
      <c r="BD92" t="s">
        <v>998</v>
      </c>
      <c r="BE92" t="s">
        <v>2424</v>
      </c>
      <c r="BF92" t="s">
        <v>566</v>
      </c>
      <c r="BH92" t="s">
        <v>485</v>
      </c>
      <c r="BI92" t="s">
        <v>2411</v>
      </c>
      <c r="BJ92" s="78" t="s">
        <v>486</v>
      </c>
      <c r="BK92">
        <v>44444</v>
      </c>
      <c r="BL92" t="s">
        <v>537</v>
      </c>
      <c r="BM92" t="s">
        <v>2425</v>
      </c>
      <c r="BN92" t="s">
        <v>866</v>
      </c>
      <c r="BO92" t="s">
        <v>866</v>
      </c>
      <c r="BP92" t="s">
        <v>866</v>
      </c>
      <c r="IF92" t="s">
        <v>2424</v>
      </c>
      <c r="IG92" s="75" t="s">
        <v>2426</v>
      </c>
      <c r="IH92" t="s">
        <v>542</v>
      </c>
      <c r="II92" t="s">
        <v>543</v>
      </c>
      <c r="IJ92" t="s">
        <v>1049</v>
      </c>
      <c r="IK92" t="s">
        <v>1049</v>
      </c>
      <c r="IL92" s="78" t="s">
        <v>480</v>
      </c>
      <c r="JH92" t="s">
        <v>2412</v>
      </c>
      <c r="JI92" t="s">
        <v>494</v>
      </c>
      <c r="JJ92" t="s">
        <v>495</v>
      </c>
      <c r="JK92" s="8" t="s">
        <v>1466</v>
      </c>
      <c r="JN92" t="s">
        <v>508</v>
      </c>
      <c r="JO92">
        <v>40</v>
      </c>
      <c r="JP92">
        <v>50</v>
      </c>
      <c r="KD92" t="s">
        <v>500</v>
      </c>
      <c r="MR92" t="s">
        <v>2413</v>
      </c>
      <c r="MS92">
        <v>36</v>
      </c>
      <c r="MT92" t="s">
        <v>2427</v>
      </c>
      <c r="MV92" t="s">
        <v>548</v>
      </c>
      <c r="MW92" t="s">
        <v>2428</v>
      </c>
      <c r="MX92" t="s">
        <v>2429</v>
      </c>
      <c r="NC92" t="s">
        <v>2423</v>
      </c>
      <c r="ND92" t="s">
        <v>1068</v>
      </c>
      <c r="NE92" t="s">
        <v>2417</v>
      </c>
      <c r="NF92" s="4" t="s">
        <v>1069</v>
      </c>
      <c r="NO92" s="69"/>
      <c r="NP92" t="s">
        <v>518</v>
      </c>
      <c r="NQ92">
        <v>1.7</v>
      </c>
      <c r="NR92" s="4" t="s">
        <v>866</v>
      </c>
      <c r="NS92" s="4" t="s">
        <v>866</v>
      </c>
      <c r="NV92">
        <v>4</v>
      </c>
      <c r="OG92" t="s">
        <v>2418</v>
      </c>
      <c r="OH92" s="78" t="s">
        <v>475</v>
      </c>
      <c r="OI92">
        <v>2007</v>
      </c>
      <c r="OL92" t="s">
        <v>2419</v>
      </c>
      <c r="ON92" t="s">
        <v>522</v>
      </c>
      <c r="OO92" s="50">
        <v>46105</v>
      </c>
    </row>
    <row r="93" spans="1:405" ht="15.75" thickBot="1">
      <c r="A93" t="s">
        <v>469</v>
      </c>
      <c r="B93" t="s">
        <v>2406</v>
      </c>
      <c r="C93" t="s">
        <v>667</v>
      </c>
      <c r="D93" s="89" t="s">
        <v>1179</v>
      </c>
      <c r="E93" s="81" t="s">
        <v>2407</v>
      </c>
      <c r="F93" s="89" t="s">
        <v>1179</v>
      </c>
      <c r="G93" s="78" t="s">
        <v>475</v>
      </c>
      <c r="H93" s="78" t="s">
        <v>476</v>
      </c>
      <c r="I93">
        <v>-0.41666666699999999</v>
      </c>
      <c r="J93">
        <v>34.200000000000003</v>
      </c>
      <c r="K93" s="78" t="s">
        <v>480</v>
      </c>
      <c r="AV93" t="s">
        <v>2408</v>
      </c>
      <c r="AW93">
        <v>39</v>
      </c>
      <c r="AX93" t="s">
        <v>866</v>
      </c>
      <c r="AY93">
        <v>1</v>
      </c>
      <c r="AZ93" t="s">
        <v>2409</v>
      </c>
      <c r="BA93">
        <v>2007</v>
      </c>
      <c r="BB93">
        <v>2008</v>
      </c>
      <c r="BD93" t="s">
        <v>998</v>
      </c>
      <c r="BE93" t="s">
        <v>2430</v>
      </c>
      <c r="BF93" t="s">
        <v>572</v>
      </c>
      <c r="BH93" t="s">
        <v>485</v>
      </c>
      <c r="BI93" t="s">
        <v>2411</v>
      </c>
      <c r="BJ93" s="78" t="s">
        <v>486</v>
      </c>
      <c r="BK93">
        <v>44444</v>
      </c>
      <c r="BL93" t="s">
        <v>537</v>
      </c>
      <c r="BM93" t="s">
        <v>1425</v>
      </c>
      <c r="BN93" t="s">
        <v>2421</v>
      </c>
      <c r="BO93" s="78" t="s">
        <v>486</v>
      </c>
      <c r="BP93">
        <v>44444</v>
      </c>
      <c r="BQ93" t="s">
        <v>537</v>
      </c>
      <c r="BR93" t="s">
        <v>2425</v>
      </c>
      <c r="BS93" t="s">
        <v>866</v>
      </c>
      <c r="BT93" t="s">
        <v>866</v>
      </c>
      <c r="BU93" t="s">
        <v>866</v>
      </c>
      <c r="IF93" t="s">
        <v>2430</v>
      </c>
      <c r="IG93" s="75" t="s">
        <v>2426</v>
      </c>
      <c r="IH93" t="s">
        <v>542</v>
      </c>
      <c r="II93" t="s">
        <v>543</v>
      </c>
      <c r="IJ93" t="s">
        <v>1049</v>
      </c>
      <c r="IK93" t="s">
        <v>1049</v>
      </c>
      <c r="IL93" s="78" t="s">
        <v>480</v>
      </c>
      <c r="JH93" t="s">
        <v>2412</v>
      </c>
      <c r="JI93" t="s">
        <v>494</v>
      </c>
      <c r="JJ93" t="s">
        <v>495</v>
      </c>
      <c r="JK93" s="8" t="s">
        <v>1466</v>
      </c>
      <c r="JN93" t="s">
        <v>508</v>
      </c>
      <c r="JO93">
        <v>40</v>
      </c>
      <c r="JP93">
        <v>50</v>
      </c>
      <c r="KD93" t="s">
        <v>500</v>
      </c>
      <c r="MR93" t="s">
        <v>2413</v>
      </c>
      <c r="MS93">
        <v>36</v>
      </c>
      <c r="MT93" t="s">
        <v>2431</v>
      </c>
      <c r="MV93" t="s">
        <v>548</v>
      </c>
      <c r="MW93" t="s">
        <v>1674</v>
      </c>
      <c r="MX93" t="s">
        <v>2428</v>
      </c>
      <c r="MY93" t="s">
        <v>2429</v>
      </c>
      <c r="NC93" t="s">
        <v>2423</v>
      </c>
      <c r="ND93" t="s">
        <v>1068</v>
      </c>
      <c r="NE93" t="s">
        <v>2417</v>
      </c>
      <c r="NF93" s="4" t="s">
        <v>1069</v>
      </c>
      <c r="NO93" s="69"/>
      <c r="NP93" t="s">
        <v>518</v>
      </c>
      <c r="NQ93">
        <v>1.5</v>
      </c>
      <c r="NR93" s="4" t="s">
        <v>866</v>
      </c>
      <c r="NS93" s="4" t="s">
        <v>866</v>
      </c>
      <c r="NV93">
        <v>4</v>
      </c>
      <c r="OG93" t="s">
        <v>2418</v>
      </c>
      <c r="OH93" s="78" t="s">
        <v>475</v>
      </c>
      <c r="OI93">
        <v>2007</v>
      </c>
      <c r="OL93" t="s">
        <v>2419</v>
      </c>
      <c r="ON93" t="s">
        <v>522</v>
      </c>
      <c r="OO93" s="50">
        <v>46105</v>
      </c>
    </row>
    <row r="94" spans="1:405" ht="15.75" thickBot="1">
      <c r="A94" t="s">
        <v>469</v>
      </c>
      <c r="B94" t="s">
        <v>2406</v>
      </c>
      <c r="C94" t="s">
        <v>667</v>
      </c>
      <c r="D94" s="89" t="s">
        <v>1179</v>
      </c>
      <c r="E94" s="81" t="s">
        <v>2407</v>
      </c>
      <c r="F94" s="89" t="s">
        <v>1179</v>
      </c>
      <c r="G94" s="78" t="s">
        <v>475</v>
      </c>
      <c r="H94" s="78" t="s">
        <v>476</v>
      </c>
      <c r="I94">
        <v>-0.41666666699999999</v>
      </c>
      <c r="J94">
        <v>34.200000000000003</v>
      </c>
      <c r="K94" s="78" t="s">
        <v>480</v>
      </c>
      <c r="AV94" t="s">
        <v>2408</v>
      </c>
      <c r="AW94">
        <v>40</v>
      </c>
      <c r="AX94" t="s">
        <v>866</v>
      </c>
      <c r="AY94">
        <v>1</v>
      </c>
      <c r="AZ94" t="s">
        <v>2409</v>
      </c>
      <c r="BA94">
        <v>2007</v>
      </c>
      <c r="BB94">
        <v>2008</v>
      </c>
      <c r="BD94" t="s">
        <v>998</v>
      </c>
      <c r="BE94" t="s">
        <v>2441</v>
      </c>
      <c r="BF94" t="s">
        <v>553</v>
      </c>
      <c r="BH94" t="s">
        <v>485</v>
      </c>
      <c r="BI94" t="s">
        <v>2411</v>
      </c>
      <c r="BJ94" s="78" t="s">
        <v>486</v>
      </c>
      <c r="BK94">
        <v>44444</v>
      </c>
      <c r="BL94" t="s">
        <v>537</v>
      </c>
      <c r="BM94" t="s">
        <v>1425</v>
      </c>
      <c r="BN94" t="s">
        <v>2421</v>
      </c>
      <c r="BO94" s="78" t="s">
        <v>486</v>
      </c>
      <c r="BP94">
        <v>44444</v>
      </c>
      <c r="BQ94" t="s">
        <v>537</v>
      </c>
      <c r="BR94" t="s">
        <v>2425</v>
      </c>
      <c r="BS94" t="s">
        <v>866</v>
      </c>
      <c r="BT94" t="s">
        <v>866</v>
      </c>
      <c r="BU94" t="s">
        <v>866</v>
      </c>
      <c r="IF94" t="s">
        <v>2442</v>
      </c>
      <c r="IG94" s="75" t="s">
        <v>2426</v>
      </c>
      <c r="IH94" t="s">
        <v>542</v>
      </c>
      <c r="II94" t="s">
        <v>543</v>
      </c>
      <c r="IJ94" t="s">
        <v>1049</v>
      </c>
      <c r="IK94" t="s">
        <v>1049</v>
      </c>
      <c r="IL94" s="78" t="s">
        <v>480</v>
      </c>
      <c r="JH94" t="s">
        <v>2412</v>
      </c>
      <c r="JI94" t="s">
        <v>494</v>
      </c>
      <c r="JJ94" t="s">
        <v>495</v>
      </c>
      <c r="JK94" s="8" t="s">
        <v>1466</v>
      </c>
      <c r="JN94" t="s">
        <v>508</v>
      </c>
      <c r="JO94">
        <v>40</v>
      </c>
      <c r="JP94">
        <v>50</v>
      </c>
      <c r="KD94" t="s">
        <v>500</v>
      </c>
      <c r="MR94" t="s">
        <v>2413</v>
      </c>
      <c r="MS94">
        <v>36</v>
      </c>
      <c r="MT94" t="s">
        <v>2431</v>
      </c>
      <c r="MV94" t="s">
        <v>548</v>
      </c>
      <c r="MW94" t="s">
        <v>1674</v>
      </c>
      <c r="MX94" t="s">
        <v>2428</v>
      </c>
      <c r="MY94" t="s">
        <v>2429</v>
      </c>
      <c r="NC94" t="s">
        <v>2423</v>
      </c>
      <c r="ND94" t="s">
        <v>1068</v>
      </c>
      <c r="NE94" t="s">
        <v>2417</v>
      </c>
      <c r="NF94" s="4" t="s">
        <v>1069</v>
      </c>
      <c r="NO94" s="69"/>
      <c r="NP94" t="s">
        <v>518</v>
      </c>
      <c r="NQ94">
        <v>1.8</v>
      </c>
      <c r="NR94" s="4" t="s">
        <v>866</v>
      </c>
      <c r="NS94" s="4" t="s">
        <v>866</v>
      </c>
      <c r="NV94">
        <v>4</v>
      </c>
      <c r="OG94" t="s">
        <v>2418</v>
      </c>
      <c r="OH94" s="78" t="s">
        <v>475</v>
      </c>
      <c r="OI94">
        <v>2007</v>
      </c>
      <c r="OL94" t="s">
        <v>2419</v>
      </c>
      <c r="ON94" t="s">
        <v>522</v>
      </c>
      <c r="OO94" s="50">
        <v>46105</v>
      </c>
    </row>
    <row r="95" spans="1:405" ht="15.75" thickBot="1">
      <c r="A95" t="s">
        <v>469</v>
      </c>
      <c r="B95" t="s">
        <v>2406</v>
      </c>
      <c r="C95" t="s">
        <v>667</v>
      </c>
      <c r="D95" s="89" t="s">
        <v>1179</v>
      </c>
      <c r="E95" s="81" t="s">
        <v>2407</v>
      </c>
      <c r="F95" s="89" t="s">
        <v>1179</v>
      </c>
      <c r="G95" s="78" t="s">
        <v>475</v>
      </c>
      <c r="H95" s="78" t="s">
        <v>476</v>
      </c>
      <c r="I95">
        <v>-0.41666666699999999</v>
      </c>
      <c r="J95">
        <v>34.200000000000003</v>
      </c>
      <c r="K95" s="78" t="s">
        <v>480</v>
      </c>
      <c r="AV95" t="s">
        <v>2408</v>
      </c>
      <c r="AW95">
        <v>41</v>
      </c>
      <c r="AX95" t="s">
        <v>866</v>
      </c>
      <c r="AY95">
        <v>1</v>
      </c>
      <c r="AZ95" t="s">
        <v>2447</v>
      </c>
      <c r="BA95">
        <v>2007</v>
      </c>
      <c r="BB95">
        <v>2008</v>
      </c>
      <c r="BD95" t="s">
        <v>492</v>
      </c>
      <c r="BE95" t="s">
        <v>2410</v>
      </c>
      <c r="BF95" t="s">
        <v>524</v>
      </c>
      <c r="BH95" t="s">
        <v>485</v>
      </c>
      <c r="BI95" t="s">
        <v>2411</v>
      </c>
      <c r="BJ95" s="78" t="s">
        <v>486</v>
      </c>
      <c r="BK95">
        <v>44444</v>
      </c>
      <c r="IF95" t="s">
        <v>2410</v>
      </c>
      <c r="IG95" t="s">
        <v>492</v>
      </c>
      <c r="JH95" t="s">
        <v>2412</v>
      </c>
      <c r="JI95" t="s">
        <v>494</v>
      </c>
      <c r="JJ95" t="s">
        <v>495</v>
      </c>
      <c r="JK95" s="8" t="s">
        <v>1466</v>
      </c>
      <c r="JN95" t="s">
        <v>508</v>
      </c>
      <c r="JO95">
        <v>40</v>
      </c>
      <c r="JP95">
        <v>50</v>
      </c>
      <c r="KD95" t="s">
        <v>500</v>
      </c>
      <c r="MR95" t="s">
        <v>2413</v>
      </c>
      <c r="MS95">
        <v>36</v>
      </c>
      <c r="MT95" t="s">
        <v>2414</v>
      </c>
      <c r="MV95" t="s">
        <v>548</v>
      </c>
      <c r="NC95" t="s">
        <v>2415</v>
      </c>
      <c r="ND95" t="s">
        <v>1068</v>
      </c>
      <c r="NE95" t="s">
        <v>2417</v>
      </c>
      <c r="NF95" s="4" t="s">
        <v>1069</v>
      </c>
      <c r="NO95" s="69" t="s">
        <v>517</v>
      </c>
      <c r="NP95" t="s">
        <v>518</v>
      </c>
      <c r="NQ95">
        <v>0.8</v>
      </c>
      <c r="NR95" s="4" t="s">
        <v>866</v>
      </c>
      <c r="NS95" s="4" t="s">
        <v>866</v>
      </c>
      <c r="NV95">
        <v>4</v>
      </c>
      <c r="OG95" t="s">
        <v>2418</v>
      </c>
      <c r="OH95" s="78" t="s">
        <v>475</v>
      </c>
      <c r="OI95">
        <v>2008</v>
      </c>
      <c r="OL95" t="s">
        <v>2448</v>
      </c>
      <c r="ON95" t="s">
        <v>522</v>
      </c>
      <c r="OO95" s="50">
        <v>46105</v>
      </c>
    </row>
    <row r="96" spans="1:405" ht="15.75" thickBot="1">
      <c r="A96" t="s">
        <v>469</v>
      </c>
      <c r="B96" t="s">
        <v>2406</v>
      </c>
      <c r="C96" t="s">
        <v>667</v>
      </c>
      <c r="D96" s="89" t="s">
        <v>1179</v>
      </c>
      <c r="E96" s="81" t="s">
        <v>2407</v>
      </c>
      <c r="F96" s="89" t="s">
        <v>1179</v>
      </c>
      <c r="G96" s="78" t="s">
        <v>475</v>
      </c>
      <c r="H96" s="78" t="s">
        <v>476</v>
      </c>
      <c r="I96">
        <v>-0.41666666699999999</v>
      </c>
      <c r="J96">
        <v>34.200000000000003</v>
      </c>
      <c r="K96" s="78" t="s">
        <v>480</v>
      </c>
      <c r="AV96" t="s">
        <v>2408</v>
      </c>
      <c r="AW96">
        <v>42</v>
      </c>
      <c r="AX96" t="s">
        <v>866</v>
      </c>
      <c r="AY96">
        <v>1</v>
      </c>
      <c r="AZ96" t="s">
        <v>2447</v>
      </c>
      <c r="BA96">
        <v>2007</v>
      </c>
      <c r="BB96">
        <v>2008</v>
      </c>
      <c r="BD96" t="s">
        <v>998</v>
      </c>
      <c r="BE96" t="s">
        <v>2420</v>
      </c>
      <c r="BF96" t="s">
        <v>536</v>
      </c>
      <c r="BH96" t="s">
        <v>485</v>
      </c>
      <c r="BI96" t="s">
        <v>2411</v>
      </c>
      <c r="BJ96" s="78" t="s">
        <v>486</v>
      </c>
      <c r="BK96">
        <v>44444</v>
      </c>
      <c r="BL96" t="s">
        <v>537</v>
      </c>
      <c r="BM96" t="s">
        <v>1425</v>
      </c>
      <c r="BN96" t="s">
        <v>2421</v>
      </c>
      <c r="BO96" s="78" t="s">
        <v>486</v>
      </c>
      <c r="BP96">
        <v>44444</v>
      </c>
      <c r="IF96" t="s">
        <v>2420</v>
      </c>
      <c r="IG96" s="75" t="s">
        <v>1714</v>
      </c>
      <c r="IH96" t="s">
        <v>542</v>
      </c>
      <c r="II96" t="s">
        <v>543</v>
      </c>
      <c r="IJ96" t="s">
        <v>1049</v>
      </c>
      <c r="IK96" t="s">
        <v>1049</v>
      </c>
      <c r="IL96" s="78" t="s">
        <v>480</v>
      </c>
      <c r="JH96" t="s">
        <v>2412</v>
      </c>
      <c r="JI96" t="s">
        <v>494</v>
      </c>
      <c r="JJ96" t="s">
        <v>495</v>
      </c>
      <c r="JK96" s="8" t="s">
        <v>1466</v>
      </c>
      <c r="JN96" t="s">
        <v>508</v>
      </c>
      <c r="JO96">
        <v>40</v>
      </c>
      <c r="JP96">
        <v>50</v>
      </c>
      <c r="KD96" t="s">
        <v>500</v>
      </c>
      <c r="MR96" t="s">
        <v>2413</v>
      </c>
      <c r="MS96">
        <v>36</v>
      </c>
      <c r="MT96" t="s">
        <v>2422</v>
      </c>
      <c r="MV96" t="s">
        <v>548</v>
      </c>
      <c r="MW96" t="s">
        <v>1674</v>
      </c>
      <c r="NC96" t="s">
        <v>2423</v>
      </c>
      <c r="ND96" t="s">
        <v>1068</v>
      </c>
      <c r="NE96" t="s">
        <v>2417</v>
      </c>
      <c r="NF96" s="4" t="s">
        <v>1069</v>
      </c>
      <c r="NO96" s="69"/>
      <c r="NP96" t="s">
        <v>518</v>
      </c>
      <c r="NQ96">
        <v>1</v>
      </c>
      <c r="NR96" s="4" t="s">
        <v>866</v>
      </c>
      <c r="NS96" s="4" t="s">
        <v>866</v>
      </c>
      <c r="NV96">
        <v>4</v>
      </c>
      <c r="OG96" t="s">
        <v>2418</v>
      </c>
      <c r="OH96" s="78" t="s">
        <v>475</v>
      </c>
      <c r="OI96">
        <v>2008</v>
      </c>
      <c r="OL96" t="s">
        <v>2448</v>
      </c>
      <c r="ON96" t="s">
        <v>522</v>
      </c>
      <c r="OO96" s="50">
        <v>46105</v>
      </c>
    </row>
    <row r="97" spans="1:405" ht="15.75" thickBot="1">
      <c r="A97" t="s">
        <v>469</v>
      </c>
      <c r="B97" t="s">
        <v>2406</v>
      </c>
      <c r="C97" t="s">
        <v>667</v>
      </c>
      <c r="D97" s="89" t="s">
        <v>1179</v>
      </c>
      <c r="E97" s="81" t="s">
        <v>2407</v>
      </c>
      <c r="F97" s="89" t="s">
        <v>1179</v>
      </c>
      <c r="G97" s="78" t="s">
        <v>475</v>
      </c>
      <c r="H97" s="78" t="s">
        <v>476</v>
      </c>
      <c r="I97">
        <v>-0.41666666699999999</v>
      </c>
      <c r="J97">
        <v>34.200000000000003</v>
      </c>
      <c r="K97" s="78" t="s">
        <v>480</v>
      </c>
      <c r="AV97" t="s">
        <v>2408</v>
      </c>
      <c r="AW97">
        <v>43</v>
      </c>
      <c r="AX97" t="s">
        <v>866</v>
      </c>
      <c r="AY97">
        <v>1</v>
      </c>
      <c r="AZ97" t="s">
        <v>2447</v>
      </c>
      <c r="BA97">
        <v>2007</v>
      </c>
      <c r="BB97">
        <v>2008</v>
      </c>
      <c r="BD97" t="s">
        <v>998</v>
      </c>
      <c r="BE97" t="s">
        <v>2424</v>
      </c>
      <c r="BF97" t="s">
        <v>566</v>
      </c>
      <c r="BH97" t="s">
        <v>485</v>
      </c>
      <c r="BI97" t="s">
        <v>2411</v>
      </c>
      <c r="BJ97" s="78" t="s">
        <v>486</v>
      </c>
      <c r="BK97">
        <v>44444</v>
      </c>
      <c r="BL97" t="s">
        <v>537</v>
      </c>
      <c r="BM97" t="s">
        <v>2425</v>
      </c>
      <c r="BN97" t="s">
        <v>866</v>
      </c>
      <c r="BO97" t="s">
        <v>866</v>
      </c>
      <c r="BP97" t="s">
        <v>866</v>
      </c>
      <c r="IF97" t="s">
        <v>2424</v>
      </c>
      <c r="IG97" s="75" t="s">
        <v>2426</v>
      </c>
      <c r="IH97" t="s">
        <v>542</v>
      </c>
      <c r="II97" t="s">
        <v>543</v>
      </c>
      <c r="IJ97" t="s">
        <v>1049</v>
      </c>
      <c r="IK97" t="s">
        <v>1049</v>
      </c>
      <c r="IL97" s="78" t="s">
        <v>480</v>
      </c>
      <c r="JH97" t="s">
        <v>2412</v>
      </c>
      <c r="JI97" t="s">
        <v>494</v>
      </c>
      <c r="JJ97" t="s">
        <v>495</v>
      </c>
      <c r="JK97" s="8" t="s">
        <v>1466</v>
      </c>
      <c r="JN97" t="s">
        <v>508</v>
      </c>
      <c r="JO97">
        <v>40</v>
      </c>
      <c r="JP97">
        <v>50</v>
      </c>
      <c r="KD97" t="s">
        <v>500</v>
      </c>
      <c r="MR97" t="s">
        <v>2413</v>
      </c>
      <c r="MS97">
        <v>36</v>
      </c>
      <c r="MT97" t="s">
        <v>2427</v>
      </c>
      <c r="MV97" t="s">
        <v>548</v>
      </c>
      <c r="MW97" t="s">
        <v>2428</v>
      </c>
      <c r="MX97" t="s">
        <v>2429</v>
      </c>
      <c r="NC97" t="s">
        <v>2423</v>
      </c>
      <c r="ND97" t="s">
        <v>1068</v>
      </c>
      <c r="NE97" t="s">
        <v>2417</v>
      </c>
      <c r="NF97" s="4" t="s">
        <v>1069</v>
      </c>
      <c r="NO97" s="69"/>
      <c r="NP97" t="s">
        <v>518</v>
      </c>
      <c r="NQ97">
        <v>1.9</v>
      </c>
      <c r="NR97" s="4" t="s">
        <v>866</v>
      </c>
      <c r="NS97" s="4" t="s">
        <v>866</v>
      </c>
      <c r="NV97">
        <v>4</v>
      </c>
      <c r="OG97" t="s">
        <v>2418</v>
      </c>
      <c r="OH97" s="78" t="s">
        <v>475</v>
      </c>
      <c r="OI97">
        <v>2008</v>
      </c>
      <c r="OL97" t="s">
        <v>2448</v>
      </c>
      <c r="ON97" t="s">
        <v>522</v>
      </c>
      <c r="OO97" s="50">
        <v>46105</v>
      </c>
    </row>
    <row r="98" spans="1:405" ht="15.75" thickBot="1">
      <c r="A98" t="s">
        <v>469</v>
      </c>
      <c r="B98" t="s">
        <v>2406</v>
      </c>
      <c r="C98" t="s">
        <v>667</v>
      </c>
      <c r="D98" s="89" t="s">
        <v>1179</v>
      </c>
      <c r="E98" s="81" t="s">
        <v>2407</v>
      </c>
      <c r="F98" s="89" t="s">
        <v>1179</v>
      </c>
      <c r="G98" s="78" t="s">
        <v>475</v>
      </c>
      <c r="H98" s="78" t="s">
        <v>476</v>
      </c>
      <c r="I98">
        <v>-0.41666666699999999</v>
      </c>
      <c r="J98">
        <v>34.200000000000003</v>
      </c>
      <c r="K98" s="78" t="s">
        <v>480</v>
      </c>
      <c r="AV98" t="s">
        <v>2408</v>
      </c>
      <c r="AW98">
        <v>44</v>
      </c>
      <c r="AX98" t="s">
        <v>866</v>
      </c>
      <c r="AY98">
        <v>1</v>
      </c>
      <c r="AZ98" t="s">
        <v>2447</v>
      </c>
      <c r="BA98">
        <v>2007</v>
      </c>
      <c r="BB98">
        <v>2008</v>
      </c>
      <c r="BD98" t="s">
        <v>998</v>
      </c>
      <c r="BE98" t="s">
        <v>2430</v>
      </c>
      <c r="BF98" t="s">
        <v>572</v>
      </c>
      <c r="BH98" t="s">
        <v>485</v>
      </c>
      <c r="BI98" t="s">
        <v>2411</v>
      </c>
      <c r="BJ98" s="78" t="s">
        <v>486</v>
      </c>
      <c r="BK98">
        <v>44444</v>
      </c>
      <c r="BL98" t="s">
        <v>537</v>
      </c>
      <c r="BM98" t="s">
        <v>1425</v>
      </c>
      <c r="BN98" t="s">
        <v>2421</v>
      </c>
      <c r="BO98" s="78" t="s">
        <v>486</v>
      </c>
      <c r="BP98">
        <v>44444</v>
      </c>
      <c r="BQ98" t="s">
        <v>537</v>
      </c>
      <c r="BR98" t="s">
        <v>2425</v>
      </c>
      <c r="BS98" t="s">
        <v>866</v>
      </c>
      <c r="BT98" t="s">
        <v>866</v>
      </c>
      <c r="BU98" t="s">
        <v>866</v>
      </c>
      <c r="IF98" t="s">
        <v>2430</v>
      </c>
      <c r="IG98" s="75" t="s">
        <v>2426</v>
      </c>
      <c r="IH98" t="s">
        <v>542</v>
      </c>
      <c r="II98" t="s">
        <v>543</v>
      </c>
      <c r="IJ98" t="s">
        <v>1049</v>
      </c>
      <c r="IK98" t="s">
        <v>1049</v>
      </c>
      <c r="IL98" s="78" t="s">
        <v>480</v>
      </c>
      <c r="JH98" t="s">
        <v>2412</v>
      </c>
      <c r="JI98" t="s">
        <v>494</v>
      </c>
      <c r="JJ98" t="s">
        <v>495</v>
      </c>
      <c r="JK98" s="8" t="s">
        <v>1466</v>
      </c>
      <c r="JN98" t="s">
        <v>508</v>
      </c>
      <c r="JO98">
        <v>40</v>
      </c>
      <c r="JP98">
        <v>50</v>
      </c>
      <c r="KD98" t="s">
        <v>500</v>
      </c>
      <c r="MR98" t="s">
        <v>2413</v>
      </c>
      <c r="MS98">
        <v>36</v>
      </c>
      <c r="MT98" t="s">
        <v>2431</v>
      </c>
      <c r="MV98" t="s">
        <v>548</v>
      </c>
      <c r="MW98" t="s">
        <v>1674</v>
      </c>
      <c r="MX98" t="s">
        <v>2428</v>
      </c>
      <c r="MY98" t="s">
        <v>2429</v>
      </c>
      <c r="NC98" t="s">
        <v>2423</v>
      </c>
      <c r="ND98" t="s">
        <v>1068</v>
      </c>
      <c r="NE98" t="s">
        <v>2417</v>
      </c>
      <c r="NF98" s="4" t="s">
        <v>1069</v>
      </c>
      <c r="NO98" s="69"/>
      <c r="NP98" t="s">
        <v>518</v>
      </c>
      <c r="NQ98">
        <v>1.8</v>
      </c>
      <c r="NR98" s="4" t="s">
        <v>866</v>
      </c>
      <c r="NS98" s="4" t="s">
        <v>866</v>
      </c>
      <c r="NV98">
        <v>4</v>
      </c>
      <c r="OG98" t="s">
        <v>2418</v>
      </c>
      <c r="OH98" s="78" t="s">
        <v>475</v>
      </c>
      <c r="OI98">
        <v>2008</v>
      </c>
      <c r="OL98" t="s">
        <v>2448</v>
      </c>
      <c r="ON98" t="s">
        <v>522</v>
      </c>
      <c r="OO98" s="50">
        <v>46105</v>
      </c>
    </row>
    <row r="99" spans="1:405" ht="15.75" thickBot="1">
      <c r="A99" t="s">
        <v>469</v>
      </c>
      <c r="B99" t="s">
        <v>2406</v>
      </c>
      <c r="C99" t="s">
        <v>667</v>
      </c>
      <c r="D99" s="89" t="s">
        <v>1179</v>
      </c>
      <c r="E99" s="81" t="s">
        <v>2407</v>
      </c>
      <c r="F99" s="89" t="s">
        <v>1179</v>
      </c>
      <c r="G99" s="78" t="s">
        <v>475</v>
      </c>
      <c r="H99" s="78" t="s">
        <v>476</v>
      </c>
      <c r="I99">
        <v>-0.41666666699999999</v>
      </c>
      <c r="J99">
        <v>34.200000000000003</v>
      </c>
      <c r="K99" s="78" t="s">
        <v>480</v>
      </c>
      <c r="AV99" t="s">
        <v>2408</v>
      </c>
      <c r="AW99">
        <v>45</v>
      </c>
      <c r="AX99" t="s">
        <v>866</v>
      </c>
      <c r="AY99">
        <v>1</v>
      </c>
      <c r="AZ99" t="s">
        <v>2447</v>
      </c>
      <c r="BA99">
        <v>2007</v>
      </c>
      <c r="BB99">
        <v>2008</v>
      </c>
      <c r="BD99" t="s">
        <v>998</v>
      </c>
      <c r="BE99" t="s">
        <v>2442</v>
      </c>
      <c r="BF99" t="s">
        <v>553</v>
      </c>
      <c r="BH99" t="s">
        <v>485</v>
      </c>
      <c r="BI99" t="s">
        <v>2411</v>
      </c>
      <c r="BJ99" s="78" t="s">
        <v>486</v>
      </c>
      <c r="BK99">
        <v>44444</v>
      </c>
      <c r="BL99" t="s">
        <v>537</v>
      </c>
      <c r="BM99" t="s">
        <v>1425</v>
      </c>
      <c r="BN99" t="s">
        <v>2421</v>
      </c>
      <c r="BO99" s="78" t="s">
        <v>486</v>
      </c>
      <c r="BP99">
        <v>44444</v>
      </c>
      <c r="BQ99" t="s">
        <v>537</v>
      </c>
      <c r="BR99" t="s">
        <v>2425</v>
      </c>
      <c r="BS99" t="s">
        <v>866</v>
      </c>
      <c r="BT99" t="s">
        <v>866</v>
      </c>
      <c r="BU99" t="s">
        <v>866</v>
      </c>
      <c r="IF99" t="s">
        <v>2442</v>
      </c>
      <c r="IG99" s="75" t="s">
        <v>2426</v>
      </c>
      <c r="IH99" t="s">
        <v>542</v>
      </c>
      <c r="II99" t="s">
        <v>543</v>
      </c>
      <c r="IJ99" t="s">
        <v>1049</v>
      </c>
      <c r="IK99" t="s">
        <v>1049</v>
      </c>
      <c r="IL99" s="78" t="s">
        <v>480</v>
      </c>
      <c r="JH99" t="s">
        <v>2412</v>
      </c>
      <c r="JI99" t="s">
        <v>494</v>
      </c>
      <c r="JJ99" t="s">
        <v>495</v>
      </c>
      <c r="JK99" s="8" t="s">
        <v>1466</v>
      </c>
      <c r="JN99" t="s">
        <v>508</v>
      </c>
      <c r="JO99">
        <v>40</v>
      </c>
      <c r="JP99">
        <v>50</v>
      </c>
      <c r="KD99" t="s">
        <v>500</v>
      </c>
      <c r="MR99" t="s">
        <v>2413</v>
      </c>
      <c r="MS99">
        <v>36</v>
      </c>
      <c r="MT99" t="s">
        <v>2431</v>
      </c>
      <c r="MV99" t="s">
        <v>548</v>
      </c>
      <c r="MW99" t="s">
        <v>1674</v>
      </c>
      <c r="MX99" t="s">
        <v>2428</v>
      </c>
      <c r="MY99" t="s">
        <v>2429</v>
      </c>
      <c r="NC99" t="s">
        <v>2423</v>
      </c>
      <c r="ND99" t="s">
        <v>1068</v>
      </c>
      <c r="NE99" t="s">
        <v>2417</v>
      </c>
      <c r="NF99" s="4" t="s">
        <v>1069</v>
      </c>
      <c r="NO99" s="69"/>
      <c r="NP99" t="s">
        <v>518</v>
      </c>
      <c r="NQ99">
        <v>1.9</v>
      </c>
      <c r="NR99" s="4" t="s">
        <v>866</v>
      </c>
      <c r="NS99" s="4" t="s">
        <v>866</v>
      </c>
      <c r="NV99">
        <v>4</v>
      </c>
      <c r="OG99" t="s">
        <v>2418</v>
      </c>
      <c r="OH99" s="78" t="s">
        <v>475</v>
      </c>
      <c r="OI99">
        <v>2008</v>
      </c>
      <c r="OL99" t="s">
        <v>2448</v>
      </c>
      <c r="ON99" t="s">
        <v>522</v>
      </c>
      <c r="OO99" s="50">
        <v>46105</v>
      </c>
    </row>
    <row r="100" spans="1:405" ht="15.75" thickBot="1">
      <c r="A100" t="s">
        <v>469</v>
      </c>
      <c r="B100" t="s">
        <v>2406</v>
      </c>
      <c r="C100" t="s">
        <v>667</v>
      </c>
      <c r="D100" s="89" t="s">
        <v>1179</v>
      </c>
      <c r="E100" s="81" t="s">
        <v>2407</v>
      </c>
      <c r="F100" s="89" t="s">
        <v>1179</v>
      </c>
      <c r="G100" s="78" t="s">
        <v>475</v>
      </c>
      <c r="H100" s="78" t="s">
        <v>476</v>
      </c>
      <c r="I100">
        <v>-0.41666666699999999</v>
      </c>
      <c r="J100">
        <v>34.200000000000003</v>
      </c>
      <c r="K100" s="78" t="s">
        <v>480</v>
      </c>
      <c r="AV100" t="s">
        <v>2408</v>
      </c>
      <c r="AW100">
        <v>46</v>
      </c>
      <c r="AX100" t="s">
        <v>866</v>
      </c>
      <c r="AY100">
        <v>1</v>
      </c>
      <c r="AZ100" t="s">
        <v>2466</v>
      </c>
      <c r="BA100">
        <v>2007</v>
      </c>
      <c r="BB100">
        <v>2008</v>
      </c>
      <c r="BD100" t="s">
        <v>492</v>
      </c>
      <c r="BE100" t="s">
        <v>2467</v>
      </c>
      <c r="BF100" t="s">
        <v>483</v>
      </c>
      <c r="BH100" t="s">
        <v>485</v>
      </c>
      <c r="BI100" t="s">
        <v>2411</v>
      </c>
      <c r="BJ100" s="78" t="s">
        <v>486</v>
      </c>
      <c r="BK100">
        <v>44444</v>
      </c>
      <c r="IF100" t="s">
        <v>2467</v>
      </c>
      <c r="IG100" t="s">
        <v>492</v>
      </c>
      <c r="JH100" t="s">
        <v>2412</v>
      </c>
      <c r="JI100" t="s">
        <v>494</v>
      </c>
      <c r="JJ100" t="s">
        <v>495</v>
      </c>
      <c r="JK100" s="8" t="s">
        <v>1466</v>
      </c>
      <c r="JN100" t="s">
        <v>508</v>
      </c>
      <c r="JO100">
        <v>40</v>
      </c>
      <c r="JP100">
        <v>50</v>
      </c>
      <c r="KD100" t="s">
        <v>500</v>
      </c>
      <c r="MR100" t="s">
        <v>2413</v>
      </c>
      <c r="MS100">
        <v>36</v>
      </c>
      <c r="MT100" t="s">
        <v>2414</v>
      </c>
      <c r="MV100" t="s">
        <v>548</v>
      </c>
      <c r="NC100" t="s">
        <v>2415</v>
      </c>
      <c r="ND100" t="s">
        <v>1068</v>
      </c>
      <c r="NE100" t="s">
        <v>2417</v>
      </c>
      <c r="NF100" s="4" t="s">
        <v>1069</v>
      </c>
      <c r="NO100" s="69" t="s">
        <v>604</v>
      </c>
      <c r="NP100" t="s">
        <v>518</v>
      </c>
      <c r="NQ100">
        <v>1.1000000000000001</v>
      </c>
      <c r="NR100" s="4" t="s">
        <v>866</v>
      </c>
      <c r="NS100" s="4" t="s">
        <v>866</v>
      </c>
      <c r="NV100">
        <v>4</v>
      </c>
      <c r="OG100" t="s">
        <v>2468</v>
      </c>
      <c r="OH100" s="78" t="s">
        <v>475</v>
      </c>
      <c r="OI100">
        <v>2007</v>
      </c>
      <c r="OL100" t="s">
        <v>2448</v>
      </c>
      <c r="ON100" t="s">
        <v>522</v>
      </c>
      <c r="OO100" s="50">
        <v>46105</v>
      </c>
    </row>
    <row r="101" spans="1:405" ht="15.75" thickBot="1">
      <c r="A101" t="s">
        <v>469</v>
      </c>
      <c r="B101" t="s">
        <v>2406</v>
      </c>
      <c r="C101" t="s">
        <v>667</v>
      </c>
      <c r="D101" s="89" t="s">
        <v>1179</v>
      </c>
      <c r="E101" s="81" t="s">
        <v>2407</v>
      </c>
      <c r="F101" s="89" t="s">
        <v>1179</v>
      </c>
      <c r="G101" s="78" t="s">
        <v>475</v>
      </c>
      <c r="H101" s="78" t="s">
        <v>476</v>
      </c>
      <c r="I101">
        <v>-0.41666666699999999</v>
      </c>
      <c r="J101">
        <v>34.200000000000003</v>
      </c>
      <c r="K101" s="78" t="s">
        <v>480</v>
      </c>
      <c r="AV101" t="s">
        <v>2408</v>
      </c>
      <c r="AW101">
        <v>47</v>
      </c>
      <c r="AX101" t="s">
        <v>866</v>
      </c>
      <c r="AY101">
        <v>1</v>
      </c>
      <c r="AZ101" t="s">
        <v>2466</v>
      </c>
      <c r="BA101">
        <v>2007</v>
      </c>
      <c r="BB101">
        <v>2008</v>
      </c>
      <c r="BD101" t="s">
        <v>998</v>
      </c>
      <c r="BE101" t="s">
        <v>2472</v>
      </c>
      <c r="BF101" t="s">
        <v>607</v>
      </c>
      <c r="BH101" t="s">
        <v>485</v>
      </c>
      <c r="BI101" t="s">
        <v>2411</v>
      </c>
      <c r="BJ101" s="78" t="s">
        <v>486</v>
      </c>
      <c r="BK101">
        <v>44444</v>
      </c>
      <c r="BL101" t="s">
        <v>537</v>
      </c>
      <c r="BM101" t="s">
        <v>1425</v>
      </c>
      <c r="BN101" t="s">
        <v>2421</v>
      </c>
      <c r="BO101" s="78" t="s">
        <v>486</v>
      </c>
      <c r="BP101">
        <v>44444</v>
      </c>
      <c r="IF101" t="s">
        <v>2472</v>
      </c>
      <c r="IG101" s="75" t="s">
        <v>1714</v>
      </c>
      <c r="IH101" t="s">
        <v>542</v>
      </c>
      <c r="II101" t="s">
        <v>543</v>
      </c>
      <c r="IJ101" t="s">
        <v>1049</v>
      </c>
      <c r="IK101" t="s">
        <v>1049</v>
      </c>
      <c r="IL101" s="78" t="s">
        <v>480</v>
      </c>
      <c r="JH101" t="s">
        <v>2412</v>
      </c>
      <c r="JI101" t="s">
        <v>494</v>
      </c>
      <c r="JJ101" t="s">
        <v>495</v>
      </c>
      <c r="JK101" s="8" t="s">
        <v>1466</v>
      </c>
      <c r="JN101" t="s">
        <v>508</v>
      </c>
      <c r="JO101">
        <v>40</v>
      </c>
      <c r="JP101">
        <v>50</v>
      </c>
      <c r="KD101" t="s">
        <v>500</v>
      </c>
      <c r="MR101" t="s">
        <v>2413</v>
      </c>
      <c r="MS101">
        <v>36</v>
      </c>
      <c r="MT101" t="s">
        <v>2422</v>
      </c>
      <c r="MV101" t="s">
        <v>548</v>
      </c>
      <c r="MW101" t="s">
        <v>1674</v>
      </c>
      <c r="NC101" t="s">
        <v>2423</v>
      </c>
      <c r="ND101" t="s">
        <v>1068</v>
      </c>
      <c r="NE101" t="s">
        <v>2417</v>
      </c>
      <c r="NF101" s="4" t="s">
        <v>1069</v>
      </c>
      <c r="NO101" s="69"/>
      <c r="NP101" t="s">
        <v>518</v>
      </c>
      <c r="NQ101">
        <v>1.1000000000000001</v>
      </c>
      <c r="NR101" s="4" t="s">
        <v>866</v>
      </c>
      <c r="NS101" s="4" t="s">
        <v>866</v>
      </c>
      <c r="NV101">
        <v>4</v>
      </c>
      <c r="OG101" t="s">
        <v>2468</v>
      </c>
      <c r="OH101" s="78" t="s">
        <v>475</v>
      </c>
      <c r="OI101">
        <v>2007</v>
      </c>
      <c r="OL101" t="s">
        <v>2448</v>
      </c>
      <c r="ON101" t="s">
        <v>522</v>
      </c>
      <c r="OO101" s="50">
        <v>46105</v>
      </c>
    </row>
    <row r="102" spans="1:405" ht="15.75" thickBot="1">
      <c r="A102" t="s">
        <v>469</v>
      </c>
      <c r="B102" t="s">
        <v>2406</v>
      </c>
      <c r="C102" t="s">
        <v>667</v>
      </c>
      <c r="D102" s="89" t="s">
        <v>1179</v>
      </c>
      <c r="E102" s="81" t="s">
        <v>2407</v>
      </c>
      <c r="F102" s="89" t="s">
        <v>1179</v>
      </c>
      <c r="G102" s="78" t="s">
        <v>475</v>
      </c>
      <c r="H102" s="78" t="s">
        <v>476</v>
      </c>
      <c r="I102">
        <v>-0.41666666699999999</v>
      </c>
      <c r="J102">
        <v>34.200000000000003</v>
      </c>
      <c r="K102" s="78" t="s">
        <v>480</v>
      </c>
      <c r="AV102" t="s">
        <v>2408</v>
      </c>
      <c r="AW102">
        <v>48</v>
      </c>
      <c r="AX102" t="s">
        <v>866</v>
      </c>
      <c r="AY102">
        <v>1</v>
      </c>
      <c r="AZ102" t="s">
        <v>2466</v>
      </c>
      <c r="BA102">
        <v>2007</v>
      </c>
      <c r="BB102">
        <v>2008</v>
      </c>
      <c r="BD102" t="s">
        <v>998</v>
      </c>
      <c r="BE102" t="s">
        <v>2476</v>
      </c>
      <c r="BF102" t="s">
        <v>611</v>
      </c>
      <c r="BH102" t="s">
        <v>485</v>
      </c>
      <c r="BI102" t="s">
        <v>2411</v>
      </c>
      <c r="BJ102" s="78" t="s">
        <v>486</v>
      </c>
      <c r="BK102">
        <v>44444</v>
      </c>
      <c r="BL102" t="s">
        <v>537</v>
      </c>
      <c r="BM102" t="s">
        <v>2425</v>
      </c>
      <c r="BN102" t="s">
        <v>866</v>
      </c>
      <c r="BO102" t="s">
        <v>866</v>
      </c>
      <c r="BP102" t="s">
        <v>866</v>
      </c>
      <c r="IF102" t="s">
        <v>2476</v>
      </c>
      <c r="IG102" s="75" t="s">
        <v>2426</v>
      </c>
      <c r="IH102" t="s">
        <v>542</v>
      </c>
      <c r="II102" t="s">
        <v>543</v>
      </c>
      <c r="IJ102" t="s">
        <v>1049</v>
      </c>
      <c r="IK102" t="s">
        <v>1049</v>
      </c>
      <c r="IL102" s="78" t="s">
        <v>480</v>
      </c>
      <c r="JH102" t="s">
        <v>2412</v>
      </c>
      <c r="JI102" t="s">
        <v>494</v>
      </c>
      <c r="JJ102" t="s">
        <v>495</v>
      </c>
      <c r="JK102" s="8" t="s">
        <v>1466</v>
      </c>
      <c r="JN102" t="s">
        <v>508</v>
      </c>
      <c r="JO102">
        <v>40</v>
      </c>
      <c r="JP102">
        <v>50</v>
      </c>
      <c r="KD102" t="s">
        <v>500</v>
      </c>
      <c r="MR102" t="s">
        <v>2413</v>
      </c>
      <c r="MS102">
        <v>36</v>
      </c>
      <c r="MT102" t="s">
        <v>2427</v>
      </c>
      <c r="MV102" t="s">
        <v>548</v>
      </c>
      <c r="MW102" t="s">
        <v>2428</v>
      </c>
      <c r="MX102" t="s">
        <v>2429</v>
      </c>
      <c r="NC102" t="s">
        <v>2423</v>
      </c>
      <c r="ND102" t="s">
        <v>1068</v>
      </c>
      <c r="NE102" t="s">
        <v>2417</v>
      </c>
      <c r="NF102" s="4" t="s">
        <v>1069</v>
      </c>
      <c r="NO102" s="69"/>
      <c r="NP102" t="s">
        <v>518</v>
      </c>
      <c r="NQ102">
        <v>2.2000000000000002</v>
      </c>
      <c r="NR102" s="4" t="s">
        <v>866</v>
      </c>
      <c r="NS102" s="4" t="s">
        <v>866</v>
      </c>
      <c r="NV102">
        <v>4</v>
      </c>
      <c r="OG102" t="s">
        <v>2468</v>
      </c>
      <c r="OH102" s="78" t="s">
        <v>475</v>
      </c>
      <c r="OI102">
        <v>2007</v>
      </c>
      <c r="OL102" t="s">
        <v>2448</v>
      </c>
      <c r="ON102" t="s">
        <v>522</v>
      </c>
      <c r="OO102" s="50">
        <v>46105</v>
      </c>
    </row>
    <row r="103" spans="1:405" ht="15.75" thickBot="1">
      <c r="A103" t="s">
        <v>469</v>
      </c>
      <c r="B103" t="s">
        <v>2406</v>
      </c>
      <c r="C103" t="s">
        <v>667</v>
      </c>
      <c r="D103" s="89" t="s">
        <v>1179</v>
      </c>
      <c r="E103" s="81" t="s">
        <v>2407</v>
      </c>
      <c r="F103" s="89" t="s">
        <v>1179</v>
      </c>
      <c r="G103" s="78" t="s">
        <v>475</v>
      </c>
      <c r="H103" s="78" t="s">
        <v>476</v>
      </c>
      <c r="I103">
        <v>-0.41666666699999999</v>
      </c>
      <c r="J103">
        <v>34.200000000000003</v>
      </c>
      <c r="K103" s="78" t="s">
        <v>480</v>
      </c>
      <c r="AV103" t="s">
        <v>2408</v>
      </c>
      <c r="AW103">
        <v>49</v>
      </c>
      <c r="AX103" t="s">
        <v>866</v>
      </c>
      <c r="AY103">
        <v>1</v>
      </c>
      <c r="AZ103" t="s">
        <v>2466</v>
      </c>
      <c r="BA103">
        <v>2007</v>
      </c>
      <c r="BB103">
        <v>2008</v>
      </c>
      <c r="BD103" t="s">
        <v>998</v>
      </c>
      <c r="BE103" t="s">
        <v>2480</v>
      </c>
      <c r="BF103" t="s">
        <v>615</v>
      </c>
      <c r="BH103" t="s">
        <v>485</v>
      </c>
      <c r="BI103" t="s">
        <v>2411</v>
      </c>
      <c r="BJ103" s="78" t="s">
        <v>486</v>
      </c>
      <c r="BK103">
        <v>44444</v>
      </c>
      <c r="BL103" t="s">
        <v>537</v>
      </c>
      <c r="BM103" t="s">
        <v>1425</v>
      </c>
      <c r="BN103" t="s">
        <v>2421</v>
      </c>
      <c r="BO103" s="78" t="s">
        <v>486</v>
      </c>
      <c r="BP103">
        <v>44444</v>
      </c>
      <c r="BQ103" t="s">
        <v>537</v>
      </c>
      <c r="BR103" t="s">
        <v>2425</v>
      </c>
      <c r="BS103" t="s">
        <v>866</v>
      </c>
      <c r="BT103" t="s">
        <v>866</v>
      </c>
      <c r="BU103" t="s">
        <v>866</v>
      </c>
      <c r="IF103" t="s">
        <v>2480</v>
      </c>
      <c r="IG103" s="75" t="s">
        <v>2426</v>
      </c>
      <c r="IH103" t="s">
        <v>542</v>
      </c>
      <c r="II103" t="s">
        <v>543</v>
      </c>
      <c r="IJ103" t="s">
        <v>1049</v>
      </c>
      <c r="IK103" t="s">
        <v>1049</v>
      </c>
      <c r="IL103" s="78" t="s">
        <v>480</v>
      </c>
      <c r="JH103" t="s">
        <v>2412</v>
      </c>
      <c r="JI103" t="s">
        <v>494</v>
      </c>
      <c r="JJ103" t="s">
        <v>495</v>
      </c>
      <c r="JK103" s="8" t="s">
        <v>1466</v>
      </c>
      <c r="JN103" t="s">
        <v>508</v>
      </c>
      <c r="JO103">
        <v>40</v>
      </c>
      <c r="JP103">
        <v>50</v>
      </c>
      <c r="KD103" t="s">
        <v>500</v>
      </c>
      <c r="MR103" t="s">
        <v>2413</v>
      </c>
      <c r="MS103">
        <v>36</v>
      </c>
      <c r="MT103" t="s">
        <v>2431</v>
      </c>
      <c r="MV103" t="s">
        <v>548</v>
      </c>
      <c r="MW103" t="s">
        <v>1674</v>
      </c>
      <c r="MX103" t="s">
        <v>2428</v>
      </c>
      <c r="MY103" t="s">
        <v>2429</v>
      </c>
      <c r="NC103" t="s">
        <v>2423</v>
      </c>
      <c r="ND103" t="s">
        <v>1068</v>
      </c>
      <c r="NE103" t="s">
        <v>2417</v>
      </c>
      <c r="NF103" s="4" t="s">
        <v>1069</v>
      </c>
      <c r="NO103" s="69"/>
      <c r="NP103" t="s">
        <v>518</v>
      </c>
      <c r="NQ103">
        <v>2.1</v>
      </c>
      <c r="NR103" s="4" t="s">
        <v>866</v>
      </c>
      <c r="NS103" s="4" t="s">
        <v>866</v>
      </c>
      <c r="NV103">
        <v>4</v>
      </c>
      <c r="OG103" t="s">
        <v>2468</v>
      </c>
      <c r="OH103" s="78" t="s">
        <v>475</v>
      </c>
      <c r="OI103">
        <v>2007</v>
      </c>
      <c r="OL103" t="s">
        <v>2448</v>
      </c>
      <c r="ON103" t="s">
        <v>522</v>
      </c>
      <c r="OO103" s="50">
        <v>46105</v>
      </c>
    </row>
    <row r="104" spans="1:405" ht="15.75" thickBot="1">
      <c r="A104" t="s">
        <v>469</v>
      </c>
      <c r="B104" t="s">
        <v>2406</v>
      </c>
      <c r="C104" t="s">
        <v>667</v>
      </c>
      <c r="D104" s="89" t="s">
        <v>1179</v>
      </c>
      <c r="E104" s="81" t="s">
        <v>2407</v>
      </c>
      <c r="F104" s="89" t="s">
        <v>1179</v>
      </c>
      <c r="G104" s="78" t="s">
        <v>475</v>
      </c>
      <c r="H104" s="78" t="s">
        <v>476</v>
      </c>
      <c r="I104">
        <v>-0.41666666699999999</v>
      </c>
      <c r="J104">
        <v>34.200000000000003</v>
      </c>
      <c r="K104" s="78" t="s">
        <v>480</v>
      </c>
      <c r="AV104" t="s">
        <v>2408</v>
      </c>
      <c r="AW104">
        <v>50</v>
      </c>
      <c r="AX104" t="s">
        <v>866</v>
      </c>
      <c r="AY104">
        <v>1</v>
      </c>
      <c r="AZ104" t="s">
        <v>2466</v>
      </c>
      <c r="BA104">
        <v>2007</v>
      </c>
      <c r="BB104">
        <v>2008</v>
      </c>
      <c r="BD104" t="s">
        <v>998</v>
      </c>
      <c r="BE104" t="s">
        <v>2484</v>
      </c>
      <c r="BF104" t="s">
        <v>617</v>
      </c>
      <c r="BH104" t="s">
        <v>485</v>
      </c>
      <c r="BI104" t="s">
        <v>2411</v>
      </c>
      <c r="BJ104" s="78" t="s">
        <v>486</v>
      </c>
      <c r="BK104">
        <v>44444</v>
      </c>
      <c r="BL104" t="s">
        <v>537</v>
      </c>
      <c r="BM104" t="s">
        <v>1425</v>
      </c>
      <c r="BN104" t="s">
        <v>2421</v>
      </c>
      <c r="BO104" s="78" t="s">
        <v>486</v>
      </c>
      <c r="BP104">
        <v>44444</v>
      </c>
      <c r="BQ104" t="s">
        <v>537</v>
      </c>
      <c r="BR104" t="s">
        <v>2425</v>
      </c>
      <c r="BS104" t="s">
        <v>866</v>
      </c>
      <c r="BT104" t="s">
        <v>866</v>
      </c>
      <c r="BU104" t="s">
        <v>866</v>
      </c>
      <c r="IF104" t="s">
        <v>2484</v>
      </c>
      <c r="IG104" s="75" t="s">
        <v>2426</v>
      </c>
      <c r="IH104" t="s">
        <v>542</v>
      </c>
      <c r="II104" t="s">
        <v>543</v>
      </c>
      <c r="IJ104" t="s">
        <v>1049</v>
      </c>
      <c r="IK104" t="s">
        <v>1049</v>
      </c>
      <c r="IL104" s="78" t="s">
        <v>480</v>
      </c>
      <c r="JH104" t="s">
        <v>2412</v>
      </c>
      <c r="JI104" t="s">
        <v>494</v>
      </c>
      <c r="JJ104" t="s">
        <v>495</v>
      </c>
      <c r="JK104" s="8" t="s">
        <v>1466</v>
      </c>
      <c r="JN104" t="s">
        <v>508</v>
      </c>
      <c r="JO104">
        <v>40</v>
      </c>
      <c r="JP104">
        <v>50</v>
      </c>
      <c r="KD104" t="s">
        <v>500</v>
      </c>
      <c r="MR104" t="s">
        <v>2413</v>
      </c>
      <c r="MS104">
        <v>36</v>
      </c>
      <c r="MT104" t="s">
        <v>2431</v>
      </c>
      <c r="MV104" t="s">
        <v>548</v>
      </c>
      <c r="MW104" t="s">
        <v>1674</v>
      </c>
      <c r="MX104" t="s">
        <v>2428</v>
      </c>
      <c r="MY104" t="s">
        <v>2429</v>
      </c>
      <c r="NC104" t="s">
        <v>2423</v>
      </c>
      <c r="ND104" t="s">
        <v>1068</v>
      </c>
      <c r="NE104" t="s">
        <v>2417</v>
      </c>
      <c r="NF104" s="4" t="s">
        <v>1069</v>
      </c>
      <c r="NO104" s="69"/>
      <c r="NP104" t="s">
        <v>518</v>
      </c>
      <c r="NQ104">
        <v>2</v>
      </c>
      <c r="NR104" s="4" t="s">
        <v>866</v>
      </c>
      <c r="NS104" s="4" t="s">
        <v>866</v>
      </c>
      <c r="NV104">
        <v>4</v>
      </c>
      <c r="OG104" t="s">
        <v>2468</v>
      </c>
      <c r="OH104" s="78" t="s">
        <v>475</v>
      </c>
      <c r="OI104">
        <v>2007</v>
      </c>
      <c r="OL104" t="s">
        <v>2448</v>
      </c>
      <c r="ON104" t="s">
        <v>522</v>
      </c>
      <c r="OO104" s="50">
        <v>46105</v>
      </c>
    </row>
    <row r="105" spans="1:405" ht="15.75" thickBot="1">
      <c r="A105" t="s">
        <v>469</v>
      </c>
      <c r="B105" t="s">
        <v>2406</v>
      </c>
      <c r="C105" t="s">
        <v>667</v>
      </c>
      <c r="D105" s="89" t="s">
        <v>1179</v>
      </c>
      <c r="E105" s="81" t="s">
        <v>2407</v>
      </c>
      <c r="F105" s="89" t="s">
        <v>1179</v>
      </c>
      <c r="G105" s="78" t="s">
        <v>475</v>
      </c>
      <c r="H105" s="78" t="s">
        <v>476</v>
      </c>
      <c r="I105">
        <v>-0.41666666699999999</v>
      </c>
      <c r="J105">
        <v>34.200000000000003</v>
      </c>
      <c r="K105" s="78" t="s">
        <v>480</v>
      </c>
      <c r="AV105" t="s">
        <v>2408</v>
      </c>
      <c r="AW105">
        <v>51</v>
      </c>
      <c r="AX105" t="s">
        <v>866</v>
      </c>
      <c r="AY105">
        <v>1</v>
      </c>
      <c r="AZ105" t="s">
        <v>2409</v>
      </c>
      <c r="BA105">
        <v>2007</v>
      </c>
      <c r="BB105">
        <v>2008</v>
      </c>
      <c r="BD105" t="s">
        <v>492</v>
      </c>
      <c r="BE105" t="s">
        <v>2467</v>
      </c>
      <c r="BF105" t="s">
        <v>483</v>
      </c>
      <c r="BH105" t="s">
        <v>485</v>
      </c>
      <c r="BI105" t="s">
        <v>2411</v>
      </c>
      <c r="BJ105" s="78" t="s">
        <v>486</v>
      </c>
      <c r="BK105">
        <v>44444</v>
      </c>
      <c r="IF105" t="s">
        <v>2467</v>
      </c>
      <c r="IG105" t="s">
        <v>492</v>
      </c>
      <c r="JH105" t="s">
        <v>2412</v>
      </c>
      <c r="JI105" t="s">
        <v>494</v>
      </c>
      <c r="JJ105" t="s">
        <v>495</v>
      </c>
      <c r="JK105" s="8" t="s">
        <v>1466</v>
      </c>
      <c r="JN105" t="s">
        <v>508</v>
      </c>
      <c r="JO105">
        <v>40</v>
      </c>
      <c r="JP105">
        <v>50</v>
      </c>
      <c r="KD105" t="s">
        <v>500</v>
      </c>
      <c r="MR105" t="s">
        <v>2413</v>
      </c>
      <c r="MS105">
        <v>36</v>
      </c>
      <c r="MT105" t="s">
        <v>2414</v>
      </c>
      <c r="MV105" t="s">
        <v>548</v>
      </c>
      <c r="NC105" t="s">
        <v>2415</v>
      </c>
      <c r="ND105" t="s">
        <v>1068</v>
      </c>
      <c r="NE105" t="s">
        <v>2417</v>
      </c>
      <c r="NF105" s="4" t="s">
        <v>1069</v>
      </c>
      <c r="NO105" s="69" t="s">
        <v>604</v>
      </c>
      <c r="NP105" t="s">
        <v>518</v>
      </c>
      <c r="NQ105">
        <v>1.1000000000000001</v>
      </c>
      <c r="NR105" s="4" t="s">
        <v>866</v>
      </c>
      <c r="NS105" s="4" t="s">
        <v>866</v>
      </c>
      <c r="NV105">
        <v>4</v>
      </c>
      <c r="OG105" t="s">
        <v>2488</v>
      </c>
      <c r="OH105" s="78" t="s">
        <v>475</v>
      </c>
      <c r="OI105">
        <v>2007</v>
      </c>
      <c r="OL105" t="s">
        <v>2419</v>
      </c>
      <c r="ON105" t="s">
        <v>522</v>
      </c>
      <c r="OO105" s="50">
        <v>46105</v>
      </c>
    </row>
    <row r="106" spans="1:405" ht="15.75" thickBot="1">
      <c r="A106" t="s">
        <v>469</v>
      </c>
      <c r="B106" t="s">
        <v>2406</v>
      </c>
      <c r="C106" t="s">
        <v>667</v>
      </c>
      <c r="D106" s="89" t="s">
        <v>1179</v>
      </c>
      <c r="E106" s="81" t="s">
        <v>2407</v>
      </c>
      <c r="F106" s="89" t="s">
        <v>1179</v>
      </c>
      <c r="G106" s="78" t="s">
        <v>475</v>
      </c>
      <c r="H106" s="78" t="s">
        <v>476</v>
      </c>
      <c r="I106">
        <v>-0.41666666699999999</v>
      </c>
      <c r="J106">
        <v>34.200000000000003</v>
      </c>
      <c r="K106" s="78" t="s">
        <v>480</v>
      </c>
      <c r="AV106" t="s">
        <v>2408</v>
      </c>
      <c r="AW106">
        <v>52</v>
      </c>
      <c r="AX106" t="s">
        <v>866</v>
      </c>
      <c r="AY106">
        <v>1</v>
      </c>
      <c r="AZ106" t="s">
        <v>2409</v>
      </c>
      <c r="BA106">
        <v>2007</v>
      </c>
      <c r="BB106">
        <v>2008</v>
      </c>
      <c r="BD106" t="s">
        <v>998</v>
      </c>
      <c r="BE106" t="s">
        <v>2472</v>
      </c>
      <c r="BF106" t="s">
        <v>607</v>
      </c>
      <c r="BH106" t="s">
        <v>485</v>
      </c>
      <c r="BI106" t="s">
        <v>2411</v>
      </c>
      <c r="BJ106" s="78" t="s">
        <v>486</v>
      </c>
      <c r="BK106">
        <v>44444</v>
      </c>
      <c r="BL106" t="s">
        <v>537</v>
      </c>
      <c r="BM106" t="s">
        <v>1425</v>
      </c>
      <c r="BN106" t="s">
        <v>2421</v>
      </c>
      <c r="BO106" s="78" t="s">
        <v>486</v>
      </c>
      <c r="BP106">
        <v>44444</v>
      </c>
      <c r="EH106" s="9"/>
      <c r="EI106" s="9"/>
      <c r="EJ106" s="9"/>
      <c r="EK106" s="9"/>
      <c r="EL106" s="9"/>
      <c r="EM106" s="9"/>
      <c r="EN106" s="9"/>
      <c r="EO106" s="9"/>
      <c r="EP106" s="9"/>
      <c r="EQ106" s="9"/>
      <c r="ER106" s="9"/>
      <c r="ES106" s="9"/>
      <c r="ET106" s="9"/>
      <c r="EU106" s="9"/>
      <c r="EV106" s="9"/>
      <c r="EW106" s="9"/>
      <c r="EX106" s="9"/>
      <c r="EY106" s="9"/>
      <c r="EZ106" s="9"/>
      <c r="FA106" s="9"/>
      <c r="FB106" s="9"/>
      <c r="FC106" s="9"/>
      <c r="FD106" s="9"/>
      <c r="FE106" s="9"/>
      <c r="FF106" s="9"/>
      <c r="FG106" s="9"/>
      <c r="FH106" s="9"/>
      <c r="FI106" s="9"/>
      <c r="FJ106" s="9"/>
      <c r="FK106" s="9"/>
      <c r="FL106" s="9"/>
      <c r="FM106" s="9"/>
      <c r="FN106" s="9"/>
      <c r="FO106" s="9"/>
      <c r="FP106" s="9"/>
      <c r="FQ106" s="9"/>
      <c r="FR106" s="9"/>
      <c r="FS106" s="9"/>
      <c r="FT106" s="9"/>
      <c r="FU106" s="9"/>
      <c r="FV106" s="9"/>
      <c r="FW106" s="9"/>
      <c r="FX106" s="9"/>
      <c r="FY106" s="9"/>
      <c r="FZ106" s="9"/>
      <c r="GA106" s="9"/>
      <c r="GB106" s="9"/>
      <c r="GC106" s="9"/>
      <c r="GD106" s="9"/>
      <c r="GE106" s="9"/>
      <c r="GF106" s="9"/>
      <c r="GG106" s="9"/>
      <c r="GH106" s="9"/>
      <c r="GI106" s="9"/>
      <c r="GJ106" s="9"/>
      <c r="GK106" s="9"/>
      <c r="GL106" s="9"/>
      <c r="GM106" s="9"/>
      <c r="GN106" s="9"/>
      <c r="GO106" s="9"/>
      <c r="GP106" s="9"/>
      <c r="GQ106" s="9"/>
      <c r="GR106" s="9"/>
      <c r="GS106" s="9"/>
      <c r="GT106" s="9"/>
      <c r="GU106" s="9"/>
      <c r="GV106" s="9"/>
      <c r="GW106" s="9"/>
      <c r="GX106" s="9"/>
      <c r="GY106" s="9"/>
      <c r="GZ106" s="9"/>
      <c r="HA106" s="9"/>
      <c r="HB106" s="9"/>
      <c r="HC106" s="9"/>
      <c r="HD106" s="9"/>
      <c r="HE106" s="9"/>
      <c r="HF106" s="9"/>
      <c r="HG106" s="9"/>
      <c r="HH106" s="9"/>
      <c r="HI106" s="9"/>
      <c r="HJ106" s="9"/>
      <c r="HK106" s="9"/>
      <c r="HW106" s="50"/>
      <c r="IF106" t="s">
        <v>2472</v>
      </c>
      <c r="IG106" s="75" t="s">
        <v>1714</v>
      </c>
      <c r="IH106" t="s">
        <v>542</v>
      </c>
      <c r="II106" t="s">
        <v>543</v>
      </c>
      <c r="IJ106" t="s">
        <v>1049</v>
      </c>
      <c r="IK106" t="s">
        <v>1049</v>
      </c>
      <c r="IL106" s="78" t="s">
        <v>480</v>
      </c>
      <c r="JH106" t="s">
        <v>2412</v>
      </c>
      <c r="JI106" t="s">
        <v>494</v>
      </c>
      <c r="JJ106" t="s">
        <v>495</v>
      </c>
      <c r="JK106" s="8" t="s">
        <v>1466</v>
      </c>
      <c r="JN106" t="s">
        <v>508</v>
      </c>
      <c r="JO106">
        <v>40</v>
      </c>
      <c r="JP106">
        <v>50</v>
      </c>
      <c r="KD106" t="s">
        <v>500</v>
      </c>
      <c r="MR106" t="s">
        <v>2413</v>
      </c>
      <c r="MS106">
        <v>36</v>
      </c>
      <c r="MT106" t="s">
        <v>2422</v>
      </c>
      <c r="MV106" t="s">
        <v>548</v>
      </c>
      <c r="MW106" t="s">
        <v>1674</v>
      </c>
      <c r="NC106" t="s">
        <v>2423</v>
      </c>
      <c r="ND106" t="s">
        <v>1068</v>
      </c>
      <c r="NE106" t="s">
        <v>2417</v>
      </c>
      <c r="NF106" s="4" t="s">
        <v>1069</v>
      </c>
      <c r="NO106" s="69"/>
      <c r="NP106" t="s">
        <v>518</v>
      </c>
      <c r="NQ106">
        <v>1.1000000000000001</v>
      </c>
      <c r="NR106" s="4" t="s">
        <v>866</v>
      </c>
      <c r="NS106" s="4" t="s">
        <v>866</v>
      </c>
      <c r="NV106">
        <v>4</v>
      </c>
      <c r="OG106" t="s">
        <v>2488</v>
      </c>
      <c r="OH106" s="78" t="s">
        <v>475</v>
      </c>
      <c r="OI106">
        <v>2007</v>
      </c>
      <c r="OL106" t="s">
        <v>2419</v>
      </c>
      <c r="ON106" t="s">
        <v>522</v>
      </c>
      <c r="OO106" s="50">
        <v>46105</v>
      </c>
    </row>
    <row r="107" spans="1:405" ht="15.75" thickBot="1">
      <c r="A107" t="s">
        <v>469</v>
      </c>
      <c r="B107" t="s">
        <v>2406</v>
      </c>
      <c r="C107" t="s">
        <v>667</v>
      </c>
      <c r="D107" s="89" t="s">
        <v>1179</v>
      </c>
      <c r="E107" s="81" t="s">
        <v>2407</v>
      </c>
      <c r="F107" s="89" t="s">
        <v>1179</v>
      </c>
      <c r="G107" s="78" t="s">
        <v>475</v>
      </c>
      <c r="H107" s="78" t="s">
        <v>476</v>
      </c>
      <c r="I107">
        <v>-0.41666666699999999</v>
      </c>
      <c r="J107">
        <v>34.200000000000003</v>
      </c>
      <c r="K107" s="78" t="s">
        <v>480</v>
      </c>
      <c r="AV107" t="s">
        <v>2408</v>
      </c>
      <c r="AW107">
        <v>53</v>
      </c>
      <c r="AX107" t="s">
        <v>866</v>
      </c>
      <c r="AY107">
        <v>1</v>
      </c>
      <c r="AZ107" t="s">
        <v>2409</v>
      </c>
      <c r="BA107">
        <v>2007</v>
      </c>
      <c r="BB107">
        <v>2008</v>
      </c>
      <c r="BD107" t="s">
        <v>998</v>
      </c>
      <c r="BE107" t="s">
        <v>2476</v>
      </c>
      <c r="BF107" t="s">
        <v>611</v>
      </c>
      <c r="BH107" t="s">
        <v>485</v>
      </c>
      <c r="BI107" t="s">
        <v>2411</v>
      </c>
      <c r="BJ107" s="78" t="s">
        <v>486</v>
      </c>
      <c r="BK107">
        <v>44444</v>
      </c>
      <c r="BL107" t="s">
        <v>537</v>
      </c>
      <c r="BM107" t="s">
        <v>2425</v>
      </c>
      <c r="BN107" t="s">
        <v>866</v>
      </c>
      <c r="BO107" t="s">
        <v>866</v>
      </c>
      <c r="BP107" t="s">
        <v>866</v>
      </c>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K107" s="9"/>
      <c r="HW107" s="50"/>
      <c r="IF107" t="s">
        <v>2476</v>
      </c>
      <c r="IG107" s="75" t="s">
        <v>2426</v>
      </c>
      <c r="IH107" t="s">
        <v>542</v>
      </c>
      <c r="II107" t="s">
        <v>543</v>
      </c>
      <c r="IJ107" t="s">
        <v>1049</v>
      </c>
      <c r="IK107" t="s">
        <v>1049</v>
      </c>
      <c r="IL107" s="78" t="s">
        <v>480</v>
      </c>
      <c r="JH107" t="s">
        <v>2412</v>
      </c>
      <c r="JI107" t="s">
        <v>494</v>
      </c>
      <c r="JJ107" t="s">
        <v>495</v>
      </c>
      <c r="JK107" s="8" t="s">
        <v>1466</v>
      </c>
      <c r="JN107" t="s">
        <v>508</v>
      </c>
      <c r="JO107">
        <v>40</v>
      </c>
      <c r="JP107">
        <v>50</v>
      </c>
      <c r="KD107" t="s">
        <v>500</v>
      </c>
      <c r="MR107" t="s">
        <v>2413</v>
      </c>
      <c r="MS107">
        <v>36</v>
      </c>
      <c r="MT107" t="s">
        <v>2427</v>
      </c>
      <c r="MV107" t="s">
        <v>548</v>
      </c>
      <c r="MW107" t="s">
        <v>2428</v>
      </c>
      <c r="MX107" t="s">
        <v>2429</v>
      </c>
      <c r="NC107" t="s">
        <v>2423</v>
      </c>
      <c r="ND107" t="s">
        <v>1068</v>
      </c>
      <c r="NE107" t="s">
        <v>2417</v>
      </c>
      <c r="NF107" s="4" t="s">
        <v>1069</v>
      </c>
      <c r="NO107" s="69"/>
      <c r="NP107" t="s">
        <v>518</v>
      </c>
      <c r="NQ107">
        <v>2.5</v>
      </c>
      <c r="NR107" s="4" t="s">
        <v>866</v>
      </c>
      <c r="NS107" s="4" t="s">
        <v>866</v>
      </c>
      <c r="NV107">
        <v>4</v>
      </c>
      <c r="OG107" t="s">
        <v>2488</v>
      </c>
      <c r="OH107" s="78" t="s">
        <v>475</v>
      </c>
      <c r="OI107">
        <v>2007</v>
      </c>
      <c r="OL107" t="s">
        <v>2419</v>
      </c>
      <c r="ON107" t="s">
        <v>522</v>
      </c>
      <c r="OO107" s="50">
        <v>46105</v>
      </c>
    </row>
    <row r="108" spans="1:405" ht="15.75" thickBot="1">
      <c r="A108" t="s">
        <v>469</v>
      </c>
      <c r="B108" t="s">
        <v>2406</v>
      </c>
      <c r="C108" t="s">
        <v>667</v>
      </c>
      <c r="D108" s="89" t="s">
        <v>1179</v>
      </c>
      <c r="E108" s="81" t="s">
        <v>2407</v>
      </c>
      <c r="F108" s="89" t="s">
        <v>1179</v>
      </c>
      <c r="G108" s="78" t="s">
        <v>475</v>
      </c>
      <c r="H108" s="78" t="s">
        <v>476</v>
      </c>
      <c r="I108">
        <v>-0.41666666699999999</v>
      </c>
      <c r="J108">
        <v>34.200000000000003</v>
      </c>
      <c r="K108" s="78" t="s">
        <v>480</v>
      </c>
      <c r="AV108" t="s">
        <v>2408</v>
      </c>
      <c r="AW108">
        <v>54</v>
      </c>
      <c r="AX108" t="s">
        <v>866</v>
      </c>
      <c r="AY108">
        <v>1</v>
      </c>
      <c r="AZ108" t="s">
        <v>2409</v>
      </c>
      <c r="BA108">
        <v>2007</v>
      </c>
      <c r="BB108">
        <v>2008</v>
      </c>
      <c r="BD108" t="s">
        <v>998</v>
      </c>
      <c r="BE108" t="s">
        <v>2480</v>
      </c>
      <c r="BF108" t="s">
        <v>615</v>
      </c>
      <c r="BH108" t="s">
        <v>485</v>
      </c>
      <c r="BI108" t="s">
        <v>2411</v>
      </c>
      <c r="BJ108" s="78" t="s">
        <v>486</v>
      </c>
      <c r="BK108">
        <v>44444</v>
      </c>
      <c r="BL108" t="s">
        <v>537</v>
      </c>
      <c r="BM108" t="s">
        <v>1425</v>
      </c>
      <c r="BN108" t="s">
        <v>2421</v>
      </c>
      <c r="BO108" s="78" t="s">
        <v>486</v>
      </c>
      <c r="BP108">
        <v>44444</v>
      </c>
      <c r="BQ108" t="s">
        <v>537</v>
      </c>
      <c r="BR108" t="s">
        <v>2425</v>
      </c>
      <c r="BS108" t="s">
        <v>866</v>
      </c>
      <c r="BT108" t="s">
        <v>866</v>
      </c>
      <c r="BU108" t="s">
        <v>866</v>
      </c>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K108" s="9"/>
      <c r="HW108" s="50"/>
      <c r="IF108" t="s">
        <v>2480</v>
      </c>
      <c r="IG108" s="75" t="s">
        <v>2426</v>
      </c>
      <c r="IH108" t="s">
        <v>542</v>
      </c>
      <c r="II108" t="s">
        <v>543</v>
      </c>
      <c r="IJ108" t="s">
        <v>1049</v>
      </c>
      <c r="IK108" t="s">
        <v>1049</v>
      </c>
      <c r="IL108" s="78" t="s">
        <v>480</v>
      </c>
      <c r="JH108" t="s">
        <v>2412</v>
      </c>
      <c r="JI108" t="s">
        <v>494</v>
      </c>
      <c r="JJ108" t="s">
        <v>495</v>
      </c>
      <c r="JK108" s="8" t="s">
        <v>1466</v>
      </c>
      <c r="JN108" t="s">
        <v>508</v>
      </c>
      <c r="JO108">
        <v>40</v>
      </c>
      <c r="JP108">
        <v>50</v>
      </c>
      <c r="KD108" t="s">
        <v>500</v>
      </c>
      <c r="MR108" t="s">
        <v>2413</v>
      </c>
      <c r="MS108">
        <v>36</v>
      </c>
      <c r="MT108" t="s">
        <v>2431</v>
      </c>
      <c r="MV108" t="s">
        <v>548</v>
      </c>
      <c r="MW108" t="s">
        <v>1674</v>
      </c>
      <c r="MX108" t="s">
        <v>2428</v>
      </c>
      <c r="MY108" t="s">
        <v>2429</v>
      </c>
      <c r="NC108" t="s">
        <v>2423</v>
      </c>
      <c r="ND108" t="s">
        <v>1068</v>
      </c>
      <c r="NE108" t="s">
        <v>2417</v>
      </c>
      <c r="NF108" s="4" t="s">
        <v>1069</v>
      </c>
      <c r="NO108" s="69"/>
      <c r="NP108" t="s">
        <v>518</v>
      </c>
      <c r="NQ108">
        <v>2.2999999999999998</v>
      </c>
      <c r="NR108" s="4" t="s">
        <v>866</v>
      </c>
      <c r="NS108" s="4" t="s">
        <v>866</v>
      </c>
      <c r="NV108">
        <v>4</v>
      </c>
      <c r="OG108" t="s">
        <v>2488</v>
      </c>
      <c r="OH108" s="78" t="s">
        <v>475</v>
      </c>
      <c r="OI108">
        <v>2007</v>
      </c>
      <c r="OL108" t="s">
        <v>2419</v>
      </c>
      <c r="ON108" t="s">
        <v>522</v>
      </c>
      <c r="OO108" s="50">
        <v>46105</v>
      </c>
    </row>
    <row r="109" spans="1:405" ht="15.75" thickBot="1">
      <c r="A109" t="s">
        <v>469</v>
      </c>
      <c r="B109" t="s">
        <v>2406</v>
      </c>
      <c r="C109" t="s">
        <v>667</v>
      </c>
      <c r="D109" s="89" t="s">
        <v>1179</v>
      </c>
      <c r="E109" s="81" t="s">
        <v>2407</v>
      </c>
      <c r="F109" s="89" t="s">
        <v>1179</v>
      </c>
      <c r="G109" s="78" t="s">
        <v>475</v>
      </c>
      <c r="H109" s="78" t="s">
        <v>476</v>
      </c>
      <c r="I109">
        <v>-0.41666666699999999</v>
      </c>
      <c r="J109">
        <v>34.200000000000003</v>
      </c>
      <c r="K109" s="78" t="s">
        <v>480</v>
      </c>
      <c r="AV109" t="s">
        <v>2408</v>
      </c>
      <c r="AW109">
        <v>55</v>
      </c>
      <c r="AX109" t="s">
        <v>866</v>
      </c>
      <c r="AY109">
        <v>1</v>
      </c>
      <c r="AZ109" t="s">
        <v>2409</v>
      </c>
      <c r="BA109">
        <v>2007</v>
      </c>
      <c r="BB109">
        <v>2008</v>
      </c>
      <c r="BD109" t="s">
        <v>998</v>
      </c>
      <c r="BE109" t="s">
        <v>2484</v>
      </c>
      <c r="BF109" t="s">
        <v>617</v>
      </c>
      <c r="BH109" t="s">
        <v>485</v>
      </c>
      <c r="BI109" t="s">
        <v>2411</v>
      </c>
      <c r="BJ109" s="78" t="s">
        <v>486</v>
      </c>
      <c r="BK109">
        <v>44444</v>
      </c>
      <c r="BL109" t="s">
        <v>537</v>
      </c>
      <c r="BM109" t="s">
        <v>1425</v>
      </c>
      <c r="BN109" t="s">
        <v>2421</v>
      </c>
      <c r="BO109" s="78" t="s">
        <v>486</v>
      </c>
      <c r="BP109">
        <v>44444</v>
      </c>
      <c r="BQ109" t="s">
        <v>537</v>
      </c>
      <c r="BR109" t="s">
        <v>2425</v>
      </c>
      <c r="BS109" t="s">
        <v>866</v>
      </c>
      <c r="BT109" t="s">
        <v>866</v>
      </c>
      <c r="BU109" t="s">
        <v>866</v>
      </c>
      <c r="EH109" s="9"/>
      <c r="EI109" s="9"/>
      <c r="EJ109" s="9"/>
      <c r="EK109" s="9"/>
      <c r="EL109" s="9"/>
      <c r="EM109" s="9"/>
      <c r="EN109" s="9"/>
      <c r="EO109" s="9"/>
      <c r="EP109" s="9"/>
      <c r="EQ109" s="9"/>
      <c r="ER109" s="9"/>
      <c r="ES109" s="9"/>
      <c r="ET109" s="9"/>
      <c r="EU109" s="9"/>
      <c r="EV109" s="9"/>
      <c r="EW109" s="9"/>
      <c r="EX109" s="9"/>
      <c r="EY109" s="9"/>
      <c r="EZ109" s="9"/>
      <c r="FA109" s="9"/>
      <c r="FB109" s="9"/>
      <c r="FC109" s="9"/>
      <c r="FD109" s="9"/>
      <c r="FE109" s="9"/>
      <c r="FF109" s="9"/>
      <c r="FG109" s="9"/>
      <c r="FH109" s="9"/>
      <c r="FI109" s="9"/>
      <c r="FJ109" s="9"/>
      <c r="FK109" s="9"/>
      <c r="FL109" s="9"/>
      <c r="FM109" s="9"/>
      <c r="FN109" s="9"/>
      <c r="FO109" s="9"/>
      <c r="FP109" s="9"/>
      <c r="FQ109" s="9"/>
      <c r="FR109" s="9"/>
      <c r="FS109" s="9"/>
      <c r="FT109" s="9"/>
      <c r="FU109" s="9"/>
      <c r="FV109" s="9"/>
      <c r="FW109" s="9"/>
      <c r="FX109" s="9"/>
      <c r="FY109" s="9"/>
      <c r="FZ109" s="9"/>
      <c r="GA109" s="9"/>
      <c r="GB109" s="9"/>
      <c r="GC109" s="9"/>
      <c r="GD109" s="9"/>
      <c r="GE109" s="9"/>
      <c r="GF109" s="9"/>
      <c r="GG109" s="9"/>
      <c r="GH109" s="9"/>
      <c r="GI109" s="9"/>
      <c r="GJ109" s="9"/>
      <c r="GK109" s="9"/>
      <c r="GL109" s="9"/>
      <c r="GM109" s="9"/>
      <c r="GN109" s="9"/>
      <c r="GO109" s="9"/>
      <c r="GP109" s="9"/>
      <c r="GQ109" s="9"/>
      <c r="GR109" s="9"/>
      <c r="GS109" s="9"/>
      <c r="GT109" s="9"/>
      <c r="GU109" s="9"/>
      <c r="GV109" s="9"/>
      <c r="GW109" s="9"/>
      <c r="GX109" s="9"/>
      <c r="GY109" s="9"/>
      <c r="GZ109" s="9"/>
      <c r="HA109" s="9"/>
      <c r="HB109" s="9"/>
      <c r="HC109" s="9"/>
      <c r="HD109" s="9"/>
      <c r="HE109" s="9"/>
      <c r="HF109" s="9"/>
      <c r="HG109" s="9"/>
      <c r="HH109" s="9"/>
      <c r="HI109" s="9"/>
      <c r="HJ109" s="9"/>
      <c r="HK109" s="9"/>
      <c r="HW109" s="50"/>
      <c r="IF109" t="s">
        <v>2484</v>
      </c>
      <c r="IG109" s="75" t="s">
        <v>2426</v>
      </c>
      <c r="IH109" t="s">
        <v>542</v>
      </c>
      <c r="II109" t="s">
        <v>543</v>
      </c>
      <c r="IJ109" t="s">
        <v>1049</v>
      </c>
      <c r="IK109" t="s">
        <v>1049</v>
      </c>
      <c r="IL109" s="78" t="s">
        <v>480</v>
      </c>
      <c r="JH109" t="s">
        <v>2412</v>
      </c>
      <c r="JI109" t="s">
        <v>494</v>
      </c>
      <c r="JJ109" t="s">
        <v>495</v>
      </c>
      <c r="JK109" s="8" t="s">
        <v>1466</v>
      </c>
      <c r="JN109" t="s">
        <v>508</v>
      </c>
      <c r="JO109">
        <v>40</v>
      </c>
      <c r="JP109">
        <v>50</v>
      </c>
      <c r="KD109" t="s">
        <v>500</v>
      </c>
      <c r="MR109" t="s">
        <v>2413</v>
      </c>
      <c r="MS109">
        <v>36</v>
      </c>
      <c r="MT109" t="s">
        <v>2431</v>
      </c>
      <c r="MV109" t="s">
        <v>548</v>
      </c>
      <c r="MW109" t="s">
        <v>1674</v>
      </c>
      <c r="MX109" t="s">
        <v>2428</v>
      </c>
      <c r="MY109" t="s">
        <v>2429</v>
      </c>
      <c r="NC109" t="s">
        <v>2423</v>
      </c>
      <c r="ND109" t="s">
        <v>1068</v>
      </c>
      <c r="NE109" t="s">
        <v>2417</v>
      </c>
      <c r="NF109" s="4" t="s">
        <v>1069</v>
      </c>
      <c r="NO109" s="69"/>
      <c r="NP109" t="s">
        <v>518</v>
      </c>
      <c r="NQ109">
        <v>2.2999999999999998</v>
      </c>
      <c r="NR109" s="4" t="s">
        <v>866</v>
      </c>
      <c r="NS109" s="4" t="s">
        <v>866</v>
      </c>
      <c r="NV109">
        <v>4</v>
      </c>
      <c r="OG109" t="s">
        <v>2488</v>
      </c>
      <c r="OH109" s="78" t="s">
        <v>475</v>
      </c>
      <c r="OI109">
        <v>2007</v>
      </c>
      <c r="OL109" t="s">
        <v>2419</v>
      </c>
      <c r="ON109" t="s">
        <v>522</v>
      </c>
      <c r="OO109" s="50">
        <v>46105</v>
      </c>
    </row>
    <row r="110" spans="1:405" ht="15.75" thickBot="1">
      <c r="A110" t="s">
        <v>469</v>
      </c>
      <c r="B110" t="s">
        <v>2406</v>
      </c>
      <c r="C110" t="s">
        <v>667</v>
      </c>
      <c r="D110" s="89" t="s">
        <v>1179</v>
      </c>
      <c r="E110" s="81" t="s">
        <v>2407</v>
      </c>
      <c r="F110" s="89" t="s">
        <v>1179</v>
      </c>
      <c r="G110" s="78" t="s">
        <v>475</v>
      </c>
      <c r="H110" s="78" t="s">
        <v>476</v>
      </c>
      <c r="I110">
        <v>-0.41666666699999999</v>
      </c>
      <c r="J110">
        <v>34.200000000000003</v>
      </c>
      <c r="K110" s="78" t="s">
        <v>480</v>
      </c>
      <c r="AV110" t="s">
        <v>2408</v>
      </c>
      <c r="AW110">
        <v>36</v>
      </c>
      <c r="AX110" t="s">
        <v>866</v>
      </c>
      <c r="AY110">
        <v>1</v>
      </c>
      <c r="AZ110" t="s">
        <v>2409</v>
      </c>
      <c r="BA110">
        <v>2007</v>
      </c>
      <c r="BB110">
        <v>2008</v>
      </c>
      <c r="BD110" t="s">
        <v>492</v>
      </c>
      <c r="BE110" t="s">
        <v>2410</v>
      </c>
      <c r="BF110" t="s">
        <v>524</v>
      </c>
      <c r="BH110" t="s">
        <v>485</v>
      </c>
      <c r="BI110" t="s">
        <v>2411</v>
      </c>
      <c r="BJ110" s="78" t="s">
        <v>486</v>
      </c>
      <c r="BK110">
        <v>44444</v>
      </c>
      <c r="IF110" t="s">
        <v>2410</v>
      </c>
      <c r="IG110" t="s">
        <v>492</v>
      </c>
      <c r="JH110" t="s">
        <v>2412</v>
      </c>
      <c r="JI110" t="s">
        <v>494</v>
      </c>
      <c r="JJ110" t="s">
        <v>495</v>
      </c>
      <c r="JK110" s="8" t="s">
        <v>1466</v>
      </c>
      <c r="JN110" t="s">
        <v>508</v>
      </c>
      <c r="JO110">
        <v>40</v>
      </c>
      <c r="JP110">
        <v>50</v>
      </c>
      <c r="KD110" t="s">
        <v>500</v>
      </c>
      <c r="MR110" t="s">
        <v>2413</v>
      </c>
      <c r="MS110">
        <v>36</v>
      </c>
      <c r="MT110" t="s">
        <v>2414</v>
      </c>
      <c r="MV110" t="s">
        <v>548</v>
      </c>
      <c r="ND110" t="s">
        <v>1219</v>
      </c>
      <c r="NF110" s="4" t="s">
        <v>660</v>
      </c>
      <c r="NG110" t="s">
        <v>719</v>
      </c>
      <c r="NO110" s="69" t="s">
        <v>517</v>
      </c>
      <c r="NP110" t="s">
        <v>518</v>
      </c>
      <c r="NQ110">
        <v>2.8</v>
      </c>
      <c r="NR110" s="4" t="s">
        <v>520</v>
      </c>
      <c r="NS110" s="4">
        <v>0.1</v>
      </c>
      <c r="NV110">
        <v>4</v>
      </c>
      <c r="OG110" t="s">
        <v>2495</v>
      </c>
      <c r="OH110" s="78" t="s">
        <v>475</v>
      </c>
      <c r="OI110">
        <v>2007</v>
      </c>
      <c r="OL110" t="s">
        <v>2419</v>
      </c>
      <c r="ON110" t="s">
        <v>522</v>
      </c>
      <c r="OO110" s="50">
        <v>46105</v>
      </c>
    </row>
    <row r="111" spans="1:405" ht="15.75" thickBot="1">
      <c r="A111" t="s">
        <v>469</v>
      </c>
      <c r="B111" t="s">
        <v>2406</v>
      </c>
      <c r="C111" t="s">
        <v>667</v>
      </c>
      <c r="D111" s="89" t="s">
        <v>1179</v>
      </c>
      <c r="E111" s="81" t="s">
        <v>2407</v>
      </c>
      <c r="F111" s="89" t="s">
        <v>1179</v>
      </c>
      <c r="G111" s="78" t="s">
        <v>475</v>
      </c>
      <c r="H111" s="78" t="s">
        <v>476</v>
      </c>
      <c r="I111">
        <v>-0.41666666699999999</v>
      </c>
      <c r="J111">
        <v>34.200000000000003</v>
      </c>
      <c r="K111" s="78" t="s">
        <v>480</v>
      </c>
      <c r="AV111" t="s">
        <v>2408</v>
      </c>
      <c r="AW111">
        <v>37</v>
      </c>
      <c r="AX111" t="s">
        <v>866</v>
      </c>
      <c r="AY111">
        <v>1</v>
      </c>
      <c r="AZ111" t="s">
        <v>2409</v>
      </c>
      <c r="BA111">
        <v>2007</v>
      </c>
      <c r="BB111">
        <v>2008</v>
      </c>
      <c r="BD111" t="s">
        <v>998</v>
      </c>
      <c r="BE111" t="s">
        <v>2420</v>
      </c>
      <c r="BF111" t="s">
        <v>536</v>
      </c>
      <c r="BH111" t="s">
        <v>485</v>
      </c>
      <c r="BI111" t="s">
        <v>2411</v>
      </c>
      <c r="BJ111" s="78" t="s">
        <v>486</v>
      </c>
      <c r="BK111">
        <v>44444</v>
      </c>
      <c r="BL111" t="s">
        <v>537</v>
      </c>
      <c r="BM111" t="s">
        <v>1425</v>
      </c>
      <c r="BN111" t="s">
        <v>2421</v>
      </c>
      <c r="BO111" s="78" t="s">
        <v>486</v>
      </c>
      <c r="BP111">
        <v>44444</v>
      </c>
      <c r="IF111" t="s">
        <v>2420</v>
      </c>
      <c r="IG111" s="75" t="s">
        <v>1714</v>
      </c>
      <c r="IH111" t="s">
        <v>542</v>
      </c>
      <c r="II111" t="s">
        <v>543</v>
      </c>
      <c r="IJ111" t="s">
        <v>1049</v>
      </c>
      <c r="IK111" t="s">
        <v>1049</v>
      </c>
      <c r="IL111" s="78" t="s">
        <v>480</v>
      </c>
      <c r="JH111" t="s">
        <v>2412</v>
      </c>
      <c r="JI111" t="s">
        <v>494</v>
      </c>
      <c r="JJ111" t="s">
        <v>495</v>
      </c>
      <c r="JK111" s="8" t="s">
        <v>1466</v>
      </c>
      <c r="JN111" t="s">
        <v>508</v>
      </c>
      <c r="JO111">
        <v>40</v>
      </c>
      <c r="JP111">
        <v>50</v>
      </c>
      <c r="KD111" t="s">
        <v>500</v>
      </c>
      <c r="MR111" t="s">
        <v>2413</v>
      </c>
      <c r="MS111">
        <v>36</v>
      </c>
      <c r="MT111" t="s">
        <v>2422</v>
      </c>
      <c r="MV111" t="s">
        <v>548</v>
      </c>
      <c r="ND111" t="s">
        <v>1219</v>
      </c>
      <c r="NF111" s="4" t="s">
        <v>660</v>
      </c>
      <c r="NG111" t="s">
        <v>719</v>
      </c>
      <c r="NO111" s="69"/>
      <c r="NP111" t="s">
        <v>518</v>
      </c>
      <c r="NQ111">
        <v>3.1</v>
      </c>
      <c r="NR111" s="4" t="s">
        <v>520</v>
      </c>
      <c r="NS111" s="4">
        <v>0.2</v>
      </c>
      <c r="NV111">
        <v>4</v>
      </c>
      <c r="OG111" t="s">
        <v>2495</v>
      </c>
      <c r="OH111" s="78" t="s">
        <v>475</v>
      </c>
      <c r="OI111">
        <v>2007</v>
      </c>
      <c r="OL111" t="s">
        <v>2419</v>
      </c>
      <c r="ON111" t="s">
        <v>522</v>
      </c>
      <c r="OO111" s="50">
        <v>46105</v>
      </c>
    </row>
    <row r="112" spans="1:405" ht="15.75" thickBot="1">
      <c r="A112" t="s">
        <v>469</v>
      </c>
      <c r="B112" t="s">
        <v>2406</v>
      </c>
      <c r="C112" t="s">
        <v>667</v>
      </c>
      <c r="D112" s="89" t="s">
        <v>1179</v>
      </c>
      <c r="E112" s="81" t="s">
        <v>2407</v>
      </c>
      <c r="F112" s="89" t="s">
        <v>1179</v>
      </c>
      <c r="G112" s="78" t="s">
        <v>475</v>
      </c>
      <c r="H112" s="78" t="s">
        <v>476</v>
      </c>
      <c r="I112">
        <v>-0.41666666699999999</v>
      </c>
      <c r="J112">
        <v>34.200000000000003</v>
      </c>
      <c r="K112" s="78" t="s">
        <v>480</v>
      </c>
      <c r="AV112" t="s">
        <v>2408</v>
      </c>
      <c r="AW112">
        <v>38</v>
      </c>
      <c r="AX112" t="s">
        <v>866</v>
      </c>
      <c r="AY112">
        <v>1</v>
      </c>
      <c r="AZ112" t="s">
        <v>2409</v>
      </c>
      <c r="BA112">
        <v>2007</v>
      </c>
      <c r="BB112">
        <v>2008</v>
      </c>
      <c r="BD112" t="s">
        <v>998</v>
      </c>
      <c r="BE112" t="s">
        <v>2424</v>
      </c>
      <c r="BF112" t="s">
        <v>566</v>
      </c>
      <c r="BH112" t="s">
        <v>485</v>
      </c>
      <c r="BI112" t="s">
        <v>2411</v>
      </c>
      <c r="BJ112" s="78" t="s">
        <v>486</v>
      </c>
      <c r="BK112">
        <v>44444</v>
      </c>
      <c r="BL112" t="s">
        <v>537</v>
      </c>
      <c r="BM112" t="s">
        <v>2425</v>
      </c>
      <c r="BN112" t="s">
        <v>866</v>
      </c>
      <c r="BO112" t="s">
        <v>866</v>
      </c>
      <c r="BP112" t="s">
        <v>866</v>
      </c>
      <c r="IF112" t="s">
        <v>2424</v>
      </c>
      <c r="IG112" s="75" t="s">
        <v>2426</v>
      </c>
      <c r="IH112" t="s">
        <v>542</v>
      </c>
      <c r="II112" t="s">
        <v>543</v>
      </c>
      <c r="IJ112" t="s">
        <v>1049</v>
      </c>
      <c r="IK112" t="s">
        <v>1049</v>
      </c>
      <c r="IL112" s="78" t="s">
        <v>480</v>
      </c>
      <c r="JH112" t="s">
        <v>2412</v>
      </c>
      <c r="JI112" t="s">
        <v>494</v>
      </c>
      <c r="JJ112" t="s">
        <v>495</v>
      </c>
      <c r="JK112" s="8" t="s">
        <v>1466</v>
      </c>
      <c r="JN112" t="s">
        <v>508</v>
      </c>
      <c r="JO112">
        <v>40</v>
      </c>
      <c r="JP112">
        <v>50</v>
      </c>
      <c r="KD112" t="s">
        <v>500</v>
      </c>
      <c r="MR112" t="s">
        <v>2413</v>
      </c>
      <c r="MS112">
        <v>36</v>
      </c>
      <c r="MT112" t="s">
        <v>2427</v>
      </c>
      <c r="MV112" t="s">
        <v>548</v>
      </c>
      <c r="ND112" t="s">
        <v>1219</v>
      </c>
      <c r="NF112" s="4" t="s">
        <v>660</v>
      </c>
      <c r="NG112" t="s">
        <v>719</v>
      </c>
      <c r="NO112" s="69"/>
      <c r="NP112" t="s">
        <v>518</v>
      </c>
      <c r="NQ112">
        <v>4.9000000000000004</v>
      </c>
      <c r="NR112" s="4" t="s">
        <v>520</v>
      </c>
      <c r="NS112" s="4">
        <v>0.2</v>
      </c>
      <c r="NV112">
        <v>4</v>
      </c>
      <c r="OG112" t="s">
        <v>2495</v>
      </c>
      <c r="OH112" s="78" t="s">
        <v>475</v>
      </c>
      <c r="OI112">
        <v>2007</v>
      </c>
      <c r="OL112" t="s">
        <v>2419</v>
      </c>
      <c r="ON112" t="s">
        <v>522</v>
      </c>
      <c r="OO112" s="50">
        <v>46105</v>
      </c>
    </row>
    <row r="113" spans="1:405" ht="15.75" thickBot="1">
      <c r="A113" t="s">
        <v>469</v>
      </c>
      <c r="B113" t="s">
        <v>2406</v>
      </c>
      <c r="C113" t="s">
        <v>667</v>
      </c>
      <c r="D113" s="89" t="s">
        <v>1179</v>
      </c>
      <c r="E113" s="81" t="s">
        <v>2407</v>
      </c>
      <c r="F113" s="89" t="s">
        <v>1179</v>
      </c>
      <c r="G113" s="78" t="s">
        <v>475</v>
      </c>
      <c r="H113" s="78" t="s">
        <v>476</v>
      </c>
      <c r="I113">
        <v>-0.41666666699999999</v>
      </c>
      <c r="J113">
        <v>34.200000000000003</v>
      </c>
      <c r="K113" s="78" t="s">
        <v>480</v>
      </c>
      <c r="AV113" t="s">
        <v>2408</v>
      </c>
      <c r="AW113">
        <v>39</v>
      </c>
      <c r="AX113" t="s">
        <v>866</v>
      </c>
      <c r="AY113">
        <v>1</v>
      </c>
      <c r="AZ113" t="s">
        <v>2409</v>
      </c>
      <c r="BA113">
        <v>2007</v>
      </c>
      <c r="BB113">
        <v>2008</v>
      </c>
      <c r="BD113" t="s">
        <v>998</v>
      </c>
      <c r="BE113" t="s">
        <v>2430</v>
      </c>
      <c r="BF113" t="s">
        <v>572</v>
      </c>
      <c r="BH113" t="s">
        <v>485</v>
      </c>
      <c r="BI113" t="s">
        <v>2411</v>
      </c>
      <c r="BJ113" s="78" t="s">
        <v>486</v>
      </c>
      <c r="BK113">
        <v>44444</v>
      </c>
      <c r="BL113" t="s">
        <v>537</v>
      </c>
      <c r="BM113" t="s">
        <v>1425</v>
      </c>
      <c r="BN113" t="s">
        <v>2421</v>
      </c>
      <c r="BO113" s="78" t="s">
        <v>486</v>
      </c>
      <c r="BP113">
        <v>44444</v>
      </c>
      <c r="BQ113" t="s">
        <v>537</v>
      </c>
      <c r="BR113" t="s">
        <v>2425</v>
      </c>
      <c r="BS113" t="s">
        <v>866</v>
      </c>
      <c r="BT113" t="s">
        <v>866</v>
      </c>
      <c r="BU113" t="s">
        <v>866</v>
      </c>
      <c r="IF113" t="s">
        <v>2430</v>
      </c>
      <c r="IG113" s="75" t="s">
        <v>2426</v>
      </c>
      <c r="IH113" t="s">
        <v>542</v>
      </c>
      <c r="II113" t="s">
        <v>543</v>
      </c>
      <c r="IJ113" t="s">
        <v>1049</v>
      </c>
      <c r="IK113" t="s">
        <v>1049</v>
      </c>
      <c r="IL113" s="78" t="s">
        <v>480</v>
      </c>
      <c r="JH113" t="s">
        <v>2412</v>
      </c>
      <c r="JI113" t="s">
        <v>494</v>
      </c>
      <c r="JJ113" t="s">
        <v>495</v>
      </c>
      <c r="JK113" s="8" t="s">
        <v>1466</v>
      </c>
      <c r="JN113" t="s">
        <v>508</v>
      </c>
      <c r="JO113">
        <v>40</v>
      </c>
      <c r="JP113">
        <v>50</v>
      </c>
      <c r="KD113" t="s">
        <v>500</v>
      </c>
      <c r="MR113" t="s">
        <v>2413</v>
      </c>
      <c r="MS113">
        <v>36</v>
      </c>
      <c r="MT113" t="s">
        <v>2431</v>
      </c>
      <c r="MV113" t="s">
        <v>548</v>
      </c>
      <c r="ND113" t="s">
        <v>1219</v>
      </c>
      <c r="NF113" s="4" t="s">
        <v>660</v>
      </c>
      <c r="NG113" t="s">
        <v>719</v>
      </c>
      <c r="NO113" s="69"/>
      <c r="NP113" t="s">
        <v>518</v>
      </c>
      <c r="NQ113">
        <v>4.5999999999999996</v>
      </c>
      <c r="NR113" s="4" t="s">
        <v>520</v>
      </c>
      <c r="NS113" s="4">
        <v>0.1</v>
      </c>
      <c r="NV113">
        <v>4</v>
      </c>
      <c r="OG113" t="s">
        <v>2495</v>
      </c>
      <c r="OH113" s="78" t="s">
        <v>475</v>
      </c>
      <c r="OI113">
        <v>2007</v>
      </c>
      <c r="OL113" t="s">
        <v>2419</v>
      </c>
      <c r="ON113" t="s">
        <v>522</v>
      </c>
      <c r="OO113" s="50">
        <v>46105</v>
      </c>
    </row>
    <row r="114" spans="1:405" ht="15.75" thickBot="1">
      <c r="A114" t="s">
        <v>469</v>
      </c>
      <c r="B114" t="s">
        <v>2406</v>
      </c>
      <c r="C114" t="s">
        <v>667</v>
      </c>
      <c r="D114" s="89" t="s">
        <v>1179</v>
      </c>
      <c r="E114" s="81" t="s">
        <v>2407</v>
      </c>
      <c r="F114" s="89" t="s">
        <v>1179</v>
      </c>
      <c r="G114" s="78" t="s">
        <v>475</v>
      </c>
      <c r="H114" s="78" t="s">
        <v>476</v>
      </c>
      <c r="I114">
        <v>-0.41666666699999999</v>
      </c>
      <c r="J114">
        <v>34.200000000000003</v>
      </c>
      <c r="K114" s="78" t="s">
        <v>480</v>
      </c>
      <c r="AV114" t="s">
        <v>2408</v>
      </c>
      <c r="AW114">
        <v>40</v>
      </c>
      <c r="AX114" t="s">
        <v>866</v>
      </c>
      <c r="AY114">
        <v>1</v>
      </c>
      <c r="AZ114" t="s">
        <v>2409</v>
      </c>
      <c r="BA114">
        <v>2007</v>
      </c>
      <c r="BB114">
        <v>2008</v>
      </c>
      <c r="BD114" t="s">
        <v>998</v>
      </c>
      <c r="BE114" t="s">
        <v>2441</v>
      </c>
      <c r="BF114" t="s">
        <v>553</v>
      </c>
      <c r="BH114" t="s">
        <v>485</v>
      </c>
      <c r="BI114" t="s">
        <v>2411</v>
      </c>
      <c r="BJ114" s="78" t="s">
        <v>486</v>
      </c>
      <c r="BK114">
        <v>44444</v>
      </c>
      <c r="BL114" t="s">
        <v>537</v>
      </c>
      <c r="BM114" t="s">
        <v>1425</v>
      </c>
      <c r="BN114" t="s">
        <v>2421</v>
      </c>
      <c r="BO114" s="78" t="s">
        <v>486</v>
      </c>
      <c r="BP114">
        <v>44444</v>
      </c>
      <c r="BQ114" t="s">
        <v>537</v>
      </c>
      <c r="BR114" t="s">
        <v>2425</v>
      </c>
      <c r="BS114" t="s">
        <v>866</v>
      </c>
      <c r="BT114" t="s">
        <v>866</v>
      </c>
      <c r="BU114" t="s">
        <v>866</v>
      </c>
      <c r="IF114" t="s">
        <v>2442</v>
      </c>
      <c r="IG114" s="75" t="s">
        <v>2426</v>
      </c>
      <c r="IH114" t="s">
        <v>542</v>
      </c>
      <c r="II114" t="s">
        <v>543</v>
      </c>
      <c r="IJ114" t="s">
        <v>1049</v>
      </c>
      <c r="IK114" t="s">
        <v>1049</v>
      </c>
      <c r="IL114" s="78" t="s">
        <v>480</v>
      </c>
      <c r="JH114" t="s">
        <v>2412</v>
      </c>
      <c r="JI114" t="s">
        <v>494</v>
      </c>
      <c r="JJ114" t="s">
        <v>495</v>
      </c>
      <c r="JK114" s="8" t="s">
        <v>1466</v>
      </c>
      <c r="JN114" t="s">
        <v>508</v>
      </c>
      <c r="JO114">
        <v>40</v>
      </c>
      <c r="JP114">
        <v>50</v>
      </c>
      <c r="KD114" t="s">
        <v>500</v>
      </c>
      <c r="MR114" t="s">
        <v>2413</v>
      </c>
      <c r="MS114">
        <v>36</v>
      </c>
      <c r="MT114" t="s">
        <v>2431</v>
      </c>
      <c r="MV114" t="s">
        <v>548</v>
      </c>
      <c r="ND114" t="s">
        <v>1219</v>
      </c>
      <c r="NF114" s="4" t="s">
        <v>660</v>
      </c>
      <c r="NG114" t="s">
        <v>719</v>
      </c>
      <c r="NO114" s="69"/>
      <c r="NP114" t="s">
        <v>518</v>
      </c>
      <c r="NQ114">
        <v>5.2</v>
      </c>
      <c r="NR114" s="4" t="s">
        <v>520</v>
      </c>
      <c r="NS114" s="4">
        <v>0.2</v>
      </c>
      <c r="NV114">
        <v>4</v>
      </c>
      <c r="OG114" t="s">
        <v>2495</v>
      </c>
      <c r="OH114" s="78" t="s">
        <v>475</v>
      </c>
      <c r="OI114">
        <v>2007</v>
      </c>
      <c r="OL114" t="s">
        <v>2419</v>
      </c>
      <c r="ON114" t="s">
        <v>522</v>
      </c>
      <c r="OO114" s="50">
        <v>46105</v>
      </c>
    </row>
    <row r="115" spans="1:405" ht="15.75" thickBot="1">
      <c r="A115" t="s">
        <v>469</v>
      </c>
      <c r="B115" t="s">
        <v>2406</v>
      </c>
      <c r="C115" t="s">
        <v>667</v>
      </c>
      <c r="D115" s="89" t="s">
        <v>1179</v>
      </c>
      <c r="E115" s="81" t="s">
        <v>2407</v>
      </c>
      <c r="F115" s="89" t="s">
        <v>1179</v>
      </c>
      <c r="G115" s="78" t="s">
        <v>475</v>
      </c>
      <c r="H115" s="78" t="s">
        <v>476</v>
      </c>
      <c r="I115">
        <v>-0.41666666699999999</v>
      </c>
      <c r="J115">
        <v>34.200000000000003</v>
      </c>
      <c r="K115" s="78" t="s">
        <v>480</v>
      </c>
      <c r="AV115" t="s">
        <v>2408</v>
      </c>
      <c r="AW115">
        <v>41</v>
      </c>
      <c r="AX115" t="s">
        <v>866</v>
      </c>
      <c r="AY115">
        <v>1</v>
      </c>
      <c r="AZ115" t="s">
        <v>2447</v>
      </c>
      <c r="BA115">
        <v>2007</v>
      </c>
      <c r="BB115">
        <v>2008</v>
      </c>
      <c r="BD115" t="s">
        <v>492</v>
      </c>
      <c r="BE115" t="s">
        <v>2410</v>
      </c>
      <c r="BF115" t="s">
        <v>524</v>
      </c>
      <c r="BH115" t="s">
        <v>485</v>
      </c>
      <c r="BI115" t="s">
        <v>2411</v>
      </c>
      <c r="BJ115" s="78" t="s">
        <v>486</v>
      </c>
      <c r="BK115">
        <v>44444</v>
      </c>
      <c r="IF115" t="s">
        <v>2410</v>
      </c>
      <c r="IG115" t="s">
        <v>492</v>
      </c>
      <c r="JH115" t="s">
        <v>2412</v>
      </c>
      <c r="JI115" t="s">
        <v>494</v>
      </c>
      <c r="JJ115" t="s">
        <v>495</v>
      </c>
      <c r="JK115" s="8" t="s">
        <v>1466</v>
      </c>
      <c r="JN115" t="s">
        <v>508</v>
      </c>
      <c r="JO115">
        <v>40</v>
      </c>
      <c r="JP115">
        <v>50</v>
      </c>
      <c r="KD115" t="s">
        <v>500</v>
      </c>
      <c r="MR115" t="s">
        <v>2413</v>
      </c>
      <c r="MS115">
        <v>36</v>
      </c>
      <c r="MT115" t="s">
        <v>2414</v>
      </c>
      <c r="MV115" t="s">
        <v>548</v>
      </c>
      <c r="ND115" t="s">
        <v>1219</v>
      </c>
      <c r="NF115" s="4" t="s">
        <v>660</v>
      </c>
      <c r="NG115" t="s">
        <v>719</v>
      </c>
      <c r="NO115" s="69" t="s">
        <v>517</v>
      </c>
      <c r="NP115" t="s">
        <v>518</v>
      </c>
      <c r="NQ115">
        <v>2.9</v>
      </c>
      <c r="NR115" s="4" t="s">
        <v>520</v>
      </c>
      <c r="NS115" s="4">
        <v>0.4</v>
      </c>
      <c r="NV115">
        <v>4</v>
      </c>
      <c r="OG115" t="s">
        <v>2495</v>
      </c>
      <c r="OH115" s="78" t="s">
        <v>475</v>
      </c>
      <c r="OI115">
        <v>2008</v>
      </c>
      <c r="OL115" t="s">
        <v>2448</v>
      </c>
      <c r="ON115" t="s">
        <v>522</v>
      </c>
      <c r="OO115" s="50">
        <v>46105</v>
      </c>
    </row>
    <row r="116" spans="1:405" ht="15.75" thickBot="1">
      <c r="A116" t="s">
        <v>469</v>
      </c>
      <c r="B116" t="s">
        <v>2406</v>
      </c>
      <c r="C116" t="s">
        <v>667</v>
      </c>
      <c r="D116" s="89" t="s">
        <v>1179</v>
      </c>
      <c r="E116" s="81" t="s">
        <v>2407</v>
      </c>
      <c r="F116" s="89" t="s">
        <v>1179</v>
      </c>
      <c r="G116" s="78" t="s">
        <v>475</v>
      </c>
      <c r="H116" s="78" t="s">
        <v>476</v>
      </c>
      <c r="I116">
        <v>-0.41666666699999999</v>
      </c>
      <c r="J116">
        <v>34.200000000000003</v>
      </c>
      <c r="K116" s="78" t="s">
        <v>480</v>
      </c>
      <c r="AV116" t="s">
        <v>2408</v>
      </c>
      <c r="AW116">
        <v>42</v>
      </c>
      <c r="AX116" t="s">
        <v>866</v>
      </c>
      <c r="AY116">
        <v>1</v>
      </c>
      <c r="AZ116" t="s">
        <v>2447</v>
      </c>
      <c r="BA116">
        <v>2007</v>
      </c>
      <c r="BB116">
        <v>2008</v>
      </c>
      <c r="BD116" t="s">
        <v>998</v>
      </c>
      <c r="BE116" t="s">
        <v>2420</v>
      </c>
      <c r="BF116" t="s">
        <v>536</v>
      </c>
      <c r="BH116" t="s">
        <v>485</v>
      </c>
      <c r="BI116" t="s">
        <v>2411</v>
      </c>
      <c r="BJ116" s="78" t="s">
        <v>486</v>
      </c>
      <c r="BK116">
        <v>44444</v>
      </c>
      <c r="BL116" t="s">
        <v>537</v>
      </c>
      <c r="BM116" t="s">
        <v>1425</v>
      </c>
      <c r="BN116" t="s">
        <v>2421</v>
      </c>
      <c r="BO116" s="78" t="s">
        <v>486</v>
      </c>
      <c r="BP116">
        <v>44444</v>
      </c>
      <c r="IF116" t="s">
        <v>2420</v>
      </c>
      <c r="IG116" s="75" t="s">
        <v>1714</v>
      </c>
      <c r="IH116" t="s">
        <v>542</v>
      </c>
      <c r="II116" t="s">
        <v>543</v>
      </c>
      <c r="IJ116" t="s">
        <v>1049</v>
      </c>
      <c r="IK116" t="s">
        <v>1049</v>
      </c>
      <c r="IL116" s="78" t="s">
        <v>480</v>
      </c>
      <c r="JH116" t="s">
        <v>2412</v>
      </c>
      <c r="JI116" t="s">
        <v>494</v>
      </c>
      <c r="JJ116" t="s">
        <v>495</v>
      </c>
      <c r="JK116" s="8" t="s">
        <v>1466</v>
      </c>
      <c r="JN116" t="s">
        <v>508</v>
      </c>
      <c r="JO116">
        <v>40</v>
      </c>
      <c r="JP116">
        <v>50</v>
      </c>
      <c r="KD116" t="s">
        <v>500</v>
      </c>
      <c r="MR116" t="s">
        <v>2413</v>
      </c>
      <c r="MS116">
        <v>36</v>
      </c>
      <c r="MT116" t="s">
        <v>2422</v>
      </c>
      <c r="MV116" t="s">
        <v>548</v>
      </c>
      <c r="ND116" t="s">
        <v>1219</v>
      </c>
      <c r="NF116" s="4" t="s">
        <v>660</v>
      </c>
      <c r="NG116" t="s">
        <v>719</v>
      </c>
      <c r="NO116" s="69"/>
      <c r="NP116" t="s">
        <v>518</v>
      </c>
      <c r="NQ116">
        <v>2.6</v>
      </c>
      <c r="NR116" s="4" t="s">
        <v>520</v>
      </c>
      <c r="NS116" s="4">
        <v>0.4</v>
      </c>
      <c r="NV116">
        <v>4</v>
      </c>
      <c r="OG116" t="s">
        <v>2495</v>
      </c>
      <c r="OH116" s="78" t="s">
        <v>475</v>
      </c>
      <c r="OI116">
        <v>2008</v>
      </c>
      <c r="OL116" t="s">
        <v>2448</v>
      </c>
      <c r="ON116" t="s">
        <v>522</v>
      </c>
      <c r="OO116" s="50">
        <v>46105</v>
      </c>
    </row>
    <row r="117" spans="1:405" ht="15.75" thickBot="1">
      <c r="A117" t="s">
        <v>469</v>
      </c>
      <c r="B117" t="s">
        <v>2406</v>
      </c>
      <c r="C117" t="s">
        <v>667</v>
      </c>
      <c r="D117" s="89" t="s">
        <v>1179</v>
      </c>
      <c r="E117" s="81" t="s">
        <v>2407</v>
      </c>
      <c r="F117" s="89" t="s">
        <v>1179</v>
      </c>
      <c r="G117" s="78" t="s">
        <v>475</v>
      </c>
      <c r="H117" s="78" t="s">
        <v>476</v>
      </c>
      <c r="I117">
        <v>-0.41666666699999999</v>
      </c>
      <c r="J117">
        <v>34.200000000000003</v>
      </c>
      <c r="K117" s="78" t="s">
        <v>480</v>
      </c>
      <c r="AV117" t="s">
        <v>2408</v>
      </c>
      <c r="AW117">
        <v>43</v>
      </c>
      <c r="AX117" t="s">
        <v>866</v>
      </c>
      <c r="AY117">
        <v>1</v>
      </c>
      <c r="AZ117" t="s">
        <v>2447</v>
      </c>
      <c r="BA117">
        <v>2007</v>
      </c>
      <c r="BB117">
        <v>2008</v>
      </c>
      <c r="BD117" t="s">
        <v>998</v>
      </c>
      <c r="BE117" t="s">
        <v>2424</v>
      </c>
      <c r="BF117" t="s">
        <v>566</v>
      </c>
      <c r="BH117" t="s">
        <v>485</v>
      </c>
      <c r="BI117" t="s">
        <v>2411</v>
      </c>
      <c r="BJ117" s="78" t="s">
        <v>486</v>
      </c>
      <c r="BK117">
        <v>44444</v>
      </c>
      <c r="BL117" t="s">
        <v>537</v>
      </c>
      <c r="BM117" t="s">
        <v>2425</v>
      </c>
      <c r="BN117" t="s">
        <v>866</v>
      </c>
      <c r="BO117" t="s">
        <v>866</v>
      </c>
      <c r="BP117" t="s">
        <v>866</v>
      </c>
      <c r="IF117" t="s">
        <v>2424</v>
      </c>
      <c r="IG117" s="75" t="s">
        <v>2426</v>
      </c>
      <c r="IH117" t="s">
        <v>542</v>
      </c>
      <c r="II117" t="s">
        <v>543</v>
      </c>
      <c r="IJ117" t="s">
        <v>1049</v>
      </c>
      <c r="IK117" t="s">
        <v>1049</v>
      </c>
      <c r="IL117" s="78" t="s">
        <v>480</v>
      </c>
      <c r="JH117" t="s">
        <v>2412</v>
      </c>
      <c r="JI117" t="s">
        <v>494</v>
      </c>
      <c r="JJ117" t="s">
        <v>495</v>
      </c>
      <c r="JK117" s="8" t="s">
        <v>1466</v>
      </c>
      <c r="JN117" t="s">
        <v>508</v>
      </c>
      <c r="JO117">
        <v>40</v>
      </c>
      <c r="JP117">
        <v>50</v>
      </c>
      <c r="KD117" t="s">
        <v>500</v>
      </c>
      <c r="MR117" t="s">
        <v>2413</v>
      </c>
      <c r="MS117">
        <v>36</v>
      </c>
      <c r="MT117" t="s">
        <v>2427</v>
      </c>
      <c r="MV117" t="s">
        <v>548</v>
      </c>
      <c r="ND117" t="s">
        <v>1219</v>
      </c>
      <c r="NF117" s="4" t="s">
        <v>660</v>
      </c>
      <c r="NG117" t="s">
        <v>719</v>
      </c>
      <c r="NO117" s="69"/>
      <c r="NP117" t="s">
        <v>518</v>
      </c>
      <c r="NQ117">
        <v>5</v>
      </c>
      <c r="NR117" s="4" t="s">
        <v>520</v>
      </c>
      <c r="NS117" s="4">
        <v>0.1</v>
      </c>
      <c r="NV117">
        <v>4</v>
      </c>
      <c r="OG117" t="s">
        <v>2495</v>
      </c>
      <c r="OH117" s="78" t="s">
        <v>475</v>
      </c>
      <c r="OI117">
        <v>2008</v>
      </c>
      <c r="OL117" t="s">
        <v>2448</v>
      </c>
      <c r="ON117" t="s">
        <v>522</v>
      </c>
      <c r="OO117" s="50">
        <v>46105</v>
      </c>
    </row>
    <row r="118" spans="1:405" ht="15.75" thickBot="1">
      <c r="A118" t="s">
        <v>469</v>
      </c>
      <c r="B118" t="s">
        <v>2406</v>
      </c>
      <c r="C118" t="s">
        <v>667</v>
      </c>
      <c r="D118" s="89" t="s">
        <v>1179</v>
      </c>
      <c r="E118" s="81" t="s">
        <v>2407</v>
      </c>
      <c r="F118" s="89" t="s">
        <v>1179</v>
      </c>
      <c r="G118" s="78" t="s">
        <v>475</v>
      </c>
      <c r="H118" s="78" t="s">
        <v>476</v>
      </c>
      <c r="I118">
        <v>-0.41666666699999999</v>
      </c>
      <c r="J118">
        <v>34.200000000000003</v>
      </c>
      <c r="K118" s="78" t="s">
        <v>480</v>
      </c>
      <c r="AV118" t="s">
        <v>2408</v>
      </c>
      <c r="AW118">
        <v>44</v>
      </c>
      <c r="AX118" t="s">
        <v>866</v>
      </c>
      <c r="AY118">
        <v>1</v>
      </c>
      <c r="AZ118" t="s">
        <v>2447</v>
      </c>
      <c r="BA118">
        <v>2007</v>
      </c>
      <c r="BB118">
        <v>2008</v>
      </c>
      <c r="BD118" t="s">
        <v>998</v>
      </c>
      <c r="BE118" t="s">
        <v>2430</v>
      </c>
      <c r="BF118" t="s">
        <v>572</v>
      </c>
      <c r="BH118" t="s">
        <v>485</v>
      </c>
      <c r="BI118" t="s">
        <v>2411</v>
      </c>
      <c r="BJ118" s="78" t="s">
        <v>486</v>
      </c>
      <c r="BK118">
        <v>44444</v>
      </c>
      <c r="BL118" t="s">
        <v>537</v>
      </c>
      <c r="BM118" t="s">
        <v>1425</v>
      </c>
      <c r="BN118" t="s">
        <v>2421</v>
      </c>
      <c r="BO118" s="78" t="s">
        <v>486</v>
      </c>
      <c r="BP118">
        <v>44444</v>
      </c>
      <c r="BQ118" t="s">
        <v>537</v>
      </c>
      <c r="BR118" t="s">
        <v>2425</v>
      </c>
      <c r="BS118" t="s">
        <v>866</v>
      </c>
      <c r="BT118" t="s">
        <v>866</v>
      </c>
      <c r="BU118" t="s">
        <v>866</v>
      </c>
      <c r="IF118" t="s">
        <v>2430</v>
      </c>
      <c r="IG118" s="75" t="s">
        <v>2426</v>
      </c>
      <c r="IH118" t="s">
        <v>542</v>
      </c>
      <c r="II118" t="s">
        <v>543</v>
      </c>
      <c r="IJ118" t="s">
        <v>1049</v>
      </c>
      <c r="IK118" t="s">
        <v>1049</v>
      </c>
      <c r="IL118" s="78" t="s">
        <v>480</v>
      </c>
      <c r="JH118" t="s">
        <v>2412</v>
      </c>
      <c r="JI118" t="s">
        <v>494</v>
      </c>
      <c r="JJ118" t="s">
        <v>495</v>
      </c>
      <c r="JK118" s="8" t="s">
        <v>1466</v>
      </c>
      <c r="JN118" t="s">
        <v>508</v>
      </c>
      <c r="JO118">
        <v>40</v>
      </c>
      <c r="JP118">
        <v>50</v>
      </c>
      <c r="KD118" t="s">
        <v>500</v>
      </c>
      <c r="MR118" t="s">
        <v>2413</v>
      </c>
      <c r="MS118">
        <v>36</v>
      </c>
      <c r="MT118" t="s">
        <v>2431</v>
      </c>
      <c r="MV118" t="s">
        <v>548</v>
      </c>
      <c r="ND118" t="s">
        <v>1219</v>
      </c>
      <c r="NF118" s="4" t="s">
        <v>660</v>
      </c>
      <c r="NG118" t="s">
        <v>719</v>
      </c>
      <c r="NO118" s="69"/>
      <c r="NP118" t="s">
        <v>518</v>
      </c>
      <c r="NQ118">
        <v>5.6</v>
      </c>
      <c r="NR118" s="4" t="s">
        <v>520</v>
      </c>
      <c r="NS118" s="4">
        <v>0.1</v>
      </c>
      <c r="NV118">
        <v>4</v>
      </c>
      <c r="OG118" t="s">
        <v>2495</v>
      </c>
      <c r="OH118" s="78" t="s">
        <v>475</v>
      </c>
      <c r="OI118">
        <v>2008</v>
      </c>
      <c r="OL118" t="s">
        <v>2448</v>
      </c>
      <c r="ON118" t="s">
        <v>522</v>
      </c>
      <c r="OO118" s="50">
        <v>46105</v>
      </c>
    </row>
    <row r="119" spans="1:405" ht="15.75" thickBot="1">
      <c r="A119" t="s">
        <v>469</v>
      </c>
      <c r="B119" t="s">
        <v>2406</v>
      </c>
      <c r="C119" t="s">
        <v>667</v>
      </c>
      <c r="D119" s="89" t="s">
        <v>1179</v>
      </c>
      <c r="E119" s="81" t="s">
        <v>2407</v>
      </c>
      <c r="F119" s="89" t="s">
        <v>1179</v>
      </c>
      <c r="G119" s="78" t="s">
        <v>475</v>
      </c>
      <c r="H119" s="78" t="s">
        <v>476</v>
      </c>
      <c r="I119">
        <v>-0.41666666699999999</v>
      </c>
      <c r="J119">
        <v>34.200000000000003</v>
      </c>
      <c r="K119" s="78" t="s">
        <v>480</v>
      </c>
      <c r="AV119" t="s">
        <v>2408</v>
      </c>
      <c r="AW119">
        <v>45</v>
      </c>
      <c r="AX119" t="s">
        <v>866</v>
      </c>
      <c r="AY119">
        <v>1</v>
      </c>
      <c r="AZ119" t="s">
        <v>2447</v>
      </c>
      <c r="BA119">
        <v>2007</v>
      </c>
      <c r="BB119">
        <v>2008</v>
      </c>
      <c r="BD119" t="s">
        <v>998</v>
      </c>
      <c r="BE119" t="s">
        <v>2442</v>
      </c>
      <c r="BF119" t="s">
        <v>553</v>
      </c>
      <c r="BH119" t="s">
        <v>485</v>
      </c>
      <c r="BI119" t="s">
        <v>2411</v>
      </c>
      <c r="BJ119" s="78" t="s">
        <v>486</v>
      </c>
      <c r="BK119">
        <v>44444</v>
      </c>
      <c r="BL119" t="s">
        <v>537</v>
      </c>
      <c r="BM119" t="s">
        <v>1425</v>
      </c>
      <c r="BN119" t="s">
        <v>2421</v>
      </c>
      <c r="BO119" s="78" t="s">
        <v>486</v>
      </c>
      <c r="BP119">
        <v>44444</v>
      </c>
      <c r="BQ119" t="s">
        <v>537</v>
      </c>
      <c r="BR119" t="s">
        <v>2425</v>
      </c>
      <c r="BS119" t="s">
        <v>866</v>
      </c>
      <c r="BT119" t="s">
        <v>866</v>
      </c>
      <c r="BU119" t="s">
        <v>866</v>
      </c>
      <c r="IF119" t="s">
        <v>2442</v>
      </c>
      <c r="IG119" s="75" t="s">
        <v>2426</v>
      </c>
      <c r="IH119" t="s">
        <v>542</v>
      </c>
      <c r="II119" t="s">
        <v>543</v>
      </c>
      <c r="IJ119" t="s">
        <v>1049</v>
      </c>
      <c r="IK119" t="s">
        <v>1049</v>
      </c>
      <c r="IL119" s="78" t="s">
        <v>480</v>
      </c>
      <c r="JH119" t="s">
        <v>2412</v>
      </c>
      <c r="JI119" t="s">
        <v>494</v>
      </c>
      <c r="JJ119" t="s">
        <v>495</v>
      </c>
      <c r="JK119" s="8" t="s">
        <v>1466</v>
      </c>
      <c r="JN119" t="s">
        <v>508</v>
      </c>
      <c r="JO119">
        <v>40</v>
      </c>
      <c r="JP119">
        <v>50</v>
      </c>
      <c r="KD119" t="s">
        <v>500</v>
      </c>
      <c r="MR119" t="s">
        <v>2413</v>
      </c>
      <c r="MS119">
        <v>36</v>
      </c>
      <c r="MT119" t="s">
        <v>2431</v>
      </c>
      <c r="MV119" t="s">
        <v>548</v>
      </c>
      <c r="ND119" t="s">
        <v>1219</v>
      </c>
      <c r="NF119" s="4" t="s">
        <v>660</v>
      </c>
      <c r="NG119" t="s">
        <v>719</v>
      </c>
      <c r="NO119" s="69"/>
      <c r="NP119" t="s">
        <v>518</v>
      </c>
      <c r="NQ119">
        <v>4.9000000000000004</v>
      </c>
      <c r="NR119" s="4" t="s">
        <v>520</v>
      </c>
      <c r="NS119" s="4">
        <v>0.1</v>
      </c>
      <c r="NV119">
        <v>4</v>
      </c>
      <c r="OG119" t="s">
        <v>2495</v>
      </c>
      <c r="OH119" s="78" t="s">
        <v>475</v>
      </c>
      <c r="OI119">
        <v>2008</v>
      </c>
      <c r="OL119" t="s">
        <v>2448</v>
      </c>
      <c r="ON119" t="s">
        <v>522</v>
      </c>
      <c r="OO119" s="50">
        <v>46105</v>
      </c>
    </row>
    <row r="120" spans="1:405" ht="15.75" thickBot="1">
      <c r="A120" t="s">
        <v>469</v>
      </c>
      <c r="B120" t="s">
        <v>2406</v>
      </c>
      <c r="C120" t="s">
        <v>667</v>
      </c>
      <c r="D120" s="89" t="s">
        <v>1179</v>
      </c>
      <c r="E120" s="81" t="s">
        <v>2407</v>
      </c>
      <c r="F120" s="89" t="s">
        <v>1179</v>
      </c>
      <c r="G120" s="78" t="s">
        <v>475</v>
      </c>
      <c r="H120" s="78" t="s">
        <v>476</v>
      </c>
      <c r="I120">
        <v>-0.41666666699999999</v>
      </c>
      <c r="J120">
        <v>34.200000000000003</v>
      </c>
      <c r="K120" s="78" t="s">
        <v>480</v>
      </c>
      <c r="AV120" t="s">
        <v>2408</v>
      </c>
      <c r="AW120">
        <v>46</v>
      </c>
      <c r="AX120" t="s">
        <v>866</v>
      </c>
      <c r="AY120">
        <v>1</v>
      </c>
      <c r="AZ120" t="s">
        <v>2466</v>
      </c>
      <c r="BA120">
        <v>2007</v>
      </c>
      <c r="BB120">
        <v>2008</v>
      </c>
      <c r="BD120" t="s">
        <v>492</v>
      </c>
      <c r="BE120" t="s">
        <v>2467</v>
      </c>
      <c r="BF120" t="s">
        <v>483</v>
      </c>
      <c r="BH120" t="s">
        <v>485</v>
      </c>
      <c r="BI120" t="s">
        <v>2411</v>
      </c>
      <c r="BJ120" s="78" t="s">
        <v>486</v>
      </c>
      <c r="BK120">
        <v>44444</v>
      </c>
      <c r="IF120" t="s">
        <v>2467</v>
      </c>
      <c r="IG120" t="s">
        <v>492</v>
      </c>
      <c r="JH120" t="s">
        <v>2412</v>
      </c>
      <c r="JI120" t="s">
        <v>494</v>
      </c>
      <c r="JJ120" t="s">
        <v>495</v>
      </c>
      <c r="JK120" s="8" t="s">
        <v>1466</v>
      </c>
      <c r="JN120" t="s">
        <v>508</v>
      </c>
      <c r="JO120">
        <v>40</v>
      </c>
      <c r="JP120">
        <v>50</v>
      </c>
      <c r="KD120" t="s">
        <v>500</v>
      </c>
      <c r="MR120" t="s">
        <v>2413</v>
      </c>
      <c r="MS120">
        <v>36</v>
      </c>
      <c r="MT120" t="s">
        <v>2414</v>
      </c>
      <c r="MV120" t="s">
        <v>548</v>
      </c>
      <c r="ND120" t="s">
        <v>1219</v>
      </c>
      <c r="NF120" s="4" t="s">
        <v>660</v>
      </c>
      <c r="NG120" t="s">
        <v>719</v>
      </c>
      <c r="NO120" s="69" t="s">
        <v>604</v>
      </c>
      <c r="NP120" t="s">
        <v>518</v>
      </c>
      <c r="NQ120">
        <v>3.5</v>
      </c>
      <c r="NR120" s="4" t="s">
        <v>520</v>
      </c>
      <c r="NS120" s="4">
        <v>0.1</v>
      </c>
      <c r="NV120">
        <v>4</v>
      </c>
      <c r="OG120" t="s">
        <v>2496</v>
      </c>
      <c r="OH120" s="78" t="s">
        <v>475</v>
      </c>
      <c r="OI120">
        <v>2007</v>
      </c>
      <c r="OL120" t="s">
        <v>2448</v>
      </c>
      <c r="ON120" t="s">
        <v>522</v>
      </c>
      <c r="OO120" s="50">
        <v>46105</v>
      </c>
    </row>
    <row r="121" spans="1:405" ht="15.75" thickBot="1">
      <c r="A121" t="s">
        <v>469</v>
      </c>
      <c r="B121" t="s">
        <v>2406</v>
      </c>
      <c r="C121" t="s">
        <v>667</v>
      </c>
      <c r="D121" s="89" t="s">
        <v>1179</v>
      </c>
      <c r="E121" s="81" t="s">
        <v>2407</v>
      </c>
      <c r="F121" s="89" t="s">
        <v>1179</v>
      </c>
      <c r="G121" s="78" t="s">
        <v>475</v>
      </c>
      <c r="H121" s="78" t="s">
        <v>476</v>
      </c>
      <c r="I121">
        <v>-0.41666666699999999</v>
      </c>
      <c r="J121">
        <v>34.200000000000003</v>
      </c>
      <c r="K121" s="78" t="s">
        <v>480</v>
      </c>
      <c r="AV121" t="s">
        <v>2408</v>
      </c>
      <c r="AW121">
        <v>47</v>
      </c>
      <c r="AX121" t="s">
        <v>866</v>
      </c>
      <c r="AY121">
        <v>1</v>
      </c>
      <c r="AZ121" t="s">
        <v>2466</v>
      </c>
      <c r="BA121">
        <v>2007</v>
      </c>
      <c r="BB121">
        <v>2008</v>
      </c>
      <c r="BD121" t="s">
        <v>998</v>
      </c>
      <c r="BE121" t="s">
        <v>2472</v>
      </c>
      <c r="BF121" t="s">
        <v>607</v>
      </c>
      <c r="BH121" t="s">
        <v>485</v>
      </c>
      <c r="BI121" t="s">
        <v>2411</v>
      </c>
      <c r="BJ121" s="78" t="s">
        <v>486</v>
      </c>
      <c r="BK121">
        <v>44444</v>
      </c>
      <c r="BL121" t="s">
        <v>537</v>
      </c>
      <c r="BM121" t="s">
        <v>1425</v>
      </c>
      <c r="BN121" t="s">
        <v>2421</v>
      </c>
      <c r="BO121" s="78" t="s">
        <v>486</v>
      </c>
      <c r="BP121">
        <v>44444</v>
      </c>
      <c r="IF121" t="s">
        <v>2472</v>
      </c>
      <c r="IG121" s="75" t="s">
        <v>1714</v>
      </c>
      <c r="IH121" t="s">
        <v>542</v>
      </c>
      <c r="II121" t="s">
        <v>543</v>
      </c>
      <c r="IJ121" t="s">
        <v>1049</v>
      </c>
      <c r="IK121" t="s">
        <v>1049</v>
      </c>
      <c r="IL121" s="78" t="s">
        <v>480</v>
      </c>
      <c r="JH121" t="s">
        <v>2412</v>
      </c>
      <c r="JI121" t="s">
        <v>494</v>
      </c>
      <c r="JJ121" t="s">
        <v>495</v>
      </c>
      <c r="JK121" s="8" t="s">
        <v>1466</v>
      </c>
      <c r="JN121" t="s">
        <v>508</v>
      </c>
      <c r="JO121">
        <v>40</v>
      </c>
      <c r="JP121">
        <v>50</v>
      </c>
      <c r="KD121" t="s">
        <v>500</v>
      </c>
      <c r="MR121" t="s">
        <v>2413</v>
      </c>
      <c r="MS121">
        <v>36</v>
      </c>
      <c r="MT121" t="s">
        <v>2422</v>
      </c>
      <c r="MV121" t="s">
        <v>548</v>
      </c>
      <c r="ND121" t="s">
        <v>1219</v>
      </c>
      <c r="NF121" s="4" t="s">
        <v>660</v>
      </c>
      <c r="NG121" t="s">
        <v>719</v>
      </c>
      <c r="NO121" s="69"/>
      <c r="NP121" t="s">
        <v>518</v>
      </c>
      <c r="NQ121">
        <v>3.2</v>
      </c>
      <c r="NR121" s="4" t="s">
        <v>520</v>
      </c>
      <c r="NS121" s="4">
        <v>0.2</v>
      </c>
      <c r="NV121">
        <v>4</v>
      </c>
      <c r="OG121" t="s">
        <v>2496</v>
      </c>
      <c r="OH121" s="78" t="s">
        <v>475</v>
      </c>
      <c r="OI121">
        <v>2007</v>
      </c>
      <c r="OL121" t="s">
        <v>2448</v>
      </c>
      <c r="ON121" t="s">
        <v>522</v>
      </c>
      <c r="OO121" s="50">
        <v>46105</v>
      </c>
    </row>
    <row r="122" spans="1:405" ht="15.75" thickBot="1">
      <c r="A122" t="s">
        <v>469</v>
      </c>
      <c r="B122" t="s">
        <v>2406</v>
      </c>
      <c r="C122" t="s">
        <v>667</v>
      </c>
      <c r="D122" s="89" t="s">
        <v>1179</v>
      </c>
      <c r="E122" s="81" t="s">
        <v>2407</v>
      </c>
      <c r="F122" s="89" t="s">
        <v>1179</v>
      </c>
      <c r="G122" s="78" t="s">
        <v>475</v>
      </c>
      <c r="H122" s="78" t="s">
        <v>476</v>
      </c>
      <c r="I122">
        <v>-0.41666666699999999</v>
      </c>
      <c r="J122">
        <v>34.200000000000003</v>
      </c>
      <c r="K122" s="78" t="s">
        <v>480</v>
      </c>
      <c r="AV122" t="s">
        <v>2408</v>
      </c>
      <c r="AW122">
        <v>48</v>
      </c>
      <c r="AX122" t="s">
        <v>866</v>
      </c>
      <c r="AY122">
        <v>1</v>
      </c>
      <c r="AZ122" t="s">
        <v>2466</v>
      </c>
      <c r="BA122">
        <v>2007</v>
      </c>
      <c r="BB122">
        <v>2008</v>
      </c>
      <c r="BD122" t="s">
        <v>998</v>
      </c>
      <c r="BE122" t="s">
        <v>2476</v>
      </c>
      <c r="BF122" t="s">
        <v>611</v>
      </c>
      <c r="BH122" t="s">
        <v>485</v>
      </c>
      <c r="BI122" t="s">
        <v>2411</v>
      </c>
      <c r="BJ122" s="78" t="s">
        <v>486</v>
      </c>
      <c r="BK122">
        <v>44444</v>
      </c>
      <c r="BL122" t="s">
        <v>537</v>
      </c>
      <c r="BM122" t="s">
        <v>2425</v>
      </c>
      <c r="BN122" t="s">
        <v>866</v>
      </c>
      <c r="BO122" t="s">
        <v>866</v>
      </c>
      <c r="BP122" t="s">
        <v>866</v>
      </c>
      <c r="IF122" t="s">
        <v>2476</v>
      </c>
      <c r="IG122" s="75" t="s">
        <v>2426</v>
      </c>
      <c r="IH122" t="s">
        <v>542</v>
      </c>
      <c r="II122" t="s">
        <v>543</v>
      </c>
      <c r="IJ122" t="s">
        <v>1049</v>
      </c>
      <c r="IK122" t="s">
        <v>1049</v>
      </c>
      <c r="IL122" s="78" t="s">
        <v>480</v>
      </c>
      <c r="JH122" t="s">
        <v>2412</v>
      </c>
      <c r="JI122" t="s">
        <v>494</v>
      </c>
      <c r="JJ122" t="s">
        <v>495</v>
      </c>
      <c r="JK122" s="8" t="s">
        <v>1466</v>
      </c>
      <c r="JN122" t="s">
        <v>508</v>
      </c>
      <c r="JO122">
        <v>40</v>
      </c>
      <c r="JP122">
        <v>50</v>
      </c>
      <c r="KD122" t="s">
        <v>500</v>
      </c>
      <c r="MR122" t="s">
        <v>2413</v>
      </c>
      <c r="MS122">
        <v>36</v>
      </c>
      <c r="MT122" t="s">
        <v>2427</v>
      </c>
      <c r="MV122" t="s">
        <v>548</v>
      </c>
      <c r="ND122" t="s">
        <v>1219</v>
      </c>
      <c r="NF122" s="4" t="s">
        <v>660</v>
      </c>
      <c r="NG122" t="s">
        <v>719</v>
      </c>
      <c r="NO122" s="69"/>
      <c r="NP122" t="s">
        <v>518</v>
      </c>
      <c r="NQ122">
        <v>5.4</v>
      </c>
      <c r="NR122" s="4" t="s">
        <v>520</v>
      </c>
      <c r="NS122" s="4">
        <v>0.1</v>
      </c>
      <c r="NV122">
        <v>4</v>
      </c>
      <c r="OG122" t="s">
        <v>2496</v>
      </c>
      <c r="OH122" s="78" t="s">
        <v>475</v>
      </c>
      <c r="OI122">
        <v>2007</v>
      </c>
      <c r="OL122" t="s">
        <v>2448</v>
      </c>
      <c r="ON122" t="s">
        <v>522</v>
      </c>
      <c r="OO122" s="50">
        <v>46105</v>
      </c>
    </row>
    <row r="123" spans="1:405" ht="15.75" thickBot="1">
      <c r="A123" t="s">
        <v>469</v>
      </c>
      <c r="B123" t="s">
        <v>2406</v>
      </c>
      <c r="C123" t="s">
        <v>667</v>
      </c>
      <c r="D123" s="89" t="s">
        <v>1179</v>
      </c>
      <c r="E123" s="81" t="s">
        <v>2407</v>
      </c>
      <c r="F123" s="89" t="s">
        <v>1179</v>
      </c>
      <c r="G123" s="78" t="s">
        <v>475</v>
      </c>
      <c r="H123" s="78" t="s">
        <v>476</v>
      </c>
      <c r="I123">
        <v>-0.41666666699999999</v>
      </c>
      <c r="J123">
        <v>34.200000000000003</v>
      </c>
      <c r="K123" s="78" t="s">
        <v>480</v>
      </c>
      <c r="AV123" t="s">
        <v>2408</v>
      </c>
      <c r="AW123">
        <v>49</v>
      </c>
      <c r="AX123" t="s">
        <v>866</v>
      </c>
      <c r="AY123">
        <v>1</v>
      </c>
      <c r="AZ123" t="s">
        <v>2466</v>
      </c>
      <c r="BA123">
        <v>2007</v>
      </c>
      <c r="BB123">
        <v>2008</v>
      </c>
      <c r="BD123" t="s">
        <v>998</v>
      </c>
      <c r="BE123" t="s">
        <v>2480</v>
      </c>
      <c r="BF123" t="s">
        <v>615</v>
      </c>
      <c r="BH123" t="s">
        <v>485</v>
      </c>
      <c r="BI123" t="s">
        <v>2411</v>
      </c>
      <c r="BJ123" s="78" t="s">
        <v>486</v>
      </c>
      <c r="BK123">
        <v>44444</v>
      </c>
      <c r="BL123" t="s">
        <v>537</v>
      </c>
      <c r="BM123" t="s">
        <v>1425</v>
      </c>
      <c r="BN123" t="s">
        <v>2421</v>
      </c>
      <c r="BO123" s="78" t="s">
        <v>486</v>
      </c>
      <c r="BP123">
        <v>44444</v>
      </c>
      <c r="BQ123" t="s">
        <v>537</v>
      </c>
      <c r="BR123" t="s">
        <v>2425</v>
      </c>
      <c r="BS123" t="s">
        <v>866</v>
      </c>
      <c r="BT123" t="s">
        <v>866</v>
      </c>
      <c r="BU123" t="s">
        <v>866</v>
      </c>
      <c r="IF123" t="s">
        <v>2480</v>
      </c>
      <c r="IG123" s="75" t="s">
        <v>2426</v>
      </c>
      <c r="IH123" t="s">
        <v>542</v>
      </c>
      <c r="II123" t="s">
        <v>543</v>
      </c>
      <c r="IJ123" t="s">
        <v>1049</v>
      </c>
      <c r="IK123" t="s">
        <v>1049</v>
      </c>
      <c r="IL123" s="78" t="s">
        <v>480</v>
      </c>
      <c r="JH123" t="s">
        <v>2412</v>
      </c>
      <c r="JI123" t="s">
        <v>494</v>
      </c>
      <c r="JJ123" t="s">
        <v>495</v>
      </c>
      <c r="JK123" s="8" t="s">
        <v>1466</v>
      </c>
      <c r="JN123" t="s">
        <v>508</v>
      </c>
      <c r="JO123">
        <v>40</v>
      </c>
      <c r="JP123">
        <v>50</v>
      </c>
      <c r="KD123" t="s">
        <v>500</v>
      </c>
      <c r="MR123" t="s">
        <v>2413</v>
      </c>
      <c r="MS123">
        <v>36</v>
      </c>
      <c r="MT123" t="s">
        <v>2431</v>
      </c>
      <c r="MV123" t="s">
        <v>548</v>
      </c>
      <c r="ND123" t="s">
        <v>1219</v>
      </c>
      <c r="NF123" s="4" t="s">
        <v>660</v>
      </c>
      <c r="NG123" t="s">
        <v>719</v>
      </c>
      <c r="NO123" s="69"/>
      <c r="NP123" t="s">
        <v>518</v>
      </c>
      <c r="NQ123">
        <v>5.2</v>
      </c>
      <c r="NR123" s="4" t="s">
        <v>520</v>
      </c>
      <c r="NS123" s="4">
        <v>0.1</v>
      </c>
      <c r="NV123">
        <v>4</v>
      </c>
      <c r="OG123" t="s">
        <v>2496</v>
      </c>
      <c r="OH123" s="78" t="s">
        <v>475</v>
      </c>
      <c r="OI123">
        <v>2007</v>
      </c>
      <c r="OL123" t="s">
        <v>2448</v>
      </c>
      <c r="ON123" t="s">
        <v>522</v>
      </c>
      <c r="OO123" s="50">
        <v>46105</v>
      </c>
    </row>
    <row r="124" spans="1:405" ht="15.75" thickBot="1">
      <c r="A124" t="s">
        <v>469</v>
      </c>
      <c r="B124" t="s">
        <v>2406</v>
      </c>
      <c r="C124" t="s">
        <v>667</v>
      </c>
      <c r="D124" s="89" t="s">
        <v>1179</v>
      </c>
      <c r="E124" s="81" t="s">
        <v>2407</v>
      </c>
      <c r="F124" s="89" t="s">
        <v>1179</v>
      </c>
      <c r="G124" s="78" t="s">
        <v>475</v>
      </c>
      <c r="H124" s="78" t="s">
        <v>476</v>
      </c>
      <c r="I124">
        <v>-0.41666666699999999</v>
      </c>
      <c r="J124">
        <v>34.200000000000003</v>
      </c>
      <c r="K124" s="78" t="s">
        <v>480</v>
      </c>
      <c r="AV124" t="s">
        <v>2408</v>
      </c>
      <c r="AW124">
        <v>50</v>
      </c>
      <c r="AX124" t="s">
        <v>866</v>
      </c>
      <c r="AY124">
        <v>1</v>
      </c>
      <c r="AZ124" t="s">
        <v>2466</v>
      </c>
      <c r="BA124">
        <v>2007</v>
      </c>
      <c r="BB124">
        <v>2008</v>
      </c>
      <c r="BD124" t="s">
        <v>998</v>
      </c>
      <c r="BE124" t="s">
        <v>2484</v>
      </c>
      <c r="BF124" t="s">
        <v>617</v>
      </c>
      <c r="BH124" t="s">
        <v>485</v>
      </c>
      <c r="BI124" t="s">
        <v>2411</v>
      </c>
      <c r="BJ124" s="78" t="s">
        <v>486</v>
      </c>
      <c r="BK124">
        <v>44444</v>
      </c>
      <c r="BL124" t="s">
        <v>537</v>
      </c>
      <c r="BM124" t="s">
        <v>1425</v>
      </c>
      <c r="BN124" t="s">
        <v>2421</v>
      </c>
      <c r="BO124" s="78" t="s">
        <v>486</v>
      </c>
      <c r="BP124">
        <v>44444</v>
      </c>
      <c r="BQ124" t="s">
        <v>537</v>
      </c>
      <c r="BR124" t="s">
        <v>2425</v>
      </c>
      <c r="BS124" t="s">
        <v>866</v>
      </c>
      <c r="BT124" t="s">
        <v>866</v>
      </c>
      <c r="BU124" t="s">
        <v>866</v>
      </c>
      <c r="IF124" t="s">
        <v>2484</v>
      </c>
      <c r="IG124" s="75" t="s">
        <v>2426</v>
      </c>
      <c r="IH124" t="s">
        <v>542</v>
      </c>
      <c r="II124" t="s">
        <v>543</v>
      </c>
      <c r="IJ124" t="s">
        <v>1049</v>
      </c>
      <c r="IK124" t="s">
        <v>1049</v>
      </c>
      <c r="IL124" s="78" t="s">
        <v>480</v>
      </c>
      <c r="JH124" t="s">
        <v>2412</v>
      </c>
      <c r="JI124" t="s">
        <v>494</v>
      </c>
      <c r="JJ124" t="s">
        <v>495</v>
      </c>
      <c r="JK124" s="8" t="s">
        <v>1466</v>
      </c>
      <c r="JN124" t="s">
        <v>508</v>
      </c>
      <c r="JO124">
        <v>40</v>
      </c>
      <c r="JP124">
        <v>50</v>
      </c>
      <c r="KD124" t="s">
        <v>500</v>
      </c>
      <c r="MR124" t="s">
        <v>2413</v>
      </c>
      <c r="MS124">
        <v>36</v>
      </c>
      <c r="MT124" t="s">
        <v>2431</v>
      </c>
      <c r="MV124" t="s">
        <v>548</v>
      </c>
      <c r="ND124" t="s">
        <v>1219</v>
      </c>
      <c r="NF124" s="4" t="s">
        <v>660</v>
      </c>
      <c r="NG124" t="s">
        <v>719</v>
      </c>
      <c r="NO124" s="69"/>
      <c r="NP124" t="s">
        <v>518</v>
      </c>
      <c r="NQ124">
        <v>5.5</v>
      </c>
      <c r="NR124" s="4" t="s">
        <v>520</v>
      </c>
      <c r="NS124" s="4">
        <v>0.1</v>
      </c>
      <c r="NV124">
        <v>4</v>
      </c>
      <c r="OG124" t="s">
        <v>2496</v>
      </c>
      <c r="OH124" s="78" t="s">
        <v>475</v>
      </c>
      <c r="OI124">
        <v>2007</v>
      </c>
      <c r="OL124" t="s">
        <v>2448</v>
      </c>
      <c r="ON124" t="s">
        <v>522</v>
      </c>
      <c r="OO124" s="50">
        <v>46105</v>
      </c>
    </row>
    <row r="125" spans="1:405" ht="15.75" thickBot="1">
      <c r="A125" t="s">
        <v>469</v>
      </c>
      <c r="B125" t="s">
        <v>2406</v>
      </c>
      <c r="C125" t="s">
        <v>667</v>
      </c>
      <c r="D125" s="89" t="s">
        <v>1179</v>
      </c>
      <c r="E125" s="81" t="s">
        <v>2407</v>
      </c>
      <c r="F125" s="89" t="s">
        <v>1179</v>
      </c>
      <c r="G125" s="78" t="s">
        <v>475</v>
      </c>
      <c r="H125" s="78" t="s">
        <v>476</v>
      </c>
      <c r="I125">
        <v>-0.41666666699999999</v>
      </c>
      <c r="J125">
        <v>34.200000000000003</v>
      </c>
      <c r="K125" s="78" t="s">
        <v>480</v>
      </c>
      <c r="AV125" t="s">
        <v>2408</v>
      </c>
      <c r="AW125">
        <v>51</v>
      </c>
      <c r="AX125" t="s">
        <v>866</v>
      </c>
      <c r="AY125">
        <v>1</v>
      </c>
      <c r="AZ125" t="s">
        <v>2409</v>
      </c>
      <c r="BA125">
        <v>2007</v>
      </c>
      <c r="BB125">
        <v>2008</v>
      </c>
      <c r="BD125" t="s">
        <v>492</v>
      </c>
      <c r="BE125" t="s">
        <v>2467</v>
      </c>
      <c r="BF125" t="s">
        <v>483</v>
      </c>
      <c r="BH125" t="s">
        <v>485</v>
      </c>
      <c r="BI125" t="s">
        <v>2411</v>
      </c>
      <c r="BJ125" s="78" t="s">
        <v>486</v>
      </c>
      <c r="BK125">
        <v>44444</v>
      </c>
      <c r="IF125" t="s">
        <v>2467</v>
      </c>
      <c r="IG125" t="s">
        <v>492</v>
      </c>
      <c r="JH125" t="s">
        <v>2412</v>
      </c>
      <c r="JI125" t="s">
        <v>494</v>
      </c>
      <c r="JJ125" t="s">
        <v>495</v>
      </c>
      <c r="JK125" s="8" t="s">
        <v>1466</v>
      </c>
      <c r="JN125" t="s">
        <v>508</v>
      </c>
      <c r="JO125">
        <v>40</v>
      </c>
      <c r="JP125">
        <v>50</v>
      </c>
      <c r="KD125" t="s">
        <v>500</v>
      </c>
      <c r="MR125" t="s">
        <v>2413</v>
      </c>
      <c r="MS125">
        <v>36</v>
      </c>
      <c r="MT125" t="s">
        <v>2414</v>
      </c>
      <c r="MV125" t="s">
        <v>548</v>
      </c>
      <c r="ND125" t="s">
        <v>1219</v>
      </c>
      <c r="NF125" s="4" t="s">
        <v>660</v>
      </c>
      <c r="NG125" t="s">
        <v>719</v>
      </c>
      <c r="NO125" s="69" t="s">
        <v>604</v>
      </c>
      <c r="NP125" t="s">
        <v>518</v>
      </c>
      <c r="NQ125">
        <v>3.5</v>
      </c>
      <c r="NR125" s="4" t="s">
        <v>520</v>
      </c>
      <c r="NS125" s="4">
        <v>0.1</v>
      </c>
      <c r="NV125">
        <v>4</v>
      </c>
      <c r="OG125" t="s">
        <v>2497</v>
      </c>
      <c r="OH125" s="78" t="s">
        <v>475</v>
      </c>
      <c r="OI125">
        <v>2007</v>
      </c>
      <c r="OL125" t="s">
        <v>2419</v>
      </c>
      <c r="ON125" t="s">
        <v>522</v>
      </c>
      <c r="OO125" s="50">
        <v>46105</v>
      </c>
    </row>
    <row r="126" spans="1:405" ht="15.75" thickBot="1">
      <c r="A126" t="s">
        <v>469</v>
      </c>
      <c r="B126" t="s">
        <v>2406</v>
      </c>
      <c r="C126" t="s">
        <v>667</v>
      </c>
      <c r="D126" s="89" t="s">
        <v>1179</v>
      </c>
      <c r="E126" s="81" t="s">
        <v>2407</v>
      </c>
      <c r="F126" s="89" t="s">
        <v>1179</v>
      </c>
      <c r="G126" s="78" t="s">
        <v>475</v>
      </c>
      <c r="H126" s="78" t="s">
        <v>476</v>
      </c>
      <c r="I126">
        <v>-0.41666666699999999</v>
      </c>
      <c r="J126">
        <v>34.200000000000003</v>
      </c>
      <c r="K126" s="78" t="s">
        <v>480</v>
      </c>
      <c r="AV126" t="s">
        <v>2408</v>
      </c>
      <c r="AW126">
        <v>52</v>
      </c>
      <c r="AX126" t="s">
        <v>866</v>
      </c>
      <c r="AY126">
        <v>1</v>
      </c>
      <c r="AZ126" t="s">
        <v>2409</v>
      </c>
      <c r="BA126">
        <v>2007</v>
      </c>
      <c r="BB126">
        <v>2008</v>
      </c>
      <c r="BD126" t="s">
        <v>998</v>
      </c>
      <c r="BE126" t="s">
        <v>2472</v>
      </c>
      <c r="BF126" t="s">
        <v>607</v>
      </c>
      <c r="BH126" t="s">
        <v>485</v>
      </c>
      <c r="BI126" t="s">
        <v>2411</v>
      </c>
      <c r="BJ126" s="78" t="s">
        <v>486</v>
      </c>
      <c r="BK126">
        <v>44444</v>
      </c>
      <c r="BL126" t="s">
        <v>537</v>
      </c>
      <c r="BM126" t="s">
        <v>1425</v>
      </c>
      <c r="BN126" t="s">
        <v>2421</v>
      </c>
      <c r="BO126" s="78" t="s">
        <v>486</v>
      </c>
      <c r="BP126">
        <v>44444</v>
      </c>
      <c r="EH126" s="9"/>
      <c r="EI126" s="9"/>
      <c r="EJ126" s="9"/>
      <c r="EK126" s="9"/>
      <c r="EL126" s="9"/>
      <c r="EM126" s="9"/>
      <c r="EN126" s="9"/>
      <c r="EO126" s="9"/>
      <c r="EP126" s="9"/>
      <c r="EQ126" s="9"/>
      <c r="ER126" s="9"/>
      <c r="ES126" s="9"/>
      <c r="ET126" s="9"/>
      <c r="EU126" s="9"/>
      <c r="EV126" s="9"/>
      <c r="EW126" s="9"/>
      <c r="EX126" s="9"/>
      <c r="EY126" s="9"/>
      <c r="EZ126" s="9"/>
      <c r="FA126" s="9"/>
      <c r="FB126" s="9"/>
      <c r="FC126" s="9"/>
      <c r="FD126" s="9"/>
      <c r="FE126" s="9"/>
      <c r="FF126" s="9"/>
      <c r="FG126" s="9"/>
      <c r="FH126" s="9"/>
      <c r="FI126" s="9"/>
      <c r="FJ126" s="9"/>
      <c r="FK126" s="9"/>
      <c r="FL126" s="9"/>
      <c r="FM126" s="9"/>
      <c r="FN126" s="9"/>
      <c r="FO126" s="9"/>
      <c r="FP126" s="9"/>
      <c r="FQ126" s="9"/>
      <c r="FR126" s="9"/>
      <c r="FS126" s="9"/>
      <c r="FT126" s="9"/>
      <c r="FU126" s="9"/>
      <c r="FV126" s="9"/>
      <c r="FW126" s="9"/>
      <c r="FX126" s="9"/>
      <c r="FY126" s="9"/>
      <c r="FZ126" s="9"/>
      <c r="GA126" s="9"/>
      <c r="GB126" s="9"/>
      <c r="GC126" s="9"/>
      <c r="GD126" s="9"/>
      <c r="GE126" s="9"/>
      <c r="GF126" s="9"/>
      <c r="GG126" s="9"/>
      <c r="GH126" s="9"/>
      <c r="GI126" s="9"/>
      <c r="GJ126" s="9"/>
      <c r="GK126" s="9"/>
      <c r="GL126" s="9"/>
      <c r="GM126" s="9"/>
      <c r="GN126" s="9"/>
      <c r="GO126" s="9"/>
      <c r="GP126" s="9"/>
      <c r="GQ126" s="9"/>
      <c r="GR126" s="9"/>
      <c r="GS126" s="9"/>
      <c r="GT126" s="9"/>
      <c r="GU126" s="9"/>
      <c r="GV126" s="9"/>
      <c r="GW126" s="9"/>
      <c r="GX126" s="9"/>
      <c r="GY126" s="9"/>
      <c r="GZ126" s="9"/>
      <c r="HA126" s="9"/>
      <c r="HB126" s="9"/>
      <c r="HC126" s="9"/>
      <c r="HD126" s="9"/>
      <c r="HE126" s="9"/>
      <c r="HF126" s="9"/>
      <c r="HG126" s="9"/>
      <c r="HH126" s="9"/>
      <c r="HI126" s="9"/>
      <c r="HJ126" s="9"/>
      <c r="HK126" s="9"/>
      <c r="HW126" s="50"/>
      <c r="IF126" t="s">
        <v>2472</v>
      </c>
      <c r="IG126" s="75" t="s">
        <v>1714</v>
      </c>
      <c r="IH126" t="s">
        <v>542</v>
      </c>
      <c r="II126" t="s">
        <v>543</v>
      </c>
      <c r="IJ126" t="s">
        <v>1049</v>
      </c>
      <c r="IK126" t="s">
        <v>1049</v>
      </c>
      <c r="IL126" s="78" t="s">
        <v>480</v>
      </c>
      <c r="JH126" t="s">
        <v>2412</v>
      </c>
      <c r="JI126" t="s">
        <v>494</v>
      </c>
      <c r="JJ126" t="s">
        <v>495</v>
      </c>
      <c r="JK126" s="8" t="s">
        <v>1466</v>
      </c>
      <c r="JN126" t="s">
        <v>508</v>
      </c>
      <c r="JO126">
        <v>40</v>
      </c>
      <c r="JP126">
        <v>50</v>
      </c>
      <c r="KD126" t="s">
        <v>500</v>
      </c>
      <c r="MR126" t="s">
        <v>2413</v>
      </c>
      <c r="MS126">
        <v>36</v>
      </c>
      <c r="MT126" t="s">
        <v>2422</v>
      </c>
      <c r="MV126" t="s">
        <v>548</v>
      </c>
      <c r="ND126" t="s">
        <v>1219</v>
      </c>
      <c r="NF126" s="4" t="s">
        <v>660</v>
      </c>
      <c r="NG126" t="s">
        <v>719</v>
      </c>
      <c r="NO126" s="69"/>
      <c r="NP126" t="s">
        <v>518</v>
      </c>
      <c r="NQ126">
        <v>3.1</v>
      </c>
      <c r="NR126" s="4" t="s">
        <v>520</v>
      </c>
      <c r="NS126" s="4">
        <v>0.2</v>
      </c>
      <c r="NV126">
        <v>4</v>
      </c>
      <c r="OG126" t="s">
        <v>2497</v>
      </c>
      <c r="OH126" s="78" t="s">
        <v>475</v>
      </c>
      <c r="OI126">
        <v>2007</v>
      </c>
      <c r="OL126" t="s">
        <v>2419</v>
      </c>
      <c r="ON126" t="s">
        <v>522</v>
      </c>
      <c r="OO126" s="50">
        <v>46105</v>
      </c>
    </row>
    <row r="127" spans="1:405" ht="15.75" thickBot="1">
      <c r="A127" t="s">
        <v>469</v>
      </c>
      <c r="B127" t="s">
        <v>2406</v>
      </c>
      <c r="C127" t="s">
        <v>667</v>
      </c>
      <c r="D127" s="89" t="s">
        <v>1179</v>
      </c>
      <c r="E127" s="81" t="s">
        <v>2407</v>
      </c>
      <c r="F127" s="89" t="s">
        <v>1179</v>
      </c>
      <c r="G127" s="78" t="s">
        <v>475</v>
      </c>
      <c r="H127" s="78" t="s">
        <v>476</v>
      </c>
      <c r="I127">
        <v>-0.41666666699999999</v>
      </c>
      <c r="J127">
        <v>34.200000000000003</v>
      </c>
      <c r="K127" s="78" t="s">
        <v>480</v>
      </c>
      <c r="AV127" t="s">
        <v>2408</v>
      </c>
      <c r="AW127">
        <v>53</v>
      </c>
      <c r="AX127" t="s">
        <v>866</v>
      </c>
      <c r="AY127">
        <v>1</v>
      </c>
      <c r="AZ127" t="s">
        <v>2409</v>
      </c>
      <c r="BA127">
        <v>2007</v>
      </c>
      <c r="BB127">
        <v>2008</v>
      </c>
      <c r="BD127" t="s">
        <v>998</v>
      </c>
      <c r="BE127" t="s">
        <v>2476</v>
      </c>
      <c r="BF127" t="s">
        <v>611</v>
      </c>
      <c r="BH127" t="s">
        <v>485</v>
      </c>
      <c r="BI127" t="s">
        <v>2411</v>
      </c>
      <c r="BJ127" s="78" t="s">
        <v>486</v>
      </c>
      <c r="BK127">
        <v>44444</v>
      </c>
      <c r="BL127" t="s">
        <v>537</v>
      </c>
      <c r="BM127" t="s">
        <v>2425</v>
      </c>
      <c r="BN127" t="s">
        <v>866</v>
      </c>
      <c r="BO127" t="s">
        <v>866</v>
      </c>
      <c r="BP127" t="s">
        <v>866</v>
      </c>
      <c r="EH127" s="9"/>
      <c r="EI127" s="9"/>
      <c r="EJ127" s="9"/>
      <c r="EK127" s="9"/>
      <c r="EL127" s="9"/>
      <c r="EM127" s="9"/>
      <c r="EN127" s="9"/>
      <c r="EO127" s="9"/>
      <c r="EP127" s="9"/>
      <c r="EQ127" s="9"/>
      <c r="ER127" s="9"/>
      <c r="ES127" s="9"/>
      <c r="ET127" s="9"/>
      <c r="EU127" s="9"/>
      <c r="EV127" s="9"/>
      <c r="EW127" s="9"/>
      <c r="EX127" s="9"/>
      <c r="EY127" s="9"/>
      <c r="EZ127" s="9"/>
      <c r="FA127" s="9"/>
      <c r="FB127" s="9"/>
      <c r="FC127" s="9"/>
      <c r="FD127" s="9"/>
      <c r="FE127" s="9"/>
      <c r="FF127" s="9"/>
      <c r="FG127" s="9"/>
      <c r="FH127" s="9"/>
      <c r="FI127" s="9"/>
      <c r="FJ127" s="9"/>
      <c r="FK127" s="9"/>
      <c r="FL127" s="9"/>
      <c r="FM127" s="9"/>
      <c r="FN127" s="9"/>
      <c r="FO127" s="9"/>
      <c r="FP127" s="9"/>
      <c r="FQ127" s="9"/>
      <c r="FR127" s="9"/>
      <c r="FS127" s="9"/>
      <c r="FT127" s="9"/>
      <c r="FU127" s="9"/>
      <c r="FV127" s="9"/>
      <c r="FW127" s="9"/>
      <c r="FX127" s="9"/>
      <c r="FY127" s="9"/>
      <c r="FZ127" s="9"/>
      <c r="GA127" s="9"/>
      <c r="GB127" s="9"/>
      <c r="GC127" s="9"/>
      <c r="GD127" s="9"/>
      <c r="GE127" s="9"/>
      <c r="GF127" s="9"/>
      <c r="GG127" s="9"/>
      <c r="GH127" s="9"/>
      <c r="GI127" s="9"/>
      <c r="GJ127" s="9"/>
      <c r="GK127" s="9"/>
      <c r="GL127" s="9"/>
      <c r="GM127" s="9"/>
      <c r="GN127" s="9"/>
      <c r="GO127" s="9"/>
      <c r="GP127" s="9"/>
      <c r="GQ127" s="9"/>
      <c r="GR127" s="9"/>
      <c r="GS127" s="9"/>
      <c r="GT127" s="9"/>
      <c r="GU127" s="9"/>
      <c r="GV127" s="9"/>
      <c r="GW127" s="9"/>
      <c r="GX127" s="9"/>
      <c r="GY127" s="9"/>
      <c r="GZ127" s="9"/>
      <c r="HA127" s="9"/>
      <c r="HB127" s="9"/>
      <c r="HC127" s="9"/>
      <c r="HD127" s="9"/>
      <c r="HE127" s="9"/>
      <c r="HF127" s="9"/>
      <c r="HG127" s="9"/>
      <c r="HH127" s="9"/>
      <c r="HI127" s="9"/>
      <c r="HJ127" s="9"/>
      <c r="HK127" s="9"/>
      <c r="HW127" s="50"/>
      <c r="IF127" t="s">
        <v>2476</v>
      </c>
      <c r="IG127" s="75" t="s">
        <v>2426</v>
      </c>
      <c r="IH127" t="s">
        <v>542</v>
      </c>
      <c r="II127" t="s">
        <v>543</v>
      </c>
      <c r="IJ127" t="s">
        <v>1049</v>
      </c>
      <c r="IK127" t="s">
        <v>1049</v>
      </c>
      <c r="IL127" s="78" t="s">
        <v>480</v>
      </c>
      <c r="JH127" t="s">
        <v>2412</v>
      </c>
      <c r="JI127" t="s">
        <v>494</v>
      </c>
      <c r="JJ127" t="s">
        <v>495</v>
      </c>
      <c r="JK127" s="8" t="s">
        <v>1466</v>
      </c>
      <c r="JN127" t="s">
        <v>508</v>
      </c>
      <c r="JO127">
        <v>40</v>
      </c>
      <c r="JP127">
        <v>50</v>
      </c>
      <c r="KD127" t="s">
        <v>500</v>
      </c>
      <c r="MR127" t="s">
        <v>2413</v>
      </c>
      <c r="MS127">
        <v>36</v>
      </c>
      <c r="MT127" t="s">
        <v>2427</v>
      </c>
      <c r="MV127" t="s">
        <v>548</v>
      </c>
      <c r="ND127" t="s">
        <v>1219</v>
      </c>
      <c r="NF127" s="4" t="s">
        <v>660</v>
      </c>
      <c r="NG127" t="s">
        <v>719</v>
      </c>
      <c r="NO127" s="69"/>
      <c r="NP127" t="s">
        <v>518</v>
      </c>
      <c r="NQ127">
        <v>5.6</v>
      </c>
      <c r="NR127" s="4" t="s">
        <v>520</v>
      </c>
      <c r="NS127" s="4">
        <v>0.1</v>
      </c>
      <c r="NV127">
        <v>4</v>
      </c>
      <c r="OG127" t="s">
        <v>2497</v>
      </c>
      <c r="OH127" s="78" t="s">
        <v>475</v>
      </c>
      <c r="OI127">
        <v>2007</v>
      </c>
      <c r="OL127" t="s">
        <v>2419</v>
      </c>
      <c r="ON127" t="s">
        <v>522</v>
      </c>
      <c r="OO127" s="50">
        <v>46105</v>
      </c>
    </row>
    <row r="128" spans="1:405" ht="15.75" thickBot="1">
      <c r="A128" t="s">
        <v>469</v>
      </c>
      <c r="B128" t="s">
        <v>2406</v>
      </c>
      <c r="C128" t="s">
        <v>667</v>
      </c>
      <c r="D128" s="89" t="s">
        <v>1179</v>
      </c>
      <c r="E128" s="81" t="s">
        <v>2407</v>
      </c>
      <c r="F128" s="89" t="s">
        <v>1179</v>
      </c>
      <c r="G128" s="78" t="s">
        <v>475</v>
      </c>
      <c r="H128" s="78" t="s">
        <v>476</v>
      </c>
      <c r="I128">
        <v>-0.41666666699999999</v>
      </c>
      <c r="J128">
        <v>34.200000000000003</v>
      </c>
      <c r="K128" s="78" t="s">
        <v>480</v>
      </c>
      <c r="AV128" t="s">
        <v>2408</v>
      </c>
      <c r="AW128">
        <v>54</v>
      </c>
      <c r="AX128" t="s">
        <v>866</v>
      </c>
      <c r="AY128">
        <v>1</v>
      </c>
      <c r="AZ128" t="s">
        <v>2409</v>
      </c>
      <c r="BA128">
        <v>2007</v>
      </c>
      <c r="BB128">
        <v>2008</v>
      </c>
      <c r="BD128" t="s">
        <v>998</v>
      </c>
      <c r="BE128" t="s">
        <v>2480</v>
      </c>
      <c r="BF128" t="s">
        <v>615</v>
      </c>
      <c r="BH128" t="s">
        <v>485</v>
      </c>
      <c r="BI128" t="s">
        <v>2411</v>
      </c>
      <c r="BJ128" s="78" t="s">
        <v>486</v>
      </c>
      <c r="BK128">
        <v>44444</v>
      </c>
      <c r="BL128" t="s">
        <v>537</v>
      </c>
      <c r="BM128" t="s">
        <v>1425</v>
      </c>
      <c r="BN128" t="s">
        <v>2421</v>
      </c>
      <c r="BO128" s="78" t="s">
        <v>486</v>
      </c>
      <c r="BP128">
        <v>44444</v>
      </c>
      <c r="BQ128" t="s">
        <v>537</v>
      </c>
      <c r="BR128" t="s">
        <v>2425</v>
      </c>
      <c r="BS128" t="s">
        <v>866</v>
      </c>
      <c r="BT128" t="s">
        <v>866</v>
      </c>
      <c r="BU128" t="s">
        <v>866</v>
      </c>
      <c r="EH128" s="9"/>
      <c r="EI128" s="9"/>
      <c r="EJ128" s="9"/>
      <c r="EK128" s="9"/>
      <c r="EL128" s="9"/>
      <c r="EM128" s="9"/>
      <c r="EN128" s="9"/>
      <c r="EO128" s="9"/>
      <c r="EP128" s="9"/>
      <c r="EQ128" s="9"/>
      <c r="ER128" s="9"/>
      <c r="ES128" s="9"/>
      <c r="ET128" s="9"/>
      <c r="EU128" s="9"/>
      <c r="EV128" s="9"/>
      <c r="EW128" s="9"/>
      <c r="EX128" s="9"/>
      <c r="EY128" s="9"/>
      <c r="EZ128" s="9"/>
      <c r="FA128" s="9"/>
      <c r="FB128" s="9"/>
      <c r="FC128" s="9"/>
      <c r="FD128" s="9"/>
      <c r="FE128" s="9"/>
      <c r="FF128" s="9"/>
      <c r="FG128" s="9"/>
      <c r="FH128" s="9"/>
      <c r="FI128" s="9"/>
      <c r="FJ128" s="9"/>
      <c r="FK128" s="9"/>
      <c r="FL128" s="9"/>
      <c r="FM128" s="9"/>
      <c r="FN128" s="9"/>
      <c r="FO128" s="9"/>
      <c r="FP128" s="9"/>
      <c r="FQ128" s="9"/>
      <c r="FR128" s="9"/>
      <c r="FS128" s="9"/>
      <c r="FT128" s="9"/>
      <c r="FU128" s="9"/>
      <c r="FV128" s="9"/>
      <c r="FW128" s="9"/>
      <c r="FX128" s="9"/>
      <c r="FY128" s="9"/>
      <c r="FZ128" s="9"/>
      <c r="GA128" s="9"/>
      <c r="GB128" s="9"/>
      <c r="GC128" s="9"/>
      <c r="GD128" s="9"/>
      <c r="GE128" s="9"/>
      <c r="GF128" s="9"/>
      <c r="GG128" s="9"/>
      <c r="GH128" s="9"/>
      <c r="GI128" s="9"/>
      <c r="GJ128" s="9"/>
      <c r="GK128" s="9"/>
      <c r="GL128" s="9"/>
      <c r="GM128" s="9"/>
      <c r="GN128" s="9"/>
      <c r="GO128" s="9"/>
      <c r="GP128" s="9"/>
      <c r="GQ128" s="9"/>
      <c r="GR128" s="9"/>
      <c r="GS128" s="9"/>
      <c r="GT128" s="9"/>
      <c r="GU128" s="9"/>
      <c r="GV128" s="9"/>
      <c r="GW128" s="9"/>
      <c r="GX128" s="9"/>
      <c r="GY128" s="9"/>
      <c r="GZ128" s="9"/>
      <c r="HA128" s="9"/>
      <c r="HB128" s="9"/>
      <c r="HC128" s="9"/>
      <c r="HD128" s="9"/>
      <c r="HE128" s="9"/>
      <c r="HF128" s="9"/>
      <c r="HG128" s="9"/>
      <c r="HH128" s="9"/>
      <c r="HI128" s="9"/>
      <c r="HJ128" s="9"/>
      <c r="HK128" s="9"/>
      <c r="HW128" s="50"/>
      <c r="IF128" t="s">
        <v>2480</v>
      </c>
      <c r="IG128" s="75" t="s">
        <v>2426</v>
      </c>
      <c r="IH128" t="s">
        <v>542</v>
      </c>
      <c r="II128" t="s">
        <v>543</v>
      </c>
      <c r="IJ128" t="s">
        <v>1049</v>
      </c>
      <c r="IK128" t="s">
        <v>1049</v>
      </c>
      <c r="IL128" s="78" t="s">
        <v>480</v>
      </c>
      <c r="JH128" t="s">
        <v>2412</v>
      </c>
      <c r="JI128" t="s">
        <v>494</v>
      </c>
      <c r="JJ128" t="s">
        <v>495</v>
      </c>
      <c r="JK128" s="8" t="s">
        <v>1466</v>
      </c>
      <c r="JN128" t="s">
        <v>508</v>
      </c>
      <c r="JO128">
        <v>40</v>
      </c>
      <c r="JP128">
        <v>50</v>
      </c>
      <c r="KD128" t="s">
        <v>500</v>
      </c>
      <c r="MR128" t="s">
        <v>2413</v>
      </c>
      <c r="MS128">
        <v>36</v>
      </c>
      <c r="MT128" t="s">
        <v>2431</v>
      </c>
      <c r="MV128" t="s">
        <v>548</v>
      </c>
      <c r="ND128" t="s">
        <v>1219</v>
      </c>
      <c r="NF128" s="4" t="s">
        <v>660</v>
      </c>
      <c r="NG128" t="s">
        <v>719</v>
      </c>
      <c r="NO128" s="69"/>
      <c r="NP128" t="s">
        <v>518</v>
      </c>
      <c r="NQ128">
        <v>5</v>
      </c>
      <c r="NR128" s="4" t="s">
        <v>520</v>
      </c>
      <c r="NS128" s="4">
        <v>0.1</v>
      </c>
      <c r="NV128">
        <v>4</v>
      </c>
      <c r="OG128" t="s">
        <v>2497</v>
      </c>
      <c r="OH128" s="78" t="s">
        <v>475</v>
      </c>
      <c r="OI128">
        <v>2007</v>
      </c>
      <c r="OL128" t="s">
        <v>2419</v>
      </c>
      <c r="ON128" t="s">
        <v>522</v>
      </c>
      <c r="OO128" s="50">
        <v>46105</v>
      </c>
    </row>
    <row r="129" spans="1:405" ht="15.75" thickBot="1">
      <c r="A129" t="s">
        <v>469</v>
      </c>
      <c r="B129" t="s">
        <v>2406</v>
      </c>
      <c r="C129" t="s">
        <v>667</v>
      </c>
      <c r="D129" s="89" t="s">
        <v>1179</v>
      </c>
      <c r="E129" s="81" t="s">
        <v>2407</v>
      </c>
      <c r="F129" s="89" t="s">
        <v>1179</v>
      </c>
      <c r="G129" s="78" t="s">
        <v>475</v>
      </c>
      <c r="H129" s="78" t="s">
        <v>476</v>
      </c>
      <c r="I129">
        <v>-0.41666666699999999</v>
      </c>
      <c r="J129">
        <v>34.200000000000003</v>
      </c>
      <c r="K129" s="78" t="s">
        <v>480</v>
      </c>
      <c r="AV129" t="s">
        <v>2408</v>
      </c>
      <c r="AW129">
        <v>55</v>
      </c>
      <c r="AX129" t="s">
        <v>866</v>
      </c>
      <c r="AY129">
        <v>1</v>
      </c>
      <c r="AZ129" t="s">
        <v>2409</v>
      </c>
      <c r="BA129">
        <v>2007</v>
      </c>
      <c r="BB129">
        <v>2008</v>
      </c>
      <c r="BD129" t="s">
        <v>998</v>
      </c>
      <c r="BE129" t="s">
        <v>2484</v>
      </c>
      <c r="BF129" t="s">
        <v>617</v>
      </c>
      <c r="BH129" t="s">
        <v>485</v>
      </c>
      <c r="BI129" t="s">
        <v>2411</v>
      </c>
      <c r="BJ129" s="78" t="s">
        <v>486</v>
      </c>
      <c r="BK129">
        <v>44444</v>
      </c>
      <c r="BL129" t="s">
        <v>537</v>
      </c>
      <c r="BM129" t="s">
        <v>1425</v>
      </c>
      <c r="BN129" t="s">
        <v>2421</v>
      </c>
      <c r="BO129" s="78" t="s">
        <v>486</v>
      </c>
      <c r="BP129">
        <v>44444</v>
      </c>
      <c r="BQ129" t="s">
        <v>537</v>
      </c>
      <c r="BR129" t="s">
        <v>2425</v>
      </c>
      <c r="BS129" t="s">
        <v>866</v>
      </c>
      <c r="BT129" t="s">
        <v>866</v>
      </c>
      <c r="BU129" t="s">
        <v>866</v>
      </c>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K129" s="9"/>
      <c r="HW129" s="50"/>
      <c r="IF129" t="s">
        <v>2484</v>
      </c>
      <c r="IG129" s="75" t="s">
        <v>2426</v>
      </c>
      <c r="IH129" t="s">
        <v>542</v>
      </c>
      <c r="II129" t="s">
        <v>543</v>
      </c>
      <c r="IJ129" t="s">
        <v>1049</v>
      </c>
      <c r="IK129" t="s">
        <v>1049</v>
      </c>
      <c r="IL129" s="78" t="s">
        <v>480</v>
      </c>
      <c r="JH129" t="s">
        <v>2412</v>
      </c>
      <c r="JI129" t="s">
        <v>494</v>
      </c>
      <c r="JJ129" t="s">
        <v>495</v>
      </c>
      <c r="JK129" s="8" t="s">
        <v>1466</v>
      </c>
      <c r="JN129" t="s">
        <v>508</v>
      </c>
      <c r="JO129">
        <v>40</v>
      </c>
      <c r="JP129">
        <v>50</v>
      </c>
      <c r="KD129" t="s">
        <v>500</v>
      </c>
      <c r="MR129" t="s">
        <v>2413</v>
      </c>
      <c r="MS129">
        <v>36</v>
      </c>
      <c r="MT129" t="s">
        <v>2431</v>
      </c>
      <c r="MV129" t="s">
        <v>548</v>
      </c>
      <c r="ND129" t="s">
        <v>1219</v>
      </c>
      <c r="NF129" s="4" t="s">
        <v>660</v>
      </c>
      <c r="NG129" t="s">
        <v>719</v>
      </c>
      <c r="NO129" s="69"/>
      <c r="NP129" t="s">
        <v>518</v>
      </c>
      <c r="NQ129">
        <v>5.4</v>
      </c>
      <c r="NR129" s="4" t="s">
        <v>520</v>
      </c>
      <c r="NS129" s="4">
        <v>0.1</v>
      </c>
      <c r="NV129">
        <v>4</v>
      </c>
      <c r="OG129" t="s">
        <v>2497</v>
      </c>
      <c r="OH129" s="78" t="s">
        <v>475</v>
      </c>
      <c r="OI129">
        <v>2007</v>
      </c>
      <c r="OL129" t="s">
        <v>2419</v>
      </c>
      <c r="ON129" t="s">
        <v>522</v>
      </c>
      <c r="OO129" s="50">
        <v>46105</v>
      </c>
    </row>
    <row r="130" spans="1:405" ht="15.75" thickBot="1">
      <c r="A130" t="s">
        <v>469</v>
      </c>
      <c r="B130" t="s">
        <v>2406</v>
      </c>
      <c r="C130" t="s">
        <v>667</v>
      </c>
      <c r="D130" s="89" t="s">
        <v>1179</v>
      </c>
      <c r="E130" s="81" t="s">
        <v>2407</v>
      </c>
      <c r="F130" s="89" t="s">
        <v>1179</v>
      </c>
      <c r="G130" s="78" t="s">
        <v>475</v>
      </c>
      <c r="H130" s="78" t="s">
        <v>476</v>
      </c>
      <c r="I130">
        <v>-0.41666666699999999</v>
      </c>
      <c r="J130">
        <v>34.200000000000003</v>
      </c>
      <c r="K130" s="78" t="s">
        <v>480</v>
      </c>
      <c r="AV130" t="s">
        <v>2408</v>
      </c>
      <c r="AW130">
        <v>36</v>
      </c>
      <c r="AX130" t="s">
        <v>866</v>
      </c>
      <c r="AY130">
        <v>1</v>
      </c>
      <c r="AZ130" t="s">
        <v>2409</v>
      </c>
      <c r="BA130">
        <v>2007</v>
      </c>
      <c r="BB130">
        <v>2008</v>
      </c>
      <c r="BD130" t="s">
        <v>492</v>
      </c>
      <c r="BE130" t="s">
        <v>2410</v>
      </c>
      <c r="BF130" t="s">
        <v>524</v>
      </c>
      <c r="BH130" t="s">
        <v>485</v>
      </c>
      <c r="BI130" t="s">
        <v>2411</v>
      </c>
      <c r="BJ130" s="78" t="s">
        <v>486</v>
      </c>
      <c r="BK130">
        <v>44444</v>
      </c>
      <c r="IF130" t="s">
        <v>2410</v>
      </c>
      <c r="IG130" t="s">
        <v>492</v>
      </c>
      <c r="JH130" t="s">
        <v>2412</v>
      </c>
      <c r="JI130" t="s">
        <v>494</v>
      </c>
      <c r="JJ130" t="s">
        <v>495</v>
      </c>
      <c r="JK130" s="8" t="s">
        <v>1466</v>
      </c>
      <c r="JN130" t="s">
        <v>508</v>
      </c>
      <c r="JO130">
        <v>40</v>
      </c>
      <c r="JP130">
        <v>50</v>
      </c>
      <c r="KD130" t="s">
        <v>500</v>
      </c>
      <c r="MR130" t="s">
        <v>2413</v>
      </c>
      <c r="MS130">
        <v>36</v>
      </c>
      <c r="MT130" t="s">
        <v>685</v>
      </c>
      <c r="MV130" t="s">
        <v>685</v>
      </c>
      <c r="NA130" t="s">
        <v>686</v>
      </c>
      <c r="NB130" t="s">
        <v>2498</v>
      </c>
      <c r="ND130" t="s">
        <v>2499</v>
      </c>
      <c r="NF130" s="4" t="s">
        <v>689</v>
      </c>
      <c r="NG130" t="s">
        <v>2500</v>
      </c>
      <c r="NO130" s="69" t="s">
        <v>517</v>
      </c>
      <c r="NP130" t="s">
        <v>518</v>
      </c>
      <c r="NQ130">
        <v>148.5</v>
      </c>
      <c r="NR130" s="4" t="s">
        <v>520</v>
      </c>
      <c r="NS130" s="4">
        <v>44.8</v>
      </c>
      <c r="NV130">
        <v>4</v>
      </c>
      <c r="OG130" t="s">
        <v>2501</v>
      </c>
      <c r="OH130" s="78" t="s">
        <v>475</v>
      </c>
      <c r="OI130">
        <v>2007</v>
      </c>
      <c r="OL130" t="s">
        <v>2502</v>
      </c>
      <c r="ON130" t="s">
        <v>522</v>
      </c>
      <c r="OO130" s="50">
        <v>46105</v>
      </c>
    </row>
    <row r="131" spans="1:405" ht="15.75" thickBot="1">
      <c r="A131" t="s">
        <v>469</v>
      </c>
      <c r="B131" t="s">
        <v>2406</v>
      </c>
      <c r="C131" t="s">
        <v>667</v>
      </c>
      <c r="D131" s="89" t="s">
        <v>1179</v>
      </c>
      <c r="E131" s="81" t="s">
        <v>2407</v>
      </c>
      <c r="F131" s="89" t="s">
        <v>1179</v>
      </c>
      <c r="G131" s="78" t="s">
        <v>475</v>
      </c>
      <c r="H131" s="78" t="s">
        <v>476</v>
      </c>
      <c r="I131">
        <v>-0.41666666699999999</v>
      </c>
      <c r="J131">
        <v>34.200000000000003</v>
      </c>
      <c r="K131" s="78" t="s">
        <v>480</v>
      </c>
      <c r="AV131" t="s">
        <v>2408</v>
      </c>
      <c r="AW131">
        <v>37</v>
      </c>
      <c r="AX131" t="s">
        <v>866</v>
      </c>
      <c r="AY131">
        <v>1</v>
      </c>
      <c r="AZ131" t="s">
        <v>2409</v>
      </c>
      <c r="BA131">
        <v>2007</v>
      </c>
      <c r="BB131">
        <v>2008</v>
      </c>
      <c r="BD131" t="s">
        <v>998</v>
      </c>
      <c r="BE131" t="s">
        <v>2420</v>
      </c>
      <c r="BF131" t="s">
        <v>536</v>
      </c>
      <c r="BH131" t="s">
        <v>485</v>
      </c>
      <c r="BI131" t="s">
        <v>2411</v>
      </c>
      <c r="BJ131" s="78" t="s">
        <v>486</v>
      </c>
      <c r="BK131">
        <v>44444</v>
      </c>
      <c r="BL131" t="s">
        <v>537</v>
      </c>
      <c r="BM131" t="s">
        <v>1425</v>
      </c>
      <c r="BN131" t="s">
        <v>2421</v>
      </c>
      <c r="BO131" s="78" t="s">
        <v>486</v>
      </c>
      <c r="BP131">
        <v>44444</v>
      </c>
      <c r="IF131" t="s">
        <v>2420</v>
      </c>
      <c r="IG131" s="75" t="s">
        <v>1714</v>
      </c>
      <c r="IH131" t="s">
        <v>542</v>
      </c>
      <c r="II131" t="s">
        <v>543</v>
      </c>
      <c r="IJ131" t="s">
        <v>1049</v>
      </c>
      <c r="IK131" t="s">
        <v>1049</v>
      </c>
      <c r="IL131" s="78" t="s">
        <v>480</v>
      </c>
      <c r="JH131" t="s">
        <v>2412</v>
      </c>
      <c r="JI131" t="s">
        <v>494</v>
      </c>
      <c r="JJ131" t="s">
        <v>495</v>
      </c>
      <c r="JK131" s="8" t="s">
        <v>1466</v>
      </c>
      <c r="JN131" t="s">
        <v>508</v>
      </c>
      <c r="JO131">
        <v>40</v>
      </c>
      <c r="JP131">
        <v>50</v>
      </c>
      <c r="KD131" t="s">
        <v>500</v>
      </c>
      <c r="MR131" t="s">
        <v>2413</v>
      </c>
      <c r="MS131">
        <v>36</v>
      </c>
      <c r="MT131" t="s">
        <v>685</v>
      </c>
      <c r="MV131" t="s">
        <v>685</v>
      </c>
      <c r="NA131" t="s">
        <v>686</v>
      </c>
      <c r="NB131" t="s">
        <v>2498</v>
      </c>
      <c r="ND131" t="s">
        <v>2499</v>
      </c>
      <c r="NF131" s="4" t="s">
        <v>689</v>
      </c>
      <c r="NG131" t="s">
        <v>2500</v>
      </c>
      <c r="NO131" s="69"/>
      <c r="NP131" t="s">
        <v>518</v>
      </c>
      <c r="NQ131">
        <v>76</v>
      </c>
      <c r="NR131" s="4" t="s">
        <v>520</v>
      </c>
      <c r="NS131" s="4">
        <v>22</v>
      </c>
      <c r="NV131">
        <v>4</v>
      </c>
      <c r="OG131" t="s">
        <v>2501</v>
      </c>
      <c r="OH131" s="78" t="s">
        <v>475</v>
      </c>
      <c r="OI131">
        <v>2007</v>
      </c>
      <c r="OL131" t="s">
        <v>2502</v>
      </c>
      <c r="ON131" t="s">
        <v>522</v>
      </c>
      <c r="OO131" s="50">
        <v>46105</v>
      </c>
    </row>
    <row r="132" spans="1:405" ht="15.75" thickBot="1">
      <c r="A132" t="s">
        <v>469</v>
      </c>
      <c r="B132" t="s">
        <v>2406</v>
      </c>
      <c r="C132" t="s">
        <v>667</v>
      </c>
      <c r="D132" s="89" t="s">
        <v>1179</v>
      </c>
      <c r="E132" s="81" t="s">
        <v>2407</v>
      </c>
      <c r="F132" s="89" t="s">
        <v>1179</v>
      </c>
      <c r="G132" s="78" t="s">
        <v>475</v>
      </c>
      <c r="H132" s="78" t="s">
        <v>476</v>
      </c>
      <c r="I132">
        <v>-0.41666666699999999</v>
      </c>
      <c r="J132">
        <v>34.200000000000003</v>
      </c>
      <c r="K132" s="78" t="s">
        <v>480</v>
      </c>
      <c r="AV132" t="s">
        <v>2408</v>
      </c>
      <c r="AW132">
        <v>38</v>
      </c>
      <c r="AX132" t="s">
        <v>866</v>
      </c>
      <c r="AY132">
        <v>1</v>
      </c>
      <c r="AZ132" t="s">
        <v>2409</v>
      </c>
      <c r="BA132">
        <v>2007</v>
      </c>
      <c r="BB132">
        <v>2008</v>
      </c>
      <c r="BD132" t="s">
        <v>998</v>
      </c>
      <c r="BE132" t="s">
        <v>2424</v>
      </c>
      <c r="BF132" t="s">
        <v>566</v>
      </c>
      <c r="BH132" t="s">
        <v>485</v>
      </c>
      <c r="BI132" t="s">
        <v>2411</v>
      </c>
      <c r="BJ132" s="78" t="s">
        <v>486</v>
      </c>
      <c r="BK132">
        <v>44444</v>
      </c>
      <c r="BL132" t="s">
        <v>537</v>
      </c>
      <c r="BM132" t="s">
        <v>2425</v>
      </c>
      <c r="BN132" t="s">
        <v>866</v>
      </c>
      <c r="BO132" t="s">
        <v>866</v>
      </c>
      <c r="BP132" t="s">
        <v>866</v>
      </c>
      <c r="IF132" t="s">
        <v>2424</v>
      </c>
      <c r="IG132" s="75" t="s">
        <v>2426</v>
      </c>
      <c r="IH132" t="s">
        <v>542</v>
      </c>
      <c r="II132" t="s">
        <v>543</v>
      </c>
      <c r="IJ132" t="s">
        <v>1049</v>
      </c>
      <c r="IK132" t="s">
        <v>1049</v>
      </c>
      <c r="IL132" s="78" t="s">
        <v>480</v>
      </c>
      <c r="JH132" t="s">
        <v>2412</v>
      </c>
      <c r="JI132" t="s">
        <v>494</v>
      </c>
      <c r="JJ132" t="s">
        <v>495</v>
      </c>
      <c r="JK132" s="8" t="s">
        <v>1466</v>
      </c>
      <c r="JN132" t="s">
        <v>508</v>
      </c>
      <c r="JO132">
        <v>40</v>
      </c>
      <c r="JP132">
        <v>50</v>
      </c>
      <c r="KD132" t="s">
        <v>500</v>
      </c>
      <c r="MR132" t="s">
        <v>2413</v>
      </c>
      <c r="MS132">
        <v>36</v>
      </c>
      <c r="MT132" t="s">
        <v>685</v>
      </c>
      <c r="MV132" t="s">
        <v>685</v>
      </c>
      <c r="NA132" t="s">
        <v>686</v>
      </c>
      <c r="NB132" t="s">
        <v>2498</v>
      </c>
      <c r="ND132" t="s">
        <v>2499</v>
      </c>
      <c r="NF132" s="4" t="s">
        <v>689</v>
      </c>
      <c r="NG132" t="s">
        <v>2500</v>
      </c>
      <c r="NO132" s="69"/>
      <c r="NP132" t="s">
        <v>518</v>
      </c>
      <c r="NQ132">
        <v>15.5</v>
      </c>
      <c r="NR132" s="4" t="s">
        <v>520</v>
      </c>
      <c r="NS132" s="4">
        <v>2.8</v>
      </c>
      <c r="NV132">
        <v>4</v>
      </c>
      <c r="OG132" t="s">
        <v>2501</v>
      </c>
      <c r="OH132" s="78" t="s">
        <v>475</v>
      </c>
      <c r="OI132">
        <v>2007</v>
      </c>
      <c r="OL132" t="s">
        <v>2502</v>
      </c>
      <c r="ON132" t="s">
        <v>522</v>
      </c>
      <c r="OO132" s="50">
        <v>46105</v>
      </c>
    </row>
    <row r="133" spans="1:405" ht="15.75" thickBot="1">
      <c r="A133" t="s">
        <v>469</v>
      </c>
      <c r="B133" t="s">
        <v>2406</v>
      </c>
      <c r="C133" t="s">
        <v>667</v>
      </c>
      <c r="D133" s="89" t="s">
        <v>1179</v>
      </c>
      <c r="E133" s="81" t="s">
        <v>2407</v>
      </c>
      <c r="F133" s="89" t="s">
        <v>1179</v>
      </c>
      <c r="G133" s="78" t="s">
        <v>475</v>
      </c>
      <c r="H133" s="78" t="s">
        <v>476</v>
      </c>
      <c r="I133">
        <v>-0.41666666699999999</v>
      </c>
      <c r="J133">
        <v>34.200000000000003</v>
      </c>
      <c r="K133" s="78" t="s">
        <v>480</v>
      </c>
      <c r="AV133" t="s">
        <v>2408</v>
      </c>
      <c r="AW133">
        <v>39</v>
      </c>
      <c r="AX133" t="s">
        <v>866</v>
      </c>
      <c r="AY133">
        <v>1</v>
      </c>
      <c r="AZ133" t="s">
        <v>2409</v>
      </c>
      <c r="BA133">
        <v>2007</v>
      </c>
      <c r="BB133">
        <v>2008</v>
      </c>
      <c r="BD133" t="s">
        <v>998</v>
      </c>
      <c r="BE133" t="s">
        <v>2430</v>
      </c>
      <c r="BF133" t="s">
        <v>572</v>
      </c>
      <c r="BH133" t="s">
        <v>485</v>
      </c>
      <c r="BI133" t="s">
        <v>2411</v>
      </c>
      <c r="BJ133" s="78" t="s">
        <v>486</v>
      </c>
      <c r="BK133">
        <v>44444</v>
      </c>
      <c r="BL133" t="s">
        <v>537</v>
      </c>
      <c r="BM133" t="s">
        <v>1425</v>
      </c>
      <c r="BN133" t="s">
        <v>2421</v>
      </c>
      <c r="BO133" s="78" t="s">
        <v>486</v>
      </c>
      <c r="BP133">
        <v>44444</v>
      </c>
      <c r="BQ133" t="s">
        <v>537</v>
      </c>
      <c r="BR133" t="s">
        <v>2425</v>
      </c>
      <c r="BS133" t="s">
        <v>866</v>
      </c>
      <c r="BT133" t="s">
        <v>866</v>
      </c>
      <c r="BU133" t="s">
        <v>866</v>
      </c>
      <c r="IF133" t="s">
        <v>2430</v>
      </c>
      <c r="IG133" s="75" t="s">
        <v>2426</v>
      </c>
      <c r="IH133" t="s">
        <v>542</v>
      </c>
      <c r="II133" t="s">
        <v>543</v>
      </c>
      <c r="IJ133" t="s">
        <v>1049</v>
      </c>
      <c r="IK133" t="s">
        <v>1049</v>
      </c>
      <c r="IL133" s="78" t="s">
        <v>480</v>
      </c>
      <c r="JH133" t="s">
        <v>2412</v>
      </c>
      <c r="JI133" t="s">
        <v>494</v>
      </c>
      <c r="JJ133" t="s">
        <v>495</v>
      </c>
      <c r="JK133" s="8" t="s">
        <v>1466</v>
      </c>
      <c r="JN133" t="s">
        <v>508</v>
      </c>
      <c r="JO133">
        <v>40</v>
      </c>
      <c r="JP133">
        <v>50</v>
      </c>
      <c r="KD133" t="s">
        <v>500</v>
      </c>
      <c r="MR133" t="s">
        <v>2413</v>
      </c>
      <c r="MS133">
        <v>36</v>
      </c>
      <c r="MT133" t="s">
        <v>685</v>
      </c>
      <c r="MV133" t="s">
        <v>685</v>
      </c>
      <c r="NA133" t="s">
        <v>686</v>
      </c>
      <c r="NB133" t="s">
        <v>2498</v>
      </c>
      <c r="ND133" t="s">
        <v>2499</v>
      </c>
      <c r="NF133" s="4" t="s">
        <v>689</v>
      </c>
      <c r="NG133" t="s">
        <v>2500</v>
      </c>
      <c r="NO133" s="69"/>
      <c r="NP133" t="s">
        <v>518</v>
      </c>
      <c r="NQ133">
        <v>25.7</v>
      </c>
      <c r="NR133" s="4" t="s">
        <v>520</v>
      </c>
      <c r="NS133" s="4">
        <v>2.9</v>
      </c>
      <c r="NV133">
        <v>4</v>
      </c>
      <c r="OG133" t="s">
        <v>2501</v>
      </c>
      <c r="OH133" s="78" t="s">
        <v>475</v>
      </c>
      <c r="OI133">
        <v>2007</v>
      </c>
      <c r="OL133" t="s">
        <v>2502</v>
      </c>
      <c r="ON133" t="s">
        <v>522</v>
      </c>
      <c r="OO133" s="50">
        <v>46105</v>
      </c>
    </row>
    <row r="134" spans="1:405" ht="15.75" thickBot="1">
      <c r="A134" t="s">
        <v>469</v>
      </c>
      <c r="B134" t="s">
        <v>2406</v>
      </c>
      <c r="C134" t="s">
        <v>667</v>
      </c>
      <c r="D134" s="89" t="s">
        <v>1179</v>
      </c>
      <c r="E134" s="81" t="s">
        <v>2407</v>
      </c>
      <c r="F134" s="89" t="s">
        <v>1179</v>
      </c>
      <c r="G134" s="78" t="s">
        <v>475</v>
      </c>
      <c r="H134" s="78" t="s">
        <v>476</v>
      </c>
      <c r="I134">
        <v>-0.41666666699999999</v>
      </c>
      <c r="J134">
        <v>34.200000000000003</v>
      </c>
      <c r="K134" s="78" t="s">
        <v>480</v>
      </c>
      <c r="AV134" t="s">
        <v>2408</v>
      </c>
      <c r="AW134">
        <v>40</v>
      </c>
      <c r="AX134" t="s">
        <v>866</v>
      </c>
      <c r="AY134">
        <v>1</v>
      </c>
      <c r="AZ134" t="s">
        <v>2409</v>
      </c>
      <c r="BA134">
        <v>2007</v>
      </c>
      <c r="BB134">
        <v>2008</v>
      </c>
      <c r="BD134" t="s">
        <v>998</v>
      </c>
      <c r="BE134" t="s">
        <v>2441</v>
      </c>
      <c r="BF134" t="s">
        <v>553</v>
      </c>
      <c r="BH134" t="s">
        <v>485</v>
      </c>
      <c r="BI134" t="s">
        <v>2411</v>
      </c>
      <c r="BJ134" s="78" t="s">
        <v>486</v>
      </c>
      <c r="BK134">
        <v>44444</v>
      </c>
      <c r="BL134" t="s">
        <v>537</v>
      </c>
      <c r="BM134" t="s">
        <v>1425</v>
      </c>
      <c r="BN134" t="s">
        <v>2421</v>
      </c>
      <c r="BO134" s="78" t="s">
        <v>486</v>
      </c>
      <c r="BP134">
        <v>44444</v>
      </c>
      <c r="BQ134" t="s">
        <v>537</v>
      </c>
      <c r="BR134" t="s">
        <v>2425</v>
      </c>
      <c r="BS134" t="s">
        <v>866</v>
      </c>
      <c r="BT134" t="s">
        <v>866</v>
      </c>
      <c r="BU134" t="s">
        <v>866</v>
      </c>
      <c r="IF134" t="s">
        <v>2442</v>
      </c>
      <c r="IG134" s="75" t="s">
        <v>2426</v>
      </c>
      <c r="IH134" t="s">
        <v>542</v>
      </c>
      <c r="II134" t="s">
        <v>543</v>
      </c>
      <c r="IJ134" t="s">
        <v>1049</v>
      </c>
      <c r="IK134" t="s">
        <v>1049</v>
      </c>
      <c r="IL134" s="78" t="s">
        <v>480</v>
      </c>
      <c r="JH134" t="s">
        <v>2412</v>
      </c>
      <c r="JI134" t="s">
        <v>494</v>
      </c>
      <c r="JJ134" t="s">
        <v>495</v>
      </c>
      <c r="JK134" s="8" t="s">
        <v>1466</v>
      </c>
      <c r="JN134" t="s">
        <v>508</v>
      </c>
      <c r="JO134">
        <v>40</v>
      </c>
      <c r="JP134">
        <v>50</v>
      </c>
      <c r="KD134" t="s">
        <v>500</v>
      </c>
      <c r="MR134" t="s">
        <v>2413</v>
      </c>
      <c r="MS134">
        <v>36</v>
      </c>
      <c r="MT134" t="s">
        <v>685</v>
      </c>
      <c r="MV134" t="s">
        <v>685</v>
      </c>
      <c r="NA134" t="s">
        <v>686</v>
      </c>
      <c r="NB134" t="s">
        <v>2498</v>
      </c>
      <c r="ND134" t="s">
        <v>2499</v>
      </c>
      <c r="NF134" s="4" t="s">
        <v>689</v>
      </c>
      <c r="NG134" t="s">
        <v>2500</v>
      </c>
      <c r="NO134" s="69"/>
      <c r="NP134" t="s">
        <v>518</v>
      </c>
      <c r="NQ134">
        <v>22</v>
      </c>
      <c r="NR134" s="4" t="s">
        <v>520</v>
      </c>
      <c r="NS134" s="4">
        <v>7.8</v>
      </c>
      <c r="NV134">
        <v>4</v>
      </c>
      <c r="OG134" t="s">
        <v>2501</v>
      </c>
      <c r="OH134" s="78" t="s">
        <v>475</v>
      </c>
      <c r="OI134">
        <v>2007</v>
      </c>
      <c r="OL134" t="s">
        <v>2502</v>
      </c>
      <c r="ON134" t="s">
        <v>522</v>
      </c>
      <c r="OO134" s="50">
        <v>46105</v>
      </c>
    </row>
    <row r="135" spans="1:405" ht="15.75" thickBot="1">
      <c r="A135" t="s">
        <v>469</v>
      </c>
      <c r="B135" t="s">
        <v>2406</v>
      </c>
      <c r="C135" t="s">
        <v>667</v>
      </c>
      <c r="D135" s="89" t="s">
        <v>1179</v>
      </c>
      <c r="E135" s="81" t="s">
        <v>2407</v>
      </c>
      <c r="F135" s="89" t="s">
        <v>1179</v>
      </c>
      <c r="G135" s="78" t="s">
        <v>475</v>
      </c>
      <c r="H135" s="78" t="s">
        <v>476</v>
      </c>
      <c r="I135">
        <v>-0.41666666699999999</v>
      </c>
      <c r="J135">
        <v>34.200000000000003</v>
      </c>
      <c r="K135" s="78" t="s">
        <v>480</v>
      </c>
      <c r="AV135" t="s">
        <v>2408</v>
      </c>
      <c r="AW135">
        <v>41</v>
      </c>
      <c r="AX135" t="s">
        <v>866</v>
      </c>
      <c r="AY135">
        <v>1</v>
      </c>
      <c r="AZ135" t="s">
        <v>2447</v>
      </c>
      <c r="BA135">
        <v>2007</v>
      </c>
      <c r="BB135">
        <v>2008</v>
      </c>
      <c r="BD135" t="s">
        <v>492</v>
      </c>
      <c r="BE135" t="s">
        <v>2410</v>
      </c>
      <c r="BF135" t="s">
        <v>524</v>
      </c>
      <c r="BH135" t="s">
        <v>485</v>
      </c>
      <c r="BI135" t="s">
        <v>2411</v>
      </c>
      <c r="BJ135" s="78" t="s">
        <v>486</v>
      </c>
      <c r="BK135">
        <v>44444</v>
      </c>
      <c r="IF135" t="s">
        <v>2410</v>
      </c>
      <c r="IG135" t="s">
        <v>492</v>
      </c>
      <c r="JH135" t="s">
        <v>2412</v>
      </c>
      <c r="JI135" t="s">
        <v>494</v>
      </c>
      <c r="JJ135" t="s">
        <v>495</v>
      </c>
      <c r="JK135" s="8" t="s">
        <v>1466</v>
      </c>
      <c r="JN135" t="s">
        <v>508</v>
      </c>
      <c r="JO135">
        <v>40</v>
      </c>
      <c r="JP135">
        <v>50</v>
      </c>
      <c r="KD135" t="s">
        <v>500</v>
      </c>
      <c r="MR135" t="s">
        <v>2413</v>
      </c>
      <c r="MS135">
        <v>36</v>
      </c>
      <c r="MT135" t="s">
        <v>685</v>
      </c>
      <c r="MV135" t="s">
        <v>685</v>
      </c>
      <c r="NA135" t="s">
        <v>686</v>
      </c>
      <c r="NB135" t="s">
        <v>2498</v>
      </c>
      <c r="ND135" t="s">
        <v>2499</v>
      </c>
      <c r="NF135" s="4" t="s">
        <v>689</v>
      </c>
      <c r="NG135" t="s">
        <v>2500</v>
      </c>
      <c r="NO135" s="69" t="s">
        <v>517</v>
      </c>
      <c r="NP135" t="s">
        <v>518</v>
      </c>
      <c r="NQ135">
        <v>259.2</v>
      </c>
      <c r="NR135" s="4" t="s">
        <v>520</v>
      </c>
      <c r="NS135" s="4">
        <v>86.8</v>
      </c>
      <c r="NV135">
        <v>4</v>
      </c>
      <c r="OG135" t="s">
        <v>2503</v>
      </c>
      <c r="OH135" s="78" t="s">
        <v>475</v>
      </c>
      <c r="OI135">
        <v>2007</v>
      </c>
      <c r="OL135" t="s">
        <v>2504</v>
      </c>
      <c r="ON135" t="s">
        <v>522</v>
      </c>
      <c r="OO135" s="50">
        <v>46105</v>
      </c>
    </row>
    <row r="136" spans="1:405" ht="15.75" thickBot="1">
      <c r="A136" t="s">
        <v>469</v>
      </c>
      <c r="B136" t="s">
        <v>2406</v>
      </c>
      <c r="C136" t="s">
        <v>667</v>
      </c>
      <c r="D136" s="89" t="s">
        <v>1179</v>
      </c>
      <c r="E136" s="81" t="s">
        <v>2407</v>
      </c>
      <c r="F136" s="89" t="s">
        <v>1179</v>
      </c>
      <c r="G136" s="78" t="s">
        <v>475</v>
      </c>
      <c r="H136" s="78" t="s">
        <v>476</v>
      </c>
      <c r="I136">
        <v>-0.41666666699999999</v>
      </c>
      <c r="J136">
        <v>34.200000000000003</v>
      </c>
      <c r="K136" s="78" t="s">
        <v>480</v>
      </c>
      <c r="AV136" t="s">
        <v>2408</v>
      </c>
      <c r="AW136">
        <v>42</v>
      </c>
      <c r="AX136" t="s">
        <v>866</v>
      </c>
      <c r="AY136">
        <v>1</v>
      </c>
      <c r="AZ136" t="s">
        <v>2447</v>
      </c>
      <c r="BA136">
        <v>2007</v>
      </c>
      <c r="BB136">
        <v>2008</v>
      </c>
      <c r="BD136" t="s">
        <v>998</v>
      </c>
      <c r="BE136" t="s">
        <v>2420</v>
      </c>
      <c r="BF136" t="s">
        <v>536</v>
      </c>
      <c r="BH136" t="s">
        <v>485</v>
      </c>
      <c r="BI136" t="s">
        <v>2411</v>
      </c>
      <c r="BJ136" s="78" t="s">
        <v>486</v>
      </c>
      <c r="BK136">
        <v>44444</v>
      </c>
      <c r="BL136" t="s">
        <v>537</v>
      </c>
      <c r="BM136" t="s">
        <v>1425</v>
      </c>
      <c r="BN136" t="s">
        <v>2421</v>
      </c>
      <c r="BO136" s="78" t="s">
        <v>486</v>
      </c>
      <c r="BP136">
        <v>44444</v>
      </c>
      <c r="IF136" t="s">
        <v>2420</v>
      </c>
      <c r="IG136" s="75" t="s">
        <v>1714</v>
      </c>
      <c r="IH136" t="s">
        <v>542</v>
      </c>
      <c r="II136" t="s">
        <v>543</v>
      </c>
      <c r="IJ136" t="s">
        <v>1049</v>
      </c>
      <c r="IK136" t="s">
        <v>1049</v>
      </c>
      <c r="IL136" s="78" t="s">
        <v>480</v>
      </c>
      <c r="JH136" t="s">
        <v>2412</v>
      </c>
      <c r="JI136" t="s">
        <v>494</v>
      </c>
      <c r="JJ136" t="s">
        <v>495</v>
      </c>
      <c r="JK136" s="8" t="s">
        <v>1466</v>
      </c>
      <c r="JN136" t="s">
        <v>508</v>
      </c>
      <c r="JO136">
        <v>40</v>
      </c>
      <c r="JP136">
        <v>50</v>
      </c>
      <c r="KD136" t="s">
        <v>500</v>
      </c>
      <c r="MR136" t="s">
        <v>2413</v>
      </c>
      <c r="MS136">
        <v>36</v>
      </c>
      <c r="MT136" t="s">
        <v>685</v>
      </c>
      <c r="MV136" t="s">
        <v>685</v>
      </c>
      <c r="NA136" t="s">
        <v>686</v>
      </c>
      <c r="NB136" t="s">
        <v>2498</v>
      </c>
      <c r="ND136" t="s">
        <v>2499</v>
      </c>
      <c r="NF136" s="4" t="s">
        <v>689</v>
      </c>
      <c r="NG136" t="s">
        <v>2500</v>
      </c>
      <c r="NO136" s="69"/>
      <c r="NP136" t="s">
        <v>518</v>
      </c>
      <c r="NQ136">
        <v>139.19999999999999</v>
      </c>
      <c r="NR136" s="4" t="s">
        <v>520</v>
      </c>
      <c r="NS136" s="4">
        <v>55.7</v>
      </c>
      <c r="NV136">
        <v>4</v>
      </c>
      <c r="OG136" t="s">
        <v>2503</v>
      </c>
      <c r="OH136" s="78" t="s">
        <v>475</v>
      </c>
      <c r="OI136">
        <v>2007</v>
      </c>
      <c r="OL136" t="s">
        <v>2504</v>
      </c>
      <c r="ON136" t="s">
        <v>522</v>
      </c>
      <c r="OO136" s="50">
        <v>46105</v>
      </c>
    </row>
    <row r="137" spans="1:405" ht="15.75" thickBot="1">
      <c r="A137" t="s">
        <v>469</v>
      </c>
      <c r="B137" t="s">
        <v>2406</v>
      </c>
      <c r="C137" t="s">
        <v>667</v>
      </c>
      <c r="D137" s="89" t="s">
        <v>1179</v>
      </c>
      <c r="E137" s="81" t="s">
        <v>2407</v>
      </c>
      <c r="F137" s="89" t="s">
        <v>1179</v>
      </c>
      <c r="G137" s="78" t="s">
        <v>475</v>
      </c>
      <c r="H137" s="78" t="s">
        <v>476</v>
      </c>
      <c r="I137">
        <v>-0.41666666699999999</v>
      </c>
      <c r="J137">
        <v>34.200000000000003</v>
      </c>
      <c r="K137" s="78" t="s">
        <v>480</v>
      </c>
      <c r="AV137" t="s">
        <v>2408</v>
      </c>
      <c r="AW137">
        <v>43</v>
      </c>
      <c r="AX137" t="s">
        <v>866</v>
      </c>
      <c r="AY137">
        <v>1</v>
      </c>
      <c r="AZ137" t="s">
        <v>2447</v>
      </c>
      <c r="BA137">
        <v>2007</v>
      </c>
      <c r="BB137">
        <v>2008</v>
      </c>
      <c r="BD137" t="s">
        <v>998</v>
      </c>
      <c r="BE137" t="s">
        <v>2424</v>
      </c>
      <c r="BF137" t="s">
        <v>566</v>
      </c>
      <c r="BH137" t="s">
        <v>485</v>
      </c>
      <c r="BI137" t="s">
        <v>2411</v>
      </c>
      <c r="BJ137" s="78" t="s">
        <v>486</v>
      </c>
      <c r="BK137">
        <v>44444</v>
      </c>
      <c r="BL137" t="s">
        <v>537</v>
      </c>
      <c r="BM137" t="s">
        <v>2425</v>
      </c>
      <c r="BN137" t="s">
        <v>866</v>
      </c>
      <c r="BO137" t="s">
        <v>866</v>
      </c>
      <c r="BP137" t="s">
        <v>866</v>
      </c>
      <c r="IF137" t="s">
        <v>2424</v>
      </c>
      <c r="IG137" s="75" t="s">
        <v>2426</v>
      </c>
      <c r="IH137" t="s">
        <v>542</v>
      </c>
      <c r="II137" t="s">
        <v>543</v>
      </c>
      <c r="IJ137" t="s">
        <v>1049</v>
      </c>
      <c r="IK137" t="s">
        <v>1049</v>
      </c>
      <c r="IL137" s="78" t="s">
        <v>480</v>
      </c>
      <c r="JH137" t="s">
        <v>2412</v>
      </c>
      <c r="JI137" t="s">
        <v>494</v>
      </c>
      <c r="JJ137" t="s">
        <v>495</v>
      </c>
      <c r="JK137" s="8" t="s">
        <v>1466</v>
      </c>
      <c r="JN137" t="s">
        <v>508</v>
      </c>
      <c r="JO137">
        <v>40</v>
      </c>
      <c r="JP137">
        <v>50</v>
      </c>
      <c r="KD137" t="s">
        <v>500</v>
      </c>
      <c r="MR137" t="s">
        <v>2413</v>
      </c>
      <c r="MS137">
        <v>36</v>
      </c>
      <c r="MT137" t="s">
        <v>685</v>
      </c>
      <c r="MV137" t="s">
        <v>685</v>
      </c>
      <c r="NA137" t="s">
        <v>686</v>
      </c>
      <c r="NB137" t="s">
        <v>2498</v>
      </c>
      <c r="ND137" t="s">
        <v>2499</v>
      </c>
      <c r="NF137" s="4" t="s">
        <v>689</v>
      </c>
      <c r="NG137" t="s">
        <v>2500</v>
      </c>
      <c r="NO137" s="69"/>
      <c r="NP137" t="s">
        <v>518</v>
      </c>
      <c r="NQ137">
        <v>13</v>
      </c>
      <c r="NR137" s="4" t="s">
        <v>520</v>
      </c>
      <c r="NS137" s="4">
        <v>2</v>
      </c>
      <c r="NV137">
        <v>4</v>
      </c>
      <c r="OG137" t="s">
        <v>2503</v>
      </c>
      <c r="OH137" s="78" t="s">
        <v>475</v>
      </c>
      <c r="OI137">
        <v>2007</v>
      </c>
      <c r="OL137" t="s">
        <v>2504</v>
      </c>
      <c r="ON137" t="s">
        <v>522</v>
      </c>
      <c r="OO137" s="50">
        <v>46105</v>
      </c>
    </row>
    <row r="138" spans="1:405" ht="15.75" thickBot="1">
      <c r="A138" t="s">
        <v>469</v>
      </c>
      <c r="B138" t="s">
        <v>2406</v>
      </c>
      <c r="C138" t="s">
        <v>667</v>
      </c>
      <c r="D138" s="89" t="s">
        <v>1179</v>
      </c>
      <c r="E138" s="81" t="s">
        <v>2407</v>
      </c>
      <c r="F138" s="89" t="s">
        <v>1179</v>
      </c>
      <c r="G138" s="78" t="s">
        <v>475</v>
      </c>
      <c r="H138" s="78" t="s">
        <v>476</v>
      </c>
      <c r="I138">
        <v>-0.41666666699999999</v>
      </c>
      <c r="J138">
        <v>34.200000000000003</v>
      </c>
      <c r="K138" s="78" t="s">
        <v>480</v>
      </c>
      <c r="AV138" t="s">
        <v>2408</v>
      </c>
      <c r="AW138">
        <v>44</v>
      </c>
      <c r="AX138" t="s">
        <v>866</v>
      </c>
      <c r="AY138">
        <v>1</v>
      </c>
      <c r="AZ138" t="s">
        <v>2447</v>
      </c>
      <c r="BA138">
        <v>2007</v>
      </c>
      <c r="BB138">
        <v>2008</v>
      </c>
      <c r="BD138" t="s">
        <v>998</v>
      </c>
      <c r="BE138" t="s">
        <v>2430</v>
      </c>
      <c r="BF138" t="s">
        <v>572</v>
      </c>
      <c r="BH138" t="s">
        <v>485</v>
      </c>
      <c r="BI138" t="s">
        <v>2411</v>
      </c>
      <c r="BJ138" s="78" t="s">
        <v>486</v>
      </c>
      <c r="BK138">
        <v>44444</v>
      </c>
      <c r="BL138" t="s">
        <v>537</v>
      </c>
      <c r="BM138" t="s">
        <v>1425</v>
      </c>
      <c r="BN138" t="s">
        <v>2421</v>
      </c>
      <c r="BO138" s="78" t="s">
        <v>486</v>
      </c>
      <c r="BP138">
        <v>44444</v>
      </c>
      <c r="BQ138" t="s">
        <v>537</v>
      </c>
      <c r="BR138" t="s">
        <v>2425</v>
      </c>
      <c r="BS138" t="s">
        <v>866</v>
      </c>
      <c r="BT138" t="s">
        <v>866</v>
      </c>
      <c r="BU138" t="s">
        <v>866</v>
      </c>
      <c r="IF138" t="s">
        <v>2430</v>
      </c>
      <c r="IG138" s="75" t="s">
        <v>2426</v>
      </c>
      <c r="IH138" t="s">
        <v>542</v>
      </c>
      <c r="II138" t="s">
        <v>543</v>
      </c>
      <c r="IJ138" t="s">
        <v>1049</v>
      </c>
      <c r="IK138" t="s">
        <v>1049</v>
      </c>
      <c r="IL138" s="78" t="s">
        <v>480</v>
      </c>
      <c r="JH138" t="s">
        <v>2412</v>
      </c>
      <c r="JI138" t="s">
        <v>494</v>
      </c>
      <c r="JJ138" t="s">
        <v>495</v>
      </c>
      <c r="JK138" s="8" t="s">
        <v>1466</v>
      </c>
      <c r="JN138" t="s">
        <v>508</v>
      </c>
      <c r="JO138">
        <v>40</v>
      </c>
      <c r="JP138">
        <v>50</v>
      </c>
      <c r="KD138" t="s">
        <v>500</v>
      </c>
      <c r="MR138" t="s">
        <v>2413</v>
      </c>
      <c r="MS138">
        <v>36</v>
      </c>
      <c r="MT138" t="s">
        <v>685</v>
      </c>
      <c r="MV138" t="s">
        <v>685</v>
      </c>
      <c r="NA138" t="s">
        <v>686</v>
      </c>
      <c r="NB138" t="s">
        <v>2498</v>
      </c>
      <c r="ND138" t="s">
        <v>2499</v>
      </c>
      <c r="NF138" s="4" t="s">
        <v>689</v>
      </c>
      <c r="NG138" t="s">
        <v>2500</v>
      </c>
      <c r="NO138" s="69"/>
      <c r="NP138" t="s">
        <v>518</v>
      </c>
      <c r="NQ138">
        <v>27.2</v>
      </c>
      <c r="NR138" s="4" t="s">
        <v>520</v>
      </c>
      <c r="NS138" s="4">
        <v>8.8000000000000007</v>
      </c>
      <c r="NV138">
        <v>4</v>
      </c>
      <c r="OG138" t="s">
        <v>2503</v>
      </c>
      <c r="OH138" s="78" t="s">
        <v>475</v>
      </c>
      <c r="OI138">
        <v>2007</v>
      </c>
      <c r="OL138" t="s">
        <v>2504</v>
      </c>
      <c r="ON138" t="s">
        <v>522</v>
      </c>
      <c r="OO138" s="50">
        <v>46105</v>
      </c>
    </row>
    <row r="139" spans="1:405" ht="15.75" thickBot="1">
      <c r="A139" t="s">
        <v>469</v>
      </c>
      <c r="B139" t="s">
        <v>2406</v>
      </c>
      <c r="C139" t="s">
        <v>667</v>
      </c>
      <c r="D139" s="89" t="s">
        <v>1179</v>
      </c>
      <c r="E139" s="81" t="s">
        <v>2407</v>
      </c>
      <c r="F139" s="89" t="s">
        <v>1179</v>
      </c>
      <c r="G139" s="78" t="s">
        <v>475</v>
      </c>
      <c r="H139" s="78" t="s">
        <v>476</v>
      </c>
      <c r="I139">
        <v>-0.41666666699999999</v>
      </c>
      <c r="J139">
        <v>34.200000000000003</v>
      </c>
      <c r="K139" s="78" t="s">
        <v>480</v>
      </c>
      <c r="AV139" t="s">
        <v>2408</v>
      </c>
      <c r="AW139">
        <v>45</v>
      </c>
      <c r="AX139" t="s">
        <v>866</v>
      </c>
      <c r="AY139">
        <v>1</v>
      </c>
      <c r="AZ139" t="s">
        <v>2447</v>
      </c>
      <c r="BA139">
        <v>2007</v>
      </c>
      <c r="BB139">
        <v>2008</v>
      </c>
      <c r="BD139" t="s">
        <v>998</v>
      </c>
      <c r="BE139" t="s">
        <v>2442</v>
      </c>
      <c r="BF139" t="s">
        <v>553</v>
      </c>
      <c r="BH139" t="s">
        <v>485</v>
      </c>
      <c r="BI139" t="s">
        <v>2411</v>
      </c>
      <c r="BJ139" s="78" t="s">
        <v>486</v>
      </c>
      <c r="BK139">
        <v>44444</v>
      </c>
      <c r="BL139" t="s">
        <v>537</v>
      </c>
      <c r="BM139" t="s">
        <v>1425</v>
      </c>
      <c r="BN139" t="s">
        <v>2421</v>
      </c>
      <c r="BO139" s="78" t="s">
        <v>486</v>
      </c>
      <c r="BP139">
        <v>44444</v>
      </c>
      <c r="BQ139" t="s">
        <v>537</v>
      </c>
      <c r="BR139" t="s">
        <v>2425</v>
      </c>
      <c r="BS139" t="s">
        <v>866</v>
      </c>
      <c r="BT139" t="s">
        <v>866</v>
      </c>
      <c r="BU139" t="s">
        <v>866</v>
      </c>
      <c r="IF139" t="s">
        <v>2442</v>
      </c>
      <c r="IG139" s="75" t="s">
        <v>2426</v>
      </c>
      <c r="IH139" t="s">
        <v>542</v>
      </c>
      <c r="II139" t="s">
        <v>543</v>
      </c>
      <c r="IJ139" t="s">
        <v>1049</v>
      </c>
      <c r="IK139" t="s">
        <v>1049</v>
      </c>
      <c r="IL139" s="78" t="s">
        <v>480</v>
      </c>
      <c r="JH139" t="s">
        <v>2412</v>
      </c>
      <c r="JI139" t="s">
        <v>494</v>
      </c>
      <c r="JJ139" t="s">
        <v>495</v>
      </c>
      <c r="JK139" s="8" t="s">
        <v>1466</v>
      </c>
      <c r="JN139" t="s">
        <v>508</v>
      </c>
      <c r="JO139">
        <v>40</v>
      </c>
      <c r="JP139">
        <v>50</v>
      </c>
      <c r="KD139" t="s">
        <v>500</v>
      </c>
      <c r="MR139" t="s">
        <v>2413</v>
      </c>
      <c r="MS139">
        <v>36</v>
      </c>
      <c r="MT139" t="s">
        <v>685</v>
      </c>
      <c r="MV139" t="s">
        <v>685</v>
      </c>
      <c r="NA139" t="s">
        <v>686</v>
      </c>
      <c r="NB139" t="s">
        <v>2498</v>
      </c>
      <c r="ND139" t="s">
        <v>2499</v>
      </c>
      <c r="NF139" s="4" t="s">
        <v>689</v>
      </c>
      <c r="NG139" t="s">
        <v>2500</v>
      </c>
      <c r="NO139" s="69"/>
      <c r="NP139" t="s">
        <v>518</v>
      </c>
      <c r="NQ139">
        <v>12.2</v>
      </c>
      <c r="NR139" s="4" t="s">
        <v>520</v>
      </c>
      <c r="NS139" s="4">
        <v>2.9</v>
      </c>
      <c r="NV139">
        <v>4</v>
      </c>
      <c r="OG139" t="s">
        <v>2503</v>
      </c>
      <c r="OH139" s="78" t="s">
        <v>475</v>
      </c>
      <c r="OI139">
        <v>2007</v>
      </c>
      <c r="OL139" t="s">
        <v>2504</v>
      </c>
      <c r="ON139" t="s">
        <v>522</v>
      </c>
      <c r="OO139" s="50">
        <v>46105</v>
      </c>
    </row>
    <row r="140" spans="1:405" ht="15.75" thickBot="1">
      <c r="A140" t="s">
        <v>469</v>
      </c>
      <c r="B140" t="s">
        <v>2406</v>
      </c>
      <c r="C140" t="s">
        <v>667</v>
      </c>
      <c r="D140" s="89" t="s">
        <v>1179</v>
      </c>
      <c r="E140" s="81" t="s">
        <v>2407</v>
      </c>
      <c r="F140" s="89" t="s">
        <v>1179</v>
      </c>
      <c r="G140" s="78" t="s">
        <v>475</v>
      </c>
      <c r="H140" s="78" t="s">
        <v>476</v>
      </c>
      <c r="I140">
        <v>-0.41666666699999999</v>
      </c>
      <c r="J140">
        <v>34.200000000000003</v>
      </c>
      <c r="K140" s="78" t="s">
        <v>480</v>
      </c>
      <c r="AV140" t="s">
        <v>2408</v>
      </c>
      <c r="AW140">
        <v>46</v>
      </c>
      <c r="AX140" t="s">
        <v>866</v>
      </c>
      <c r="AY140">
        <v>1</v>
      </c>
      <c r="AZ140" t="s">
        <v>2466</v>
      </c>
      <c r="BA140">
        <v>2007</v>
      </c>
      <c r="BB140">
        <v>2008</v>
      </c>
      <c r="BD140" t="s">
        <v>492</v>
      </c>
      <c r="BE140" t="s">
        <v>2410</v>
      </c>
      <c r="BF140" t="s">
        <v>524</v>
      </c>
      <c r="BH140" t="s">
        <v>485</v>
      </c>
      <c r="BI140" t="s">
        <v>2411</v>
      </c>
      <c r="BJ140" s="78" t="s">
        <v>486</v>
      </c>
      <c r="BK140">
        <v>44444</v>
      </c>
      <c r="IF140" t="s">
        <v>2467</v>
      </c>
      <c r="IG140" t="s">
        <v>492</v>
      </c>
      <c r="JH140" t="s">
        <v>2412</v>
      </c>
      <c r="JI140" t="s">
        <v>494</v>
      </c>
      <c r="JJ140" t="s">
        <v>495</v>
      </c>
      <c r="JK140" s="8" t="s">
        <v>1466</v>
      </c>
      <c r="JN140" t="s">
        <v>508</v>
      </c>
      <c r="JO140">
        <v>40</v>
      </c>
      <c r="JP140">
        <v>50</v>
      </c>
      <c r="KD140" t="s">
        <v>500</v>
      </c>
      <c r="MR140" t="s">
        <v>2413</v>
      </c>
      <c r="MS140">
        <v>36</v>
      </c>
      <c r="MT140" t="s">
        <v>685</v>
      </c>
      <c r="MV140" t="s">
        <v>685</v>
      </c>
      <c r="NA140" t="s">
        <v>686</v>
      </c>
      <c r="NB140" t="s">
        <v>2498</v>
      </c>
      <c r="ND140" t="s">
        <v>2499</v>
      </c>
      <c r="NF140" s="4" t="s">
        <v>689</v>
      </c>
      <c r="NG140" t="s">
        <v>2500</v>
      </c>
      <c r="NO140" s="69" t="s">
        <v>517</v>
      </c>
      <c r="NP140" t="s">
        <v>518</v>
      </c>
      <c r="NQ140">
        <v>104.5</v>
      </c>
      <c r="NR140" s="4" t="s">
        <v>520</v>
      </c>
      <c r="NS140" s="4">
        <v>45.9</v>
      </c>
      <c r="NV140">
        <v>4</v>
      </c>
      <c r="OG140" t="s">
        <v>2505</v>
      </c>
      <c r="OH140" s="78" t="s">
        <v>475</v>
      </c>
      <c r="OI140">
        <v>2008</v>
      </c>
      <c r="OL140" t="s">
        <v>2506</v>
      </c>
      <c r="ON140" t="s">
        <v>522</v>
      </c>
      <c r="OO140" s="50">
        <v>46105</v>
      </c>
    </row>
    <row r="141" spans="1:405" ht="15.75" thickBot="1">
      <c r="A141" t="s">
        <v>469</v>
      </c>
      <c r="B141" t="s">
        <v>2406</v>
      </c>
      <c r="C141" t="s">
        <v>667</v>
      </c>
      <c r="D141" s="89" t="s">
        <v>1179</v>
      </c>
      <c r="E141" s="81" t="s">
        <v>2407</v>
      </c>
      <c r="F141" s="89" t="s">
        <v>1179</v>
      </c>
      <c r="G141" s="78" t="s">
        <v>475</v>
      </c>
      <c r="H141" s="78" t="s">
        <v>476</v>
      </c>
      <c r="I141">
        <v>-0.41666666699999999</v>
      </c>
      <c r="J141">
        <v>34.200000000000003</v>
      </c>
      <c r="K141" s="78" t="s">
        <v>480</v>
      </c>
      <c r="AV141" t="s">
        <v>2408</v>
      </c>
      <c r="AW141">
        <v>47</v>
      </c>
      <c r="AX141" t="s">
        <v>866</v>
      </c>
      <c r="AY141">
        <v>1</v>
      </c>
      <c r="AZ141" t="s">
        <v>2466</v>
      </c>
      <c r="BA141">
        <v>2007</v>
      </c>
      <c r="BB141">
        <v>2008</v>
      </c>
      <c r="BD141" t="s">
        <v>998</v>
      </c>
      <c r="BE141" t="s">
        <v>2420</v>
      </c>
      <c r="BF141" t="s">
        <v>536</v>
      </c>
      <c r="BH141" t="s">
        <v>485</v>
      </c>
      <c r="BI141" t="s">
        <v>2411</v>
      </c>
      <c r="BJ141" s="78" t="s">
        <v>486</v>
      </c>
      <c r="BK141">
        <v>44444</v>
      </c>
      <c r="BL141" t="s">
        <v>537</v>
      </c>
      <c r="BM141" t="s">
        <v>1425</v>
      </c>
      <c r="BN141" t="s">
        <v>2421</v>
      </c>
      <c r="BO141" s="78" t="s">
        <v>486</v>
      </c>
      <c r="BP141">
        <v>44444</v>
      </c>
      <c r="IF141" t="s">
        <v>2472</v>
      </c>
      <c r="IG141" s="75" t="s">
        <v>1714</v>
      </c>
      <c r="IH141" t="s">
        <v>542</v>
      </c>
      <c r="II141" t="s">
        <v>543</v>
      </c>
      <c r="IJ141" t="s">
        <v>1049</v>
      </c>
      <c r="IK141" t="s">
        <v>1049</v>
      </c>
      <c r="IL141" s="78" t="s">
        <v>480</v>
      </c>
      <c r="JH141" t="s">
        <v>2412</v>
      </c>
      <c r="JI141" t="s">
        <v>494</v>
      </c>
      <c r="JJ141" t="s">
        <v>495</v>
      </c>
      <c r="JK141" s="8" t="s">
        <v>1466</v>
      </c>
      <c r="JN141" t="s">
        <v>508</v>
      </c>
      <c r="JO141">
        <v>40</v>
      </c>
      <c r="JP141">
        <v>50</v>
      </c>
      <c r="KD141" t="s">
        <v>500</v>
      </c>
      <c r="MR141" t="s">
        <v>2413</v>
      </c>
      <c r="MS141">
        <v>36</v>
      </c>
      <c r="MT141" t="s">
        <v>685</v>
      </c>
      <c r="MV141" t="s">
        <v>685</v>
      </c>
      <c r="NA141" t="s">
        <v>686</v>
      </c>
      <c r="NB141" t="s">
        <v>2498</v>
      </c>
      <c r="ND141" t="s">
        <v>2499</v>
      </c>
      <c r="NF141" s="4" t="s">
        <v>689</v>
      </c>
      <c r="NG141" t="s">
        <v>2500</v>
      </c>
      <c r="NO141" s="69"/>
      <c r="NP141" t="s">
        <v>518</v>
      </c>
      <c r="NQ141">
        <v>86.2</v>
      </c>
      <c r="NR141" s="4" t="s">
        <v>520</v>
      </c>
      <c r="NS141" s="4">
        <v>27.4</v>
      </c>
      <c r="NV141">
        <v>4</v>
      </c>
      <c r="OG141" t="s">
        <v>2505</v>
      </c>
      <c r="OH141" s="78" t="s">
        <v>475</v>
      </c>
      <c r="OI141">
        <v>2008</v>
      </c>
      <c r="OL141" t="s">
        <v>2506</v>
      </c>
      <c r="ON141" t="s">
        <v>522</v>
      </c>
      <c r="OO141" s="50">
        <v>46105</v>
      </c>
    </row>
    <row r="142" spans="1:405" ht="15.75" thickBot="1">
      <c r="A142" t="s">
        <v>469</v>
      </c>
      <c r="B142" t="s">
        <v>2406</v>
      </c>
      <c r="C142" t="s">
        <v>667</v>
      </c>
      <c r="D142" s="89" t="s">
        <v>1179</v>
      </c>
      <c r="E142" s="81" t="s">
        <v>2407</v>
      </c>
      <c r="F142" s="89" t="s">
        <v>1179</v>
      </c>
      <c r="G142" s="78" t="s">
        <v>475</v>
      </c>
      <c r="H142" s="78" t="s">
        <v>476</v>
      </c>
      <c r="I142">
        <v>-0.41666666699999999</v>
      </c>
      <c r="J142">
        <v>34.200000000000003</v>
      </c>
      <c r="K142" s="78" t="s">
        <v>480</v>
      </c>
      <c r="AV142" t="s">
        <v>2408</v>
      </c>
      <c r="AW142">
        <v>48</v>
      </c>
      <c r="AX142" t="s">
        <v>866</v>
      </c>
      <c r="AY142">
        <v>1</v>
      </c>
      <c r="AZ142" t="s">
        <v>2466</v>
      </c>
      <c r="BA142">
        <v>2007</v>
      </c>
      <c r="BB142">
        <v>2008</v>
      </c>
      <c r="BD142" t="s">
        <v>998</v>
      </c>
      <c r="BE142" t="s">
        <v>2424</v>
      </c>
      <c r="BF142" t="s">
        <v>566</v>
      </c>
      <c r="BH142" t="s">
        <v>485</v>
      </c>
      <c r="BI142" t="s">
        <v>2411</v>
      </c>
      <c r="BJ142" s="78" t="s">
        <v>486</v>
      </c>
      <c r="BK142">
        <v>44444</v>
      </c>
      <c r="BL142" t="s">
        <v>537</v>
      </c>
      <c r="BM142" t="s">
        <v>2425</v>
      </c>
      <c r="BN142" t="s">
        <v>866</v>
      </c>
      <c r="BO142" t="s">
        <v>866</v>
      </c>
      <c r="BP142" t="s">
        <v>866</v>
      </c>
      <c r="IF142" t="s">
        <v>2476</v>
      </c>
      <c r="IG142" s="75" t="s">
        <v>2426</v>
      </c>
      <c r="IH142" t="s">
        <v>542</v>
      </c>
      <c r="II142" t="s">
        <v>543</v>
      </c>
      <c r="IJ142" t="s">
        <v>1049</v>
      </c>
      <c r="IK142" t="s">
        <v>1049</v>
      </c>
      <c r="IL142" s="78" t="s">
        <v>480</v>
      </c>
      <c r="JH142" t="s">
        <v>2412</v>
      </c>
      <c r="JI142" t="s">
        <v>494</v>
      </c>
      <c r="JJ142" t="s">
        <v>495</v>
      </c>
      <c r="JK142" s="8" t="s">
        <v>1466</v>
      </c>
      <c r="JN142" t="s">
        <v>508</v>
      </c>
      <c r="JO142">
        <v>40</v>
      </c>
      <c r="JP142">
        <v>50</v>
      </c>
      <c r="KD142" t="s">
        <v>500</v>
      </c>
      <c r="MR142" t="s">
        <v>2413</v>
      </c>
      <c r="MS142">
        <v>36</v>
      </c>
      <c r="MT142" t="s">
        <v>685</v>
      </c>
      <c r="MV142" t="s">
        <v>685</v>
      </c>
      <c r="NA142" t="s">
        <v>686</v>
      </c>
      <c r="NB142" t="s">
        <v>2498</v>
      </c>
      <c r="ND142" t="s">
        <v>2499</v>
      </c>
      <c r="NF142" s="4" t="s">
        <v>689</v>
      </c>
      <c r="NG142" t="s">
        <v>2500</v>
      </c>
      <c r="NO142" s="69"/>
      <c r="NP142" t="s">
        <v>518</v>
      </c>
      <c r="NQ142">
        <v>0.5</v>
      </c>
      <c r="NR142" s="4" t="s">
        <v>520</v>
      </c>
      <c r="NS142" s="4">
        <v>0.5</v>
      </c>
      <c r="NV142">
        <v>4</v>
      </c>
      <c r="OG142" t="s">
        <v>2505</v>
      </c>
      <c r="OH142" s="78" t="s">
        <v>475</v>
      </c>
      <c r="OI142">
        <v>2008</v>
      </c>
      <c r="OL142" t="s">
        <v>2506</v>
      </c>
      <c r="ON142" t="s">
        <v>522</v>
      </c>
      <c r="OO142" s="50">
        <v>46105</v>
      </c>
    </row>
    <row r="143" spans="1:405" ht="15.75" thickBot="1">
      <c r="A143" t="s">
        <v>469</v>
      </c>
      <c r="B143" t="s">
        <v>2406</v>
      </c>
      <c r="C143" t="s">
        <v>667</v>
      </c>
      <c r="D143" s="89" t="s">
        <v>1179</v>
      </c>
      <c r="E143" s="81" t="s">
        <v>2407</v>
      </c>
      <c r="F143" s="89" t="s">
        <v>1179</v>
      </c>
      <c r="G143" s="78" t="s">
        <v>475</v>
      </c>
      <c r="H143" s="78" t="s">
        <v>476</v>
      </c>
      <c r="I143">
        <v>-0.41666666699999999</v>
      </c>
      <c r="J143">
        <v>34.200000000000003</v>
      </c>
      <c r="K143" s="78" t="s">
        <v>480</v>
      </c>
      <c r="AV143" t="s">
        <v>2408</v>
      </c>
      <c r="AW143">
        <v>49</v>
      </c>
      <c r="AX143" t="s">
        <v>866</v>
      </c>
      <c r="AY143">
        <v>1</v>
      </c>
      <c r="AZ143" t="s">
        <v>2466</v>
      </c>
      <c r="BA143">
        <v>2007</v>
      </c>
      <c r="BB143">
        <v>2008</v>
      </c>
      <c r="BD143" t="s">
        <v>998</v>
      </c>
      <c r="BE143" t="s">
        <v>2430</v>
      </c>
      <c r="BF143" t="s">
        <v>572</v>
      </c>
      <c r="BH143" t="s">
        <v>485</v>
      </c>
      <c r="BI143" t="s">
        <v>2411</v>
      </c>
      <c r="BJ143" s="78" t="s">
        <v>486</v>
      </c>
      <c r="BK143">
        <v>44444</v>
      </c>
      <c r="BL143" t="s">
        <v>537</v>
      </c>
      <c r="BM143" t="s">
        <v>1425</v>
      </c>
      <c r="BN143" t="s">
        <v>2421</v>
      </c>
      <c r="BO143" s="78" t="s">
        <v>486</v>
      </c>
      <c r="BP143">
        <v>44444</v>
      </c>
      <c r="BQ143" t="s">
        <v>537</v>
      </c>
      <c r="BR143" t="s">
        <v>2425</v>
      </c>
      <c r="BS143" t="s">
        <v>866</v>
      </c>
      <c r="BT143" t="s">
        <v>866</v>
      </c>
      <c r="BU143" t="s">
        <v>866</v>
      </c>
      <c r="IF143" t="s">
        <v>2480</v>
      </c>
      <c r="IG143" s="75" t="s">
        <v>2426</v>
      </c>
      <c r="IH143" t="s">
        <v>542</v>
      </c>
      <c r="II143" t="s">
        <v>543</v>
      </c>
      <c r="IJ143" t="s">
        <v>1049</v>
      </c>
      <c r="IK143" t="s">
        <v>1049</v>
      </c>
      <c r="IL143" s="78" t="s">
        <v>480</v>
      </c>
      <c r="JH143" t="s">
        <v>2412</v>
      </c>
      <c r="JI143" t="s">
        <v>494</v>
      </c>
      <c r="JJ143" t="s">
        <v>495</v>
      </c>
      <c r="JK143" s="8" t="s">
        <v>1466</v>
      </c>
      <c r="JN143" t="s">
        <v>508</v>
      </c>
      <c r="JO143">
        <v>40</v>
      </c>
      <c r="JP143">
        <v>50</v>
      </c>
      <c r="KD143" t="s">
        <v>500</v>
      </c>
      <c r="MR143" t="s">
        <v>2413</v>
      </c>
      <c r="MS143">
        <v>36</v>
      </c>
      <c r="MT143" t="s">
        <v>685</v>
      </c>
      <c r="MV143" t="s">
        <v>685</v>
      </c>
      <c r="NA143" t="s">
        <v>686</v>
      </c>
      <c r="NB143" t="s">
        <v>2498</v>
      </c>
      <c r="ND143" t="s">
        <v>2499</v>
      </c>
      <c r="NF143" s="4" t="s">
        <v>689</v>
      </c>
      <c r="NG143" t="s">
        <v>2500</v>
      </c>
      <c r="NO143" s="69"/>
      <c r="NP143" t="s">
        <v>518</v>
      </c>
      <c r="NQ143">
        <v>1.5</v>
      </c>
      <c r="NR143" s="4" t="s">
        <v>520</v>
      </c>
      <c r="NS143" s="4">
        <v>1.2</v>
      </c>
      <c r="NV143">
        <v>4</v>
      </c>
      <c r="OG143" t="s">
        <v>2505</v>
      </c>
      <c r="OH143" s="78" t="s">
        <v>475</v>
      </c>
      <c r="OI143">
        <v>2008</v>
      </c>
      <c r="OL143" t="s">
        <v>2506</v>
      </c>
      <c r="ON143" t="s">
        <v>522</v>
      </c>
      <c r="OO143" s="50">
        <v>46105</v>
      </c>
    </row>
    <row r="144" spans="1:405" ht="15.75" thickBot="1">
      <c r="A144" t="s">
        <v>469</v>
      </c>
      <c r="B144" t="s">
        <v>2406</v>
      </c>
      <c r="C144" t="s">
        <v>667</v>
      </c>
      <c r="D144" s="89" t="s">
        <v>1179</v>
      </c>
      <c r="E144" s="81" t="s">
        <v>2407</v>
      </c>
      <c r="F144" s="89" t="s">
        <v>1179</v>
      </c>
      <c r="G144" s="78" t="s">
        <v>475</v>
      </c>
      <c r="H144" s="78" t="s">
        <v>476</v>
      </c>
      <c r="I144">
        <v>-0.41666666699999999</v>
      </c>
      <c r="J144">
        <v>34.200000000000003</v>
      </c>
      <c r="K144" s="78" t="s">
        <v>480</v>
      </c>
      <c r="AV144" t="s">
        <v>2408</v>
      </c>
      <c r="AW144">
        <v>50</v>
      </c>
      <c r="AX144" t="s">
        <v>866</v>
      </c>
      <c r="AY144">
        <v>1</v>
      </c>
      <c r="AZ144" t="s">
        <v>2466</v>
      </c>
      <c r="BA144">
        <v>2007</v>
      </c>
      <c r="BB144">
        <v>2008</v>
      </c>
      <c r="BD144" t="s">
        <v>998</v>
      </c>
      <c r="BE144" t="s">
        <v>2441</v>
      </c>
      <c r="BF144" t="s">
        <v>553</v>
      </c>
      <c r="BH144" t="s">
        <v>485</v>
      </c>
      <c r="BI144" t="s">
        <v>2411</v>
      </c>
      <c r="BJ144" s="78" t="s">
        <v>486</v>
      </c>
      <c r="BK144">
        <v>44444</v>
      </c>
      <c r="BL144" t="s">
        <v>537</v>
      </c>
      <c r="BM144" t="s">
        <v>1425</v>
      </c>
      <c r="BN144" t="s">
        <v>2421</v>
      </c>
      <c r="BO144" s="78" t="s">
        <v>486</v>
      </c>
      <c r="BP144">
        <v>44444</v>
      </c>
      <c r="BQ144" t="s">
        <v>537</v>
      </c>
      <c r="BR144" t="s">
        <v>2425</v>
      </c>
      <c r="BS144" t="s">
        <v>866</v>
      </c>
      <c r="BT144" t="s">
        <v>866</v>
      </c>
      <c r="BU144" t="s">
        <v>866</v>
      </c>
      <c r="IF144" t="s">
        <v>2484</v>
      </c>
      <c r="IG144" s="75" t="s">
        <v>2426</v>
      </c>
      <c r="IH144" t="s">
        <v>542</v>
      </c>
      <c r="II144" t="s">
        <v>543</v>
      </c>
      <c r="IJ144" t="s">
        <v>1049</v>
      </c>
      <c r="IK144" t="s">
        <v>1049</v>
      </c>
      <c r="IL144" s="78" t="s">
        <v>480</v>
      </c>
      <c r="JH144" t="s">
        <v>2412</v>
      </c>
      <c r="JI144" t="s">
        <v>494</v>
      </c>
      <c r="JJ144" t="s">
        <v>495</v>
      </c>
      <c r="JK144" s="8" t="s">
        <v>1466</v>
      </c>
      <c r="JN144" t="s">
        <v>508</v>
      </c>
      <c r="JO144">
        <v>40</v>
      </c>
      <c r="JP144">
        <v>50</v>
      </c>
      <c r="KD144" t="s">
        <v>500</v>
      </c>
      <c r="MR144" t="s">
        <v>2413</v>
      </c>
      <c r="MS144">
        <v>36</v>
      </c>
      <c r="MT144" t="s">
        <v>685</v>
      </c>
      <c r="MV144" t="s">
        <v>685</v>
      </c>
      <c r="NA144" t="s">
        <v>686</v>
      </c>
      <c r="NB144" t="s">
        <v>2498</v>
      </c>
      <c r="ND144" t="s">
        <v>2499</v>
      </c>
      <c r="NF144" s="4" t="s">
        <v>689</v>
      </c>
      <c r="NG144" t="s">
        <v>2500</v>
      </c>
      <c r="NO144" s="69"/>
      <c r="NP144" t="s">
        <v>518</v>
      </c>
      <c r="NQ144">
        <v>0</v>
      </c>
      <c r="NR144" s="4" t="s">
        <v>520</v>
      </c>
      <c r="NS144" s="4">
        <v>0</v>
      </c>
      <c r="NV144">
        <v>4</v>
      </c>
      <c r="OG144" t="s">
        <v>2505</v>
      </c>
      <c r="OH144" s="78" t="s">
        <v>475</v>
      </c>
      <c r="OI144">
        <v>2008</v>
      </c>
      <c r="OL144" t="s">
        <v>2506</v>
      </c>
      <c r="ON144" t="s">
        <v>522</v>
      </c>
      <c r="OO144" s="50">
        <v>46105</v>
      </c>
    </row>
    <row r="145" spans="1:413" ht="15.75" thickBot="1">
      <c r="A145" t="s">
        <v>469</v>
      </c>
      <c r="B145" t="s">
        <v>2406</v>
      </c>
      <c r="C145" t="s">
        <v>667</v>
      </c>
      <c r="D145" s="89" t="s">
        <v>1179</v>
      </c>
      <c r="E145" s="81" t="s">
        <v>2407</v>
      </c>
      <c r="F145" s="89" t="s">
        <v>1179</v>
      </c>
      <c r="G145" s="78" t="s">
        <v>475</v>
      </c>
      <c r="H145" s="78" t="s">
        <v>476</v>
      </c>
      <c r="I145">
        <v>-0.41666666699999999</v>
      </c>
      <c r="J145">
        <v>34.200000000000003</v>
      </c>
      <c r="K145" s="78" t="s">
        <v>480</v>
      </c>
      <c r="AV145" t="s">
        <v>2408</v>
      </c>
      <c r="AW145">
        <v>51</v>
      </c>
      <c r="AX145" t="s">
        <v>866</v>
      </c>
      <c r="AY145">
        <v>1</v>
      </c>
      <c r="AZ145" t="s">
        <v>2409</v>
      </c>
      <c r="BA145">
        <v>2007</v>
      </c>
      <c r="BB145">
        <v>2008</v>
      </c>
      <c r="BD145" t="s">
        <v>492</v>
      </c>
      <c r="BE145" t="s">
        <v>2410</v>
      </c>
      <c r="BF145" t="s">
        <v>524</v>
      </c>
      <c r="BH145" t="s">
        <v>485</v>
      </c>
      <c r="BI145" t="s">
        <v>2411</v>
      </c>
      <c r="BJ145" s="78" t="s">
        <v>486</v>
      </c>
      <c r="BK145">
        <v>44444</v>
      </c>
      <c r="IF145" t="s">
        <v>2467</v>
      </c>
      <c r="IG145" t="s">
        <v>492</v>
      </c>
      <c r="JH145" t="s">
        <v>2412</v>
      </c>
      <c r="JI145" t="s">
        <v>494</v>
      </c>
      <c r="JJ145" t="s">
        <v>495</v>
      </c>
      <c r="JK145" s="8" t="s">
        <v>1466</v>
      </c>
      <c r="JN145" t="s">
        <v>508</v>
      </c>
      <c r="JO145">
        <v>40</v>
      </c>
      <c r="JP145">
        <v>50</v>
      </c>
      <c r="KD145" t="s">
        <v>500</v>
      </c>
      <c r="MR145" t="s">
        <v>2413</v>
      </c>
      <c r="MS145">
        <v>36</v>
      </c>
      <c r="MT145" t="s">
        <v>685</v>
      </c>
      <c r="MV145" t="s">
        <v>685</v>
      </c>
      <c r="NA145" t="s">
        <v>686</v>
      </c>
      <c r="NB145" t="s">
        <v>2498</v>
      </c>
      <c r="ND145" t="s">
        <v>2499</v>
      </c>
      <c r="NF145" s="4" t="s">
        <v>689</v>
      </c>
      <c r="NG145" t="s">
        <v>2500</v>
      </c>
      <c r="NO145" s="69" t="s">
        <v>517</v>
      </c>
      <c r="NP145" t="s">
        <v>518</v>
      </c>
      <c r="NQ145">
        <v>460.2</v>
      </c>
      <c r="NR145" s="4" t="s">
        <v>520</v>
      </c>
      <c r="NS145" s="4">
        <v>202.2</v>
      </c>
      <c r="NV145">
        <v>4</v>
      </c>
      <c r="OG145" t="s">
        <v>2507</v>
      </c>
      <c r="OH145" s="78" t="s">
        <v>475</v>
      </c>
      <c r="OI145">
        <v>2008</v>
      </c>
      <c r="OL145" t="s">
        <v>2508</v>
      </c>
      <c r="ON145" t="s">
        <v>522</v>
      </c>
      <c r="OO145" s="50">
        <v>46105</v>
      </c>
    </row>
    <row r="146" spans="1:413" ht="15.75" thickBot="1">
      <c r="A146" t="s">
        <v>469</v>
      </c>
      <c r="B146" t="s">
        <v>2406</v>
      </c>
      <c r="C146" t="s">
        <v>667</v>
      </c>
      <c r="D146" s="89" t="s">
        <v>1179</v>
      </c>
      <c r="E146" s="81" t="s">
        <v>2407</v>
      </c>
      <c r="F146" s="89" t="s">
        <v>1179</v>
      </c>
      <c r="G146" s="78" t="s">
        <v>475</v>
      </c>
      <c r="H146" s="78" t="s">
        <v>476</v>
      </c>
      <c r="I146">
        <v>-0.41666666699999999</v>
      </c>
      <c r="J146">
        <v>34.200000000000003</v>
      </c>
      <c r="K146" s="78" t="s">
        <v>480</v>
      </c>
      <c r="AV146" t="s">
        <v>2408</v>
      </c>
      <c r="AW146">
        <v>52</v>
      </c>
      <c r="AX146" t="s">
        <v>866</v>
      </c>
      <c r="AY146">
        <v>1</v>
      </c>
      <c r="AZ146" t="s">
        <v>2409</v>
      </c>
      <c r="BA146">
        <v>2007</v>
      </c>
      <c r="BB146">
        <v>2008</v>
      </c>
      <c r="BD146" t="s">
        <v>998</v>
      </c>
      <c r="BE146" t="s">
        <v>2420</v>
      </c>
      <c r="BF146" t="s">
        <v>536</v>
      </c>
      <c r="BH146" t="s">
        <v>485</v>
      </c>
      <c r="BI146" t="s">
        <v>2411</v>
      </c>
      <c r="BJ146" s="78" t="s">
        <v>486</v>
      </c>
      <c r="BK146">
        <v>44444</v>
      </c>
      <c r="BL146" t="s">
        <v>537</v>
      </c>
      <c r="BM146" t="s">
        <v>1425</v>
      </c>
      <c r="BN146" t="s">
        <v>2421</v>
      </c>
      <c r="BO146" s="78" t="s">
        <v>486</v>
      </c>
      <c r="BP146">
        <v>44444</v>
      </c>
      <c r="EH146" s="9"/>
      <c r="EI146" s="9"/>
      <c r="EJ146" s="9"/>
      <c r="EK146" s="9"/>
      <c r="EL146" s="9"/>
      <c r="EM146" s="9"/>
      <c r="EN146" s="9"/>
      <c r="EO146" s="9"/>
      <c r="EP146" s="9"/>
      <c r="EQ146" s="9"/>
      <c r="ER146" s="9"/>
      <c r="ES146" s="9"/>
      <c r="ET146" s="9"/>
      <c r="EU146" s="9"/>
      <c r="EV146" s="9"/>
      <c r="EW146" s="9"/>
      <c r="EX146" s="9"/>
      <c r="EY146" s="9"/>
      <c r="EZ146" s="9"/>
      <c r="FA146" s="9"/>
      <c r="FB146" s="9"/>
      <c r="FC146" s="9"/>
      <c r="FD146" s="9"/>
      <c r="FE146" s="9"/>
      <c r="FF146" s="9"/>
      <c r="FG146" s="9"/>
      <c r="FH146" s="9"/>
      <c r="FI146" s="9"/>
      <c r="FJ146" s="9"/>
      <c r="FK146" s="9"/>
      <c r="FL146" s="9"/>
      <c r="FM146" s="9"/>
      <c r="FN146" s="9"/>
      <c r="FO146" s="9"/>
      <c r="FP146" s="9"/>
      <c r="FQ146" s="9"/>
      <c r="FR146" s="9"/>
      <c r="FS146" s="9"/>
      <c r="FT146" s="9"/>
      <c r="FU146" s="9"/>
      <c r="FV146" s="9"/>
      <c r="FW146" s="9"/>
      <c r="FX146" s="9"/>
      <c r="FY146" s="9"/>
      <c r="FZ146" s="9"/>
      <c r="GA146" s="9"/>
      <c r="GB146" s="9"/>
      <c r="GC146" s="9"/>
      <c r="GD146" s="9"/>
      <c r="GE146" s="9"/>
      <c r="GF146" s="9"/>
      <c r="GG146" s="9"/>
      <c r="GH146" s="9"/>
      <c r="GI146" s="9"/>
      <c r="GJ146" s="9"/>
      <c r="GK146" s="9"/>
      <c r="GL146" s="9"/>
      <c r="GM146" s="9"/>
      <c r="GN146" s="9"/>
      <c r="GO146" s="9"/>
      <c r="GP146" s="9"/>
      <c r="GQ146" s="9"/>
      <c r="GR146" s="9"/>
      <c r="GS146" s="9"/>
      <c r="GT146" s="9"/>
      <c r="GU146" s="9"/>
      <c r="GV146" s="9"/>
      <c r="GW146" s="9"/>
      <c r="GX146" s="9"/>
      <c r="GY146" s="9"/>
      <c r="GZ146" s="9"/>
      <c r="HA146" s="9"/>
      <c r="HB146" s="9"/>
      <c r="HC146" s="9"/>
      <c r="HD146" s="9"/>
      <c r="HE146" s="9"/>
      <c r="HF146" s="9"/>
      <c r="HG146" s="9"/>
      <c r="HH146" s="9"/>
      <c r="HI146" s="9"/>
      <c r="HJ146" s="9"/>
      <c r="HK146" s="9"/>
      <c r="HW146" s="50"/>
      <c r="IF146" t="s">
        <v>2472</v>
      </c>
      <c r="IG146" s="75" t="s">
        <v>1714</v>
      </c>
      <c r="IH146" t="s">
        <v>542</v>
      </c>
      <c r="II146" t="s">
        <v>543</v>
      </c>
      <c r="IJ146" t="s">
        <v>1049</v>
      </c>
      <c r="IK146" t="s">
        <v>1049</v>
      </c>
      <c r="IL146" s="78" t="s">
        <v>480</v>
      </c>
      <c r="JH146" t="s">
        <v>2412</v>
      </c>
      <c r="JI146" t="s">
        <v>494</v>
      </c>
      <c r="JJ146" t="s">
        <v>495</v>
      </c>
      <c r="JK146" s="8" t="s">
        <v>1466</v>
      </c>
      <c r="JN146" t="s">
        <v>508</v>
      </c>
      <c r="JO146">
        <v>40</v>
      </c>
      <c r="JP146">
        <v>50</v>
      </c>
      <c r="KD146" t="s">
        <v>500</v>
      </c>
      <c r="MR146" t="s">
        <v>2413</v>
      </c>
      <c r="MS146">
        <v>36</v>
      </c>
      <c r="MT146" t="s">
        <v>685</v>
      </c>
      <c r="MV146" t="s">
        <v>685</v>
      </c>
      <c r="NA146" t="s">
        <v>686</v>
      </c>
      <c r="NB146" t="s">
        <v>2498</v>
      </c>
      <c r="ND146" t="s">
        <v>2499</v>
      </c>
      <c r="NF146" s="4" t="s">
        <v>689</v>
      </c>
      <c r="NG146" t="s">
        <v>2500</v>
      </c>
      <c r="NO146" s="69"/>
      <c r="NP146" t="s">
        <v>518</v>
      </c>
      <c r="NQ146">
        <v>269.2</v>
      </c>
      <c r="NR146" s="4" t="s">
        <v>520</v>
      </c>
      <c r="NS146" s="4">
        <v>191.3</v>
      </c>
      <c r="NV146">
        <v>4</v>
      </c>
      <c r="OG146" t="s">
        <v>2507</v>
      </c>
      <c r="OH146" s="78" t="s">
        <v>475</v>
      </c>
      <c r="OI146">
        <v>2008</v>
      </c>
      <c r="OL146" t="s">
        <v>2508</v>
      </c>
      <c r="ON146" t="s">
        <v>522</v>
      </c>
      <c r="OO146" s="50">
        <v>46105</v>
      </c>
    </row>
    <row r="147" spans="1:413" ht="15.75" thickBot="1">
      <c r="A147" t="s">
        <v>469</v>
      </c>
      <c r="B147" t="s">
        <v>2406</v>
      </c>
      <c r="C147" t="s">
        <v>667</v>
      </c>
      <c r="D147" s="89" t="s">
        <v>1179</v>
      </c>
      <c r="E147" s="81" t="s">
        <v>2407</v>
      </c>
      <c r="F147" s="89" t="s">
        <v>1179</v>
      </c>
      <c r="G147" s="78" t="s">
        <v>475</v>
      </c>
      <c r="H147" s="78" t="s">
        <v>476</v>
      </c>
      <c r="I147">
        <v>-0.41666666699999999</v>
      </c>
      <c r="J147">
        <v>34.200000000000003</v>
      </c>
      <c r="K147" s="78" t="s">
        <v>480</v>
      </c>
      <c r="AV147" t="s">
        <v>2408</v>
      </c>
      <c r="AW147">
        <v>53</v>
      </c>
      <c r="AX147" t="s">
        <v>866</v>
      </c>
      <c r="AY147">
        <v>1</v>
      </c>
      <c r="AZ147" t="s">
        <v>2409</v>
      </c>
      <c r="BA147">
        <v>2007</v>
      </c>
      <c r="BB147">
        <v>2008</v>
      </c>
      <c r="BD147" t="s">
        <v>998</v>
      </c>
      <c r="BE147" t="s">
        <v>2424</v>
      </c>
      <c r="BF147" t="s">
        <v>566</v>
      </c>
      <c r="BH147" t="s">
        <v>485</v>
      </c>
      <c r="BI147" t="s">
        <v>2411</v>
      </c>
      <c r="BJ147" s="78" t="s">
        <v>486</v>
      </c>
      <c r="BK147">
        <v>44444</v>
      </c>
      <c r="BL147" t="s">
        <v>537</v>
      </c>
      <c r="BM147" t="s">
        <v>2425</v>
      </c>
      <c r="BN147" t="s">
        <v>866</v>
      </c>
      <c r="BO147" t="s">
        <v>866</v>
      </c>
      <c r="BP147" t="s">
        <v>866</v>
      </c>
      <c r="EH147" s="9"/>
      <c r="EI147" s="9"/>
      <c r="EJ147" s="9"/>
      <c r="EK147" s="9"/>
      <c r="EL147" s="9"/>
      <c r="EM147" s="9"/>
      <c r="EN147" s="9"/>
      <c r="EO147" s="9"/>
      <c r="EP147" s="9"/>
      <c r="EQ147" s="9"/>
      <c r="ER147" s="9"/>
      <c r="ES147" s="9"/>
      <c r="ET147" s="9"/>
      <c r="EU147" s="9"/>
      <c r="EV147" s="9"/>
      <c r="EW147" s="9"/>
      <c r="EX147" s="9"/>
      <c r="EY147" s="9"/>
      <c r="EZ147" s="9"/>
      <c r="FA147" s="9"/>
      <c r="FB147" s="9"/>
      <c r="FC147" s="9"/>
      <c r="FD147" s="9"/>
      <c r="FE147" s="9"/>
      <c r="FF147" s="9"/>
      <c r="FG147" s="9"/>
      <c r="FH147" s="9"/>
      <c r="FI147" s="9"/>
      <c r="FJ147" s="9"/>
      <c r="FK147" s="9"/>
      <c r="FL147" s="9"/>
      <c r="FM147" s="9"/>
      <c r="FN147" s="9"/>
      <c r="FO147" s="9"/>
      <c r="FP147" s="9"/>
      <c r="FQ147" s="9"/>
      <c r="FR147" s="9"/>
      <c r="FS147" s="9"/>
      <c r="FT147" s="9"/>
      <c r="FU147" s="9"/>
      <c r="FV147" s="9"/>
      <c r="FW147" s="9"/>
      <c r="FX147" s="9"/>
      <c r="FY147" s="9"/>
      <c r="FZ147" s="9"/>
      <c r="GA147" s="9"/>
      <c r="GB147" s="9"/>
      <c r="GC147" s="9"/>
      <c r="GD147" s="9"/>
      <c r="GE147" s="9"/>
      <c r="GF147" s="9"/>
      <c r="GG147" s="9"/>
      <c r="GH147" s="9"/>
      <c r="GI147" s="9"/>
      <c r="GJ147" s="9"/>
      <c r="GK147" s="9"/>
      <c r="GL147" s="9"/>
      <c r="GM147" s="9"/>
      <c r="GN147" s="9"/>
      <c r="GO147" s="9"/>
      <c r="GP147" s="9"/>
      <c r="GQ147" s="9"/>
      <c r="GR147" s="9"/>
      <c r="GS147" s="9"/>
      <c r="GT147" s="9"/>
      <c r="GU147" s="9"/>
      <c r="GV147" s="9"/>
      <c r="GW147" s="9"/>
      <c r="GX147" s="9"/>
      <c r="GY147" s="9"/>
      <c r="GZ147" s="9"/>
      <c r="HA147" s="9"/>
      <c r="HB147" s="9"/>
      <c r="HC147" s="9"/>
      <c r="HD147" s="9"/>
      <c r="HE147" s="9"/>
      <c r="HF147" s="9"/>
      <c r="HG147" s="9"/>
      <c r="HH147" s="9"/>
      <c r="HI147" s="9"/>
      <c r="HJ147" s="9"/>
      <c r="HK147" s="9"/>
      <c r="HW147" s="50"/>
      <c r="IF147" t="s">
        <v>2476</v>
      </c>
      <c r="IG147" s="75" t="s">
        <v>2426</v>
      </c>
      <c r="IH147" t="s">
        <v>542</v>
      </c>
      <c r="II147" t="s">
        <v>543</v>
      </c>
      <c r="IJ147" t="s">
        <v>1049</v>
      </c>
      <c r="IK147" t="s">
        <v>1049</v>
      </c>
      <c r="IL147" s="78" t="s">
        <v>480</v>
      </c>
      <c r="JH147" t="s">
        <v>2412</v>
      </c>
      <c r="JI147" t="s">
        <v>494</v>
      </c>
      <c r="JJ147" t="s">
        <v>495</v>
      </c>
      <c r="JK147" s="8" t="s">
        <v>1466</v>
      </c>
      <c r="JN147" t="s">
        <v>508</v>
      </c>
      <c r="JO147">
        <v>40</v>
      </c>
      <c r="JP147">
        <v>50</v>
      </c>
      <c r="KD147" t="s">
        <v>500</v>
      </c>
      <c r="MR147" t="s">
        <v>2413</v>
      </c>
      <c r="MS147">
        <v>36</v>
      </c>
      <c r="MT147" t="s">
        <v>685</v>
      </c>
      <c r="MV147" t="s">
        <v>685</v>
      </c>
      <c r="NA147" t="s">
        <v>686</v>
      </c>
      <c r="NB147" t="s">
        <v>2498</v>
      </c>
      <c r="ND147" t="s">
        <v>2499</v>
      </c>
      <c r="NF147" s="4" t="s">
        <v>689</v>
      </c>
      <c r="NG147" t="s">
        <v>2500</v>
      </c>
      <c r="NO147" s="69"/>
      <c r="NP147" t="s">
        <v>518</v>
      </c>
      <c r="NQ147">
        <v>8.1999999999999993</v>
      </c>
      <c r="NR147" s="4" t="s">
        <v>520</v>
      </c>
      <c r="NS147" s="4">
        <v>3.7</v>
      </c>
      <c r="NV147">
        <v>4</v>
      </c>
      <c r="OG147" t="s">
        <v>2507</v>
      </c>
      <c r="OH147" s="78" t="s">
        <v>475</v>
      </c>
      <c r="OI147">
        <v>2008</v>
      </c>
      <c r="OL147" t="s">
        <v>2508</v>
      </c>
      <c r="ON147" t="s">
        <v>522</v>
      </c>
      <c r="OO147" s="50">
        <v>46105</v>
      </c>
    </row>
    <row r="148" spans="1:413" ht="15.75" thickBot="1">
      <c r="A148" t="s">
        <v>469</v>
      </c>
      <c r="B148" t="s">
        <v>2406</v>
      </c>
      <c r="C148" t="s">
        <v>667</v>
      </c>
      <c r="D148" s="89" t="s">
        <v>1179</v>
      </c>
      <c r="E148" s="81" t="s">
        <v>2407</v>
      </c>
      <c r="F148" s="89" t="s">
        <v>1179</v>
      </c>
      <c r="G148" s="78" t="s">
        <v>475</v>
      </c>
      <c r="H148" s="78" t="s">
        <v>476</v>
      </c>
      <c r="I148">
        <v>-0.41666666699999999</v>
      </c>
      <c r="J148">
        <v>34.200000000000003</v>
      </c>
      <c r="K148" s="78" t="s">
        <v>480</v>
      </c>
      <c r="AV148" t="s">
        <v>2408</v>
      </c>
      <c r="AW148">
        <v>54</v>
      </c>
      <c r="AX148" t="s">
        <v>866</v>
      </c>
      <c r="AY148">
        <v>1</v>
      </c>
      <c r="AZ148" t="s">
        <v>2409</v>
      </c>
      <c r="BA148">
        <v>2007</v>
      </c>
      <c r="BB148">
        <v>2008</v>
      </c>
      <c r="BD148" t="s">
        <v>998</v>
      </c>
      <c r="BE148" t="s">
        <v>2430</v>
      </c>
      <c r="BF148" t="s">
        <v>572</v>
      </c>
      <c r="BH148" t="s">
        <v>485</v>
      </c>
      <c r="BI148" t="s">
        <v>2411</v>
      </c>
      <c r="BJ148" s="78" t="s">
        <v>486</v>
      </c>
      <c r="BK148">
        <v>44444</v>
      </c>
      <c r="BL148" t="s">
        <v>537</v>
      </c>
      <c r="BM148" t="s">
        <v>1425</v>
      </c>
      <c r="BN148" t="s">
        <v>2421</v>
      </c>
      <c r="BO148" s="78" t="s">
        <v>486</v>
      </c>
      <c r="BP148">
        <v>44444</v>
      </c>
      <c r="BQ148" t="s">
        <v>537</v>
      </c>
      <c r="BR148" t="s">
        <v>2425</v>
      </c>
      <c r="BS148" t="s">
        <v>866</v>
      </c>
      <c r="BT148" t="s">
        <v>866</v>
      </c>
      <c r="BU148" t="s">
        <v>866</v>
      </c>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K148" s="9"/>
      <c r="HW148" s="50"/>
      <c r="IF148" t="s">
        <v>2480</v>
      </c>
      <c r="IG148" s="75" t="s">
        <v>2426</v>
      </c>
      <c r="IH148" t="s">
        <v>542</v>
      </c>
      <c r="II148" t="s">
        <v>543</v>
      </c>
      <c r="IJ148" t="s">
        <v>1049</v>
      </c>
      <c r="IK148" t="s">
        <v>1049</v>
      </c>
      <c r="IL148" s="78" t="s">
        <v>480</v>
      </c>
      <c r="JH148" t="s">
        <v>2412</v>
      </c>
      <c r="JI148" t="s">
        <v>494</v>
      </c>
      <c r="JJ148" t="s">
        <v>495</v>
      </c>
      <c r="JK148" s="8" t="s">
        <v>1466</v>
      </c>
      <c r="JN148" t="s">
        <v>508</v>
      </c>
      <c r="JO148">
        <v>40</v>
      </c>
      <c r="JP148">
        <v>50</v>
      </c>
      <c r="KD148" t="s">
        <v>500</v>
      </c>
      <c r="MR148" t="s">
        <v>2413</v>
      </c>
      <c r="MS148">
        <v>36</v>
      </c>
      <c r="MT148" t="s">
        <v>685</v>
      </c>
      <c r="MV148" t="s">
        <v>685</v>
      </c>
      <c r="NA148" t="s">
        <v>686</v>
      </c>
      <c r="NB148" t="s">
        <v>2498</v>
      </c>
      <c r="ND148" t="s">
        <v>2499</v>
      </c>
      <c r="NF148" s="4" t="s">
        <v>689</v>
      </c>
      <c r="NG148" t="s">
        <v>2500</v>
      </c>
      <c r="NO148" s="69"/>
      <c r="NP148" t="s">
        <v>518</v>
      </c>
      <c r="NQ148">
        <v>3.5</v>
      </c>
      <c r="NR148" s="4" t="s">
        <v>520</v>
      </c>
      <c r="NS148" s="4">
        <v>1.6</v>
      </c>
      <c r="NV148">
        <v>4</v>
      </c>
      <c r="OG148" t="s">
        <v>2507</v>
      </c>
      <c r="OH148" s="78" t="s">
        <v>475</v>
      </c>
      <c r="OI148">
        <v>2008</v>
      </c>
      <c r="OL148" t="s">
        <v>2508</v>
      </c>
      <c r="ON148" t="s">
        <v>522</v>
      </c>
      <c r="OO148" s="50">
        <v>46105</v>
      </c>
    </row>
    <row r="149" spans="1:413" ht="15.75" thickBot="1">
      <c r="A149" t="s">
        <v>469</v>
      </c>
      <c r="B149" t="s">
        <v>2406</v>
      </c>
      <c r="C149" t="s">
        <v>667</v>
      </c>
      <c r="D149" s="89" t="s">
        <v>1179</v>
      </c>
      <c r="E149" s="81" t="s">
        <v>2407</v>
      </c>
      <c r="F149" s="89" t="s">
        <v>1179</v>
      </c>
      <c r="G149" s="78" t="s">
        <v>475</v>
      </c>
      <c r="H149" s="78" t="s">
        <v>476</v>
      </c>
      <c r="I149">
        <v>-0.41666666699999999</v>
      </c>
      <c r="J149">
        <v>34.200000000000003</v>
      </c>
      <c r="K149" s="78" t="s">
        <v>480</v>
      </c>
      <c r="AV149" t="s">
        <v>2408</v>
      </c>
      <c r="AW149">
        <v>55</v>
      </c>
      <c r="AX149" t="s">
        <v>866</v>
      </c>
      <c r="AY149">
        <v>1</v>
      </c>
      <c r="AZ149" t="s">
        <v>2409</v>
      </c>
      <c r="BA149">
        <v>2007</v>
      </c>
      <c r="BB149">
        <v>2008</v>
      </c>
      <c r="BD149" t="s">
        <v>998</v>
      </c>
      <c r="BE149" t="s">
        <v>2442</v>
      </c>
      <c r="BF149" t="s">
        <v>553</v>
      </c>
      <c r="BH149" t="s">
        <v>485</v>
      </c>
      <c r="BI149" t="s">
        <v>2411</v>
      </c>
      <c r="BJ149" s="78" t="s">
        <v>486</v>
      </c>
      <c r="BK149">
        <v>44444</v>
      </c>
      <c r="BL149" t="s">
        <v>537</v>
      </c>
      <c r="BM149" t="s">
        <v>1425</v>
      </c>
      <c r="BN149" t="s">
        <v>2421</v>
      </c>
      <c r="BO149" s="78" t="s">
        <v>486</v>
      </c>
      <c r="BP149">
        <v>44444</v>
      </c>
      <c r="BQ149" t="s">
        <v>537</v>
      </c>
      <c r="BR149" t="s">
        <v>2425</v>
      </c>
      <c r="BS149" t="s">
        <v>866</v>
      </c>
      <c r="BT149" t="s">
        <v>866</v>
      </c>
      <c r="BU149" t="s">
        <v>866</v>
      </c>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K149" s="9"/>
      <c r="HW149" s="50"/>
      <c r="IF149" t="s">
        <v>2484</v>
      </c>
      <c r="IG149" s="75" t="s">
        <v>2426</v>
      </c>
      <c r="IH149" t="s">
        <v>542</v>
      </c>
      <c r="II149" t="s">
        <v>543</v>
      </c>
      <c r="IJ149" t="s">
        <v>1049</v>
      </c>
      <c r="IK149" t="s">
        <v>1049</v>
      </c>
      <c r="IL149" s="78" t="s">
        <v>480</v>
      </c>
      <c r="JH149" t="s">
        <v>2412</v>
      </c>
      <c r="JI149" t="s">
        <v>494</v>
      </c>
      <c r="JJ149" t="s">
        <v>495</v>
      </c>
      <c r="JK149" s="8" t="s">
        <v>1466</v>
      </c>
      <c r="JN149" t="s">
        <v>508</v>
      </c>
      <c r="JO149">
        <v>40</v>
      </c>
      <c r="JP149">
        <v>50</v>
      </c>
      <c r="KD149" t="s">
        <v>500</v>
      </c>
      <c r="MR149" t="s">
        <v>2413</v>
      </c>
      <c r="MS149">
        <v>36</v>
      </c>
      <c r="MT149" t="s">
        <v>685</v>
      </c>
      <c r="MV149" t="s">
        <v>685</v>
      </c>
      <c r="NA149" t="s">
        <v>686</v>
      </c>
      <c r="NB149" t="s">
        <v>2498</v>
      </c>
      <c r="ND149" t="s">
        <v>2499</v>
      </c>
      <c r="NF149" s="4" t="s">
        <v>689</v>
      </c>
      <c r="NG149" t="s">
        <v>2500</v>
      </c>
      <c r="NO149" s="69"/>
      <c r="NP149" t="s">
        <v>518</v>
      </c>
      <c r="NQ149">
        <v>1</v>
      </c>
      <c r="NR149" s="4" t="s">
        <v>520</v>
      </c>
      <c r="NS149" s="4">
        <v>0.7</v>
      </c>
      <c r="NV149">
        <v>4</v>
      </c>
      <c r="OG149" t="s">
        <v>2507</v>
      </c>
      <c r="OH149" s="78" t="s">
        <v>475</v>
      </c>
      <c r="OI149">
        <v>2008</v>
      </c>
      <c r="OL149" t="s">
        <v>2508</v>
      </c>
      <c r="ON149" t="s">
        <v>522</v>
      </c>
      <c r="OO149" s="50">
        <v>46105</v>
      </c>
    </row>
    <row r="150" spans="1:413" s="40" customFormat="1" ht="64.5" thickBot="1">
      <c r="A150" s="164" t="s">
        <v>2509</v>
      </c>
      <c r="B150" s="165" t="s">
        <v>1</v>
      </c>
      <c r="C150" s="166" t="s">
        <v>2</v>
      </c>
      <c r="D150" s="166" t="s">
        <v>3</v>
      </c>
      <c r="E150" s="166" t="s">
        <v>4</v>
      </c>
      <c r="F150" s="166" t="s">
        <v>5</v>
      </c>
      <c r="G150" s="166" t="s">
        <v>6</v>
      </c>
      <c r="H150" s="166" t="s">
        <v>7</v>
      </c>
      <c r="I150" s="166" t="s">
        <v>8</v>
      </c>
      <c r="J150" s="166" t="s">
        <v>9</v>
      </c>
      <c r="K150" s="166" t="s">
        <v>10</v>
      </c>
      <c r="L150" s="166" t="s">
        <v>11</v>
      </c>
      <c r="M150" s="166" t="s">
        <v>12</v>
      </c>
      <c r="N150" s="166" t="s">
        <v>13</v>
      </c>
      <c r="O150" s="166" t="s">
        <v>14</v>
      </c>
      <c r="P150" s="166" t="s">
        <v>15</v>
      </c>
      <c r="Q150" s="166" t="s">
        <v>16</v>
      </c>
      <c r="R150" s="166" t="s">
        <v>17</v>
      </c>
      <c r="S150" s="166" t="s">
        <v>18</v>
      </c>
      <c r="T150" s="166" t="s">
        <v>19</v>
      </c>
      <c r="U150" s="113" t="s">
        <v>20</v>
      </c>
      <c r="V150" s="113" t="s">
        <v>21</v>
      </c>
      <c r="W150" s="113" t="s">
        <v>22</v>
      </c>
      <c r="X150" s="113" t="s">
        <v>23</v>
      </c>
      <c r="Y150" s="113" t="s">
        <v>24</v>
      </c>
      <c r="Z150" s="113" t="s">
        <v>25</v>
      </c>
      <c r="AA150" s="113" t="s">
        <v>26</v>
      </c>
      <c r="AB150" s="113" t="s">
        <v>27</v>
      </c>
      <c r="AC150" s="113" t="s">
        <v>28</v>
      </c>
      <c r="AD150" s="113" t="s">
        <v>29</v>
      </c>
      <c r="AE150" s="113" t="s">
        <v>30</v>
      </c>
      <c r="AF150" s="113" t="s">
        <v>31</v>
      </c>
      <c r="AG150" s="113" t="s">
        <v>32</v>
      </c>
      <c r="AH150" s="113" t="s">
        <v>33</v>
      </c>
      <c r="AI150" s="113" t="s">
        <v>34</v>
      </c>
      <c r="AJ150" s="113" t="s">
        <v>35</v>
      </c>
      <c r="AK150" s="113" t="s">
        <v>36</v>
      </c>
      <c r="AL150" s="113" t="s">
        <v>37</v>
      </c>
      <c r="AM150" s="113" t="s">
        <v>38</v>
      </c>
      <c r="AN150" s="113" t="s">
        <v>39</v>
      </c>
      <c r="AO150" s="113" t="s">
        <v>40</v>
      </c>
      <c r="AP150" s="113" t="s">
        <v>41</v>
      </c>
      <c r="AQ150" s="113" t="s">
        <v>42</v>
      </c>
      <c r="AR150" s="113" t="s">
        <v>43</v>
      </c>
      <c r="AS150" s="113" t="s">
        <v>44</v>
      </c>
      <c r="AT150" s="113" t="s">
        <v>45</v>
      </c>
      <c r="AU150" s="113" t="s">
        <v>46</v>
      </c>
      <c r="AV150" s="167" t="s">
        <v>47</v>
      </c>
      <c r="AW150" s="167" t="s">
        <v>48</v>
      </c>
      <c r="AX150" s="167" t="s">
        <v>49</v>
      </c>
      <c r="AY150" s="167" t="s">
        <v>50</v>
      </c>
      <c r="AZ150" s="168" t="s">
        <v>51</v>
      </c>
      <c r="BA150" s="168" t="s">
        <v>52</v>
      </c>
      <c r="BB150" s="168" t="s">
        <v>53</v>
      </c>
      <c r="BC150" s="168" t="s">
        <v>54</v>
      </c>
      <c r="BD150" s="169" t="s">
        <v>2348</v>
      </c>
      <c r="BE150" s="169" t="s">
        <v>55</v>
      </c>
      <c r="BF150" s="169" t="s">
        <v>56</v>
      </c>
      <c r="BG150" s="169" t="s">
        <v>57</v>
      </c>
      <c r="BH150" s="169" t="s">
        <v>58</v>
      </c>
      <c r="BI150" s="170" t="s">
        <v>59</v>
      </c>
      <c r="BJ150" s="170" t="s">
        <v>60</v>
      </c>
      <c r="BK150" s="170" t="s">
        <v>61</v>
      </c>
      <c r="BL150" s="170" t="s">
        <v>62</v>
      </c>
      <c r="BM150" s="170" t="s">
        <v>63</v>
      </c>
      <c r="BN150" s="170" t="s">
        <v>64</v>
      </c>
      <c r="BO150" s="170" t="s">
        <v>65</v>
      </c>
      <c r="BP150" s="170" t="s">
        <v>66</v>
      </c>
      <c r="BQ150" s="170" t="s">
        <v>67</v>
      </c>
      <c r="BR150" s="170" t="s">
        <v>68</v>
      </c>
      <c r="BS150" s="170" t="s">
        <v>69</v>
      </c>
      <c r="BT150" s="170" t="s">
        <v>70</v>
      </c>
      <c r="BU150" s="170" t="s">
        <v>71</v>
      </c>
      <c r="BV150" s="170" t="s">
        <v>72</v>
      </c>
      <c r="BW150" s="122" t="s">
        <v>73</v>
      </c>
      <c r="BX150" s="122" t="s">
        <v>74</v>
      </c>
      <c r="BY150" s="122" t="s">
        <v>75</v>
      </c>
      <c r="BZ150" s="122" t="s">
        <v>76</v>
      </c>
      <c r="CA150" s="122" t="s">
        <v>77</v>
      </c>
      <c r="CB150" s="122" t="s">
        <v>78</v>
      </c>
      <c r="CC150" s="122" t="s">
        <v>79</v>
      </c>
      <c r="CD150" s="122" t="s">
        <v>80</v>
      </c>
      <c r="CE150" s="122" t="s">
        <v>81</v>
      </c>
      <c r="CF150" s="122" t="s">
        <v>82</v>
      </c>
      <c r="CG150" s="122" t="s">
        <v>83</v>
      </c>
      <c r="CH150" s="122" t="s">
        <v>84</v>
      </c>
      <c r="CI150" s="122" t="s">
        <v>85</v>
      </c>
      <c r="CJ150" s="122" t="s">
        <v>86</v>
      </c>
      <c r="CK150" s="122" t="s">
        <v>87</v>
      </c>
      <c r="CL150" s="122" t="s">
        <v>88</v>
      </c>
      <c r="CM150" s="122" t="s">
        <v>89</v>
      </c>
      <c r="CN150" s="122" t="s">
        <v>90</v>
      </c>
      <c r="CO150" s="122" t="s">
        <v>91</v>
      </c>
      <c r="CP150" s="122" t="s">
        <v>92</v>
      </c>
      <c r="CQ150" s="122" t="s">
        <v>93</v>
      </c>
      <c r="CR150" s="122" t="s">
        <v>94</v>
      </c>
      <c r="CS150" s="122" t="s">
        <v>95</v>
      </c>
      <c r="CT150" s="122" t="s">
        <v>96</v>
      </c>
      <c r="CU150" s="122" t="s">
        <v>97</v>
      </c>
      <c r="CV150" s="122" t="s">
        <v>98</v>
      </c>
      <c r="CW150" s="122" t="s">
        <v>99</v>
      </c>
      <c r="CX150" s="122" t="s">
        <v>100</v>
      </c>
      <c r="CY150" s="122" t="s">
        <v>101</v>
      </c>
      <c r="CZ150" s="122" t="s">
        <v>102</v>
      </c>
      <c r="DA150" s="122" t="s">
        <v>103</v>
      </c>
      <c r="DB150" s="122" t="s">
        <v>104</v>
      </c>
      <c r="DC150" s="122" t="s">
        <v>105</v>
      </c>
      <c r="DD150" s="122" t="s">
        <v>106</v>
      </c>
      <c r="DE150" s="122" t="s">
        <v>107</v>
      </c>
      <c r="DF150" s="122" t="s">
        <v>108</v>
      </c>
      <c r="DG150" s="122" t="s">
        <v>109</v>
      </c>
      <c r="DH150" s="122" t="s">
        <v>110</v>
      </c>
      <c r="DI150" s="122" t="s">
        <v>111</v>
      </c>
      <c r="DJ150" s="122" t="s">
        <v>112</v>
      </c>
      <c r="DK150" s="122" t="s">
        <v>113</v>
      </c>
      <c r="DL150" s="122" t="s">
        <v>114</v>
      </c>
      <c r="DM150" s="122" t="s">
        <v>115</v>
      </c>
      <c r="DN150" s="122" t="s">
        <v>116</v>
      </c>
      <c r="DO150" s="122" t="s">
        <v>117</v>
      </c>
      <c r="DP150" s="122" t="s">
        <v>118</v>
      </c>
      <c r="DQ150" s="122" t="s">
        <v>119</v>
      </c>
      <c r="DR150" s="122" t="s">
        <v>120</v>
      </c>
      <c r="DS150" s="122" t="s">
        <v>121</v>
      </c>
      <c r="DT150" s="122" t="s">
        <v>122</v>
      </c>
      <c r="DU150" s="122" t="s">
        <v>123</v>
      </c>
      <c r="DV150" s="122" t="s">
        <v>124</v>
      </c>
      <c r="DW150" s="122" t="s">
        <v>125</v>
      </c>
      <c r="DX150" s="122" t="s">
        <v>126</v>
      </c>
      <c r="DY150" s="122" t="s">
        <v>127</v>
      </c>
      <c r="DZ150" s="122" t="s">
        <v>128</v>
      </c>
      <c r="EA150" s="122" t="s">
        <v>129</v>
      </c>
      <c r="EB150" s="122" t="s">
        <v>130</v>
      </c>
      <c r="EC150" s="122" t="s">
        <v>131</v>
      </c>
      <c r="ED150" s="122" t="s">
        <v>132</v>
      </c>
      <c r="EE150" s="169" t="s">
        <v>133</v>
      </c>
      <c r="EF150" s="169" t="s">
        <v>134</v>
      </c>
      <c r="EG150" s="169" t="s">
        <v>135</v>
      </c>
      <c r="EH150" s="169" t="s">
        <v>136</v>
      </c>
      <c r="EI150" s="169" t="s">
        <v>137</v>
      </c>
      <c r="EJ150" s="169" t="s">
        <v>138</v>
      </c>
      <c r="EK150" s="169" t="s">
        <v>139</v>
      </c>
      <c r="EL150" s="169" t="s">
        <v>140</v>
      </c>
      <c r="EM150" s="116" t="s">
        <v>141</v>
      </c>
      <c r="EN150" s="116" t="s">
        <v>142</v>
      </c>
      <c r="EO150" s="116" t="s">
        <v>143</v>
      </c>
      <c r="EP150" s="116" t="s">
        <v>144</v>
      </c>
      <c r="EQ150" s="116" t="s">
        <v>145</v>
      </c>
      <c r="ER150" s="116" t="s">
        <v>146</v>
      </c>
      <c r="ES150" s="116" t="s">
        <v>147</v>
      </c>
      <c r="ET150" s="116" t="s">
        <v>148</v>
      </c>
      <c r="EU150" s="116" t="s">
        <v>149</v>
      </c>
      <c r="EV150" s="116" t="s">
        <v>150</v>
      </c>
      <c r="EW150" s="116" t="s">
        <v>151</v>
      </c>
      <c r="EX150" s="116" t="s">
        <v>152</v>
      </c>
      <c r="EY150" s="116" t="s">
        <v>153</v>
      </c>
      <c r="EZ150" s="116" t="s">
        <v>154</v>
      </c>
      <c r="FA150" s="116" t="s">
        <v>155</v>
      </c>
      <c r="FB150" s="116" t="s">
        <v>156</v>
      </c>
      <c r="FC150" s="116" t="s">
        <v>157</v>
      </c>
      <c r="FD150" s="116" t="s">
        <v>158</v>
      </c>
      <c r="FE150" s="116" t="s">
        <v>159</v>
      </c>
      <c r="FF150" s="116" t="s">
        <v>160</v>
      </c>
      <c r="FG150" s="116" t="s">
        <v>161</v>
      </c>
      <c r="FH150" s="116" t="s">
        <v>162</v>
      </c>
      <c r="FI150" s="116" t="s">
        <v>163</v>
      </c>
      <c r="FJ150" s="116" t="s">
        <v>164</v>
      </c>
      <c r="FK150" s="116" t="s">
        <v>165</v>
      </c>
      <c r="FL150" s="116" t="s">
        <v>166</v>
      </c>
      <c r="FM150" s="116" t="s">
        <v>167</v>
      </c>
      <c r="FN150" s="116" t="s">
        <v>168</v>
      </c>
      <c r="FO150" s="116" t="s">
        <v>169</v>
      </c>
      <c r="FP150" s="116" t="s">
        <v>170</v>
      </c>
      <c r="FQ150" s="116" t="s">
        <v>171</v>
      </c>
      <c r="FR150" s="116" t="s">
        <v>172</v>
      </c>
      <c r="FS150" s="116" t="s">
        <v>173</v>
      </c>
      <c r="FT150" s="116" t="s">
        <v>174</v>
      </c>
      <c r="FU150" s="116" t="s">
        <v>175</v>
      </c>
      <c r="FV150" s="116" t="s">
        <v>176</v>
      </c>
      <c r="FW150" s="116" t="s">
        <v>177</v>
      </c>
      <c r="FX150" s="116" t="s">
        <v>178</v>
      </c>
      <c r="FY150" s="116" t="s">
        <v>179</v>
      </c>
      <c r="FZ150" s="116" t="s">
        <v>180</v>
      </c>
      <c r="GA150" s="116" t="s">
        <v>181</v>
      </c>
      <c r="GB150" s="116" t="s">
        <v>182</v>
      </c>
      <c r="GC150" s="116" t="s">
        <v>183</v>
      </c>
      <c r="GD150" s="116" t="s">
        <v>184</v>
      </c>
      <c r="GE150" s="116" t="s">
        <v>185</v>
      </c>
      <c r="GF150" s="116" t="s">
        <v>186</v>
      </c>
      <c r="GG150" s="116" t="s">
        <v>187</v>
      </c>
      <c r="GH150" s="116" t="s">
        <v>188</v>
      </c>
      <c r="GI150" s="116" t="s">
        <v>189</v>
      </c>
      <c r="GJ150" s="116" t="s">
        <v>190</v>
      </c>
      <c r="GK150" s="116" t="s">
        <v>191</v>
      </c>
      <c r="GL150" s="116" t="s">
        <v>192</v>
      </c>
      <c r="GM150" s="116" t="s">
        <v>193</v>
      </c>
      <c r="GN150" s="116" t="s">
        <v>194</v>
      </c>
      <c r="GO150" s="116" t="s">
        <v>195</v>
      </c>
      <c r="GP150" s="116" t="s">
        <v>196</v>
      </c>
      <c r="GQ150" s="116" t="s">
        <v>197</v>
      </c>
      <c r="GR150" s="116" t="s">
        <v>198</v>
      </c>
      <c r="GS150" s="116" t="s">
        <v>199</v>
      </c>
      <c r="GT150" s="116" t="s">
        <v>200</v>
      </c>
      <c r="GU150" s="116" t="s">
        <v>201</v>
      </c>
      <c r="GV150" s="116" t="s">
        <v>202</v>
      </c>
      <c r="GW150" s="116" t="s">
        <v>203</v>
      </c>
      <c r="GX150" s="116" t="s">
        <v>204</v>
      </c>
      <c r="GY150" s="116" t="s">
        <v>205</v>
      </c>
      <c r="GZ150" s="116" t="s">
        <v>206</v>
      </c>
      <c r="HA150" s="116" t="s">
        <v>207</v>
      </c>
      <c r="HB150" s="116" t="s">
        <v>208</v>
      </c>
      <c r="HC150" s="116" t="s">
        <v>209</v>
      </c>
      <c r="HD150" s="116" t="s">
        <v>210</v>
      </c>
      <c r="HE150" s="116" t="s">
        <v>211</v>
      </c>
      <c r="HF150" s="116" t="s">
        <v>212</v>
      </c>
      <c r="HG150" s="116" t="s">
        <v>213</v>
      </c>
      <c r="HH150" s="116" t="s">
        <v>214</v>
      </c>
      <c r="HI150" s="116" t="s">
        <v>215</v>
      </c>
      <c r="HJ150" s="116" t="s">
        <v>216</v>
      </c>
      <c r="HK150" s="116" t="s">
        <v>217</v>
      </c>
      <c r="HL150" s="169" t="s">
        <v>218</v>
      </c>
      <c r="HM150" s="169" t="s">
        <v>219</v>
      </c>
      <c r="HN150" s="169" t="s">
        <v>220</v>
      </c>
      <c r="HO150" s="169" t="s">
        <v>221</v>
      </c>
      <c r="HP150" s="169" t="s">
        <v>222</v>
      </c>
      <c r="HQ150" s="169" t="s">
        <v>223</v>
      </c>
      <c r="HR150" s="169" t="s">
        <v>224</v>
      </c>
      <c r="HS150" s="169" t="s">
        <v>225</v>
      </c>
      <c r="HT150" s="169" t="s">
        <v>226</v>
      </c>
      <c r="HU150" s="169" t="s">
        <v>227</v>
      </c>
      <c r="HV150" s="169" t="s">
        <v>228</v>
      </c>
      <c r="HW150" s="169" t="s">
        <v>230</v>
      </c>
      <c r="HX150" s="169" t="s">
        <v>231</v>
      </c>
      <c r="HY150" s="169" t="s">
        <v>232</v>
      </c>
      <c r="HZ150" s="169" t="s">
        <v>233</v>
      </c>
      <c r="IA150" s="169" t="s">
        <v>234</v>
      </c>
      <c r="IB150" s="171" t="s">
        <v>236</v>
      </c>
      <c r="IC150" s="171" t="s">
        <v>237</v>
      </c>
      <c r="ID150" s="171" t="s">
        <v>235</v>
      </c>
      <c r="IE150" s="171" t="s">
        <v>238</v>
      </c>
      <c r="IF150" s="171" t="s">
        <v>239</v>
      </c>
      <c r="IG150" s="171" t="s">
        <v>240</v>
      </c>
      <c r="IH150" s="169" t="s">
        <v>241</v>
      </c>
      <c r="II150" s="169" t="s">
        <v>242</v>
      </c>
      <c r="IJ150" s="169" t="s">
        <v>243</v>
      </c>
      <c r="IK150" s="169" t="s">
        <v>244</v>
      </c>
      <c r="IL150" s="169" t="s">
        <v>245</v>
      </c>
      <c r="IM150" s="169" t="s">
        <v>246</v>
      </c>
      <c r="IN150" s="169" t="s">
        <v>247</v>
      </c>
      <c r="IO150" s="169" t="s">
        <v>248</v>
      </c>
      <c r="IP150" s="169" t="s">
        <v>249</v>
      </c>
      <c r="IQ150" s="169" t="s">
        <v>250</v>
      </c>
      <c r="IR150" s="169" t="s">
        <v>251</v>
      </c>
      <c r="IS150" s="169" t="s">
        <v>252</v>
      </c>
      <c r="IT150" s="169" t="s">
        <v>253</v>
      </c>
      <c r="IU150" s="169" t="s">
        <v>254</v>
      </c>
      <c r="IV150" s="169" t="s">
        <v>2510</v>
      </c>
      <c r="IW150" s="169" t="s">
        <v>256</v>
      </c>
      <c r="IX150" s="172" t="s">
        <v>257</v>
      </c>
      <c r="IY150" s="173" t="s">
        <v>2350</v>
      </c>
      <c r="IZ150" s="173" t="s">
        <v>258</v>
      </c>
      <c r="JA150" s="96" t="s">
        <v>259</v>
      </c>
      <c r="JB150" s="173" t="s">
        <v>260</v>
      </c>
      <c r="JC150" s="173" t="s">
        <v>261</v>
      </c>
      <c r="JD150" s="173" t="s">
        <v>262</v>
      </c>
      <c r="JE150" s="173" t="s">
        <v>263</v>
      </c>
      <c r="JF150" s="173" t="s">
        <v>264</v>
      </c>
      <c r="JG150" s="173" t="s">
        <v>265</v>
      </c>
      <c r="JH150" s="173" t="s">
        <v>266</v>
      </c>
      <c r="JI150" s="173" t="s">
        <v>267</v>
      </c>
      <c r="JJ150" s="173" t="s">
        <v>268</v>
      </c>
      <c r="JK150" s="173" t="s">
        <v>269</v>
      </c>
      <c r="JL150" s="173" t="s">
        <v>270</v>
      </c>
      <c r="JM150" s="173" t="s">
        <v>271</v>
      </c>
      <c r="JN150" s="174" t="s">
        <v>272</v>
      </c>
      <c r="JO150" s="169" t="s">
        <v>2511</v>
      </c>
      <c r="JP150" s="169" t="s">
        <v>2512</v>
      </c>
      <c r="JQ150" s="169" t="s">
        <v>275</v>
      </c>
      <c r="JR150" s="169" t="s">
        <v>276</v>
      </c>
      <c r="JS150" s="169" t="s">
        <v>277</v>
      </c>
      <c r="JT150" s="169" t="s">
        <v>278</v>
      </c>
      <c r="JU150" s="169" t="s">
        <v>279</v>
      </c>
      <c r="JV150" s="169" t="s">
        <v>280</v>
      </c>
      <c r="JW150" s="169" t="s">
        <v>281</v>
      </c>
      <c r="JX150" s="169" t="s">
        <v>282</v>
      </c>
      <c r="JY150" s="169" t="s">
        <v>283</v>
      </c>
      <c r="JZ150" s="169" t="s">
        <v>284</v>
      </c>
      <c r="KA150" s="169" t="s">
        <v>285</v>
      </c>
      <c r="KB150" s="169" t="s">
        <v>286</v>
      </c>
      <c r="KC150" s="169" t="s">
        <v>287</v>
      </c>
      <c r="KD150" s="169" t="s">
        <v>288</v>
      </c>
      <c r="KE150" s="169" t="s">
        <v>289</v>
      </c>
      <c r="KF150" s="169" t="s">
        <v>2513</v>
      </c>
      <c r="KG150" s="169" t="s">
        <v>2514</v>
      </c>
      <c r="KH150" s="169" t="s">
        <v>292</v>
      </c>
      <c r="KI150" s="169" t="s">
        <v>293</v>
      </c>
      <c r="KJ150" s="169" t="s">
        <v>294</v>
      </c>
      <c r="KK150" s="169" t="s">
        <v>295</v>
      </c>
      <c r="KL150" s="169" t="s">
        <v>296</v>
      </c>
      <c r="KM150" s="169" t="s">
        <v>297</v>
      </c>
      <c r="KN150" s="169" t="s">
        <v>298</v>
      </c>
      <c r="KO150" s="169" t="s">
        <v>299</v>
      </c>
      <c r="KP150" s="169" t="s">
        <v>300</v>
      </c>
      <c r="KQ150" s="169" t="s">
        <v>301</v>
      </c>
      <c r="KR150" s="169" t="s">
        <v>302</v>
      </c>
      <c r="KS150" s="169" t="s">
        <v>303</v>
      </c>
      <c r="KT150" s="169" t="s">
        <v>304</v>
      </c>
      <c r="KU150" s="169" t="s">
        <v>305</v>
      </c>
      <c r="KV150" s="169" t="s">
        <v>306</v>
      </c>
      <c r="KW150" s="169" t="s">
        <v>307</v>
      </c>
      <c r="KX150" s="116" t="s">
        <v>308</v>
      </c>
      <c r="KY150" s="116" t="s">
        <v>309</v>
      </c>
      <c r="KZ150" s="116" t="s">
        <v>310</v>
      </c>
      <c r="LA150" s="116" t="s">
        <v>311</v>
      </c>
      <c r="LB150" s="169" t="s">
        <v>2351</v>
      </c>
      <c r="LC150" s="169" t="s">
        <v>315</v>
      </c>
      <c r="LD150" s="169" t="s">
        <v>317</v>
      </c>
      <c r="LE150" s="169" t="s">
        <v>319</v>
      </c>
      <c r="LF150" s="169" t="s">
        <v>320</v>
      </c>
      <c r="LG150" s="169" t="s">
        <v>321</v>
      </c>
      <c r="LH150" s="169" t="s">
        <v>322</v>
      </c>
      <c r="LI150" s="169" t="s">
        <v>323</v>
      </c>
      <c r="LJ150" s="169" t="s">
        <v>324</v>
      </c>
      <c r="LK150" s="169" t="s">
        <v>325</v>
      </c>
      <c r="LL150" s="169" t="s">
        <v>326</v>
      </c>
      <c r="LM150" s="169" t="s">
        <v>327</v>
      </c>
      <c r="LN150" s="169" t="s">
        <v>328</v>
      </c>
      <c r="LO150" s="169" t="s">
        <v>2515</v>
      </c>
      <c r="LP150" s="169" t="s">
        <v>2516</v>
      </c>
      <c r="LQ150" s="169" t="s">
        <v>331</v>
      </c>
      <c r="LR150" s="169" t="s">
        <v>332</v>
      </c>
      <c r="LS150" s="172" t="s">
        <v>334</v>
      </c>
      <c r="LT150" s="173" t="s">
        <v>335</v>
      </c>
      <c r="LU150" s="173" t="s">
        <v>336</v>
      </c>
      <c r="LV150" s="173" t="s">
        <v>337</v>
      </c>
      <c r="LW150" s="173" t="s">
        <v>338</v>
      </c>
      <c r="LX150" s="175" t="s">
        <v>339</v>
      </c>
      <c r="LY150" s="175" t="s">
        <v>340</v>
      </c>
      <c r="LZ150" s="175" t="s">
        <v>341</v>
      </c>
      <c r="MA150" s="175" t="s">
        <v>342</v>
      </c>
      <c r="MB150" s="175" t="s">
        <v>343</v>
      </c>
      <c r="MC150" s="176" t="s">
        <v>344</v>
      </c>
      <c r="MD150" s="176" t="s">
        <v>345</v>
      </c>
      <c r="ME150" s="176" t="s">
        <v>346</v>
      </c>
      <c r="MF150" s="176" t="s">
        <v>347</v>
      </c>
      <c r="MG150" s="176" t="s">
        <v>348</v>
      </c>
      <c r="MH150" s="177" t="s">
        <v>349</v>
      </c>
      <c r="MI150" s="177" t="s">
        <v>350</v>
      </c>
      <c r="MJ150" s="177" t="s">
        <v>351</v>
      </c>
      <c r="MK150" s="177" t="s">
        <v>352</v>
      </c>
      <c r="ML150" s="177" t="s">
        <v>353</v>
      </c>
      <c r="MM150" s="177" t="s">
        <v>354</v>
      </c>
      <c r="MN150" s="177" t="s">
        <v>355</v>
      </c>
      <c r="MO150" s="177" t="s">
        <v>356</v>
      </c>
      <c r="MP150" s="178" t="s">
        <v>357</v>
      </c>
      <c r="MQ150" s="178" t="s">
        <v>358</v>
      </c>
      <c r="MR150" s="178" t="s">
        <v>359</v>
      </c>
      <c r="MS150" s="178" t="s">
        <v>360</v>
      </c>
      <c r="MT150" s="178" t="s">
        <v>361</v>
      </c>
      <c r="MU150" s="95" t="s">
        <v>362</v>
      </c>
      <c r="MV150" s="95" t="s">
        <v>363</v>
      </c>
      <c r="MW150" t="s">
        <v>364</v>
      </c>
      <c r="MX150" s="179" t="s">
        <v>2352</v>
      </c>
      <c r="MY150" s="179" t="s">
        <v>2353</v>
      </c>
      <c r="MZ150" s="179" t="s">
        <v>2354</v>
      </c>
      <c r="NA150" s="179" t="s">
        <v>2355</v>
      </c>
      <c r="NB150" s="179" t="s">
        <v>2356</v>
      </c>
      <c r="NC150" s="179" t="s">
        <v>2357</v>
      </c>
      <c r="ND150" s="179" t="s">
        <v>370</v>
      </c>
      <c r="NE150" s="179" t="s">
        <v>371</v>
      </c>
      <c r="NF150" s="169" t="s">
        <v>372</v>
      </c>
      <c r="NG150" s="169" t="s">
        <v>373</v>
      </c>
      <c r="NH150" s="169" t="s">
        <v>374</v>
      </c>
      <c r="NI150" s="169" t="s">
        <v>375</v>
      </c>
      <c r="NJ150" s="169" t="s">
        <v>376</v>
      </c>
      <c r="NK150" s="169" t="s">
        <v>377</v>
      </c>
      <c r="NL150" s="169" t="s">
        <v>378</v>
      </c>
      <c r="NM150" s="169" t="s">
        <v>379</v>
      </c>
      <c r="NN150" s="169" t="s">
        <v>380</v>
      </c>
      <c r="NO150" s="169" t="s">
        <v>381</v>
      </c>
      <c r="NP150" s="169" t="s">
        <v>382</v>
      </c>
      <c r="NQ150" s="169" t="s">
        <v>383</v>
      </c>
      <c r="NR150" s="169" t="s">
        <v>384</v>
      </c>
      <c r="NS150" s="169" t="s">
        <v>385</v>
      </c>
      <c r="NT150" s="169" t="s">
        <v>386</v>
      </c>
      <c r="NU150" s="169" t="s">
        <v>2517</v>
      </c>
      <c r="NV150" s="169" t="s">
        <v>2518</v>
      </c>
      <c r="NW150" s="169" t="s">
        <v>2519</v>
      </c>
      <c r="NX150" s="169" t="s">
        <v>2520</v>
      </c>
      <c r="NY150" s="169" t="s">
        <v>391</v>
      </c>
      <c r="NZ150" s="180" t="s">
        <v>2358</v>
      </c>
      <c r="OA150" s="180" t="s">
        <v>2359</v>
      </c>
      <c r="OB150" s="180" t="s">
        <v>2360</v>
      </c>
      <c r="OC150" s="180" t="s">
        <v>2361</v>
      </c>
      <c r="OD150" s="180" t="s">
        <v>2362</v>
      </c>
      <c r="OE150" s="180" t="s">
        <v>2363</v>
      </c>
      <c r="OF150" s="180" t="s">
        <v>2364</v>
      </c>
      <c r="OG150" s="180" t="s">
        <v>2365</v>
      </c>
      <c r="OH150" s="180" t="s">
        <v>2366</v>
      </c>
      <c r="OI150" s="180" t="s">
        <v>2367</v>
      </c>
      <c r="OJ150" s="169" t="s">
        <v>410</v>
      </c>
      <c r="OK150" s="169" t="s">
        <v>411</v>
      </c>
      <c r="OL150" s="169" t="s">
        <v>412</v>
      </c>
      <c r="OM150" s="169" t="s">
        <v>413</v>
      </c>
      <c r="ON150" s="169" t="s">
        <v>414</v>
      </c>
      <c r="OO150" s="169" t="s">
        <v>415</v>
      </c>
      <c r="OP150" s="169" t="s">
        <v>416</v>
      </c>
      <c r="OQ150" s="181" t="s">
        <v>417</v>
      </c>
      <c r="OR150" s="181" t="s">
        <v>418</v>
      </c>
      <c r="OS150" s="182" t="s">
        <v>419</v>
      </c>
      <c r="OT150" s="182" t="s">
        <v>420</v>
      </c>
      <c r="OU150" s="182" t="s">
        <v>421</v>
      </c>
      <c r="OV150" s="182" t="s">
        <v>422</v>
      </c>
      <c r="OW150" s="183" t="s">
        <v>423</v>
      </c>
    </row>
    <row r="151" spans="1:413" ht="15.75" thickBot="1">
      <c r="A151" t="s">
        <v>469</v>
      </c>
      <c r="B151" t="s">
        <v>2521</v>
      </c>
      <c r="C151" t="s">
        <v>2522</v>
      </c>
      <c r="H151" t="s">
        <v>1049</v>
      </c>
      <c r="I151">
        <v>-6.2750502700000004</v>
      </c>
      <c r="J151">
        <v>34.813145609999999</v>
      </c>
      <c r="K151" t="s">
        <v>1049</v>
      </c>
      <c r="AV151" t="s">
        <v>2523</v>
      </c>
      <c r="AX151">
        <v>20</v>
      </c>
      <c r="AY151" t="s">
        <v>1049</v>
      </c>
      <c r="AZ151" t="s">
        <v>2524</v>
      </c>
      <c r="BA151">
        <v>1993</v>
      </c>
      <c r="BB151">
        <v>1997</v>
      </c>
      <c r="BD151" t="s">
        <v>492</v>
      </c>
      <c r="BE151" t="s">
        <v>2525</v>
      </c>
      <c r="BF151" t="s">
        <v>524</v>
      </c>
      <c r="BG151" t="s">
        <v>484</v>
      </c>
      <c r="BH151" t="s">
        <v>485</v>
      </c>
      <c r="BI151" t="s">
        <v>2526</v>
      </c>
      <c r="BJ151" t="s">
        <v>1503</v>
      </c>
      <c r="BK151">
        <v>25</v>
      </c>
      <c r="HT151" t="s">
        <v>2527</v>
      </c>
      <c r="IO151" t="s">
        <v>2528</v>
      </c>
      <c r="IP151" t="s">
        <v>703</v>
      </c>
      <c r="IS151" t="s">
        <v>1049</v>
      </c>
      <c r="IT151" t="s">
        <v>1049</v>
      </c>
      <c r="IU151" t="s">
        <v>1049</v>
      </c>
      <c r="IW151" s="2"/>
      <c r="IX151" s="2"/>
      <c r="JJ151" t="s">
        <v>1078</v>
      </c>
      <c r="JK151" t="s">
        <v>1049</v>
      </c>
      <c r="JM151" t="s">
        <v>495</v>
      </c>
      <c r="JN151" t="s">
        <v>2529</v>
      </c>
      <c r="JO151" s="2" t="s">
        <v>2530</v>
      </c>
      <c r="JP151">
        <v>4</v>
      </c>
      <c r="MU151" s="163"/>
      <c r="MV151" s="163"/>
      <c r="MW151" t="s">
        <v>2531</v>
      </c>
      <c r="MX151" s="2"/>
      <c r="MY151" s="2" t="s">
        <v>548</v>
      </c>
      <c r="MZ151" s="2"/>
      <c r="NA151" s="2"/>
      <c r="NB151" s="2"/>
      <c r="NC151" s="2"/>
      <c r="ND151" s="2"/>
      <c r="NE151" s="2"/>
      <c r="NF151" s="2"/>
      <c r="NG151" t="s">
        <v>2532</v>
      </c>
      <c r="NH151" t="s">
        <v>2531</v>
      </c>
      <c r="NI151" t="s">
        <v>946</v>
      </c>
      <c r="NJ151" t="s">
        <v>2533</v>
      </c>
      <c r="NR151" t="s">
        <v>536</v>
      </c>
      <c r="NS151" s="146" t="s">
        <v>518</v>
      </c>
      <c r="NT151" s="86">
        <v>94245</v>
      </c>
      <c r="NU151" t="s">
        <v>480</v>
      </c>
      <c r="OJ151" t="s">
        <v>2534</v>
      </c>
      <c r="OL151" t="s">
        <v>2535</v>
      </c>
      <c r="OQ151" t="s">
        <v>522</v>
      </c>
      <c r="OR151" s="50">
        <v>46134</v>
      </c>
    </row>
    <row r="152" spans="1:413" ht="15.75" thickBot="1">
      <c r="A152" t="s">
        <v>469</v>
      </c>
      <c r="B152" t="s">
        <v>2521</v>
      </c>
      <c r="C152" t="s">
        <v>2522</v>
      </c>
      <c r="D152" t="s">
        <v>472</v>
      </c>
      <c r="H152" t="s">
        <v>1049</v>
      </c>
      <c r="I152">
        <v>-6.2750502700000004</v>
      </c>
      <c r="J152">
        <v>34.813145609999999</v>
      </c>
      <c r="K152" t="s">
        <v>1049</v>
      </c>
      <c r="AV152" t="s">
        <v>2523</v>
      </c>
      <c r="AW152">
        <v>0.12</v>
      </c>
      <c r="AX152">
        <v>20</v>
      </c>
      <c r="AY152" t="s">
        <v>1049</v>
      </c>
      <c r="AZ152" t="s">
        <v>2524</v>
      </c>
      <c r="BA152">
        <v>1993</v>
      </c>
      <c r="BB152">
        <v>1997</v>
      </c>
      <c r="BD152" t="s">
        <v>2536</v>
      </c>
      <c r="BE152" t="s">
        <v>2537</v>
      </c>
      <c r="BF152" t="s">
        <v>536</v>
      </c>
      <c r="BG152" t="s">
        <v>484</v>
      </c>
      <c r="BH152" t="s">
        <v>485</v>
      </c>
      <c r="BI152" t="s">
        <v>2526</v>
      </c>
      <c r="BJ152" t="s">
        <v>1503</v>
      </c>
      <c r="BK152">
        <v>25</v>
      </c>
      <c r="EE152" t="s">
        <v>2538</v>
      </c>
      <c r="EF152" t="s">
        <v>486</v>
      </c>
      <c r="EG152">
        <v>625</v>
      </c>
      <c r="EH152" t="s">
        <v>537</v>
      </c>
      <c r="EI152" t="s">
        <v>2539</v>
      </c>
      <c r="EJ152" t="s">
        <v>486</v>
      </c>
      <c r="EK152">
        <v>625</v>
      </c>
      <c r="EL152" t="s">
        <v>537</v>
      </c>
      <c r="EM152" t="s">
        <v>2540</v>
      </c>
      <c r="EN152" t="s">
        <v>486</v>
      </c>
      <c r="EO152">
        <v>625</v>
      </c>
      <c r="HT152" t="s">
        <v>2527</v>
      </c>
      <c r="IO152" t="s">
        <v>2541</v>
      </c>
      <c r="IP152" t="s">
        <v>695</v>
      </c>
      <c r="IS152" t="s">
        <v>1049</v>
      </c>
      <c r="IT152" t="s">
        <v>1049</v>
      </c>
      <c r="IU152" t="s">
        <v>1049</v>
      </c>
      <c r="IV152" t="s">
        <v>2542</v>
      </c>
      <c r="IW152" s="2"/>
      <c r="IX152" s="2"/>
      <c r="JA152">
        <v>4.25</v>
      </c>
      <c r="JE152">
        <v>9.1</v>
      </c>
      <c r="JF152">
        <v>6.84</v>
      </c>
      <c r="JG152">
        <v>13.46</v>
      </c>
      <c r="JJ152" t="s">
        <v>1078</v>
      </c>
      <c r="JK152" t="s">
        <v>1049</v>
      </c>
      <c r="JM152" t="s">
        <v>495</v>
      </c>
      <c r="JN152" t="s">
        <v>2529</v>
      </c>
      <c r="JO152" s="2" t="s">
        <v>2530</v>
      </c>
      <c r="JP152">
        <v>4</v>
      </c>
      <c r="MU152" s="163"/>
      <c r="MV152" s="163"/>
      <c r="MW152" t="s">
        <v>2531</v>
      </c>
      <c r="MX152" s="2"/>
      <c r="MY152" s="2" t="s">
        <v>548</v>
      </c>
      <c r="MZ152" s="2"/>
      <c r="NA152" s="2"/>
      <c r="NB152" s="2"/>
      <c r="NC152" s="2"/>
      <c r="ND152" s="2"/>
      <c r="NE152" s="2"/>
      <c r="NF152" s="2"/>
      <c r="NG152" t="s">
        <v>2532</v>
      </c>
      <c r="NH152" t="s">
        <v>2531</v>
      </c>
      <c r="NI152" t="s">
        <v>946</v>
      </c>
      <c r="NJ152" t="s">
        <v>2533</v>
      </c>
      <c r="NS152" s="146" t="s">
        <v>518</v>
      </c>
      <c r="NT152">
        <v>84812</v>
      </c>
      <c r="NU152" t="s">
        <v>480</v>
      </c>
      <c r="NY152">
        <v>60</v>
      </c>
      <c r="OJ152" t="s">
        <v>2534</v>
      </c>
      <c r="OL152" t="s">
        <v>2535</v>
      </c>
      <c r="OQ152" t="s">
        <v>522</v>
      </c>
      <c r="OR152" s="50">
        <v>46134</v>
      </c>
    </row>
    <row r="153" spans="1:413" ht="15.75" thickBot="1">
      <c r="A153" t="s">
        <v>469</v>
      </c>
      <c r="B153" t="s">
        <v>2521</v>
      </c>
      <c r="C153" t="s">
        <v>2522</v>
      </c>
      <c r="H153" t="s">
        <v>1049</v>
      </c>
      <c r="I153">
        <v>-6.2750502700000004</v>
      </c>
      <c r="J153">
        <v>34.813145609999999</v>
      </c>
      <c r="K153" t="s">
        <v>1049</v>
      </c>
      <c r="AV153" t="s">
        <v>2523</v>
      </c>
      <c r="AX153">
        <v>20</v>
      </c>
      <c r="AY153" t="s">
        <v>1049</v>
      </c>
      <c r="AZ153" t="s">
        <v>2524</v>
      </c>
      <c r="BA153">
        <v>1993</v>
      </c>
      <c r="BB153">
        <v>1997</v>
      </c>
      <c r="BD153" t="s">
        <v>492</v>
      </c>
      <c r="BE153" t="s">
        <v>2525</v>
      </c>
      <c r="BF153" t="s">
        <v>524</v>
      </c>
      <c r="BG153" t="s">
        <v>484</v>
      </c>
      <c r="BH153" t="s">
        <v>485</v>
      </c>
      <c r="BI153" t="s">
        <v>2526</v>
      </c>
      <c r="BJ153" t="s">
        <v>1503</v>
      </c>
      <c r="BK153">
        <v>20</v>
      </c>
      <c r="HT153" t="s">
        <v>2527</v>
      </c>
      <c r="IO153" t="s">
        <v>2528</v>
      </c>
      <c r="IP153" t="s">
        <v>703</v>
      </c>
      <c r="IS153" t="s">
        <v>1049</v>
      </c>
      <c r="IT153" t="s">
        <v>1049</v>
      </c>
      <c r="IU153" t="s">
        <v>1049</v>
      </c>
      <c r="IW153" s="2"/>
      <c r="IX153" s="2"/>
      <c r="JJ153" t="s">
        <v>1078</v>
      </c>
      <c r="JK153" t="s">
        <v>1049</v>
      </c>
      <c r="JM153" t="s">
        <v>495</v>
      </c>
      <c r="JN153" t="s">
        <v>2529</v>
      </c>
      <c r="JO153" s="2" t="s">
        <v>2530</v>
      </c>
      <c r="JP153">
        <v>4</v>
      </c>
      <c r="MU153" s="163"/>
      <c r="MV153" s="163"/>
      <c r="MW153" t="s">
        <v>2531</v>
      </c>
      <c r="MX153" s="2"/>
      <c r="MY153" s="2" t="s">
        <v>548</v>
      </c>
      <c r="MZ153" s="2"/>
      <c r="NA153" s="2"/>
      <c r="NB153" s="2"/>
      <c r="NC153" s="2"/>
      <c r="ND153" s="2"/>
      <c r="NE153" s="2"/>
      <c r="NF153" s="2"/>
      <c r="NG153" t="s">
        <v>2532</v>
      </c>
      <c r="NH153" t="s">
        <v>2531</v>
      </c>
      <c r="NI153" t="s">
        <v>946</v>
      </c>
      <c r="NJ153" t="s">
        <v>2533</v>
      </c>
      <c r="NR153" t="s">
        <v>536</v>
      </c>
      <c r="NS153" s="146" t="s">
        <v>518</v>
      </c>
      <c r="NT153" s="86">
        <v>94245</v>
      </c>
      <c r="NU153" t="s">
        <v>480</v>
      </c>
      <c r="OJ153" t="s">
        <v>2534</v>
      </c>
      <c r="OL153" t="s">
        <v>2543</v>
      </c>
      <c r="OQ153" t="s">
        <v>522</v>
      </c>
      <c r="OR153" s="50">
        <v>46134</v>
      </c>
    </row>
    <row r="154" spans="1:413" ht="15.75" thickBot="1">
      <c r="A154" t="s">
        <v>469</v>
      </c>
      <c r="B154" t="s">
        <v>2521</v>
      </c>
      <c r="C154" t="s">
        <v>2522</v>
      </c>
      <c r="D154" t="s">
        <v>472</v>
      </c>
      <c r="H154" t="s">
        <v>1049</v>
      </c>
      <c r="I154">
        <v>-6.2750502700000004</v>
      </c>
      <c r="J154">
        <v>34.813145609999999</v>
      </c>
      <c r="K154" t="s">
        <v>1049</v>
      </c>
      <c r="AV154" t="s">
        <v>2523</v>
      </c>
      <c r="AW154">
        <v>0.12</v>
      </c>
      <c r="AX154">
        <v>20</v>
      </c>
      <c r="AY154" t="s">
        <v>1049</v>
      </c>
      <c r="AZ154" t="s">
        <v>2524</v>
      </c>
      <c r="BA154">
        <v>1993</v>
      </c>
      <c r="BB154">
        <v>1997</v>
      </c>
      <c r="BD154" t="s">
        <v>2536</v>
      </c>
      <c r="BE154" t="s">
        <v>2537</v>
      </c>
      <c r="BF154" t="s">
        <v>536</v>
      </c>
      <c r="BG154" t="s">
        <v>484</v>
      </c>
      <c r="BH154" t="s">
        <v>485</v>
      </c>
      <c r="BI154" t="s">
        <v>2526</v>
      </c>
      <c r="BJ154" t="s">
        <v>1503</v>
      </c>
      <c r="BK154">
        <v>20</v>
      </c>
      <c r="EE154" t="s">
        <v>2538</v>
      </c>
      <c r="EF154" t="s">
        <v>486</v>
      </c>
      <c r="EG154">
        <v>625</v>
      </c>
      <c r="EH154" t="s">
        <v>537</v>
      </c>
      <c r="EI154" t="s">
        <v>2539</v>
      </c>
      <c r="EJ154" t="s">
        <v>486</v>
      </c>
      <c r="EK154">
        <v>625</v>
      </c>
      <c r="EL154" t="s">
        <v>537</v>
      </c>
      <c r="EM154" t="s">
        <v>2540</v>
      </c>
      <c r="EN154" t="s">
        <v>486</v>
      </c>
      <c r="EO154">
        <v>625</v>
      </c>
      <c r="HT154" t="s">
        <v>2527</v>
      </c>
      <c r="IO154" t="s">
        <v>2541</v>
      </c>
      <c r="IP154" t="s">
        <v>695</v>
      </c>
      <c r="IS154" t="s">
        <v>1049</v>
      </c>
      <c r="IT154" t="s">
        <v>1049</v>
      </c>
      <c r="IU154" t="s">
        <v>1049</v>
      </c>
      <c r="IV154" t="s">
        <v>2542</v>
      </c>
      <c r="IW154" s="2"/>
      <c r="IX154" s="2"/>
      <c r="JA154">
        <v>4.25</v>
      </c>
      <c r="JE154">
        <v>9.1</v>
      </c>
      <c r="JF154">
        <v>6.84</v>
      </c>
      <c r="JG154">
        <v>13.46</v>
      </c>
      <c r="JJ154" t="s">
        <v>1078</v>
      </c>
      <c r="JK154" t="s">
        <v>1049</v>
      </c>
      <c r="JM154" t="s">
        <v>495</v>
      </c>
      <c r="JN154" t="s">
        <v>2529</v>
      </c>
      <c r="JO154" s="2" t="s">
        <v>2530</v>
      </c>
      <c r="JP154">
        <v>4</v>
      </c>
      <c r="MU154" s="163"/>
      <c r="MV154" s="163"/>
      <c r="MW154" t="s">
        <v>2544</v>
      </c>
      <c r="MX154" s="2"/>
      <c r="MY154" s="2" t="s">
        <v>548</v>
      </c>
      <c r="MZ154" s="2" t="s">
        <v>1162</v>
      </c>
      <c r="NA154" s="2"/>
      <c r="NB154" s="2"/>
      <c r="NC154" s="2"/>
      <c r="ND154" s="2"/>
      <c r="NE154" s="2"/>
      <c r="NF154" s="2"/>
      <c r="NG154" t="s">
        <v>2532</v>
      </c>
      <c r="NH154" t="s">
        <v>2545</v>
      </c>
      <c r="NI154" t="s">
        <v>946</v>
      </c>
      <c r="NJ154" t="s">
        <v>2533</v>
      </c>
      <c r="NS154" s="146" t="s">
        <v>518</v>
      </c>
      <c r="NT154" s="86">
        <v>66865</v>
      </c>
      <c r="NU154" t="s">
        <v>480</v>
      </c>
      <c r="NY154">
        <v>60</v>
      </c>
      <c r="OJ154" t="s">
        <v>2534</v>
      </c>
      <c r="OL154" t="s">
        <v>2543</v>
      </c>
      <c r="OQ154" t="s">
        <v>522</v>
      </c>
      <c r="OR154" s="50">
        <v>46134</v>
      </c>
    </row>
    <row r="155" spans="1:413" ht="15.75" thickBot="1">
      <c r="A155" t="s">
        <v>469</v>
      </c>
      <c r="B155" t="s">
        <v>2521</v>
      </c>
      <c r="C155" t="s">
        <v>2522</v>
      </c>
      <c r="H155" t="s">
        <v>1049</v>
      </c>
      <c r="I155">
        <v>-6.2750502700000004</v>
      </c>
      <c r="J155">
        <v>34.813145609999999</v>
      </c>
      <c r="K155" t="s">
        <v>1049</v>
      </c>
      <c r="AV155" t="s">
        <v>2523</v>
      </c>
      <c r="AX155">
        <v>20</v>
      </c>
      <c r="AY155" t="s">
        <v>1049</v>
      </c>
      <c r="AZ155" t="s">
        <v>2524</v>
      </c>
      <c r="BA155">
        <v>1993</v>
      </c>
      <c r="BB155">
        <v>1997</v>
      </c>
      <c r="BD155" t="s">
        <v>492</v>
      </c>
      <c r="BE155" t="s">
        <v>2525</v>
      </c>
      <c r="BF155" t="s">
        <v>524</v>
      </c>
      <c r="BG155" t="s">
        <v>484</v>
      </c>
      <c r="BH155" t="s">
        <v>485</v>
      </c>
      <c r="BI155" t="s">
        <v>2526</v>
      </c>
      <c r="BJ155" t="s">
        <v>1503</v>
      </c>
      <c r="BK155">
        <v>20</v>
      </c>
      <c r="HT155" t="s">
        <v>2527</v>
      </c>
      <c r="IO155" t="s">
        <v>2528</v>
      </c>
      <c r="IP155" t="s">
        <v>703</v>
      </c>
      <c r="IS155" t="s">
        <v>1049</v>
      </c>
      <c r="IT155" t="s">
        <v>1049</v>
      </c>
      <c r="IU155" t="s">
        <v>1049</v>
      </c>
      <c r="IW155" s="2"/>
      <c r="IX155" s="2"/>
      <c r="JJ155" t="s">
        <v>1078</v>
      </c>
      <c r="JK155" t="s">
        <v>1049</v>
      </c>
      <c r="JM155" t="s">
        <v>495</v>
      </c>
      <c r="JN155" t="s">
        <v>2529</v>
      </c>
      <c r="JO155" s="2" t="s">
        <v>2530</v>
      </c>
      <c r="JP155">
        <v>4</v>
      </c>
      <c r="MU155" s="163"/>
      <c r="MV155" s="163"/>
      <c r="MW155" t="s">
        <v>2546</v>
      </c>
      <c r="MX155" s="2"/>
      <c r="MY155" s="2"/>
      <c r="MZ155" s="2"/>
      <c r="NA155" s="2"/>
      <c r="NB155" s="2"/>
      <c r="NC155" s="2"/>
      <c r="ND155" s="2"/>
      <c r="NE155" s="2"/>
      <c r="NF155" s="2"/>
      <c r="NG155" t="s">
        <v>2532</v>
      </c>
      <c r="NH155" t="s">
        <v>2546</v>
      </c>
      <c r="NI155" t="s">
        <v>946</v>
      </c>
      <c r="NJ155" t="s">
        <v>2533</v>
      </c>
      <c r="NR155" t="s">
        <v>536</v>
      </c>
      <c r="NS155" s="146" t="s">
        <v>518</v>
      </c>
      <c r="NT155" s="86">
        <v>0</v>
      </c>
      <c r="NU155" t="s">
        <v>480</v>
      </c>
      <c r="OJ155" t="s">
        <v>2534</v>
      </c>
      <c r="OL155" t="s">
        <v>2547</v>
      </c>
      <c r="OQ155" t="s">
        <v>522</v>
      </c>
      <c r="OR155" s="50">
        <v>46134</v>
      </c>
    </row>
    <row r="156" spans="1:413" ht="15.75" thickBot="1">
      <c r="A156" t="s">
        <v>469</v>
      </c>
      <c r="B156" t="s">
        <v>2521</v>
      </c>
      <c r="C156" t="s">
        <v>2522</v>
      </c>
      <c r="D156" t="s">
        <v>472</v>
      </c>
      <c r="H156" t="s">
        <v>1049</v>
      </c>
      <c r="I156">
        <v>-6.2750502700000004</v>
      </c>
      <c r="J156">
        <v>34.813145609999999</v>
      </c>
      <c r="K156" t="s">
        <v>1049</v>
      </c>
      <c r="AV156" t="s">
        <v>2523</v>
      </c>
      <c r="AW156">
        <v>0.12</v>
      </c>
      <c r="AX156">
        <v>20</v>
      </c>
      <c r="AY156" t="s">
        <v>1049</v>
      </c>
      <c r="AZ156" t="s">
        <v>2524</v>
      </c>
      <c r="BA156">
        <v>1993</v>
      </c>
      <c r="BB156">
        <v>1997</v>
      </c>
      <c r="BD156" t="s">
        <v>2536</v>
      </c>
      <c r="BE156" t="s">
        <v>2537</v>
      </c>
      <c r="BF156" t="s">
        <v>536</v>
      </c>
      <c r="BG156" t="s">
        <v>484</v>
      </c>
      <c r="BH156" t="s">
        <v>485</v>
      </c>
      <c r="BI156" t="s">
        <v>2526</v>
      </c>
      <c r="BJ156" t="s">
        <v>1503</v>
      </c>
      <c r="BK156">
        <v>20</v>
      </c>
      <c r="EE156" t="s">
        <v>2538</v>
      </c>
      <c r="EF156" t="s">
        <v>486</v>
      </c>
      <c r="EG156">
        <v>625</v>
      </c>
      <c r="EH156" t="s">
        <v>537</v>
      </c>
      <c r="EI156" t="s">
        <v>2539</v>
      </c>
      <c r="EJ156" t="s">
        <v>486</v>
      </c>
      <c r="EK156">
        <v>625</v>
      </c>
      <c r="EL156" t="s">
        <v>537</v>
      </c>
      <c r="EM156" t="s">
        <v>2540</v>
      </c>
      <c r="EN156" t="s">
        <v>486</v>
      </c>
      <c r="EO156">
        <v>625</v>
      </c>
      <c r="HT156" t="s">
        <v>2527</v>
      </c>
      <c r="IO156" t="s">
        <v>2541</v>
      </c>
      <c r="IP156" t="s">
        <v>695</v>
      </c>
      <c r="IS156" t="s">
        <v>1049</v>
      </c>
      <c r="IT156" t="s">
        <v>1049</v>
      </c>
      <c r="IU156" t="s">
        <v>1049</v>
      </c>
      <c r="IV156" t="s">
        <v>2542</v>
      </c>
      <c r="IW156" s="2"/>
      <c r="IX156" s="2"/>
      <c r="JA156">
        <v>4.25</v>
      </c>
      <c r="JE156">
        <v>9.1</v>
      </c>
      <c r="JF156">
        <v>6.84</v>
      </c>
      <c r="JG156">
        <v>13.46</v>
      </c>
      <c r="JJ156" t="s">
        <v>1078</v>
      </c>
      <c r="JK156" t="s">
        <v>1049</v>
      </c>
      <c r="JM156" t="s">
        <v>495</v>
      </c>
      <c r="JN156" t="s">
        <v>2529</v>
      </c>
      <c r="JO156" s="2" t="s">
        <v>2530</v>
      </c>
      <c r="JP156">
        <v>4</v>
      </c>
      <c r="MU156" s="163"/>
      <c r="MV156" s="163"/>
      <c r="MW156" t="s">
        <v>2548</v>
      </c>
      <c r="MX156" s="2"/>
      <c r="MY156" s="2" t="s">
        <v>1162</v>
      </c>
      <c r="NA156" s="2"/>
      <c r="NB156" s="2"/>
      <c r="NC156" s="2"/>
      <c r="ND156" s="2"/>
      <c r="NE156" s="2"/>
      <c r="NF156" s="2"/>
      <c r="NG156" t="s">
        <v>2532</v>
      </c>
      <c r="NH156" t="s">
        <v>2548</v>
      </c>
      <c r="NI156" t="s">
        <v>946</v>
      </c>
      <c r="NJ156" t="s">
        <v>2533</v>
      </c>
      <c r="NS156" s="146" t="s">
        <v>518</v>
      </c>
      <c r="NT156" s="86">
        <v>479936</v>
      </c>
      <c r="NU156" t="s">
        <v>480</v>
      </c>
      <c r="NY156">
        <v>60</v>
      </c>
      <c r="OJ156" t="s">
        <v>2534</v>
      </c>
      <c r="OL156" t="s">
        <v>2547</v>
      </c>
      <c r="OQ156" t="s">
        <v>522</v>
      </c>
      <c r="OR156" s="50">
        <v>46134</v>
      </c>
    </row>
    <row r="157" spans="1:413" ht="15.75" thickBot="1">
      <c r="A157" t="s">
        <v>469</v>
      </c>
      <c r="B157" t="s">
        <v>2521</v>
      </c>
      <c r="C157" t="s">
        <v>2522</v>
      </c>
      <c r="H157" t="s">
        <v>1049</v>
      </c>
      <c r="I157">
        <v>-6.2750502700000004</v>
      </c>
      <c r="J157">
        <v>34.813145609999999</v>
      </c>
      <c r="K157" t="s">
        <v>1049</v>
      </c>
      <c r="AV157" t="s">
        <v>2523</v>
      </c>
      <c r="AX157">
        <v>20</v>
      </c>
      <c r="AY157" t="s">
        <v>1049</v>
      </c>
      <c r="AZ157" t="s">
        <v>2524</v>
      </c>
      <c r="BA157">
        <v>1993</v>
      </c>
      <c r="BB157">
        <v>1997</v>
      </c>
      <c r="BD157" t="s">
        <v>492</v>
      </c>
      <c r="BE157" t="s">
        <v>2525</v>
      </c>
      <c r="BF157" t="s">
        <v>524</v>
      </c>
      <c r="BG157" t="s">
        <v>484</v>
      </c>
      <c r="BH157" t="s">
        <v>485</v>
      </c>
      <c r="BI157" t="s">
        <v>2526</v>
      </c>
      <c r="BJ157" t="s">
        <v>1503</v>
      </c>
      <c r="BK157">
        <v>25</v>
      </c>
      <c r="IO157" t="s">
        <v>2528</v>
      </c>
      <c r="IP157" t="s">
        <v>703</v>
      </c>
      <c r="IS157" t="s">
        <v>1049</v>
      </c>
      <c r="IT157" t="s">
        <v>1049</v>
      </c>
      <c r="IU157" t="s">
        <v>1049</v>
      </c>
      <c r="IW157" s="2"/>
      <c r="IX157" s="2"/>
      <c r="JJ157" t="s">
        <v>1078</v>
      </c>
      <c r="JK157" t="s">
        <v>1049</v>
      </c>
      <c r="JM157" t="s">
        <v>495</v>
      </c>
      <c r="JN157" t="s">
        <v>2529</v>
      </c>
      <c r="JO157" s="2" t="s">
        <v>2530</v>
      </c>
      <c r="JP157">
        <v>4</v>
      </c>
      <c r="MU157" s="163"/>
      <c r="MV157" s="163"/>
      <c r="MX157" s="2"/>
      <c r="MY157" s="2"/>
      <c r="MZ157" s="2"/>
      <c r="NA157" s="2"/>
      <c r="NB157" s="2"/>
      <c r="NC157" s="2"/>
      <c r="ND157" s="2"/>
      <c r="NE157" s="2"/>
      <c r="NF157" s="163" t="s">
        <v>2549</v>
      </c>
      <c r="NG157" t="s">
        <v>2550</v>
      </c>
      <c r="NI157" t="s">
        <v>625</v>
      </c>
      <c r="NJ157" t="s">
        <v>2533</v>
      </c>
      <c r="NR157" t="s">
        <v>536</v>
      </c>
      <c r="NS157" s="146" t="s">
        <v>518</v>
      </c>
      <c r="NT157" s="153">
        <v>19600</v>
      </c>
      <c r="NU157" t="s">
        <v>480</v>
      </c>
      <c r="OJ157" t="s">
        <v>2534</v>
      </c>
      <c r="OL157" t="s">
        <v>2535</v>
      </c>
      <c r="OQ157" t="s">
        <v>522</v>
      </c>
      <c r="OR157" s="50">
        <v>46134</v>
      </c>
    </row>
    <row r="158" spans="1:413" ht="15.75" thickBot="1">
      <c r="A158" t="s">
        <v>469</v>
      </c>
      <c r="B158" t="s">
        <v>2521</v>
      </c>
      <c r="C158" t="s">
        <v>2522</v>
      </c>
      <c r="D158" t="s">
        <v>472</v>
      </c>
      <c r="H158" t="s">
        <v>1049</v>
      </c>
      <c r="I158">
        <v>-6.2750502700000004</v>
      </c>
      <c r="J158">
        <v>34.813145609999999</v>
      </c>
      <c r="K158" t="s">
        <v>1049</v>
      </c>
      <c r="AV158" t="s">
        <v>2523</v>
      </c>
      <c r="AW158">
        <v>0.12</v>
      </c>
      <c r="AX158">
        <v>20</v>
      </c>
      <c r="AY158" t="s">
        <v>1049</v>
      </c>
      <c r="AZ158" t="s">
        <v>2524</v>
      </c>
      <c r="BA158">
        <v>1993</v>
      </c>
      <c r="BB158">
        <v>1997</v>
      </c>
      <c r="BD158" t="s">
        <v>2536</v>
      </c>
      <c r="BE158" t="s">
        <v>2537</v>
      </c>
      <c r="BF158" t="s">
        <v>536</v>
      </c>
      <c r="BG158" t="s">
        <v>484</v>
      </c>
      <c r="BH158" t="s">
        <v>485</v>
      </c>
      <c r="BI158" t="s">
        <v>2526</v>
      </c>
      <c r="BJ158" t="s">
        <v>1503</v>
      </c>
      <c r="BK158">
        <v>25</v>
      </c>
      <c r="EE158" t="s">
        <v>2538</v>
      </c>
      <c r="EF158" t="s">
        <v>486</v>
      </c>
      <c r="EG158">
        <v>625</v>
      </c>
      <c r="EH158" t="s">
        <v>537</v>
      </c>
      <c r="EI158" t="s">
        <v>2539</v>
      </c>
      <c r="EJ158" t="s">
        <v>486</v>
      </c>
      <c r="EK158">
        <v>625</v>
      </c>
      <c r="EL158" t="s">
        <v>537</v>
      </c>
      <c r="EM158" t="s">
        <v>2540</v>
      </c>
      <c r="EN158" t="s">
        <v>486</v>
      </c>
      <c r="EO158">
        <v>625</v>
      </c>
      <c r="IO158" t="s">
        <v>2541</v>
      </c>
      <c r="IP158" t="s">
        <v>695</v>
      </c>
      <c r="IS158" t="s">
        <v>1049</v>
      </c>
      <c r="IT158" t="s">
        <v>1049</v>
      </c>
      <c r="IU158" t="s">
        <v>1049</v>
      </c>
      <c r="IV158" t="s">
        <v>2542</v>
      </c>
      <c r="IW158" s="2"/>
      <c r="IX158" s="2"/>
      <c r="JA158">
        <v>4.25</v>
      </c>
      <c r="JE158">
        <v>9.1</v>
      </c>
      <c r="JF158">
        <v>6.84</v>
      </c>
      <c r="JG158">
        <v>13.46</v>
      </c>
      <c r="JJ158" t="s">
        <v>1078</v>
      </c>
      <c r="JK158" t="s">
        <v>1049</v>
      </c>
      <c r="JM158" t="s">
        <v>495</v>
      </c>
      <c r="JN158" t="s">
        <v>2529</v>
      </c>
      <c r="JO158" s="2" t="s">
        <v>2530</v>
      </c>
      <c r="JP158">
        <v>4</v>
      </c>
      <c r="MU158" s="163"/>
      <c r="MV158" s="163"/>
      <c r="MX158" s="2"/>
      <c r="MY158" s="2"/>
      <c r="MZ158" s="2"/>
      <c r="NA158" s="2"/>
      <c r="NB158" s="2"/>
      <c r="NC158" s="2"/>
      <c r="ND158" s="2"/>
      <c r="NE158" s="2"/>
      <c r="NF158" s="163" t="s">
        <v>2551</v>
      </c>
      <c r="NG158" t="s">
        <v>2550</v>
      </c>
      <c r="NI158" t="s">
        <v>625</v>
      </c>
      <c r="NJ158" t="s">
        <v>2533</v>
      </c>
      <c r="NS158" s="146" t="s">
        <v>518</v>
      </c>
      <c r="NT158" s="153">
        <v>22686</v>
      </c>
      <c r="NU158" t="s">
        <v>480</v>
      </c>
      <c r="OJ158" t="s">
        <v>2534</v>
      </c>
      <c r="OL158" t="s">
        <v>2535</v>
      </c>
      <c r="OQ158" t="s">
        <v>522</v>
      </c>
      <c r="OR158" s="50">
        <v>46134</v>
      </c>
    </row>
    <row r="159" spans="1:413" ht="15.75" thickBot="1">
      <c r="A159" t="s">
        <v>469</v>
      </c>
      <c r="B159" t="s">
        <v>2521</v>
      </c>
      <c r="C159" t="s">
        <v>2522</v>
      </c>
      <c r="H159" t="s">
        <v>1049</v>
      </c>
      <c r="I159">
        <v>-6.2750502700000004</v>
      </c>
      <c r="J159">
        <v>34.813145609999999</v>
      </c>
      <c r="K159" t="s">
        <v>1049</v>
      </c>
      <c r="AV159" t="s">
        <v>2523</v>
      </c>
      <c r="AX159">
        <v>20</v>
      </c>
      <c r="AY159" t="s">
        <v>1049</v>
      </c>
      <c r="AZ159" t="s">
        <v>2524</v>
      </c>
      <c r="BA159">
        <v>1993</v>
      </c>
      <c r="BB159">
        <v>1997</v>
      </c>
      <c r="BD159" t="s">
        <v>492</v>
      </c>
      <c r="BE159" t="s">
        <v>2525</v>
      </c>
      <c r="BF159" t="s">
        <v>524</v>
      </c>
      <c r="BG159" t="s">
        <v>484</v>
      </c>
      <c r="BH159" t="s">
        <v>485</v>
      </c>
      <c r="BI159" t="s">
        <v>2526</v>
      </c>
      <c r="BJ159" t="s">
        <v>1503</v>
      </c>
      <c r="BK159">
        <v>20</v>
      </c>
      <c r="IO159" t="s">
        <v>2528</v>
      </c>
      <c r="IP159" t="s">
        <v>703</v>
      </c>
      <c r="IS159" t="s">
        <v>1049</v>
      </c>
      <c r="IT159" t="s">
        <v>1049</v>
      </c>
      <c r="IU159" t="s">
        <v>1049</v>
      </c>
      <c r="IW159" s="2"/>
      <c r="IX159" s="2"/>
      <c r="JJ159" t="s">
        <v>1078</v>
      </c>
      <c r="JK159" t="s">
        <v>1049</v>
      </c>
      <c r="JM159" t="s">
        <v>495</v>
      </c>
      <c r="JN159" t="s">
        <v>2529</v>
      </c>
      <c r="JO159" s="2" t="s">
        <v>2530</v>
      </c>
      <c r="JP159">
        <v>4</v>
      </c>
      <c r="MU159" s="163"/>
      <c r="MV159" s="163"/>
      <c r="MX159" s="2"/>
      <c r="MY159" s="2"/>
      <c r="MZ159" s="2"/>
      <c r="NA159" s="2"/>
      <c r="NB159" s="2"/>
      <c r="NC159" s="2"/>
      <c r="ND159" s="2"/>
      <c r="NE159" s="2"/>
      <c r="NF159" s="163"/>
      <c r="NG159" t="s">
        <v>2550</v>
      </c>
      <c r="NI159" t="s">
        <v>625</v>
      </c>
      <c r="NJ159" t="s">
        <v>2533</v>
      </c>
      <c r="NR159" t="s">
        <v>536</v>
      </c>
      <c r="NS159" s="146" t="s">
        <v>518</v>
      </c>
      <c r="NT159" s="153">
        <v>19600</v>
      </c>
      <c r="NU159" t="s">
        <v>480</v>
      </c>
      <c r="OJ159" t="s">
        <v>2534</v>
      </c>
      <c r="OL159" t="s">
        <v>2543</v>
      </c>
      <c r="OQ159" t="s">
        <v>522</v>
      </c>
      <c r="OR159" s="50">
        <v>46134</v>
      </c>
    </row>
    <row r="160" spans="1:413" ht="15.75" thickBot="1">
      <c r="A160" t="s">
        <v>469</v>
      </c>
      <c r="B160" t="s">
        <v>2521</v>
      </c>
      <c r="C160" t="s">
        <v>2522</v>
      </c>
      <c r="D160" t="s">
        <v>472</v>
      </c>
      <c r="H160" t="s">
        <v>1049</v>
      </c>
      <c r="I160">
        <v>-6.2750502700000004</v>
      </c>
      <c r="J160">
        <v>34.813145609999999</v>
      </c>
      <c r="K160" t="s">
        <v>1049</v>
      </c>
      <c r="AV160" t="s">
        <v>2523</v>
      </c>
      <c r="AW160">
        <v>0.12</v>
      </c>
      <c r="AX160">
        <v>20</v>
      </c>
      <c r="AY160" t="s">
        <v>1049</v>
      </c>
      <c r="AZ160" t="s">
        <v>2524</v>
      </c>
      <c r="BA160">
        <v>1993</v>
      </c>
      <c r="BB160">
        <v>1997</v>
      </c>
      <c r="BD160" t="s">
        <v>2536</v>
      </c>
      <c r="BE160" t="s">
        <v>2537</v>
      </c>
      <c r="BF160" t="s">
        <v>536</v>
      </c>
      <c r="BG160" t="s">
        <v>484</v>
      </c>
      <c r="BH160" t="s">
        <v>485</v>
      </c>
      <c r="BI160" t="s">
        <v>2526</v>
      </c>
      <c r="BJ160" t="s">
        <v>1503</v>
      </c>
      <c r="BK160">
        <v>20</v>
      </c>
      <c r="EE160" t="s">
        <v>2538</v>
      </c>
      <c r="EF160" t="s">
        <v>486</v>
      </c>
      <c r="EG160">
        <v>625</v>
      </c>
      <c r="EH160" t="s">
        <v>537</v>
      </c>
      <c r="EI160" t="s">
        <v>2539</v>
      </c>
      <c r="EJ160" t="s">
        <v>486</v>
      </c>
      <c r="EK160">
        <v>625</v>
      </c>
      <c r="EL160" t="s">
        <v>537</v>
      </c>
      <c r="EM160" t="s">
        <v>2540</v>
      </c>
      <c r="EN160" t="s">
        <v>486</v>
      </c>
      <c r="EO160">
        <v>625</v>
      </c>
      <c r="IO160" t="s">
        <v>2541</v>
      </c>
      <c r="IP160" t="s">
        <v>695</v>
      </c>
      <c r="IS160" t="s">
        <v>1049</v>
      </c>
      <c r="IT160" t="s">
        <v>1049</v>
      </c>
      <c r="IU160" t="s">
        <v>1049</v>
      </c>
      <c r="IV160" t="s">
        <v>2542</v>
      </c>
      <c r="IW160" s="2"/>
      <c r="IX160" s="2"/>
      <c r="JA160">
        <v>4.25</v>
      </c>
      <c r="JE160">
        <v>9.1</v>
      </c>
      <c r="JF160">
        <v>6.84</v>
      </c>
      <c r="JG160">
        <v>13.46</v>
      </c>
      <c r="JJ160" t="s">
        <v>1078</v>
      </c>
      <c r="JK160" t="s">
        <v>1049</v>
      </c>
      <c r="JM160" t="s">
        <v>495</v>
      </c>
      <c r="JN160" t="s">
        <v>2529</v>
      </c>
      <c r="JO160" s="2" t="s">
        <v>2530</v>
      </c>
      <c r="JP160">
        <v>4</v>
      </c>
      <c r="MU160" s="163"/>
      <c r="MV160" s="163"/>
      <c r="MX160" s="2"/>
      <c r="MY160" s="2"/>
      <c r="MZ160" s="2"/>
      <c r="NA160" s="2"/>
      <c r="NB160" s="2"/>
      <c r="NC160" s="2"/>
      <c r="ND160" s="2"/>
      <c r="NE160" s="2"/>
      <c r="NF160" s="163"/>
      <c r="NG160" t="s">
        <v>2550</v>
      </c>
      <c r="NI160" t="s">
        <v>625</v>
      </c>
      <c r="NJ160" t="s">
        <v>2533</v>
      </c>
      <c r="NS160" s="146" t="s">
        <v>518</v>
      </c>
      <c r="NT160" s="153">
        <v>20608</v>
      </c>
      <c r="NU160" t="s">
        <v>480</v>
      </c>
      <c r="OJ160" t="s">
        <v>2534</v>
      </c>
      <c r="OL160" t="s">
        <v>2543</v>
      </c>
      <c r="OQ160" t="s">
        <v>522</v>
      </c>
      <c r="OR160" s="50">
        <v>46134</v>
      </c>
    </row>
    <row r="161" spans="1:424" ht="15.75" thickBot="1">
      <c r="A161" t="s">
        <v>469</v>
      </c>
      <c r="B161" t="s">
        <v>2521</v>
      </c>
      <c r="C161" t="s">
        <v>2522</v>
      </c>
      <c r="H161" t="s">
        <v>1049</v>
      </c>
      <c r="I161">
        <v>-6.2750502700000004</v>
      </c>
      <c r="J161">
        <v>34.813145609999999</v>
      </c>
      <c r="K161" t="s">
        <v>1049</v>
      </c>
      <c r="AV161" t="s">
        <v>2523</v>
      </c>
      <c r="AX161">
        <v>20</v>
      </c>
      <c r="AY161" t="s">
        <v>1049</v>
      </c>
      <c r="AZ161" t="s">
        <v>2524</v>
      </c>
      <c r="BA161">
        <v>1993</v>
      </c>
      <c r="BB161">
        <v>1997</v>
      </c>
      <c r="BD161" t="s">
        <v>492</v>
      </c>
      <c r="BE161" t="s">
        <v>2525</v>
      </c>
      <c r="BF161" t="s">
        <v>524</v>
      </c>
      <c r="BG161" t="s">
        <v>484</v>
      </c>
      <c r="BH161" t="s">
        <v>485</v>
      </c>
      <c r="BI161" t="s">
        <v>2526</v>
      </c>
      <c r="BJ161" t="s">
        <v>1503</v>
      </c>
      <c r="BK161">
        <v>20</v>
      </c>
      <c r="IO161" t="s">
        <v>2528</v>
      </c>
      <c r="IP161" t="s">
        <v>703</v>
      </c>
      <c r="IS161" t="s">
        <v>1049</v>
      </c>
      <c r="IT161" t="s">
        <v>1049</v>
      </c>
      <c r="IU161" t="s">
        <v>1049</v>
      </c>
      <c r="IW161" s="2"/>
      <c r="IX161" s="2"/>
      <c r="JJ161" t="s">
        <v>1078</v>
      </c>
      <c r="JK161" t="s">
        <v>1049</v>
      </c>
      <c r="JM161" t="s">
        <v>495</v>
      </c>
      <c r="JN161" t="s">
        <v>2529</v>
      </c>
      <c r="JO161" s="2" t="s">
        <v>2530</v>
      </c>
      <c r="JP161">
        <v>4</v>
      </c>
      <c r="MU161" s="163"/>
      <c r="MV161" s="163"/>
      <c r="MX161" s="2"/>
      <c r="MY161" s="2"/>
      <c r="MZ161" s="2"/>
      <c r="NA161" s="2"/>
      <c r="NB161" s="2"/>
      <c r="NC161" s="2"/>
      <c r="ND161" s="2"/>
      <c r="NE161" s="2"/>
      <c r="NF161" s="163"/>
      <c r="NG161" t="s">
        <v>2550</v>
      </c>
      <c r="NI161" t="s">
        <v>625</v>
      </c>
      <c r="NJ161" t="s">
        <v>2533</v>
      </c>
      <c r="NR161" t="s">
        <v>536</v>
      </c>
      <c r="NS161" s="146" t="s">
        <v>518</v>
      </c>
      <c r="NT161" s="153">
        <v>0</v>
      </c>
      <c r="NU161" t="s">
        <v>480</v>
      </c>
      <c r="OJ161" t="s">
        <v>2534</v>
      </c>
      <c r="OL161" t="s">
        <v>2547</v>
      </c>
      <c r="OQ161" t="s">
        <v>522</v>
      </c>
      <c r="OR161" s="50">
        <v>46134</v>
      </c>
    </row>
    <row r="162" spans="1:424" ht="15.75" thickBot="1">
      <c r="A162" t="s">
        <v>469</v>
      </c>
      <c r="B162" t="s">
        <v>2521</v>
      </c>
      <c r="C162" t="s">
        <v>2522</v>
      </c>
      <c r="D162" t="s">
        <v>472</v>
      </c>
      <c r="H162" t="s">
        <v>1049</v>
      </c>
      <c r="I162">
        <v>-6.2750502700000004</v>
      </c>
      <c r="J162">
        <v>34.813145609999999</v>
      </c>
      <c r="K162" t="s">
        <v>1049</v>
      </c>
      <c r="AV162" t="s">
        <v>2523</v>
      </c>
      <c r="AW162">
        <v>0.12</v>
      </c>
      <c r="AX162">
        <v>20</v>
      </c>
      <c r="AY162" t="s">
        <v>1049</v>
      </c>
      <c r="AZ162" t="s">
        <v>2524</v>
      </c>
      <c r="BA162">
        <v>1993</v>
      </c>
      <c r="BB162">
        <v>1997</v>
      </c>
      <c r="BD162" t="s">
        <v>2536</v>
      </c>
      <c r="BE162" t="s">
        <v>2537</v>
      </c>
      <c r="BF162" t="s">
        <v>536</v>
      </c>
      <c r="BG162" t="s">
        <v>484</v>
      </c>
      <c r="BH162" t="s">
        <v>485</v>
      </c>
      <c r="BI162" t="s">
        <v>2526</v>
      </c>
      <c r="BJ162" t="s">
        <v>1503</v>
      </c>
      <c r="BK162">
        <v>20</v>
      </c>
      <c r="EE162" t="s">
        <v>2538</v>
      </c>
      <c r="EF162" t="s">
        <v>486</v>
      </c>
      <c r="EG162">
        <v>625</v>
      </c>
      <c r="EH162" t="s">
        <v>537</v>
      </c>
      <c r="EI162" t="s">
        <v>2539</v>
      </c>
      <c r="EJ162" t="s">
        <v>486</v>
      </c>
      <c r="EK162">
        <v>625</v>
      </c>
      <c r="EL162" t="s">
        <v>537</v>
      </c>
      <c r="EM162" t="s">
        <v>2540</v>
      </c>
      <c r="EN162" t="s">
        <v>486</v>
      </c>
      <c r="EO162">
        <v>625</v>
      </c>
      <c r="IO162" t="s">
        <v>2541</v>
      </c>
      <c r="IP162" t="s">
        <v>695</v>
      </c>
      <c r="IS162" t="s">
        <v>1049</v>
      </c>
      <c r="IT162" t="s">
        <v>1049</v>
      </c>
      <c r="IU162" t="s">
        <v>1049</v>
      </c>
      <c r="IV162" t="s">
        <v>2542</v>
      </c>
      <c r="IW162" s="2"/>
      <c r="IX162" s="2"/>
      <c r="JA162">
        <v>4.25</v>
      </c>
      <c r="JE162">
        <v>9.1</v>
      </c>
      <c r="JF162">
        <v>6.84</v>
      </c>
      <c r="JG162">
        <v>13.46</v>
      </c>
      <c r="JJ162" t="s">
        <v>1078</v>
      </c>
      <c r="JK162" t="s">
        <v>1049</v>
      </c>
      <c r="JM162" t="s">
        <v>495</v>
      </c>
      <c r="JN162" t="s">
        <v>2529</v>
      </c>
      <c r="JO162" s="2" t="s">
        <v>2530</v>
      </c>
      <c r="JP162">
        <v>4</v>
      </c>
      <c r="MU162" s="163"/>
      <c r="MV162" s="163"/>
      <c r="MX162" s="2"/>
      <c r="MY162" s="2"/>
      <c r="NA162" s="2"/>
      <c r="NB162" s="2"/>
      <c r="NC162" s="2"/>
      <c r="ND162" s="2"/>
      <c r="NE162" s="2"/>
      <c r="NF162" s="163"/>
      <c r="NG162" t="s">
        <v>2550</v>
      </c>
      <c r="NI162" t="s">
        <v>625</v>
      </c>
      <c r="NJ162" t="s">
        <v>2533</v>
      </c>
      <c r="NS162" s="146" t="s">
        <v>518</v>
      </c>
      <c r="NT162" s="153">
        <v>55417</v>
      </c>
      <c r="NU162" t="s">
        <v>480</v>
      </c>
      <c r="OJ162" t="s">
        <v>2534</v>
      </c>
      <c r="OL162" t="s">
        <v>2547</v>
      </c>
      <c r="OQ162" t="s">
        <v>522</v>
      </c>
      <c r="OR162" s="50">
        <v>46134</v>
      </c>
    </row>
    <row r="163" spans="1:424" s="112" customFormat="1" ht="75.75" thickBot="1">
      <c r="A163" s="121" t="s">
        <v>0</v>
      </c>
      <c r="B163" s="112" t="s">
        <v>1</v>
      </c>
      <c r="C163" s="113" t="s">
        <v>2</v>
      </c>
      <c r="D163" s="113" t="s">
        <v>3</v>
      </c>
      <c r="E163" s="113" t="s">
        <v>4</v>
      </c>
      <c r="F163" s="113" t="s">
        <v>5</v>
      </c>
      <c r="G163" s="113" t="s">
        <v>6</v>
      </c>
      <c r="H163" s="113" t="s">
        <v>7</v>
      </c>
      <c r="I163" s="113" t="s">
        <v>8</v>
      </c>
      <c r="J163" s="113" t="s">
        <v>9</v>
      </c>
      <c r="K163" s="113" t="s">
        <v>10</v>
      </c>
      <c r="L163" s="113" t="s">
        <v>11</v>
      </c>
      <c r="M163" s="113" t="s">
        <v>12</v>
      </c>
      <c r="N163" s="113" t="s">
        <v>13</v>
      </c>
      <c r="O163" s="113" t="s">
        <v>14</v>
      </c>
      <c r="P163" s="113" t="s">
        <v>15</v>
      </c>
      <c r="Q163" s="113" t="s">
        <v>16</v>
      </c>
      <c r="R163" s="113" t="s">
        <v>17</v>
      </c>
      <c r="S163" s="113" t="s">
        <v>18</v>
      </c>
      <c r="T163" s="113" t="s">
        <v>19</v>
      </c>
      <c r="U163" s="113" t="s">
        <v>20</v>
      </c>
      <c r="V163" s="113" t="s">
        <v>21</v>
      </c>
      <c r="W163" s="113" t="s">
        <v>22</v>
      </c>
      <c r="X163" s="113" t="s">
        <v>23</v>
      </c>
      <c r="Y163" s="113" t="s">
        <v>24</v>
      </c>
      <c r="Z163" s="113" t="s">
        <v>25</v>
      </c>
      <c r="AA163" s="113" t="s">
        <v>26</v>
      </c>
      <c r="AB163" s="113" t="s">
        <v>27</v>
      </c>
      <c r="AC163" s="113" t="s">
        <v>28</v>
      </c>
      <c r="AD163" s="113" t="s">
        <v>29</v>
      </c>
      <c r="AE163" s="113" t="s">
        <v>30</v>
      </c>
      <c r="AF163" s="113" t="s">
        <v>31</v>
      </c>
      <c r="AG163" s="113" t="s">
        <v>32</v>
      </c>
      <c r="AH163" s="113" t="s">
        <v>33</v>
      </c>
      <c r="AI163" s="113" t="s">
        <v>34</v>
      </c>
      <c r="AJ163" s="113" t="s">
        <v>35</v>
      </c>
      <c r="AK163" s="113" t="s">
        <v>36</v>
      </c>
      <c r="AL163" s="113" t="s">
        <v>37</v>
      </c>
      <c r="AM163" s="113" t="s">
        <v>38</v>
      </c>
      <c r="AN163" s="113" t="s">
        <v>39</v>
      </c>
      <c r="AO163" s="113" t="s">
        <v>40</v>
      </c>
      <c r="AP163" s="113" t="s">
        <v>41</v>
      </c>
      <c r="AQ163" s="113" t="s">
        <v>42</v>
      </c>
      <c r="AR163" s="113" t="s">
        <v>43</v>
      </c>
      <c r="AS163" s="113" t="s">
        <v>44</v>
      </c>
      <c r="AT163" s="113" t="s">
        <v>45</v>
      </c>
      <c r="AU163" s="113" t="s">
        <v>46</v>
      </c>
      <c r="AV163" s="114" t="s">
        <v>47</v>
      </c>
      <c r="AW163" s="114" t="s">
        <v>48</v>
      </c>
      <c r="AX163" s="114" t="s">
        <v>49</v>
      </c>
      <c r="AY163" s="114" t="s">
        <v>50</v>
      </c>
      <c r="AZ163" s="115" t="s">
        <v>51</v>
      </c>
      <c r="BA163" s="115" t="s">
        <v>52</v>
      </c>
      <c r="BB163" s="115" t="s">
        <v>53</v>
      </c>
      <c r="BC163" s="115" t="s">
        <v>54</v>
      </c>
      <c r="BD163" s="222" t="s">
        <v>55</v>
      </c>
      <c r="BE163" s="222" t="s">
        <v>56</v>
      </c>
      <c r="BF163" s="222" t="s">
        <v>57</v>
      </c>
      <c r="BG163" s="122" t="s">
        <v>58</v>
      </c>
      <c r="BH163" s="122" t="s">
        <v>59</v>
      </c>
      <c r="BI163" s="122" t="s">
        <v>60</v>
      </c>
      <c r="BJ163" s="122" t="s">
        <v>61</v>
      </c>
      <c r="BK163" s="122" t="s">
        <v>62</v>
      </c>
      <c r="BL163" s="122" t="s">
        <v>63</v>
      </c>
      <c r="BM163" s="122" t="s">
        <v>64</v>
      </c>
      <c r="BN163" s="122" t="s">
        <v>65</v>
      </c>
      <c r="BO163" s="122" t="s">
        <v>66</v>
      </c>
      <c r="BP163" s="122" t="s">
        <v>67</v>
      </c>
      <c r="BQ163" s="122" t="s">
        <v>68</v>
      </c>
      <c r="BR163" s="122" t="s">
        <v>69</v>
      </c>
      <c r="BS163" s="122" t="s">
        <v>70</v>
      </c>
      <c r="BT163" s="122" t="s">
        <v>71</v>
      </c>
      <c r="BU163" s="122" t="s">
        <v>72</v>
      </c>
      <c r="BV163" s="122" t="s">
        <v>73</v>
      </c>
      <c r="BW163" s="122" t="s">
        <v>74</v>
      </c>
      <c r="BX163" s="122" t="s">
        <v>75</v>
      </c>
      <c r="BY163" s="122" t="s">
        <v>76</v>
      </c>
      <c r="BZ163" s="122" t="s">
        <v>77</v>
      </c>
      <c r="CA163" s="122" t="s">
        <v>78</v>
      </c>
      <c r="CB163" s="122" t="s">
        <v>79</v>
      </c>
      <c r="CC163" s="122" t="s">
        <v>80</v>
      </c>
      <c r="CD163" s="122" t="s">
        <v>81</v>
      </c>
      <c r="CE163" s="122" t="s">
        <v>82</v>
      </c>
      <c r="CF163" s="122" t="s">
        <v>83</v>
      </c>
      <c r="CG163" s="122" t="s">
        <v>84</v>
      </c>
      <c r="CH163" s="122" t="s">
        <v>85</v>
      </c>
      <c r="CI163" s="122" t="s">
        <v>86</v>
      </c>
      <c r="CJ163" s="122" t="s">
        <v>87</v>
      </c>
      <c r="CK163" s="122" t="s">
        <v>88</v>
      </c>
      <c r="CL163" s="122" t="s">
        <v>89</v>
      </c>
      <c r="CM163" s="122" t="s">
        <v>90</v>
      </c>
      <c r="CN163" s="122" t="s">
        <v>91</v>
      </c>
      <c r="CO163" s="122" t="s">
        <v>92</v>
      </c>
      <c r="CP163" s="122" t="s">
        <v>93</v>
      </c>
      <c r="CQ163" s="122" t="s">
        <v>94</v>
      </c>
      <c r="CR163" s="122" t="s">
        <v>95</v>
      </c>
      <c r="CS163" s="122" t="s">
        <v>96</v>
      </c>
      <c r="CT163" s="122" t="s">
        <v>97</v>
      </c>
      <c r="CU163" s="122" t="s">
        <v>98</v>
      </c>
      <c r="CV163" s="122" t="s">
        <v>99</v>
      </c>
      <c r="CW163" s="122" t="s">
        <v>100</v>
      </c>
      <c r="CX163" s="122" t="s">
        <v>101</v>
      </c>
      <c r="CY163" s="122" t="s">
        <v>102</v>
      </c>
      <c r="CZ163" s="122" t="s">
        <v>103</v>
      </c>
      <c r="DA163" s="122" t="s">
        <v>104</v>
      </c>
      <c r="DB163" s="122" t="s">
        <v>105</v>
      </c>
      <c r="DC163" s="122" t="s">
        <v>106</v>
      </c>
      <c r="DD163" s="122" t="s">
        <v>107</v>
      </c>
      <c r="DE163" s="122" t="s">
        <v>108</v>
      </c>
      <c r="DF163" s="122" t="s">
        <v>109</v>
      </c>
      <c r="DG163" s="122" t="s">
        <v>110</v>
      </c>
      <c r="DH163" s="122" t="s">
        <v>111</v>
      </c>
      <c r="DI163" s="122" t="s">
        <v>112</v>
      </c>
      <c r="DJ163" s="122" t="s">
        <v>113</v>
      </c>
      <c r="DK163" s="122" t="s">
        <v>114</v>
      </c>
      <c r="DL163" s="122" t="s">
        <v>115</v>
      </c>
      <c r="DM163" s="122" t="s">
        <v>116</v>
      </c>
      <c r="DN163" s="122" t="s">
        <v>117</v>
      </c>
      <c r="DO163" s="122" t="s">
        <v>118</v>
      </c>
      <c r="DP163" s="122" t="s">
        <v>119</v>
      </c>
      <c r="DQ163" s="122" t="s">
        <v>120</v>
      </c>
      <c r="DR163" s="122" t="s">
        <v>121</v>
      </c>
      <c r="DS163" s="122" t="s">
        <v>122</v>
      </c>
      <c r="DT163" s="122" t="s">
        <v>123</v>
      </c>
      <c r="DU163" s="122" t="s">
        <v>124</v>
      </c>
      <c r="DV163" s="122" t="s">
        <v>125</v>
      </c>
      <c r="DW163" s="122" t="s">
        <v>126</v>
      </c>
      <c r="DX163" s="122" t="s">
        <v>127</v>
      </c>
      <c r="DY163" s="122" t="s">
        <v>128</v>
      </c>
      <c r="DZ163" s="122" t="s">
        <v>129</v>
      </c>
      <c r="EA163" s="122" t="s">
        <v>130</v>
      </c>
      <c r="EB163" s="122" t="s">
        <v>131</v>
      </c>
      <c r="EC163" s="122" t="s">
        <v>132</v>
      </c>
      <c r="ED163" s="114" t="s">
        <v>133</v>
      </c>
      <c r="EE163" s="114" t="s">
        <v>134</v>
      </c>
      <c r="EF163" s="114" t="s">
        <v>135</v>
      </c>
      <c r="EG163" s="114" t="s">
        <v>136</v>
      </c>
      <c r="EH163" s="114" t="s">
        <v>137</v>
      </c>
      <c r="EI163" s="114" t="s">
        <v>138</v>
      </c>
      <c r="EJ163" s="114" t="s">
        <v>139</v>
      </c>
      <c r="EK163" s="114" t="s">
        <v>140</v>
      </c>
      <c r="EL163" s="114" t="s">
        <v>141</v>
      </c>
      <c r="EM163" s="114" t="s">
        <v>142</v>
      </c>
      <c r="EN163" s="114" t="s">
        <v>143</v>
      </c>
      <c r="EO163" s="114" t="s">
        <v>144</v>
      </c>
      <c r="EP163" s="114" t="s">
        <v>145</v>
      </c>
      <c r="EQ163" s="114" t="s">
        <v>146</v>
      </c>
      <c r="ER163" s="114" t="s">
        <v>147</v>
      </c>
      <c r="ES163" s="114" t="s">
        <v>148</v>
      </c>
      <c r="ET163" s="114" t="s">
        <v>149</v>
      </c>
      <c r="EU163" s="114" t="s">
        <v>150</v>
      </c>
      <c r="EV163" s="114" t="s">
        <v>151</v>
      </c>
      <c r="EW163" s="114" t="s">
        <v>152</v>
      </c>
      <c r="EX163" s="114" t="s">
        <v>153</v>
      </c>
      <c r="EY163" s="114" t="s">
        <v>154</v>
      </c>
      <c r="EZ163" s="114" t="s">
        <v>155</v>
      </c>
      <c r="FA163" s="114" t="s">
        <v>156</v>
      </c>
      <c r="FB163" s="114" t="s">
        <v>157</v>
      </c>
      <c r="FC163" s="114" t="s">
        <v>158</v>
      </c>
      <c r="FD163" s="114" t="s">
        <v>159</v>
      </c>
      <c r="FE163" s="114" t="s">
        <v>160</v>
      </c>
      <c r="FF163" s="114" t="s">
        <v>161</v>
      </c>
      <c r="FG163" s="114" t="s">
        <v>162</v>
      </c>
      <c r="FH163" s="114" t="s">
        <v>163</v>
      </c>
      <c r="FI163" s="114" t="s">
        <v>164</v>
      </c>
      <c r="FJ163" s="114" t="s">
        <v>165</v>
      </c>
      <c r="FK163" s="114" t="s">
        <v>166</v>
      </c>
      <c r="FL163" s="114" t="s">
        <v>167</v>
      </c>
      <c r="FM163" s="114" t="s">
        <v>168</v>
      </c>
      <c r="FN163" s="114" t="s">
        <v>169</v>
      </c>
      <c r="FO163" s="114" t="s">
        <v>170</v>
      </c>
      <c r="FP163" s="114" t="s">
        <v>171</v>
      </c>
      <c r="FQ163" s="114" t="s">
        <v>172</v>
      </c>
      <c r="FR163" s="114" t="s">
        <v>173</v>
      </c>
      <c r="FS163" s="114" t="s">
        <v>174</v>
      </c>
      <c r="FT163" s="114" t="s">
        <v>175</v>
      </c>
      <c r="FU163" s="114" t="s">
        <v>176</v>
      </c>
      <c r="FV163" s="114" t="s">
        <v>177</v>
      </c>
      <c r="FW163" s="114" t="s">
        <v>178</v>
      </c>
      <c r="FX163" s="114" t="s">
        <v>179</v>
      </c>
      <c r="FY163" s="114" t="s">
        <v>180</v>
      </c>
      <c r="FZ163" s="114" t="s">
        <v>181</v>
      </c>
      <c r="GA163" s="114" t="s">
        <v>182</v>
      </c>
      <c r="GB163" s="114" t="s">
        <v>183</v>
      </c>
      <c r="GC163" s="114" t="s">
        <v>184</v>
      </c>
      <c r="GD163" s="114" t="s">
        <v>185</v>
      </c>
      <c r="GE163" s="114" t="s">
        <v>186</v>
      </c>
      <c r="GF163" s="114" t="s">
        <v>187</v>
      </c>
      <c r="GG163" s="114" t="s">
        <v>188</v>
      </c>
      <c r="GH163" s="114" t="s">
        <v>189</v>
      </c>
      <c r="GI163" s="114" t="s">
        <v>190</v>
      </c>
      <c r="GJ163" s="114" t="s">
        <v>191</v>
      </c>
      <c r="GK163" s="114" t="s">
        <v>192</v>
      </c>
      <c r="GL163" s="193" t="s">
        <v>193</v>
      </c>
      <c r="GM163" s="193" t="s">
        <v>194</v>
      </c>
      <c r="GN163" s="193" t="s">
        <v>195</v>
      </c>
      <c r="GO163" s="193" t="s">
        <v>196</v>
      </c>
      <c r="GP163" s="193" t="s">
        <v>197</v>
      </c>
      <c r="GQ163" s="193" t="s">
        <v>198</v>
      </c>
      <c r="GR163" s="193" t="s">
        <v>199</v>
      </c>
      <c r="GS163" s="193" t="s">
        <v>200</v>
      </c>
      <c r="GT163" s="193" t="s">
        <v>201</v>
      </c>
      <c r="GU163" s="193" t="s">
        <v>202</v>
      </c>
      <c r="GV163" s="193" t="s">
        <v>203</v>
      </c>
      <c r="GW163" s="193" t="s">
        <v>204</v>
      </c>
      <c r="GX163" s="193" t="s">
        <v>205</v>
      </c>
      <c r="GY163" s="193" t="s">
        <v>206</v>
      </c>
      <c r="GZ163" s="193" t="s">
        <v>207</v>
      </c>
      <c r="HA163" s="193" t="s">
        <v>208</v>
      </c>
      <c r="HB163" s="193" t="s">
        <v>209</v>
      </c>
      <c r="HC163" s="193" t="s">
        <v>210</v>
      </c>
      <c r="HD163" s="193" t="s">
        <v>211</v>
      </c>
      <c r="HE163" s="193" t="s">
        <v>212</v>
      </c>
      <c r="HF163" s="193" t="s">
        <v>213</v>
      </c>
      <c r="HG163" s="193" t="s">
        <v>214</v>
      </c>
      <c r="HH163" s="193" t="s">
        <v>215</v>
      </c>
      <c r="HI163" s="193" t="s">
        <v>216</v>
      </c>
      <c r="HJ163" s="193" t="s">
        <v>217</v>
      </c>
      <c r="HK163" s="117" t="s">
        <v>218</v>
      </c>
      <c r="HL163" s="117" t="s">
        <v>219</v>
      </c>
      <c r="HM163" s="117" t="s">
        <v>220</v>
      </c>
      <c r="HN163" s="117" t="s">
        <v>221</v>
      </c>
      <c r="HO163" s="117" t="s">
        <v>222</v>
      </c>
      <c r="HP163" s="117" t="s">
        <v>223</v>
      </c>
      <c r="HQ163" s="192" t="s">
        <v>224</v>
      </c>
      <c r="HR163" s="192" t="s">
        <v>225</v>
      </c>
      <c r="HS163" s="192" t="s">
        <v>226</v>
      </c>
      <c r="HT163" s="192" t="s">
        <v>227</v>
      </c>
      <c r="HU163" s="192" t="s">
        <v>228</v>
      </c>
      <c r="HV163" s="204" t="s">
        <v>229</v>
      </c>
      <c r="HW163" s="204" t="s">
        <v>230</v>
      </c>
      <c r="HX163" s="204" t="s">
        <v>231</v>
      </c>
      <c r="HY163" s="204" t="s">
        <v>232</v>
      </c>
      <c r="HZ163" s="204" t="s">
        <v>233</v>
      </c>
      <c r="IA163" s="204" t="s">
        <v>234</v>
      </c>
      <c r="IB163" s="190" t="s">
        <v>235</v>
      </c>
      <c r="IC163" s="190" t="s">
        <v>236</v>
      </c>
      <c r="ID163" s="190" t="s">
        <v>237</v>
      </c>
      <c r="IE163" s="190" t="s">
        <v>238</v>
      </c>
      <c r="IF163" s="190" t="s">
        <v>239</v>
      </c>
      <c r="IG163" s="190" t="s">
        <v>240</v>
      </c>
      <c r="IH163" s="191" t="s">
        <v>241</v>
      </c>
      <c r="II163" s="191" t="s">
        <v>242</v>
      </c>
      <c r="IJ163" s="191" t="s">
        <v>243</v>
      </c>
      <c r="IK163" s="191" t="s">
        <v>244</v>
      </c>
      <c r="IL163" s="191" t="s">
        <v>245</v>
      </c>
      <c r="IM163" s="191" t="s">
        <v>246</v>
      </c>
      <c r="IN163" s="191" t="s">
        <v>247</v>
      </c>
      <c r="IO163" s="107" t="s">
        <v>248</v>
      </c>
      <c r="IP163" s="107" t="s">
        <v>249</v>
      </c>
      <c r="IQ163" s="107" t="s">
        <v>250</v>
      </c>
      <c r="IR163" s="107" t="s">
        <v>251</v>
      </c>
      <c r="IS163" s="107" t="s">
        <v>252</v>
      </c>
      <c r="IT163" s="107" t="s">
        <v>253</v>
      </c>
      <c r="IU163" s="107" t="s">
        <v>254</v>
      </c>
      <c r="IV163" s="114" t="s">
        <v>255</v>
      </c>
      <c r="IW163" s="114" t="s">
        <v>256</v>
      </c>
      <c r="IX163" s="114" t="s">
        <v>257</v>
      </c>
      <c r="IY163" s="114" t="s">
        <v>258</v>
      </c>
      <c r="IZ163" s="114" t="s">
        <v>259</v>
      </c>
      <c r="JA163" s="114" t="s">
        <v>260</v>
      </c>
      <c r="JB163" s="114" t="s">
        <v>261</v>
      </c>
      <c r="JC163" s="114" t="s">
        <v>262</v>
      </c>
      <c r="JD163" s="114" t="s">
        <v>263</v>
      </c>
      <c r="JE163" s="114" t="s">
        <v>264</v>
      </c>
      <c r="JF163" s="114" t="s">
        <v>265</v>
      </c>
      <c r="JG163" s="114" t="s">
        <v>266</v>
      </c>
      <c r="JH163" s="114" t="s">
        <v>267</v>
      </c>
      <c r="JI163" s="114" t="s">
        <v>268</v>
      </c>
      <c r="JJ163" s="191" t="s">
        <v>269</v>
      </c>
      <c r="JK163" s="191" t="s">
        <v>270</v>
      </c>
      <c r="JL163" s="191" t="s">
        <v>271</v>
      </c>
      <c r="JM163" s="191" t="s">
        <v>272</v>
      </c>
      <c r="JN163" s="191" t="s">
        <v>273</v>
      </c>
      <c r="JO163" s="191" t="s">
        <v>274</v>
      </c>
      <c r="JP163" s="191" t="s">
        <v>275</v>
      </c>
      <c r="JQ163" s="191" t="s">
        <v>276</v>
      </c>
      <c r="JR163" s="191" t="s">
        <v>277</v>
      </c>
      <c r="JS163" s="191" t="s">
        <v>278</v>
      </c>
      <c r="JT163" s="191" t="s">
        <v>279</v>
      </c>
      <c r="JU163" s="191" t="s">
        <v>280</v>
      </c>
      <c r="JV163" s="117" t="s">
        <v>281</v>
      </c>
      <c r="JW163" s="117" t="s">
        <v>282</v>
      </c>
      <c r="JX163" s="117" t="s">
        <v>283</v>
      </c>
      <c r="JY163" s="117" t="s">
        <v>284</v>
      </c>
      <c r="JZ163" s="117" t="s">
        <v>285</v>
      </c>
      <c r="KA163" s="117" t="s">
        <v>286</v>
      </c>
      <c r="KB163" s="117" t="s">
        <v>287</v>
      </c>
      <c r="KC163" s="117" t="s">
        <v>288</v>
      </c>
      <c r="KD163" s="117" t="s">
        <v>289</v>
      </c>
      <c r="KE163" s="194" t="s">
        <v>290</v>
      </c>
      <c r="KF163" s="194" t="s">
        <v>291</v>
      </c>
      <c r="KG163" s="194" t="s">
        <v>292</v>
      </c>
      <c r="KH163" s="194" t="s">
        <v>293</v>
      </c>
      <c r="KI163" s="107" t="s">
        <v>294</v>
      </c>
      <c r="KJ163" s="107" t="s">
        <v>295</v>
      </c>
      <c r="KK163" s="107" t="s">
        <v>296</v>
      </c>
      <c r="KL163" s="107" t="s">
        <v>297</v>
      </c>
      <c r="KM163" s="107" t="s">
        <v>298</v>
      </c>
      <c r="KN163" s="107" t="s">
        <v>299</v>
      </c>
      <c r="KO163" s="107" t="s">
        <v>300</v>
      </c>
      <c r="KP163" s="107" t="s">
        <v>301</v>
      </c>
      <c r="KQ163" s="107" t="s">
        <v>302</v>
      </c>
      <c r="KR163" s="107" t="s">
        <v>303</v>
      </c>
      <c r="KS163" s="107" t="s">
        <v>304</v>
      </c>
      <c r="KT163" s="107" t="s">
        <v>305</v>
      </c>
      <c r="KU163" s="107" t="s">
        <v>306</v>
      </c>
      <c r="KV163" s="191" t="s">
        <v>307</v>
      </c>
      <c r="KW163" s="191" t="s">
        <v>308</v>
      </c>
      <c r="KX163" s="191" t="s">
        <v>309</v>
      </c>
      <c r="KY163" s="191" t="s">
        <v>310</v>
      </c>
      <c r="KZ163" s="191" t="s">
        <v>311</v>
      </c>
      <c r="LA163" s="191" t="s">
        <v>312</v>
      </c>
      <c r="LB163" s="191" t="s">
        <v>313</v>
      </c>
      <c r="LC163" s="191" t="s">
        <v>314</v>
      </c>
      <c r="LD163" s="191" t="s">
        <v>315</v>
      </c>
      <c r="LE163" s="191" t="s">
        <v>316</v>
      </c>
      <c r="LF163" s="191" t="s">
        <v>317</v>
      </c>
      <c r="LG163" s="191" t="s">
        <v>318</v>
      </c>
      <c r="LH163" s="191" t="s">
        <v>319</v>
      </c>
      <c r="LI163" s="191" t="s">
        <v>320</v>
      </c>
      <c r="LJ163" s="191" t="s">
        <v>321</v>
      </c>
      <c r="LK163" s="191" t="s">
        <v>322</v>
      </c>
      <c r="LL163" s="191" t="s">
        <v>323</v>
      </c>
      <c r="LM163" s="191" t="s">
        <v>324</v>
      </c>
      <c r="LN163" s="191" t="s">
        <v>325</v>
      </c>
      <c r="LO163" s="195" t="s">
        <v>326</v>
      </c>
      <c r="LP163" s="195" t="s">
        <v>327</v>
      </c>
      <c r="LQ163" s="195" t="s">
        <v>328</v>
      </c>
      <c r="LR163" s="195" t="s">
        <v>329</v>
      </c>
      <c r="LS163" s="195" t="s">
        <v>330</v>
      </c>
      <c r="LT163" s="196" t="s">
        <v>331</v>
      </c>
      <c r="LU163" s="196" t="s">
        <v>332</v>
      </c>
      <c r="LV163" s="196" t="s">
        <v>333</v>
      </c>
      <c r="LW163" s="196" t="s">
        <v>334</v>
      </c>
      <c r="LX163" s="196" t="s">
        <v>335</v>
      </c>
      <c r="LY163" s="196" t="s">
        <v>336</v>
      </c>
      <c r="LZ163" s="196" t="s">
        <v>337</v>
      </c>
      <c r="MA163" s="196" t="s">
        <v>338</v>
      </c>
      <c r="MB163" s="197" t="s">
        <v>339</v>
      </c>
      <c r="MC163" s="197" t="s">
        <v>340</v>
      </c>
      <c r="MD163" s="197" t="s">
        <v>341</v>
      </c>
      <c r="ME163" s="197" t="s">
        <v>342</v>
      </c>
      <c r="MF163" s="197" t="s">
        <v>343</v>
      </c>
      <c r="MG163" s="117" t="s">
        <v>344</v>
      </c>
      <c r="MH163" s="117" t="s">
        <v>345</v>
      </c>
      <c r="MI163" s="117" t="s">
        <v>346</v>
      </c>
      <c r="MJ163" s="117" t="s">
        <v>347</v>
      </c>
      <c r="MK163" s="117" t="s">
        <v>348</v>
      </c>
      <c r="ML163" s="123" t="s">
        <v>349</v>
      </c>
      <c r="MM163" s="123" t="s">
        <v>350</v>
      </c>
      <c r="MN163" s="123" t="s">
        <v>351</v>
      </c>
      <c r="MO163" s="123" t="s">
        <v>352</v>
      </c>
      <c r="MP163" s="123" t="s">
        <v>353</v>
      </c>
      <c r="MQ163" s="123" t="s">
        <v>354</v>
      </c>
      <c r="MR163" s="123" t="s">
        <v>355</v>
      </c>
      <c r="MS163" s="123" t="s">
        <v>356</v>
      </c>
      <c r="MT163" s="191" t="s">
        <v>357</v>
      </c>
      <c r="MU163" s="191" t="s">
        <v>358</v>
      </c>
      <c r="MV163" s="191" t="s">
        <v>359</v>
      </c>
      <c r="MW163" s="191" t="s">
        <v>360</v>
      </c>
      <c r="MX163" s="191" t="s">
        <v>361</v>
      </c>
      <c r="MY163" s="198" t="s">
        <v>362</v>
      </c>
      <c r="MZ163" s="198" t="s">
        <v>363</v>
      </c>
      <c r="NA163" s="113" t="s">
        <v>364</v>
      </c>
      <c r="NB163" s="113" t="s">
        <v>365</v>
      </c>
      <c r="NC163" s="113" t="s">
        <v>366</v>
      </c>
      <c r="ND163" s="113" t="s">
        <v>367</v>
      </c>
      <c r="NE163" s="113" t="s">
        <v>368</v>
      </c>
      <c r="NF163" s="113" t="s">
        <v>369</v>
      </c>
      <c r="NG163" s="113" t="s">
        <v>370</v>
      </c>
      <c r="NH163" s="113" t="s">
        <v>371</v>
      </c>
      <c r="NI163" s="113" t="s">
        <v>372</v>
      </c>
      <c r="NJ163" s="122" t="s">
        <v>373</v>
      </c>
      <c r="NK163" s="199" t="s">
        <v>374</v>
      </c>
      <c r="NL163" s="199" t="s">
        <v>375</v>
      </c>
      <c r="NM163" s="199" t="s">
        <v>376</v>
      </c>
      <c r="NN163" s="199" t="s">
        <v>377</v>
      </c>
      <c r="NO163" s="199" t="s">
        <v>378</v>
      </c>
      <c r="NP163" s="199" t="s">
        <v>379</v>
      </c>
      <c r="NQ163" s="199" t="s">
        <v>380</v>
      </c>
      <c r="NR163" s="199" t="s">
        <v>381</v>
      </c>
      <c r="NS163" s="199" t="s">
        <v>382</v>
      </c>
      <c r="NT163" s="199" t="s">
        <v>383</v>
      </c>
      <c r="NU163" s="199" t="s">
        <v>384</v>
      </c>
      <c r="NV163" s="200" t="s">
        <v>385</v>
      </c>
      <c r="NW163" s="200" t="s">
        <v>386</v>
      </c>
      <c r="NX163" s="200" t="s">
        <v>387</v>
      </c>
      <c r="NY163" s="200" t="s">
        <v>388</v>
      </c>
      <c r="NZ163" s="200" t="s">
        <v>389</v>
      </c>
      <c r="OA163" s="200" t="s">
        <v>390</v>
      </c>
      <c r="OB163" s="200" t="s">
        <v>391</v>
      </c>
      <c r="OC163" s="189" t="s">
        <v>392</v>
      </c>
      <c r="OD163" s="189" t="s">
        <v>393</v>
      </c>
      <c r="OE163" s="189" t="s">
        <v>394</v>
      </c>
      <c r="OF163" s="189" t="s">
        <v>395</v>
      </c>
      <c r="OG163" s="189" t="s">
        <v>396</v>
      </c>
      <c r="OH163" s="189" t="s">
        <v>397</v>
      </c>
      <c r="OI163" s="189" t="s">
        <v>398</v>
      </c>
      <c r="OJ163" s="189" t="s">
        <v>399</v>
      </c>
      <c r="OK163" s="189" t="s">
        <v>400</v>
      </c>
      <c r="OL163" s="189" t="s">
        <v>401</v>
      </c>
      <c r="OM163" s="188" t="s">
        <v>402</v>
      </c>
      <c r="ON163" s="188" t="s">
        <v>403</v>
      </c>
      <c r="OO163" s="188" t="s">
        <v>404</v>
      </c>
      <c r="OP163" s="188" t="s">
        <v>405</v>
      </c>
      <c r="OQ163" s="188" t="s">
        <v>406</v>
      </c>
      <c r="OR163" s="188" t="s">
        <v>407</v>
      </c>
      <c r="OS163" s="188" t="s">
        <v>408</v>
      </c>
      <c r="OT163" s="188" t="s">
        <v>409</v>
      </c>
      <c r="OU163" s="200" t="s">
        <v>410</v>
      </c>
      <c r="OV163" s="201" t="s">
        <v>411</v>
      </c>
      <c r="OW163" s="201" t="s">
        <v>412</v>
      </c>
      <c r="OX163" s="201" t="s">
        <v>413</v>
      </c>
      <c r="OY163" s="201" t="s">
        <v>414</v>
      </c>
      <c r="OZ163" s="201" t="s">
        <v>415</v>
      </c>
      <c r="PA163" s="201" t="s">
        <v>416</v>
      </c>
      <c r="PB163" s="118" t="s">
        <v>417</v>
      </c>
      <c r="PC163" s="118" t="s">
        <v>418</v>
      </c>
      <c r="PD163" s="119" t="s">
        <v>419</v>
      </c>
      <c r="PE163" s="119" t="s">
        <v>420</v>
      </c>
      <c r="PF163" s="119" t="s">
        <v>421</v>
      </c>
      <c r="PG163" s="119" t="s">
        <v>422</v>
      </c>
      <c r="PH163" s="120" t="s">
        <v>423</v>
      </c>
    </row>
    <row r="164" spans="1:424">
      <c r="A164" s="78" t="s">
        <v>665</v>
      </c>
      <c r="B164" s="78" t="s">
        <v>2552</v>
      </c>
      <c r="C164" s="78" t="s">
        <v>1252</v>
      </c>
      <c r="D164" s="78" t="s">
        <v>2553</v>
      </c>
      <c r="E164" s="225" t="s">
        <v>2554</v>
      </c>
      <c r="F164" s="78" t="s">
        <v>2555</v>
      </c>
      <c r="G164" s="78" t="s">
        <v>475</v>
      </c>
      <c r="H164" s="78" t="s">
        <v>2556</v>
      </c>
      <c r="I164" s="78">
        <v>10.3622</v>
      </c>
      <c r="J164" s="78">
        <v>76.980199999999996</v>
      </c>
      <c r="K164" s="78">
        <v>3000</v>
      </c>
      <c r="L164" s="78" t="s">
        <v>1252</v>
      </c>
      <c r="M164" s="78" t="s">
        <v>2553</v>
      </c>
      <c r="N164" s="225" t="s">
        <v>2557</v>
      </c>
      <c r="O164" s="78" t="s">
        <v>2555</v>
      </c>
      <c r="P164" s="78" t="s">
        <v>475</v>
      </c>
      <c r="Q164" s="78" t="s">
        <v>2556</v>
      </c>
      <c r="R164" s="78">
        <v>10.385</v>
      </c>
      <c r="S164" s="78">
        <v>76.95</v>
      </c>
      <c r="T164" s="78">
        <v>1000</v>
      </c>
      <c r="U164" s="78" t="s">
        <v>1252</v>
      </c>
      <c r="V164" s="78" t="s">
        <v>2553</v>
      </c>
      <c r="W164" s="78" t="s">
        <v>2558</v>
      </c>
      <c r="X164" s="78" t="s">
        <v>2555</v>
      </c>
      <c r="Y164" s="78" t="s">
        <v>475</v>
      </c>
      <c r="Z164" s="78" t="s">
        <v>2556</v>
      </c>
      <c r="AA164" s="78">
        <v>10.234999999999999</v>
      </c>
      <c r="AB164" s="78">
        <v>76.89</v>
      </c>
      <c r="AC164" s="78">
        <v>1500</v>
      </c>
      <c r="AD164" s="78"/>
      <c r="AE164" s="78"/>
      <c r="AF164" s="78"/>
      <c r="AG164" s="78"/>
      <c r="AH164" s="78"/>
      <c r="AI164" s="78"/>
      <c r="AJ164" s="78"/>
      <c r="AK164" s="78"/>
      <c r="AL164" s="78"/>
      <c r="AM164" s="78"/>
      <c r="AN164" s="78"/>
      <c r="AO164" s="78"/>
      <c r="AP164" s="78"/>
      <c r="AQ164" s="78"/>
      <c r="AR164" s="78"/>
      <c r="AS164" s="78"/>
      <c r="AT164" s="78"/>
      <c r="AU164" s="78"/>
      <c r="AV164" s="78" t="s">
        <v>2559</v>
      </c>
      <c r="AW164" s="78" t="s">
        <v>480</v>
      </c>
      <c r="AX164" s="78">
        <v>29850000</v>
      </c>
      <c r="AY164" s="78">
        <v>1</v>
      </c>
      <c r="AZ164" s="78" t="s">
        <v>2560</v>
      </c>
      <c r="BA164" s="78">
        <v>2005</v>
      </c>
      <c r="BB164" s="78"/>
      <c r="BC164" s="78" t="s">
        <v>2561</v>
      </c>
      <c r="BD164" s="78" t="s">
        <v>2562</v>
      </c>
      <c r="BE164" s="78" t="s">
        <v>524</v>
      </c>
      <c r="BF164" s="78" t="s">
        <v>1084</v>
      </c>
      <c r="BG164" s="78"/>
      <c r="BH164" s="78"/>
      <c r="BI164" s="78"/>
      <c r="BJ164" s="78"/>
      <c r="BK164" s="78"/>
      <c r="BL164" s="78"/>
      <c r="BM164" s="78"/>
      <c r="BN164" s="78"/>
      <c r="BO164" s="78"/>
      <c r="BP164" s="78"/>
      <c r="BQ164" s="78"/>
      <c r="BR164" s="78"/>
      <c r="BS164" s="78"/>
      <c r="BT164" s="78"/>
      <c r="BU164" s="78"/>
      <c r="BV164" s="78"/>
      <c r="BW164" s="78"/>
      <c r="BX164" s="78"/>
      <c r="BY164" s="78"/>
      <c r="BZ164" s="78"/>
      <c r="CA164" s="78"/>
      <c r="CB164" s="78"/>
      <c r="CC164" s="78"/>
      <c r="CD164" s="78"/>
      <c r="CE164" s="78"/>
      <c r="CF164" s="78"/>
      <c r="CG164" s="78"/>
      <c r="CH164" s="78"/>
      <c r="CI164" s="78"/>
      <c r="CJ164" s="78"/>
      <c r="CK164" s="78"/>
      <c r="CL164" s="78"/>
      <c r="CM164" s="78"/>
      <c r="CN164" s="78"/>
      <c r="CO164" s="78"/>
      <c r="CP164" s="78"/>
      <c r="CQ164" s="78"/>
      <c r="CR164" s="78"/>
      <c r="CS164" s="78"/>
      <c r="CT164" s="78"/>
      <c r="CU164" s="78"/>
      <c r="CV164" s="78"/>
      <c r="CW164" s="78"/>
      <c r="CX164" s="78"/>
      <c r="CY164" s="78"/>
      <c r="CZ164" s="78"/>
      <c r="DA164" s="78"/>
      <c r="DB164" s="78"/>
      <c r="DC164" s="78"/>
      <c r="DD164" s="78"/>
      <c r="DE164" s="78"/>
      <c r="DF164" s="78"/>
      <c r="DG164" s="78"/>
      <c r="DH164" s="78"/>
      <c r="DI164" s="78"/>
      <c r="DJ164" s="78"/>
      <c r="DK164" s="78"/>
      <c r="DL164" s="78"/>
      <c r="DM164" s="78"/>
      <c r="DN164" s="78"/>
      <c r="DO164" s="78"/>
      <c r="DP164" s="78"/>
      <c r="DQ164" s="78"/>
      <c r="DR164" s="78"/>
      <c r="DS164" s="78"/>
      <c r="DT164" s="78"/>
      <c r="DU164" s="78"/>
      <c r="DV164" s="78"/>
      <c r="DW164" s="78"/>
      <c r="DX164" s="78"/>
      <c r="DY164" s="78"/>
      <c r="DZ164" s="78"/>
      <c r="EA164" s="78"/>
      <c r="EB164" s="78"/>
      <c r="EC164" s="78"/>
      <c r="ED164" s="78" t="s">
        <v>2563</v>
      </c>
      <c r="EE164" s="78" t="s">
        <v>2564</v>
      </c>
      <c r="EF164" s="78" t="s">
        <v>480</v>
      </c>
      <c r="EG164" s="78"/>
      <c r="EH164" s="78" t="s">
        <v>2565</v>
      </c>
      <c r="EI164" s="125" t="s">
        <v>2564</v>
      </c>
      <c r="EJ164" s="125" t="s">
        <v>480</v>
      </c>
      <c r="EK164" s="125"/>
      <c r="EL164" s="125" t="s">
        <v>2566</v>
      </c>
      <c r="EM164" s="125" t="s">
        <v>2564</v>
      </c>
      <c r="EN164" s="125" t="s">
        <v>480</v>
      </c>
      <c r="EO164" s="125"/>
      <c r="EP164" s="125"/>
      <c r="EQ164" s="125"/>
      <c r="ER164" s="125"/>
      <c r="ES164" s="125"/>
      <c r="ET164" s="125"/>
      <c r="EU164" s="125"/>
      <c r="EV164" s="125"/>
      <c r="EW164" s="125"/>
      <c r="EX164" s="125"/>
      <c r="EY164" s="125"/>
      <c r="EZ164" s="125"/>
      <c r="FA164" s="125"/>
      <c r="FB164" s="125"/>
      <c r="FC164" s="125"/>
      <c r="FD164" s="125"/>
      <c r="FE164" s="125"/>
      <c r="FF164" s="125"/>
      <c r="FG164" s="125"/>
      <c r="FH164" s="125"/>
      <c r="FI164" s="125"/>
      <c r="FJ164" s="125"/>
      <c r="FK164" s="125"/>
      <c r="FL164" s="125"/>
      <c r="FM164" s="125"/>
      <c r="FN164" s="125"/>
      <c r="FO164" s="125"/>
      <c r="FP164" s="125"/>
      <c r="FQ164" s="125"/>
      <c r="FR164" s="125"/>
      <c r="FS164" s="125"/>
      <c r="FT164" s="125"/>
      <c r="FU164" s="125"/>
      <c r="FV164" s="125"/>
      <c r="FW164" s="125"/>
      <c r="FX164" s="125"/>
      <c r="FY164" s="125"/>
      <c r="FZ164" s="125"/>
      <c r="GA164" s="125"/>
      <c r="GB164" s="125"/>
      <c r="GC164" s="125"/>
      <c r="GD164" s="125"/>
      <c r="GE164" s="125"/>
      <c r="GF164" s="125"/>
      <c r="GG164" s="125"/>
      <c r="GH164" s="125"/>
      <c r="GI164" s="125"/>
      <c r="GJ164" s="125"/>
      <c r="GK164" s="125"/>
      <c r="GL164" s="125"/>
      <c r="GM164" s="125"/>
      <c r="GN164" s="125"/>
      <c r="GO164" s="125"/>
      <c r="GP164" s="125"/>
      <c r="GQ164" s="125"/>
      <c r="GR164" s="125"/>
      <c r="GS164" s="125"/>
      <c r="GT164" s="125"/>
      <c r="GU164" s="125"/>
      <c r="GV164" s="125"/>
      <c r="GW164" s="125"/>
      <c r="GX164" s="125"/>
      <c r="GY164" s="125"/>
      <c r="GZ164" s="125"/>
      <c r="HA164" s="125"/>
      <c r="HB164" s="125"/>
      <c r="HC164" s="125"/>
      <c r="HD164" s="125"/>
      <c r="HE164" s="125"/>
      <c r="HF164" s="125"/>
      <c r="HG164" s="125"/>
      <c r="HH164" s="125"/>
      <c r="HI164" s="125"/>
      <c r="HJ164" s="125"/>
      <c r="HK164" s="125"/>
      <c r="HL164" s="125"/>
      <c r="HM164" s="78"/>
      <c r="HN164" s="78"/>
      <c r="HO164" s="78"/>
      <c r="HP164" s="78"/>
      <c r="HQ164" s="78"/>
      <c r="HR164" s="78"/>
      <c r="HS164" s="78"/>
      <c r="HT164" s="78"/>
      <c r="HU164" s="78"/>
      <c r="HV164" s="78"/>
      <c r="HW164" s="78"/>
      <c r="HX164" s="78"/>
      <c r="HY164" s="126"/>
      <c r="HZ164" s="78"/>
      <c r="IA164" s="78"/>
      <c r="IB164" s="78"/>
      <c r="IC164" s="78"/>
      <c r="ID164" s="78"/>
      <c r="IE164" s="78"/>
      <c r="IF164" s="78"/>
      <c r="IG164" s="78"/>
      <c r="IH164" s="78"/>
      <c r="II164" s="78"/>
      <c r="IJ164" s="78"/>
      <c r="IK164" s="78"/>
      <c r="IL164" s="78"/>
      <c r="IM164" s="78"/>
      <c r="IN164" s="78"/>
      <c r="IO164" s="78"/>
      <c r="IP164" s="78"/>
      <c r="IQ164" s="78"/>
      <c r="IR164" s="78"/>
      <c r="IS164" s="78"/>
      <c r="IT164" s="78"/>
      <c r="IU164" s="78"/>
      <c r="IV164" s="78"/>
      <c r="IW164" s="78"/>
      <c r="IX164" s="78"/>
      <c r="IY164" s="78"/>
      <c r="IZ164" s="78"/>
      <c r="JA164" s="78"/>
      <c r="JB164" s="78"/>
      <c r="JC164" s="78"/>
      <c r="JD164" s="78"/>
      <c r="JE164" s="78"/>
      <c r="JF164" s="78"/>
      <c r="JG164" s="78"/>
      <c r="JH164" s="78"/>
      <c r="JI164" s="78"/>
      <c r="JJ164" s="78"/>
      <c r="JK164" s="78"/>
      <c r="JL164" s="78"/>
      <c r="JM164" s="78"/>
      <c r="JN164" s="78"/>
      <c r="JO164" s="78"/>
      <c r="JP164" s="131"/>
      <c r="JQ164" s="78"/>
      <c r="JR164" s="78"/>
      <c r="JS164" s="78"/>
      <c r="JT164" s="78"/>
      <c r="JU164" s="78"/>
      <c r="JV164" s="78"/>
      <c r="JW164" s="78"/>
      <c r="JX164" s="78"/>
      <c r="JY164" s="78"/>
      <c r="JZ164" s="131"/>
      <c r="KA164" s="78"/>
      <c r="KB164" s="78"/>
      <c r="KC164" s="78"/>
      <c r="KD164" s="78"/>
      <c r="KE164" s="78"/>
      <c r="KF164" s="78"/>
      <c r="KG164" s="78"/>
      <c r="KH164" s="78"/>
      <c r="KI164" s="78"/>
      <c r="KJ164" s="78"/>
      <c r="KK164" s="78"/>
      <c r="KL164" s="78"/>
      <c r="KM164" s="78"/>
      <c r="KN164" s="78"/>
      <c r="KO164" s="78"/>
      <c r="KP164" s="78"/>
      <c r="KQ164" s="78"/>
      <c r="KR164" s="131"/>
      <c r="KS164" s="131"/>
      <c r="KT164" s="131"/>
      <c r="KU164" s="131"/>
      <c r="KV164" s="78"/>
      <c r="KW164" s="78"/>
      <c r="KX164" s="78"/>
      <c r="KY164" s="78"/>
      <c r="KZ164" s="78"/>
      <c r="LA164" s="78"/>
      <c r="LB164" s="78"/>
      <c r="LC164" s="78"/>
      <c r="LD164" s="78"/>
      <c r="LE164" s="78"/>
      <c r="LF164" s="78"/>
      <c r="LG164" s="78"/>
      <c r="LH164" s="78"/>
      <c r="LI164" s="78"/>
      <c r="LJ164" s="78"/>
      <c r="LK164" s="78"/>
      <c r="LL164" s="78"/>
      <c r="LM164" s="78"/>
      <c r="LN164" s="78"/>
      <c r="LO164" s="78"/>
      <c r="LP164" s="78"/>
      <c r="LQ164" s="78"/>
      <c r="LR164" s="78"/>
      <c r="LS164" s="78"/>
      <c r="LT164" s="78"/>
      <c r="LU164" s="78"/>
      <c r="LV164" s="78"/>
      <c r="LW164" s="78"/>
      <c r="LX164" s="78"/>
      <c r="LY164" s="78"/>
      <c r="LZ164" s="78"/>
      <c r="MA164" s="78"/>
      <c r="MB164" s="78"/>
      <c r="MC164" s="78"/>
      <c r="MD164" s="78"/>
      <c r="ME164" s="78"/>
      <c r="MF164" s="78"/>
      <c r="MG164" s="78"/>
      <c r="MH164" s="78"/>
      <c r="MI164" s="78"/>
      <c r="MJ164" s="78"/>
      <c r="MK164" s="78"/>
      <c r="ML164" s="78"/>
      <c r="MM164" s="78"/>
      <c r="MN164" s="78"/>
      <c r="MO164" s="78"/>
      <c r="MP164" s="78"/>
      <c r="MQ164" s="78"/>
      <c r="MR164" s="78"/>
      <c r="MS164" s="78"/>
      <c r="MT164" s="78"/>
      <c r="MU164" s="78"/>
      <c r="MV164" s="78"/>
      <c r="MW164" s="78"/>
      <c r="MX164" s="78"/>
      <c r="MY164" s="78" t="s">
        <v>2567</v>
      </c>
      <c r="MZ164" s="78" t="s">
        <v>480</v>
      </c>
      <c r="NA164" s="78" t="s">
        <v>2568</v>
      </c>
      <c r="NB164" s="78" t="s">
        <v>2569</v>
      </c>
      <c r="NC164" s="78"/>
      <c r="ND164" s="78"/>
      <c r="NE164" s="78"/>
      <c r="NF164" s="78"/>
      <c r="NG164" s="78"/>
      <c r="NH164" s="78"/>
      <c r="NI164" s="78"/>
      <c r="NJ164" s="78" t="s">
        <v>2570</v>
      </c>
      <c r="NK164" s="78" t="s">
        <v>2571</v>
      </c>
      <c r="NL164" s="78" t="s">
        <v>689</v>
      </c>
      <c r="NM164" s="78" t="s">
        <v>2572</v>
      </c>
      <c r="NN164" s="78"/>
      <c r="NO164" s="78"/>
      <c r="NP164" s="78"/>
      <c r="NQ164" s="78"/>
      <c r="NR164" s="78"/>
      <c r="NS164" s="78"/>
      <c r="NT164" s="78"/>
      <c r="NU164" s="78" t="s">
        <v>1116</v>
      </c>
      <c r="NV164" s="78" t="s">
        <v>518</v>
      </c>
      <c r="NW164" s="78">
        <v>9.33</v>
      </c>
      <c r="NX164" s="78" t="s">
        <v>916</v>
      </c>
      <c r="NY164" s="78">
        <v>3.81</v>
      </c>
      <c r="NZ164" s="78"/>
      <c r="OA164" s="78"/>
      <c r="OB164" s="78">
        <v>3</v>
      </c>
      <c r="OC164" s="78"/>
      <c r="OD164" s="78"/>
      <c r="OE164" s="78"/>
      <c r="OF164" s="78"/>
      <c r="OG164" s="78"/>
      <c r="OH164" s="78"/>
      <c r="OI164" s="78"/>
      <c r="OJ164" s="78"/>
      <c r="OK164" s="78"/>
      <c r="OL164" s="78"/>
      <c r="OM164" s="78"/>
      <c r="ON164" s="78"/>
      <c r="OO164" s="78"/>
      <c r="OP164" s="78"/>
      <c r="OQ164" s="78"/>
      <c r="OR164" s="78"/>
      <c r="OS164" s="78"/>
      <c r="OT164" s="78"/>
      <c r="OU164" s="78" t="s">
        <v>2573</v>
      </c>
      <c r="OV164" s="78" t="s">
        <v>518</v>
      </c>
      <c r="OW164" s="78">
        <v>2005</v>
      </c>
      <c r="OX164" s="78"/>
      <c r="OY164" s="78"/>
      <c r="OZ164" s="78"/>
      <c r="PA164" s="78"/>
      <c r="PB164" s="78" t="s">
        <v>1342</v>
      </c>
      <c r="PC164" s="126" t="s">
        <v>2574</v>
      </c>
      <c r="PD164" s="78"/>
      <c r="PE164" t="s">
        <v>522</v>
      </c>
      <c r="PF164" s="78"/>
      <c r="PG164" s="78" t="s">
        <v>2575</v>
      </c>
      <c r="PH164" s="124" t="s">
        <v>2576</v>
      </c>
    </row>
    <row r="165" spans="1:424">
      <c r="A165" t="s">
        <v>665</v>
      </c>
      <c r="B165" s="78" t="s">
        <v>2552</v>
      </c>
      <c r="C165" t="s">
        <v>1252</v>
      </c>
      <c r="D165" t="s">
        <v>472</v>
      </c>
      <c r="E165" s="11" t="s">
        <v>2577</v>
      </c>
      <c r="F165" t="s">
        <v>1322</v>
      </c>
      <c r="G165" t="s">
        <v>475</v>
      </c>
      <c r="H165" t="s">
        <v>2556</v>
      </c>
      <c r="I165">
        <v>10.37</v>
      </c>
      <c r="J165">
        <v>76.984999999999999</v>
      </c>
      <c r="K165">
        <v>500</v>
      </c>
      <c r="L165" t="s">
        <v>1252</v>
      </c>
      <c r="M165" t="s">
        <v>472</v>
      </c>
      <c r="N165" s="11" t="s">
        <v>2578</v>
      </c>
      <c r="O165" t="s">
        <v>1322</v>
      </c>
      <c r="P165" t="s">
        <v>475</v>
      </c>
      <c r="Q165" t="s">
        <v>2556</v>
      </c>
      <c r="R165">
        <v>10.3512</v>
      </c>
      <c r="S165">
        <v>76.938400000000001</v>
      </c>
      <c r="T165">
        <v>400</v>
      </c>
      <c r="U165" t="s">
        <v>1252</v>
      </c>
      <c r="V165" t="s">
        <v>472</v>
      </c>
      <c r="W165" t="s">
        <v>2579</v>
      </c>
      <c r="X165" t="s">
        <v>1322</v>
      </c>
      <c r="Y165" t="s">
        <v>475</v>
      </c>
      <c r="Z165" t="s">
        <v>2556</v>
      </c>
      <c r="AA165">
        <v>10.279</v>
      </c>
      <c r="AB165">
        <v>76.8874</v>
      </c>
      <c r="AC165">
        <v>500</v>
      </c>
      <c r="AD165" t="s">
        <v>1252</v>
      </c>
      <c r="AE165" t="s">
        <v>472</v>
      </c>
      <c r="AF165" t="s">
        <v>2580</v>
      </c>
      <c r="AG165" t="s">
        <v>1322</v>
      </c>
      <c r="AH165" t="s">
        <v>475</v>
      </c>
      <c r="AI165" t="s">
        <v>2556</v>
      </c>
      <c r="AJ165">
        <v>10.345000000000001</v>
      </c>
      <c r="AK165">
        <v>76.924999999999997</v>
      </c>
      <c r="AL165">
        <v>300</v>
      </c>
      <c r="AV165" t="s">
        <v>2559</v>
      </c>
      <c r="AW165" t="s">
        <v>480</v>
      </c>
      <c r="AX165">
        <v>2316000</v>
      </c>
      <c r="AY165">
        <v>1</v>
      </c>
      <c r="AZ165" t="s">
        <v>2560</v>
      </c>
      <c r="BA165">
        <v>2005</v>
      </c>
      <c r="BC165" t="s">
        <v>2561</v>
      </c>
      <c r="BD165" t="s">
        <v>2581</v>
      </c>
      <c r="BE165" t="s">
        <v>536</v>
      </c>
      <c r="BF165" t="s">
        <v>1084</v>
      </c>
      <c r="ED165" t="s">
        <v>2563</v>
      </c>
      <c r="EE165" t="s">
        <v>2564</v>
      </c>
      <c r="EF165" t="s">
        <v>480</v>
      </c>
      <c r="EH165" t="s">
        <v>2565</v>
      </c>
      <c r="EI165" s="9" t="s">
        <v>2564</v>
      </c>
      <c r="EJ165" s="9" t="s">
        <v>480</v>
      </c>
      <c r="EK165" s="9"/>
      <c r="EL165" s="9" t="s">
        <v>2566</v>
      </c>
      <c r="EM165" s="9" t="s">
        <v>2564</v>
      </c>
      <c r="EN165" s="9" t="s">
        <v>480</v>
      </c>
      <c r="EO165" s="9"/>
      <c r="EP165" s="9"/>
      <c r="EQ165" s="9"/>
      <c r="ER165" s="9"/>
      <c r="ES165" s="9"/>
      <c r="ET165" s="9"/>
      <c r="EU165" s="9"/>
      <c r="EV165" s="9"/>
      <c r="EW165" s="9"/>
      <c r="EX165" s="9"/>
      <c r="EY165" s="9"/>
      <c r="EZ165" s="9"/>
      <c r="FA165" s="9"/>
      <c r="FB165" s="9"/>
      <c r="FC165" s="9"/>
      <c r="FD165" s="9"/>
      <c r="FE165" s="9"/>
      <c r="FF165" s="9"/>
      <c r="FG165" s="9"/>
      <c r="FH165" s="9"/>
      <c r="FI165" s="9"/>
      <c r="FJ165" s="9"/>
      <c r="FK165" s="9"/>
      <c r="FL165" s="9"/>
      <c r="FM165" s="9"/>
      <c r="FN165" s="9"/>
      <c r="FO165" s="9"/>
      <c r="FP165" s="9"/>
      <c r="FQ165" s="9"/>
      <c r="FR165" s="9"/>
      <c r="FS165" s="9"/>
      <c r="FT165" s="9"/>
      <c r="FU165" s="9"/>
      <c r="FV165" s="9"/>
      <c r="FW165" s="9"/>
      <c r="FX165" s="9"/>
      <c r="FY165" s="9"/>
      <c r="FZ165" s="9"/>
      <c r="GA165" s="9"/>
      <c r="GB165" s="9"/>
      <c r="GC165" s="9"/>
      <c r="GD165" s="9"/>
      <c r="GE165" s="9"/>
      <c r="GF165" s="9"/>
      <c r="GG165" s="9"/>
      <c r="GH165" s="9"/>
      <c r="GI165" s="9"/>
      <c r="GJ165" s="9"/>
      <c r="GK165" s="9"/>
      <c r="GL165" s="9"/>
      <c r="GM165" s="9"/>
      <c r="GN165" s="9"/>
      <c r="GO165" s="9"/>
      <c r="GP165" s="9"/>
      <c r="GQ165" s="9"/>
      <c r="GR165" s="9"/>
      <c r="GS165" s="9"/>
      <c r="GT165" s="9"/>
      <c r="GU165" s="9"/>
      <c r="GV165" s="9"/>
      <c r="GW165" s="9"/>
      <c r="GX165" s="9"/>
      <c r="GY165" s="9"/>
      <c r="GZ165" s="9"/>
      <c r="HA165" s="9"/>
      <c r="HB165" s="9"/>
      <c r="HC165" s="9"/>
      <c r="HD165" s="9"/>
      <c r="HE165" s="9"/>
      <c r="HF165" s="9"/>
      <c r="HG165" s="9"/>
      <c r="HH165" s="9"/>
      <c r="HI165" s="9"/>
      <c r="HJ165" s="9"/>
      <c r="HK165" s="9"/>
      <c r="HL165" s="9"/>
      <c r="HY165" s="50"/>
      <c r="JP165" s="9"/>
      <c r="JZ165" s="9"/>
      <c r="KR165" s="9"/>
      <c r="KS165" s="9"/>
      <c r="KT165" s="9"/>
      <c r="KU165" s="9"/>
      <c r="MY165" t="s">
        <v>2582</v>
      </c>
      <c r="MZ165" t="s">
        <v>480</v>
      </c>
      <c r="NA165" t="s">
        <v>2568</v>
      </c>
      <c r="NB165" t="s">
        <v>2569</v>
      </c>
      <c r="NJ165" t="s">
        <v>2570</v>
      </c>
      <c r="NK165" t="s">
        <v>2571</v>
      </c>
      <c r="NL165" t="s">
        <v>689</v>
      </c>
      <c r="NM165" t="s">
        <v>2572</v>
      </c>
      <c r="NU165" t="s">
        <v>2583</v>
      </c>
      <c r="NV165" t="s">
        <v>518</v>
      </c>
      <c r="NW165">
        <v>7.88</v>
      </c>
      <c r="NX165" t="s">
        <v>916</v>
      </c>
      <c r="NY165">
        <v>3.73</v>
      </c>
      <c r="OB165">
        <v>4</v>
      </c>
      <c r="OU165" t="s">
        <v>2573</v>
      </c>
      <c r="OV165" t="s">
        <v>518</v>
      </c>
      <c r="OW165">
        <v>2005</v>
      </c>
      <c r="PB165" t="s">
        <v>1342</v>
      </c>
      <c r="PC165" s="50" t="s">
        <v>2574</v>
      </c>
      <c r="PE165" t="s">
        <v>522</v>
      </c>
      <c r="PG165" s="78" t="s">
        <v>2575</v>
      </c>
      <c r="PH165" s="124" t="s">
        <v>2576</v>
      </c>
    </row>
    <row r="166" spans="1:424">
      <c r="A166" s="78" t="s">
        <v>665</v>
      </c>
      <c r="B166" s="78" t="s">
        <v>2552</v>
      </c>
      <c r="C166" s="78" t="s">
        <v>1252</v>
      </c>
      <c r="D166" s="78" t="s">
        <v>472</v>
      </c>
      <c r="E166" s="225" t="s">
        <v>2584</v>
      </c>
      <c r="F166" s="78" t="s">
        <v>1322</v>
      </c>
      <c r="G166" s="78" t="s">
        <v>475</v>
      </c>
      <c r="H166" s="78" t="s">
        <v>2556</v>
      </c>
      <c r="I166" s="78">
        <v>10.33</v>
      </c>
      <c r="J166" s="78">
        <v>76.965000000000003</v>
      </c>
      <c r="K166" s="78">
        <v>500</v>
      </c>
      <c r="L166" s="78" t="s">
        <v>1252</v>
      </c>
      <c r="M166" s="78" t="s">
        <v>472</v>
      </c>
      <c r="N166" s="225" t="s">
        <v>2585</v>
      </c>
      <c r="O166" s="78" t="s">
        <v>1322</v>
      </c>
      <c r="P166" s="78" t="s">
        <v>475</v>
      </c>
      <c r="Q166" s="78" t="s">
        <v>2556</v>
      </c>
      <c r="R166" s="78">
        <v>10.308299999999999</v>
      </c>
      <c r="S166" s="78">
        <v>76.899900000000002</v>
      </c>
      <c r="T166" s="78">
        <v>500</v>
      </c>
      <c r="U166" s="78" t="s">
        <v>1252</v>
      </c>
      <c r="V166" s="78" t="s">
        <v>472</v>
      </c>
      <c r="W166" s="78" t="s">
        <v>2586</v>
      </c>
      <c r="X166" s="78" t="s">
        <v>1322</v>
      </c>
      <c r="Y166" s="78" t="s">
        <v>475</v>
      </c>
      <c r="Z166" s="78" t="s">
        <v>2556</v>
      </c>
      <c r="AA166" s="78">
        <v>10.31</v>
      </c>
      <c r="AB166" s="78">
        <v>76.94</v>
      </c>
      <c r="AC166" s="78">
        <v>300</v>
      </c>
      <c r="AD166" s="78"/>
      <c r="AE166" s="78"/>
      <c r="AF166" s="78"/>
      <c r="AG166" s="78"/>
      <c r="AH166" s="78"/>
      <c r="AI166" s="78"/>
      <c r="AJ166" s="78"/>
      <c r="AK166" s="78"/>
      <c r="AL166" s="78"/>
      <c r="AM166" s="78"/>
      <c r="AN166" s="78"/>
      <c r="AO166" s="78"/>
      <c r="AP166" s="78"/>
      <c r="AQ166" s="78"/>
      <c r="AR166" s="78"/>
      <c r="AS166" s="78"/>
      <c r="AT166" s="78"/>
      <c r="AU166" s="78"/>
      <c r="AV166" s="78" t="s">
        <v>2559</v>
      </c>
      <c r="AW166" s="78" t="s">
        <v>480</v>
      </c>
      <c r="AX166" s="78">
        <v>1671000</v>
      </c>
      <c r="AY166" s="78">
        <v>1</v>
      </c>
      <c r="AZ166" s="78" t="s">
        <v>2560</v>
      </c>
      <c r="BA166" s="78">
        <v>2005</v>
      </c>
      <c r="BB166" s="78"/>
      <c r="BC166" s="78" t="s">
        <v>2561</v>
      </c>
      <c r="BD166" s="78" t="s">
        <v>2587</v>
      </c>
      <c r="BE166" s="78" t="s">
        <v>566</v>
      </c>
      <c r="BF166" s="78" t="s">
        <v>1084</v>
      </c>
      <c r="BG166" s="78"/>
      <c r="BH166" s="78"/>
      <c r="BI166" s="78"/>
      <c r="BJ166" s="78"/>
      <c r="BK166" s="78"/>
      <c r="BL166" s="78"/>
      <c r="BM166" s="78"/>
      <c r="BN166" s="78"/>
      <c r="BO166" s="78"/>
      <c r="BP166" s="78"/>
      <c r="BQ166" s="78"/>
      <c r="BR166" s="78"/>
      <c r="BS166" s="78"/>
      <c r="BT166" s="78"/>
      <c r="BU166" s="78"/>
      <c r="BV166" s="78"/>
      <c r="BW166" s="78"/>
      <c r="BX166" s="78"/>
      <c r="BY166" s="78"/>
      <c r="BZ166" s="78"/>
      <c r="CA166" s="78"/>
      <c r="CB166" s="78"/>
      <c r="CC166" s="78"/>
      <c r="CD166" s="78"/>
      <c r="CE166" s="78"/>
      <c r="CF166" s="78"/>
      <c r="CG166" s="78"/>
      <c r="CH166" s="78"/>
      <c r="CI166" s="78"/>
      <c r="CJ166" s="78"/>
      <c r="CK166" s="78"/>
      <c r="CL166" s="78"/>
      <c r="CM166" s="78"/>
      <c r="CN166" s="78"/>
      <c r="CO166" s="78"/>
      <c r="CP166" s="78"/>
      <c r="CQ166" s="78"/>
      <c r="CR166" s="78"/>
      <c r="CS166" s="78"/>
      <c r="CT166" s="78"/>
      <c r="CU166" s="78"/>
      <c r="CV166" s="78"/>
      <c r="CW166" s="78"/>
      <c r="CX166" s="78"/>
      <c r="CY166" s="78"/>
      <c r="CZ166" s="78"/>
      <c r="DA166" s="78"/>
      <c r="DB166" s="78"/>
      <c r="DC166" s="78"/>
      <c r="DD166" s="78"/>
      <c r="DE166" s="78"/>
      <c r="DF166" s="78"/>
      <c r="DG166" s="78"/>
      <c r="DH166" s="78"/>
      <c r="DI166" s="78"/>
      <c r="DJ166" s="78"/>
      <c r="DK166" s="78"/>
      <c r="DL166" s="78"/>
      <c r="DM166" s="78"/>
      <c r="DN166" s="78"/>
      <c r="DO166" s="78"/>
      <c r="DP166" s="78"/>
      <c r="DQ166" s="78"/>
      <c r="DR166" s="78"/>
      <c r="DS166" s="78"/>
      <c r="DT166" s="78"/>
      <c r="DU166" s="78"/>
      <c r="DV166" s="78"/>
      <c r="DW166" s="78"/>
      <c r="DX166" s="78"/>
      <c r="DY166" s="78"/>
      <c r="DZ166" s="78"/>
      <c r="EA166" s="78"/>
      <c r="EB166" s="78"/>
      <c r="EC166" s="78"/>
      <c r="ED166" s="78" t="s">
        <v>2563</v>
      </c>
      <c r="EE166" s="78" t="s">
        <v>2564</v>
      </c>
      <c r="EF166" s="78" t="s">
        <v>480</v>
      </c>
      <c r="EG166" s="78"/>
      <c r="EH166" s="78" t="s">
        <v>2565</v>
      </c>
      <c r="EI166" s="125" t="s">
        <v>2564</v>
      </c>
      <c r="EJ166" s="125" t="s">
        <v>480</v>
      </c>
      <c r="EK166" s="125"/>
      <c r="EL166" s="125" t="s">
        <v>2566</v>
      </c>
      <c r="EM166" s="125" t="s">
        <v>2564</v>
      </c>
      <c r="EN166" s="125" t="s">
        <v>480</v>
      </c>
      <c r="EO166" s="125"/>
      <c r="EP166" s="125" t="s">
        <v>2588</v>
      </c>
      <c r="EQ166" s="125" t="s">
        <v>2564</v>
      </c>
      <c r="ER166" s="125" t="s">
        <v>480</v>
      </c>
      <c r="ES166" s="125"/>
      <c r="ET166" s="125" t="s">
        <v>2589</v>
      </c>
      <c r="EU166" s="125" t="s">
        <v>2564</v>
      </c>
      <c r="EV166" s="125" t="s">
        <v>480</v>
      </c>
      <c r="EW166" s="125"/>
      <c r="EX166" s="125"/>
      <c r="EY166" s="125"/>
      <c r="EZ166" s="125"/>
      <c r="FA166" s="125"/>
      <c r="FB166" s="125"/>
      <c r="FC166" s="125"/>
      <c r="FD166" s="125"/>
      <c r="FE166" s="125"/>
      <c r="FF166" s="125"/>
      <c r="FG166" s="125"/>
      <c r="FH166" s="125"/>
      <c r="FI166" s="125"/>
      <c r="FJ166" s="125"/>
      <c r="FK166" s="125"/>
      <c r="FL166" s="125"/>
      <c r="FM166" s="125"/>
      <c r="FN166" s="125"/>
      <c r="FO166" s="125"/>
      <c r="FP166" s="125"/>
      <c r="FQ166" s="125"/>
      <c r="FR166" s="125"/>
      <c r="FS166" s="125"/>
      <c r="FT166" s="125"/>
      <c r="FU166" s="125"/>
      <c r="FV166" s="125"/>
      <c r="FW166" s="125"/>
      <c r="FX166" s="125"/>
      <c r="FY166" s="125"/>
      <c r="FZ166" s="125"/>
      <c r="GA166" s="125"/>
      <c r="GB166" s="125"/>
      <c r="GC166" s="125"/>
      <c r="GD166" s="125"/>
      <c r="GE166" s="125"/>
      <c r="GF166" s="125"/>
      <c r="GG166" s="125"/>
      <c r="GH166" s="125"/>
      <c r="GI166" s="125"/>
      <c r="GJ166" s="125"/>
      <c r="GK166" s="125"/>
      <c r="GL166" s="125"/>
      <c r="GM166" s="125"/>
      <c r="GN166" s="125"/>
      <c r="GO166" s="125"/>
      <c r="GP166" s="125"/>
      <c r="GQ166" s="125"/>
      <c r="GR166" s="125"/>
      <c r="GS166" s="125"/>
      <c r="GT166" s="125"/>
      <c r="GU166" s="125"/>
      <c r="GV166" s="125"/>
      <c r="GW166" s="125"/>
      <c r="GX166" s="125"/>
      <c r="GY166" s="125"/>
      <c r="GZ166" s="125"/>
      <c r="HA166" s="125"/>
      <c r="HB166" s="125"/>
      <c r="HC166" s="125"/>
      <c r="HD166" s="125"/>
      <c r="HE166" s="125"/>
      <c r="HF166" s="125"/>
      <c r="HG166" s="125"/>
      <c r="HH166" s="125"/>
      <c r="HI166" s="125"/>
      <c r="HJ166" s="125"/>
      <c r="HK166" s="125"/>
      <c r="HL166" s="125"/>
      <c r="HM166" s="78"/>
      <c r="HN166" s="78"/>
      <c r="HO166" s="78"/>
      <c r="HP166" s="78"/>
      <c r="HQ166" s="78"/>
      <c r="HR166" s="78"/>
      <c r="HS166" s="78"/>
      <c r="HT166" s="78"/>
      <c r="HU166" s="78"/>
      <c r="HV166" s="78"/>
      <c r="HW166" s="78"/>
      <c r="HX166" s="78"/>
      <c r="HY166" s="126"/>
      <c r="HZ166" s="78"/>
      <c r="IA166" s="78"/>
      <c r="IB166" s="78"/>
      <c r="IC166" s="78"/>
      <c r="ID166" s="78"/>
      <c r="IE166" s="78"/>
      <c r="IF166" s="78"/>
      <c r="IG166" s="78"/>
      <c r="IH166" s="78"/>
      <c r="II166" s="78"/>
      <c r="IJ166" s="78"/>
      <c r="IK166" s="78"/>
      <c r="IL166" s="78"/>
      <c r="IM166" s="78"/>
      <c r="IN166" s="78"/>
      <c r="IO166" s="78"/>
      <c r="IP166" s="78"/>
      <c r="IQ166" s="78"/>
      <c r="IR166" s="78"/>
      <c r="IS166" s="78"/>
      <c r="IT166" s="78"/>
      <c r="IU166" s="78"/>
      <c r="IV166" s="78"/>
      <c r="IW166" s="78"/>
      <c r="IX166" s="78"/>
      <c r="IY166" s="78"/>
      <c r="IZ166" s="78"/>
      <c r="JA166" s="78"/>
      <c r="JB166" s="78"/>
      <c r="JC166" s="78"/>
      <c r="JD166" s="78"/>
      <c r="JE166" s="78"/>
      <c r="JF166" s="78"/>
      <c r="JG166" s="78"/>
      <c r="JH166" s="78"/>
      <c r="JI166" s="78"/>
      <c r="JJ166" s="78"/>
      <c r="JK166" s="78"/>
      <c r="JL166" s="78"/>
      <c r="JM166" s="78"/>
      <c r="JN166" s="78"/>
      <c r="JO166" s="78"/>
      <c r="JP166" s="131"/>
      <c r="JQ166" s="78"/>
      <c r="JR166" s="78"/>
      <c r="JS166" s="78"/>
      <c r="JT166" s="78"/>
      <c r="JU166" s="78"/>
      <c r="JV166" s="78"/>
      <c r="JW166" s="78"/>
      <c r="JX166" s="78"/>
      <c r="JY166" s="78"/>
      <c r="JZ166" s="131"/>
      <c r="KA166" s="78"/>
      <c r="KB166" s="78"/>
      <c r="KC166" s="78"/>
      <c r="KD166" s="78"/>
      <c r="KE166" s="78"/>
      <c r="KF166" s="78"/>
      <c r="KG166" s="78"/>
      <c r="KH166" s="78"/>
      <c r="KI166" s="78"/>
      <c r="KJ166" s="78"/>
      <c r="KK166" s="78"/>
      <c r="KL166" s="78"/>
      <c r="KM166" s="78"/>
      <c r="KN166" s="78"/>
      <c r="KO166" s="78"/>
      <c r="KP166" s="78"/>
      <c r="KQ166" s="78"/>
      <c r="KR166" s="131"/>
      <c r="KS166" s="131"/>
      <c r="KT166" s="131"/>
      <c r="KU166" s="131"/>
      <c r="KV166" s="78"/>
      <c r="KW166" s="78"/>
      <c r="KX166" s="78"/>
      <c r="KY166" s="78"/>
      <c r="KZ166" s="78"/>
      <c r="LA166" s="78"/>
      <c r="LB166" s="78"/>
      <c r="LC166" s="78"/>
      <c r="LD166" s="78"/>
      <c r="LE166" s="78"/>
      <c r="LF166" s="78"/>
      <c r="LG166" s="78"/>
      <c r="LH166" s="78"/>
      <c r="LI166" s="78"/>
      <c r="LJ166" s="78"/>
      <c r="LK166" s="78"/>
      <c r="LL166" s="78"/>
      <c r="LM166" s="78"/>
      <c r="LN166" s="78"/>
      <c r="LO166" s="78"/>
      <c r="LP166" s="78"/>
      <c r="LQ166" s="78"/>
      <c r="LR166" s="78"/>
      <c r="LS166" s="78"/>
      <c r="LT166" s="78"/>
      <c r="LU166" s="78"/>
      <c r="LV166" s="78"/>
      <c r="LW166" s="78"/>
      <c r="LX166" s="78"/>
      <c r="LY166" s="78"/>
      <c r="LZ166" s="78"/>
      <c r="MA166" s="78"/>
      <c r="MB166" s="78"/>
      <c r="MC166" s="78"/>
      <c r="MD166" s="78"/>
      <c r="ME166" s="78"/>
      <c r="MF166" s="78"/>
      <c r="MG166" s="78"/>
      <c r="MH166" s="78"/>
      <c r="MI166" s="78"/>
      <c r="MJ166" s="78"/>
      <c r="MK166" s="78"/>
      <c r="ML166" s="78"/>
      <c r="MM166" s="78"/>
      <c r="MN166" s="78"/>
      <c r="MO166" s="78"/>
      <c r="MP166" s="78"/>
      <c r="MQ166" s="78"/>
      <c r="MR166" s="78"/>
      <c r="MS166" s="78"/>
      <c r="MT166" s="78"/>
      <c r="MU166" s="78"/>
      <c r="MV166" s="78"/>
      <c r="MW166" s="78"/>
      <c r="MX166" s="78"/>
      <c r="MY166" s="78" t="s">
        <v>2590</v>
      </c>
      <c r="MZ166" s="78" t="s">
        <v>480</v>
      </c>
      <c r="NA166" s="78" t="s">
        <v>2568</v>
      </c>
      <c r="NB166" s="78" t="s">
        <v>2569</v>
      </c>
      <c r="NC166" s="78"/>
      <c r="ND166" s="78"/>
      <c r="NE166" s="78"/>
      <c r="NF166" s="78"/>
      <c r="NG166" s="78"/>
      <c r="NH166" s="78"/>
      <c r="NI166" s="78"/>
      <c r="NJ166" s="78" t="s">
        <v>2570</v>
      </c>
      <c r="NK166" s="78" t="s">
        <v>2571</v>
      </c>
      <c r="NL166" s="78" t="s">
        <v>689</v>
      </c>
      <c r="NM166" s="78" t="s">
        <v>2572</v>
      </c>
      <c r="NN166" s="78"/>
      <c r="NO166" s="78"/>
      <c r="NP166" s="78"/>
      <c r="NQ166" s="78"/>
      <c r="NR166" s="78"/>
      <c r="NS166" s="78"/>
      <c r="NT166" s="78"/>
      <c r="NU166" s="78" t="s">
        <v>2591</v>
      </c>
      <c r="NV166" s="78" t="s">
        <v>518</v>
      </c>
      <c r="NW166" s="78">
        <v>6.67</v>
      </c>
      <c r="NX166" s="78" t="s">
        <v>916</v>
      </c>
      <c r="NY166" s="78">
        <v>2.4</v>
      </c>
      <c r="NZ166" s="78"/>
      <c r="OA166" s="78"/>
      <c r="OB166" s="78">
        <v>3</v>
      </c>
      <c r="OC166" s="78"/>
      <c r="OD166" s="78"/>
      <c r="OE166" s="78"/>
      <c r="OF166" s="78"/>
      <c r="OG166" s="78"/>
      <c r="OH166" s="78"/>
      <c r="OI166" s="78"/>
      <c r="OJ166" s="78"/>
      <c r="OK166" s="78"/>
      <c r="OL166" s="78"/>
      <c r="OM166" s="78"/>
      <c r="ON166" s="78"/>
      <c r="OO166" s="78"/>
      <c r="OP166" s="78"/>
      <c r="OQ166" s="78"/>
      <c r="OR166" s="78"/>
      <c r="OS166" s="78"/>
      <c r="OT166" s="78"/>
      <c r="OU166" s="78" t="s">
        <v>2573</v>
      </c>
      <c r="OV166" s="78" t="s">
        <v>518</v>
      </c>
      <c r="OW166" s="78">
        <v>2005</v>
      </c>
      <c r="OX166" s="78"/>
      <c r="OY166" s="78"/>
      <c r="OZ166" s="78"/>
      <c r="PA166" s="78"/>
      <c r="PB166" s="78" t="s">
        <v>1342</v>
      </c>
      <c r="PC166" s="126" t="s">
        <v>2574</v>
      </c>
      <c r="PD166" s="78"/>
      <c r="PE166" t="s">
        <v>522</v>
      </c>
      <c r="PF166" s="78"/>
      <c r="PG166" s="78" t="s">
        <v>2575</v>
      </c>
      <c r="PH166" s="124" t="s">
        <v>2576</v>
      </c>
    </row>
    <row r="167" spans="1:424">
      <c r="A167" t="s">
        <v>665</v>
      </c>
      <c r="B167" s="78" t="s">
        <v>2552</v>
      </c>
      <c r="C167" t="s">
        <v>1252</v>
      </c>
      <c r="D167" t="s">
        <v>472</v>
      </c>
      <c r="E167" s="11" t="s">
        <v>2592</v>
      </c>
      <c r="F167" t="s">
        <v>2593</v>
      </c>
      <c r="G167" t="s">
        <v>475</v>
      </c>
      <c r="H167" t="s">
        <v>2556</v>
      </c>
      <c r="I167">
        <v>10.29</v>
      </c>
      <c r="J167">
        <v>76.875</v>
      </c>
      <c r="K167">
        <v>600</v>
      </c>
      <c r="L167" t="s">
        <v>1252</v>
      </c>
      <c r="M167" t="s">
        <v>472</v>
      </c>
      <c r="N167" s="11" t="s">
        <v>2594</v>
      </c>
      <c r="O167" t="s">
        <v>2593</v>
      </c>
      <c r="P167" t="s">
        <v>475</v>
      </c>
      <c r="Q167" t="s">
        <v>2556</v>
      </c>
      <c r="R167">
        <v>10.348000000000001</v>
      </c>
      <c r="S167">
        <v>76.935000000000002</v>
      </c>
      <c r="T167">
        <v>600</v>
      </c>
      <c r="AV167" t="s">
        <v>2559</v>
      </c>
      <c r="AW167" t="s">
        <v>480</v>
      </c>
      <c r="AX167">
        <v>1838000</v>
      </c>
      <c r="AY167">
        <v>1</v>
      </c>
      <c r="AZ167" t="s">
        <v>2560</v>
      </c>
      <c r="BA167">
        <v>2005</v>
      </c>
      <c r="BC167" t="s">
        <v>2561</v>
      </c>
      <c r="BD167" t="s">
        <v>2595</v>
      </c>
      <c r="BE167" t="s">
        <v>572</v>
      </c>
      <c r="BF167" t="s">
        <v>484</v>
      </c>
      <c r="BG167" t="s">
        <v>1168</v>
      </c>
      <c r="BH167" t="s">
        <v>480</v>
      </c>
      <c r="BI167" t="s">
        <v>480</v>
      </c>
      <c r="BJ167" t="s">
        <v>480</v>
      </c>
      <c r="ED167" t="s">
        <v>2596</v>
      </c>
      <c r="EE167" t="s">
        <v>480</v>
      </c>
      <c r="EF167" t="s">
        <v>480</v>
      </c>
      <c r="EH167" t="s">
        <v>2566</v>
      </c>
      <c r="EI167" s="9" t="s">
        <v>480</v>
      </c>
      <c r="EJ167" s="9" t="s">
        <v>480</v>
      </c>
      <c r="EK167" s="9"/>
      <c r="EL167" s="9" t="s">
        <v>2563</v>
      </c>
      <c r="EM167" s="9" t="s">
        <v>480</v>
      </c>
      <c r="EN167" s="9" t="s">
        <v>480</v>
      </c>
      <c r="EO167" s="9"/>
      <c r="EP167" s="9" t="s">
        <v>2565</v>
      </c>
      <c r="EQ167" s="9" t="s">
        <v>480</v>
      </c>
      <c r="ER167" s="9" t="s">
        <v>480</v>
      </c>
      <c r="ES167" s="9"/>
      <c r="ET167" s="9" t="s">
        <v>2597</v>
      </c>
      <c r="EU167" s="9" t="s">
        <v>480</v>
      </c>
      <c r="EV167" s="9" t="s">
        <v>480</v>
      </c>
      <c r="EW167" s="9"/>
      <c r="EX167" s="9"/>
      <c r="EY167" s="9"/>
      <c r="EZ167" s="9"/>
      <c r="FA167" s="9"/>
      <c r="FB167" s="9"/>
      <c r="FC167" s="9"/>
      <c r="FD167" s="9"/>
      <c r="FE167" s="9"/>
      <c r="FF167" s="9"/>
      <c r="FG167" s="9"/>
      <c r="FH167" s="9"/>
      <c r="FI167" s="9"/>
      <c r="FJ167" s="9"/>
      <c r="FK167" s="9"/>
      <c r="FL167" s="9"/>
      <c r="FM167" s="9"/>
      <c r="FN167" s="9"/>
      <c r="FO167" s="9"/>
      <c r="FP167" s="9"/>
      <c r="FQ167" s="9"/>
      <c r="FR167" s="9"/>
      <c r="FS167" s="9"/>
      <c r="FT167" s="9"/>
      <c r="FU167" s="9"/>
      <c r="FV167" s="9"/>
      <c r="FW167" s="9"/>
      <c r="FX167" s="9"/>
      <c r="FY167" s="9"/>
      <c r="FZ167" s="9"/>
      <c r="GA167" s="9"/>
      <c r="GB167" s="9"/>
      <c r="GC167" s="9"/>
      <c r="GD167" s="9"/>
      <c r="GE167" s="9"/>
      <c r="GF167" s="9"/>
      <c r="GG167" s="9"/>
      <c r="GH167" s="9"/>
      <c r="GI167" s="9"/>
      <c r="GJ167" s="9"/>
      <c r="GK167" s="9"/>
      <c r="GL167" s="9"/>
      <c r="GM167" s="9"/>
      <c r="GN167" s="9"/>
      <c r="GO167" s="9"/>
      <c r="GP167" s="9"/>
      <c r="GQ167" s="9"/>
      <c r="GR167" s="9"/>
      <c r="GS167" s="9"/>
      <c r="GT167" s="9"/>
      <c r="GU167" s="9"/>
      <c r="GV167" s="9"/>
      <c r="GW167" s="9"/>
      <c r="GX167" s="9"/>
      <c r="GY167" s="9"/>
      <c r="GZ167" s="9"/>
      <c r="HA167" s="9"/>
      <c r="HB167" s="9"/>
      <c r="HC167" s="9"/>
      <c r="HD167" s="9"/>
      <c r="HE167" s="9"/>
      <c r="HF167" s="9"/>
      <c r="HG167" s="9"/>
      <c r="HH167" s="9"/>
      <c r="HI167" s="9"/>
      <c r="HJ167" s="9"/>
      <c r="HK167" s="9"/>
      <c r="HL167" s="9"/>
      <c r="HY167" s="50"/>
      <c r="IV167" t="s">
        <v>2598</v>
      </c>
      <c r="IW167" t="s">
        <v>1361</v>
      </c>
      <c r="JJ167" t="s">
        <v>2599</v>
      </c>
      <c r="JK167" t="s">
        <v>2600</v>
      </c>
      <c r="JP167" s="9"/>
      <c r="JZ167" s="9"/>
      <c r="KE167" t="s">
        <v>2601</v>
      </c>
      <c r="KF167" t="s">
        <v>1001</v>
      </c>
      <c r="KR167" s="9"/>
      <c r="KS167" s="9"/>
      <c r="KT167" s="9"/>
      <c r="KU167" s="9"/>
      <c r="MY167" t="s">
        <v>2602</v>
      </c>
      <c r="MZ167" t="s">
        <v>480</v>
      </c>
      <c r="NA167" t="s">
        <v>2568</v>
      </c>
      <c r="NB167" t="s">
        <v>2569</v>
      </c>
      <c r="NJ167" t="s">
        <v>2570</v>
      </c>
      <c r="NK167" t="s">
        <v>2571</v>
      </c>
      <c r="NL167" t="s">
        <v>689</v>
      </c>
      <c r="NM167" t="s">
        <v>2572</v>
      </c>
      <c r="NU167" t="s">
        <v>2603</v>
      </c>
      <c r="NV167" t="s">
        <v>518</v>
      </c>
      <c r="NW167">
        <v>11.5</v>
      </c>
      <c r="NX167" t="s">
        <v>916</v>
      </c>
      <c r="NY167">
        <v>3.82</v>
      </c>
      <c r="OB167">
        <v>2</v>
      </c>
      <c r="OU167" t="s">
        <v>2573</v>
      </c>
      <c r="OV167" t="s">
        <v>518</v>
      </c>
      <c r="OW167">
        <v>2005</v>
      </c>
      <c r="PB167" t="s">
        <v>1342</v>
      </c>
      <c r="PC167" s="50" t="s">
        <v>2574</v>
      </c>
      <c r="PE167" t="s">
        <v>522</v>
      </c>
      <c r="PG167" s="78" t="s">
        <v>2575</v>
      </c>
      <c r="PH167" s="124" t="s">
        <v>2576</v>
      </c>
    </row>
    <row r="168" spans="1:424">
      <c r="A168" s="78" t="s">
        <v>665</v>
      </c>
      <c r="B168" s="78" t="s">
        <v>2552</v>
      </c>
      <c r="C168" s="78" t="s">
        <v>1252</v>
      </c>
      <c r="D168" s="78" t="s">
        <v>2553</v>
      </c>
      <c r="E168" s="225" t="s">
        <v>2554</v>
      </c>
      <c r="F168" s="78" t="s">
        <v>2555</v>
      </c>
      <c r="G168" s="78" t="s">
        <v>475</v>
      </c>
      <c r="H168" s="78" t="s">
        <v>2556</v>
      </c>
      <c r="I168" s="78">
        <v>10.3622</v>
      </c>
      <c r="J168" s="78">
        <v>76.980199999999996</v>
      </c>
      <c r="K168" s="78">
        <v>3000</v>
      </c>
      <c r="L168" s="78" t="s">
        <v>1252</v>
      </c>
      <c r="M168" s="78" t="s">
        <v>2553</v>
      </c>
      <c r="N168" s="225" t="s">
        <v>2557</v>
      </c>
      <c r="O168" s="78" t="s">
        <v>2555</v>
      </c>
      <c r="P168" s="78" t="s">
        <v>475</v>
      </c>
      <c r="Q168" s="78" t="s">
        <v>2556</v>
      </c>
      <c r="R168" s="78">
        <v>10.385</v>
      </c>
      <c r="S168" s="78">
        <v>76.95</v>
      </c>
      <c r="T168" s="78">
        <v>1000</v>
      </c>
      <c r="U168" s="78" t="s">
        <v>1252</v>
      </c>
      <c r="V168" s="78" t="s">
        <v>2553</v>
      </c>
      <c r="W168" s="78" t="s">
        <v>2558</v>
      </c>
      <c r="X168" s="78" t="s">
        <v>2555</v>
      </c>
      <c r="Y168" s="78" t="s">
        <v>475</v>
      </c>
      <c r="Z168" s="78" t="s">
        <v>2556</v>
      </c>
      <c r="AA168" s="78">
        <v>10.234999999999999</v>
      </c>
      <c r="AB168" s="78">
        <v>76.89</v>
      </c>
      <c r="AC168" s="78">
        <v>1500</v>
      </c>
      <c r="AD168" s="78"/>
      <c r="AE168" s="78"/>
      <c r="AF168" s="78"/>
      <c r="AG168" s="78"/>
      <c r="AH168" s="78"/>
      <c r="AI168" s="78"/>
      <c r="AJ168" s="78"/>
      <c r="AK168" s="78"/>
      <c r="AL168" s="78"/>
      <c r="AM168" s="78"/>
      <c r="AN168" s="78"/>
      <c r="AO168" s="78"/>
      <c r="AP168" s="78"/>
      <c r="AQ168" s="78"/>
      <c r="AR168" s="78"/>
      <c r="AS168" s="78"/>
      <c r="AT168" s="78"/>
      <c r="AU168" s="78"/>
      <c r="AV168" s="78" t="s">
        <v>2559</v>
      </c>
      <c r="AW168" s="78" t="s">
        <v>480</v>
      </c>
      <c r="AX168" s="78">
        <v>29850000</v>
      </c>
      <c r="AY168" s="78">
        <v>1</v>
      </c>
      <c r="AZ168" s="78" t="s">
        <v>2560</v>
      </c>
      <c r="BA168" s="78">
        <v>2005</v>
      </c>
      <c r="BB168" s="78"/>
      <c r="BC168" s="78" t="s">
        <v>2561</v>
      </c>
      <c r="BD168" s="78" t="s">
        <v>2562</v>
      </c>
      <c r="BE168" s="78" t="s">
        <v>524</v>
      </c>
      <c r="BF168" s="78" t="s">
        <v>1084</v>
      </c>
      <c r="BG168" s="78"/>
      <c r="BH168" s="78"/>
      <c r="BI168" s="78"/>
      <c r="BJ168" s="78"/>
      <c r="BK168" s="78"/>
      <c r="BL168" s="78"/>
      <c r="BM168" s="78"/>
      <c r="BN168" s="78"/>
      <c r="BO168" s="78"/>
      <c r="BP168" s="78"/>
      <c r="BQ168" s="78"/>
      <c r="BR168" s="78"/>
      <c r="BS168" s="78"/>
      <c r="BT168" s="78"/>
      <c r="BU168" s="78"/>
      <c r="BV168" s="78"/>
      <c r="BW168" s="78"/>
      <c r="BX168" s="78"/>
      <c r="BY168" s="78"/>
      <c r="BZ168" s="78"/>
      <c r="CA168" s="78"/>
      <c r="CB168" s="78"/>
      <c r="CC168" s="78"/>
      <c r="CD168" s="78"/>
      <c r="CE168" s="78"/>
      <c r="CF168" s="78"/>
      <c r="CG168" s="78"/>
      <c r="CH168" s="78"/>
      <c r="CI168" s="78"/>
      <c r="CJ168" s="78"/>
      <c r="CK168" s="78"/>
      <c r="CL168" s="78"/>
      <c r="CM168" s="78"/>
      <c r="CN168" s="78"/>
      <c r="CO168" s="78"/>
      <c r="CP168" s="78"/>
      <c r="CQ168" s="78"/>
      <c r="CR168" s="78"/>
      <c r="CS168" s="78"/>
      <c r="CT168" s="78"/>
      <c r="CU168" s="78"/>
      <c r="CV168" s="78"/>
      <c r="CW168" s="78"/>
      <c r="CX168" s="78"/>
      <c r="CY168" s="78"/>
      <c r="CZ168" s="78"/>
      <c r="DA168" s="78"/>
      <c r="DB168" s="78"/>
      <c r="DC168" s="78"/>
      <c r="DD168" s="78"/>
      <c r="DE168" s="78"/>
      <c r="DF168" s="78"/>
      <c r="DG168" s="78"/>
      <c r="DH168" s="78"/>
      <c r="DI168" s="78"/>
      <c r="DJ168" s="78"/>
      <c r="DK168" s="78"/>
      <c r="DL168" s="78"/>
      <c r="DM168" s="78"/>
      <c r="DN168" s="78"/>
      <c r="DO168" s="78"/>
      <c r="DP168" s="78"/>
      <c r="DQ168" s="78"/>
      <c r="DR168" s="78"/>
      <c r="DS168" s="78"/>
      <c r="DT168" s="78"/>
      <c r="DU168" s="78"/>
      <c r="DV168" s="78"/>
      <c r="DW168" s="78"/>
      <c r="DX168" s="78"/>
      <c r="DY168" s="78"/>
      <c r="DZ168" s="78"/>
      <c r="EA168" s="78"/>
      <c r="EB168" s="78"/>
      <c r="EC168" s="78"/>
      <c r="ED168" s="78" t="s">
        <v>2563</v>
      </c>
      <c r="EE168" s="78" t="s">
        <v>2564</v>
      </c>
      <c r="EF168" s="78" t="s">
        <v>480</v>
      </c>
      <c r="EG168" s="78"/>
      <c r="EH168" s="78" t="s">
        <v>2565</v>
      </c>
      <c r="EI168" s="125" t="s">
        <v>2564</v>
      </c>
      <c r="EJ168" s="125" t="s">
        <v>480</v>
      </c>
      <c r="EK168" s="125"/>
      <c r="EL168" s="125" t="s">
        <v>2566</v>
      </c>
      <c r="EM168" s="125" t="s">
        <v>2564</v>
      </c>
      <c r="EN168" s="125" t="s">
        <v>480</v>
      </c>
      <c r="EO168" s="125"/>
      <c r="EP168" s="125"/>
      <c r="EQ168" s="125"/>
      <c r="ER168" s="125"/>
      <c r="ES168" s="125"/>
      <c r="ET168" s="125"/>
      <c r="EU168" s="125"/>
      <c r="EV168" s="125"/>
      <c r="EW168" s="125"/>
      <c r="EX168" s="125"/>
      <c r="EY168" s="125"/>
      <c r="EZ168" s="125"/>
      <c r="FA168" s="125"/>
      <c r="FB168" s="125"/>
      <c r="FC168" s="125"/>
      <c r="FD168" s="125"/>
      <c r="FE168" s="125"/>
      <c r="FF168" s="125"/>
      <c r="FG168" s="125"/>
      <c r="FH168" s="125"/>
      <c r="FI168" s="125"/>
      <c r="FJ168" s="125"/>
      <c r="FK168" s="125"/>
      <c r="FL168" s="125"/>
      <c r="FM168" s="125"/>
      <c r="FN168" s="125"/>
      <c r="FO168" s="125"/>
      <c r="FP168" s="125"/>
      <c r="FQ168" s="125"/>
      <c r="FR168" s="125"/>
      <c r="FS168" s="125"/>
      <c r="FT168" s="125"/>
      <c r="FU168" s="125"/>
      <c r="FV168" s="125"/>
      <c r="FW168" s="125"/>
      <c r="FX168" s="125"/>
      <c r="FY168" s="125"/>
      <c r="FZ168" s="125"/>
      <c r="GA168" s="125"/>
      <c r="GB168" s="125"/>
      <c r="GC168" s="125"/>
      <c r="GD168" s="125"/>
      <c r="GE168" s="125"/>
      <c r="GF168" s="125"/>
      <c r="GG168" s="125"/>
      <c r="GH168" s="125"/>
      <c r="GI168" s="125"/>
      <c r="GJ168" s="125"/>
      <c r="GK168" s="125"/>
      <c r="GL168" s="125"/>
      <c r="GM168" s="125"/>
      <c r="GN168" s="125"/>
      <c r="GO168" s="125"/>
      <c r="GP168" s="125"/>
      <c r="GQ168" s="125"/>
      <c r="GR168" s="125"/>
      <c r="GS168" s="125"/>
      <c r="GT168" s="125"/>
      <c r="GU168" s="125"/>
      <c r="GV168" s="125"/>
      <c r="GW168" s="125"/>
      <c r="GX168" s="125"/>
      <c r="GY168" s="125"/>
      <c r="GZ168" s="125"/>
      <c r="HA168" s="125"/>
      <c r="HB168" s="125"/>
      <c r="HC168" s="125"/>
      <c r="HD168" s="125"/>
      <c r="HE168" s="125"/>
      <c r="HF168" s="125"/>
      <c r="HG168" s="125"/>
      <c r="HH168" s="125"/>
      <c r="HI168" s="125"/>
      <c r="HJ168" s="125"/>
      <c r="HK168" s="125"/>
      <c r="HL168" s="125"/>
      <c r="HM168" s="78"/>
      <c r="HN168" s="78"/>
      <c r="HO168" s="78"/>
      <c r="HP168" s="78"/>
      <c r="HQ168" s="78"/>
      <c r="HR168" s="78"/>
      <c r="HS168" s="78"/>
      <c r="HT168" s="78"/>
      <c r="HU168" s="78"/>
      <c r="HV168" s="78"/>
      <c r="HW168" s="78"/>
      <c r="HX168" s="78"/>
      <c r="HY168" s="126"/>
      <c r="HZ168" s="78"/>
      <c r="IA168" s="78"/>
      <c r="IB168" s="78"/>
      <c r="IC168" s="78"/>
      <c r="ID168" s="78"/>
      <c r="IE168" s="78"/>
      <c r="IF168" s="78"/>
      <c r="IG168" s="78"/>
      <c r="IH168" s="78"/>
      <c r="II168" s="78"/>
      <c r="IJ168" s="78"/>
      <c r="IK168" s="78"/>
      <c r="IL168" s="78"/>
      <c r="IM168" s="78"/>
      <c r="IN168" s="78"/>
      <c r="IO168" s="78"/>
      <c r="IP168" s="78"/>
      <c r="IQ168" s="78"/>
      <c r="IR168" s="78"/>
      <c r="IS168" s="78"/>
      <c r="IT168" s="78"/>
      <c r="IU168" s="78"/>
      <c r="IV168" s="78"/>
      <c r="IW168" s="78"/>
      <c r="IX168" s="78"/>
      <c r="IY168" s="78"/>
      <c r="IZ168" s="78"/>
      <c r="JA168" s="78"/>
      <c r="JB168" s="78"/>
      <c r="JC168" s="78"/>
      <c r="JD168" s="78"/>
      <c r="JE168" s="78"/>
      <c r="JF168" s="78"/>
      <c r="JG168" s="78"/>
      <c r="JH168" s="78"/>
      <c r="JI168" s="78"/>
      <c r="JJ168" s="78"/>
      <c r="JK168" s="78"/>
      <c r="JL168" s="78"/>
      <c r="JM168" s="78"/>
      <c r="JN168" s="78"/>
      <c r="JO168" s="78"/>
      <c r="JP168" s="131"/>
      <c r="JQ168" s="78"/>
      <c r="JR168" s="78"/>
      <c r="JS168" s="78"/>
      <c r="JT168" s="78"/>
      <c r="JU168" s="78"/>
      <c r="JV168" s="78"/>
      <c r="JW168" s="78"/>
      <c r="JX168" s="78"/>
      <c r="JY168" s="78"/>
      <c r="JZ168" s="131"/>
      <c r="KA168" s="78"/>
      <c r="KB168" s="78"/>
      <c r="KC168" s="78"/>
      <c r="KD168" s="78"/>
      <c r="KE168" s="78"/>
      <c r="KF168" s="78"/>
      <c r="KG168" s="78"/>
      <c r="KH168" s="78"/>
      <c r="KI168" s="78"/>
      <c r="KJ168" s="78"/>
      <c r="KK168" s="78"/>
      <c r="KL168" s="78"/>
      <c r="KM168" s="78"/>
      <c r="KN168" s="78"/>
      <c r="KO168" s="78"/>
      <c r="KP168" s="78"/>
      <c r="KQ168" s="78"/>
      <c r="KR168" s="131"/>
      <c r="KS168" s="131"/>
      <c r="KT168" s="131"/>
      <c r="KU168" s="131"/>
      <c r="KV168" s="78"/>
      <c r="KW168" s="78"/>
      <c r="KX168" s="78"/>
      <c r="KY168" s="78"/>
      <c r="KZ168" s="78"/>
      <c r="LA168" s="78"/>
      <c r="LB168" s="78"/>
      <c r="LC168" s="78"/>
      <c r="LD168" s="78"/>
      <c r="LE168" s="78"/>
      <c r="LF168" s="78"/>
      <c r="LG168" s="78"/>
      <c r="LH168" s="78"/>
      <c r="LI168" s="78"/>
      <c r="LJ168" s="78"/>
      <c r="LK168" s="78"/>
      <c r="LL168" s="78"/>
      <c r="LM168" s="78"/>
      <c r="LN168" s="78"/>
      <c r="LO168" s="78"/>
      <c r="LP168" s="78"/>
      <c r="LQ168" s="78"/>
      <c r="LR168" s="78"/>
      <c r="LS168" s="78"/>
      <c r="LT168" s="78"/>
      <c r="LU168" s="78"/>
      <c r="LV168" s="78"/>
      <c r="LW168" s="78"/>
      <c r="LX168" s="78"/>
      <c r="LY168" s="78"/>
      <c r="LZ168" s="78"/>
      <c r="MA168" s="78"/>
      <c r="MB168" s="78"/>
      <c r="MC168" s="78"/>
      <c r="MD168" s="78"/>
      <c r="ME168" s="78"/>
      <c r="MF168" s="78"/>
      <c r="MG168" s="78"/>
      <c r="MH168" s="78"/>
      <c r="MI168" s="78"/>
      <c r="MJ168" s="78"/>
      <c r="MK168" s="78"/>
      <c r="ML168" s="78"/>
      <c r="MM168" s="78"/>
      <c r="MN168" s="78"/>
      <c r="MO168" s="78"/>
      <c r="MP168" s="78"/>
      <c r="MQ168" s="78"/>
      <c r="MR168" s="78"/>
      <c r="MS168" s="78"/>
      <c r="MT168" s="78"/>
      <c r="MU168" s="78"/>
      <c r="MV168" s="78"/>
      <c r="MW168" s="78"/>
      <c r="MX168" s="78"/>
      <c r="MY168" s="78" t="s">
        <v>2567</v>
      </c>
      <c r="MZ168" s="78" t="s">
        <v>480</v>
      </c>
      <c r="NA168" s="78" t="s">
        <v>2568</v>
      </c>
      <c r="NB168" s="78" t="s">
        <v>2569</v>
      </c>
      <c r="NC168" s="78"/>
      <c r="ND168" s="78"/>
      <c r="NE168" s="78"/>
      <c r="NF168" s="78"/>
      <c r="NG168" s="78"/>
      <c r="NH168" s="78"/>
      <c r="NI168" s="78"/>
      <c r="NJ168" s="78" t="s">
        <v>2604</v>
      </c>
      <c r="NK168" s="78" t="s">
        <v>2605</v>
      </c>
      <c r="NL168" s="78" t="s">
        <v>1099</v>
      </c>
      <c r="NM168" s="78" t="s">
        <v>2606</v>
      </c>
      <c r="NN168" s="78"/>
      <c r="NO168" s="78"/>
      <c r="NP168" s="78"/>
      <c r="NQ168" s="78"/>
      <c r="NR168" s="78"/>
      <c r="NS168" s="78"/>
      <c r="NT168" s="78"/>
      <c r="NU168" s="78" t="s">
        <v>1116</v>
      </c>
      <c r="NV168" s="78" t="s">
        <v>518</v>
      </c>
      <c r="NW168" s="78">
        <v>2.63</v>
      </c>
      <c r="NX168" s="78" t="s">
        <v>916</v>
      </c>
      <c r="NY168" s="78">
        <v>0.53</v>
      </c>
      <c r="NZ168" s="78"/>
      <c r="OA168" s="78"/>
      <c r="OB168" s="78">
        <v>3</v>
      </c>
      <c r="OC168" s="78"/>
      <c r="OD168" s="78"/>
      <c r="OE168" s="78"/>
      <c r="OF168" s="78"/>
      <c r="OG168" s="78"/>
      <c r="OH168" s="78"/>
      <c r="OI168" s="78"/>
      <c r="OJ168" s="78"/>
      <c r="OK168" s="78"/>
      <c r="OL168" s="78"/>
      <c r="OM168" s="78"/>
      <c r="ON168" s="78"/>
      <c r="OO168" s="78"/>
      <c r="OP168" s="78"/>
      <c r="OQ168" s="78"/>
      <c r="OR168" s="78"/>
      <c r="OS168" s="78"/>
      <c r="OT168" s="78"/>
      <c r="OU168" s="78" t="s">
        <v>2607</v>
      </c>
      <c r="OV168" s="78" t="s">
        <v>518</v>
      </c>
      <c r="OW168" s="78">
        <v>2005</v>
      </c>
      <c r="OX168" s="78"/>
      <c r="OY168" s="78"/>
      <c r="OZ168" s="78"/>
      <c r="PA168" s="78"/>
      <c r="PB168" s="78" t="s">
        <v>1342</v>
      </c>
      <c r="PC168" s="126" t="s">
        <v>2574</v>
      </c>
      <c r="PD168" s="78"/>
      <c r="PE168" t="s">
        <v>522</v>
      </c>
      <c r="PF168" s="78"/>
      <c r="PG168" s="78" t="s">
        <v>2575</v>
      </c>
      <c r="PH168" s="124" t="s">
        <v>2576</v>
      </c>
    </row>
    <row r="169" spans="1:424">
      <c r="A169" t="s">
        <v>665</v>
      </c>
      <c r="B169" s="78" t="s">
        <v>2552</v>
      </c>
      <c r="C169" t="s">
        <v>1252</v>
      </c>
      <c r="D169" t="s">
        <v>472</v>
      </c>
      <c r="E169" s="11" t="s">
        <v>2577</v>
      </c>
      <c r="F169" t="s">
        <v>1322</v>
      </c>
      <c r="G169" t="s">
        <v>475</v>
      </c>
      <c r="H169" t="s">
        <v>2556</v>
      </c>
      <c r="I169">
        <v>10.37</v>
      </c>
      <c r="J169">
        <v>76.984999999999999</v>
      </c>
      <c r="K169">
        <v>500</v>
      </c>
      <c r="L169" t="s">
        <v>1252</v>
      </c>
      <c r="M169" t="s">
        <v>472</v>
      </c>
      <c r="N169" s="11" t="s">
        <v>2578</v>
      </c>
      <c r="O169" t="s">
        <v>1322</v>
      </c>
      <c r="P169" t="s">
        <v>475</v>
      </c>
      <c r="Q169" t="s">
        <v>2556</v>
      </c>
      <c r="R169">
        <v>10.3512</v>
      </c>
      <c r="S169">
        <v>76.938400000000001</v>
      </c>
      <c r="T169">
        <v>400</v>
      </c>
      <c r="U169" t="s">
        <v>1252</v>
      </c>
      <c r="V169" t="s">
        <v>472</v>
      </c>
      <c r="W169" t="s">
        <v>2579</v>
      </c>
      <c r="X169" t="s">
        <v>1322</v>
      </c>
      <c r="Y169" t="s">
        <v>475</v>
      </c>
      <c r="Z169" t="s">
        <v>2556</v>
      </c>
      <c r="AA169">
        <v>10.279</v>
      </c>
      <c r="AB169">
        <v>76.8874</v>
      </c>
      <c r="AC169">
        <v>500</v>
      </c>
      <c r="AD169" t="s">
        <v>1252</v>
      </c>
      <c r="AE169" t="s">
        <v>472</v>
      </c>
      <c r="AF169" t="s">
        <v>2580</v>
      </c>
      <c r="AG169" t="s">
        <v>1322</v>
      </c>
      <c r="AH169" t="s">
        <v>475</v>
      </c>
      <c r="AI169" t="s">
        <v>2556</v>
      </c>
      <c r="AJ169">
        <v>10.345000000000001</v>
      </c>
      <c r="AK169">
        <v>76.924999999999997</v>
      </c>
      <c r="AL169">
        <v>300</v>
      </c>
      <c r="AV169" t="s">
        <v>2559</v>
      </c>
      <c r="AW169" t="s">
        <v>480</v>
      </c>
      <c r="AX169">
        <v>2316000</v>
      </c>
      <c r="AY169">
        <v>1</v>
      </c>
      <c r="AZ169" t="s">
        <v>2560</v>
      </c>
      <c r="BA169">
        <v>2005</v>
      </c>
      <c r="BC169" t="s">
        <v>2561</v>
      </c>
      <c r="BD169" t="s">
        <v>2581</v>
      </c>
      <c r="BE169" t="s">
        <v>536</v>
      </c>
      <c r="BF169" t="s">
        <v>1084</v>
      </c>
      <c r="ED169" t="s">
        <v>2563</v>
      </c>
      <c r="EE169" t="s">
        <v>2564</v>
      </c>
      <c r="EF169" t="s">
        <v>480</v>
      </c>
      <c r="EH169" t="s">
        <v>2565</v>
      </c>
      <c r="EI169" s="9" t="s">
        <v>2564</v>
      </c>
      <c r="EJ169" s="9" t="s">
        <v>480</v>
      </c>
      <c r="EK169" s="9"/>
      <c r="EL169" s="9" t="s">
        <v>2566</v>
      </c>
      <c r="EM169" s="9" t="s">
        <v>2564</v>
      </c>
      <c r="EN169" s="9" t="s">
        <v>480</v>
      </c>
      <c r="EO169" s="9"/>
      <c r="EP169" s="9"/>
      <c r="EQ169" s="9"/>
      <c r="ER169" s="9"/>
      <c r="ES169" s="9"/>
      <c r="ET169" s="9"/>
      <c r="EU169" s="9"/>
      <c r="EV169" s="9"/>
      <c r="EW169" s="9"/>
      <c r="EX169" s="9"/>
      <c r="EY169" s="9"/>
      <c r="EZ169" s="9"/>
      <c r="FA169" s="9"/>
      <c r="FB169" s="9"/>
      <c r="FC169" s="9"/>
      <c r="FD169" s="9"/>
      <c r="FE169" s="9"/>
      <c r="FF169" s="9"/>
      <c r="FG169" s="9"/>
      <c r="FH169" s="9"/>
      <c r="FI169" s="9"/>
      <c r="FJ169" s="9"/>
      <c r="FK169" s="9"/>
      <c r="FL169" s="9"/>
      <c r="FM169" s="9"/>
      <c r="FN169" s="9"/>
      <c r="FO169" s="9"/>
      <c r="FP169" s="9"/>
      <c r="FQ169" s="9"/>
      <c r="FR169" s="9"/>
      <c r="FS169" s="9"/>
      <c r="FT169" s="9"/>
      <c r="FU169" s="9"/>
      <c r="FV169" s="9"/>
      <c r="FW169" s="9"/>
      <c r="FX169" s="9"/>
      <c r="FY169" s="9"/>
      <c r="FZ169" s="9"/>
      <c r="GA169" s="9"/>
      <c r="GB169" s="9"/>
      <c r="GC169" s="9"/>
      <c r="GD169" s="9"/>
      <c r="GE169" s="9"/>
      <c r="GF169" s="9"/>
      <c r="GG169" s="9"/>
      <c r="GH169" s="9"/>
      <c r="GI169" s="9"/>
      <c r="GJ169" s="9"/>
      <c r="GK169" s="9"/>
      <c r="GL169" s="9"/>
      <c r="GM169" s="9"/>
      <c r="GN169" s="9"/>
      <c r="GO169" s="9"/>
      <c r="GP169" s="9"/>
      <c r="GQ169" s="9"/>
      <c r="GR169" s="9"/>
      <c r="GS169" s="9"/>
      <c r="GT169" s="9"/>
      <c r="GU169" s="9"/>
      <c r="GV169" s="9"/>
      <c r="GW169" s="9"/>
      <c r="GX169" s="9"/>
      <c r="GY169" s="9"/>
      <c r="GZ169" s="9"/>
      <c r="HA169" s="9"/>
      <c r="HB169" s="9"/>
      <c r="HC169" s="9"/>
      <c r="HD169" s="9"/>
      <c r="HE169" s="9"/>
      <c r="HF169" s="9"/>
      <c r="HG169" s="9"/>
      <c r="HH169" s="9"/>
      <c r="HI169" s="9"/>
      <c r="HJ169" s="9"/>
      <c r="HK169" s="9"/>
      <c r="HL169" s="9"/>
      <c r="HY169" s="50"/>
      <c r="JP169" s="9"/>
      <c r="JZ169" s="9"/>
      <c r="KR169" s="9"/>
      <c r="KS169" s="9"/>
      <c r="KT169" s="9"/>
      <c r="KU169" s="9"/>
      <c r="MY169" t="s">
        <v>2582</v>
      </c>
      <c r="MZ169" t="s">
        <v>480</v>
      </c>
      <c r="NA169" t="s">
        <v>2568</v>
      </c>
      <c r="NB169" t="s">
        <v>2569</v>
      </c>
      <c r="NJ169" t="s">
        <v>2604</v>
      </c>
      <c r="NK169" t="s">
        <v>2605</v>
      </c>
      <c r="NL169" t="s">
        <v>1099</v>
      </c>
      <c r="NM169" t="s">
        <v>2606</v>
      </c>
      <c r="NU169" t="s">
        <v>2583</v>
      </c>
      <c r="NV169" t="s">
        <v>518</v>
      </c>
      <c r="NW169">
        <v>2.7</v>
      </c>
      <c r="NX169" t="s">
        <v>916</v>
      </c>
      <c r="NY169">
        <v>0.66</v>
      </c>
      <c r="OB169">
        <v>4</v>
      </c>
      <c r="OU169" t="s">
        <v>2607</v>
      </c>
      <c r="OV169" t="s">
        <v>518</v>
      </c>
      <c r="OW169">
        <v>2005</v>
      </c>
      <c r="PB169" t="s">
        <v>1342</v>
      </c>
      <c r="PC169" s="50" t="s">
        <v>2574</v>
      </c>
      <c r="PE169" t="s">
        <v>522</v>
      </c>
      <c r="PG169" s="78" t="s">
        <v>2575</v>
      </c>
      <c r="PH169" s="124" t="s">
        <v>2576</v>
      </c>
    </row>
    <row r="170" spans="1:424">
      <c r="A170" s="78" t="s">
        <v>665</v>
      </c>
      <c r="B170" s="78" t="s">
        <v>2552</v>
      </c>
      <c r="C170" s="78" t="s">
        <v>1252</v>
      </c>
      <c r="D170" s="78" t="s">
        <v>472</v>
      </c>
      <c r="E170" s="225" t="s">
        <v>2584</v>
      </c>
      <c r="F170" s="78" t="s">
        <v>1322</v>
      </c>
      <c r="G170" s="78" t="s">
        <v>475</v>
      </c>
      <c r="H170" s="78" t="s">
        <v>2556</v>
      </c>
      <c r="I170" s="78">
        <v>10.33</v>
      </c>
      <c r="J170" s="78">
        <v>76.965000000000003</v>
      </c>
      <c r="K170" s="78">
        <v>500</v>
      </c>
      <c r="L170" s="78" t="s">
        <v>1252</v>
      </c>
      <c r="M170" s="78" t="s">
        <v>472</v>
      </c>
      <c r="N170" s="225" t="s">
        <v>2585</v>
      </c>
      <c r="O170" s="78" t="s">
        <v>1322</v>
      </c>
      <c r="P170" s="78" t="s">
        <v>475</v>
      </c>
      <c r="Q170" s="78" t="s">
        <v>2556</v>
      </c>
      <c r="R170" s="78">
        <v>10.308299999999999</v>
      </c>
      <c r="S170" s="78">
        <v>76.899900000000002</v>
      </c>
      <c r="T170" s="78">
        <v>500</v>
      </c>
      <c r="U170" s="78" t="s">
        <v>1252</v>
      </c>
      <c r="V170" s="78" t="s">
        <v>472</v>
      </c>
      <c r="W170" s="78" t="s">
        <v>2586</v>
      </c>
      <c r="X170" s="78" t="s">
        <v>1322</v>
      </c>
      <c r="Y170" s="78" t="s">
        <v>475</v>
      </c>
      <c r="Z170" s="78" t="s">
        <v>2556</v>
      </c>
      <c r="AA170" s="78">
        <v>10.31</v>
      </c>
      <c r="AB170" s="78">
        <v>76.94</v>
      </c>
      <c r="AC170" s="78">
        <v>300</v>
      </c>
      <c r="AD170" s="78"/>
      <c r="AE170" s="78"/>
      <c r="AF170" s="78"/>
      <c r="AG170" s="78"/>
      <c r="AH170" s="78"/>
      <c r="AI170" s="78"/>
      <c r="AJ170" s="78"/>
      <c r="AK170" s="78"/>
      <c r="AL170" s="78"/>
      <c r="AM170" s="78"/>
      <c r="AN170" s="78"/>
      <c r="AO170" s="78"/>
      <c r="AP170" s="78"/>
      <c r="AQ170" s="78"/>
      <c r="AR170" s="78"/>
      <c r="AS170" s="78"/>
      <c r="AT170" s="78"/>
      <c r="AU170" s="78"/>
      <c r="AV170" s="78" t="s">
        <v>2559</v>
      </c>
      <c r="AW170" s="78" t="s">
        <v>480</v>
      </c>
      <c r="AX170" s="78">
        <v>1671000</v>
      </c>
      <c r="AY170" s="78">
        <v>1</v>
      </c>
      <c r="AZ170" s="78" t="s">
        <v>2560</v>
      </c>
      <c r="BA170" s="78">
        <v>2005</v>
      </c>
      <c r="BB170" s="78"/>
      <c r="BC170" s="78" t="s">
        <v>2561</v>
      </c>
      <c r="BD170" s="78" t="s">
        <v>2587</v>
      </c>
      <c r="BE170" s="78" t="s">
        <v>566</v>
      </c>
      <c r="BF170" s="78" t="s">
        <v>1084</v>
      </c>
      <c r="BG170" s="78"/>
      <c r="BH170" s="78"/>
      <c r="BI170" s="78"/>
      <c r="BJ170" s="78"/>
      <c r="BK170" s="78"/>
      <c r="BL170" s="78"/>
      <c r="BM170" s="78"/>
      <c r="BN170" s="78"/>
      <c r="BO170" s="78"/>
      <c r="BP170" s="78"/>
      <c r="BQ170" s="78"/>
      <c r="BR170" s="78"/>
      <c r="BS170" s="78"/>
      <c r="BT170" s="78"/>
      <c r="BU170" s="78"/>
      <c r="BV170" s="78"/>
      <c r="BW170" s="78"/>
      <c r="BX170" s="78"/>
      <c r="BY170" s="78"/>
      <c r="BZ170" s="78"/>
      <c r="CA170" s="78"/>
      <c r="CB170" s="78"/>
      <c r="CC170" s="78"/>
      <c r="CD170" s="78"/>
      <c r="CE170" s="78"/>
      <c r="CF170" s="78"/>
      <c r="CG170" s="78"/>
      <c r="CH170" s="78"/>
      <c r="CI170" s="78"/>
      <c r="CJ170" s="78"/>
      <c r="CK170" s="78"/>
      <c r="CL170" s="78"/>
      <c r="CM170" s="78"/>
      <c r="CN170" s="78"/>
      <c r="CO170" s="78"/>
      <c r="CP170" s="78"/>
      <c r="CQ170" s="78"/>
      <c r="CR170" s="78"/>
      <c r="CS170" s="78"/>
      <c r="CT170" s="78"/>
      <c r="CU170" s="78"/>
      <c r="CV170" s="78"/>
      <c r="CW170" s="78"/>
      <c r="CX170" s="78"/>
      <c r="CY170" s="78"/>
      <c r="CZ170" s="78"/>
      <c r="DA170" s="78"/>
      <c r="DB170" s="78"/>
      <c r="DC170" s="78"/>
      <c r="DD170" s="78"/>
      <c r="DE170" s="78"/>
      <c r="DF170" s="78"/>
      <c r="DG170" s="78"/>
      <c r="DH170" s="78"/>
      <c r="DI170" s="78"/>
      <c r="DJ170" s="78"/>
      <c r="DK170" s="78"/>
      <c r="DL170" s="78"/>
      <c r="DM170" s="78"/>
      <c r="DN170" s="78"/>
      <c r="DO170" s="78"/>
      <c r="DP170" s="78"/>
      <c r="DQ170" s="78"/>
      <c r="DR170" s="78"/>
      <c r="DS170" s="78"/>
      <c r="DT170" s="78"/>
      <c r="DU170" s="78"/>
      <c r="DV170" s="78"/>
      <c r="DW170" s="78"/>
      <c r="DX170" s="78"/>
      <c r="DY170" s="78"/>
      <c r="DZ170" s="78"/>
      <c r="EA170" s="78"/>
      <c r="EB170" s="78"/>
      <c r="EC170" s="78"/>
      <c r="ED170" s="78" t="s">
        <v>2563</v>
      </c>
      <c r="EE170" s="78" t="s">
        <v>2564</v>
      </c>
      <c r="EF170" s="78" t="s">
        <v>480</v>
      </c>
      <c r="EG170" s="78"/>
      <c r="EH170" s="78" t="s">
        <v>2565</v>
      </c>
      <c r="EI170" s="125" t="s">
        <v>2564</v>
      </c>
      <c r="EJ170" s="125" t="s">
        <v>480</v>
      </c>
      <c r="EK170" s="125"/>
      <c r="EL170" s="125" t="s">
        <v>2566</v>
      </c>
      <c r="EM170" s="125" t="s">
        <v>2564</v>
      </c>
      <c r="EN170" s="125" t="s">
        <v>480</v>
      </c>
      <c r="EO170" s="125"/>
      <c r="EP170" s="125" t="s">
        <v>2588</v>
      </c>
      <c r="EQ170" s="125" t="s">
        <v>2564</v>
      </c>
      <c r="ER170" s="125" t="s">
        <v>480</v>
      </c>
      <c r="ES170" s="125"/>
      <c r="ET170" s="125" t="s">
        <v>2589</v>
      </c>
      <c r="EU170" s="125" t="s">
        <v>2564</v>
      </c>
      <c r="EV170" s="125" t="s">
        <v>480</v>
      </c>
      <c r="EW170" s="125"/>
      <c r="EX170" s="125"/>
      <c r="EY170" s="125"/>
      <c r="EZ170" s="125"/>
      <c r="FA170" s="125"/>
      <c r="FB170" s="125"/>
      <c r="FC170" s="125"/>
      <c r="FD170" s="125"/>
      <c r="FE170" s="125"/>
      <c r="FF170" s="125"/>
      <c r="FG170" s="125"/>
      <c r="FH170" s="125"/>
      <c r="FI170" s="125"/>
      <c r="FJ170" s="125"/>
      <c r="FK170" s="125"/>
      <c r="FL170" s="125"/>
      <c r="FM170" s="125"/>
      <c r="FN170" s="125"/>
      <c r="FO170" s="125"/>
      <c r="FP170" s="125"/>
      <c r="FQ170" s="125"/>
      <c r="FR170" s="125"/>
      <c r="FS170" s="125"/>
      <c r="FT170" s="125"/>
      <c r="FU170" s="125"/>
      <c r="FV170" s="125"/>
      <c r="FW170" s="125"/>
      <c r="FX170" s="125"/>
      <c r="FY170" s="125"/>
      <c r="FZ170" s="125"/>
      <c r="GA170" s="125"/>
      <c r="GB170" s="125"/>
      <c r="GC170" s="125"/>
      <c r="GD170" s="125"/>
      <c r="GE170" s="125"/>
      <c r="GF170" s="125"/>
      <c r="GG170" s="125"/>
      <c r="GH170" s="125"/>
      <c r="GI170" s="125"/>
      <c r="GJ170" s="125"/>
      <c r="GK170" s="125"/>
      <c r="GL170" s="125"/>
      <c r="GM170" s="125"/>
      <c r="GN170" s="125"/>
      <c r="GO170" s="125"/>
      <c r="GP170" s="125"/>
      <c r="GQ170" s="125"/>
      <c r="GR170" s="125"/>
      <c r="GS170" s="125"/>
      <c r="GT170" s="125"/>
      <c r="GU170" s="125"/>
      <c r="GV170" s="125"/>
      <c r="GW170" s="125"/>
      <c r="GX170" s="125"/>
      <c r="GY170" s="125"/>
      <c r="GZ170" s="125"/>
      <c r="HA170" s="125"/>
      <c r="HB170" s="125"/>
      <c r="HC170" s="125"/>
      <c r="HD170" s="125"/>
      <c r="HE170" s="125"/>
      <c r="HF170" s="125"/>
      <c r="HG170" s="125"/>
      <c r="HH170" s="125"/>
      <c r="HI170" s="125"/>
      <c r="HJ170" s="125"/>
      <c r="HK170" s="125"/>
      <c r="HL170" s="125"/>
      <c r="HM170" s="78"/>
      <c r="HN170" s="78"/>
      <c r="HO170" s="78"/>
      <c r="HP170" s="78"/>
      <c r="HQ170" s="78"/>
      <c r="HR170" s="78"/>
      <c r="HS170" s="78"/>
      <c r="HT170" s="78"/>
      <c r="HU170" s="78"/>
      <c r="HV170" s="78"/>
      <c r="HW170" s="78"/>
      <c r="HX170" s="78"/>
      <c r="HY170" s="126"/>
      <c r="HZ170" s="78"/>
      <c r="IA170" s="78"/>
      <c r="IB170" s="78"/>
      <c r="IC170" s="78"/>
      <c r="ID170" s="78"/>
      <c r="IE170" s="78"/>
      <c r="IF170" s="78"/>
      <c r="IG170" s="78"/>
      <c r="IH170" s="78"/>
      <c r="II170" s="78"/>
      <c r="IJ170" s="78"/>
      <c r="IK170" s="78"/>
      <c r="IL170" s="78"/>
      <c r="IM170" s="78"/>
      <c r="IN170" s="78"/>
      <c r="IO170" s="78"/>
      <c r="IP170" s="78"/>
      <c r="IQ170" s="78"/>
      <c r="IR170" s="78"/>
      <c r="IS170" s="78"/>
      <c r="IT170" s="78"/>
      <c r="IU170" s="78"/>
      <c r="IV170" s="78"/>
      <c r="IW170" s="78"/>
      <c r="IX170" s="78"/>
      <c r="IY170" s="78"/>
      <c r="IZ170" s="78"/>
      <c r="JA170" s="78"/>
      <c r="JB170" s="78"/>
      <c r="JC170" s="78"/>
      <c r="JD170" s="78"/>
      <c r="JE170" s="78"/>
      <c r="JF170" s="78"/>
      <c r="JG170" s="78"/>
      <c r="JH170" s="78"/>
      <c r="JI170" s="78"/>
      <c r="JJ170" s="78"/>
      <c r="JK170" s="78"/>
      <c r="JL170" s="78"/>
      <c r="JM170" s="78"/>
      <c r="JN170" s="78"/>
      <c r="JO170" s="78"/>
      <c r="JP170" s="131"/>
      <c r="JQ170" s="78"/>
      <c r="JR170" s="78"/>
      <c r="JS170" s="78"/>
      <c r="JT170" s="78"/>
      <c r="JU170" s="78"/>
      <c r="JV170" s="78"/>
      <c r="JW170" s="78"/>
      <c r="JX170" s="78"/>
      <c r="JY170" s="78"/>
      <c r="JZ170" s="131"/>
      <c r="KA170" s="78"/>
      <c r="KB170" s="78"/>
      <c r="KC170" s="78"/>
      <c r="KD170" s="78"/>
      <c r="KE170" s="78"/>
      <c r="KF170" s="78"/>
      <c r="KG170" s="78"/>
      <c r="KH170" s="78"/>
      <c r="KI170" s="78"/>
      <c r="KJ170" s="78"/>
      <c r="KK170" s="78"/>
      <c r="KL170" s="78"/>
      <c r="KM170" s="78"/>
      <c r="KN170" s="78"/>
      <c r="KO170" s="78"/>
      <c r="KP170" s="78"/>
      <c r="KQ170" s="78"/>
      <c r="KR170" s="131"/>
      <c r="KS170" s="131"/>
      <c r="KT170" s="131"/>
      <c r="KU170" s="131"/>
      <c r="KV170" s="78"/>
      <c r="KW170" s="78"/>
      <c r="KX170" s="78"/>
      <c r="KY170" s="78"/>
      <c r="KZ170" s="78"/>
      <c r="LA170" s="78"/>
      <c r="LB170" s="78"/>
      <c r="LC170" s="78"/>
      <c r="LD170" s="78"/>
      <c r="LE170" s="78"/>
      <c r="LF170" s="78"/>
      <c r="LG170" s="78"/>
      <c r="LH170" s="78"/>
      <c r="LI170" s="78"/>
      <c r="LJ170" s="78"/>
      <c r="LK170" s="78"/>
      <c r="LL170" s="78"/>
      <c r="LM170" s="78"/>
      <c r="LN170" s="78"/>
      <c r="LO170" s="78"/>
      <c r="LP170" s="78"/>
      <c r="LQ170" s="78"/>
      <c r="LR170" s="78"/>
      <c r="LS170" s="78"/>
      <c r="LT170" s="78"/>
      <c r="LU170" s="78"/>
      <c r="LV170" s="78"/>
      <c r="LW170" s="78"/>
      <c r="LX170" s="78"/>
      <c r="LY170" s="78"/>
      <c r="LZ170" s="78"/>
      <c r="MA170" s="78"/>
      <c r="MB170" s="78"/>
      <c r="MC170" s="78"/>
      <c r="MD170" s="78"/>
      <c r="ME170" s="78"/>
      <c r="MF170" s="78"/>
      <c r="MG170" s="78"/>
      <c r="MH170" s="78"/>
      <c r="MI170" s="78"/>
      <c r="MJ170" s="78"/>
      <c r="MK170" s="78"/>
      <c r="ML170" s="78"/>
      <c r="MM170" s="78"/>
      <c r="MN170" s="78"/>
      <c r="MO170" s="78"/>
      <c r="MP170" s="78"/>
      <c r="MQ170" s="78"/>
      <c r="MR170" s="78"/>
      <c r="MS170" s="78"/>
      <c r="MT170" s="78"/>
      <c r="MU170" s="78"/>
      <c r="MV170" s="78"/>
      <c r="MW170" s="78"/>
      <c r="MX170" s="78"/>
      <c r="MY170" s="78" t="s">
        <v>2590</v>
      </c>
      <c r="MZ170" s="78" t="s">
        <v>480</v>
      </c>
      <c r="NA170" s="78" t="s">
        <v>2568</v>
      </c>
      <c r="NB170" s="78" t="s">
        <v>2569</v>
      </c>
      <c r="NC170" s="78"/>
      <c r="ND170" s="78"/>
      <c r="NE170" s="78"/>
      <c r="NF170" s="78"/>
      <c r="NG170" s="78"/>
      <c r="NH170" s="78"/>
      <c r="NI170" s="78"/>
      <c r="NJ170" s="78" t="s">
        <v>2604</v>
      </c>
      <c r="NK170" s="78" t="s">
        <v>2605</v>
      </c>
      <c r="NL170" s="78" t="s">
        <v>1099</v>
      </c>
      <c r="NM170" s="78" t="s">
        <v>2606</v>
      </c>
      <c r="NN170" s="78"/>
      <c r="NO170" s="78"/>
      <c r="NP170" s="78"/>
      <c r="NQ170" s="78"/>
      <c r="NR170" s="78"/>
      <c r="NS170" s="78"/>
      <c r="NT170" s="78"/>
      <c r="NU170" s="78" t="s">
        <v>2591</v>
      </c>
      <c r="NV170" s="78" t="s">
        <v>518</v>
      </c>
      <c r="NW170" s="78">
        <v>2.4700000000000002</v>
      </c>
      <c r="NX170" s="78" t="s">
        <v>916</v>
      </c>
      <c r="NY170" s="78">
        <v>0.49</v>
      </c>
      <c r="NZ170" s="78"/>
      <c r="OA170" s="78"/>
      <c r="OB170" s="78">
        <v>3</v>
      </c>
      <c r="OC170" s="78"/>
      <c r="OD170" s="78"/>
      <c r="OE170" s="78"/>
      <c r="OF170" s="78"/>
      <c r="OG170" s="78"/>
      <c r="OH170" s="78"/>
      <c r="OI170" s="78"/>
      <c r="OJ170" s="78"/>
      <c r="OK170" s="78"/>
      <c r="OL170" s="78"/>
      <c r="OM170" s="78"/>
      <c r="ON170" s="78"/>
      <c r="OO170" s="78"/>
      <c r="OP170" s="78"/>
      <c r="OQ170" s="78"/>
      <c r="OR170" s="78"/>
      <c r="OS170" s="78"/>
      <c r="OT170" s="78"/>
      <c r="OU170" s="78" t="s">
        <v>2607</v>
      </c>
      <c r="OV170" s="78" t="s">
        <v>518</v>
      </c>
      <c r="OW170" s="78">
        <v>2005</v>
      </c>
      <c r="OX170" s="78"/>
      <c r="OY170" s="78"/>
      <c r="OZ170" s="78"/>
      <c r="PA170" s="78"/>
      <c r="PB170" s="78" t="s">
        <v>1342</v>
      </c>
      <c r="PC170" s="126" t="s">
        <v>2574</v>
      </c>
      <c r="PD170" s="78"/>
      <c r="PE170" t="s">
        <v>522</v>
      </c>
      <c r="PF170" s="78"/>
      <c r="PG170" s="78" t="s">
        <v>2575</v>
      </c>
      <c r="PH170" s="124" t="s">
        <v>2576</v>
      </c>
    </row>
    <row r="171" spans="1:424">
      <c r="A171" t="s">
        <v>665</v>
      </c>
      <c r="B171" s="78" t="s">
        <v>2552</v>
      </c>
      <c r="C171" t="s">
        <v>1252</v>
      </c>
      <c r="D171" t="s">
        <v>472</v>
      </c>
      <c r="E171" s="11" t="s">
        <v>2592</v>
      </c>
      <c r="F171" t="s">
        <v>2593</v>
      </c>
      <c r="G171" t="s">
        <v>475</v>
      </c>
      <c r="H171" t="s">
        <v>2556</v>
      </c>
      <c r="I171">
        <v>10.29</v>
      </c>
      <c r="J171">
        <v>76.875</v>
      </c>
      <c r="K171">
        <v>600</v>
      </c>
      <c r="L171" t="s">
        <v>1252</v>
      </c>
      <c r="M171" t="s">
        <v>472</v>
      </c>
      <c r="N171" s="11" t="s">
        <v>2594</v>
      </c>
      <c r="O171" t="s">
        <v>2593</v>
      </c>
      <c r="P171" t="s">
        <v>475</v>
      </c>
      <c r="Q171" t="s">
        <v>2556</v>
      </c>
      <c r="R171">
        <v>10.348000000000001</v>
      </c>
      <c r="S171">
        <v>76.935000000000002</v>
      </c>
      <c r="T171">
        <v>600</v>
      </c>
      <c r="AV171" t="s">
        <v>2559</v>
      </c>
      <c r="AW171" t="s">
        <v>480</v>
      </c>
      <c r="AX171">
        <v>1838000</v>
      </c>
      <c r="AY171">
        <v>1</v>
      </c>
      <c r="AZ171" t="s">
        <v>2560</v>
      </c>
      <c r="BA171">
        <v>2005</v>
      </c>
      <c r="BC171" t="s">
        <v>2561</v>
      </c>
      <c r="BD171" t="s">
        <v>2595</v>
      </c>
      <c r="BE171" t="s">
        <v>572</v>
      </c>
      <c r="BF171" t="s">
        <v>484</v>
      </c>
      <c r="BG171" t="s">
        <v>1168</v>
      </c>
      <c r="BH171" t="s">
        <v>480</v>
      </c>
      <c r="BI171" t="s">
        <v>480</v>
      </c>
      <c r="BJ171" t="s">
        <v>480</v>
      </c>
      <c r="ED171" t="s">
        <v>2596</v>
      </c>
      <c r="EE171" t="s">
        <v>480</v>
      </c>
      <c r="EF171" t="s">
        <v>480</v>
      </c>
      <c r="EH171" t="s">
        <v>2566</v>
      </c>
      <c r="EI171" s="9" t="s">
        <v>480</v>
      </c>
      <c r="EJ171" s="9" t="s">
        <v>480</v>
      </c>
      <c r="EK171" s="9"/>
      <c r="EL171" s="9" t="s">
        <v>2563</v>
      </c>
      <c r="EM171" s="9" t="s">
        <v>480</v>
      </c>
      <c r="EN171" s="9" t="s">
        <v>480</v>
      </c>
      <c r="EO171" s="9"/>
      <c r="EP171" s="9" t="s">
        <v>2565</v>
      </c>
      <c r="EQ171" s="9" t="s">
        <v>480</v>
      </c>
      <c r="ER171" s="9" t="s">
        <v>480</v>
      </c>
      <c r="ES171" s="9"/>
      <c r="ET171" s="9" t="s">
        <v>2597</v>
      </c>
      <c r="EU171" s="9" t="s">
        <v>480</v>
      </c>
      <c r="EV171" s="9" t="s">
        <v>480</v>
      </c>
      <c r="EW171" s="9"/>
      <c r="EX171" s="9"/>
      <c r="EY171" s="9"/>
      <c r="EZ171" s="9"/>
      <c r="FA171" s="9"/>
      <c r="FB171" s="9"/>
      <c r="FC171" s="9"/>
      <c r="FD171" s="9"/>
      <c r="FE171" s="9"/>
      <c r="FF171" s="9"/>
      <c r="FG171" s="9"/>
      <c r="FH171" s="9"/>
      <c r="FI171" s="9"/>
      <c r="FJ171" s="9"/>
      <c r="FK171" s="9"/>
      <c r="FL171" s="9"/>
      <c r="FM171" s="9"/>
      <c r="FN171" s="9"/>
      <c r="FO171" s="9"/>
      <c r="FP171" s="9"/>
      <c r="FQ171" s="9"/>
      <c r="FR171" s="9"/>
      <c r="FS171" s="9"/>
      <c r="FT171" s="9"/>
      <c r="FU171" s="9"/>
      <c r="FV171" s="9"/>
      <c r="FW171" s="9"/>
      <c r="FX171" s="9"/>
      <c r="FY171" s="9"/>
      <c r="FZ171" s="9"/>
      <c r="GA171" s="9"/>
      <c r="GB171" s="9"/>
      <c r="GC171" s="9"/>
      <c r="GD171" s="9"/>
      <c r="GE171" s="9"/>
      <c r="GF171" s="9"/>
      <c r="GG171" s="9"/>
      <c r="GH171" s="9"/>
      <c r="GI171" s="9"/>
      <c r="GJ171" s="9"/>
      <c r="GK171" s="9"/>
      <c r="GL171" s="9"/>
      <c r="GM171" s="9"/>
      <c r="GN171" s="9"/>
      <c r="GO171" s="9"/>
      <c r="GP171" s="9"/>
      <c r="GQ171" s="9"/>
      <c r="GR171" s="9"/>
      <c r="GS171" s="9"/>
      <c r="GT171" s="9"/>
      <c r="GU171" s="9"/>
      <c r="GV171" s="9"/>
      <c r="GW171" s="9"/>
      <c r="GX171" s="9"/>
      <c r="GY171" s="9"/>
      <c r="GZ171" s="9"/>
      <c r="HA171" s="9"/>
      <c r="HB171" s="9"/>
      <c r="HC171" s="9"/>
      <c r="HD171" s="9"/>
      <c r="HE171" s="9"/>
      <c r="HF171" s="9"/>
      <c r="HG171" s="9"/>
      <c r="HH171" s="9"/>
      <c r="HI171" s="9"/>
      <c r="HJ171" s="9"/>
      <c r="HK171" s="9"/>
      <c r="HL171" s="9"/>
      <c r="HY171" s="50"/>
      <c r="IV171" t="s">
        <v>2598</v>
      </c>
      <c r="IW171" t="s">
        <v>1361</v>
      </c>
      <c r="JJ171" t="s">
        <v>2599</v>
      </c>
      <c r="JK171" t="s">
        <v>2600</v>
      </c>
      <c r="JP171" s="9"/>
      <c r="JZ171" s="9"/>
      <c r="KE171" t="s">
        <v>2601</v>
      </c>
      <c r="KF171" t="s">
        <v>1001</v>
      </c>
      <c r="KR171" s="9"/>
      <c r="KS171" s="9"/>
      <c r="KT171" s="9"/>
      <c r="KU171" s="9"/>
      <c r="MY171" t="s">
        <v>2602</v>
      </c>
      <c r="MZ171" t="s">
        <v>480</v>
      </c>
      <c r="NA171" t="s">
        <v>2568</v>
      </c>
      <c r="NB171" t="s">
        <v>2569</v>
      </c>
      <c r="NJ171" t="s">
        <v>2604</v>
      </c>
      <c r="NK171" t="s">
        <v>2605</v>
      </c>
      <c r="NL171" t="s">
        <v>1099</v>
      </c>
      <c r="NM171" t="s">
        <v>2606</v>
      </c>
      <c r="NU171" t="s">
        <v>2603</v>
      </c>
      <c r="NV171" t="s">
        <v>518</v>
      </c>
      <c r="NW171">
        <v>3.15</v>
      </c>
      <c r="NX171" t="s">
        <v>916</v>
      </c>
      <c r="NY171">
        <v>0.85</v>
      </c>
      <c r="OB171">
        <v>2</v>
      </c>
      <c r="OU171" t="s">
        <v>2607</v>
      </c>
      <c r="OV171" t="s">
        <v>518</v>
      </c>
      <c r="OW171">
        <v>2005</v>
      </c>
      <c r="PB171" t="s">
        <v>1342</v>
      </c>
      <c r="PC171" s="50" t="s">
        <v>2574</v>
      </c>
      <c r="PE171" t="s">
        <v>522</v>
      </c>
      <c r="PG171" s="78" t="s">
        <v>2575</v>
      </c>
      <c r="PH171" s="124" t="s">
        <v>2576</v>
      </c>
    </row>
    <row r="172" spans="1:424">
      <c r="A172" s="78" t="s">
        <v>665</v>
      </c>
      <c r="B172" s="78" t="s">
        <v>2552</v>
      </c>
      <c r="C172" s="78" t="s">
        <v>1252</v>
      </c>
      <c r="D172" s="78" t="s">
        <v>2553</v>
      </c>
      <c r="E172" s="225" t="s">
        <v>2554</v>
      </c>
      <c r="F172" s="78" t="s">
        <v>2555</v>
      </c>
      <c r="G172" s="78" t="s">
        <v>475</v>
      </c>
      <c r="H172" s="78" t="s">
        <v>2556</v>
      </c>
      <c r="I172" s="78">
        <v>10.3622</v>
      </c>
      <c r="J172" s="78">
        <v>76.980199999999996</v>
      </c>
      <c r="K172" s="78">
        <v>3000</v>
      </c>
      <c r="L172" s="78" t="s">
        <v>1252</v>
      </c>
      <c r="M172" s="78" t="s">
        <v>2553</v>
      </c>
      <c r="N172" s="225" t="s">
        <v>2557</v>
      </c>
      <c r="O172" s="78" t="s">
        <v>2555</v>
      </c>
      <c r="P172" s="78" t="s">
        <v>475</v>
      </c>
      <c r="Q172" s="78" t="s">
        <v>2556</v>
      </c>
      <c r="R172" s="78">
        <v>10.385</v>
      </c>
      <c r="S172" s="78">
        <v>76.95</v>
      </c>
      <c r="T172" s="78">
        <v>1000</v>
      </c>
      <c r="U172" s="78" t="s">
        <v>1252</v>
      </c>
      <c r="V172" s="78" t="s">
        <v>2553</v>
      </c>
      <c r="W172" s="78" t="s">
        <v>2558</v>
      </c>
      <c r="X172" s="78" t="s">
        <v>2555</v>
      </c>
      <c r="Y172" s="78" t="s">
        <v>475</v>
      </c>
      <c r="Z172" s="78" t="s">
        <v>2556</v>
      </c>
      <c r="AA172" s="78">
        <v>10.234999999999999</v>
      </c>
      <c r="AB172" s="78">
        <v>76.89</v>
      </c>
      <c r="AC172" s="78">
        <v>1500</v>
      </c>
      <c r="AD172" s="78"/>
      <c r="AE172" s="78"/>
      <c r="AF172" s="78"/>
      <c r="AG172" s="78"/>
      <c r="AH172" s="78"/>
      <c r="AI172" s="78"/>
      <c r="AJ172" s="78"/>
      <c r="AK172" s="78"/>
      <c r="AL172" s="78"/>
      <c r="AM172" s="78"/>
      <c r="AN172" s="78"/>
      <c r="AO172" s="78"/>
      <c r="AP172" s="78"/>
      <c r="AQ172" s="78"/>
      <c r="AR172" s="78"/>
      <c r="AS172" s="78"/>
      <c r="AT172" s="78"/>
      <c r="AU172" s="78"/>
      <c r="AV172" s="78" t="s">
        <v>2559</v>
      </c>
      <c r="AW172" s="78" t="s">
        <v>480</v>
      </c>
      <c r="AX172" s="78">
        <v>29850000</v>
      </c>
      <c r="AY172" s="78">
        <v>1</v>
      </c>
      <c r="AZ172" s="78" t="s">
        <v>2560</v>
      </c>
      <c r="BA172" s="78">
        <v>2005</v>
      </c>
      <c r="BB172" s="78"/>
      <c r="BC172" s="78" t="s">
        <v>2561</v>
      </c>
      <c r="BD172" s="78" t="s">
        <v>2562</v>
      </c>
      <c r="BE172" s="78" t="s">
        <v>524</v>
      </c>
      <c r="BF172" s="78" t="s">
        <v>1084</v>
      </c>
      <c r="BG172" s="78"/>
      <c r="BH172" s="78"/>
      <c r="BI172" s="78"/>
      <c r="BJ172" s="78"/>
      <c r="BK172" s="78"/>
      <c r="BL172" s="78"/>
      <c r="BM172" s="78"/>
      <c r="BN172" s="78"/>
      <c r="BO172" s="78"/>
      <c r="BP172" s="78"/>
      <c r="BQ172" s="78"/>
      <c r="BR172" s="78"/>
      <c r="BS172" s="78"/>
      <c r="BT172" s="78"/>
      <c r="BU172" s="78"/>
      <c r="BV172" s="78"/>
      <c r="BW172" s="78"/>
      <c r="BX172" s="78"/>
      <c r="BY172" s="78"/>
      <c r="BZ172" s="78"/>
      <c r="CA172" s="78"/>
      <c r="CB172" s="78"/>
      <c r="CC172" s="78"/>
      <c r="CD172" s="78"/>
      <c r="CE172" s="78"/>
      <c r="CF172" s="78"/>
      <c r="CG172" s="78"/>
      <c r="CH172" s="78"/>
      <c r="CI172" s="78"/>
      <c r="CJ172" s="78"/>
      <c r="CK172" s="78"/>
      <c r="CL172" s="78"/>
      <c r="CM172" s="78"/>
      <c r="CN172" s="78"/>
      <c r="CO172" s="78"/>
      <c r="CP172" s="78"/>
      <c r="CQ172" s="78"/>
      <c r="CR172" s="78"/>
      <c r="CS172" s="78"/>
      <c r="CT172" s="78"/>
      <c r="CU172" s="78"/>
      <c r="CV172" s="78"/>
      <c r="CW172" s="78"/>
      <c r="CX172" s="78"/>
      <c r="CY172" s="78"/>
      <c r="CZ172" s="78"/>
      <c r="DA172" s="78"/>
      <c r="DB172" s="78"/>
      <c r="DC172" s="78"/>
      <c r="DD172" s="78"/>
      <c r="DE172" s="78"/>
      <c r="DF172" s="78"/>
      <c r="DG172" s="78"/>
      <c r="DH172" s="78"/>
      <c r="DI172" s="78"/>
      <c r="DJ172" s="78"/>
      <c r="DK172" s="78"/>
      <c r="DL172" s="78"/>
      <c r="DM172" s="78"/>
      <c r="DN172" s="78"/>
      <c r="DO172" s="78"/>
      <c r="DP172" s="78"/>
      <c r="DQ172" s="78"/>
      <c r="DR172" s="78"/>
      <c r="DS172" s="78"/>
      <c r="DT172" s="78"/>
      <c r="DU172" s="78"/>
      <c r="DV172" s="78"/>
      <c r="DW172" s="78"/>
      <c r="DX172" s="78"/>
      <c r="DY172" s="78"/>
      <c r="DZ172" s="78"/>
      <c r="EA172" s="78"/>
      <c r="EB172" s="78"/>
      <c r="EC172" s="78"/>
      <c r="ED172" s="78" t="s">
        <v>2563</v>
      </c>
      <c r="EE172" s="78" t="s">
        <v>2564</v>
      </c>
      <c r="EF172" s="78" t="s">
        <v>480</v>
      </c>
      <c r="EG172" s="78"/>
      <c r="EH172" s="78" t="s">
        <v>2565</v>
      </c>
      <c r="EI172" s="125" t="s">
        <v>2564</v>
      </c>
      <c r="EJ172" s="125" t="s">
        <v>480</v>
      </c>
      <c r="EK172" s="125"/>
      <c r="EL172" s="125" t="s">
        <v>2566</v>
      </c>
      <c r="EM172" s="125" t="s">
        <v>2564</v>
      </c>
      <c r="EN172" s="125" t="s">
        <v>480</v>
      </c>
      <c r="EO172" s="125"/>
      <c r="EP172" s="125"/>
      <c r="EQ172" s="125"/>
      <c r="ER172" s="125"/>
      <c r="ES172" s="125"/>
      <c r="ET172" s="125"/>
      <c r="EU172" s="125"/>
      <c r="EV172" s="125"/>
      <c r="EW172" s="125"/>
      <c r="EX172" s="125"/>
      <c r="EY172" s="125"/>
      <c r="EZ172" s="125"/>
      <c r="FA172" s="125"/>
      <c r="FB172" s="125"/>
      <c r="FC172" s="125"/>
      <c r="FD172" s="125"/>
      <c r="FE172" s="125"/>
      <c r="FF172" s="125"/>
      <c r="FG172" s="125"/>
      <c r="FH172" s="125"/>
      <c r="FI172" s="125"/>
      <c r="FJ172" s="125"/>
      <c r="FK172" s="125"/>
      <c r="FL172" s="125"/>
      <c r="FM172" s="125"/>
      <c r="FN172" s="125"/>
      <c r="FO172" s="125"/>
      <c r="FP172" s="125"/>
      <c r="FQ172" s="125"/>
      <c r="FR172" s="125"/>
      <c r="FS172" s="125"/>
      <c r="FT172" s="125"/>
      <c r="FU172" s="125"/>
      <c r="FV172" s="125"/>
      <c r="FW172" s="125"/>
      <c r="FX172" s="125"/>
      <c r="FY172" s="125"/>
      <c r="FZ172" s="125"/>
      <c r="GA172" s="125"/>
      <c r="GB172" s="125"/>
      <c r="GC172" s="125"/>
      <c r="GD172" s="125"/>
      <c r="GE172" s="125"/>
      <c r="GF172" s="125"/>
      <c r="GG172" s="125"/>
      <c r="GH172" s="125"/>
      <c r="GI172" s="125"/>
      <c r="GJ172" s="125"/>
      <c r="GK172" s="125"/>
      <c r="GL172" s="125"/>
      <c r="GM172" s="125"/>
      <c r="GN172" s="125"/>
      <c r="GO172" s="125"/>
      <c r="GP172" s="125"/>
      <c r="GQ172" s="125"/>
      <c r="GR172" s="125"/>
      <c r="GS172" s="125"/>
      <c r="GT172" s="125"/>
      <c r="GU172" s="125"/>
      <c r="GV172" s="125"/>
      <c r="GW172" s="125"/>
      <c r="GX172" s="125"/>
      <c r="GY172" s="125"/>
      <c r="GZ172" s="125"/>
      <c r="HA172" s="125"/>
      <c r="HB172" s="125"/>
      <c r="HC172" s="125"/>
      <c r="HD172" s="125"/>
      <c r="HE172" s="125"/>
      <c r="HF172" s="125"/>
      <c r="HG172" s="125"/>
      <c r="HH172" s="125"/>
      <c r="HI172" s="125"/>
      <c r="HJ172" s="125"/>
      <c r="HK172" s="125"/>
      <c r="HL172" s="125"/>
      <c r="HM172" s="78"/>
      <c r="HN172" s="78"/>
      <c r="HO172" s="78"/>
      <c r="HP172" s="78"/>
      <c r="HQ172" s="78"/>
      <c r="HR172" s="78"/>
      <c r="HS172" s="78"/>
      <c r="HT172" s="78"/>
      <c r="HU172" s="78"/>
      <c r="HV172" s="78"/>
      <c r="HW172" s="78"/>
      <c r="HX172" s="78"/>
      <c r="HY172" s="126"/>
      <c r="HZ172" s="78"/>
      <c r="IA172" s="78"/>
      <c r="IB172" s="78"/>
      <c r="IC172" s="78"/>
      <c r="ID172" s="78"/>
      <c r="IE172" s="78"/>
      <c r="IF172" s="78"/>
      <c r="IG172" s="78"/>
      <c r="IH172" s="78"/>
      <c r="II172" s="78"/>
      <c r="IJ172" s="78"/>
      <c r="IK172" s="78"/>
      <c r="IL172" s="78"/>
      <c r="IM172" s="78"/>
      <c r="IN172" s="78"/>
      <c r="IO172" s="78"/>
      <c r="IP172" s="78"/>
      <c r="IQ172" s="78"/>
      <c r="IR172" s="78"/>
      <c r="IS172" s="78"/>
      <c r="IT172" s="78"/>
      <c r="IU172" s="78"/>
      <c r="IV172" s="78"/>
      <c r="IW172" s="78"/>
      <c r="IX172" s="78"/>
      <c r="IY172" s="78"/>
      <c r="IZ172" s="78"/>
      <c r="JA172" s="78"/>
      <c r="JB172" s="78"/>
      <c r="JC172" s="78"/>
      <c r="JD172" s="78"/>
      <c r="JE172" s="78"/>
      <c r="JF172" s="78"/>
      <c r="JG172" s="78"/>
      <c r="JH172" s="78"/>
      <c r="JI172" s="78"/>
      <c r="JJ172" s="78"/>
      <c r="JK172" s="78"/>
      <c r="JL172" s="78"/>
      <c r="JM172" s="78"/>
      <c r="JN172" s="78"/>
      <c r="JO172" s="78"/>
      <c r="JP172" s="131"/>
      <c r="JQ172" s="78"/>
      <c r="JR172" s="78"/>
      <c r="JS172" s="78"/>
      <c r="JT172" s="78"/>
      <c r="JU172" s="78"/>
      <c r="JV172" s="78"/>
      <c r="JW172" s="78"/>
      <c r="JX172" s="78"/>
      <c r="JY172" s="78"/>
      <c r="JZ172" s="131"/>
      <c r="KA172" s="78"/>
      <c r="KB172" s="78"/>
      <c r="KC172" s="78"/>
      <c r="KD172" s="78"/>
      <c r="KE172" s="78"/>
      <c r="KF172" s="78"/>
      <c r="KG172" s="78"/>
      <c r="KH172" s="78"/>
      <c r="KI172" s="78"/>
      <c r="KJ172" s="78"/>
      <c r="KK172" s="78"/>
      <c r="KL172" s="78"/>
      <c r="KM172" s="78"/>
      <c r="KN172" s="78"/>
      <c r="KO172" s="78"/>
      <c r="KP172" s="78"/>
      <c r="KQ172" s="78"/>
      <c r="KR172" s="131"/>
      <c r="KS172" s="131"/>
      <c r="KT172" s="131"/>
      <c r="KU172" s="131"/>
      <c r="KV172" s="78"/>
      <c r="KW172" s="78"/>
      <c r="KX172" s="78"/>
      <c r="KY172" s="78"/>
      <c r="KZ172" s="78"/>
      <c r="LA172" s="78"/>
      <c r="LB172" s="78"/>
      <c r="LC172" s="78"/>
      <c r="LD172" s="78"/>
      <c r="LE172" s="78"/>
      <c r="LF172" s="78"/>
      <c r="LG172" s="78"/>
      <c r="LH172" s="78"/>
      <c r="LI172" s="78"/>
      <c r="LJ172" s="78"/>
      <c r="LK172" s="78"/>
      <c r="LL172" s="78"/>
      <c r="LM172" s="78"/>
      <c r="LN172" s="78"/>
      <c r="LO172" s="78"/>
      <c r="LP172" s="78"/>
      <c r="LQ172" s="78"/>
      <c r="LR172" s="78"/>
      <c r="LS172" s="78"/>
      <c r="LT172" s="78"/>
      <c r="LU172" s="78"/>
      <c r="LV172" s="78"/>
      <c r="LW172" s="78"/>
      <c r="LX172" s="78"/>
      <c r="LY172" s="78"/>
      <c r="LZ172" s="78"/>
      <c r="MA172" s="78"/>
      <c r="MB172" s="78"/>
      <c r="MC172" s="78"/>
      <c r="MD172" s="78"/>
      <c r="ME172" s="78"/>
      <c r="MF172" s="78"/>
      <c r="MG172" s="78"/>
      <c r="MH172" s="78"/>
      <c r="MI172" s="78"/>
      <c r="MJ172" s="78"/>
      <c r="MK172" s="78"/>
      <c r="ML172" s="78"/>
      <c r="MM172" s="78"/>
      <c r="MN172" s="78"/>
      <c r="MO172" s="78"/>
      <c r="MP172" s="78"/>
      <c r="MQ172" s="78"/>
      <c r="MR172" s="78"/>
      <c r="MS172" s="78"/>
      <c r="MT172" s="78"/>
      <c r="MU172" s="78"/>
      <c r="MV172" s="78"/>
      <c r="MW172" s="78"/>
      <c r="MX172" s="78"/>
      <c r="MY172" s="78" t="s">
        <v>2567</v>
      </c>
      <c r="MZ172" s="78" t="s">
        <v>480</v>
      </c>
      <c r="NA172" s="78" t="s">
        <v>2568</v>
      </c>
      <c r="NB172" s="78" t="s">
        <v>2569</v>
      </c>
      <c r="NC172" s="78"/>
      <c r="ND172" s="78"/>
      <c r="NE172" s="78"/>
      <c r="NF172" s="78"/>
      <c r="NG172" s="78"/>
      <c r="NH172" s="78"/>
      <c r="NI172" s="78"/>
      <c r="NJ172" s="78" t="s">
        <v>2608</v>
      </c>
      <c r="NK172" s="78" t="s">
        <v>2609</v>
      </c>
      <c r="NL172" s="78" t="s">
        <v>2610</v>
      </c>
      <c r="NM172" s="78" t="s">
        <v>2611</v>
      </c>
      <c r="NN172" s="78"/>
      <c r="NO172" s="78"/>
      <c r="NP172" s="78"/>
      <c r="NQ172" s="78"/>
      <c r="NR172" s="78"/>
      <c r="NS172" s="78"/>
      <c r="NT172" s="78"/>
      <c r="NU172" s="78" t="s">
        <v>1116</v>
      </c>
      <c r="NV172" s="78" t="s">
        <v>518</v>
      </c>
      <c r="NW172" s="78">
        <v>49</v>
      </c>
      <c r="NX172" s="78" t="s">
        <v>916</v>
      </c>
      <c r="NY172" s="78">
        <v>11.22</v>
      </c>
      <c r="NZ172" s="78"/>
      <c r="OA172" s="78"/>
      <c r="OB172" s="78">
        <v>3</v>
      </c>
      <c r="OC172" s="78"/>
      <c r="OD172" s="78"/>
      <c r="OE172" s="78"/>
      <c r="OF172" s="78"/>
      <c r="OG172" s="78"/>
      <c r="OH172" s="78"/>
      <c r="OI172" s="78"/>
      <c r="OJ172" s="78"/>
      <c r="OK172" s="78"/>
      <c r="OL172" s="78"/>
      <c r="OM172" s="78"/>
      <c r="ON172" s="78"/>
      <c r="OO172" s="78"/>
      <c r="OP172" s="78"/>
      <c r="OQ172" s="78"/>
      <c r="OR172" s="78"/>
      <c r="OS172" s="78"/>
      <c r="OT172" s="78"/>
      <c r="OU172" s="78" t="s">
        <v>2612</v>
      </c>
      <c r="OV172" s="78" t="s">
        <v>518</v>
      </c>
      <c r="OW172" s="78">
        <v>2005</v>
      </c>
      <c r="OX172" s="78"/>
      <c r="OY172" s="78"/>
      <c r="OZ172" s="78"/>
      <c r="PA172" s="78"/>
      <c r="PB172" s="78" t="s">
        <v>1342</v>
      </c>
      <c r="PC172" s="126" t="s">
        <v>2574</v>
      </c>
      <c r="PD172" s="78"/>
      <c r="PE172" t="s">
        <v>522</v>
      </c>
      <c r="PF172" s="78"/>
      <c r="PG172" s="78" t="s">
        <v>2575</v>
      </c>
      <c r="PH172" s="124" t="s">
        <v>2576</v>
      </c>
    </row>
    <row r="173" spans="1:424">
      <c r="A173" t="s">
        <v>665</v>
      </c>
      <c r="B173" s="78" t="s">
        <v>2552</v>
      </c>
      <c r="C173" t="s">
        <v>1252</v>
      </c>
      <c r="D173" t="s">
        <v>472</v>
      </c>
      <c r="E173" s="11" t="s">
        <v>2577</v>
      </c>
      <c r="F173" t="s">
        <v>1322</v>
      </c>
      <c r="G173" t="s">
        <v>475</v>
      </c>
      <c r="H173" t="s">
        <v>2556</v>
      </c>
      <c r="I173">
        <v>10.37</v>
      </c>
      <c r="J173">
        <v>76.984999999999999</v>
      </c>
      <c r="K173">
        <v>500</v>
      </c>
      <c r="L173" t="s">
        <v>1252</v>
      </c>
      <c r="M173" t="s">
        <v>472</v>
      </c>
      <c r="N173" s="11" t="s">
        <v>2578</v>
      </c>
      <c r="O173" t="s">
        <v>1322</v>
      </c>
      <c r="P173" t="s">
        <v>475</v>
      </c>
      <c r="Q173" t="s">
        <v>2556</v>
      </c>
      <c r="R173">
        <v>10.3512</v>
      </c>
      <c r="S173">
        <v>76.938400000000001</v>
      </c>
      <c r="T173">
        <v>400</v>
      </c>
      <c r="U173" t="s">
        <v>1252</v>
      </c>
      <c r="V173" t="s">
        <v>472</v>
      </c>
      <c r="W173" t="s">
        <v>2579</v>
      </c>
      <c r="X173" t="s">
        <v>1322</v>
      </c>
      <c r="Y173" t="s">
        <v>475</v>
      </c>
      <c r="Z173" t="s">
        <v>2556</v>
      </c>
      <c r="AA173">
        <v>10.279</v>
      </c>
      <c r="AB173">
        <v>76.8874</v>
      </c>
      <c r="AC173">
        <v>500</v>
      </c>
      <c r="AD173" t="s">
        <v>1252</v>
      </c>
      <c r="AE173" t="s">
        <v>472</v>
      </c>
      <c r="AF173" t="s">
        <v>2580</v>
      </c>
      <c r="AG173" t="s">
        <v>1322</v>
      </c>
      <c r="AH173" t="s">
        <v>475</v>
      </c>
      <c r="AI173" t="s">
        <v>2556</v>
      </c>
      <c r="AJ173">
        <v>10.345000000000001</v>
      </c>
      <c r="AK173">
        <v>76.924999999999997</v>
      </c>
      <c r="AL173">
        <v>300</v>
      </c>
      <c r="AV173" t="s">
        <v>2559</v>
      </c>
      <c r="AW173" t="s">
        <v>480</v>
      </c>
      <c r="AX173">
        <v>2316000</v>
      </c>
      <c r="AY173">
        <v>1</v>
      </c>
      <c r="AZ173" t="s">
        <v>2560</v>
      </c>
      <c r="BA173">
        <v>2005</v>
      </c>
      <c r="BC173" t="s">
        <v>2561</v>
      </c>
      <c r="BD173" t="s">
        <v>2581</v>
      </c>
      <c r="BE173" t="s">
        <v>536</v>
      </c>
      <c r="BF173" t="s">
        <v>1084</v>
      </c>
      <c r="ED173" t="s">
        <v>2563</v>
      </c>
      <c r="EE173" t="s">
        <v>2564</v>
      </c>
      <c r="EF173" t="s">
        <v>480</v>
      </c>
      <c r="EH173" t="s">
        <v>2565</v>
      </c>
      <c r="EI173" s="9" t="s">
        <v>2564</v>
      </c>
      <c r="EJ173" s="9" t="s">
        <v>480</v>
      </c>
      <c r="EK173" s="9"/>
      <c r="EL173" s="9" t="s">
        <v>2566</v>
      </c>
      <c r="EM173" s="9" t="s">
        <v>2564</v>
      </c>
      <c r="EN173" s="9" t="s">
        <v>480</v>
      </c>
      <c r="EO173" s="9"/>
      <c r="EP173" s="9"/>
      <c r="EQ173" s="9"/>
      <c r="ER173" s="9"/>
      <c r="ES173" s="9"/>
      <c r="ET173" s="9"/>
      <c r="EU173" s="9"/>
      <c r="EV173" s="9"/>
      <c r="EW173" s="9"/>
      <c r="EX173" s="9"/>
      <c r="EY173" s="9"/>
      <c r="EZ173" s="9"/>
      <c r="FA173" s="9"/>
      <c r="FB173" s="9"/>
      <c r="FC173" s="9"/>
      <c r="FD173" s="9"/>
      <c r="FE173" s="9"/>
      <c r="FF173" s="9"/>
      <c r="FG173" s="9"/>
      <c r="FH173" s="9"/>
      <c r="FI173" s="9"/>
      <c r="FJ173" s="9"/>
      <c r="FK173" s="9"/>
      <c r="FL173" s="9"/>
      <c r="FM173" s="9"/>
      <c r="FN173" s="9"/>
      <c r="FO173" s="9"/>
      <c r="FP173" s="9"/>
      <c r="FQ173" s="9"/>
      <c r="FR173" s="9"/>
      <c r="FS173" s="9"/>
      <c r="FT173" s="9"/>
      <c r="FU173" s="9"/>
      <c r="FV173" s="9"/>
      <c r="FW173" s="9"/>
      <c r="FX173" s="9"/>
      <c r="FY173" s="9"/>
      <c r="FZ173" s="9"/>
      <c r="GA173" s="9"/>
      <c r="GB173" s="9"/>
      <c r="GC173" s="9"/>
      <c r="GD173" s="9"/>
      <c r="GE173" s="9"/>
      <c r="GF173" s="9"/>
      <c r="GG173" s="9"/>
      <c r="GH173" s="9"/>
      <c r="GI173" s="9"/>
      <c r="GJ173" s="9"/>
      <c r="GK173" s="9"/>
      <c r="GL173" s="9"/>
      <c r="GM173" s="9"/>
      <c r="GN173" s="9"/>
      <c r="GO173" s="9"/>
      <c r="GP173" s="9"/>
      <c r="GQ173" s="9"/>
      <c r="GR173" s="9"/>
      <c r="GS173" s="9"/>
      <c r="GT173" s="9"/>
      <c r="GU173" s="9"/>
      <c r="GV173" s="9"/>
      <c r="GW173" s="9"/>
      <c r="GX173" s="9"/>
      <c r="GY173" s="9"/>
      <c r="GZ173" s="9"/>
      <c r="HA173" s="9"/>
      <c r="HB173" s="9"/>
      <c r="HC173" s="9"/>
      <c r="HD173" s="9"/>
      <c r="HE173" s="9"/>
      <c r="HF173" s="9"/>
      <c r="HG173" s="9"/>
      <c r="HH173" s="9"/>
      <c r="HI173" s="9"/>
      <c r="HJ173" s="9"/>
      <c r="HK173" s="9"/>
      <c r="HL173" s="9"/>
      <c r="HY173" s="50"/>
      <c r="JP173" s="9"/>
      <c r="JZ173" s="9"/>
      <c r="KR173" s="9"/>
      <c r="KS173" s="9"/>
      <c r="KT173" s="9"/>
      <c r="KU173" s="9"/>
      <c r="MY173" t="s">
        <v>2582</v>
      </c>
      <c r="MZ173" t="s">
        <v>480</v>
      </c>
      <c r="NA173" t="s">
        <v>2568</v>
      </c>
      <c r="NB173" t="s">
        <v>2569</v>
      </c>
      <c r="NJ173" t="s">
        <v>2608</v>
      </c>
      <c r="NK173" t="s">
        <v>2609</v>
      </c>
      <c r="NL173" t="s">
        <v>2610</v>
      </c>
      <c r="NM173" t="s">
        <v>2611</v>
      </c>
      <c r="NU173" t="s">
        <v>2583</v>
      </c>
      <c r="NV173" t="s">
        <v>518</v>
      </c>
      <c r="NW173">
        <v>56.25</v>
      </c>
      <c r="NX173" t="s">
        <v>916</v>
      </c>
      <c r="NY173">
        <v>11.65</v>
      </c>
      <c r="OB173">
        <v>4</v>
      </c>
      <c r="OU173" t="s">
        <v>2612</v>
      </c>
      <c r="OV173" t="s">
        <v>518</v>
      </c>
      <c r="OW173">
        <v>2005</v>
      </c>
      <c r="PB173" t="s">
        <v>1342</v>
      </c>
      <c r="PC173" s="50" t="s">
        <v>2574</v>
      </c>
      <c r="PE173" t="s">
        <v>522</v>
      </c>
      <c r="PG173" s="78" t="s">
        <v>2575</v>
      </c>
      <c r="PH173" s="124" t="s">
        <v>2576</v>
      </c>
    </row>
    <row r="174" spans="1:424">
      <c r="A174" s="78" t="s">
        <v>665</v>
      </c>
      <c r="B174" s="78" t="s">
        <v>2552</v>
      </c>
      <c r="C174" s="78" t="s">
        <v>1252</v>
      </c>
      <c r="D174" s="78" t="s">
        <v>472</v>
      </c>
      <c r="E174" s="225" t="s">
        <v>2584</v>
      </c>
      <c r="F174" s="78" t="s">
        <v>1322</v>
      </c>
      <c r="G174" s="78" t="s">
        <v>475</v>
      </c>
      <c r="H174" s="78" t="s">
        <v>2556</v>
      </c>
      <c r="I174" s="78">
        <v>10.33</v>
      </c>
      <c r="J174" s="78">
        <v>76.965000000000003</v>
      </c>
      <c r="K174" s="78">
        <v>500</v>
      </c>
      <c r="L174" s="78" t="s">
        <v>1252</v>
      </c>
      <c r="M174" s="78" t="s">
        <v>472</v>
      </c>
      <c r="N174" s="225" t="s">
        <v>2585</v>
      </c>
      <c r="O174" s="78" t="s">
        <v>1322</v>
      </c>
      <c r="P174" s="78" t="s">
        <v>475</v>
      </c>
      <c r="Q174" s="78" t="s">
        <v>2556</v>
      </c>
      <c r="R174" s="78">
        <v>10.308299999999999</v>
      </c>
      <c r="S174" s="78">
        <v>76.899900000000002</v>
      </c>
      <c r="T174" s="78">
        <v>500</v>
      </c>
      <c r="U174" s="78" t="s">
        <v>1252</v>
      </c>
      <c r="V174" s="78" t="s">
        <v>472</v>
      </c>
      <c r="W174" s="78" t="s">
        <v>2586</v>
      </c>
      <c r="X174" s="78" t="s">
        <v>1322</v>
      </c>
      <c r="Y174" s="78" t="s">
        <v>475</v>
      </c>
      <c r="Z174" s="78" t="s">
        <v>2556</v>
      </c>
      <c r="AA174" s="78">
        <v>10.31</v>
      </c>
      <c r="AB174" s="78">
        <v>76.94</v>
      </c>
      <c r="AC174" s="78">
        <v>300</v>
      </c>
      <c r="AD174" s="78"/>
      <c r="AE174" s="78"/>
      <c r="AF174" s="78"/>
      <c r="AG174" s="78"/>
      <c r="AH174" s="78"/>
      <c r="AI174" s="78"/>
      <c r="AJ174" s="78"/>
      <c r="AK174" s="78"/>
      <c r="AL174" s="78"/>
      <c r="AM174" s="78"/>
      <c r="AN174" s="78"/>
      <c r="AO174" s="78"/>
      <c r="AP174" s="78"/>
      <c r="AQ174" s="78"/>
      <c r="AR174" s="78"/>
      <c r="AS174" s="78"/>
      <c r="AT174" s="78"/>
      <c r="AU174" s="78"/>
      <c r="AV174" s="78" t="s">
        <v>2559</v>
      </c>
      <c r="AW174" s="78" t="s">
        <v>480</v>
      </c>
      <c r="AX174" s="78">
        <v>1671000</v>
      </c>
      <c r="AY174" s="78">
        <v>1</v>
      </c>
      <c r="AZ174" s="78" t="s">
        <v>2560</v>
      </c>
      <c r="BA174" s="78">
        <v>2005</v>
      </c>
      <c r="BB174" s="78"/>
      <c r="BC174" s="78" t="s">
        <v>2561</v>
      </c>
      <c r="BD174" s="78" t="s">
        <v>2587</v>
      </c>
      <c r="BE174" s="78" t="s">
        <v>566</v>
      </c>
      <c r="BF174" s="78" t="s">
        <v>1084</v>
      </c>
      <c r="BG174" s="78"/>
      <c r="BH174" s="78"/>
      <c r="BI174" s="78"/>
      <c r="BJ174" s="78"/>
      <c r="BK174" s="78"/>
      <c r="BL174" s="78"/>
      <c r="BM174" s="78"/>
      <c r="BN174" s="78"/>
      <c r="BO174" s="78"/>
      <c r="BP174" s="78"/>
      <c r="BQ174" s="78"/>
      <c r="BR174" s="78"/>
      <c r="BS174" s="78"/>
      <c r="BT174" s="78"/>
      <c r="BU174" s="78"/>
      <c r="BV174" s="78"/>
      <c r="BW174" s="78"/>
      <c r="BX174" s="78"/>
      <c r="BY174" s="78"/>
      <c r="BZ174" s="78"/>
      <c r="CA174" s="78"/>
      <c r="CB174" s="78"/>
      <c r="CC174" s="78"/>
      <c r="CD174" s="78"/>
      <c r="CE174" s="78"/>
      <c r="CF174" s="78"/>
      <c r="CG174" s="78"/>
      <c r="CH174" s="78"/>
      <c r="CI174" s="78"/>
      <c r="CJ174" s="78"/>
      <c r="CK174" s="78"/>
      <c r="CL174" s="78"/>
      <c r="CM174" s="78"/>
      <c r="CN174" s="78"/>
      <c r="CO174" s="78"/>
      <c r="CP174" s="78"/>
      <c r="CQ174" s="78"/>
      <c r="CR174" s="78"/>
      <c r="CS174" s="78"/>
      <c r="CT174" s="78"/>
      <c r="CU174" s="78"/>
      <c r="CV174" s="78"/>
      <c r="CW174" s="78"/>
      <c r="CX174" s="78"/>
      <c r="CY174" s="78"/>
      <c r="CZ174" s="78"/>
      <c r="DA174" s="78"/>
      <c r="DB174" s="78"/>
      <c r="DC174" s="78"/>
      <c r="DD174" s="78"/>
      <c r="DE174" s="78"/>
      <c r="DF174" s="78"/>
      <c r="DG174" s="78"/>
      <c r="DH174" s="78"/>
      <c r="DI174" s="78"/>
      <c r="DJ174" s="78"/>
      <c r="DK174" s="78"/>
      <c r="DL174" s="78"/>
      <c r="DM174" s="78"/>
      <c r="DN174" s="78"/>
      <c r="DO174" s="78"/>
      <c r="DP174" s="78"/>
      <c r="DQ174" s="78"/>
      <c r="DR174" s="78"/>
      <c r="DS174" s="78"/>
      <c r="DT174" s="78"/>
      <c r="DU174" s="78"/>
      <c r="DV174" s="78"/>
      <c r="DW174" s="78"/>
      <c r="DX174" s="78"/>
      <c r="DY174" s="78"/>
      <c r="DZ174" s="78"/>
      <c r="EA174" s="78"/>
      <c r="EB174" s="78"/>
      <c r="EC174" s="78"/>
      <c r="ED174" s="78" t="s">
        <v>2563</v>
      </c>
      <c r="EE174" s="78" t="s">
        <v>2564</v>
      </c>
      <c r="EF174" s="78" t="s">
        <v>480</v>
      </c>
      <c r="EG174" s="78"/>
      <c r="EH174" s="78" t="s">
        <v>2565</v>
      </c>
      <c r="EI174" s="125" t="s">
        <v>2564</v>
      </c>
      <c r="EJ174" s="125" t="s">
        <v>480</v>
      </c>
      <c r="EK174" s="125"/>
      <c r="EL174" s="125" t="s">
        <v>2566</v>
      </c>
      <c r="EM174" s="125" t="s">
        <v>2564</v>
      </c>
      <c r="EN174" s="125" t="s">
        <v>480</v>
      </c>
      <c r="EO174" s="125"/>
      <c r="EP174" s="125" t="s">
        <v>2588</v>
      </c>
      <c r="EQ174" s="125" t="s">
        <v>2564</v>
      </c>
      <c r="ER174" s="125" t="s">
        <v>480</v>
      </c>
      <c r="ES174" s="125"/>
      <c r="ET174" s="125" t="s">
        <v>2589</v>
      </c>
      <c r="EU174" s="125" t="s">
        <v>2564</v>
      </c>
      <c r="EV174" s="125" t="s">
        <v>480</v>
      </c>
      <c r="EW174" s="125"/>
      <c r="EX174" s="125"/>
      <c r="EY174" s="125"/>
      <c r="EZ174" s="125"/>
      <c r="FA174" s="125"/>
      <c r="FB174" s="125"/>
      <c r="FC174" s="125"/>
      <c r="FD174" s="125"/>
      <c r="FE174" s="125"/>
      <c r="FF174" s="125"/>
      <c r="FG174" s="125"/>
      <c r="FH174" s="125"/>
      <c r="FI174" s="125"/>
      <c r="FJ174" s="125"/>
      <c r="FK174" s="125"/>
      <c r="FL174" s="125"/>
      <c r="FM174" s="125"/>
      <c r="FN174" s="125"/>
      <c r="FO174" s="125"/>
      <c r="FP174" s="125"/>
      <c r="FQ174" s="125"/>
      <c r="FR174" s="125"/>
      <c r="FS174" s="125"/>
      <c r="FT174" s="125"/>
      <c r="FU174" s="125"/>
      <c r="FV174" s="125"/>
      <c r="FW174" s="125"/>
      <c r="FX174" s="125"/>
      <c r="FY174" s="125"/>
      <c r="FZ174" s="125"/>
      <c r="GA174" s="125"/>
      <c r="GB174" s="125"/>
      <c r="GC174" s="125"/>
      <c r="GD174" s="125"/>
      <c r="GE174" s="125"/>
      <c r="GF174" s="125"/>
      <c r="GG174" s="125"/>
      <c r="GH174" s="125"/>
      <c r="GI174" s="125"/>
      <c r="GJ174" s="125"/>
      <c r="GK174" s="125"/>
      <c r="GL174" s="125"/>
      <c r="GM174" s="125"/>
      <c r="GN174" s="125"/>
      <c r="GO174" s="125"/>
      <c r="GP174" s="125"/>
      <c r="GQ174" s="125"/>
      <c r="GR174" s="125"/>
      <c r="GS174" s="125"/>
      <c r="GT174" s="125"/>
      <c r="GU174" s="125"/>
      <c r="GV174" s="125"/>
      <c r="GW174" s="125"/>
      <c r="GX174" s="125"/>
      <c r="GY174" s="125"/>
      <c r="GZ174" s="125"/>
      <c r="HA174" s="125"/>
      <c r="HB174" s="125"/>
      <c r="HC174" s="125"/>
      <c r="HD174" s="125"/>
      <c r="HE174" s="125"/>
      <c r="HF174" s="125"/>
      <c r="HG174" s="125"/>
      <c r="HH174" s="125"/>
      <c r="HI174" s="125"/>
      <c r="HJ174" s="125"/>
      <c r="HK174" s="125"/>
      <c r="HL174" s="125"/>
      <c r="HM174" s="78"/>
      <c r="HN174" s="78"/>
      <c r="HO174" s="78"/>
      <c r="HP174" s="78"/>
      <c r="HQ174" s="78"/>
      <c r="HR174" s="78"/>
      <c r="HS174" s="78"/>
      <c r="HT174" s="78"/>
      <c r="HU174" s="78"/>
      <c r="HV174" s="78"/>
      <c r="HW174" s="78"/>
      <c r="HX174" s="78"/>
      <c r="HY174" s="126"/>
      <c r="HZ174" s="78"/>
      <c r="IA174" s="78"/>
      <c r="IB174" s="78"/>
      <c r="IC174" s="78"/>
      <c r="ID174" s="78"/>
      <c r="IE174" s="78"/>
      <c r="IF174" s="78"/>
      <c r="IG174" s="78"/>
      <c r="IH174" s="78"/>
      <c r="II174" s="78"/>
      <c r="IJ174" s="78"/>
      <c r="IK174" s="78"/>
      <c r="IL174" s="78"/>
      <c r="IM174" s="78"/>
      <c r="IN174" s="78"/>
      <c r="IO174" s="78"/>
      <c r="IP174" s="78"/>
      <c r="IQ174" s="78"/>
      <c r="IR174" s="78"/>
      <c r="IS174" s="78"/>
      <c r="IT174" s="78"/>
      <c r="IU174" s="78"/>
      <c r="IV174" s="78"/>
      <c r="IW174" s="78"/>
      <c r="IX174" s="78"/>
      <c r="IY174" s="78"/>
      <c r="IZ174" s="78"/>
      <c r="JA174" s="78"/>
      <c r="JB174" s="78"/>
      <c r="JC174" s="78"/>
      <c r="JD174" s="78"/>
      <c r="JE174" s="78"/>
      <c r="JF174" s="78"/>
      <c r="JG174" s="78"/>
      <c r="JH174" s="78"/>
      <c r="JI174" s="78"/>
      <c r="JJ174" s="78"/>
      <c r="JK174" s="78"/>
      <c r="JL174" s="78"/>
      <c r="JM174" s="78"/>
      <c r="JN174" s="78"/>
      <c r="JO174" s="78"/>
      <c r="JP174" s="131"/>
      <c r="JQ174" s="78"/>
      <c r="JR174" s="78"/>
      <c r="JS174" s="78"/>
      <c r="JT174" s="78"/>
      <c r="JU174" s="78"/>
      <c r="JV174" s="78"/>
      <c r="JW174" s="78"/>
      <c r="JX174" s="78"/>
      <c r="JY174" s="78"/>
      <c r="JZ174" s="131"/>
      <c r="KA174" s="78"/>
      <c r="KB174" s="78"/>
      <c r="KC174" s="78"/>
      <c r="KD174" s="78"/>
      <c r="KE174" s="78"/>
      <c r="KF174" s="78"/>
      <c r="KG174" s="78"/>
      <c r="KH174" s="78"/>
      <c r="KI174" s="78"/>
      <c r="KJ174" s="78"/>
      <c r="KK174" s="78"/>
      <c r="KL174" s="78"/>
      <c r="KM174" s="78"/>
      <c r="KN174" s="78"/>
      <c r="KO174" s="78"/>
      <c r="KP174" s="78"/>
      <c r="KQ174" s="78"/>
      <c r="KR174" s="131"/>
      <c r="KS174" s="131"/>
      <c r="KT174" s="131"/>
      <c r="KU174" s="131"/>
      <c r="KV174" s="78"/>
      <c r="KW174" s="78"/>
      <c r="KX174" s="78"/>
      <c r="KY174" s="78"/>
      <c r="KZ174" s="78"/>
      <c r="LA174" s="78"/>
      <c r="LB174" s="78"/>
      <c r="LC174" s="78"/>
      <c r="LD174" s="78"/>
      <c r="LE174" s="78"/>
      <c r="LF174" s="78"/>
      <c r="LG174" s="78"/>
      <c r="LH174" s="78"/>
      <c r="LI174" s="78"/>
      <c r="LJ174" s="78"/>
      <c r="LK174" s="78"/>
      <c r="LL174" s="78"/>
      <c r="LM174" s="78"/>
      <c r="LN174" s="78"/>
      <c r="LO174" s="78"/>
      <c r="LP174" s="78"/>
      <c r="LQ174" s="78"/>
      <c r="LR174" s="78"/>
      <c r="LS174" s="78"/>
      <c r="LT174" s="78"/>
      <c r="LU174" s="78"/>
      <c r="LV174" s="78"/>
      <c r="LW174" s="78"/>
      <c r="LX174" s="78"/>
      <c r="LY174" s="78"/>
      <c r="LZ174" s="78"/>
      <c r="MA174" s="78"/>
      <c r="MB174" s="78"/>
      <c r="MC174" s="78"/>
      <c r="MD174" s="78"/>
      <c r="ME174" s="78"/>
      <c r="MF174" s="78"/>
      <c r="MG174" s="78"/>
      <c r="MH174" s="78"/>
      <c r="MI174" s="78"/>
      <c r="MJ174" s="78"/>
      <c r="MK174" s="78"/>
      <c r="ML174" s="78"/>
      <c r="MM174" s="78"/>
      <c r="MN174" s="78"/>
      <c r="MO174" s="78"/>
      <c r="MP174" s="78"/>
      <c r="MQ174" s="78"/>
      <c r="MR174" s="78"/>
      <c r="MS174" s="78"/>
      <c r="MT174" s="78"/>
      <c r="MU174" s="78"/>
      <c r="MV174" s="78"/>
      <c r="MW174" s="78"/>
      <c r="MX174" s="78"/>
      <c r="MY174" s="78" t="s">
        <v>2590</v>
      </c>
      <c r="MZ174" s="78" t="s">
        <v>480</v>
      </c>
      <c r="NA174" s="78" t="s">
        <v>2568</v>
      </c>
      <c r="NB174" s="78" t="s">
        <v>2569</v>
      </c>
      <c r="NC174" s="78"/>
      <c r="ND174" s="78"/>
      <c r="NE174" s="78"/>
      <c r="NF174" s="78"/>
      <c r="NG174" s="78"/>
      <c r="NH174" s="78"/>
      <c r="NI174" s="78"/>
      <c r="NJ174" s="78" t="s">
        <v>2608</v>
      </c>
      <c r="NK174" s="78" t="s">
        <v>2609</v>
      </c>
      <c r="NL174" s="78" t="s">
        <v>2610</v>
      </c>
      <c r="NM174" s="78" t="s">
        <v>2611</v>
      </c>
      <c r="NN174" s="78"/>
      <c r="NO174" s="78"/>
      <c r="NP174" s="78"/>
      <c r="NQ174" s="78"/>
      <c r="NR174" s="78"/>
      <c r="NS174" s="78"/>
      <c r="NT174" s="78"/>
      <c r="NU174" s="78" t="s">
        <v>2591</v>
      </c>
      <c r="NV174" s="78" t="s">
        <v>518</v>
      </c>
      <c r="NW174" s="78">
        <v>50</v>
      </c>
      <c r="NX174" s="78" t="s">
        <v>916</v>
      </c>
      <c r="NY174" s="78">
        <v>7.57</v>
      </c>
      <c r="NZ174" s="78"/>
      <c r="OA174" s="78"/>
      <c r="OB174" s="78">
        <v>3</v>
      </c>
      <c r="OC174" s="78"/>
      <c r="OD174" s="78"/>
      <c r="OE174" s="78"/>
      <c r="OF174" s="78"/>
      <c r="OG174" s="78"/>
      <c r="OH174" s="78"/>
      <c r="OI174" s="78"/>
      <c r="OJ174" s="78"/>
      <c r="OK174" s="78"/>
      <c r="OL174" s="78"/>
      <c r="OM174" s="78"/>
      <c r="ON174" s="78"/>
      <c r="OO174" s="78"/>
      <c r="OP174" s="78"/>
      <c r="OQ174" s="78"/>
      <c r="OR174" s="78"/>
      <c r="OS174" s="78"/>
      <c r="OT174" s="78"/>
      <c r="OU174" s="78" t="s">
        <v>2612</v>
      </c>
      <c r="OV174" s="78" t="s">
        <v>518</v>
      </c>
      <c r="OW174" s="78">
        <v>2005</v>
      </c>
      <c r="OX174" s="78"/>
      <c r="OY174" s="78"/>
      <c r="OZ174" s="78"/>
      <c r="PA174" s="78"/>
      <c r="PB174" s="78" t="s">
        <v>1342</v>
      </c>
      <c r="PC174" s="126" t="s">
        <v>2574</v>
      </c>
      <c r="PD174" s="78"/>
      <c r="PE174" t="s">
        <v>522</v>
      </c>
      <c r="PF174" s="78"/>
      <c r="PG174" s="78" t="s">
        <v>2575</v>
      </c>
      <c r="PH174" s="124" t="s">
        <v>2576</v>
      </c>
    </row>
    <row r="175" spans="1:424">
      <c r="A175" t="s">
        <v>665</v>
      </c>
      <c r="B175" s="78" t="s">
        <v>2552</v>
      </c>
      <c r="C175" t="s">
        <v>1252</v>
      </c>
      <c r="D175" t="s">
        <v>472</v>
      </c>
      <c r="E175" s="11" t="s">
        <v>2592</v>
      </c>
      <c r="F175" t="s">
        <v>2593</v>
      </c>
      <c r="G175" t="s">
        <v>475</v>
      </c>
      <c r="H175" t="s">
        <v>2556</v>
      </c>
      <c r="I175">
        <v>10.29</v>
      </c>
      <c r="J175">
        <v>76.875</v>
      </c>
      <c r="K175">
        <v>600</v>
      </c>
      <c r="L175" t="s">
        <v>1252</v>
      </c>
      <c r="M175" t="s">
        <v>472</v>
      </c>
      <c r="N175" s="11" t="s">
        <v>2594</v>
      </c>
      <c r="O175" t="s">
        <v>2593</v>
      </c>
      <c r="P175" t="s">
        <v>475</v>
      </c>
      <c r="Q175" t="s">
        <v>2556</v>
      </c>
      <c r="R175">
        <v>10.348000000000001</v>
      </c>
      <c r="S175">
        <v>76.935000000000002</v>
      </c>
      <c r="T175">
        <v>600</v>
      </c>
      <c r="AV175" t="s">
        <v>2559</v>
      </c>
      <c r="AW175" t="s">
        <v>480</v>
      </c>
      <c r="AX175">
        <v>1838000</v>
      </c>
      <c r="AY175">
        <v>1</v>
      </c>
      <c r="AZ175" t="s">
        <v>2560</v>
      </c>
      <c r="BA175">
        <v>2005</v>
      </c>
      <c r="BC175" t="s">
        <v>2561</v>
      </c>
      <c r="BD175" t="s">
        <v>2595</v>
      </c>
      <c r="BE175" t="s">
        <v>572</v>
      </c>
      <c r="BF175" t="s">
        <v>484</v>
      </c>
      <c r="BG175" t="s">
        <v>1168</v>
      </c>
      <c r="BH175" t="s">
        <v>480</v>
      </c>
      <c r="BI175" t="s">
        <v>480</v>
      </c>
      <c r="BJ175" t="s">
        <v>480</v>
      </c>
      <c r="ED175" t="s">
        <v>2596</v>
      </c>
      <c r="EE175" t="s">
        <v>480</v>
      </c>
      <c r="EF175" t="s">
        <v>480</v>
      </c>
      <c r="EH175" t="s">
        <v>2566</v>
      </c>
      <c r="EI175" s="9" t="s">
        <v>480</v>
      </c>
      <c r="EJ175" s="9" t="s">
        <v>480</v>
      </c>
      <c r="EK175" s="9"/>
      <c r="EL175" s="9" t="s">
        <v>2563</v>
      </c>
      <c r="EM175" s="9" t="s">
        <v>480</v>
      </c>
      <c r="EN175" s="9" t="s">
        <v>480</v>
      </c>
      <c r="EO175" s="9"/>
      <c r="EP175" s="9" t="s">
        <v>2565</v>
      </c>
      <c r="EQ175" s="9" t="s">
        <v>480</v>
      </c>
      <c r="ER175" s="9" t="s">
        <v>480</v>
      </c>
      <c r="ES175" s="9"/>
      <c r="ET175" s="9" t="s">
        <v>2597</v>
      </c>
      <c r="EU175" s="9" t="s">
        <v>480</v>
      </c>
      <c r="EV175" s="9" t="s">
        <v>480</v>
      </c>
      <c r="EW175" s="9"/>
      <c r="EX175" s="9"/>
      <c r="EY175" s="9"/>
      <c r="EZ175" s="9"/>
      <c r="FA175" s="9"/>
      <c r="FB175" s="9"/>
      <c r="FC175" s="9"/>
      <c r="FD175" s="9"/>
      <c r="FE175" s="9"/>
      <c r="FF175" s="9"/>
      <c r="FG175" s="9"/>
      <c r="FH175" s="9"/>
      <c r="FI175" s="9"/>
      <c r="FJ175" s="9"/>
      <c r="FK175" s="9"/>
      <c r="FL175" s="9"/>
      <c r="FM175" s="9"/>
      <c r="FN175" s="9"/>
      <c r="FO175" s="9"/>
      <c r="FP175" s="9"/>
      <c r="FQ175" s="9"/>
      <c r="FR175" s="9"/>
      <c r="FS175" s="9"/>
      <c r="FT175" s="9"/>
      <c r="FU175" s="9"/>
      <c r="FV175" s="9"/>
      <c r="FW175" s="9"/>
      <c r="FX175" s="9"/>
      <c r="FY175" s="9"/>
      <c r="FZ175" s="9"/>
      <c r="GA175" s="9"/>
      <c r="GB175" s="9"/>
      <c r="GC175" s="9"/>
      <c r="GD175" s="9"/>
      <c r="GE175" s="9"/>
      <c r="GF175" s="9"/>
      <c r="GG175" s="9"/>
      <c r="GH175" s="9"/>
      <c r="GI175" s="9"/>
      <c r="GJ175" s="9"/>
      <c r="GK175" s="9"/>
      <c r="GL175" s="9"/>
      <c r="GM175" s="9"/>
      <c r="GN175" s="9"/>
      <c r="GO175" s="9"/>
      <c r="GP175" s="9"/>
      <c r="GQ175" s="9"/>
      <c r="GR175" s="9"/>
      <c r="GS175" s="9"/>
      <c r="GT175" s="9"/>
      <c r="GU175" s="9"/>
      <c r="GV175" s="9"/>
      <c r="GW175" s="9"/>
      <c r="GX175" s="9"/>
      <c r="GY175" s="9"/>
      <c r="GZ175" s="9"/>
      <c r="HA175" s="9"/>
      <c r="HB175" s="9"/>
      <c r="HC175" s="9"/>
      <c r="HD175" s="9"/>
      <c r="HE175" s="9"/>
      <c r="HF175" s="9"/>
      <c r="HG175" s="9"/>
      <c r="HH175" s="9"/>
      <c r="HI175" s="9"/>
      <c r="HJ175" s="9"/>
      <c r="HK175" s="9"/>
      <c r="HL175" s="9"/>
      <c r="HY175" s="50"/>
      <c r="IV175" t="s">
        <v>2598</v>
      </c>
      <c r="IW175" t="s">
        <v>1361</v>
      </c>
      <c r="JJ175" t="s">
        <v>2599</v>
      </c>
      <c r="JK175" t="s">
        <v>2600</v>
      </c>
      <c r="JP175" s="9"/>
      <c r="JZ175" s="9"/>
      <c r="KE175" t="s">
        <v>2601</v>
      </c>
      <c r="KF175" t="s">
        <v>1001</v>
      </c>
      <c r="KR175" s="9"/>
      <c r="KS175" s="9"/>
      <c r="KT175" s="9"/>
      <c r="KU175" s="9"/>
      <c r="MY175" t="s">
        <v>2602</v>
      </c>
      <c r="MZ175" t="s">
        <v>480</v>
      </c>
      <c r="NA175" t="s">
        <v>2568</v>
      </c>
      <c r="NB175" t="s">
        <v>2569</v>
      </c>
      <c r="NJ175" t="s">
        <v>2608</v>
      </c>
      <c r="NK175" t="s">
        <v>2609</v>
      </c>
      <c r="NL175" t="s">
        <v>2610</v>
      </c>
      <c r="NM175" t="s">
        <v>2611</v>
      </c>
      <c r="NU175" t="s">
        <v>2603</v>
      </c>
      <c r="NV175" t="s">
        <v>518</v>
      </c>
      <c r="NW175">
        <v>52.5</v>
      </c>
      <c r="NX175" t="s">
        <v>916</v>
      </c>
      <c r="NY175">
        <v>12.23</v>
      </c>
      <c r="OB175">
        <v>2</v>
      </c>
      <c r="OU175" t="s">
        <v>2612</v>
      </c>
      <c r="OV175" t="s">
        <v>518</v>
      </c>
      <c r="OW175">
        <v>2005</v>
      </c>
      <c r="PB175" t="s">
        <v>1342</v>
      </c>
      <c r="PC175" s="50" t="s">
        <v>2574</v>
      </c>
      <c r="PE175" t="s">
        <v>522</v>
      </c>
      <c r="PG175" s="78" t="s">
        <v>2575</v>
      </c>
      <c r="PH175" s="124" t="s">
        <v>2576</v>
      </c>
    </row>
    <row r="176" spans="1:424">
      <c r="A176" s="78" t="s">
        <v>665</v>
      </c>
      <c r="B176" s="78" t="s">
        <v>2552</v>
      </c>
      <c r="C176" s="78" t="s">
        <v>1252</v>
      </c>
      <c r="D176" s="78" t="s">
        <v>2553</v>
      </c>
      <c r="E176" s="225" t="s">
        <v>2554</v>
      </c>
      <c r="F176" s="78" t="s">
        <v>2555</v>
      </c>
      <c r="G176" s="78" t="s">
        <v>475</v>
      </c>
      <c r="H176" s="78" t="s">
        <v>2556</v>
      </c>
      <c r="I176" s="78">
        <v>10.3622</v>
      </c>
      <c r="J176" s="78">
        <v>76.980199999999996</v>
      </c>
      <c r="K176" s="78">
        <v>3000</v>
      </c>
      <c r="L176" s="78" t="s">
        <v>1252</v>
      </c>
      <c r="M176" s="78" t="s">
        <v>2553</v>
      </c>
      <c r="N176" s="225" t="s">
        <v>2557</v>
      </c>
      <c r="O176" s="78" t="s">
        <v>2555</v>
      </c>
      <c r="P176" s="78" t="s">
        <v>475</v>
      </c>
      <c r="Q176" s="78" t="s">
        <v>2556</v>
      </c>
      <c r="R176" s="78">
        <v>10.385</v>
      </c>
      <c r="S176" s="78">
        <v>76.95</v>
      </c>
      <c r="T176" s="78">
        <v>1000</v>
      </c>
      <c r="U176" s="78" t="s">
        <v>1252</v>
      </c>
      <c r="V176" s="78" t="s">
        <v>2553</v>
      </c>
      <c r="W176" s="78" t="s">
        <v>2558</v>
      </c>
      <c r="X176" s="78" t="s">
        <v>2555</v>
      </c>
      <c r="Y176" s="78" t="s">
        <v>475</v>
      </c>
      <c r="Z176" s="78" t="s">
        <v>2556</v>
      </c>
      <c r="AA176" s="78">
        <v>10.234999999999999</v>
      </c>
      <c r="AB176" s="78">
        <v>76.89</v>
      </c>
      <c r="AC176" s="78">
        <v>1500</v>
      </c>
      <c r="AD176" s="78"/>
      <c r="AE176" s="78"/>
      <c r="AF176" s="78"/>
      <c r="AG176" s="78"/>
      <c r="AH176" s="78"/>
      <c r="AI176" s="78"/>
      <c r="AJ176" s="78"/>
      <c r="AK176" s="78"/>
      <c r="AL176" s="78"/>
      <c r="AM176" s="78"/>
      <c r="AN176" s="78"/>
      <c r="AO176" s="78"/>
      <c r="AP176" s="78"/>
      <c r="AQ176" s="78"/>
      <c r="AR176" s="78"/>
      <c r="AS176" s="78"/>
      <c r="AT176" s="78"/>
      <c r="AU176" s="78"/>
      <c r="AV176" s="78" t="s">
        <v>2559</v>
      </c>
      <c r="AW176" s="78" t="s">
        <v>480</v>
      </c>
      <c r="AX176" s="78">
        <v>29850000</v>
      </c>
      <c r="AY176" s="78">
        <v>1</v>
      </c>
      <c r="AZ176" s="78" t="s">
        <v>2560</v>
      </c>
      <c r="BA176" s="78">
        <v>2005</v>
      </c>
      <c r="BB176" s="78"/>
      <c r="BC176" s="78" t="s">
        <v>2561</v>
      </c>
      <c r="BD176" s="78" t="s">
        <v>2562</v>
      </c>
      <c r="BE176" s="78" t="s">
        <v>524</v>
      </c>
      <c r="BF176" s="78" t="s">
        <v>1084</v>
      </c>
      <c r="BG176" s="78"/>
      <c r="BH176" s="78"/>
      <c r="BI176" s="78"/>
      <c r="BJ176" s="78"/>
      <c r="BK176" s="78"/>
      <c r="BL176" s="78"/>
      <c r="BM176" s="78"/>
      <c r="BN176" s="78"/>
      <c r="BO176" s="78"/>
      <c r="BP176" s="78"/>
      <c r="BQ176" s="78"/>
      <c r="BR176" s="78"/>
      <c r="BS176" s="78"/>
      <c r="BT176" s="78"/>
      <c r="BU176" s="78"/>
      <c r="BV176" s="78"/>
      <c r="BW176" s="78"/>
      <c r="BX176" s="78"/>
      <c r="BY176" s="78"/>
      <c r="BZ176" s="78"/>
      <c r="CA176" s="78"/>
      <c r="CB176" s="78"/>
      <c r="CC176" s="78"/>
      <c r="CD176" s="78"/>
      <c r="CE176" s="78"/>
      <c r="CF176" s="78"/>
      <c r="CG176" s="78"/>
      <c r="CH176" s="78"/>
      <c r="CI176" s="78"/>
      <c r="CJ176" s="78"/>
      <c r="CK176" s="78"/>
      <c r="CL176" s="78"/>
      <c r="CM176" s="78"/>
      <c r="CN176" s="78"/>
      <c r="CO176" s="78"/>
      <c r="CP176" s="78"/>
      <c r="CQ176" s="78"/>
      <c r="CR176" s="78"/>
      <c r="CS176" s="78"/>
      <c r="CT176" s="78"/>
      <c r="CU176" s="78"/>
      <c r="CV176" s="78"/>
      <c r="CW176" s="78"/>
      <c r="CX176" s="78"/>
      <c r="CY176" s="78"/>
      <c r="CZ176" s="78"/>
      <c r="DA176" s="78"/>
      <c r="DB176" s="78"/>
      <c r="DC176" s="78"/>
      <c r="DD176" s="78"/>
      <c r="DE176" s="78"/>
      <c r="DF176" s="78"/>
      <c r="DG176" s="78"/>
      <c r="DH176" s="78"/>
      <c r="DI176" s="78"/>
      <c r="DJ176" s="78"/>
      <c r="DK176" s="78"/>
      <c r="DL176" s="78"/>
      <c r="DM176" s="78"/>
      <c r="DN176" s="78"/>
      <c r="DO176" s="78"/>
      <c r="DP176" s="78"/>
      <c r="DQ176" s="78"/>
      <c r="DR176" s="78"/>
      <c r="DS176" s="78"/>
      <c r="DT176" s="78"/>
      <c r="DU176" s="78"/>
      <c r="DV176" s="78"/>
      <c r="DW176" s="78"/>
      <c r="DX176" s="78"/>
      <c r="DY176" s="78"/>
      <c r="DZ176" s="78"/>
      <c r="EA176" s="78"/>
      <c r="EB176" s="78"/>
      <c r="EC176" s="78"/>
      <c r="ED176" s="78" t="s">
        <v>2563</v>
      </c>
      <c r="EE176" s="78" t="s">
        <v>2564</v>
      </c>
      <c r="EF176" s="78" t="s">
        <v>480</v>
      </c>
      <c r="EG176" s="78"/>
      <c r="EH176" s="78" t="s">
        <v>2565</v>
      </c>
      <c r="EI176" s="125" t="s">
        <v>2564</v>
      </c>
      <c r="EJ176" s="125" t="s">
        <v>480</v>
      </c>
      <c r="EK176" s="125"/>
      <c r="EL176" s="125" t="s">
        <v>2566</v>
      </c>
      <c r="EM176" s="125" t="s">
        <v>2564</v>
      </c>
      <c r="EN176" s="125" t="s">
        <v>480</v>
      </c>
      <c r="EO176" s="125"/>
      <c r="EP176" s="125"/>
      <c r="EQ176" s="125"/>
      <c r="ER176" s="125"/>
      <c r="ES176" s="125"/>
      <c r="ET176" s="125"/>
      <c r="EU176" s="125"/>
      <c r="EV176" s="125"/>
      <c r="EW176" s="125"/>
      <c r="EX176" s="125"/>
      <c r="EY176" s="125"/>
      <c r="EZ176" s="125"/>
      <c r="FA176" s="125"/>
      <c r="FB176" s="125"/>
      <c r="FC176" s="125"/>
      <c r="FD176" s="125"/>
      <c r="FE176" s="125"/>
      <c r="FF176" s="125"/>
      <c r="FG176" s="125"/>
      <c r="FH176" s="125"/>
      <c r="FI176" s="125"/>
      <c r="FJ176" s="125"/>
      <c r="FK176" s="125"/>
      <c r="FL176" s="125"/>
      <c r="FM176" s="125"/>
      <c r="FN176" s="125"/>
      <c r="FO176" s="125"/>
      <c r="FP176" s="125"/>
      <c r="FQ176" s="125"/>
      <c r="FR176" s="125"/>
      <c r="FS176" s="125"/>
      <c r="FT176" s="125"/>
      <c r="FU176" s="125"/>
      <c r="FV176" s="125"/>
      <c r="FW176" s="125"/>
      <c r="FX176" s="125"/>
      <c r="FY176" s="125"/>
      <c r="FZ176" s="125"/>
      <c r="GA176" s="125"/>
      <c r="GB176" s="125"/>
      <c r="GC176" s="125"/>
      <c r="GD176" s="125"/>
      <c r="GE176" s="125"/>
      <c r="GF176" s="125"/>
      <c r="GG176" s="125"/>
      <c r="GH176" s="125"/>
      <c r="GI176" s="125"/>
      <c r="GJ176" s="125"/>
      <c r="GK176" s="125"/>
      <c r="GL176" s="125"/>
      <c r="GM176" s="125"/>
      <c r="GN176" s="125"/>
      <c r="GO176" s="125"/>
      <c r="GP176" s="125"/>
      <c r="GQ176" s="125"/>
      <c r="GR176" s="125"/>
      <c r="GS176" s="125"/>
      <c r="GT176" s="125"/>
      <c r="GU176" s="125"/>
      <c r="GV176" s="125"/>
      <c r="GW176" s="125"/>
      <c r="GX176" s="125"/>
      <c r="GY176" s="125"/>
      <c r="GZ176" s="125"/>
      <c r="HA176" s="125"/>
      <c r="HB176" s="125"/>
      <c r="HC176" s="125"/>
      <c r="HD176" s="125"/>
      <c r="HE176" s="125"/>
      <c r="HF176" s="125"/>
      <c r="HG176" s="125"/>
      <c r="HH176" s="125"/>
      <c r="HI176" s="125"/>
      <c r="HJ176" s="125"/>
      <c r="HK176" s="125"/>
      <c r="HL176" s="125"/>
      <c r="HM176" s="78"/>
      <c r="HN176" s="78"/>
      <c r="HO176" s="78"/>
      <c r="HP176" s="78"/>
      <c r="HQ176" s="78"/>
      <c r="HR176" s="78"/>
      <c r="HS176" s="78"/>
      <c r="HT176" s="78"/>
      <c r="HU176" s="78"/>
      <c r="HV176" s="78"/>
      <c r="HW176" s="78"/>
      <c r="HX176" s="78"/>
      <c r="HY176" s="126"/>
      <c r="HZ176" s="78"/>
      <c r="IA176" s="78"/>
      <c r="IB176" s="78"/>
      <c r="IC176" s="78"/>
      <c r="ID176" s="78"/>
      <c r="IE176" s="78"/>
      <c r="IF176" s="78"/>
      <c r="IG176" s="78"/>
      <c r="IH176" s="78"/>
      <c r="II176" s="78"/>
      <c r="IJ176" s="78"/>
      <c r="IK176" s="78"/>
      <c r="IL176" s="78"/>
      <c r="IM176" s="78"/>
      <c r="IN176" s="78"/>
      <c r="IO176" s="78"/>
      <c r="IP176" s="78"/>
      <c r="IQ176" s="78"/>
      <c r="IR176" s="78"/>
      <c r="IS176" s="78"/>
      <c r="IT176" s="78"/>
      <c r="IU176" s="78"/>
      <c r="IV176" s="78"/>
      <c r="IW176" s="78"/>
      <c r="IX176" s="78"/>
      <c r="IY176" s="78"/>
      <c r="IZ176" s="78"/>
      <c r="JA176" s="78"/>
      <c r="JB176" s="78"/>
      <c r="JC176" s="78"/>
      <c r="JD176" s="78"/>
      <c r="JE176" s="78"/>
      <c r="JF176" s="78"/>
      <c r="JG176" s="78"/>
      <c r="JH176" s="78"/>
      <c r="JI176" s="78"/>
      <c r="JJ176" s="78"/>
      <c r="JK176" s="78"/>
      <c r="JL176" s="78"/>
      <c r="JM176" s="78"/>
      <c r="JN176" s="78"/>
      <c r="JO176" s="78"/>
      <c r="JP176" s="131"/>
      <c r="JQ176" s="78"/>
      <c r="JR176" s="78"/>
      <c r="JS176" s="78"/>
      <c r="JT176" s="78"/>
      <c r="JU176" s="78"/>
      <c r="JV176" s="78"/>
      <c r="JW176" s="78"/>
      <c r="JX176" s="78"/>
      <c r="JY176" s="78"/>
      <c r="JZ176" s="131"/>
      <c r="KA176" s="78"/>
      <c r="KB176" s="78"/>
      <c r="KC176" s="78"/>
      <c r="KD176" s="78"/>
      <c r="KE176" s="78"/>
      <c r="KF176" s="78"/>
      <c r="KG176" s="78"/>
      <c r="KH176" s="78"/>
      <c r="KI176" s="78"/>
      <c r="KJ176" s="78"/>
      <c r="KK176" s="78"/>
      <c r="KL176" s="78"/>
      <c r="KM176" s="78"/>
      <c r="KN176" s="78"/>
      <c r="KO176" s="78"/>
      <c r="KP176" s="78"/>
      <c r="KQ176" s="78"/>
      <c r="KR176" s="131"/>
      <c r="KS176" s="131"/>
      <c r="KT176" s="131"/>
      <c r="KU176" s="131"/>
      <c r="KV176" s="78"/>
      <c r="KW176" s="78"/>
      <c r="KX176" s="78"/>
      <c r="KY176" s="78"/>
      <c r="KZ176" s="78"/>
      <c r="LA176" s="78"/>
      <c r="LB176" s="78"/>
      <c r="LC176" s="78"/>
      <c r="LD176" s="78"/>
      <c r="LE176" s="78"/>
      <c r="LF176" s="78"/>
      <c r="LG176" s="78"/>
      <c r="LH176" s="78"/>
      <c r="LI176" s="78"/>
      <c r="LJ176" s="78"/>
      <c r="LK176" s="78"/>
      <c r="LL176" s="78"/>
      <c r="LM176" s="78"/>
      <c r="LN176" s="78"/>
      <c r="LO176" s="78"/>
      <c r="LP176" s="78"/>
      <c r="LQ176" s="78"/>
      <c r="LR176" s="78"/>
      <c r="LS176" s="78"/>
      <c r="LT176" s="78"/>
      <c r="LU176" s="78"/>
      <c r="LV176" s="78"/>
      <c r="LW176" s="78"/>
      <c r="LX176" s="78"/>
      <c r="LY176" s="78"/>
      <c r="LZ176" s="78"/>
      <c r="MA176" s="78"/>
      <c r="MB176" s="78"/>
      <c r="MC176" s="78"/>
      <c r="MD176" s="78"/>
      <c r="ME176" s="78"/>
      <c r="MF176" s="78"/>
      <c r="MG176" s="78"/>
      <c r="MH176" s="78"/>
      <c r="MI176" s="78"/>
      <c r="MJ176" s="78"/>
      <c r="MK176" s="78"/>
      <c r="ML176" s="78"/>
      <c r="MM176" s="78"/>
      <c r="MN176" s="78"/>
      <c r="MO176" s="78"/>
      <c r="MP176" s="78"/>
      <c r="MQ176" s="78"/>
      <c r="MR176" s="78"/>
      <c r="MS176" s="78"/>
      <c r="MT176" s="78"/>
      <c r="MU176" s="78"/>
      <c r="MV176" s="78"/>
      <c r="MW176" s="78"/>
      <c r="MX176" s="78"/>
      <c r="MY176" s="78" t="s">
        <v>2567</v>
      </c>
      <c r="MZ176" s="78" t="s">
        <v>480</v>
      </c>
      <c r="NA176" s="78" t="s">
        <v>2568</v>
      </c>
      <c r="NB176" s="78" t="s">
        <v>2569</v>
      </c>
      <c r="NC176" s="78"/>
      <c r="ND176" s="78"/>
      <c r="NE176" s="78"/>
      <c r="NF176" s="78"/>
      <c r="NG176" s="78"/>
      <c r="NH176" s="78"/>
      <c r="NI176" s="78"/>
      <c r="NJ176" s="78" t="s">
        <v>2613</v>
      </c>
      <c r="NK176" s="78" t="s">
        <v>2614</v>
      </c>
      <c r="NL176" s="78" t="s">
        <v>1376</v>
      </c>
      <c r="NM176" s="78" t="s">
        <v>2615</v>
      </c>
      <c r="NN176" s="78"/>
      <c r="NO176" s="78"/>
      <c r="NP176" s="78"/>
      <c r="NQ176" s="78"/>
      <c r="NR176" s="78"/>
      <c r="NS176" s="78"/>
      <c r="NT176" s="78"/>
      <c r="NU176" s="78" t="s">
        <v>1116</v>
      </c>
      <c r="NV176" s="78" t="s">
        <v>518</v>
      </c>
      <c r="NW176" s="78">
        <v>81.67</v>
      </c>
      <c r="NX176" s="78" t="s">
        <v>916</v>
      </c>
      <c r="NY176" s="78">
        <v>26.5</v>
      </c>
      <c r="NZ176" s="78"/>
      <c r="OA176" s="78"/>
      <c r="OB176" s="78">
        <v>3</v>
      </c>
      <c r="OC176" s="78"/>
      <c r="OD176" s="78"/>
      <c r="OE176" s="78"/>
      <c r="OF176" s="78"/>
      <c r="OG176" s="78"/>
      <c r="OH176" s="78"/>
      <c r="OI176" s="78"/>
      <c r="OJ176" s="78"/>
      <c r="OK176" s="78"/>
      <c r="OL176" s="78"/>
      <c r="OM176" s="78"/>
      <c r="ON176" s="78"/>
      <c r="OO176" s="78"/>
      <c r="OP176" s="78"/>
      <c r="OQ176" s="78"/>
      <c r="OR176" s="78"/>
      <c r="OS176" s="78"/>
      <c r="OT176" s="78"/>
      <c r="OU176" s="78" t="s">
        <v>2612</v>
      </c>
      <c r="OV176" s="78" t="s">
        <v>518</v>
      </c>
      <c r="OW176" s="78">
        <v>2005</v>
      </c>
      <c r="OX176" s="78"/>
      <c r="OY176" s="78"/>
      <c r="OZ176" s="78"/>
      <c r="PA176" s="78"/>
      <c r="PB176" s="78" t="s">
        <v>1342</v>
      </c>
      <c r="PC176" s="126" t="s">
        <v>2574</v>
      </c>
      <c r="PD176" s="78"/>
      <c r="PE176" t="s">
        <v>522</v>
      </c>
      <c r="PF176" s="78"/>
      <c r="PG176" s="78" t="s">
        <v>2575</v>
      </c>
      <c r="PH176" s="124" t="s">
        <v>2576</v>
      </c>
    </row>
    <row r="177" spans="1:424">
      <c r="A177" t="s">
        <v>665</v>
      </c>
      <c r="B177" s="78" t="s">
        <v>2552</v>
      </c>
      <c r="C177" t="s">
        <v>1252</v>
      </c>
      <c r="D177" t="s">
        <v>472</v>
      </c>
      <c r="E177" s="11" t="s">
        <v>2577</v>
      </c>
      <c r="F177" t="s">
        <v>1322</v>
      </c>
      <c r="G177" t="s">
        <v>475</v>
      </c>
      <c r="H177" t="s">
        <v>2556</v>
      </c>
      <c r="I177">
        <v>10.37</v>
      </c>
      <c r="J177">
        <v>76.984999999999999</v>
      </c>
      <c r="K177">
        <v>500</v>
      </c>
      <c r="L177" t="s">
        <v>1252</v>
      </c>
      <c r="M177" t="s">
        <v>472</v>
      </c>
      <c r="N177" s="11" t="s">
        <v>2578</v>
      </c>
      <c r="O177" t="s">
        <v>1322</v>
      </c>
      <c r="P177" t="s">
        <v>475</v>
      </c>
      <c r="Q177" t="s">
        <v>2556</v>
      </c>
      <c r="R177">
        <v>10.3512</v>
      </c>
      <c r="S177">
        <v>76.938400000000001</v>
      </c>
      <c r="T177">
        <v>400</v>
      </c>
      <c r="U177" t="s">
        <v>1252</v>
      </c>
      <c r="V177" t="s">
        <v>472</v>
      </c>
      <c r="W177" t="s">
        <v>2579</v>
      </c>
      <c r="X177" t="s">
        <v>1322</v>
      </c>
      <c r="Y177" t="s">
        <v>475</v>
      </c>
      <c r="Z177" t="s">
        <v>2556</v>
      </c>
      <c r="AA177">
        <v>10.279</v>
      </c>
      <c r="AB177">
        <v>76.8874</v>
      </c>
      <c r="AC177">
        <v>500</v>
      </c>
      <c r="AD177" t="s">
        <v>1252</v>
      </c>
      <c r="AE177" t="s">
        <v>472</v>
      </c>
      <c r="AF177" t="s">
        <v>2580</v>
      </c>
      <c r="AG177" t="s">
        <v>1322</v>
      </c>
      <c r="AH177" t="s">
        <v>475</v>
      </c>
      <c r="AI177" t="s">
        <v>2556</v>
      </c>
      <c r="AJ177">
        <v>10.345000000000001</v>
      </c>
      <c r="AK177">
        <v>76.924999999999997</v>
      </c>
      <c r="AL177">
        <v>300</v>
      </c>
      <c r="AV177" t="s">
        <v>2559</v>
      </c>
      <c r="AW177" t="s">
        <v>480</v>
      </c>
      <c r="AX177">
        <v>2316000</v>
      </c>
      <c r="AY177">
        <v>1</v>
      </c>
      <c r="AZ177" t="s">
        <v>2560</v>
      </c>
      <c r="BA177">
        <v>2005</v>
      </c>
      <c r="BC177" t="s">
        <v>2561</v>
      </c>
      <c r="BD177" t="s">
        <v>2581</v>
      </c>
      <c r="BE177" t="s">
        <v>536</v>
      </c>
      <c r="BF177" t="s">
        <v>1084</v>
      </c>
      <c r="ED177" t="s">
        <v>2563</v>
      </c>
      <c r="EE177" t="s">
        <v>2564</v>
      </c>
      <c r="EF177" t="s">
        <v>480</v>
      </c>
      <c r="EH177" t="s">
        <v>2565</v>
      </c>
      <c r="EI177" s="9" t="s">
        <v>2564</v>
      </c>
      <c r="EJ177" s="9" t="s">
        <v>480</v>
      </c>
      <c r="EK177" s="9"/>
      <c r="EL177" s="9" t="s">
        <v>2566</v>
      </c>
      <c r="EM177" s="9" t="s">
        <v>2564</v>
      </c>
      <c r="EN177" s="9" t="s">
        <v>480</v>
      </c>
      <c r="EO177" s="9"/>
      <c r="EP177" s="9"/>
      <c r="EQ177" s="9"/>
      <c r="ER177" s="9"/>
      <c r="ES177" s="9"/>
      <c r="ET177" s="9"/>
      <c r="EU177" s="9"/>
      <c r="EV177" s="9"/>
      <c r="EW177" s="9"/>
      <c r="EX177" s="9"/>
      <c r="EY177" s="9"/>
      <c r="EZ177" s="9"/>
      <c r="FA177" s="9"/>
      <c r="FB177" s="9"/>
      <c r="FC177" s="9"/>
      <c r="FD177" s="9"/>
      <c r="FE177" s="9"/>
      <c r="FF177" s="9"/>
      <c r="FG177" s="9"/>
      <c r="FH177" s="9"/>
      <c r="FI177" s="9"/>
      <c r="FJ177" s="9"/>
      <c r="FK177" s="9"/>
      <c r="FL177" s="9"/>
      <c r="FM177" s="9"/>
      <c r="FN177" s="9"/>
      <c r="FO177" s="9"/>
      <c r="FP177" s="9"/>
      <c r="FQ177" s="9"/>
      <c r="FR177" s="9"/>
      <c r="FS177" s="9"/>
      <c r="FT177" s="9"/>
      <c r="FU177" s="9"/>
      <c r="FV177" s="9"/>
      <c r="FW177" s="9"/>
      <c r="FX177" s="9"/>
      <c r="FY177" s="9"/>
      <c r="FZ177" s="9"/>
      <c r="GA177" s="9"/>
      <c r="GB177" s="9"/>
      <c r="GC177" s="9"/>
      <c r="GD177" s="9"/>
      <c r="GE177" s="9"/>
      <c r="GF177" s="9"/>
      <c r="GG177" s="9"/>
      <c r="GH177" s="9"/>
      <c r="GI177" s="9"/>
      <c r="GJ177" s="9"/>
      <c r="GK177" s="9"/>
      <c r="GL177" s="9"/>
      <c r="GM177" s="9"/>
      <c r="GN177" s="9"/>
      <c r="GO177" s="9"/>
      <c r="GP177" s="9"/>
      <c r="GQ177" s="9"/>
      <c r="GR177" s="9"/>
      <c r="GS177" s="9"/>
      <c r="GT177" s="9"/>
      <c r="GU177" s="9"/>
      <c r="GV177" s="9"/>
      <c r="GW177" s="9"/>
      <c r="GX177" s="9"/>
      <c r="GY177" s="9"/>
      <c r="GZ177" s="9"/>
      <c r="HA177" s="9"/>
      <c r="HB177" s="9"/>
      <c r="HC177" s="9"/>
      <c r="HD177" s="9"/>
      <c r="HE177" s="9"/>
      <c r="HF177" s="9"/>
      <c r="HG177" s="9"/>
      <c r="HH177" s="9"/>
      <c r="HI177" s="9"/>
      <c r="HJ177" s="9"/>
      <c r="HK177" s="9"/>
      <c r="HL177" s="9"/>
      <c r="HY177" s="50"/>
      <c r="JP177" s="9"/>
      <c r="JZ177" s="9"/>
      <c r="KR177" s="9"/>
      <c r="KS177" s="9"/>
      <c r="KT177" s="9"/>
      <c r="KU177" s="9"/>
      <c r="MY177" t="s">
        <v>2582</v>
      </c>
      <c r="MZ177" t="s">
        <v>480</v>
      </c>
      <c r="NA177" t="s">
        <v>2568</v>
      </c>
      <c r="NB177" t="s">
        <v>2569</v>
      </c>
      <c r="NJ177" t="s">
        <v>2613</v>
      </c>
      <c r="NK177" t="s">
        <v>2614</v>
      </c>
      <c r="NL177" t="s">
        <v>1376</v>
      </c>
      <c r="NM177" t="s">
        <v>2615</v>
      </c>
      <c r="NU177" t="s">
        <v>2583</v>
      </c>
      <c r="NV177" t="s">
        <v>518</v>
      </c>
      <c r="NW177">
        <v>80</v>
      </c>
      <c r="NX177" t="s">
        <v>916</v>
      </c>
      <c r="NY177">
        <v>14.08</v>
      </c>
      <c r="OB177">
        <v>4</v>
      </c>
      <c r="OU177" t="s">
        <v>2612</v>
      </c>
      <c r="OV177" t="s">
        <v>518</v>
      </c>
      <c r="OW177">
        <v>2005</v>
      </c>
      <c r="PB177" t="s">
        <v>1342</v>
      </c>
      <c r="PC177" s="50" t="s">
        <v>2574</v>
      </c>
      <c r="PE177" t="s">
        <v>522</v>
      </c>
      <c r="PG177" s="78" t="s">
        <v>2575</v>
      </c>
      <c r="PH177" s="124" t="s">
        <v>2576</v>
      </c>
    </row>
    <row r="178" spans="1:424">
      <c r="A178" s="78" t="s">
        <v>665</v>
      </c>
      <c r="B178" s="78" t="s">
        <v>2552</v>
      </c>
      <c r="C178" s="78" t="s">
        <v>1252</v>
      </c>
      <c r="D178" s="78" t="s">
        <v>472</v>
      </c>
      <c r="E178" s="225" t="s">
        <v>2584</v>
      </c>
      <c r="F178" s="78" t="s">
        <v>1322</v>
      </c>
      <c r="G178" s="78" t="s">
        <v>475</v>
      </c>
      <c r="H178" s="78" t="s">
        <v>2556</v>
      </c>
      <c r="I178" s="78">
        <v>10.33</v>
      </c>
      <c r="J178" s="78">
        <v>76.965000000000003</v>
      </c>
      <c r="K178" s="78">
        <v>500</v>
      </c>
      <c r="L178" s="78" t="s">
        <v>1252</v>
      </c>
      <c r="M178" s="78" t="s">
        <v>472</v>
      </c>
      <c r="N178" s="225" t="s">
        <v>2585</v>
      </c>
      <c r="O178" s="78" t="s">
        <v>1322</v>
      </c>
      <c r="P178" s="78" t="s">
        <v>475</v>
      </c>
      <c r="Q178" s="78" t="s">
        <v>2556</v>
      </c>
      <c r="R178" s="78">
        <v>10.308299999999999</v>
      </c>
      <c r="S178" s="78">
        <v>76.899900000000002</v>
      </c>
      <c r="T178" s="78">
        <v>500</v>
      </c>
      <c r="U178" s="78" t="s">
        <v>1252</v>
      </c>
      <c r="V178" s="78" t="s">
        <v>472</v>
      </c>
      <c r="W178" s="78" t="s">
        <v>2586</v>
      </c>
      <c r="X178" s="78" t="s">
        <v>1322</v>
      </c>
      <c r="Y178" s="78" t="s">
        <v>475</v>
      </c>
      <c r="Z178" s="78" t="s">
        <v>2556</v>
      </c>
      <c r="AA178" s="78">
        <v>10.31</v>
      </c>
      <c r="AB178" s="78">
        <v>76.94</v>
      </c>
      <c r="AC178" s="78">
        <v>300</v>
      </c>
      <c r="AD178" s="78"/>
      <c r="AE178" s="78"/>
      <c r="AF178" s="78"/>
      <c r="AG178" s="78"/>
      <c r="AH178" s="78"/>
      <c r="AI178" s="78"/>
      <c r="AJ178" s="78"/>
      <c r="AK178" s="78"/>
      <c r="AL178" s="78"/>
      <c r="AM178" s="78"/>
      <c r="AN178" s="78"/>
      <c r="AO178" s="78"/>
      <c r="AP178" s="78"/>
      <c r="AQ178" s="78"/>
      <c r="AR178" s="78"/>
      <c r="AS178" s="78"/>
      <c r="AT178" s="78"/>
      <c r="AU178" s="78"/>
      <c r="AV178" s="78" t="s">
        <v>2559</v>
      </c>
      <c r="AW178" s="78" t="s">
        <v>480</v>
      </c>
      <c r="AX178" s="78">
        <v>1671000</v>
      </c>
      <c r="AY178" s="78">
        <v>1</v>
      </c>
      <c r="AZ178" s="78" t="s">
        <v>2560</v>
      </c>
      <c r="BA178" s="78">
        <v>2005</v>
      </c>
      <c r="BB178" s="78"/>
      <c r="BC178" s="78" t="s">
        <v>2561</v>
      </c>
      <c r="BD178" s="78" t="s">
        <v>2587</v>
      </c>
      <c r="BE178" s="78" t="s">
        <v>566</v>
      </c>
      <c r="BF178" s="78" t="s">
        <v>1084</v>
      </c>
      <c r="BG178" s="78"/>
      <c r="BH178" s="78"/>
      <c r="BI178" s="78"/>
      <c r="BJ178" s="78"/>
      <c r="BK178" s="78"/>
      <c r="BL178" s="78"/>
      <c r="BM178" s="78"/>
      <c r="BN178" s="78"/>
      <c r="BO178" s="78"/>
      <c r="BP178" s="78"/>
      <c r="BQ178" s="78"/>
      <c r="BR178" s="78"/>
      <c r="BS178" s="78"/>
      <c r="BT178" s="78"/>
      <c r="BU178" s="78"/>
      <c r="BV178" s="78"/>
      <c r="BW178" s="78"/>
      <c r="BX178" s="78"/>
      <c r="BY178" s="78"/>
      <c r="BZ178" s="78"/>
      <c r="CA178" s="78"/>
      <c r="CB178" s="78"/>
      <c r="CC178" s="78"/>
      <c r="CD178" s="78"/>
      <c r="CE178" s="78"/>
      <c r="CF178" s="78"/>
      <c r="CG178" s="78"/>
      <c r="CH178" s="78"/>
      <c r="CI178" s="78"/>
      <c r="CJ178" s="78"/>
      <c r="CK178" s="78"/>
      <c r="CL178" s="78"/>
      <c r="CM178" s="78"/>
      <c r="CN178" s="78"/>
      <c r="CO178" s="78"/>
      <c r="CP178" s="78"/>
      <c r="CQ178" s="78"/>
      <c r="CR178" s="78"/>
      <c r="CS178" s="78"/>
      <c r="CT178" s="78"/>
      <c r="CU178" s="78"/>
      <c r="CV178" s="78"/>
      <c r="CW178" s="78"/>
      <c r="CX178" s="78"/>
      <c r="CY178" s="78"/>
      <c r="CZ178" s="78"/>
      <c r="DA178" s="78"/>
      <c r="DB178" s="78"/>
      <c r="DC178" s="78"/>
      <c r="DD178" s="78"/>
      <c r="DE178" s="78"/>
      <c r="DF178" s="78"/>
      <c r="DG178" s="78"/>
      <c r="DH178" s="78"/>
      <c r="DI178" s="78"/>
      <c r="DJ178" s="78"/>
      <c r="DK178" s="78"/>
      <c r="DL178" s="78"/>
      <c r="DM178" s="78"/>
      <c r="DN178" s="78"/>
      <c r="DO178" s="78"/>
      <c r="DP178" s="78"/>
      <c r="DQ178" s="78"/>
      <c r="DR178" s="78"/>
      <c r="DS178" s="78"/>
      <c r="DT178" s="78"/>
      <c r="DU178" s="78"/>
      <c r="DV178" s="78"/>
      <c r="DW178" s="78"/>
      <c r="DX178" s="78"/>
      <c r="DY178" s="78"/>
      <c r="DZ178" s="78"/>
      <c r="EA178" s="78"/>
      <c r="EB178" s="78"/>
      <c r="EC178" s="78"/>
      <c r="ED178" s="78" t="s">
        <v>2563</v>
      </c>
      <c r="EE178" s="78" t="s">
        <v>2564</v>
      </c>
      <c r="EF178" s="78" t="s">
        <v>480</v>
      </c>
      <c r="EG178" s="78"/>
      <c r="EH178" s="78" t="s">
        <v>2565</v>
      </c>
      <c r="EI178" s="125" t="s">
        <v>2564</v>
      </c>
      <c r="EJ178" s="125" t="s">
        <v>480</v>
      </c>
      <c r="EK178" s="125"/>
      <c r="EL178" s="125" t="s">
        <v>2566</v>
      </c>
      <c r="EM178" s="125" t="s">
        <v>2564</v>
      </c>
      <c r="EN178" s="125" t="s">
        <v>480</v>
      </c>
      <c r="EO178" s="125"/>
      <c r="EP178" s="125" t="s">
        <v>2588</v>
      </c>
      <c r="EQ178" s="125" t="s">
        <v>2564</v>
      </c>
      <c r="ER178" s="125" t="s">
        <v>480</v>
      </c>
      <c r="ES178" s="125"/>
      <c r="ET178" s="125" t="s">
        <v>2589</v>
      </c>
      <c r="EU178" s="125" t="s">
        <v>2564</v>
      </c>
      <c r="EV178" s="125" t="s">
        <v>480</v>
      </c>
      <c r="EW178" s="125"/>
      <c r="EX178" s="125"/>
      <c r="EY178" s="125"/>
      <c r="EZ178" s="125"/>
      <c r="FA178" s="125"/>
      <c r="FB178" s="125"/>
      <c r="FC178" s="125"/>
      <c r="FD178" s="125"/>
      <c r="FE178" s="125"/>
      <c r="FF178" s="125"/>
      <c r="FG178" s="125"/>
      <c r="FH178" s="125"/>
      <c r="FI178" s="125"/>
      <c r="FJ178" s="125"/>
      <c r="FK178" s="125"/>
      <c r="FL178" s="125"/>
      <c r="FM178" s="125"/>
      <c r="FN178" s="125"/>
      <c r="FO178" s="125"/>
      <c r="FP178" s="125"/>
      <c r="FQ178" s="125"/>
      <c r="FR178" s="125"/>
      <c r="FS178" s="125"/>
      <c r="FT178" s="125"/>
      <c r="FU178" s="125"/>
      <c r="FV178" s="125"/>
      <c r="FW178" s="125"/>
      <c r="FX178" s="125"/>
      <c r="FY178" s="125"/>
      <c r="FZ178" s="125"/>
      <c r="GA178" s="125"/>
      <c r="GB178" s="125"/>
      <c r="GC178" s="125"/>
      <c r="GD178" s="125"/>
      <c r="GE178" s="125"/>
      <c r="GF178" s="125"/>
      <c r="GG178" s="125"/>
      <c r="GH178" s="125"/>
      <c r="GI178" s="125"/>
      <c r="GJ178" s="125"/>
      <c r="GK178" s="125"/>
      <c r="GL178" s="125"/>
      <c r="GM178" s="125"/>
      <c r="GN178" s="125"/>
      <c r="GO178" s="125"/>
      <c r="GP178" s="125"/>
      <c r="GQ178" s="125"/>
      <c r="GR178" s="125"/>
      <c r="GS178" s="125"/>
      <c r="GT178" s="125"/>
      <c r="GU178" s="125"/>
      <c r="GV178" s="125"/>
      <c r="GW178" s="125"/>
      <c r="GX178" s="125"/>
      <c r="GY178" s="125"/>
      <c r="GZ178" s="125"/>
      <c r="HA178" s="125"/>
      <c r="HB178" s="125"/>
      <c r="HC178" s="125"/>
      <c r="HD178" s="125"/>
      <c r="HE178" s="125"/>
      <c r="HF178" s="125"/>
      <c r="HG178" s="125"/>
      <c r="HH178" s="125"/>
      <c r="HI178" s="125"/>
      <c r="HJ178" s="125"/>
      <c r="HK178" s="125"/>
      <c r="HL178" s="125"/>
      <c r="HM178" s="78"/>
      <c r="HN178" s="78"/>
      <c r="HO178" s="78"/>
      <c r="HP178" s="78"/>
      <c r="HQ178" s="78"/>
      <c r="HR178" s="78"/>
      <c r="HS178" s="78"/>
      <c r="HT178" s="78"/>
      <c r="HU178" s="78"/>
      <c r="HV178" s="78"/>
      <c r="HW178" s="78"/>
      <c r="HX178" s="78"/>
      <c r="HY178" s="126"/>
      <c r="HZ178" s="78"/>
      <c r="IA178" s="78"/>
      <c r="IB178" s="78"/>
      <c r="IC178" s="78"/>
      <c r="ID178" s="78"/>
      <c r="IE178" s="78"/>
      <c r="IF178" s="78"/>
      <c r="IG178" s="78"/>
      <c r="IH178" s="78"/>
      <c r="II178" s="78"/>
      <c r="IJ178" s="78"/>
      <c r="IK178" s="78"/>
      <c r="IL178" s="78"/>
      <c r="IM178" s="78"/>
      <c r="IN178" s="78"/>
      <c r="IO178" s="78"/>
      <c r="IP178" s="78"/>
      <c r="IQ178" s="78"/>
      <c r="IR178" s="78"/>
      <c r="IS178" s="78"/>
      <c r="IT178" s="78"/>
      <c r="IU178" s="78"/>
      <c r="IV178" s="78"/>
      <c r="IW178" s="78"/>
      <c r="IX178" s="78"/>
      <c r="IY178" s="78"/>
      <c r="IZ178" s="78"/>
      <c r="JA178" s="78"/>
      <c r="JB178" s="78"/>
      <c r="JC178" s="78"/>
      <c r="JD178" s="78"/>
      <c r="JE178" s="78"/>
      <c r="JF178" s="78"/>
      <c r="JG178" s="78"/>
      <c r="JH178" s="78"/>
      <c r="JI178" s="78"/>
      <c r="JJ178" s="78"/>
      <c r="JK178" s="78"/>
      <c r="JL178" s="78"/>
      <c r="JM178" s="78"/>
      <c r="JN178" s="78"/>
      <c r="JO178" s="78"/>
      <c r="JP178" s="131"/>
      <c r="JQ178" s="78"/>
      <c r="JR178" s="78"/>
      <c r="JS178" s="78"/>
      <c r="JT178" s="78"/>
      <c r="JU178" s="78"/>
      <c r="JV178" s="78"/>
      <c r="JW178" s="78"/>
      <c r="JX178" s="78"/>
      <c r="JY178" s="78"/>
      <c r="JZ178" s="131"/>
      <c r="KA178" s="78"/>
      <c r="KB178" s="78"/>
      <c r="KC178" s="78"/>
      <c r="KD178" s="78"/>
      <c r="KE178" s="78"/>
      <c r="KF178" s="78"/>
      <c r="KG178" s="78"/>
      <c r="KH178" s="78"/>
      <c r="KI178" s="78"/>
      <c r="KJ178" s="78"/>
      <c r="KK178" s="78"/>
      <c r="KL178" s="78"/>
      <c r="KM178" s="78"/>
      <c r="KN178" s="78"/>
      <c r="KO178" s="78"/>
      <c r="KP178" s="78"/>
      <c r="KQ178" s="78"/>
      <c r="KR178" s="131"/>
      <c r="KS178" s="131"/>
      <c r="KT178" s="131"/>
      <c r="KU178" s="131"/>
      <c r="KV178" s="78"/>
      <c r="KW178" s="78"/>
      <c r="KX178" s="78"/>
      <c r="KY178" s="78"/>
      <c r="KZ178" s="78"/>
      <c r="LA178" s="78"/>
      <c r="LB178" s="78"/>
      <c r="LC178" s="78"/>
      <c r="LD178" s="78"/>
      <c r="LE178" s="78"/>
      <c r="LF178" s="78"/>
      <c r="LG178" s="78"/>
      <c r="LH178" s="78"/>
      <c r="LI178" s="78"/>
      <c r="LJ178" s="78"/>
      <c r="LK178" s="78"/>
      <c r="LL178" s="78"/>
      <c r="LM178" s="78"/>
      <c r="LN178" s="78"/>
      <c r="LO178" s="78"/>
      <c r="LP178" s="78"/>
      <c r="LQ178" s="78"/>
      <c r="LR178" s="78"/>
      <c r="LS178" s="78"/>
      <c r="LT178" s="78"/>
      <c r="LU178" s="78"/>
      <c r="LV178" s="78"/>
      <c r="LW178" s="78"/>
      <c r="LX178" s="78"/>
      <c r="LY178" s="78"/>
      <c r="LZ178" s="78"/>
      <c r="MA178" s="78"/>
      <c r="MB178" s="78"/>
      <c r="MC178" s="78"/>
      <c r="MD178" s="78"/>
      <c r="ME178" s="78"/>
      <c r="MF178" s="78"/>
      <c r="MG178" s="78"/>
      <c r="MH178" s="78"/>
      <c r="MI178" s="78"/>
      <c r="MJ178" s="78"/>
      <c r="MK178" s="78"/>
      <c r="ML178" s="78"/>
      <c r="MM178" s="78"/>
      <c r="MN178" s="78"/>
      <c r="MO178" s="78"/>
      <c r="MP178" s="78"/>
      <c r="MQ178" s="78"/>
      <c r="MR178" s="78"/>
      <c r="MS178" s="78"/>
      <c r="MT178" s="78"/>
      <c r="MU178" s="78"/>
      <c r="MV178" s="78"/>
      <c r="MW178" s="78"/>
      <c r="MX178" s="78"/>
      <c r="MY178" s="78" t="s">
        <v>2590</v>
      </c>
      <c r="MZ178" s="78" t="s">
        <v>480</v>
      </c>
      <c r="NA178" s="78" t="s">
        <v>2568</v>
      </c>
      <c r="NB178" s="78" t="s">
        <v>2569</v>
      </c>
      <c r="NC178" s="78"/>
      <c r="ND178" s="78"/>
      <c r="NE178" s="78"/>
      <c r="NF178" s="78"/>
      <c r="NG178" s="78"/>
      <c r="NH178" s="78"/>
      <c r="NI178" s="78"/>
      <c r="NJ178" s="78" t="s">
        <v>2613</v>
      </c>
      <c r="NK178" s="78" t="s">
        <v>2614</v>
      </c>
      <c r="NL178" s="78" t="s">
        <v>1376</v>
      </c>
      <c r="NM178" s="78" t="s">
        <v>2615</v>
      </c>
      <c r="NN178" s="78"/>
      <c r="NO178" s="78"/>
      <c r="NP178" s="78"/>
      <c r="NQ178" s="78"/>
      <c r="NR178" s="78"/>
      <c r="NS178" s="78"/>
      <c r="NT178" s="78"/>
      <c r="NU178" s="78" t="s">
        <v>2591</v>
      </c>
      <c r="NV178" s="78" t="s">
        <v>518</v>
      </c>
      <c r="NW178" s="78">
        <v>75</v>
      </c>
      <c r="NX178" s="78" t="s">
        <v>916</v>
      </c>
      <c r="NY178" s="78">
        <v>12.08</v>
      </c>
      <c r="NZ178" s="78"/>
      <c r="OA178" s="78"/>
      <c r="OB178" s="78">
        <v>3</v>
      </c>
      <c r="OC178" s="78"/>
      <c r="OD178" s="78"/>
      <c r="OE178" s="78"/>
      <c r="OF178" s="78"/>
      <c r="OG178" s="78"/>
      <c r="OH178" s="78"/>
      <c r="OI178" s="78"/>
      <c r="OJ178" s="78"/>
      <c r="OK178" s="78"/>
      <c r="OL178" s="78"/>
      <c r="OM178" s="78"/>
      <c r="ON178" s="78"/>
      <c r="OO178" s="78"/>
      <c r="OP178" s="78"/>
      <c r="OQ178" s="78"/>
      <c r="OR178" s="78"/>
      <c r="OS178" s="78"/>
      <c r="OT178" s="78"/>
      <c r="OU178" s="78" t="s">
        <v>2612</v>
      </c>
      <c r="OV178" s="78" t="s">
        <v>518</v>
      </c>
      <c r="OW178" s="78">
        <v>2005</v>
      </c>
      <c r="OX178" s="78"/>
      <c r="OY178" s="78"/>
      <c r="OZ178" s="78"/>
      <c r="PA178" s="78"/>
      <c r="PB178" s="78" t="s">
        <v>1342</v>
      </c>
      <c r="PC178" s="126" t="s">
        <v>2574</v>
      </c>
      <c r="PD178" s="78"/>
      <c r="PE178" t="s">
        <v>522</v>
      </c>
      <c r="PF178" s="78"/>
      <c r="PG178" s="78" t="s">
        <v>2575</v>
      </c>
      <c r="PH178" s="124" t="s">
        <v>2576</v>
      </c>
    </row>
    <row r="179" spans="1:424" ht="15.75" thickBot="1">
      <c r="A179" t="s">
        <v>665</v>
      </c>
      <c r="B179" s="78" t="s">
        <v>2552</v>
      </c>
      <c r="C179" t="s">
        <v>1252</v>
      </c>
      <c r="D179" t="s">
        <v>472</v>
      </c>
      <c r="E179" s="11" t="s">
        <v>2592</v>
      </c>
      <c r="F179" t="s">
        <v>2593</v>
      </c>
      <c r="G179" t="s">
        <v>475</v>
      </c>
      <c r="H179" t="s">
        <v>2556</v>
      </c>
      <c r="I179">
        <v>10.29</v>
      </c>
      <c r="J179">
        <v>76.875</v>
      </c>
      <c r="K179">
        <v>600</v>
      </c>
      <c r="L179" t="s">
        <v>1252</v>
      </c>
      <c r="M179" t="s">
        <v>472</v>
      </c>
      <c r="N179" s="11" t="s">
        <v>2594</v>
      </c>
      <c r="O179" t="s">
        <v>2593</v>
      </c>
      <c r="P179" t="s">
        <v>475</v>
      </c>
      <c r="Q179" t="s">
        <v>2556</v>
      </c>
      <c r="R179">
        <v>10.348000000000001</v>
      </c>
      <c r="S179">
        <v>76.935000000000002</v>
      </c>
      <c r="T179">
        <v>600</v>
      </c>
      <c r="AV179" t="s">
        <v>2559</v>
      </c>
      <c r="AW179" t="s">
        <v>480</v>
      </c>
      <c r="AX179">
        <v>1838000</v>
      </c>
      <c r="AY179">
        <v>1</v>
      </c>
      <c r="AZ179" t="s">
        <v>2560</v>
      </c>
      <c r="BA179">
        <v>2005</v>
      </c>
      <c r="BC179" t="s">
        <v>2561</v>
      </c>
      <c r="BD179" t="s">
        <v>2595</v>
      </c>
      <c r="BE179" t="s">
        <v>572</v>
      </c>
      <c r="BF179" t="s">
        <v>484</v>
      </c>
      <c r="BG179" t="s">
        <v>1168</v>
      </c>
      <c r="BH179" t="s">
        <v>480</v>
      </c>
      <c r="BI179" t="s">
        <v>480</v>
      </c>
      <c r="BJ179" t="s">
        <v>480</v>
      </c>
      <c r="ED179" t="s">
        <v>2596</v>
      </c>
      <c r="EE179" t="s">
        <v>480</v>
      </c>
      <c r="EF179" t="s">
        <v>480</v>
      </c>
      <c r="EH179" t="s">
        <v>2566</v>
      </c>
      <c r="EI179" s="9" t="s">
        <v>480</v>
      </c>
      <c r="EJ179" s="9" t="s">
        <v>480</v>
      </c>
      <c r="EK179" s="9"/>
      <c r="EL179" s="9" t="s">
        <v>2563</v>
      </c>
      <c r="EM179" s="9" t="s">
        <v>480</v>
      </c>
      <c r="EN179" s="9" t="s">
        <v>480</v>
      </c>
      <c r="EO179" s="9"/>
      <c r="EP179" s="9" t="s">
        <v>2565</v>
      </c>
      <c r="EQ179" s="9" t="s">
        <v>480</v>
      </c>
      <c r="ER179" s="9" t="s">
        <v>480</v>
      </c>
      <c r="ES179" s="9"/>
      <c r="ET179" s="9" t="s">
        <v>2597</v>
      </c>
      <c r="EU179" s="9" t="s">
        <v>480</v>
      </c>
      <c r="EV179" s="9" t="s">
        <v>480</v>
      </c>
      <c r="EW179" s="9"/>
      <c r="EX179" s="9"/>
      <c r="EY179" s="9"/>
      <c r="EZ179" s="9"/>
      <c r="FA179" s="9"/>
      <c r="FB179" s="9"/>
      <c r="FC179" s="9"/>
      <c r="FD179" s="9"/>
      <c r="FE179" s="9"/>
      <c r="FF179" s="9"/>
      <c r="FG179" s="9"/>
      <c r="FH179" s="9"/>
      <c r="FI179" s="9"/>
      <c r="FJ179" s="9"/>
      <c r="FK179" s="9"/>
      <c r="FL179" s="9"/>
      <c r="FM179" s="9"/>
      <c r="FN179" s="9"/>
      <c r="FO179" s="9"/>
      <c r="FP179" s="9"/>
      <c r="FQ179" s="9"/>
      <c r="FR179" s="9"/>
      <c r="FS179" s="9"/>
      <c r="FT179" s="9"/>
      <c r="FU179" s="9"/>
      <c r="FV179" s="9"/>
      <c r="FW179" s="9"/>
      <c r="FX179" s="9"/>
      <c r="FY179" s="9"/>
      <c r="FZ179" s="9"/>
      <c r="GA179" s="9"/>
      <c r="GB179" s="9"/>
      <c r="GC179" s="9"/>
      <c r="GD179" s="9"/>
      <c r="GE179" s="9"/>
      <c r="GF179" s="9"/>
      <c r="GG179" s="9"/>
      <c r="GH179" s="9"/>
      <c r="GI179" s="9"/>
      <c r="GJ179" s="9"/>
      <c r="GK179" s="9"/>
      <c r="GL179" s="9"/>
      <c r="GM179" s="9"/>
      <c r="GN179" s="9"/>
      <c r="GO179" s="9"/>
      <c r="GP179" s="9"/>
      <c r="GQ179" s="9"/>
      <c r="GR179" s="9"/>
      <c r="GS179" s="9"/>
      <c r="GT179" s="9"/>
      <c r="GU179" s="9"/>
      <c r="GV179" s="9"/>
      <c r="GW179" s="9"/>
      <c r="GX179" s="9"/>
      <c r="GY179" s="9"/>
      <c r="GZ179" s="9"/>
      <c r="HA179" s="9"/>
      <c r="HB179" s="9"/>
      <c r="HC179" s="9"/>
      <c r="HD179" s="9"/>
      <c r="HE179" s="9"/>
      <c r="HF179" s="9"/>
      <c r="HG179" s="9"/>
      <c r="HH179" s="9"/>
      <c r="HI179" s="9"/>
      <c r="HJ179" s="9"/>
      <c r="HK179" s="9"/>
      <c r="HL179" s="9"/>
      <c r="HY179" s="50"/>
      <c r="IV179" t="s">
        <v>2598</v>
      </c>
      <c r="IW179" t="s">
        <v>1361</v>
      </c>
      <c r="JJ179" t="s">
        <v>2599</v>
      </c>
      <c r="JK179" t="s">
        <v>2600</v>
      </c>
      <c r="JP179" s="9"/>
      <c r="JZ179" s="9"/>
      <c r="KE179" t="s">
        <v>2601</v>
      </c>
      <c r="KF179" t="s">
        <v>1001</v>
      </c>
      <c r="KR179" s="9"/>
      <c r="KS179" s="9"/>
      <c r="KT179" s="9"/>
      <c r="KU179" s="9"/>
      <c r="MY179" t="s">
        <v>2602</v>
      </c>
      <c r="MZ179" t="s">
        <v>480</v>
      </c>
      <c r="NA179" t="s">
        <v>2568</v>
      </c>
      <c r="NB179" t="s">
        <v>2569</v>
      </c>
      <c r="NJ179" t="s">
        <v>2613</v>
      </c>
      <c r="NK179" t="s">
        <v>2614</v>
      </c>
      <c r="NL179" t="s">
        <v>1376</v>
      </c>
      <c r="NM179" t="s">
        <v>2615</v>
      </c>
      <c r="NU179" t="s">
        <v>2603</v>
      </c>
      <c r="NV179" t="s">
        <v>518</v>
      </c>
      <c r="NW179">
        <v>87.5</v>
      </c>
      <c r="NX179" t="s">
        <v>916</v>
      </c>
      <c r="NY179">
        <v>26.77</v>
      </c>
      <c r="OB179">
        <v>2</v>
      </c>
      <c r="OU179" t="s">
        <v>2612</v>
      </c>
      <c r="OV179" t="s">
        <v>518</v>
      </c>
      <c r="OW179">
        <v>2005</v>
      </c>
      <c r="PB179" t="s">
        <v>1342</v>
      </c>
      <c r="PC179" s="50" t="s">
        <v>2574</v>
      </c>
      <c r="PE179" t="s">
        <v>522</v>
      </c>
      <c r="PG179" s="78" t="s">
        <v>2575</v>
      </c>
      <c r="PH179" s="124" t="s">
        <v>2576</v>
      </c>
    </row>
    <row r="180" spans="1:424" s="70" customFormat="1" ht="75.75" thickBot="1">
      <c r="A180" s="164" t="s">
        <v>0</v>
      </c>
      <c r="B180" s="165" t="s">
        <v>1</v>
      </c>
      <c r="C180" s="166" t="s">
        <v>2</v>
      </c>
      <c r="D180" s="166" t="s">
        <v>3</v>
      </c>
      <c r="E180" s="166" t="s">
        <v>4</v>
      </c>
      <c r="F180" s="166" t="s">
        <v>5</v>
      </c>
      <c r="G180" s="166" t="s">
        <v>6</v>
      </c>
      <c r="H180" s="166" t="s">
        <v>7</v>
      </c>
      <c r="I180" s="166" t="s">
        <v>8</v>
      </c>
      <c r="J180" s="166" t="s">
        <v>9</v>
      </c>
      <c r="K180" s="166" t="s">
        <v>10</v>
      </c>
      <c r="L180" s="166" t="s">
        <v>11</v>
      </c>
      <c r="M180" s="166" t="s">
        <v>12</v>
      </c>
      <c r="N180" s="166" t="s">
        <v>13</v>
      </c>
      <c r="O180" s="166" t="s">
        <v>14</v>
      </c>
      <c r="P180" s="166" t="s">
        <v>15</v>
      </c>
      <c r="Q180" s="166" t="s">
        <v>16</v>
      </c>
      <c r="R180" s="166" t="s">
        <v>17</v>
      </c>
      <c r="S180" s="166" t="s">
        <v>18</v>
      </c>
      <c r="T180" s="166" t="s">
        <v>19</v>
      </c>
      <c r="U180" s="113" t="s">
        <v>20</v>
      </c>
      <c r="V180" s="113" t="s">
        <v>21</v>
      </c>
      <c r="W180" s="113" t="s">
        <v>22</v>
      </c>
      <c r="X180" s="113" t="s">
        <v>23</v>
      </c>
      <c r="Y180" s="113" t="s">
        <v>24</v>
      </c>
      <c r="Z180" s="113" t="s">
        <v>25</v>
      </c>
      <c r="AA180" s="113" t="s">
        <v>26</v>
      </c>
      <c r="AB180" s="113" t="s">
        <v>27</v>
      </c>
      <c r="AC180" s="113" t="s">
        <v>28</v>
      </c>
      <c r="AD180" s="113" t="s">
        <v>29</v>
      </c>
      <c r="AE180" s="113" t="s">
        <v>30</v>
      </c>
      <c r="AF180" s="113" t="s">
        <v>31</v>
      </c>
      <c r="AG180" s="113" t="s">
        <v>32</v>
      </c>
      <c r="AH180" s="113" t="s">
        <v>33</v>
      </c>
      <c r="AI180" s="113" t="s">
        <v>34</v>
      </c>
      <c r="AJ180" s="113" t="s">
        <v>35</v>
      </c>
      <c r="AK180" s="113" t="s">
        <v>36</v>
      </c>
      <c r="AL180" s="113" t="s">
        <v>37</v>
      </c>
      <c r="AM180" s="113" t="s">
        <v>38</v>
      </c>
      <c r="AN180" s="113" t="s">
        <v>39</v>
      </c>
      <c r="AO180" s="113" t="s">
        <v>40</v>
      </c>
      <c r="AP180" s="113" t="s">
        <v>41</v>
      </c>
      <c r="AQ180" s="113" t="s">
        <v>42</v>
      </c>
      <c r="AR180" s="113" t="s">
        <v>43</v>
      </c>
      <c r="AS180" s="113" t="s">
        <v>44</v>
      </c>
      <c r="AT180" s="113" t="s">
        <v>45</v>
      </c>
      <c r="AU180" s="113" t="s">
        <v>46</v>
      </c>
      <c r="AV180" s="228" t="s">
        <v>47</v>
      </c>
      <c r="AW180" s="228" t="s">
        <v>48</v>
      </c>
      <c r="AX180" s="228" t="s">
        <v>49</v>
      </c>
      <c r="AY180" s="228" t="s">
        <v>50</v>
      </c>
      <c r="AZ180" s="229" t="s">
        <v>51</v>
      </c>
      <c r="BA180" s="229" t="s">
        <v>52</v>
      </c>
      <c r="BB180" s="229" t="s">
        <v>53</v>
      </c>
      <c r="BC180" s="229" t="s">
        <v>54</v>
      </c>
      <c r="BD180" s="18" t="s">
        <v>55</v>
      </c>
      <c r="BE180" s="18" t="s">
        <v>56</v>
      </c>
      <c r="BF180" s="18" t="s">
        <v>57</v>
      </c>
      <c r="BG180" s="230" t="s">
        <v>58</v>
      </c>
      <c r="BH180" s="230" t="s">
        <v>59</v>
      </c>
      <c r="BI180" s="230" t="s">
        <v>60</v>
      </c>
      <c r="BJ180" s="230" t="s">
        <v>61</v>
      </c>
      <c r="BK180" s="230" t="s">
        <v>62</v>
      </c>
      <c r="BL180" s="230" t="s">
        <v>63</v>
      </c>
      <c r="BM180" s="230" t="s">
        <v>64</v>
      </c>
      <c r="BN180" s="230" t="s">
        <v>65</v>
      </c>
      <c r="BO180" s="230" t="s">
        <v>66</v>
      </c>
      <c r="BP180" s="230" t="s">
        <v>67</v>
      </c>
      <c r="BQ180" s="230" t="s">
        <v>68</v>
      </c>
      <c r="BR180" s="230" t="s">
        <v>69</v>
      </c>
      <c r="BS180" s="230" t="s">
        <v>70</v>
      </c>
      <c r="BT180" s="230" t="s">
        <v>71</v>
      </c>
      <c r="BU180" s="230" t="s">
        <v>72</v>
      </c>
      <c r="BV180" s="122" t="s">
        <v>73</v>
      </c>
      <c r="BW180" s="122" t="s">
        <v>74</v>
      </c>
      <c r="BX180" s="122" t="s">
        <v>75</v>
      </c>
      <c r="BY180" s="122" t="s">
        <v>76</v>
      </c>
      <c r="BZ180" s="122" t="s">
        <v>77</v>
      </c>
      <c r="CA180" s="122" t="s">
        <v>78</v>
      </c>
      <c r="CB180" s="122" t="s">
        <v>79</v>
      </c>
      <c r="CC180" s="122" t="s">
        <v>80</v>
      </c>
      <c r="CD180" s="122" t="s">
        <v>81</v>
      </c>
      <c r="CE180" s="122" t="s">
        <v>82</v>
      </c>
      <c r="CF180" s="122" t="s">
        <v>83</v>
      </c>
      <c r="CG180" s="122" t="s">
        <v>84</v>
      </c>
      <c r="CH180" s="122" t="s">
        <v>85</v>
      </c>
      <c r="CI180" s="122" t="s">
        <v>86</v>
      </c>
      <c r="CJ180" s="122" t="s">
        <v>87</v>
      </c>
      <c r="CK180" s="122" t="s">
        <v>88</v>
      </c>
      <c r="CL180" s="122" t="s">
        <v>89</v>
      </c>
      <c r="CM180" s="122" t="s">
        <v>90</v>
      </c>
      <c r="CN180" s="122" t="s">
        <v>91</v>
      </c>
      <c r="CO180" s="122" t="s">
        <v>92</v>
      </c>
      <c r="CP180" s="122" t="s">
        <v>93</v>
      </c>
      <c r="CQ180" s="122" t="s">
        <v>94</v>
      </c>
      <c r="CR180" s="122" t="s">
        <v>95</v>
      </c>
      <c r="CS180" s="122" t="s">
        <v>96</v>
      </c>
      <c r="CT180" s="122" t="s">
        <v>97</v>
      </c>
      <c r="CU180" s="122" t="s">
        <v>98</v>
      </c>
      <c r="CV180" s="122" t="s">
        <v>99</v>
      </c>
      <c r="CW180" s="122" t="s">
        <v>100</v>
      </c>
      <c r="CX180" s="122" t="s">
        <v>101</v>
      </c>
      <c r="CY180" s="122" t="s">
        <v>102</v>
      </c>
      <c r="CZ180" s="122" t="s">
        <v>103</v>
      </c>
      <c r="DA180" s="122" t="s">
        <v>104</v>
      </c>
      <c r="DB180" s="122" t="s">
        <v>105</v>
      </c>
      <c r="DC180" s="122" t="s">
        <v>106</v>
      </c>
      <c r="DD180" s="122" t="s">
        <v>107</v>
      </c>
      <c r="DE180" s="122" t="s">
        <v>108</v>
      </c>
      <c r="DF180" s="122" t="s">
        <v>109</v>
      </c>
      <c r="DG180" s="122" t="s">
        <v>110</v>
      </c>
      <c r="DH180" s="122" t="s">
        <v>111</v>
      </c>
      <c r="DI180" s="122" t="s">
        <v>112</v>
      </c>
      <c r="DJ180" s="122" t="s">
        <v>113</v>
      </c>
      <c r="DK180" s="122" t="s">
        <v>114</v>
      </c>
      <c r="DL180" s="122" t="s">
        <v>115</v>
      </c>
      <c r="DM180" s="122" t="s">
        <v>116</v>
      </c>
      <c r="DN180" s="122" t="s">
        <v>117</v>
      </c>
      <c r="DO180" s="122" t="s">
        <v>118</v>
      </c>
      <c r="DP180" s="122" t="s">
        <v>119</v>
      </c>
      <c r="DQ180" s="122" t="s">
        <v>120</v>
      </c>
      <c r="DR180" s="122" t="s">
        <v>121</v>
      </c>
      <c r="DS180" s="122" t="s">
        <v>122</v>
      </c>
      <c r="DT180" s="122" t="s">
        <v>123</v>
      </c>
      <c r="DU180" s="122" t="s">
        <v>124</v>
      </c>
      <c r="DV180" s="122" t="s">
        <v>125</v>
      </c>
      <c r="DW180" s="122" t="s">
        <v>126</v>
      </c>
      <c r="DX180" s="122" t="s">
        <v>127</v>
      </c>
      <c r="DY180" s="122" t="s">
        <v>128</v>
      </c>
      <c r="DZ180" s="122" t="s">
        <v>129</v>
      </c>
      <c r="EA180" s="122" t="s">
        <v>130</v>
      </c>
      <c r="EB180" s="122" t="s">
        <v>131</v>
      </c>
      <c r="EC180" s="122" t="s">
        <v>132</v>
      </c>
      <c r="ED180" s="231" t="s">
        <v>133</v>
      </c>
      <c r="EE180" s="231" t="s">
        <v>134</v>
      </c>
      <c r="EF180" s="231" t="s">
        <v>135</v>
      </c>
      <c r="EG180" s="231" t="s">
        <v>136</v>
      </c>
      <c r="EH180" s="231" t="s">
        <v>137</v>
      </c>
      <c r="EI180" s="231" t="s">
        <v>138</v>
      </c>
      <c r="EJ180" s="231" t="s">
        <v>139</v>
      </c>
      <c r="EK180" s="231" t="s">
        <v>140</v>
      </c>
      <c r="EL180" s="231" t="s">
        <v>141</v>
      </c>
      <c r="EM180" s="231" t="s">
        <v>142</v>
      </c>
      <c r="EN180" s="231" t="s">
        <v>143</v>
      </c>
      <c r="EO180" s="231" t="s">
        <v>144</v>
      </c>
      <c r="EP180" s="231" t="s">
        <v>145</v>
      </c>
      <c r="EQ180" s="231" t="s">
        <v>146</v>
      </c>
      <c r="ER180" s="231" t="s">
        <v>147</v>
      </c>
      <c r="ES180" s="231" t="s">
        <v>148</v>
      </c>
      <c r="ET180" s="231" t="s">
        <v>149</v>
      </c>
      <c r="EU180" s="231" t="s">
        <v>150</v>
      </c>
      <c r="EV180" s="231" t="s">
        <v>151</v>
      </c>
      <c r="EW180" s="231" t="s">
        <v>152</v>
      </c>
      <c r="EX180" s="231" t="s">
        <v>153</v>
      </c>
      <c r="EY180" s="231" t="s">
        <v>154</v>
      </c>
      <c r="EZ180" s="231" t="s">
        <v>155</v>
      </c>
      <c r="FA180" s="231" t="s">
        <v>156</v>
      </c>
      <c r="FB180" s="231" t="s">
        <v>157</v>
      </c>
      <c r="FC180" s="231" t="s">
        <v>158</v>
      </c>
      <c r="FD180" s="231" t="s">
        <v>159</v>
      </c>
      <c r="FE180" s="231" t="s">
        <v>160</v>
      </c>
      <c r="FF180" s="231" t="s">
        <v>161</v>
      </c>
      <c r="FG180" s="231" t="s">
        <v>162</v>
      </c>
      <c r="FH180" s="231" t="s">
        <v>163</v>
      </c>
      <c r="FI180" s="231" t="s">
        <v>164</v>
      </c>
      <c r="FJ180" s="231" t="s">
        <v>165</v>
      </c>
      <c r="FK180" s="231" t="s">
        <v>166</v>
      </c>
      <c r="FL180" s="231" t="s">
        <v>167</v>
      </c>
      <c r="FM180" s="231" t="s">
        <v>168</v>
      </c>
      <c r="FN180" s="231" t="s">
        <v>169</v>
      </c>
      <c r="FO180" s="231" t="s">
        <v>170</v>
      </c>
      <c r="FP180" s="231" t="s">
        <v>171</v>
      </c>
      <c r="FQ180" s="231" t="s">
        <v>172</v>
      </c>
      <c r="FR180" s="231" t="s">
        <v>173</v>
      </c>
      <c r="FS180" s="231" t="s">
        <v>174</v>
      </c>
      <c r="FT180" s="231" t="s">
        <v>175</v>
      </c>
      <c r="FU180" s="231" t="s">
        <v>176</v>
      </c>
      <c r="FV180" s="231" t="s">
        <v>177</v>
      </c>
      <c r="FW180" s="231" t="s">
        <v>178</v>
      </c>
      <c r="FX180" s="231" t="s">
        <v>179</v>
      </c>
      <c r="FY180" s="231" t="s">
        <v>180</v>
      </c>
      <c r="FZ180" s="231" t="s">
        <v>181</v>
      </c>
      <c r="GA180" s="231" t="s">
        <v>182</v>
      </c>
      <c r="GB180" s="231" t="s">
        <v>183</v>
      </c>
      <c r="GC180" s="231" t="s">
        <v>184</v>
      </c>
      <c r="GD180" s="231" t="s">
        <v>185</v>
      </c>
      <c r="GE180" s="231" t="s">
        <v>186</v>
      </c>
      <c r="GF180" s="231" t="s">
        <v>187</v>
      </c>
      <c r="GG180" s="231" t="s">
        <v>188</v>
      </c>
      <c r="GH180" s="231" t="s">
        <v>189</v>
      </c>
      <c r="GI180" s="231" t="s">
        <v>190</v>
      </c>
      <c r="GJ180" s="231" t="s">
        <v>191</v>
      </c>
      <c r="GK180" s="231" t="s">
        <v>192</v>
      </c>
      <c r="GL180" s="23" t="s">
        <v>193</v>
      </c>
      <c r="GM180" s="23" t="s">
        <v>194</v>
      </c>
      <c r="GN180" s="23" t="s">
        <v>195</v>
      </c>
      <c r="GO180" s="23" t="s">
        <v>196</v>
      </c>
      <c r="GP180" s="23" t="s">
        <v>197</v>
      </c>
      <c r="GQ180" s="23" t="s">
        <v>198</v>
      </c>
      <c r="GR180" s="23" t="s">
        <v>199</v>
      </c>
      <c r="GS180" s="23" t="s">
        <v>200</v>
      </c>
      <c r="GT180" s="23" t="s">
        <v>201</v>
      </c>
      <c r="GU180" s="23" t="s">
        <v>202</v>
      </c>
      <c r="GV180" s="23" t="s">
        <v>203</v>
      </c>
      <c r="GW180" s="23" t="s">
        <v>204</v>
      </c>
      <c r="GX180" s="23" t="s">
        <v>205</v>
      </c>
      <c r="GY180" s="23" t="s">
        <v>206</v>
      </c>
      <c r="GZ180" s="23" t="s">
        <v>207</v>
      </c>
      <c r="HA180" s="23" t="s">
        <v>208</v>
      </c>
      <c r="HB180" s="23" t="s">
        <v>209</v>
      </c>
      <c r="HC180" s="23" t="s">
        <v>210</v>
      </c>
      <c r="HD180" s="23" t="s">
        <v>211</v>
      </c>
      <c r="HE180" s="23" t="s">
        <v>212</v>
      </c>
      <c r="HF180" s="23" t="s">
        <v>213</v>
      </c>
      <c r="HG180" s="23" t="s">
        <v>214</v>
      </c>
      <c r="HH180" s="23" t="s">
        <v>215</v>
      </c>
      <c r="HI180" s="23" t="s">
        <v>216</v>
      </c>
      <c r="HJ180" s="23" t="s">
        <v>217</v>
      </c>
      <c r="HK180" s="117" t="s">
        <v>218</v>
      </c>
      <c r="HL180" s="117" t="s">
        <v>219</v>
      </c>
      <c r="HM180" s="117" t="s">
        <v>220</v>
      </c>
      <c r="HN180" s="117" t="s">
        <v>221</v>
      </c>
      <c r="HO180" s="117" t="s">
        <v>222</v>
      </c>
      <c r="HP180" s="117" t="s">
        <v>223</v>
      </c>
      <c r="HQ180" s="232" t="s">
        <v>224</v>
      </c>
      <c r="HR180" s="232" t="s">
        <v>225</v>
      </c>
      <c r="HS180" s="232" t="s">
        <v>226</v>
      </c>
      <c r="HT180" s="232" t="s">
        <v>227</v>
      </c>
      <c r="HU180" s="232" t="s">
        <v>228</v>
      </c>
      <c r="HV180" s="233" t="s">
        <v>229</v>
      </c>
      <c r="HW180" s="233" t="s">
        <v>230</v>
      </c>
      <c r="HX180" s="233" t="s">
        <v>231</v>
      </c>
      <c r="HY180" s="233" t="s">
        <v>232</v>
      </c>
      <c r="HZ180" s="233" t="s">
        <v>233</v>
      </c>
      <c r="IA180" s="233" t="s">
        <v>234</v>
      </c>
      <c r="IB180" s="234" t="s">
        <v>235</v>
      </c>
      <c r="IC180" s="234" t="s">
        <v>236</v>
      </c>
      <c r="ID180" s="234" t="s">
        <v>237</v>
      </c>
      <c r="IE180" s="234" t="s">
        <v>238</v>
      </c>
      <c r="IF180" s="234" t="s">
        <v>239</v>
      </c>
      <c r="IG180" s="234" t="s">
        <v>240</v>
      </c>
      <c r="IH180" s="235" t="s">
        <v>241</v>
      </c>
      <c r="II180" s="235" t="s">
        <v>242</v>
      </c>
      <c r="IJ180" s="235" t="s">
        <v>243</v>
      </c>
      <c r="IK180" s="235" t="s">
        <v>244</v>
      </c>
      <c r="IL180" s="235" t="s">
        <v>245</v>
      </c>
      <c r="IM180" s="235" t="s">
        <v>246</v>
      </c>
      <c r="IN180" s="235" t="s">
        <v>247</v>
      </c>
      <c r="IO180" s="26" t="s">
        <v>248</v>
      </c>
      <c r="IP180" s="26" t="s">
        <v>249</v>
      </c>
      <c r="IQ180" s="26" t="s">
        <v>250</v>
      </c>
      <c r="IR180" s="26" t="s">
        <v>251</v>
      </c>
      <c r="IS180" s="26" t="s">
        <v>252</v>
      </c>
      <c r="IT180" s="26" t="s">
        <v>253</v>
      </c>
      <c r="IU180" s="26" t="s">
        <v>254</v>
      </c>
      <c r="IV180" s="236" t="s">
        <v>255</v>
      </c>
      <c r="IW180" s="236" t="s">
        <v>256</v>
      </c>
      <c r="IX180" s="236" t="s">
        <v>257</v>
      </c>
      <c r="IY180" s="236" t="s">
        <v>258</v>
      </c>
      <c r="IZ180" s="236" t="s">
        <v>259</v>
      </c>
      <c r="JA180" s="236" t="s">
        <v>260</v>
      </c>
      <c r="JB180" s="236" t="s">
        <v>261</v>
      </c>
      <c r="JC180" s="236" t="s">
        <v>262</v>
      </c>
      <c r="JD180" s="236" t="s">
        <v>263</v>
      </c>
      <c r="JE180" s="236" t="s">
        <v>264</v>
      </c>
      <c r="JF180" s="236" t="s">
        <v>265</v>
      </c>
      <c r="JG180" s="236" t="s">
        <v>266</v>
      </c>
      <c r="JH180" s="236" t="s">
        <v>267</v>
      </c>
      <c r="JI180" s="236" t="s">
        <v>268</v>
      </c>
      <c r="JJ180" s="30" t="s">
        <v>269</v>
      </c>
      <c r="JK180" s="30" t="s">
        <v>270</v>
      </c>
      <c r="JL180" s="30" t="s">
        <v>271</v>
      </c>
      <c r="JM180" s="30" t="s">
        <v>272</v>
      </c>
      <c r="JN180" s="30" t="s">
        <v>273</v>
      </c>
      <c r="JO180" s="30" t="s">
        <v>274</v>
      </c>
      <c r="JP180" s="30" t="s">
        <v>275</v>
      </c>
      <c r="JQ180" s="30" t="s">
        <v>276</v>
      </c>
      <c r="JR180" s="30" t="s">
        <v>277</v>
      </c>
      <c r="JS180" s="30" t="s">
        <v>278</v>
      </c>
      <c r="JT180" s="30" t="s">
        <v>279</v>
      </c>
      <c r="JU180" s="30" t="s">
        <v>280</v>
      </c>
      <c r="JV180" s="26" t="s">
        <v>281</v>
      </c>
      <c r="JW180" s="26" t="s">
        <v>282</v>
      </c>
      <c r="JX180" s="26" t="s">
        <v>283</v>
      </c>
      <c r="JY180" s="26" t="s">
        <v>284</v>
      </c>
      <c r="JZ180" s="26" t="s">
        <v>285</v>
      </c>
      <c r="KA180" s="26" t="s">
        <v>286</v>
      </c>
      <c r="KB180" s="26" t="s">
        <v>287</v>
      </c>
      <c r="KC180" s="26" t="s">
        <v>288</v>
      </c>
      <c r="KD180" s="26" t="s">
        <v>289</v>
      </c>
      <c r="KE180" s="30" t="s">
        <v>290</v>
      </c>
      <c r="KF180" s="30" t="s">
        <v>291</v>
      </c>
      <c r="KG180" s="30" t="s">
        <v>292</v>
      </c>
      <c r="KH180" s="30" t="s">
        <v>293</v>
      </c>
      <c r="KI180" s="237" t="s">
        <v>294</v>
      </c>
      <c r="KJ180" s="237" t="s">
        <v>295</v>
      </c>
      <c r="KK180" s="237" t="s">
        <v>296</v>
      </c>
      <c r="KL180" s="237" t="s">
        <v>297</v>
      </c>
      <c r="KM180" s="237" t="s">
        <v>298</v>
      </c>
      <c r="KN180" s="237" t="s">
        <v>299</v>
      </c>
      <c r="KO180" s="237" t="s">
        <v>300</v>
      </c>
      <c r="KP180" s="237" t="s">
        <v>301</v>
      </c>
      <c r="KQ180" s="237" t="s">
        <v>302</v>
      </c>
      <c r="KR180" s="237" t="s">
        <v>303</v>
      </c>
      <c r="KS180" s="237" t="s">
        <v>304</v>
      </c>
      <c r="KT180" s="237" t="s">
        <v>305</v>
      </c>
      <c r="KU180" s="237" t="s">
        <v>306</v>
      </c>
      <c r="KV180" s="238" t="s">
        <v>307</v>
      </c>
      <c r="KW180" s="238" t="s">
        <v>308</v>
      </c>
      <c r="KX180" s="238" t="s">
        <v>309</v>
      </c>
      <c r="KY180" s="238" t="s">
        <v>310</v>
      </c>
      <c r="KZ180" s="238" t="s">
        <v>311</v>
      </c>
      <c r="LA180" s="238" t="s">
        <v>312</v>
      </c>
      <c r="LB180" s="238" t="s">
        <v>313</v>
      </c>
      <c r="LC180" s="238" t="s">
        <v>314</v>
      </c>
      <c r="LD180" s="238" t="s">
        <v>315</v>
      </c>
      <c r="LE180" s="238" t="s">
        <v>316</v>
      </c>
      <c r="LF180" s="238" t="s">
        <v>317</v>
      </c>
      <c r="LG180" s="238" t="s">
        <v>318</v>
      </c>
      <c r="LH180" s="238" t="s">
        <v>319</v>
      </c>
      <c r="LI180" s="238" t="s">
        <v>320</v>
      </c>
      <c r="LJ180" s="238" t="s">
        <v>321</v>
      </c>
      <c r="LK180" s="238" t="s">
        <v>322</v>
      </c>
      <c r="LL180" s="238" t="s">
        <v>323</v>
      </c>
      <c r="LM180" s="238" t="s">
        <v>324</v>
      </c>
      <c r="LN180" s="238" t="s">
        <v>325</v>
      </c>
      <c r="LO180" s="239" t="s">
        <v>326</v>
      </c>
      <c r="LP180" s="239" t="s">
        <v>327</v>
      </c>
      <c r="LQ180" s="239" t="s">
        <v>328</v>
      </c>
      <c r="LR180" s="239" t="s">
        <v>329</v>
      </c>
      <c r="LS180" s="239" t="s">
        <v>330</v>
      </c>
      <c r="LT180" s="240" t="s">
        <v>331</v>
      </c>
      <c r="LU180" s="240" t="s">
        <v>332</v>
      </c>
      <c r="LV180" s="240" t="s">
        <v>333</v>
      </c>
      <c r="LW180" s="240" t="s">
        <v>334</v>
      </c>
      <c r="LX180" s="240" t="s">
        <v>335</v>
      </c>
      <c r="LY180" s="240" t="s">
        <v>336</v>
      </c>
      <c r="LZ180" s="240" t="s">
        <v>337</v>
      </c>
      <c r="MA180" s="240" t="s">
        <v>338</v>
      </c>
      <c r="MB180" s="241" t="s">
        <v>339</v>
      </c>
      <c r="MC180" s="241" t="s">
        <v>340</v>
      </c>
      <c r="MD180" s="241" t="s">
        <v>341</v>
      </c>
      <c r="ME180" s="241" t="s">
        <v>342</v>
      </c>
      <c r="MF180" s="241" t="s">
        <v>343</v>
      </c>
      <c r="MG180" s="242" t="s">
        <v>344</v>
      </c>
      <c r="MH180" s="242" t="s">
        <v>345</v>
      </c>
      <c r="MI180" s="242" t="s">
        <v>346</v>
      </c>
      <c r="MJ180" s="242" t="s">
        <v>347</v>
      </c>
      <c r="MK180" s="242" t="s">
        <v>348</v>
      </c>
      <c r="ML180" s="243" t="s">
        <v>349</v>
      </c>
      <c r="MM180" s="243" t="s">
        <v>350</v>
      </c>
      <c r="MN180" s="243" t="s">
        <v>351</v>
      </c>
      <c r="MO180" s="243" t="s">
        <v>352</v>
      </c>
      <c r="MP180" s="243" t="s">
        <v>353</v>
      </c>
      <c r="MQ180" s="243" t="s">
        <v>354</v>
      </c>
      <c r="MR180" s="243" t="s">
        <v>355</v>
      </c>
      <c r="MS180" s="243" t="s">
        <v>356</v>
      </c>
      <c r="MT180" s="238" t="s">
        <v>357</v>
      </c>
      <c r="MU180" s="238" t="s">
        <v>358</v>
      </c>
      <c r="MV180" s="238" t="s">
        <v>359</v>
      </c>
      <c r="MW180" s="238" t="s">
        <v>360</v>
      </c>
      <c r="MX180" s="238" t="s">
        <v>361</v>
      </c>
      <c r="MY180" s="244" t="s">
        <v>362</v>
      </c>
      <c r="MZ180" s="244" t="s">
        <v>363</v>
      </c>
      <c r="NA180" s="113" t="s">
        <v>364</v>
      </c>
      <c r="NB180" s="113" t="s">
        <v>365</v>
      </c>
      <c r="NC180" s="113" t="s">
        <v>366</v>
      </c>
      <c r="ND180" s="113" t="s">
        <v>367</v>
      </c>
      <c r="NE180" s="113" t="s">
        <v>368</v>
      </c>
      <c r="NF180" s="113" t="s">
        <v>369</v>
      </c>
      <c r="NG180" s="113" t="s">
        <v>370</v>
      </c>
      <c r="NH180" s="113" t="s">
        <v>371</v>
      </c>
      <c r="NI180" s="113" t="s">
        <v>372</v>
      </c>
      <c r="NJ180" s="1" t="s">
        <v>373</v>
      </c>
      <c r="NK180" s="1" t="s">
        <v>374</v>
      </c>
      <c r="NL180" s="1" t="s">
        <v>375</v>
      </c>
      <c r="NM180" s="1" t="s">
        <v>376</v>
      </c>
      <c r="NN180" s="1" t="s">
        <v>377</v>
      </c>
      <c r="NO180" s="1" t="s">
        <v>378</v>
      </c>
      <c r="NP180" s="1" t="s">
        <v>379</v>
      </c>
      <c r="NQ180" s="1" t="s">
        <v>380</v>
      </c>
      <c r="NR180" s="1" t="s">
        <v>381</v>
      </c>
      <c r="NS180" s="1" t="s">
        <v>382</v>
      </c>
      <c r="NT180" s="1" t="s">
        <v>383</v>
      </c>
      <c r="NU180" s="1" t="s">
        <v>384</v>
      </c>
      <c r="NV180" s="245" t="s">
        <v>385</v>
      </c>
      <c r="NW180" s="245" t="s">
        <v>386</v>
      </c>
      <c r="NX180" s="245" t="s">
        <v>387</v>
      </c>
      <c r="NY180" s="245" t="s">
        <v>388</v>
      </c>
      <c r="NZ180" s="245" t="s">
        <v>389</v>
      </c>
      <c r="OA180" s="245" t="s">
        <v>390</v>
      </c>
      <c r="OB180" s="245" t="s">
        <v>391</v>
      </c>
      <c r="OC180" s="246" t="s">
        <v>392</v>
      </c>
      <c r="OD180" s="246" t="s">
        <v>393</v>
      </c>
      <c r="OE180" s="246" t="s">
        <v>394</v>
      </c>
      <c r="OF180" s="246" t="s">
        <v>395</v>
      </c>
      <c r="OG180" s="246" t="s">
        <v>396</v>
      </c>
      <c r="OH180" s="246" t="s">
        <v>397</v>
      </c>
      <c r="OI180" s="246" t="s">
        <v>398</v>
      </c>
      <c r="OJ180" s="246" t="s">
        <v>399</v>
      </c>
      <c r="OK180" s="246" t="s">
        <v>400</v>
      </c>
      <c r="OL180" s="246" t="s">
        <v>401</v>
      </c>
      <c r="OM180" s="247" t="s">
        <v>402</v>
      </c>
      <c r="ON180" s="247" t="s">
        <v>403</v>
      </c>
      <c r="OO180" s="247" t="s">
        <v>404</v>
      </c>
      <c r="OP180" s="247" t="s">
        <v>405</v>
      </c>
      <c r="OQ180" s="247" t="s">
        <v>406</v>
      </c>
      <c r="OR180" s="247" t="s">
        <v>407</v>
      </c>
      <c r="OS180" s="247" t="s">
        <v>408</v>
      </c>
      <c r="OT180" s="247" t="s">
        <v>409</v>
      </c>
      <c r="OU180" s="22" t="s">
        <v>410</v>
      </c>
      <c r="OV180" s="248" t="s">
        <v>411</v>
      </c>
      <c r="OW180" s="248" t="s">
        <v>412</v>
      </c>
      <c r="OX180" s="248" t="s">
        <v>413</v>
      </c>
      <c r="OY180" s="248" t="s">
        <v>414</v>
      </c>
      <c r="OZ180" s="248" t="s">
        <v>415</v>
      </c>
      <c r="PA180" s="248" t="s">
        <v>416</v>
      </c>
      <c r="PB180" s="249" t="s">
        <v>417</v>
      </c>
      <c r="PC180" s="249" t="s">
        <v>418</v>
      </c>
      <c r="PD180" s="250" t="s">
        <v>419</v>
      </c>
      <c r="PE180" s="250" t="s">
        <v>420</v>
      </c>
      <c r="PF180" s="250" t="s">
        <v>421</v>
      </c>
      <c r="PG180" s="250" t="s">
        <v>422</v>
      </c>
      <c r="PH180" s="183" t="s">
        <v>423</v>
      </c>
    </row>
    <row r="181" spans="1:424" ht="17.25" customHeight="1" thickBot="1">
      <c r="A181" s="251" t="s">
        <v>424</v>
      </c>
      <c r="B181" s="252" t="s">
        <v>424</v>
      </c>
      <c r="C181" s="253" t="s">
        <v>425</v>
      </c>
      <c r="D181" s="253" t="s">
        <v>425</v>
      </c>
      <c r="E181" s="253" t="s">
        <v>425</v>
      </c>
      <c r="F181" s="253" t="s">
        <v>425</v>
      </c>
      <c r="G181" s="253" t="s">
        <v>425</v>
      </c>
      <c r="H181" s="253" t="s">
        <v>425</v>
      </c>
      <c r="I181" s="253" t="s">
        <v>425</v>
      </c>
      <c r="J181" s="253" t="s">
        <v>425</v>
      </c>
      <c r="K181" s="253" t="s">
        <v>425</v>
      </c>
      <c r="L181" s="253" t="s">
        <v>425</v>
      </c>
      <c r="M181" s="253" t="s">
        <v>425</v>
      </c>
      <c r="N181" s="253" t="s">
        <v>425</v>
      </c>
      <c r="O181" s="253" t="s">
        <v>425</v>
      </c>
      <c r="P181" s="253" t="s">
        <v>425</v>
      </c>
      <c r="Q181" s="253" t="s">
        <v>425</v>
      </c>
      <c r="R181" s="253" t="s">
        <v>425</v>
      </c>
      <c r="S181" s="253" t="s">
        <v>425</v>
      </c>
      <c r="T181" s="253" t="s">
        <v>425</v>
      </c>
      <c r="U181" s="76" t="s">
        <v>425</v>
      </c>
      <c r="V181" s="76" t="s">
        <v>425</v>
      </c>
      <c r="W181" s="76" t="s">
        <v>425</v>
      </c>
      <c r="X181" s="76" t="s">
        <v>425</v>
      </c>
      <c r="Y181" s="76" t="s">
        <v>425</v>
      </c>
      <c r="Z181" s="76" t="s">
        <v>425</v>
      </c>
      <c r="AA181" s="76" t="s">
        <v>425</v>
      </c>
      <c r="AB181" s="76" t="s">
        <v>425</v>
      </c>
      <c r="AC181" s="76" t="s">
        <v>425</v>
      </c>
      <c r="AD181" s="76" t="s">
        <v>425</v>
      </c>
      <c r="AE181" s="76" t="s">
        <v>425</v>
      </c>
      <c r="AF181" s="76" t="s">
        <v>425</v>
      </c>
      <c r="AG181" s="76" t="s">
        <v>425</v>
      </c>
      <c r="AH181" s="76" t="s">
        <v>425</v>
      </c>
      <c r="AI181" s="76" t="s">
        <v>425</v>
      </c>
      <c r="AJ181" s="76" t="s">
        <v>425</v>
      </c>
      <c r="AK181" s="76" t="s">
        <v>425</v>
      </c>
      <c r="AL181" s="76" t="s">
        <v>425</v>
      </c>
      <c r="AM181" s="76" t="s">
        <v>425</v>
      </c>
      <c r="AN181" s="76" t="s">
        <v>425</v>
      </c>
      <c r="AO181" s="76" t="s">
        <v>425</v>
      </c>
      <c r="AP181" s="76" t="s">
        <v>425</v>
      </c>
      <c r="AQ181" s="76" t="s">
        <v>425</v>
      </c>
      <c r="AR181" s="76" t="s">
        <v>425</v>
      </c>
      <c r="AS181" s="76" t="s">
        <v>425</v>
      </c>
      <c r="AT181" s="76" t="s">
        <v>425</v>
      </c>
      <c r="AU181" s="76" t="s">
        <v>425</v>
      </c>
      <c r="AV181" s="254" t="s">
        <v>426</v>
      </c>
      <c r="AW181" s="254" t="s">
        <v>426</v>
      </c>
      <c r="AX181" s="254" t="s">
        <v>426</v>
      </c>
      <c r="AY181" s="254" t="s">
        <v>426</v>
      </c>
      <c r="AZ181" s="255" t="s">
        <v>427</v>
      </c>
      <c r="BA181" s="255" t="s">
        <v>427</v>
      </c>
      <c r="BB181" s="255" t="s">
        <v>427</v>
      </c>
      <c r="BC181" s="255" t="s">
        <v>427</v>
      </c>
      <c r="BD181" s="18" t="s">
        <v>428</v>
      </c>
      <c r="BE181" s="18" t="s">
        <v>428</v>
      </c>
      <c r="BF181" s="256" t="s">
        <v>428</v>
      </c>
      <c r="BG181" s="257" t="s">
        <v>429</v>
      </c>
      <c r="BH181" s="257" t="s">
        <v>430</v>
      </c>
      <c r="BI181" s="257" t="s">
        <v>430</v>
      </c>
      <c r="BJ181" s="257" t="s">
        <v>430</v>
      </c>
      <c r="BK181" s="257" t="s">
        <v>430</v>
      </c>
      <c r="BL181" s="257" t="s">
        <v>430</v>
      </c>
      <c r="BM181" s="257" t="s">
        <v>430</v>
      </c>
      <c r="BN181" s="257" t="s">
        <v>430</v>
      </c>
      <c r="BO181" s="257" t="s">
        <v>430</v>
      </c>
      <c r="BP181" s="257" t="s">
        <v>430</v>
      </c>
      <c r="BQ181" s="257" t="s">
        <v>430</v>
      </c>
      <c r="BR181" s="257" t="s">
        <v>430</v>
      </c>
      <c r="BS181" s="257" t="s">
        <v>430</v>
      </c>
      <c r="BT181" s="257" t="s">
        <v>430</v>
      </c>
      <c r="BU181" s="58" t="s">
        <v>430</v>
      </c>
      <c r="BV181" s="58" t="s">
        <v>429</v>
      </c>
      <c r="BW181" s="58" t="s">
        <v>430</v>
      </c>
      <c r="BX181" s="58" t="s">
        <v>430</v>
      </c>
      <c r="BY181" s="58" t="s">
        <v>430</v>
      </c>
      <c r="BZ181" s="58" t="s">
        <v>430</v>
      </c>
      <c r="CA181" s="58" t="s">
        <v>429</v>
      </c>
      <c r="CB181" s="58" t="s">
        <v>430</v>
      </c>
      <c r="CC181" s="58" t="s">
        <v>430</v>
      </c>
      <c r="CD181" s="58" t="s">
        <v>430</v>
      </c>
      <c r="CE181" s="58" t="s">
        <v>430</v>
      </c>
      <c r="CF181" s="58" t="s">
        <v>429</v>
      </c>
      <c r="CG181" s="58" t="s">
        <v>430</v>
      </c>
      <c r="CH181" s="58" t="s">
        <v>430</v>
      </c>
      <c r="CI181" s="58" t="s">
        <v>430</v>
      </c>
      <c r="CJ181" s="58" t="s">
        <v>430</v>
      </c>
      <c r="CK181" s="58" t="s">
        <v>429</v>
      </c>
      <c r="CL181" s="58" t="s">
        <v>430</v>
      </c>
      <c r="CM181" s="58" t="s">
        <v>430</v>
      </c>
      <c r="CN181" s="58" t="s">
        <v>430</v>
      </c>
      <c r="CO181" s="58" t="s">
        <v>430</v>
      </c>
      <c r="CP181" s="58" t="s">
        <v>429</v>
      </c>
      <c r="CQ181" s="58" t="s">
        <v>430</v>
      </c>
      <c r="CR181" s="58" t="s">
        <v>430</v>
      </c>
      <c r="CS181" s="58" t="s">
        <v>430</v>
      </c>
      <c r="CT181" s="58" t="s">
        <v>430</v>
      </c>
      <c r="CU181" s="58" t="s">
        <v>429</v>
      </c>
      <c r="CV181" s="58" t="s">
        <v>430</v>
      </c>
      <c r="CW181" s="58" t="s">
        <v>430</v>
      </c>
      <c r="CX181" s="58" t="s">
        <v>430</v>
      </c>
      <c r="CY181" s="58" t="s">
        <v>430</v>
      </c>
      <c r="CZ181" s="58" t="s">
        <v>429</v>
      </c>
      <c r="DA181" s="58" t="s">
        <v>430</v>
      </c>
      <c r="DB181" s="58" t="s">
        <v>430</v>
      </c>
      <c r="DC181" s="58" t="s">
        <v>430</v>
      </c>
      <c r="DD181" s="58" t="s">
        <v>430</v>
      </c>
      <c r="DE181" s="58" t="s">
        <v>429</v>
      </c>
      <c r="DF181" s="58" t="s">
        <v>430</v>
      </c>
      <c r="DG181" s="58" t="s">
        <v>430</v>
      </c>
      <c r="DH181" s="58" t="s">
        <v>430</v>
      </c>
      <c r="DI181" s="58" t="s">
        <v>430</v>
      </c>
      <c r="DJ181" s="58" t="s">
        <v>429</v>
      </c>
      <c r="DK181" s="58" t="s">
        <v>430</v>
      </c>
      <c r="DL181" s="58" t="s">
        <v>430</v>
      </c>
      <c r="DM181" s="58" t="s">
        <v>430</v>
      </c>
      <c r="DN181" s="58" t="s">
        <v>430</v>
      </c>
      <c r="DO181" s="58" t="s">
        <v>429</v>
      </c>
      <c r="DP181" s="58" t="s">
        <v>430</v>
      </c>
      <c r="DQ181" s="58" t="s">
        <v>430</v>
      </c>
      <c r="DR181" s="58" t="s">
        <v>430</v>
      </c>
      <c r="DS181" s="58" t="s">
        <v>430</v>
      </c>
      <c r="DT181" s="58" t="s">
        <v>429</v>
      </c>
      <c r="DU181" s="58" t="s">
        <v>430</v>
      </c>
      <c r="DV181" s="58" t="s">
        <v>430</v>
      </c>
      <c r="DW181" s="58" t="s">
        <v>430</v>
      </c>
      <c r="DX181" s="58" t="s">
        <v>430</v>
      </c>
      <c r="DY181" s="58" t="s">
        <v>429</v>
      </c>
      <c r="DZ181" s="58" t="s">
        <v>430</v>
      </c>
      <c r="EA181" s="58" t="s">
        <v>430</v>
      </c>
      <c r="EB181" s="58" t="s">
        <v>430</v>
      </c>
      <c r="EC181" s="58" t="s">
        <v>430</v>
      </c>
      <c r="ED181" s="254" t="s">
        <v>431</v>
      </c>
      <c r="EE181" s="258" t="s">
        <v>431</v>
      </c>
      <c r="EF181" s="258" t="s">
        <v>431</v>
      </c>
      <c r="EG181" s="258" t="s">
        <v>431</v>
      </c>
      <c r="EH181" s="258" t="s">
        <v>431</v>
      </c>
      <c r="EI181" s="258" t="s">
        <v>431</v>
      </c>
      <c r="EJ181" s="258" t="s">
        <v>431</v>
      </c>
      <c r="EK181" s="258" t="s">
        <v>431</v>
      </c>
      <c r="EL181" s="31" t="s">
        <v>431</v>
      </c>
      <c r="EM181" s="31" t="s">
        <v>431</v>
      </c>
      <c r="EN181" s="31" t="s">
        <v>431</v>
      </c>
      <c r="EO181" s="31" t="s">
        <v>431</v>
      </c>
      <c r="EP181" s="31" t="s">
        <v>431</v>
      </c>
      <c r="EQ181" s="31" t="s">
        <v>431</v>
      </c>
      <c r="ER181" s="31" t="s">
        <v>431</v>
      </c>
      <c r="ES181" s="31" t="s">
        <v>431</v>
      </c>
      <c r="ET181" s="31" t="s">
        <v>431</v>
      </c>
      <c r="EU181" s="31" t="s">
        <v>431</v>
      </c>
      <c r="EV181" s="31" t="s">
        <v>431</v>
      </c>
      <c r="EW181" s="31" t="s">
        <v>431</v>
      </c>
      <c r="EX181" s="31" t="s">
        <v>431</v>
      </c>
      <c r="EY181" s="31" t="s">
        <v>431</v>
      </c>
      <c r="EZ181" s="31" t="s">
        <v>431</v>
      </c>
      <c r="FA181" s="31" t="s">
        <v>431</v>
      </c>
      <c r="FB181" s="31" t="s">
        <v>431</v>
      </c>
      <c r="FC181" s="31" t="s">
        <v>431</v>
      </c>
      <c r="FD181" s="31" t="s">
        <v>431</v>
      </c>
      <c r="FE181" s="31" t="s">
        <v>431</v>
      </c>
      <c r="FF181" s="31" t="s">
        <v>431</v>
      </c>
      <c r="FG181" s="31" t="s">
        <v>431</v>
      </c>
      <c r="FH181" s="31" t="s">
        <v>431</v>
      </c>
      <c r="FI181" s="31" t="s">
        <v>431</v>
      </c>
      <c r="FJ181" s="31" t="s">
        <v>431</v>
      </c>
      <c r="FK181" s="31" t="s">
        <v>431</v>
      </c>
      <c r="FL181" s="31" t="s">
        <v>431</v>
      </c>
      <c r="FM181" s="31" t="s">
        <v>431</v>
      </c>
      <c r="FN181" s="31" t="s">
        <v>431</v>
      </c>
      <c r="FO181" s="31" t="s">
        <v>431</v>
      </c>
      <c r="FP181" s="31" t="s">
        <v>431</v>
      </c>
      <c r="FQ181" s="31" t="s">
        <v>431</v>
      </c>
      <c r="FR181" s="31" t="s">
        <v>431</v>
      </c>
      <c r="FS181" s="31" t="s">
        <v>431</v>
      </c>
      <c r="FT181" s="31" t="s">
        <v>431</v>
      </c>
      <c r="FU181" s="31" t="s">
        <v>431</v>
      </c>
      <c r="FV181" s="31" t="s">
        <v>431</v>
      </c>
      <c r="FW181" s="31" t="s">
        <v>431</v>
      </c>
      <c r="FX181" s="31" t="s">
        <v>431</v>
      </c>
      <c r="FY181" s="31" t="s">
        <v>431</v>
      </c>
      <c r="FZ181" s="31" t="s">
        <v>431</v>
      </c>
      <c r="GA181" s="31" t="s">
        <v>431</v>
      </c>
      <c r="GB181" s="31" t="s">
        <v>431</v>
      </c>
      <c r="GC181" s="31" t="s">
        <v>431</v>
      </c>
      <c r="GD181" s="31" t="s">
        <v>431</v>
      </c>
      <c r="GE181" s="31" t="s">
        <v>431</v>
      </c>
      <c r="GF181" s="31" t="s">
        <v>431</v>
      </c>
      <c r="GG181" s="31" t="s">
        <v>431</v>
      </c>
      <c r="GH181" s="31" t="s">
        <v>431</v>
      </c>
      <c r="GI181" s="31" t="s">
        <v>431</v>
      </c>
      <c r="GJ181" s="31" t="s">
        <v>431</v>
      </c>
      <c r="GK181" s="31" t="s">
        <v>431</v>
      </c>
      <c r="GL181" s="49" t="s">
        <v>432</v>
      </c>
      <c r="GM181" s="49" t="s">
        <v>432</v>
      </c>
      <c r="GN181" s="49" t="s">
        <v>432</v>
      </c>
      <c r="GO181" s="49" t="s">
        <v>432</v>
      </c>
      <c r="GP181" s="49"/>
      <c r="GQ181" s="49" t="s">
        <v>432</v>
      </c>
      <c r="GR181" s="49" t="s">
        <v>432</v>
      </c>
      <c r="GS181" s="49" t="s">
        <v>432</v>
      </c>
      <c r="GT181" s="49" t="s">
        <v>432</v>
      </c>
      <c r="GU181" s="49"/>
      <c r="GV181" s="49" t="s">
        <v>432</v>
      </c>
      <c r="GW181" s="49" t="s">
        <v>432</v>
      </c>
      <c r="GX181" s="49" t="s">
        <v>432</v>
      </c>
      <c r="GY181" s="49" t="s">
        <v>432</v>
      </c>
      <c r="GZ181" s="49"/>
      <c r="HA181" s="49" t="s">
        <v>432</v>
      </c>
      <c r="HB181" s="49" t="s">
        <v>432</v>
      </c>
      <c r="HC181" s="49" t="s">
        <v>432</v>
      </c>
      <c r="HD181" s="49" t="s">
        <v>432</v>
      </c>
      <c r="HE181" s="49"/>
      <c r="HF181" s="49" t="s">
        <v>432</v>
      </c>
      <c r="HG181" s="49" t="s">
        <v>432</v>
      </c>
      <c r="HH181" s="49" t="s">
        <v>432</v>
      </c>
      <c r="HI181" s="49" t="s">
        <v>432</v>
      </c>
      <c r="HJ181" s="49"/>
      <c r="HK181" s="255" t="s">
        <v>433</v>
      </c>
      <c r="HL181" s="255" t="s">
        <v>433</v>
      </c>
      <c r="HM181" s="255" t="s">
        <v>434</v>
      </c>
      <c r="HN181" s="255" t="s">
        <v>434</v>
      </c>
      <c r="HO181" s="255" t="s">
        <v>434</v>
      </c>
      <c r="HP181" s="255" t="s">
        <v>434</v>
      </c>
      <c r="HQ181" s="258" t="s">
        <v>435</v>
      </c>
      <c r="HR181" s="258" t="s">
        <v>435</v>
      </c>
      <c r="HS181" s="258" t="s">
        <v>436</v>
      </c>
      <c r="HT181" s="258" t="s">
        <v>436</v>
      </c>
      <c r="HU181" s="258" t="s">
        <v>436</v>
      </c>
      <c r="HV181" s="259" t="s">
        <v>437</v>
      </c>
      <c r="HW181" s="259" t="s">
        <v>437</v>
      </c>
      <c r="HX181" s="259" t="s">
        <v>437</v>
      </c>
      <c r="HY181" s="259" t="s">
        <v>437</v>
      </c>
      <c r="HZ181" s="259" t="s">
        <v>437</v>
      </c>
      <c r="IA181" s="259" t="s">
        <v>437</v>
      </c>
      <c r="IB181" s="260" t="s">
        <v>438</v>
      </c>
      <c r="IC181" s="260" t="s">
        <v>438</v>
      </c>
      <c r="ID181" s="260" t="s">
        <v>438</v>
      </c>
      <c r="IE181" s="260" t="s">
        <v>438</v>
      </c>
      <c r="IF181" s="260" t="s">
        <v>438</v>
      </c>
      <c r="IG181" s="260" t="s">
        <v>438</v>
      </c>
      <c r="IH181" s="261" t="s">
        <v>439</v>
      </c>
      <c r="II181" s="262" t="s">
        <v>439</v>
      </c>
      <c r="IJ181" s="262" t="s">
        <v>440</v>
      </c>
      <c r="IK181" s="261" t="s">
        <v>440</v>
      </c>
      <c r="IL181" s="261" t="s">
        <v>440</v>
      </c>
      <c r="IM181" s="261" t="s">
        <v>440</v>
      </c>
      <c r="IN181" s="261" t="s">
        <v>440</v>
      </c>
      <c r="IO181" s="255" t="s">
        <v>441</v>
      </c>
      <c r="IP181" s="255" t="s">
        <v>441</v>
      </c>
      <c r="IQ181" s="255"/>
      <c r="IR181" s="255"/>
      <c r="IS181" s="255" t="s">
        <v>442</v>
      </c>
      <c r="IT181" s="255" t="s">
        <v>442</v>
      </c>
      <c r="IU181" s="255" t="s">
        <v>442</v>
      </c>
      <c r="IV181" s="258" t="s">
        <v>443</v>
      </c>
      <c r="IW181" s="258" t="s">
        <v>443</v>
      </c>
      <c r="IX181" s="254" t="s">
        <v>443</v>
      </c>
      <c r="IY181" s="254" t="s">
        <v>443</v>
      </c>
      <c r="IZ181" s="254" t="s">
        <v>1989</v>
      </c>
      <c r="JA181" s="254" t="s">
        <v>444</v>
      </c>
      <c r="JB181" s="254" t="s">
        <v>444</v>
      </c>
      <c r="JC181" s="254" t="s">
        <v>444</v>
      </c>
      <c r="JD181" s="254" t="s">
        <v>444</v>
      </c>
      <c r="JE181" s="254" t="s">
        <v>444</v>
      </c>
      <c r="JF181" s="254" t="s">
        <v>444</v>
      </c>
      <c r="JG181" s="254" t="s">
        <v>444</v>
      </c>
      <c r="JH181" s="254" t="s">
        <v>444</v>
      </c>
      <c r="JI181" s="254" t="s">
        <v>444</v>
      </c>
      <c r="JJ181" s="263" t="s">
        <v>445</v>
      </c>
      <c r="JK181" s="263" t="s">
        <v>445</v>
      </c>
      <c r="JL181" s="263" t="s">
        <v>446</v>
      </c>
      <c r="JM181" s="261" t="s">
        <v>446</v>
      </c>
      <c r="JN181" s="261" t="s">
        <v>446</v>
      </c>
      <c r="JO181" s="261" t="s">
        <v>446</v>
      </c>
      <c r="JP181" s="261" t="s">
        <v>446</v>
      </c>
      <c r="JQ181" s="261" t="s">
        <v>446</v>
      </c>
      <c r="JR181" s="261" t="s">
        <v>446</v>
      </c>
      <c r="JS181" s="261" t="s">
        <v>446</v>
      </c>
      <c r="JT181" s="261" t="s">
        <v>446</v>
      </c>
      <c r="JU181" s="261" t="s">
        <v>446</v>
      </c>
      <c r="JV181" s="255" t="s">
        <v>446</v>
      </c>
      <c r="JW181" s="255" t="s">
        <v>446</v>
      </c>
      <c r="JX181" s="255" t="s">
        <v>446</v>
      </c>
      <c r="JY181" s="255" t="s">
        <v>446</v>
      </c>
      <c r="JZ181" s="255" t="s">
        <v>446</v>
      </c>
      <c r="KA181" s="255" t="s">
        <v>446</v>
      </c>
      <c r="KB181" s="255" t="s">
        <v>446</v>
      </c>
      <c r="KC181" s="255" t="s">
        <v>446</v>
      </c>
      <c r="KD181" s="255" t="s">
        <v>446</v>
      </c>
      <c r="KE181" s="261" t="s">
        <v>447</v>
      </c>
      <c r="KF181" s="262" t="s">
        <v>447</v>
      </c>
      <c r="KG181" s="262" t="s">
        <v>448</v>
      </c>
      <c r="KH181" s="261" t="s">
        <v>448</v>
      </c>
      <c r="KI181" s="255" t="s">
        <v>449</v>
      </c>
      <c r="KJ181" s="255" t="s">
        <v>449</v>
      </c>
      <c r="KK181" s="255" t="s">
        <v>450</v>
      </c>
      <c r="KL181" s="255" t="s">
        <v>450</v>
      </c>
      <c r="KM181" s="255" t="s">
        <v>450</v>
      </c>
      <c r="KN181" s="264" t="s">
        <v>449</v>
      </c>
      <c r="KO181" s="264" t="s">
        <v>450</v>
      </c>
      <c r="KP181" s="255" t="s">
        <v>450</v>
      </c>
      <c r="KQ181" s="255" t="s">
        <v>450</v>
      </c>
      <c r="KR181" s="264" t="s">
        <v>449</v>
      </c>
      <c r="KS181" s="264" t="s">
        <v>450</v>
      </c>
      <c r="KT181" s="255" t="s">
        <v>450</v>
      </c>
      <c r="KU181" s="255" t="s">
        <v>450</v>
      </c>
      <c r="KV181" s="261" t="s">
        <v>451</v>
      </c>
      <c r="KW181" s="265" t="s">
        <v>451</v>
      </c>
      <c r="KX181" s="265" t="s">
        <v>451</v>
      </c>
      <c r="KY181" s="265" t="s">
        <v>451</v>
      </c>
      <c r="KZ181" s="265" t="s">
        <v>451</v>
      </c>
      <c r="LA181" s="261"/>
      <c r="LB181" s="261"/>
      <c r="LC181" s="261"/>
      <c r="LD181" s="261" t="s">
        <v>452</v>
      </c>
      <c r="LE181" s="261"/>
      <c r="LF181" s="261" t="s">
        <v>452</v>
      </c>
      <c r="LG181" s="261"/>
      <c r="LH181" s="261" t="s">
        <v>452</v>
      </c>
      <c r="LI181" s="261" t="s">
        <v>452</v>
      </c>
      <c r="LJ181" s="261" t="s">
        <v>452</v>
      </c>
      <c r="LK181" s="261" t="s">
        <v>452</v>
      </c>
      <c r="LL181" s="261" t="s">
        <v>452</v>
      </c>
      <c r="LM181" s="261" t="s">
        <v>452</v>
      </c>
      <c r="LN181" s="261" t="s">
        <v>452</v>
      </c>
      <c r="LO181" s="266" t="s">
        <v>453</v>
      </c>
      <c r="LP181" s="266" t="s">
        <v>453</v>
      </c>
      <c r="LQ181" s="266" t="s">
        <v>453</v>
      </c>
      <c r="LR181" s="266" t="s">
        <v>454</v>
      </c>
      <c r="LS181" s="266" t="s">
        <v>454</v>
      </c>
      <c r="LT181" s="267" t="s">
        <v>455</v>
      </c>
      <c r="LU181" s="267" t="s">
        <v>455</v>
      </c>
      <c r="LV181" s="28" t="s">
        <v>456</v>
      </c>
      <c r="LW181" s="268" t="s">
        <v>456</v>
      </c>
      <c r="LX181" s="268" t="s">
        <v>456</v>
      </c>
      <c r="LY181" s="268" t="s">
        <v>456</v>
      </c>
      <c r="LZ181" s="268" t="s">
        <v>456</v>
      </c>
      <c r="MA181" s="268" t="s">
        <v>456</v>
      </c>
      <c r="MB181" s="27" t="s">
        <v>457</v>
      </c>
      <c r="MC181" s="27" t="s">
        <v>457</v>
      </c>
      <c r="MD181" s="27" t="s">
        <v>457</v>
      </c>
      <c r="ME181" s="269" t="s">
        <v>457</v>
      </c>
      <c r="MF181" s="270" t="s">
        <v>457</v>
      </c>
      <c r="MG181" s="255" t="s">
        <v>458</v>
      </c>
      <c r="MH181" s="255" t="s">
        <v>458</v>
      </c>
      <c r="MI181" s="271" t="s">
        <v>459</v>
      </c>
      <c r="MJ181" s="271" t="s">
        <v>459</v>
      </c>
      <c r="MK181" s="271" t="s">
        <v>459</v>
      </c>
      <c r="ML181" s="272" t="s">
        <v>460</v>
      </c>
      <c r="MM181" s="272" t="s">
        <v>460</v>
      </c>
      <c r="MN181" s="272" t="s">
        <v>460</v>
      </c>
      <c r="MO181" s="272" t="s">
        <v>460</v>
      </c>
      <c r="MP181" s="272" t="s">
        <v>460</v>
      </c>
      <c r="MQ181" s="273" t="s">
        <v>461</v>
      </c>
      <c r="MR181" s="273" t="s">
        <v>461</v>
      </c>
      <c r="MS181" s="273" t="s">
        <v>461</v>
      </c>
      <c r="MT181" s="261" t="s">
        <v>462</v>
      </c>
      <c r="MU181" s="261" t="s">
        <v>462</v>
      </c>
      <c r="MV181" s="261" t="s">
        <v>462</v>
      </c>
      <c r="MW181" s="261" t="s">
        <v>462</v>
      </c>
      <c r="MX181" s="261" t="s">
        <v>462</v>
      </c>
      <c r="MY181" s="274" t="s">
        <v>463</v>
      </c>
      <c r="MZ181" s="275" t="s">
        <v>463</v>
      </c>
      <c r="NA181" s="49" t="s">
        <v>464</v>
      </c>
      <c r="NB181" s="49" t="s">
        <v>464</v>
      </c>
      <c r="NC181" s="49" t="s">
        <v>464</v>
      </c>
      <c r="ND181" s="49" t="s">
        <v>464</v>
      </c>
      <c r="NE181" s="49" t="s">
        <v>464</v>
      </c>
      <c r="NF181" s="49" t="s">
        <v>464</v>
      </c>
      <c r="NG181" s="49" t="s">
        <v>464</v>
      </c>
      <c r="NH181" s="49" t="s">
        <v>464</v>
      </c>
      <c r="NI181" s="276" t="s">
        <v>465</v>
      </c>
      <c r="NJ181" s="257" t="s">
        <v>466</v>
      </c>
      <c r="NK181" s="257" t="s">
        <v>466</v>
      </c>
      <c r="NL181" s="58" t="s">
        <v>466</v>
      </c>
      <c r="NM181" s="58" t="s">
        <v>466</v>
      </c>
      <c r="NN181" s="257" t="s">
        <v>466</v>
      </c>
      <c r="NO181" s="257" t="s">
        <v>466</v>
      </c>
      <c r="NP181" s="257" t="s">
        <v>466</v>
      </c>
      <c r="NQ181" s="257" t="s">
        <v>466</v>
      </c>
      <c r="NR181" s="257" t="s">
        <v>466</v>
      </c>
      <c r="NS181" s="257" t="s">
        <v>466</v>
      </c>
      <c r="NT181" s="257" t="s">
        <v>466</v>
      </c>
      <c r="NU181" s="257" t="s">
        <v>466</v>
      </c>
      <c r="NV181" s="277" t="s">
        <v>467</v>
      </c>
      <c r="NW181" s="21" t="s">
        <v>467</v>
      </c>
      <c r="NX181" s="277" t="s">
        <v>467</v>
      </c>
      <c r="NY181" s="277" t="s">
        <v>467</v>
      </c>
      <c r="NZ181" s="277" t="s">
        <v>467</v>
      </c>
      <c r="OA181" s="277" t="s">
        <v>467</v>
      </c>
      <c r="OB181" s="277" t="s">
        <v>467</v>
      </c>
      <c r="OC181" s="278" t="s">
        <v>2616</v>
      </c>
      <c r="OD181" s="278" t="s">
        <v>2616</v>
      </c>
      <c r="OE181" s="278" t="s">
        <v>2616</v>
      </c>
      <c r="OF181" s="278" t="s">
        <v>2616</v>
      </c>
      <c r="OG181" s="278" t="s">
        <v>2616</v>
      </c>
      <c r="OH181" s="278" t="s">
        <v>2616</v>
      </c>
      <c r="OI181" s="278" t="s">
        <v>2616</v>
      </c>
      <c r="OJ181" s="278" t="s">
        <v>2616</v>
      </c>
      <c r="OK181" s="278" t="s">
        <v>2616</v>
      </c>
      <c r="OL181" s="278" t="s">
        <v>2616</v>
      </c>
      <c r="OM181" s="279" t="s">
        <v>2617</v>
      </c>
      <c r="ON181" s="279" t="s">
        <v>2617</v>
      </c>
      <c r="OO181" s="279" t="s">
        <v>2617</v>
      </c>
      <c r="OP181" s="279" t="s">
        <v>2617</v>
      </c>
      <c r="OQ181" s="279" t="s">
        <v>2617</v>
      </c>
      <c r="OR181" s="279" t="s">
        <v>2617</v>
      </c>
      <c r="OS181" s="279" t="s">
        <v>2617</v>
      </c>
      <c r="OT181" s="279" t="s">
        <v>2617</v>
      </c>
      <c r="OU181" s="277" t="s">
        <v>467</v>
      </c>
      <c r="OV181" s="280" t="s">
        <v>467</v>
      </c>
      <c r="OW181" s="280" t="s">
        <v>468</v>
      </c>
      <c r="OX181" s="280" t="s">
        <v>468</v>
      </c>
      <c r="OY181" s="280" t="s">
        <v>468</v>
      </c>
      <c r="OZ181" s="280" t="s">
        <v>468</v>
      </c>
      <c r="PA181" s="280" t="s">
        <v>468</v>
      </c>
    </row>
    <row r="182" spans="1:424" ht="17.25" thickBot="1">
      <c r="A182" s="205" t="s">
        <v>665</v>
      </c>
      <c r="B182" s="2" t="s">
        <v>2635</v>
      </c>
      <c r="C182" s="2" t="s">
        <v>2634</v>
      </c>
      <c r="D182" s="88" t="s">
        <v>480</v>
      </c>
      <c r="E182" s="2" t="s">
        <v>2633</v>
      </c>
      <c r="F182" s="88" t="s">
        <v>474</v>
      </c>
      <c r="G182" s="2" t="s">
        <v>475</v>
      </c>
      <c r="H182" s="2" t="s">
        <v>476</v>
      </c>
      <c r="I182" s="88">
        <v>10.566667000000001</v>
      </c>
      <c r="J182" s="88">
        <v>106</v>
      </c>
      <c r="K182" s="88">
        <v>800</v>
      </c>
      <c r="L182" s="2"/>
      <c r="M182" s="88"/>
      <c r="N182" s="2"/>
      <c r="O182" s="2"/>
      <c r="P182" s="2"/>
      <c r="Q182" s="2"/>
      <c r="R182" s="2"/>
      <c r="S182" s="2"/>
      <c r="T182" s="2"/>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2" t="s">
        <v>2632</v>
      </c>
      <c r="AW182" s="2">
        <f t="shared" ref="AW182:AW189" si="0">6*15</f>
        <v>90</v>
      </c>
      <c r="AX182" s="2" t="s">
        <v>480</v>
      </c>
      <c r="AY182" s="2">
        <v>8</v>
      </c>
      <c r="AZ182" s="185" t="s">
        <v>2651</v>
      </c>
      <c r="BA182" s="185">
        <v>2001</v>
      </c>
      <c r="BB182" s="185">
        <v>2008</v>
      </c>
      <c r="BC182" s="185"/>
      <c r="BD182" t="s">
        <v>2644</v>
      </c>
      <c r="BE182" t="s">
        <v>524</v>
      </c>
      <c r="BF182" s="185" t="s">
        <v>484</v>
      </c>
      <c r="BG182" s="185" t="s">
        <v>1501</v>
      </c>
      <c r="BH182" s="79" t="s">
        <v>480</v>
      </c>
      <c r="BI182" s="206" t="s">
        <v>1503</v>
      </c>
      <c r="BJ182" s="283">
        <v>150</v>
      </c>
      <c r="BK182" s="185" t="s">
        <v>555</v>
      </c>
      <c r="BL182" s="185" t="s">
        <v>1501</v>
      </c>
      <c r="BM182" s="185" t="s">
        <v>480</v>
      </c>
      <c r="BN182" s="206" t="s">
        <v>1503</v>
      </c>
      <c r="BO182" s="283">
        <v>150</v>
      </c>
      <c r="BP182" s="185" t="s">
        <v>555</v>
      </c>
      <c r="BQ182" s="185" t="s">
        <v>1501</v>
      </c>
      <c r="BR182" s="185" t="s">
        <v>480</v>
      </c>
      <c r="BS182" s="206" t="s">
        <v>1503</v>
      </c>
      <c r="BT182" s="283">
        <v>150</v>
      </c>
      <c r="BU182" s="3"/>
      <c r="BV182" s="3"/>
      <c r="BW182" s="3"/>
      <c r="BX182" s="3"/>
      <c r="BY182" s="3"/>
      <c r="BZ182" s="3"/>
      <c r="CA182" s="3"/>
      <c r="CB182" s="3"/>
      <c r="CC182" s="3"/>
      <c r="CD182" s="3"/>
      <c r="CE182" s="3"/>
      <c r="CF182" s="3"/>
      <c r="CG182" s="3"/>
      <c r="CH182" s="3"/>
      <c r="CI182" s="3"/>
      <c r="CJ182" s="3"/>
      <c r="CK182" s="3"/>
      <c r="CL182" s="3"/>
      <c r="CM182" s="3"/>
      <c r="CN182" s="3"/>
      <c r="CO182" s="3"/>
      <c r="CP182" s="3"/>
      <c r="CQ182" s="3"/>
      <c r="CR182" s="3"/>
      <c r="CS182" s="3"/>
      <c r="CT182" s="3"/>
      <c r="CU182" s="3"/>
      <c r="CV182" s="3"/>
      <c r="CW182" s="3"/>
      <c r="CX182" s="3"/>
      <c r="CY182" s="3"/>
      <c r="CZ182" s="3"/>
      <c r="DA182" s="3"/>
      <c r="DB182" s="3"/>
      <c r="DC182" s="3"/>
      <c r="DD182" s="3"/>
      <c r="DE182" s="3"/>
      <c r="DF182" s="3"/>
      <c r="DG182" s="3"/>
      <c r="DH182" s="3"/>
      <c r="DI182" s="3"/>
      <c r="DJ182" s="3"/>
      <c r="DK182" s="3"/>
      <c r="DL182" s="3"/>
      <c r="DM182" s="3"/>
      <c r="DN182" s="3"/>
      <c r="DO182" s="3"/>
      <c r="DP182" s="3"/>
      <c r="DQ182" s="3"/>
      <c r="DR182" s="3"/>
      <c r="DS182" s="3"/>
      <c r="DT182" s="3"/>
      <c r="DU182" s="3"/>
      <c r="DV182" s="3"/>
      <c r="DW182" s="3"/>
      <c r="DX182" s="3"/>
      <c r="DY182" s="3"/>
      <c r="DZ182" s="3"/>
      <c r="EA182" s="3"/>
      <c r="EB182" s="3"/>
      <c r="EC182" s="3"/>
      <c r="ED182" s="2"/>
      <c r="EE182" s="185"/>
      <c r="EF182" s="185"/>
      <c r="EG182" s="185"/>
      <c r="EH182" s="185"/>
      <c r="EI182" s="185"/>
      <c r="EJ182" s="185"/>
      <c r="EK182" s="185"/>
      <c r="EL182" s="3"/>
      <c r="EM182" s="3"/>
      <c r="EN182" s="3"/>
      <c r="EO182" s="3"/>
      <c r="EP182" s="3"/>
      <c r="EQ182" s="3"/>
      <c r="ER182" s="3"/>
      <c r="ES182" s="3"/>
      <c r="ET182" s="3"/>
      <c r="EU182" s="3"/>
      <c r="EV182" s="3"/>
      <c r="EW182" s="3"/>
      <c r="EX182" s="3"/>
      <c r="EY182" s="3"/>
      <c r="EZ182" s="3"/>
      <c r="FA182" s="3"/>
      <c r="FB182" s="3"/>
      <c r="FC182" s="3"/>
      <c r="FD182" s="3"/>
      <c r="FE182" s="3"/>
      <c r="FF182" s="3"/>
      <c r="FG182" s="3"/>
      <c r="FH182" s="3"/>
      <c r="FI182" s="3"/>
      <c r="FJ182" s="3"/>
      <c r="FK182" s="3"/>
      <c r="FL182" s="3"/>
      <c r="FM182" s="3"/>
      <c r="FN182" s="3"/>
      <c r="FO182" s="3"/>
      <c r="FP182" s="3"/>
      <c r="FQ182" s="3"/>
      <c r="FR182" s="3"/>
      <c r="FS182" s="3"/>
      <c r="FT182" s="3"/>
      <c r="FU182" s="3"/>
      <c r="FV182" s="3"/>
      <c r="FW182" s="3"/>
      <c r="FX182" s="3"/>
      <c r="FY182" s="3"/>
      <c r="FZ182" s="3"/>
      <c r="GA182" s="3"/>
      <c r="GB182" s="3"/>
      <c r="GC182" s="3"/>
      <c r="GD182" s="3"/>
      <c r="GE182" s="3"/>
      <c r="GF182" s="3"/>
      <c r="GG182" s="3"/>
      <c r="GH182" s="3"/>
      <c r="GI182" s="3"/>
      <c r="GJ182" s="3"/>
      <c r="GK182" s="3"/>
      <c r="GL182" s="3"/>
      <c r="GM182" s="3"/>
      <c r="GN182" s="3"/>
      <c r="GO182" s="3"/>
      <c r="GP182" s="3"/>
      <c r="GQ182" s="3"/>
      <c r="GR182" s="3"/>
      <c r="GS182" s="3"/>
      <c r="GT182" s="3"/>
      <c r="GU182" s="3"/>
      <c r="GV182" s="3"/>
      <c r="GW182" s="3"/>
      <c r="GX182" s="3"/>
      <c r="GY182" s="3"/>
      <c r="GZ182" s="3"/>
      <c r="HA182" s="3"/>
      <c r="HB182" s="3"/>
      <c r="HC182" s="3"/>
      <c r="HD182" s="3"/>
      <c r="HE182" s="3"/>
      <c r="HF182" s="3"/>
      <c r="HG182" s="3"/>
      <c r="HH182" s="3"/>
      <c r="HI182" s="3"/>
      <c r="HJ182" s="3"/>
      <c r="HK182" s="185"/>
      <c r="HL182" s="185"/>
      <c r="HM182" s="185"/>
      <c r="HN182" s="185"/>
      <c r="HO182" s="185"/>
      <c r="HP182" s="185"/>
      <c r="HQ182" s="185"/>
      <c r="HR182" s="185"/>
      <c r="HS182" s="206"/>
      <c r="HT182" s="185"/>
      <c r="HU182" s="185"/>
      <c r="HV182" s="185"/>
      <c r="HW182" s="185"/>
      <c r="HX182" s="215"/>
      <c r="HY182" s="185"/>
      <c r="HZ182" s="185"/>
      <c r="IA182" s="185"/>
      <c r="IB182" s="185"/>
      <c r="IC182" s="185"/>
      <c r="ID182" s="185"/>
      <c r="IE182" s="185"/>
      <c r="IF182" s="185"/>
      <c r="IG182" s="185"/>
      <c r="IH182" s="185"/>
      <c r="II182" s="148"/>
      <c r="IJ182" s="148"/>
      <c r="IK182" s="210"/>
      <c r="IL182" s="185"/>
      <c r="IM182" s="185"/>
      <c r="IN182" s="185"/>
      <c r="IO182" t="s">
        <v>2644</v>
      </c>
      <c r="IP182" s="185" t="s">
        <v>492</v>
      </c>
      <c r="IQ182" s="185"/>
      <c r="IR182" s="185"/>
      <c r="IS182" s="185">
        <v>2001</v>
      </c>
      <c r="IT182" s="214" t="s">
        <v>2650</v>
      </c>
      <c r="IU182" s="185" t="s">
        <v>480</v>
      </c>
      <c r="IV182" s="185"/>
      <c r="IW182" s="185"/>
      <c r="IX182" s="2"/>
      <c r="IY182" s="2"/>
      <c r="IZ182" s="2"/>
      <c r="JA182" s="2"/>
      <c r="JB182" s="2"/>
      <c r="JC182" s="2"/>
      <c r="JD182" s="2"/>
      <c r="JE182" s="2"/>
      <c r="JF182" s="2"/>
      <c r="JG182" s="2"/>
      <c r="JH182" s="2"/>
      <c r="JI182" s="2"/>
      <c r="JJ182" s="2" t="s">
        <v>2628</v>
      </c>
      <c r="JK182" s="2" t="s">
        <v>494</v>
      </c>
      <c r="JL182" s="151" t="s">
        <v>495</v>
      </c>
      <c r="JM182" s="282" t="s">
        <v>2627</v>
      </c>
      <c r="JN182" s="206"/>
      <c r="JO182" s="185"/>
      <c r="JP182" s="206" t="s">
        <v>508</v>
      </c>
      <c r="JQ182" s="185">
        <f>100*3</f>
        <v>300</v>
      </c>
      <c r="JR182" s="185">
        <f>45*3</f>
        <v>135</v>
      </c>
      <c r="JS182" s="185">
        <f>30*3</f>
        <v>90</v>
      </c>
      <c r="JT182" s="185"/>
      <c r="JU182" s="185"/>
      <c r="JV182" s="140"/>
      <c r="JW182" s="140"/>
      <c r="JX182" s="206"/>
      <c r="JY182" s="185"/>
      <c r="JZ182" s="206"/>
      <c r="KA182" s="185"/>
      <c r="KB182" s="185"/>
      <c r="KC182" s="185"/>
      <c r="KD182" s="206"/>
      <c r="KE182" s="206"/>
      <c r="KF182" s="148"/>
      <c r="KG182" s="216"/>
      <c r="KH182" s="185"/>
      <c r="KI182" s="185"/>
      <c r="KJ182" s="185"/>
      <c r="KK182" s="185"/>
      <c r="KL182" s="206"/>
      <c r="KM182" s="185"/>
      <c r="KN182" s="148"/>
      <c r="KO182" s="216"/>
      <c r="KP182" s="185"/>
      <c r="KQ182" s="185"/>
      <c r="KR182" s="148"/>
      <c r="KS182" s="216"/>
      <c r="KT182" s="185"/>
      <c r="KU182" s="185"/>
      <c r="KV182" s="185"/>
      <c r="KW182" s="3"/>
      <c r="KX182" s="3"/>
      <c r="KY182" s="3"/>
      <c r="KZ182" s="3"/>
      <c r="LA182" s="206"/>
      <c r="LB182" s="206"/>
      <c r="LC182" s="206"/>
      <c r="LD182" s="206"/>
      <c r="LE182" s="206"/>
      <c r="LF182" s="206"/>
      <c r="LG182" s="134"/>
      <c r="LH182" s="206"/>
      <c r="LI182" s="206"/>
      <c r="LJ182" s="206"/>
      <c r="LK182" s="206"/>
      <c r="LL182" s="206"/>
      <c r="LM182" s="206"/>
      <c r="LN182" s="185"/>
      <c r="LO182" s="185"/>
      <c r="LP182" s="185"/>
      <c r="LQ182" s="185"/>
      <c r="LR182" s="185"/>
      <c r="LS182" s="185"/>
      <c r="LT182" s="185"/>
      <c r="LU182" s="185"/>
      <c r="LV182" s="144"/>
      <c r="LW182" s="2"/>
      <c r="LX182" s="2"/>
      <c r="LY182" s="2"/>
      <c r="LZ182" s="2"/>
      <c r="MA182" s="2"/>
      <c r="ME182" s="2"/>
      <c r="MF182" s="185"/>
      <c r="MG182" s="185"/>
      <c r="MH182" s="185"/>
      <c r="MI182" s="2"/>
      <c r="MJ182" s="2"/>
      <c r="MK182" s="2"/>
      <c r="ML182" s="2"/>
      <c r="MM182" s="2"/>
      <c r="MN182" s="2"/>
      <c r="MO182" s="2"/>
      <c r="MP182" s="2"/>
      <c r="MQ182" s="185"/>
      <c r="MR182" s="185"/>
      <c r="MS182" s="185"/>
      <c r="MT182" s="185"/>
      <c r="MU182" s="185"/>
      <c r="MV182" s="185"/>
      <c r="MW182" s="185"/>
      <c r="MX182" s="185"/>
      <c r="MY182" s="211" t="s">
        <v>2626</v>
      </c>
      <c r="MZ182" s="281">
        <f t="shared" ref="MZ182:MZ189" si="1">6*15</f>
        <v>90</v>
      </c>
      <c r="NA182" t="s">
        <v>2625</v>
      </c>
      <c r="NB182" t="s">
        <v>2625</v>
      </c>
      <c r="NH182" t="s">
        <v>711</v>
      </c>
      <c r="NI182" s="185"/>
      <c r="NJ182" s="185" t="s">
        <v>2647</v>
      </c>
      <c r="NK182" s="185" t="s">
        <v>2648</v>
      </c>
      <c r="NL182" t="s">
        <v>2647</v>
      </c>
      <c r="NM182" t="s">
        <v>2646</v>
      </c>
      <c r="NN182" s="185"/>
      <c r="NO182" s="185"/>
      <c r="NP182" s="185"/>
      <c r="NQ182" s="185"/>
      <c r="NR182" s="185"/>
      <c r="NS182" s="185"/>
      <c r="NT182" t="s">
        <v>2644</v>
      </c>
      <c r="NU182" s="185"/>
      <c r="NV182" s="220" t="s">
        <v>518</v>
      </c>
      <c r="NW182">
        <v>2752.5149999999999</v>
      </c>
      <c r="NX182" s="220" t="s">
        <v>520</v>
      </c>
      <c r="NY182" s="185">
        <v>458.75300000000016</v>
      </c>
      <c r="NZ182" s="220"/>
      <c r="OA182" s="220"/>
      <c r="OB182" s="185">
        <v>4</v>
      </c>
      <c r="OC182" s="185"/>
      <c r="OD182" s="185"/>
      <c r="OE182" s="185"/>
      <c r="OF182" s="185"/>
      <c r="OG182" s="185"/>
      <c r="OH182" s="185"/>
      <c r="OI182" s="185"/>
      <c r="OJ182" s="185"/>
      <c r="OK182" s="185"/>
      <c r="OL182" s="185"/>
      <c r="OM182" s="133"/>
      <c r="ON182" s="133"/>
      <c r="OO182" s="133"/>
      <c r="OP182" s="133"/>
      <c r="OQ182" s="133"/>
      <c r="OR182" s="133"/>
      <c r="OS182" s="133"/>
      <c r="OT182" s="133"/>
      <c r="OU182" s="185" t="s">
        <v>2620</v>
      </c>
      <c r="OV182" s="185"/>
      <c r="OW182" s="185">
        <v>2007</v>
      </c>
      <c r="OX182" s="185" t="s">
        <v>1049</v>
      </c>
      <c r="OY182" s="185" t="s">
        <v>1049</v>
      </c>
      <c r="OZ182" s="185">
        <v>7.1</v>
      </c>
      <c r="PA182" s="185"/>
      <c r="PB182" t="s">
        <v>2619</v>
      </c>
      <c r="PC182" s="50">
        <v>46176</v>
      </c>
      <c r="PD182" t="s">
        <v>2618</v>
      </c>
      <c r="PE182" t="s">
        <v>1049</v>
      </c>
      <c r="PF182" t="s">
        <v>1049</v>
      </c>
      <c r="PH182" t="s">
        <v>1049</v>
      </c>
    </row>
    <row r="183" spans="1:424" ht="17.25" thickBot="1">
      <c r="A183" s="205" t="s">
        <v>665</v>
      </c>
      <c r="B183" s="2" t="s">
        <v>2635</v>
      </c>
      <c r="C183" s="2" t="s">
        <v>2634</v>
      </c>
      <c r="D183" s="88" t="s">
        <v>480</v>
      </c>
      <c r="E183" s="2" t="s">
        <v>2633</v>
      </c>
      <c r="F183" s="88" t="s">
        <v>474</v>
      </c>
      <c r="G183" s="2" t="s">
        <v>475</v>
      </c>
      <c r="H183" s="2" t="s">
        <v>476</v>
      </c>
      <c r="I183" s="88">
        <v>10.566667000000001</v>
      </c>
      <c r="J183" s="88">
        <v>106</v>
      </c>
      <c r="K183" s="88">
        <v>800</v>
      </c>
      <c r="L183" s="2"/>
      <c r="M183" s="88"/>
      <c r="N183" s="2"/>
      <c r="O183" s="2"/>
      <c r="P183" s="2"/>
      <c r="Q183" s="2"/>
      <c r="R183" s="2"/>
      <c r="S183" s="2"/>
      <c r="T183" s="2"/>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2" t="s">
        <v>2632</v>
      </c>
      <c r="AW183" s="2">
        <f t="shared" si="0"/>
        <v>90</v>
      </c>
      <c r="AX183" s="2" t="s">
        <v>480</v>
      </c>
      <c r="AY183" s="2">
        <v>8</v>
      </c>
      <c r="AZ183" s="185" t="s">
        <v>2631</v>
      </c>
      <c r="BA183" s="185">
        <v>2001</v>
      </c>
      <c r="BB183" s="185">
        <v>2008</v>
      </c>
      <c r="BC183" s="185"/>
      <c r="BD183" t="s">
        <v>2641</v>
      </c>
      <c r="BE183" t="s">
        <v>536</v>
      </c>
      <c r="BF183" s="185" t="s">
        <v>484</v>
      </c>
      <c r="BG183" s="185" t="s">
        <v>1501</v>
      </c>
      <c r="BH183" s="79" t="s">
        <v>480</v>
      </c>
      <c r="BI183" s="206" t="s">
        <v>1503</v>
      </c>
      <c r="BJ183" s="283">
        <v>150</v>
      </c>
      <c r="BK183" s="185" t="s">
        <v>555</v>
      </c>
      <c r="BL183" s="185" t="s">
        <v>485</v>
      </c>
      <c r="BM183" s="185" t="s">
        <v>480</v>
      </c>
      <c r="BN183" s="206" t="s">
        <v>1503</v>
      </c>
      <c r="BO183" s="185">
        <v>37.5</v>
      </c>
      <c r="BP183" s="185" t="s">
        <v>555</v>
      </c>
      <c r="BQ183" s="185" t="s">
        <v>1501</v>
      </c>
      <c r="BR183" s="185" t="s">
        <v>480</v>
      </c>
      <c r="BS183" s="206" t="s">
        <v>1503</v>
      </c>
      <c r="BT183" s="283">
        <v>150</v>
      </c>
      <c r="BU183" s="3"/>
      <c r="BV183" s="3"/>
      <c r="BW183" s="3"/>
      <c r="BX183" s="3"/>
      <c r="BY183" s="3"/>
      <c r="BZ183" s="3"/>
      <c r="CA183" s="3"/>
      <c r="CB183" s="3"/>
      <c r="CC183" s="3"/>
      <c r="CD183" s="3"/>
      <c r="CE183" s="3"/>
      <c r="CF183" s="3"/>
      <c r="CG183" s="3"/>
      <c r="CH183" s="3"/>
      <c r="CI183" s="3"/>
      <c r="CJ183" s="3"/>
      <c r="CK183" s="3"/>
      <c r="CL183" s="3"/>
      <c r="CM183" s="3"/>
      <c r="CN183" s="3"/>
      <c r="CO183" s="3"/>
      <c r="CP183" s="3"/>
      <c r="CQ183" s="3"/>
      <c r="CR183" s="3"/>
      <c r="CS183" s="3"/>
      <c r="CT183" s="3"/>
      <c r="CU183" s="3"/>
      <c r="CV183" s="3"/>
      <c r="CW183" s="3"/>
      <c r="CX183" s="3"/>
      <c r="CY183" s="3"/>
      <c r="CZ183" s="3"/>
      <c r="DA183" s="3"/>
      <c r="DB183" s="3"/>
      <c r="DC183" s="3"/>
      <c r="DD183" s="3"/>
      <c r="DE183" s="3"/>
      <c r="DF183" s="3"/>
      <c r="DG183" s="3"/>
      <c r="DH183" s="3"/>
      <c r="DI183" s="3"/>
      <c r="DJ183" s="3"/>
      <c r="DK183" s="3"/>
      <c r="DL183" s="3"/>
      <c r="DM183" s="3"/>
      <c r="DN183" s="3"/>
      <c r="DO183" s="3"/>
      <c r="DP183" s="3"/>
      <c r="DQ183" s="3"/>
      <c r="DR183" s="3"/>
      <c r="DS183" s="3"/>
      <c r="DT183" s="3"/>
      <c r="DU183" s="3"/>
      <c r="DV183" s="3"/>
      <c r="DW183" s="3"/>
      <c r="DX183" s="3"/>
      <c r="DY183" s="3"/>
      <c r="DZ183" s="3"/>
      <c r="EA183" s="3"/>
      <c r="EB183" s="3"/>
      <c r="EC183" s="3"/>
      <c r="ED183" s="2"/>
      <c r="EE183" s="185"/>
      <c r="EF183" s="185"/>
      <c r="EG183" s="185"/>
      <c r="EH183" s="185"/>
      <c r="EI183" s="185"/>
      <c r="EJ183" s="185"/>
      <c r="EK183" s="185"/>
      <c r="EL183" s="3"/>
      <c r="EM183" s="3"/>
      <c r="EN183" s="3"/>
      <c r="EO183" s="3"/>
      <c r="EP183" s="3"/>
      <c r="EQ183" s="3"/>
      <c r="ER183" s="3"/>
      <c r="ES183" s="3"/>
      <c r="ET183" s="3"/>
      <c r="EU183" s="3"/>
      <c r="EV183" s="3"/>
      <c r="EW183" s="3"/>
      <c r="EX183" s="3"/>
      <c r="EY183" s="3"/>
      <c r="EZ183" s="3"/>
      <c r="FA183" s="3"/>
      <c r="FB183" s="3"/>
      <c r="FC183" s="3"/>
      <c r="FD183" s="3"/>
      <c r="FE183" s="3"/>
      <c r="FF183" s="3"/>
      <c r="FG183" s="3"/>
      <c r="FH183" s="3"/>
      <c r="FI183" s="3"/>
      <c r="FJ183" s="3"/>
      <c r="FK183" s="3"/>
      <c r="FL183" s="3"/>
      <c r="FM183" s="3"/>
      <c r="FN183" s="3"/>
      <c r="FO183" s="3"/>
      <c r="FP183" s="3"/>
      <c r="FQ183" s="3"/>
      <c r="FR183" s="3"/>
      <c r="FS183" s="3"/>
      <c r="FT183" s="3"/>
      <c r="FU183" s="3"/>
      <c r="FV183" s="3"/>
      <c r="FW183" s="3"/>
      <c r="FX183" s="3"/>
      <c r="FY183" s="3"/>
      <c r="FZ183" s="3"/>
      <c r="GA183" s="3"/>
      <c r="GB183" s="3"/>
      <c r="GC183" s="3"/>
      <c r="GD183" s="3"/>
      <c r="GE183" s="3"/>
      <c r="GF183" s="3"/>
      <c r="GG183" s="3"/>
      <c r="GH183" s="3"/>
      <c r="GI183" s="3"/>
      <c r="GJ183" s="3"/>
      <c r="GK183" s="3"/>
      <c r="GL183" s="3"/>
      <c r="GM183" s="3"/>
      <c r="GN183" s="3"/>
      <c r="GO183" s="3"/>
      <c r="GP183" s="3"/>
      <c r="GQ183" s="3"/>
      <c r="GR183" s="3"/>
      <c r="GS183" s="3"/>
      <c r="GT183" s="3"/>
      <c r="GU183" s="3"/>
      <c r="GV183" s="3"/>
      <c r="GW183" s="3"/>
      <c r="GX183" s="3"/>
      <c r="GY183" s="3"/>
      <c r="GZ183" s="3"/>
      <c r="HA183" s="3"/>
      <c r="HB183" s="3"/>
      <c r="HC183" s="3"/>
      <c r="HD183" s="3"/>
      <c r="HE183" s="3"/>
      <c r="HF183" s="3"/>
      <c r="HG183" s="3"/>
      <c r="HH183" s="3"/>
      <c r="HI183" s="3"/>
      <c r="HJ183" s="3"/>
      <c r="HK183" s="185"/>
      <c r="HL183" s="185"/>
      <c r="HM183" s="185"/>
      <c r="HN183" s="185"/>
      <c r="HO183" s="185"/>
      <c r="HP183" s="185"/>
      <c r="HQ183" s="185"/>
      <c r="HR183" s="185"/>
      <c r="HS183" s="206"/>
      <c r="HT183" s="185"/>
      <c r="HU183" s="185"/>
      <c r="HV183" s="185"/>
      <c r="HW183" s="185"/>
      <c r="HX183" s="215"/>
      <c r="HY183" s="185"/>
      <c r="HZ183" s="185"/>
      <c r="IA183" s="185"/>
      <c r="IB183" s="185"/>
      <c r="IC183" s="185"/>
      <c r="ID183" s="185"/>
      <c r="IE183" s="185"/>
      <c r="IF183" s="185"/>
      <c r="IG183" s="185"/>
      <c r="IH183" s="185"/>
      <c r="II183" s="148"/>
      <c r="IJ183" s="148"/>
      <c r="IK183" s="210"/>
      <c r="IL183" s="185"/>
      <c r="IM183" s="185"/>
      <c r="IN183" s="185"/>
      <c r="IO183" t="s">
        <v>2641</v>
      </c>
      <c r="IP183" s="185" t="s">
        <v>2643</v>
      </c>
      <c r="IQ183" s="185"/>
      <c r="IR183" s="185"/>
      <c r="IS183" s="185">
        <v>2001</v>
      </c>
      <c r="IT183" s="214" t="s">
        <v>2649</v>
      </c>
      <c r="IU183" s="185" t="s">
        <v>480</v>
      </c>
      <c r="IV183" s="185"/>
      <c r="IW183" s="185"/>
      <c r="IX183" s="2"/>
      <c r="IY183" s="2"/>
      <c r="IZ183" s="2"/>
      <c r="JA183" s="2"/>
      <c r="JB183" s="2"/>
      <c r="JC183" s="2"/>
      <c r="JD183" s="2"/>
      <c r="JE183" s="2"/>
      <c r="JF183" s="2"/>
      <c r="JG183" s="2"/>
      <c r="JH183" s="2"/>
      <c r="JI183" s="2"/>
      <c r="JJ183" s="2" t="s">
        <v>2628</v>
      </c>
      <c r="JK183" s="2" t="s">
        <v>494</v>
      </c>
      <c r="JL183" s="151" t="s">
        <v>495</v>
      </c>
      <c r="JM183" s="282" t="s">
        <v>2627</v>
      </c>
      <c r="JN183" s="206"/>
      <c r="JO183" s="185"/>
      <c r="JP183" s="206" t="s">
        <v>508</v>
      </c>
      <c r="JQ183" s="185">
        <f>100*2+140</f>
        <v>340</v>
      </c>
      <c r="JR183" s="185">
        <f>45*2+50</f>
        <v>140</v>
      </c>
      <c r="JS183" s="185">
        <f>30*2+30</f>
        <v>90</v>
      </c>
      <c r="JT183" s="185"/>
      <c r="JU183" s="185"/>
      <c r="JV183" s="140"/>
      <c r="JW183" s="140"/>
      <c r="JX183" s="206"/>
      <c r="JY183" s="185"/>
      <c r="JZ183" s="206"/>
      <c r="KA183" s="185"/>
      <c r="KB183" s="185"/>
      <c r="KC183" s="185"/>
      <c r="KD183" s="206"/>
      <c r="KE183" s="206"/>
      <c r="KF183" s="148"/>
      <c r="KG183" s="216"/>
      <c r="KH183" s="185"/>
      <c r="KI183" s="185"/>
      <c r="KJ183" s="185"/>
      <c r="KK183" s="185"/>
      <c r="KL183" s="206"/>
      <c r="KM183" s="185"/>
      <c r="KN183" s="148"/>
      <c r="KO183" s="216"/>
      <c r="KP183" s="185"/>
      <c r="KQ183" s="185"/>
      <c r="KR183" s="148"/>
      <c r="KS183" s="216"/>
      <c r="KT183" s="185"/>
      <c r="KU183" s="185"/>
      <c r="KV183" s="185"/>
      <c r="KW183" s="3"/>
      <c r="KX183" s="3"/>
      <c r="KY183" s="3"/>
      <c r="KZ183" s="3"/>
      <c r="LA183" s="206"/>
      <c r="LB183" s="206"/>
      <c r="LC183" s="206"/>
      <c r="LD183" s="206"/>
      <c r="LE183" s="206"/>
      <c r="LF183" s="206"/>
      <c r="LG183" s="134"/>
      <c r="LH183" s="206"/>
      <c r="LI183" s="206"/>
      <c r="LJ183" s="206"/>
      <c r="LK183" s="206"/>
      <c r="LL183" s="206"/>
      <c r="LM183" s="206"/>
      <c r="LN183" s="185"/>
      <c r="LO183" s="185"/>
      <c r="LP183" s="185"/>
      <c r="LQ183" s="185"/>
      <c r="LR183" s="185"/>
      <c r="LS183" s="185"/>
      <c r="LT183" s="185"/>
      <c r="LU183" s="185"/>
      <c r="LV183" s="144"/>
      <c r="LW183" s="2"/>
      <c r="LX183" s="2"/>
      <c r="LY183" s="2"/>
      <c r="LZ183" s="2"/>
      <c r="MA183" s="2"/>
      <c r="ME183" s="2"/>
      <c r="MF183" s="185"/>
      <c r="MG183" s="185"/>
      <c r="MH183" s="185"/>
      <c r="MI183" s="2"/>
      <c r="MJ183" s="2"/>
      <c r="MK183" s="2"/>
      <c r="ML183" s="2"/>
      <c r="MM183" s="2"/>
      <c r="MN183" s="2"/>
      <c r="MO183" s="2"/>
      <c r="MP183" s="2"/>
      <c r="MQ183" s="185"/>
      <c r="MR183" s="185"/>
      <c r="MS183" s="185"/>
      <c r="MT183" s="185"/>
      <c r="MU183" s="185"/>
      <c r="MV183" s="185"/>
      <c r="MW183" s="185"/>
      <c r="MX183" s="185"/>
      <c r="MY183" s="211" t="s">
        <v>2626</v>
      </c>
      <c r="MZ183" s="281">
        <f t="shared" si="1"/>
        <v>90</v>
      </c>
      <c r="NA183" t="s">
        <v>2625</v>
      </c>
      <c r="NB183" t="s">
        <v>2625</v>
      </c>
      <c r="NH183" t="s">
        <v>711</v>
      </c>
      <c r="NI183" s="185"/>
      <c r="NJ183" s="185" t="s">
        <v>2647</v>
      </c>
      <c r="NK183" s="185" t="s">
        <v>2648</v>
      </c>
      <c r="NL183" t="s">
        <v>2647</v>
      </c>
      <c r="NM183" t="s">
        <v>2646</v>
      </c>
      <c r="NN183" s="185"/>
      <c r="NO183" s="185"/>
      <c r="NP183" s="185"/>
      <c r="NQ183" s="185"/>
      <c r="NR183" s="185"/>
      <c r="NS183" s="185"/>
      <c r="NT183" t="s">
        <v>2641</v>
      </c>
      <c r="NU183" s="185" t="s">
        <v>2640</v>
      </c>
      <c r="NV183" s="220" t="s">
        <v>518</v>
      </c>
      <c r="NW183">
        <v>8088.5309999999999</v>
      </c>
      <c r="NX183" s="220" t="s">
        <v>520</v>
      </c>
      <c r="NY183" s="3">
        <v>1641.8509999999997</v>
      </c>
      <c r="NZ183" s="220"/>
      <c r="OA183" s="220"/>
      <c r="OB183" s="185">
        <v>4</v>
      </c>
      <c r="OC183" s="185"/>
      <c r="OD183" s="185"/>
      <c r="OE183" s="185"/>
      <c r="OF183" s="185"/>
      <c r="OG183" s="185"/>
      <c r="OH183" s="185"/>
      <c r="OI183" s="185"/>
      <c r="OJ183" s="185"/>
      <c r="OK183" s="185"/>
      <c r="OL183" s="185"/>
      <c r="OM183" s="133"/>
      <c r="ON183" s="133"/>
      <c r="OO183" s="133"/>
      <c r="OP183" s="133"/>
      <c r="OQ183" s="133"/>
      <c r="OR183" s="133"/>
      <c r="OS183" s="133"/>
      <c r="OT183" s="133"/>
      <c r="OU183" s="185" t="s">
        <v>2620</v>
      </c>
      <c r="OV183" s="185"/>
      <c r="OW183" s="185">
        <v>2007</v>
      </c>
      <c r="OX183" s="185" t="s">
        <v>1049</v>
      </c>
      <c r="OY183" s="185" t="s">
        <v>1049</v>
      </c>
      <c r="OZ183" s="185">
        <v>7.1</v>
      </c>
      <c r="PA183" s="185"/>
      <c r="PB183" t="s">
        <v>2619</v>
      </c>
      <c r="PC183" s="50">
        <v>46176</v>
      </c>
      <c r="PD183" t="s">
        <v>2618</v>
      </c>
      <c r="PE183" t="s">
        <v>1049</v>
      </c>
      <c r="PF183" t="s">
        <v>1049</v>
      </c>
      <c r="PG183" t="s">
        <v>1049</v>
      </c>
      <c r="PH183" t="s">
        <v>1049</v>
      </c>
    </row>
    <row r="184" spans="1:424" ht="17.25" thickBot="1">
      <c r="A184" s="205" t="s">
        <v>665</v>
      </c>
      <c r="B184" s="2" t="s">
        <v>2635</v>
      </c>
      <c r="C184" s="2" t="s">
        <v>2634</v>
      </c>
      <c r="D184" s="88" t="s">
        <v>480</v>
      </c>
      <c r="E184" s="2" t="s">
        <v>2633</v>
      </c>
      <c r="F184" s="88" t="s">
        <v>474</v>
      </c>
      <c r="G184" s="2" t="s">
        <v>475</v>
      </c>
      <c r="H184" s="2" t="s">
        <v>476</v>
      </c>
      <c r="I184" s="88">
        <v>10.566667000000001</v>
      </c>
      <c r="J184" s="88">
        <v>106</v>
      </c>
      <c r="K184" s="88">
        <v>800</v>
      </c>
      <c r="L184" s="2"/>
      <c r="M184" s="88"/>
      <c r="N184" s="2"/>
      <c r="O184" s="2"/>
      <c r="P184" s="2"/>
      <c r="Q184" s="2"/>
      <c r="R184" s="2"/>
      <c r="S184" s="2"/>
      <c r="T184" s="2"/>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2" t="s">
        <v>2632</v>
      </c>
      <c r="AW184" s="2">
        <f t="shared" si="0"/>
        <v>90</v>
      </c>
      <c r="AX184" s="2" t="s">
        <v>480</v>
      </c>
      <c r="AY184" s="2">
        <v>8</v>
      </c>
      <c r="AZ184" s="185" t="s">
        <v>2631</v>
      </c>
      <c r="BA184" s="185">
        <v>2001</v>
      </c>
      <c r="BB184" s="185">
        <v>2008</v>
      </c>
      <c r="BC184" s="185"/>
      <c r="BD184" t="s">
        <v>2637</v>
      </c>
      <c r="BE184" t="s">
        <v>566</v>
      </c>
      <c r="BF184" s="185" t="s">
        <v>484</v>
      </c>
      <c r="BG184" s="185" t="s">
        <v>1501</v>
      </c>
      <c r="BH184" s="79" t="s">
        <v>480</v>
      </c>
      <c r="BI184" s="206" t="s">
        <v>1503</v>
      </c>
      <c r="BJ184" s="283">
        <v>150</v>
      </c>
      <c r="BK184" s="185" t="s">
        <v>555</v>
      </c>
      <c r="BL184" s="185" t="s">
        <v>2630</v>
      </c>
      <c r="BM184" s="185" t="s">
        <v>480</v>
      </c>
      <c r="BN184" s="206" t="s">
        <v>1503</v>
      </c>
      <c r="BO184" s="185">
        <v>17.5</v>
      </c>
      <c r="BP184" s="185" t="s">
        <v>555</v>
      </c>
      <c r="BQ184" s="185" t="s">
        <v>1501</v>
      </c>
      <c r="BR184" s="185" t="s">
        <v>480</v>
      </c>
      <c r="BS184" s="206" t="s">
        <v>1503</v>
      </c>
      <c r="BT184" s="283">
        <v>150</v>
      </c>
      <c r="BU184" s="3"/>
      <c r="BV184" s="3"/>
      <c r="BW184" s="3"/>
      <c r="BX184" s="3"/>
      <c r="BY184" s="3"/>
      <c r="BZ184" s="3"/>
      <c r="CA184" s="3"/>
      <c r="CB184" s="3"/>
      <c r="CC184" s="3"/>
      <c r="CD184" s="3"/>
      <c r="CE184" s="3"/>
      <c r="CF184" s="3"/>
      <c r="CG184" s="3"/>
      <c r="CH184" s="3"/>
      <c r="CI184" s="3"/>
      <c r="CJ184" s="3"/>
      <c r="CK184" s="3"/>
      <c r="CL184" s="3"/>
      <c r="CM184" s="3"/>
      <c r="CN184" s="3"/>
      <c r="CO184" s="3"/>
      <c r="CP184" s="3"/>
      <c r="CQ184" s="3"/>
      <c r="CR184" s="3"/>
      <c r="CS184" s="3"/>
      <c r="CT184" s="3"/>
      <c r="CU184" s="3"/>
      <c r="CV184" s="3"/>
      <c r="CW184" s="3"/>
      <c r="CX184" s="3"/>
      <c r="CY184" s="3"/>
      <c r="CZ184" s="3"/>
      <c r="DA184" s="3"/>
      <c r="DB184" s="3"/>
      <c r="DC184" s="3"/>
      <c r="DD184" s="3"/>
      <c r="DE184" s="3"/>
      <c r="DF184" s="3"/>
      <c r="DG184" s="3"/>
      <c r="DH184" s="3"/>
      <c r="DI184" s="3"/>
      <c r="DJ184" s="3"/>
      <c r="DK184" s="3"/>
      <c r="DL184" s="3"/>
      <c r="DM184" s="3"/>
      <c r="DN184" s="3"/>
      <c r="DO184" s="3"/>
      <c r="DP184" s="3"/>
      <c r="DQ184" s="3"/>
      <c r="DR184" s="3"/>
      <c r="DS184" s="3"/>
      <c r="DT184" s="3"/>
      <c r="DU184" s="3"/>
      <c r="DV184" s="3"/>
      <c r="DW184" s="3"/>
      <c r="DX184" s="3"/>
      <c r="DY184" s="3"/>
      <c r="DZ184" s="3"/>
      <c r="EA184" s="3"/>
      <c r="EB184" s="3"/>
      <c r="EC184" s="3"/>
      <c r="ED184" s="2"/>
      <c r="EE184" s="185"/>
      <c r="EF184" s="185"/>
      <c r="EG184" s="185"/>
      <c r="EH184" s="185"/>
      <c r="EI184" s="185"/>
      <c r="EJ184" s="185"/>
      <c r="EK184" s="185"/>
      <c r="EL184" s="3"/>
      <c r="EM184" s="3"/>
      <c r="EN184" s="3"/>
      <c r="EO184" s="3"/>
      <c r="EP184" s="3"/>
      <c r="EQ184" s="3"/>
      <c r="ER184" s="3"/>
      <c r="ES184" s="3"/>
      <c r="ET184" s="3"/>
      <c r="EU184" s="3"/>
      <c r="EV184" s="3"/>
      <c r="EW184" s="3"/>
      <c r="EX184" s="3"/>
      <c r="EY184" s="3"/>
      <c r="EZ184" s="3"/>
      <c r="FA184" s="3"/>
      <c r="FB184" s="3"/>
      <c r="FC184" s="3"/>
      <c r="FD184" s="3"/>
      <c r="FE184" s="3"/>
      <c r="FF184" s="3"/>
      <c r="FG184" s="3"/>
      <c r="FH184" s="3"/>
      <c r="FI184" s="3"/>
      <c r="FJ184" s="3"/>
      <c r="FK184" s="3"/>
      <c r="FL184" s="3"/>
      <c r="FM184" s="3"/>
      <c r="FN184" s="3"/>
      <c r="FO184" s="3"/>
      <c r="FP184" s="3"/>
      <c r="FQ184" s="3"/>
      <c r="FR184" s="3"/>
      <c r="FS184" s="3"/>
      <c r="FT184" s="3"/>
      <c r="FU184" s="3"/>
      <c r="FV184" s="3"/>
      <c r="FW184" s="3"/>
      <c r="FX184" s="3"/>
      <c r="FY184" s="3"/>
      <c r="FZ184" s="3"/>
      <c r="GA184" s="3"/>
      <c r="GB184" s="3"/>
      <c r="GC184" s="3"/>
      <c r="GD184" s="3"/>
      <c r="GE184" s="3"/>
      <c r="GF184" s="3"/>
      <c r="GG184" s="3"/>
      <c r="GH184" s="3"/>
      <c r="GI184" s="3"/>
      <c r="GJ184" s="3"/>
      <c r="GK184" s="3"/>
      <c r="GL184" s="3"/>
      <c r="GM184" s="3"/>
      <c r="GN184" s="3"/>
      <c r="GO184" s="3"/>
      <c r="GP184" s="3"/>
      <c r="GQ184" s="3"/>
      <c r="GR184" s="3"/>
      <c r="GS184" s="3"/>
      <c r="GT184" s="3"/>
      <c r="GU184" s="3"/>
      <c r="GV184" s="3"/>
      <c r="GW184" s="3"/>
      <c r="GX184" s="3"/>
      <c r="GY184" s="3"/>
      <c r="GZ184" s="3"/>
      <c r="HA184" s="3"/>
      <c r="HB184" s="3"/>
      <c r="HC184" s="3"/>
      <c r="HD184" s="3"/>
      <c r="HE184" s="3"/>
      <c r="HF184" s="3"/>
      <c r="HG184" s="3"/>
      <c r="HH184" s="3"/>
      <c r="HI184" s="3"/>
      <c r="HJ184" s="3"/>
      <c r="HK184" s="185"/>
      <c r="HL184" s="185"/>
      <c r="HM184" s="185"/>
      <c r="HN184" s="185"/>
      <c r="HO184" s="185"/>
      <c r="HP184" s="185"/>
      <c r="HQ184" s="185"/>
      <c r="HR184" s="185"/>
      <c r="HS184" s="206"/>
      <c r="HT184" s="185"/>
      <c r="HU184" s="185"/>
      <c r="HV184" s="185"/>
      <c r="HW184" s="185"/>
      <c r="HX184" s="215"/>
      <c r="HY184" s="185"/>
      <c r="HZ184" s="185"/>
      <c r="IA184" s="185"/>
      <c r="IB184" s="185"/>
      <c r="IC184" s="185"/>
      <c r="ID184" s="185"/>
      <c r="IE184" s="185"/>
      <c r="IF184" s="185"/>
      <c r="IG184" s="185"/>
      <c r="IH184" s="185"/>
      <c r="II184" s="148"/>
      <c r="IJ184" s="148"/>
      <c r="IK184" s="210"/>
      <c r="IL184" s="185"/>
      <c r="IM184" s="185"/>
      <c r="IN184" s="185"/>
      <c r="IO184" t="s">
        <v>2637</v>
      </c>
      <c r="IP184" s="185" t="s">
        <v>2639</v>
      </c>
      <c r="IQ184" s="185"/>
      <c r="IR184" s="185"/>
      <c r="IS184" s="185">
        <v>2001</v>
      </c>
      <c r="IT184" s="214" t="s">
        <v>2645</v>
      </c>
      <c r="IU184" s="185" t="s">
        <v>480</v>
      </c>
      <c r="IV184" s="185"/>
      <c r="IW184" s="185"/>
      <c r="IX184" s="2"/>
      <c r="IY184" s="2"/>
      <c r="IZ184" s="2"/>
      <c r="JA184" s="2"/>
      <c r="JB184" s="2"/>
      <c r="JC184" s="2"/>
      <c r="JD184" s="2"/>
      <c r="JE184" s="2"/>
      <c r="JF184" s="2"/>
      <c r="JG184" s="2"/>
      <c r="JH184" s="2"/>
      <c r="JI184" s="2"/>
      <c r="JJ184" s="2" t="s">
        <v>2628</v>
      </c>
      <c r="JK184" s="2" t="s">
        <v>494</v>
      </c>
      <c r="JL184" s="151" t="s">
        <v>495</v>
      </c>
      <c r="JM184" s="282" t="s">
        <v>2627</v>
      </c>
      <c r="JN184" s="206"/>
      <c r="JO184" s="185"/>
      <c r="JP184" s="206" t="s">
        <v>508</v>
      </c>
      <c r="JQ184" s="185">
        <f>100*2+40</f>
        <v>240</v>
      </c>
      <c r="JR184" s="185">
        <f>45*2+30</f>
        <v>120</v>
      </c>
      <c r="JS184" s="185">
        <f>30*2+60</f>
        <v>120</v>
      </c>
      <c r="JT184" s="185"/>
      <c r="JU184" s="185"/>
      <c r="JV184" s="140"/>
      <c r="JW184" s="140"/>
      <c r="JX184" s="206"/>
      <c r="JY184" s="185"/>
      <c r="JZ184" s="206"/>
      <c r="KA184" s="185"/>
      <c r="KB184" s="185"/>
      <c r="KC184" s="185"/>
      <c r="KD184" s="206"/>
      <c r="KE184" s="206"/>
      <c r="KF184" s="148"/>
      <c r="KG184" s="216"/>
      <c r="KH184" s="185"/>
      <c r="KI184" s="185"/>
      <c r="KJ184" s="185"/>
      <c r="KK184" s="185"/>
      <c r="KL184" s="206"/>
      <c r="KM184" s="185"/>
      <c r="KN184" s="148"/>
      <c r="KO184" s="216"/>
      <c r="KP184" s="185"/>
      <c r="KQ184" s="185"/>
      <c r="KR184" s="148"/>
      <c r="KS184" s="216"/>
      <c r="KT184" s="185"/>
      <c r="KU184" s="185"/>
      <c r="KV184" s="185"/>
      <c r="KW184" s="3"/>
      <c r="KX184" s="3"/>
      <c r="KY184" s="3"/>
      <c r="KZ184" s="3"/>
      <c r="LA184" s="206"/>
      <c r="LB184" s="206"/>
      <c r="LC184" s="206"/>
      <c r="LD184" s="206"/>
      <c r="LE184" s="206"/>
      <c r="LF184" s="206"/>
      <c r="LG184" s="134"/>
      <c r="LH184" s="206"/>
      <c r="LI184" s="206"/>
      <c r="LJ184" s="206"/>
      <c r="LK184" s="206"/>
      <c r="LL184" s="206"/>
      <c r="LM184" s="206"/>
      <c r="LN184" s="185"/>
      <c r="LO184" s="185"/>
      <c r="LP184" s="185"/>
      <c r="LQ184" s="185"/>
      <c r="LR184" s="185"/>
      <c r="LS184" s="185"/>
      <c r="LT184" s="185"/>
      <c r="LU184" s="185"/>
      <c r="LV184" s="144"/>
      <c r="LW184" s="2"/>
      <c r="LX184" s="2"/>
      <c r="LY184" s="2"/>
      <c r="LZ184" s="2"/>
      <c r="MA184" s="2"/>
      <c r="ME184" s="2"/>
      <c r="MF184" s="185"/>
      <c r="MG184" s="185"/>
      <c r="MH184" s="185"/>
      <c r="MI184" s="2"/>
      <c r="MJ184" s="2"/>
      <c r="MK184" s="2"/>
      <c r="ML184" s="2"/>
      <c r="MM184" s="2"/>
      <c r="MN184" s="2"/>
      <c r="MO184" s="2"/>
      <c r="MP184" s="2"/>
      <c r="MQ184" s="185"/>
      <c r="MR184" s="185"/>
      <c r="MS184" s="185"/>
      <c r="MT184" s="185"/>
      <c r="MU184" s="185"/>
      <c r="MV184" s="185"/>
      <c r="MW184" s="185"/>
      <c r="MX184" s="185"/>
      <c r="MY184" s="211" t="s">
        <v>2626</v>
      </c>
      <c r="MZ184" s="281">
        <f t="shared" si="1"/>
        <v>90</v>
      </c>
      <c r="NA184" t="s">
        <v>2625</v>
      </c>
      <c r="NB184" t="s">
        <v>2625</v>
      </c>
      <c r="NH184" t="s">
        <v>711</v>
      </c>
      <c r="NI184" s="185"/>
      <c r="NJ184" s="185" t="s">
        <v>2647</v>
      </c>
      <c r="NK184" s="185" t="s">
        <v>2648</v>
      </c>
      <c r="NL184" t="s">
        <v>2647</v>
      </c>
      <c r="NM184" t="s">
        <v>2646</v>
      </c>
      <c r="NN184" s="185"/>
      <c r="NO184" s="185"/>
      <c r="NP184" s="185"/>
      <c r="NQ184" s="185"/>
      <c r="NR184" s="185"/>
      <c r="NS184" s="185"/>
      <c r="NT184" t="s">
        <v>2637</v>
      </c>
      <c r="NU184" s="185" t="s">
        <v>2636</v>
      </c>
      <c r="NV184" s="220" t="s">
        <v>518</v>
      </c>
      <c r="NW184">
        <v>9319.92</v>
      </c>
      <c r="NX184" s="220" t="s">
        <v>520</v>
      </c>
      <c r="NY184" s="220">
        <v>410.46199999999953</v>
      </c>
      <c r="NZ184" s="220"/>
      <c r="OA184" s="220"/>
      <c r="OB184" s="185">
        <v>4</v>
      </c>
      <c r="OC184" s="185"/>
      <c r="OD184" s="185"/>
      <c r="OE184" s="185"/>
      <c r="OF184" s="185"/>
      <c r="OG184" s="185"/>
      <c r="OH184" s="185"/>
      <c r="OI184" s="185"/>
      <c r="OJ184" s="185"/>
      <c r="OK184" s="185"/>
      <c r="OL184" s="185"/>
      <c r="OM184" s="133"/>
      <c r="ON184" s="133"/>
      <c r="OO184" s="133"/>
      <c r="OP184" s="133"/>
      <c r="OQ184" s="133"/>
      <c r="OR184" s="133"/>
      <c r="OS184" s="133"/>
      <c r="OT184" s="133"/>
      <c r="OU184" s="185" t="s">
        <v>2620</v>
      </c>
      <c r="OV184" s="185"/>
      <c r="OW184" s="185">
        <v>2007</v>
      </c>
      <c r="OX184" s="185" t="s">
        <v>1049</v>
      </c>
      <c r="OY184" s="185" t="s">
        <v>1049</v>
      </c>
      <c r="OZ184" s="185">
        <v>7.1</v>
      </c>
      <c r="PA184" s="185"/>
      <c r="PB184" t="s">
        <v>2619</v>
      </c>
      <c r="PC184" s="50">
        <v>46176</v>
      </c>
      <c r="PD184" t="s">
        <v>2618</v>
      </c>
      <c r="PE184" t="s">
        <v>1049</v>
      </c>
      <c r="PF184" t="s">
        <v>1049</v>
      </c>
      <c r="PG184" t="s">
        <v>1049</v>
      </c>
      <c r="PH184" t="s">
        <v>1049</v>
      </c>
    </row>
    <row r="185" spans="1:424" ht="17.25" thickBot="1">
      <c r="A185" s="205" t="s">
        <v>665</v>
      </c>
      <c r="B185" s="2" t="s">
        <v>2635</v>
      </c>
      <c r="C185" s="2" t="s">
        <v>2634</v>
      </c>
      <c r="D185" s="88" t="s">
        <v>480</v>
      </c>
      <c r="E185" s="2" t="s">
        <v>2633</v>
      </c>
      <c r="F185" s="88" t="s">
        <v>474</v>
      </c>
      <c r="G185" s="2" t="s">
        <v>475</v>
      </c>
      <c r="H185" s="2" t="s">
        <v>476</v>
      </c>
      <c r="I185" s="88">
        <v>10.566667000000001</v>
      </c>
      <c r="J185" s="88">
        <v>106</v>
      </c>
      <c r="K185" s="88">
        <v>800</v>
      </c>
      <c r="L185" s="2"/>
      <c r="M185" s="88"/>
      <c r="N185" s="2"/>
      <c r="O185" s="2"/>
      <c r="P185" s="2"/>
      <c r="Q185" s="2"/>
      <c r="R185" s="2"/>
      <c r="S185" s="2"/>
      <c r="T185" s="2"/>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2" t="s">
        <v>2632</v>
      </c>
      <c r="AW185" s="2">
        <f t="shared" si="0"/>
        <v>90</v>
      </c>
      <c r="AX185" s="2" t="s">
        <v>480</v>
      </c>
      <c r="AY185" s="2">
        <v>8</v>
      </c>
      <c r="AZ185" s="185" t="s">
        <v>2631</v>
      </c>
      <c r="BA185" s="185">
        <v>2001</v>
      </c>
      <c r="BB185" s="185">
        <v>2008</v>
      </c>
      <c r="BC185" s="185"/>
      <c r="BD185" t="s">
        <v>2622</v>
      </c>
      <c r="BE185" t="s">
        <v>572</v>
      </c>
      <c r="BF185" s="185" t="s">
        <v>484</v>
      </c>
      <c r="BG185" s="185" t="s">
        <v>1501</v>
      </c>
      <c r="BH185" s="79" t="s">
        <v>480</v>
      </c>
      <c r="BI185" s="206" t="s">
        <v>1503</v>
      </c>
      <c r="BJ185" s="283">
        <v>150</v>
      </c>
      <c r="BK185" s="185" t="s">
        <v>555</v>
      </c>
      <c r="BL185" s="185" t="s">
        <v>2630</v>
      </c>
      <c r="BM185" s="185" t="s">
        <v>480</v>
      </c>
      <c r="BN185" s="206" t="s">
        <v>1503</v>
      </c>
      <c r="BO185" s="185">
        <v>17.5</v>
      </c>
      <c r="BP185" s="185" t="s">
        <v>555</v>
      </c>
      <c r="BQ185" s="185" t="s">
        <v>485</v>
      </c>
      <c r="BR185" s="185" t="s">
        <v>480</v>
      </c>
      <c r="BS185" s="206" t="s">
        <v>1503</v>
      </c>
      <c r="BT185" s="185">
        <v>37.5</v>
      </c>
      <c r="BU185" s="3"/>
      <c r="BV185" s="3"/>
      <c r="BW185" s="3"/>
      <c r="BX185" s="3"/>
      <c r="BY185" s="3"/>
      <c r="BZ185" s="3"/>
      <c r="CA185" s="3"/>
      <c r="CB185" s="3"/>
      <c r="CC185" s="3"/>
      <c r="CD185" s="3"/>
      <c r="CE185" s="3"/>
      <c r="CF185" s="3"/>
      <c r="CG185" s="3"/>
      <c r="CH185" s="3"/>
      <c r="CI185" s="3"/>
      <c r="CJ185" s="3"/>
      <c r="CK185" s="3"/>
      <c r="CL185" s="3"/>
      <c r="CM185" s="3"/>
      <c r="CN185" s="3"/>
      <c r="CO185" s="3"/>
      <c r="CP185" s="3"/>
      <c r="CQ185" s="3"/>
      <c r="CR185" s="3"/>
      <c r="CS185" s="3"/>
      <c r="CT185" s="3"/>
      <c r="CU185" s="3"/>
      <c r="CV185" s="3"/>
      <c r="CW185" s="3"/>
      <c r="CX185" s="3"/>
      <c r="CY185" s="3"/>
      <c r="CZ185" s="3"/>
      <c r="DA185" s="3"/>
      <c r="DB185" s="3"/>
      <c r="DC185" s="3"/>
      <c r="DD185" s="3"/>
      <c r="DE185" s="3"/>
      <c r="DF185" s="3"/>
      <c r="DG185" s="3"/>
      <c r="DH185" s="3"/>
      <c r="DI185" s="3"/>
      <c r="DJ185" s="3"/>
      <c r="DK185" s="3"/>
      <c r="DL185" s="3"/>
      <c r="DM185" s="3"/>
      <c r="DN185" s="3"/>
      <c r="DO185" s="3"/>
      <c r="DP185" s="3"/>
      <c r="DQ185" s="3"/>
      <c r="DR185" s="3"/>
      <c r="DS185" s="3"/>
      <c r="DT185" s="3"/>
      <c r="DU185" s="3"/>
      <c r="DV185" s="3"/>
      <c r="DW185" s="3"/>
      <c r="DX185" s="3"/>
      <c r="DY185" s="3"/>
      <c r="DZ185" s="3"/>
      <c r="EA185" s="3"/>
      <c r="EB185" s="3"/>
      <c r="EC185" s="3"/>
      <c r="ED185" s="2"/>
      <c r="EE185" s="185"/>
      <c r="EF185" s="185"/>
      <c r="EG185" s="185"/>
      <c r="EH185" s="185"/>
      <c r="EI185" s="185"/>
      <c r="EJ185" s="185"/>
      <c r="EK185" s="185"/>
      <c r="EL185" s="3"/>
      <c r="EM185" s="3"/>
      <c r="EN185" s="3"/>
      <c r="EO185" s="3"/>
      <c r="EP185" s="3"/>
      <c r="EQ185" s="3"/>
      <c r="ER185" s="3"/>
      <c r="ES185" s="3"/>
      <c r="ET185" s="3"/>
      <c r="EU185" s="3"/>
      <c r="EV185" s="3"/>
      <c r="EW185" s="3"/>
      <c r="EX185" s="3"/>
      <c r="EY185" s="3"/>
      <c r="EZ185" s="3"/>
      <c r="FA185" s="3"/>
      <c r="FB185" s="3"/>
      <c r="FC185" s="3"/>
      <c r="FD185" s="3"/>
      <c r="FE185" s="3"/>
      <c r="FF185" s="3"/>
      <c r="FG185" s="3"/>
      <c r="FH185" s="3"/>
      <c r="FI185" s="3"/>
      <c r="FJ185" s="3"/>
      <c r="FK185" s="3"/>
      <c r="FL185" s="3"/>
      <c r="FM185" s="3"/>
      <c r="FN185" s="3"/>
      <c r="FO185" s="3"/>
      <c r="FP185" s="3"/>
      <c r="FQ185" s="3"/>
      <c r="FR185" s="3"/>
      <c r="FS185" s="3"/>
      <c r="FT185" s="3"/>
      <c r="FU185" s="3"/>
      <c r="FV185" s="3"/>
      <c r="FW185" s="3"/>
      <c r="FX185" s="3"/>
      <c r="FY185" s="3"/>
      <c r="FZ185" s="3"/>
      <c r="GA185" s="3"/>
      <c r="GB185" s="3"/>
      <c r="GC185" s="3"/>
      <c r="GD185" s="3"/>
      <c r="GE185" s="3"/>
      <c r="GF185" s="3"/>
      <c r="GG185" s="3"/>
      <c r="GH185" s="3"/>
      <c r="GI185" s="3"/>
      <c r="GJ185" s="3"/>
      <c r="GK185" s="3"/>
      <c r="GL185" s="3"/>
      <c r="GM185" s="3"/>
      <c r="GN185" s="3"/>
      <c r="GO185" s="3"/>
      <c r="GP185" s="3"/>
      <c r="GQ185" s="3"/>
      <c r="GR185" s="3"/>
      <c r="GS185" s="3"/>
      <c r="GT185" s="3"/>
      <c r="GU185" s="3"/>
      <c r="GV185" s="3"/>
      <c r="GW185" s="3"/>
      <c r="GX185" s="3"/>
      <c r="GY185" s="3"/>
      <c r="GZ185" s="3"/>
      <c r="HA185" s="3"/>
      <c r="HB185" s="3"/>
      <c r="HC185" s="3"/>
      <c r="HD185" s="3"/>
      <c r="HE185" s="3"/>
      <c r="HF185" s="3"/>
      <c r="HG185" s="3"/>
      <c r="HH185" s="3"/>
      <c r="HI185" s="3"/>
      <c r="HJ185" s="3"/>
      <c r="HK185" s="185"/>
      <c r="HL185" s="185"/>
      <c r="HM185" s="185"/>
      <c r="HN185" s="185"/>
      <c r="HO185" s="185"/>
      <c r="HP185" s="185"/>
      <c r="HQ185" s="185"/>
      <c r="HR185" s="185"/>
      <c r="HS185" s="206"/>
      <c r="HT185" s="185"/>
      <c r="HU185" s="185"/>
      <c r="HV185" s="185"/>
      <c r="HW185" s="185"/>
      <c r="HX185" s="215"/>
      <c r="HY185" s="185"/>
      <c r="HZ185" s="185"/>
      <c r="IA185" s="185"/>
      <c r="IB185" s="185"/>
      <c r="IC185" s="185"/>
      <c r="ID185" s="185"/>
      <c r="IE185" s="185"/>
      <c r="IF185" s="185"/>
      <c r="IG185" s="185"/>
      <c r="IH185" s="185"/>
      <c r="II185" s="148"/>
      <c r="IJ185" s="148"/>
      <c r="IK185" s="210"/>
      <c r="IL185" s="185"/>
      <c r="IM185" s="185"/>
      <c r="IN185" s="185"/>
      <c r="IO185" t="s">
        <v>2622</v>
      </c>
      <c r="IP185" s="185" t="s">
        <v>1280</v>
      </c>
      <c r="IQ185" s="185"/>
      <c r="IR185" s="185"/>
      <c r="IS185" s="185">
        <v>2001</v>
      </c>
      <c r="IT185" s="214" t="s">
        <v>2642</v>
      </c>
      <c r="IU185" s="185" t="s">
        <v>480</v>
      </c>
      <c r="IV185" s="185"/>
      <c r="IW185" s="185"/>
      <c r="IX185" s="2"/>
      <c r="IY185" s="2"/>
      <c r="IZ185" s="2"/>
      <c r="JA185" s="2"/>
      <c r="JB185" s="2"/>
      <c r="JC185" s="2"/>
      <c r="JD185" s="2"/>
      <c r="JE185" s="2"/>
      <c r="JF185" s="2"/>
      <c r="JG185" s="2"/>
      <c r="JH185" s="2"/>
      <c r="JI185" s="2"/>
      <c r="JJ185" s="2" t="s">
        <v>2628</v>
      </c>
      <c r="JK185" s="2" t="s">
        <v>494</v>
      </c>
      <c r="JL185" s="151" t="s">
        <v>495</v>
      </c>
      <c r="JM185" s="282" t="s">
        <v>2627</v>
      </c>
      <c r="JN185" s="206"/>
      <c r="JO185" s="185"/>
      <c r="JP185" s="206" t="s">
        <v>508</v>
      </c>
      <c r="JQ185" s="185">
        <f>100+140+40</f>
        <v>280</v>
      </c>
      <c r="JR185" s="185">
        <f>45+50+30</f>
        <v>125</v>
      </c>
      <c r="JS185" s="185">
        <f>30+30+60</f>
        <v>120</v>
      </c>
      <c r="JT185" s="185"/>
      <c r="JU185" s="185"/>
      <c r="JV185" s="140"/>
      <c r="JW185" s="140"/>
      <c r="JX185" s="206"/>
      <c r="JY185" s="185"/>
      <c r="JZ185" s="206"/>
      <c r="KA185" s="185"/>
      <c r="KB185" s="185"/>
      <c r="KC185" s="185"/>
      <c r="KD185" s="206"/>
      <c r="KE185" s="206"/>
      <c r="KF185" s="148"/>
      <c r="KG185" s="216"/>
      <c r="KH185" s="185"/>
      <c r="KI185" s="185"/>
      <c r="KJ185" s="185"/>
      <c r="KK185" s="185"/>
      <c r="KL185" s="206"/>
      <c r="KM185" s="185"/>
      <c r="KN185" s="148"/>
      <c r="KO185" s="216"/>
      <c r="KP185" s="185"/>
      <c r="KQ185" s="185"/>
      <c r="KR185" s="148"/>
      <c r="KS185" s="216"/>
      <c r="KT185" s="185"/>
      <c r="KU185" s="185"/>
      <c r="KV185" s="185"/>
      <c r="KW185" s="3"/>
      <c r="KX185" s="3"/>
      <c r="KY185" s="3"/>
      <c r="KZ185" s="3"/>
      <c r="LA185" s="206"/>
      <c r="LB185" s="206"/>
      <c r="LC185" s="206"/>
      <c r="LD185" s="206"/>
      <c r="LE185" s="206"/>
      <c r="LF185" s="206"/>
      <c r="LG185" s="134"/>
      <c r="LH185" s="206"/>
      <c r="LI185" s="206"/>
      <c r="LJ185" s="206"/>
      <c r="LK185" s="206"/>
      <c r="LL185" s="206"/>
      <c r="LM185" s="206"/>
      <c r="LN185" s="185"/>
      <c r="LO185" s="185"/>
      <c r="LP185" s="185"/>
      <c r="LQ185" s="185"/>
      <c r="LR185" s="185"/>
      <c r="LS185" s="185"/>
      <c r="LT185" s="185"/>
      <c r="LU185" s="185"/>
      <c r="LV185" s="144"/>
      <c r="LW185" s="2"/>
      <c r="LX185" s="2"/>
      <c r="LY185" s="2"/>
      <c r="LZ185" s="2"/>
      <c r="MA185" s="2"/>
      <c r="ME185" s="2"/>
      <c r="MF185" s="185"/>
      <c r="MG185" s="185"/>
      <c r="MH185" s="185"/>
      <c r="MI185" s="2"/>
      <c r="MJ185" s="2"/>
      <c r="MK185" s="2"/>
      <c r="ML185" s="2"/>
      <c r="MM185" s="2"/>
      <c r="MN185" s="2"/>
      <c r="MO185" s="2"/>
      <c r="MP185" s="2"/>
      <c r="MQ185" s="185"/>
      <c r="MR185" s="185"/>
      <c r="MS185" s="185"/>
      <c r="MT185" s="185"/>
      <c r="MU185" s="185"/>
      <c r="MV185" s="185"/>
      <c r="MW185" s="185"/>
      <c r="MX185" s="185"/>
      <c r="MY185" s="211" t="s">
        <v>2626</v>
      </c>
      <c r="MZ185" s="281">
        <f t="shared" si="1"/>
        <v>90</v>
      </c>
      <c r="NA185" t="s">
        <v>2625</v>
      </c>
      <c r="NB185" t="s">
        <v>2625</v>
      </c>
      <c r="NH185" t="s">
        <v>711</v>
      </c>
      <c r="NI185" s="185"/>
      <c r="NJ185" s="185" t="s">
        <v>2647</v>
      </c>
      <c r="NK185" s="185" t="s">
        <v>2648</v>
      </c>
      <c r="NL185" t="s">
        <v>2647</v>
      </c>
      <c r="NM185" t="s">
        <v>2646</v>
      </c>
      <c r="NN185" s="185"/>
      <c r="NO185" s="185"/>
      <c r="NP185" s="185"/>
      <c r="NQ185" s="185"/>
      <c r="NR185" s="185"/>
      <c r="NS185" s="185"/>
      <c r="NT185" t="s">
        <v>2622</v>
      </c>
      <c r="NU185" s="185" t="s">
        <v>2621</v>
      </c>
      <c r="NV185" s="220" t="s">
        <v>518</v>
      </c>
      <c r="NW185">
        <v>3018.1089999999999</v>
      </c>
      <c r="NX185" s="220" t="s">
        <v>520</v>
      </c>
      <c r="NY185" s="220">
        <v>820.92500000000018</v>
      </c>
      <c r="NZ185" s="220"/>
      <c r="OA185" s="220"/>
      <c r="OB185" s="185">
        <v>4</v>
      </c>
      <c r="OC185" s="185"/>
      <c r="OD185" s="185"/>
      <c r="OE185" s="185"/>
      <c r="OF185" s="185"/>
      <c r="OG185" s="185"/>
      <c r="OH185" s="185"/>
      <c r="OI185" s="185"/>
      <c r="OJ185" s="185"/>
      <c r="OK185" s="185"/>
      <c r="OL185" s="185"/>
      <c r="OM185" s="133"/>
      <c r="ON185" s="133"/>
      <c r="OO185" s="133"/>
      <c r="OP185" s="133"/>
      <c r="OQ185" s="133"/>
      <c r="OR185" s="133"/>
      <c r="OS185" s="133"/>
      <c r="OT185" s="133"/>
      <c r="OU185" s="185" t="s">
        <v>2620</v>
      </c>
      <c r="OV185" s="185"/>
      <c r="OW185" s="185">
        <v>2007</v>
      </c>
      <c r="OX185" s="185" t="s">
        <v>1049</v>
      </c>
      <c r="OY185" s="185" t="s">
        <v>1049</v>
      </c>
      <c r="OZ185" s="185">
        <v>7.1</v>
      </c>
      <c r="PA185" s="185"/>
      <c r="PB185" t="s">
        <v>2619</v>
      </c>
      <c r="PC185" s="50">
        <v>46176</v>
      </c>
      <c r="PD185" t="s">
        <v>2618</v>
      </c>
      <c r="PE185" t="s">
        <v>1049</v>
      </c>
      <c r="PF185" t="s">
        <v>1049</v>
      </c>
      <c r="PG185" t="s">
        <v>1049</v>
      </c>
      <c r="PH185" t="s">
        <v>1049</v>
      </c>
    </row>
    <row r="186" spans="1:424" ht="17.25" thickBot="1">
      <c r="A186" s="205" t="s">
        <v>665</v>
      </c>
      <c r="B186" s="2" t="s">
        <v>2635</v>
      </c>
      <c r="C186" s="2" t="s">
        <v>2634</v>
      </c>
      <c r="D186" s="88" t="s">
        <v>480</v>
      </c>
      <c r="E186" s="2" t="s">
        <v>2633</v>
      </c>
      <c r="F186" s="88" t="s">
        <v>474</v>
      </c>
      <c r="G186" s="2" t="s">
        <v>475</v>
      </c>
      <c r="H186" s="2" t="s">
        <v>476</v>
      </c>
      <c r="I186" s="88">
        <v>10.566667000000001</v>
      </c>
      <c r="J186" s="88">
        <v>106</v>
      </c>
      <c r="K186" s="88">
        <v>800</v>
      </c>
      <c r="L186" s="2"/>
      <c r="M186" s="88"/>
      <c r="N186" s="2"/>
      <c r="O186" s="2"/>
      <c r="P186" s="2"/>
      <c r="Q186" s="2"/>
      <c r="R186" s="2"/>
      <c r="S186" s="2"/>
      <c r="T186" s="2"/>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2" t="s">
        <v>2632</v>
      </c>
      <c r="AW186" s="2">
        <f t="shared" si="0"/>
        <v>90</v>
      </c>
      <c r="AX186" s="2" t="s">
        <v>480</v>
      </c>
      <c r="AY186" s="2">
        <v>8</v>
      </c>
      <c r="AZ186" s="185" t="s">
        <v>2631</v>
      </c>
      <c r="BA186" s="185">
        <v>2001</v>
      </c>
      <c r="BB186" s="185">
        <v>2008</v>
      </c>
      <c r="BC186" s="185"/>
      <c r="BD186" t="s">
        <v>2644</v>
      </c>
      <c r="BE186" s="51" t="s">
        <v>524</v>
      </c>
      <c r="BF186" s="185" t="s">
        <v>484</v>
      </c>
      <c r="BG186" s="185" t="s">
        <v>1501</v>
      </c>
      <c r="BH186" s="79" t="s">
        <v>480</v>
      </c>
      <c r="BI186" s="206" t="s">
        <v>1503</v>
      </c>
      <c r="BJ186" s="283">
        <v>150</v>
      </c>
      <c r="BK186" s="185" t="s">
        <v>555</v>
      </c>
      <c r="BL186" s="185" t="s">
        <v>1501</v>
      </c>
      <c r="BM186" s="185" t="s">
        <v>480</v>
      </c>
      <c r="BN186" s="206" t="s">
        <v>1503</v>
      </c>
      <c r="BO186" s="283">
        <v>150</v>
      </c>
      <c r="BP186" s="185" t="s">
        <v>555</v>
      </c>
      <c r="BQ186" s="185" t="s">
        <v>1501</v>
      </c>
      <c r="BR186" s="185" t="s">
        <v>480</v>
      </c>
      <c r="BS186" s="206" t="s">
        <v>1503</v>
      </c>
      <c r="BT186" s="283">
        <v>150</v>
      </c>
      <c r="BU186" s="3"/>
      <c r="BV186" s="3"/>
      <c r="BW186" s="3"/>
      <c r="BX186" s="3"/>
      <c r="BY186" s="3"/>
      <c r="BZ186" s="3"/>
      <c r="CA186" s="3"/>
      <c r="CB186" s="3"/>
      <c r="CC186" s="3"/>
      <c r="CD186" s="3"/>
      <c r="CE186" s="3"/>
      <c r="CF186" s="3"/>
      <c r="CG186" s="3"/>
      <c r="CH186" s="3"/>
      <c r="CI186" s="3"/>
      <c r="CJ186" s="3"/>
      <c r="CK186" s="3"/>
      <c r="CL186" s="3"/>
      <c r="CM186" s="3"/>
      <c r="CN186" s="3"/>
      <c r="CO186" s="3"/>
      <c r="CP186" s="3"/>
      <c r="CQ186" s="3"/>
      <c r="CR186" s="3"/>
      <c r="CS186" s="3"/>
      <c r="CT186" s="3"/>
      <c r="CU186" s="3"/>
      <c r="CV186" s="3"/>
      <c r="CW186" s="3"/>
      <c r="CX186" s="3"/>
      <c r="CY186" s="3"/>
      <c r="CZ186" s="3"/>
      <c r="DA186" s="3"/>
      <c r="DB186" s="3"/>
      <c r="DC186" s="3"/>
      <c r="DD186" s="3"/>
      <c r="DE186" s="3"/>
      <c r="DF186" s="3"/>
      <c r="DG186" s="3"/>
      <c r="DH186" s="3"/>
      <c r="DI186" s="3"/>
      <c r="DJ186" s="3"/>
      <c r="DK186" s="3"/>
      <c r="DL186" s="3"/>
      <c r="DM186" s="3"/>
      <c r="DN186" s="3"/>
      <c r="DO186" s="3"/>
      <c r="DP186" s="3"/>
      <c r="DQ186" s="3"/>
      <c r="DR186" s="3"/>
      <c r="DS186" s="3"/>
      <c r="DT186" s="3"/>
      <c r="DU186" s="3"/>
      <c r="DV186" s="3"/>
      <c r="DW186" s="3"/>
      <c r="DX186" s="3"/>
      <c r="DY186" s="3"/>
      <c r="DZ186" s="3"/>
      <c r="EA186" s="3"/>
      <c r="EB186" s="3"/>
      <c r="EC186" s="3"/>
      <c r="ED186" s="2"/>
      <c r="EE186" s="185"/>
      <c r="EF186" s="185"/>
      <c r="EG186" s="185"/>
      <c r="EH186" s="185"/>
      <c r="EI186" s="185"/>
      <c r="EJ186" s="185"/>
      <c r="EK186" s="185"/>
      <c r="EL186" s="3"/>
      <c r="EM186" s="3"/>
      <c r="EN186" s="3"/>
      <c r="EO186" s="3"/>
      <c r="EP186" s="3"/>
      <c r="EQ186" s="3"/>
      <c r="ER186" s="3"/>
      <c r="ES186" s="3"/>
      <c r="ET186" s="3"/>
      <c r="EU186" s="3"/>
      <c r="EV186" s="3"/>
      <c r="EW186" s="3"/>
      <c r="EX186" s="3"/>
      <c r="EY186" s="3"/>
      <c r="EZ186" s="3"/>
      <c r="FA186" s="3"/>
      <c r="FB186" s="3"/>
      <c r="FC186" s="3"/>
      <c r="FD186" s="3"/>
      <c r="FE186" s="3"/>
      <c r="FF186" s="3"/>
      <c r="FG186" s="3"/>
      <c r="FH186" s="3"/>
      <c r="FI186" s="3"/>
      <c r="FJ186" s="3"/>
      <c r="FK186" s="3"/>
      <c r="FL186" s="3"/>
      <c r="FM186" s="3"/>
      <c r="FN186" s="3"/>
      <c r="FO186" s="3"/>
      <c r="FP186" s="3"/>
      <c r="FQ186" s="3"/>
      <c r="FR186" s="3"/>
      <c r="FS186" s="3"/>
      <c r="FT186" s="3"/>
      <c r="FU186" s="3"/>
      <c r="FV186" s="3"/>
      <c r="FW186" s="3"/>
      <c r="FX186" s="3"/>
      <c r="FY186" s="3"/>
      <c r="FZ186" s="3"/>
      <c r="GA186" s="3"/>
      <c r="GB186" s="3"/>
      <c r="GC186" s="3"/>
      <c r="GD186" s="3"/>
      <c r="GE186" s="3"/>
      <c r="GF186" s="3"/>
      <c r="GG186" s="3"/>
      <c r="GH186" s="3"/>
      <c r="GI186" s="3"/>
      <c r="GJ186" s="3"/>
      <c r="GK186" s="3"/>
      <c r="GL186" s="3"/>
      <c r="GM186" s="3"/>
      <c r="GN186" s="3"/>
      <c r="GO186" s="3"/>
      <c r="GP186" s="3"/>
      <c r="GQ186" s="3"/>
      <c r="GR186" s="3"/>
      <c r="GS186" s="3"/>
      <c r="GT186" s="3"/>
      <c r="GU186" s="3"/>
      <c r="GV186" s="3"/>
      <c r="GW186" s="3"/>
      <c r="GX186" s="3"/>
      <c r="GY186" s="3"/>
      <c r="GZ186" s="3"/>
      <c r="HA186" s="3"/>
      <c r="HB186" s="3"/>
      <c r="HC186" s="3"/>
      <c r="HD186" s="3"/>
      <c r="HE186" s="3"/>
      <c r="HF186" s="3"/>
      <c r="HG186" s="3"/>
      <c r="HH186" s="3"/>
      <c r="HI186" s="3"/>
      <c r="HJ186" s="3"/>
      <c r="HK186" s="185"/>
      <c r="HL186" s="185"/>
      <c r="HM186" s="185"/>
      <c r="HN186" s="185"/>
      <c r="HO186" s="185"/>
      <c r="HP186" s="185"/>
      <c r="HQ186" s="185"/>
      <c r="HR186" s="185"/>
      <c r="HS186" s="206"/>
      <c r="HT186" s="185"/>
      <c r="HU186" s="185"/>
      <c r="HV186" s="185"/>
      <c r="HW186" s="185"/>
      <c r="HX186" s="215"/>
      <c r="HY186" s="185"/>
      <c r="HZ186" s="185"/>
      <c r="IA186" s="185"/>
      <c r="IB186" s="185"/>
      <c r="IC186" s="185"/>
      <c r="ID186" s="185"/>
      <c r="IE186" s="185"/>
      <c r="IF186" s="185"/>
      <c r="IG186" s="185"/>
      <c r="IH186" s="185"/>
      <c r="II186" s="148"/>
      <c r="IJ186" s="148"/>
      <c r="IK186" s="210"/>
      <c r="IL186" s="185"/>
      <c r="IM186" s="185"/>
      <c r="IN186" s="185"/>
      <c r="IO186" t="s">
        <v>2644</v>
      </c>
      <c r="IP186" s="185" t="s">
        <v>492</v>
      </c>
      <c r="IQ186" s="185"/>
      <c r="IR186" s="185"/>
      <c r="IS186" s="185">
        <v>2001</v>
      </c>
      <c r="IT186" s="214" t="s">
        <v>2645</v>
      </c>
      <c r="IU186" s="185" t="s">
        <v>480</v>
      </c>
      <c r="IV186" s="185"/>
      <c r="IW186" s="185"/>
      <c r="IX186" s="2"/>
      <c r="IY186" s="2"/>
      <c r="IZ186" s="2"/>
      <c r="JA186" s="2"/>
      <c r="JB186" s="2"/>
      <c r="JC186" s="2"/>
      <c r="JD186" s="2"/>
      <c r="JE186" s="2"/>
      <c r="JF186" s="2"/>
      <c r="JG186" s="2"/>
      <c r="JH186" s="2"/>
      <c r="JI186" s="2"/>
      <c r="JJ186" s="2" t="s">
        <v>2628</v>
      </c>
      <c r="JK186" s="2" t="s">
        <v>494</v>
      </c>
      <c r="JL186" s="151" t="s">
        <v>495</v>
      </c>
      <c r="JM186" s="282" t="s">
        <v>2627</v>
      </c>
      <c r="JN186" s="206"/>
      <c r="JO186" s="185"/>
      <c r="JP186" s="206" t="s">
        <v>508</v>
      </c>
      <c r="JQ186" s="185">
        <f>100*3</f>
        <v>300</v>
      </c>
      <c r="JR186" s="185">
        <f>45*3</f>
        <v>135</v>
      </c>
      <c r="JS186" s="185">
        <f>30*3</f>
        <v>90</v>
      </c>
      <c r="JT186" s="185"/>
      <c r="JU186" s="185"/>
      <c r="JV186" s="140"/>
      <c r="JW186" s="140"/>
      <c r="JX186" s="206"/>
      <c r="JY186" s="185"/>
      <c r="JZ186" s="206"/>
      <c r="KA186" s="185"/>
      <c r="KB186" s="185"/>
      <c r="KC186" s="185"/>
      <c r="KD186" s="206"/>
      <c r="KE186" s="206"/>
      <c r="KF186" s="148"/>
      <c r="KG186" s="216"/>
      <c r="KH186" s="185"/>
      <c r="KI186" s="185"/>
      <c r="KJ186" s="185"/>
      <c r="KK186" s="185"/>
      <c r="KL186" s="206"/>
      <c r="KM186" s="185"/>
      <c r="KN186" s="148"/>
      <c r="KO186" s="216"/>
      <c r="KP186" s="185"/>
      <c r="KQ186" s="185"/>
      <c r="KR186" s="148"/>
      <c r="KS186" s="216"/>
      <c r="KT186" s="185"/>
      <c r="KU186" s="185"/>
      <c r="KV186" s="185"/>
      <c r="KW186" s="3"/>
      <c r="KX186" s="3"/>
      <c r="KY186" s="3"/>
      <c r="KZ186" s="3"/>
      <c r="LA186" s="206"/>
      <c r="LB186" s="206"/>
      <c r="LC186" s="206"/>
      <c r="LD186" s="206"/>
      <c r="LE186" s="206"/>
      <c r="LF186" s="206"/>
      <c r="LG186" s="134"/>
      <c r="LH186" s="206"/>
      <c r="LI186" s="206"/>
      <c r="LJ186" s="206"/>
      <c r="LK186" s="206"/>
      <c r="LL186" s="206"/>
      <c r="LM186" s="206"/>
      <c r="LN186" s="185"/>
      <c r="LO186" s="185"/>
      <c r="LP186" s="185"/>
      <c r="LQ186" s="185"/>
      <c r="LR186" s="185"/>
      <c r="LS186" s="185"/>
      <c r="LT186" s="185"/>
      <c r="LU186" s="185"/>
      <c r="LV186" s="144"/>
      <c r="LW186" s="2"/>
      <c r="LX186" s="2"/>
      <c r="LY186" s="2"/>
      <c r="LZ186" s="2"/>
      <c r="MA186" s="2"/>
      <c r="ME186" s="2"/>
      <c r="MF186" s="185"/>
      <c r="MG186" s="185"/>
      <c r="MH186" s="185"/>
      <c r="MI186" s="2"/>
      <c r="MJ186" s="2"/>
      <c r="MK186" s="2"/>
      <c r="ML186" s="2"/>
      <c r="MM186" s="2"/>
      <c r="MN186" s="2"/>
      <c r="MO186" s="2"/>
      <c r="MP186" s="2"/>
      <c r="MQ186" s="185"/>
      <c r="MR186" s="185"/>
      <c r="MS186" s="185"/>
      <c r="MT186" s="185"/>
      <c r="MU186" s="185"/>
      <c r="MV186" s="185"/>
      <c r="MW186" s="185"/>
      <c r="MX186" s="185"/>
      <c r="MY186" s="211" t="s">
        <v>2626</v>
      </c>
      <c r="MZ186" s="281">
        <f t="shared" si="1"/>
        <v>90</v>
      </c>
      <c r="NA186" t="s">
        <v>2625</v>
      </c>
      <c r="NB186" t="s">
        <v>2625</v>
      </c>
      <c r="NH186" t="s">
        <v>711</v>
      </c>
      <c r="NI186" s="185"/>
      <c r="NJ186" s="185" t="s">
        <v>1380</v>
      </c>
      <c r="NK186" s="185" t="s">
        <v>2624</v>
      </c>
      <c r="NL186" t="s">
        <v>1380</v>
      </c>
      <c r="NM186" t="s">
        <v>2623</v>
      </c>
      <c r="NN186" s="185"/>
      <c r="NO186" s="185"/>
      <c r="NP186" s="185"/>
      <c r="NQ186" s="185"/>
      <c r="NR186" s="185"/>
      <c r="NS186" s="185"/>
      <c r="NT186" t="s">
        <v>2644</v>
      </c>
      <c r="NU186" s="185"/>
      <c r="NV186" s="220" t="s">
        <v>518</v>
      </c>
      <c r="NW186">
        <v>6.806</v>
      </c>
      <c r="NX186" s="220" t="s">
        <v>520</v>
      </c>
      <c r="NY186" s="185">
        <v>0.16000000000000014</v>
      </c>
      <c r="NZ186" s="220"/>
      <c r="OA186" s="220"/>
      <c r="OB186" s="185">
        <v>4</v>
      </c>
      <c r="OC186" s="185"/>
      <c r="OD186" s="185"/>
      <c r="OE186" s="185"/>
      <c r="OF186" s="185"/>
      <c r="OG186" s="185"/>
      <c r="OH186" s="185"/>
      <c r="OI186" s="185"/>
      <c r="OJ186" s="185"/>
      <c r="OK186" s="185"/>
      <c r="OL186" s="185"/>
      <c r="OM186" s="133"/>
      <c r="ON186" s="133"/>
      <c r="OO186" s="133"/>
      <c r="OP186" s="133"/>
      <c r="OQ186" s="133"/>
      <c r="OR186" s="133"/>
      <c r="OS186" s="133"/>
      <c r="OT186" s="133"/>
      <c r="OU186" s="185" t="s">
        <v>2620</v>
      </c>
      <c r="OV186" s="185"/>
      <c r="OW186" s="185">
        <v>2007</v>
      </c>
      <c r="OX186" s="185" t="s">
        <v>1049</v>
      </c>
      <c r="OY186" s="185" t="s">
        <v>1049</v>
      </c>
      <c r="OZ186" s="185">
        <v>7.1</v>
      </c>
      <c r="PA186" s="185"/>
      <c r="PB186" t="s">
        <v>2619</v>
      </c>
      <c r="PC186" s="50">
        <v>46176</v>
      </c>
      <c r="PD186" t="s">
        <v>2618</v>
      </c>
      <c r="PE186" t="s">
        <v>1049</v>
      </c>
      <c r="PF186" t="s">
        <v>1049</v>
      </c>
      <c r="PG186" t="s">
        <v>1049</v>
      </c>
      <c r="PH186" t="s">
        <v>1049</v>
      </c>
    </row>
    <row r="187" spans="1:424" ht="17.25" thickBot="1">
      <c r="A187" s="205" t="s">
        <v>665</v>
      </c>
      <c r="B187" s="2" t="s">
        <v>2635</v>
      </c>
      <c r="C187" s="2" t="s">
        <v>2634</v>
      </c>
      <c r="D187" s="88" t="s">
        <v>480</v>
      </c>
      <c r="E187" s="2" t="s">
        <v>2633</v>
      </c>
      <c r="F187" s="88" t="s">
        <v>474</v>
      </c>
      <c r="G187" s="2" t="s">
        <v>475</v>
      </c>
      <c r="H187" s="2" t="s">
        <v>476</v>
      </c>
      <c r="I187" s="88">
        <v>10.566667000000001</v>
      </c>
      <c r="J187" s="88">
        <v>106</v>
      </c>
      <c r="K187" s="88">
        <v>800</v>
      </c>
      <c r="L187" s="2"/>
      <c r="M187" s="88"/>
      <c r="N187" s="2"/>
      <c r="O187" s="2"/>
      <c r="P187" s="2"/>
      <c r="Q187" s="2"/>
      <c r="R187" s="2"/>
      <c r="S187" s="2"/>
      <c r="T187" s="2"/>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2" t="s">
        <v>2632</v>
      </c>
      <c r="AW187" s="2">
        <f t="shared" si="0"/>
        <v>90</v>
      </c>
      <c r="AX187" s="2" t="s">
        <v>480</v>
      </c>
      <c r="AY187" s="2">
        <v>8</v>
      </c>
      <c r="AZ187" s="185" t="s">
        <v>2631</v>
      </c>
      <c r="BA187" s="185">
        <v>2001</v>
      </c>
      <c r="BB187" s="185">
        <v>2008</v>
      </c>
      <c r="BC187" s="185"/>
      <c r="BD187" t="s">
        <v>2641</v>
      </c>
      <c r="BE187" s="51" t="s">
        <v>536</v>
      </c>
      <c r="BF187" s="185" t="s">
        <v>484</v>
      </c>
      <c r="BG187" s="185" t="s">
        <v>1501</v>
      </c>
      <c r="BH187" s="79" t="s">
        <v>480</v>
      </c>
      <c r="BI187" s="206" t="s">
        <v>1503</v>
      </c>
      <c r="BJ187" s="283">
        <v>150</v>
      </c>
      <c r="BK187" s="185" t="s">
        <v>555</v>
      </c>
      <c r="BL187" s="185" t="s">
        <v>485</v>
      </c>
      <c r="BM187" s="185" t="s">
        <v>480</v>
      </c>
      <c r="BN187" s="206" t="s">
        <v>1503</v>
      </c>
      <c r="BO187" s="185">
        <v>37.5</v>
      </c>
      <c r="BP187" s="185" t="s">
        <v>555</v>
      </c>
      <c r="BQ187" s="185" t="s">
        <v>1501</v>
      </c>
      <c r="BR187" s="185" t="s">
        <v>480</v>
      </c>
      <c r="BS187" s="206" t="s">
        <v>1503</v>
      </c>
      <c r="BT187" s="283">
        <v>150</v>
      </c>
      <c r="BU187" s="3"/>
      <c r="BV187" s="3"/>
      <c r="BW187" s="3"/>
      <c r="BX187" s="3"/>
      <c r="BY187" s="3"/>
      <c r="BZ187" s="3"/>
      <c r="CA187" s="3"/>
      <c r="CB187" s="3"/>
      <c r="CC187" s="3"/>
      <c r="CD187" s="3"/>
      <c r="CE187" s="3"/>
      <c r="CF187" s="3"/>
      <c r="CG187" s="3"/>
      <c r="CH187" s="3"/>
      <c r="CI187" s="3"/>
      <c r="CJ187" s="3"/>
      <c r="CK187" s="3"/>
      <c r="CL187" s="3"/>
      <c r="CM187" s="3"/>
      <c r="CN187" s="3"/>
      <c r="CO187" s="3"/>
      <c r="CP187" s="3"/>
      <c r="CQ187" s="3"/>
      <c r="CR187" s="3"/>
      <c r="CS187" s="3"/>
      <c r="CT187" s="3"/>
      <c r="CU187" s="3"/>
      <c r="CV187" s="3"/>
      <c r="CW187" s="3"/>
      <c r="CX187" s="3"/>
      <c r="CY187" s="3"/>
      <c r="CZ187" s="3"/>
      <c r="DA187" s="3"/>
      <c r="DB187" s="3"/>
      <c r="DC187" s="3"/>
      <c r="DD187" s="3"/>
      <c r="DE187" s="3"/>
      <c r="DF187" s="3"/>
      <c r="DG187" s="3"/>
      <c r="DH187" s="3"/>
      <c r="DI187" s="3"/>
      <c r="DJ187" s="3"/>
      <c r="DK187" s="3"/>
      <c r="DL187" s="3"/>
      <c r="DM187" s="3"/>
      <c r="DN187" s="3"/>
      <c r="DO187" s="3"/>
      <c r="DP187" s="3"/>
      <c r="DQ187" s="3"/>
      <c r="DR187" s="3"/>
      <c r="DS187" s="3"/>
      <c r="DT187" s="3"/>
      <c r="DU187" s="3"/>
      <c r="DV187" s="3"/>
      <c r="DW187" s="3"/>
      <c r="DX187" s="3"/>
      <c r="DY187" s="3"/>
      <c r="DZ187" s="3"/>
      <c r="EA187" s="3"/>
      <c r="EB187" s="3"/>
      <c r="EC187" s="3"/>
      <c r="ED187" s="2"/>
      <c r="EE187" s="185"/>
      <c r="EF187" s="185"/>
      <c r="EG187" s="185"/>
      <c r="EH187" s="185"/>
      <c r="EI187" s="185"/>
      <c r="EJ187" s="185"/>
      <c r="EK187" s="185"/>
      <c r="EL187" s="3"/>
      <c r="EM187" s="3"/>
      <c r="EN187" s="3"/>
      <c r="EO187" s="3"/>
      <c r="EP187" s="3"/>
      <c r="EQ187" s="3"/>
      <c r="ER187" s="3"/>
      <c r="ES187" s="3"/>
      <c r="ET187" s="3"/>
      <c r="EU187" s="3"/>
      <c r="EV187" s="3"/>
      <c r="EW187" s="3"/>
      <c r="EX187" s="3"/>
      <c r="EY187" s="3"/>
      <c r="EZ187" s="3"/>
      <c r="FA187" s="3"/>
      <c r="FB187" s="3"/>
      <c r="FC187" s="3"/>
      <c r="FD187" s="3"/>
      <c r="FE187" s="3"/>
      <c r="FF187" s="3"/>
      <c r="FG187" s="3"/>
      <c r="FH187" s="3"/>
      <c r="FI187" s="3"/>
      <c r="FJ187" s="3"/>
      <c r="FK187" s="3"/>
      <c r="FL187" s="3"/>
      <c r="FM187" s="3"/>
      <c r="FN187" s="3"/>
      <c r="FO187" s="3"/>
      <c r="FP187" s="3"/>
      <c r="FQ187" s="3"/>
      <c r="FR187" s="3"/>
      <c r="FS187" s="3"/>
      <c r="FT187" s="3"/>
      <c r="FU187" s="3"/>
      <c r="FV187" s="3"/>
      <c r="FW187" s="3"/>
      <c r="FX187" s="3"/>
      <c r="FY187" s="3"/>
      <c r="FZ187" s="3"/>
      <c r="GA187" s="3"/>
      <c r="GB187" s="3"/>
      <c r="GC187" s="3"/>
      <c r="GD187" s="3"/>
      <c r="GE187" s="3"/>
      <c r="GF187" s="3"/>
      <c r="GG187" s="3"/>
      <c r="GH187" s="3"/>
      <c r="GI187" s="3"/>
      <c r="GJ187" s="3"/>
      <c r="GK187" s="3"/>
      <c r="GL187" s="3"/>
      <c r="GM187" s="3"/>
      <c r="GN187" s="3"/>
      <c r="GO187" s="3"/>
      <c r="GP187" s="3"/>
      <c r="GQ187" s="3"/>
      <c r="GR187" s="3"/>
      <c r="GS187" s="3"/>
      <c r="GT187" s="3"/>
      <c r="GU187" s="3"/>
      <c r="GV187" s="3"/>
      <c r="GW187" s="3"/>
      <c r="GX187" s="3"/>
      <c r="GY187" s="3"/>
      <c r="GZ187" s="3"/>
      <c r="HA187" s="3"/>
      <c r="HB187" s="3"/>
      <c r="HC187" s="3"/>
      <c r="HD187" s="3"/>
      <c r="HE187" s="3"/>
      <c r="HF187" s="3"/>
      <c r="HG187" s="3"/>
      <c r="HH187" s="3"/>
      <c r="HI187" s="3"/>
      <c r="HJ187" s="3"/>
      <c r="HK187" s="185"/>
      <c r="HL187" s="185"/>
      <c r="HM187" s="185"/>
      <c r="HN187" s="185"/>
      <c r="HO187" s="185"/>
      <c r="HP187" s="185"/>
      <c r="HQ187" s="185"/>
      <c r="HR187" s="185"/>
      <c r="HS187" s="206"/>
      <c r="HT187" s="185"/>
      <c r="HU187" s="185"/>
      <c r="HV187" s="185"/>
      <c r="HW187" s="185"/>
      <c r="HX187" s="215"/>
      <c r="HY187" s="185"/>
      <c r="HZ187" s="185"/>
      <c r="IA187" s="185"/>
      <c r="IB187" s="185"/>
      <c r="IC187" s="185"/>
      <c r="ID187" s="185"/>
      <c r="IE187" s="185"/>
      <c r="IF187" s="185"/>
      <c r="IG187" s="185"/>
      <c r="IH187" s="185"/>
      <c r="II187" s="148"/>
      <c r="IJ187" s="148"/>
      <c r="IK187" s="210"/>
      <c r="IL187" s="185"/>
      <c r="IM187" s="185"/>
      <c r="IN187" s="185"/>
      <c r="IO187" t="s">
        <v>2641</v>
      </c>
      <c r="IP187" s="185" t="s">
        <v>2643</v>
      </c>
      <c r="IQ187" s="185"/>
      <c r="IR187" s="185"/>
      <c r="IS187" s="185">
        <v>2001</v>
      </c>
      <c r="IT187" s="214" t="s">
        <v>2642</v>
      </c>
      <c r="IU187" s="185" t="s">
        <v>480</v>
      </c>
      <c r="IV187" s="185"/>
      <c r="IW187" s="185"/>
      <c r="IX187" s="2"/>
      <c r="IY187" s="2"/>
      <c r="IZ187" s="2"/>
      <c r="JA187" s="2"/>
      <c r="JB187" s="2"/>
      <c r="JC187" s="2"/>
      <c r="JD187" s="2"/>
      <c r="JE187" s="2"/>
      <c r="JF187" s="2"/>
      <c r="JG187" s="2"/>
      <c r="JH187" s="2"/>
      <c r="JI187" s="2"/>
      <c r="JJ187" s="2" t="s">
        <v>2628</v>
      </c>
      <c r="JK187" s="2" t="s">
        <v>494</v>
      </c>
      <c r="JL187" s="151" t="s">
        <v>495</v>
      </c>
      <c r="JM187" s="282" t="s">
        <v>2627</v>
      </c>
      <c r="JN187" s="206"/>
      <c r="JO187" s="185"/>
      <c r="JP187" s="206" t="s">
        <v>508</v>
      </c>
      <c r="JQ187" s="185">
        <f>100*2+140</f>
        <v>340</v>
      </c>
      <c r="JR187" s="185">
        <f>45*2+50</f>
        <v>140</v>
      </c>
      <c r="JS187" s="185">
        <f>30*2+30</f>
        <v>90</v>
      </c>
      <c r="JT187" s="185"/>
      <c r="JU187" s="185"/>
      <c r="JV187" s="140"/>
      <c r="JW187" s="140"/>
      <c r="JX187" s="206"/>
      <c r="JY187" s="185"/>
      <c r="JZ187" s="206"/>
      <c r="KA187" s="185"/>
      <c r="KB187" s="185"/>
      <c r="KC187" s="185"/>
      <c r="KD187" s="206"/>
      <c r="KE187" s="206"/>
      <c r="KF187" s="148"/>
      <c r="KG187" s="216"/>
      <c r="KH187" s="185"/>
      <c r="KI187" s="185"/>
      <c r="KJ187" s="185"/>
      <c r="KK187" s="185"/>
      <c r="KL187" s="206"/>
      <c r="KM187" s="185"/>
      <c r="KN187" s="148"/>
      <c r="KO187" s="216"/>
      <c r="KP187" s="185"/>
      <c r="KQ187" s="185"/>
      <c r="KR187" s="148"/>
      <c r="KS187" s="216"/>
      <c r="KT187" s="185"/>
      <c r="KU187" s="185"/>
      <c r="KV187" s="185"/>
      <c r="KW187" s="3"/>
      <c r="KX187" s="3"/>
      <c r="KY187" s="3"/>
      <c r="KZ187" s="3"/>
      <c r="LA187" s="206"/>
      <c r="LB187" s="206"/>
      <c r="LC187" s="206"/>
      <c r="LD187" s="206"/>
      <c r="LE187" s="206"/>
      <c r="LF187" s="206"/>
      <c r="LG187" s="134"/>
      <c r="LH187" s="206"/>
      <c r="LI187" s="206"/>
      <c r="LJ187" s="206"/>
      <c r="LK187" s="206"/>
      <c r="LL187" s="206"/>
      <c r="LM187" s="206"/>
      <c r="LN187" s="185"/>
      <c r="LO187" s="185"/>
      <c r="LP187" s="185"/>
      <c r="LQ187" s="185"/>
      <c r="LR187" s="185"/>
      <c r="LS187" s="185"/>
      <c r="LT187" s="185"/>
      <c r="LU187" s="185"/>
      <c r="LV187" s="144"/>
      <c r="LW187" s="2"/>
      <c r="LX187" s="2"/>
      <c r="LY187" s="2"/>
      <c r="LZ187" s="2"/>
      <c r="MA187" s="2"/>
      <c r="ME187" s="2"/>
      <c r="MF187" s="185"/>
      <c r="MG187" s="185"/>
      <c r="MH187" s="185"/>
      <c r="MI187" s="2"/>
      <c r="MJ187" s="2"/>
      <c r="MK187" s="2"/>
      <c r="ML187" s="2"/>
      <c r="MM187" s="2"/>
      <c r="MN187" s="2"/>
      <c r="MO187" s="2"/>
      <c r="MP187" s="2"/>
      <c r="MQ187" s="185"/>
      <c r="MR187" s="185"/>
      <c r="MS187" s="185"/>
      <c r="MT187" s="185"/>
      <c r="MU187" s="185"/>
      <c r="MV187" s="185"/>
      <c r="MW187" s="185"/>
      <c r="MX187" s="185"/>
      <c r="MY187" s="211" t="s">
        <v>2626</v>
      </c>
      <c r="MZ187" s="281">
        <f t="shared" si="1"/>
        <v>90</v>
      </c>
      <c r="NA187" t="s">
        <v>2625</v>
      </c>
      <c r="NB187" t="s">
        <v>2625</v>
      </c>
      <c r="NH187" t="s">
        <v>711</v>
      </c>
      <c r="NI187" s="185"/>
      <c r="NJ187" s="185" t="s">
        <v>1380</v>
      </c>
      <c r="NK187" s="185" t="s">
        <v>2624</v>
      </c>
      <c r="NL187" t="s">
        <v>1380</v>
      </c>
      <c r="NM187" t="s">
        <v>2623</v>
      </c>
      <c r="NN187" s="185"/>
      <c r="NO187" s="185"/>
      <c r="NP187" s="185"/>
      <c r="NQ187" s="185"/>
      <c r="NR187" s="185"/>
      <c r="NS187" s="185"/>
      <c r="NT187" t="s">
        <v>2641</v>
      </c>
      <c r="NU187" s="185" t="s">
        <v>2640</v>
      </c>
      <c r="NV187" s="220" t="s">
        <v>518</v>
      </c>
      <c r="NW187">
        <v>7.7240000000000002</v>
      </c>
      <c r="NX187" s="220" t="s">
        <v>520</v>
      </c>
      <c r="NY187" s="220">
        <v>0.13300000000000001</v>
      </c>
      <c r="NZ187" s="220"/>
      <c r="OA187" s="220"/>
      <c r="OB187" s="185">
        <v>4</v>
      </c>
      <c r="OC187" s="185"/>
      <c r="OD187" s="185"/>
      <c r="OE187" s="185"/>
      <c r="OF187" s="185"/>
      <c r="OG187" s="185"/>
      <c r="OH187" s="185"/>
      <c r="OI187" s="185"/>
      <c r="OJ187" s="185"/>
      <c r="OK187" s="185"/>
      <c r="OL187" s="185"/>
      <c r="OM187" s="133"/>
      <c r="ON187" s="133"/>
      <c r="OO187" s="133"/>
      <c r="OP187" s="133"/>
      <c r="OQ187" s="133"/>
      <c r="OR187" s="133"/>
      <c r="OS187" s="133"/>
      <c r="OT187" s="133"/>
      <c r="OU187" s="185" t="s">
        <v>2620</v>
      </c>
      <c r="OV187" s="185"/>
      <c r="OW187" s="185">
        <v>2007</v>
      </c>
      <c r="OX187" s="185" t="s">
        <v>1049</v>
      </c>
      <c r="OY187" s="185" t="s">
        <v>1049</v>
      </c>
      <c r="OZ187" s="185">
        <v>7.1</v>
      </c>
      <c r="PA187" s="185"/>
      <c r="PB187" t="s">
        <v>2619</v>
      </c>
      <c r="PC187" s="50">
        <v>46176</v>
      </c>
      <c r="PD187" t="s">
        <v>2618</v>
      </c>
      <c r="PE187" t="s">
        <v>1049</v>
      </c>
      <c r="PF187" t="s">
        <v>1049</v>
      </c>
      <c r="PG187" t="s">
        <v>1049</v>
      </c>
      <c r="PH187" t="s">
        <v>1049</v>
      </c>
    </row>
    <row r="188" spans="1:424" ht="17.25" thickBot="1">
      <c r="A188" s="205" t="s">
        <v>665</v>
      </c>
      <c r="B188" s="2" t="s">
        <v>2635</v>
      </c>
      <c r="C188" s="2" t="s">
        <v>2634</v>
      </c>
      <c r="D188" s="88" t="s">
        <v>480</v>
      </c>
      <c r="E188" s="2" t="s">
        <v>2633</v>
      </c>
      <c r="F188" s="88" t="s">
        <v>474</v>
      </c>
      <c r="G188" s="2" t="s">
        <v>475</v>
      </c>
      <c r="H188" s="2" t="s">
        <v>476</v>
      </c>
      <c r="I188" s="88">
        <v>10.566667000000001</v>
      </c>
      <c r="J188" s="88">
        <v>106</v>
      </c>
      <c r="K188" s="88">
        <v>800</v>
      </c>
      <c r="L188" s="2"/>
      <c r="M188" s="88"/>
      <c r="N188" s="2"/>
      <c r="O188" s="2"/>
      <c r="P188" s="2"/>
      <c r="Q188" s="2"/>
      <c r="R188" s="2"/>
      <c r="S188" s="2"/>
      <c r="T188" s="2"/>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2" t="s">
        <v>2632</v>
      </c>
      <c r="AW188" s="2">
        <f t="shared" si="0"/>
        <v>90</v>
      </c>
      <c r="AX188" s="2" t="s">
        <v>480</v>
      </c>
      <c r="AY188" s="2">
        <v>8</v>
      </c>
      <c r="AZ188" s="185" t="s">
        <v>2631</v>
      </c>
      <c r="BA188" s="185">
        <v>2001</v>
      </c>
      <c r="BB188" s="185">
        <v>2008</v>
      </c>
      <c r="BC188" s="185"/>
      <c r="BD188" t="s">
        <v>2637</v>
      </c>
      <c r="BE188" s="51" t="s">
        <v>566</v>
      </c>
      <c r="BF188" s="185" t="s">
        <v>484</v>
      </c>
      <c r="BG188" s="185" t="s">
        <v>1501</v>
      </c>
      <c r="BH188" s="79" t="s">
        <v>480</v>
      </c>
      <c r="BI188" s="206" t="s">
        <v>1503</v>
      </c>
      <c r="BJ188" s="283">
        <v>150</v>
      </c>
      <c r="BK188" s="185" t="s">
        <v>555</v>
      </c>
      <c r="BL188" s="185" t="s">
        <v>2630</v>
      </c>
      <c r="BM188" s="185" t="s">
        <v>480</v>
      </c>
      <c r="BN188" s="206" t="s">
        <v>1503</v>
      </c>
      <c r="BO188" s="185">
        <v>17.5</v>
      </c>
      <c r="BP188" s="185" t="s">
        <v>555</v>
      </c>
      <c r="BQ188" s="185" t="s">
        <v>1501</v>
      </c>
      <c r="BR188" s="185" t="s">
        <v>480</v>
      </c>
      <c r="BS188" s="206" t="s">
        <v>1503</v>
      </c>
      <c r="BT188" s="283">
        <v>150</v>
      </c>
      <c r="BU188" s="3"/>
      <c r="BV188" s="3"/>
      <c r="BW188" s="3"/>
      <c r="BX188" s="3"/>
      <c r="BY188" s="3"/>
      <c r="BZ188" s="3"/>
      <c r="CA188" s="3"/>
      <c r="CB188" s="3"/>
      <c r="CC188" s="3"/>
      <c r="CD188" s="3"/>
      <c r="CE188" s="3"/>
      <c r="CF188" s="3"/>
      <c r="CG188" s="3"/>
      <c r="CH188" s="3"/>
      <c r="CI188" s="3"/>
      <c r="CJ188" s="3"/>
      <c r="CK188" s="3"/>
      <c r="CL188" s="3"/>
      <c r="CM188" s="3"/>
      <c r="CN188" s="3"/>
      <c r="CO188" s="3"/>
      <c r="CP188" s="3"/>
      <c r="CQ188" s="3"/>
      <c r="CR188" s="3"/>
      <c r="CS188" s="3"/>
      <c r="CT188" s="3"/>
      <c r="CU188" s="3"/>
      <c r="CV188" s="3"/>
      <c r="CW188" s="3"/>
      <c r="CX188" s="3"/>
      <c r="CY188" s="3"/>
      <c r="CZ188" s="3"/>
      <c r="DA188" s="3"/>
      <c r="DB188" s="3"/>
      <c r="DC188" s="3"/>
      <c r="DD188" s="3"/>
      <c r="DE188" s="3"/>
      <c r="DF188" s="3"/>
      <c r="DG188" s="3"/>
      <c r="DH188" s="3"/>
      <c r="DI188" s="3"/>
      <c r="DJ188" s="3"/>
      <c r="DK188" s="3"/>
      <c r="DL188" s="3"/>
      <c r="DM188" s="3"/>
      <c r="DN188" s="3"/>
      <c r="DO188" s="3"/>
      <c r="DP188" s="3"/>
      <c r="DQ188" s="3"/>
      <c r="DR188" s="3"/>
      <c r="DS188" s="3"/>
      <c r="DT188" s="3"/>
      <c r="DU188" s="3"/>
      <c r="DV188" s="3"/>
      <c r="DW188" s="3"/>
      <c r="DX188" s="3"/>
      <c r="DY188" s="3"/>
      <c r="DZ188" s="3"/>
      <c r="EA188" s="3"/>
      <c r="EB188" s="3"/>
      <c r="EC188" s="3"/>
      <c r="ED188" s="2"/>
      <c r="EE188" s="185"/>
      <c r="EF188" s="185"/>
      <c r="EG188" s="185"/>
      <c r="EH188" s="185"/>
      <c r="EI188" s="185"/>
      <c r="EJ188" s="185"/>
      <c r="EK188" s="185"/>
      <c r="EL188" s="3"/>
      <c r="EM188" s="3"/>
      <c r="EN188" s="3"/>
      <c r="EO188" s="3"/>
      <c r="EP188" s="3"/>
      <c r="EQ188" s="3"/>
      <c r="ER188" s="3"/>
      <c r="ES188" s="3"/>
      <c r="ET188" s="3"/>
      <c r="EU188" s="3"/>
      <c r="EV188" s="3"/>
      <c r="EW188" s="3"/>
      <c r="EX188" s="3"/>
      <c r="EY188" s="3"/>
      <c r="EZ188" s="3"/>
      <c r="FA188" s="3"/>
      <c r="FB188" s="3"/>
      <c r="FC188" s="3"/>
      <c r="FD188" s="3"/>
      <c r="FE188" s="3"/>
      <c r="FF188" s="3"/>
      <c r="FG188" s="3"/>
      <c r="FH188" s="3"/>
      <c r="FI188" s="3"/>
      <c r="FJ188" s="3"/>
      <c r="FK188" s="3"/>
      <c r="FL188" s="3"/>
      <c r="FM188" s="3"/>
      <c r="FN188" s="3"/>
      <c r="FO188" s="3"/>
      <c r="FP188" s="3"/>
      <c r="FQ188" s="3"/>
      <c r="FR188" s="3"/>
      <c r="FS188" s="3"/>
      <c r="FT188" s="3"/>
      <c r="FU188" s="3"/>
      <c r="FV188" s="3"/>
      <c r="FW188" s="3"/>
      <c r="FX188" s="3"/>
      <c r="FY188" s="3"/>
      <c r="FZ188" s="3"/>
      <c r="GA188" s="3"/>
      <c r="GB188" s="3"/>
      <c r="GC188" s="3"/>
      <c r="GD188" s="3"/>
      <c r="GE188" s="3"/>
      <c r="GF188" s="3"/>
      <c r="GG188" s="3"/>
      <c r="GH188" s="3"/>
      <c r="GI188" s="3"/>
      <c r="GJ188" s="3"/>
      <c r="GK188" s="3"/>
      <c r="GL188" s="3"/>
      <c r="GM188" s="3"/>
      <c r="GN188" s="3"/>
      <c r="GO188" s="3"/>
      <c r="GP188" s="3"/>
      <c r="GQ188" s="3"/>
      <c r="GR188" s="3"/>
      <c r="GS188" s="3"/>
      <c r="GT188" s="3"/>
      <c r="GU188" s="3"/>
      <c r="GV188" s="3"/>
      <c r="GW188" s="3"/>
      <c r="GX188" s="3"/>
      <c r="GY188" s="3"/>
      <c r="GZ188" s="3"/>
      <c r="HA188" s="3"/>
      <c r="HB188" s="3"/>
      <c r="HC188" s="3"/>
      <c r="HD188" s="3"/>
      <c r="HE188" s="3"/>
      <c r="HF188" s="3"/>
      <c r="HG188" s="3"/>
      <c r="HH188" s="3"/>
      <c r="HI188" s="3"/>
      <c r="HJ188" s="3"/>
      <c r="HK188" s="185"/>
      <c r="HL188" s="185"/>
      <c r="HM188" s="185"/>
      <c r="HN188" s="185"/>
      <c r="HO188" s="185"/>
      <c r="HP188" s="185"/>
      <c r="HQ188" s="185"/>
      <c r="HR188" s="185"/>
      <c r="HS188" s="206"/>
      <c r="HT188" s="185"/>
      <c r="HU188" s="185"/>
      <c r="HV188" s="185"/>
      <c r="HW188" s="185"/>
      <c r="HX188" s="215"/>
      <c r="HY188" s="185"/>
      <c r="HZ188" s="185"/>
      <c r="IA188" s="185"/>
      <c r="IB188" s="185"/>
      <c r="IC188" s="185"/>
      <c r="ID188" s="185"/>
      <c r="IE188" s="185"/>
      <c r="IF188" s="185"/>
      <c r="IG188" s="185"/>
      <c r="IH188" s="185"/>
      <c r="II188" s="148"/>
      <c r="IJ188" s="148"/>
      <c r="IK188" s="210"/>
      <c r="IL188" s="185"/>
      <c r="IM188" s="185"/>
      <c r="IN188" s="185"/>
      <c r="IO188" t="s">
        <v>2637</v>
      </c>
      <c r="IP188" s="185" t="s">
        <v>2639</v>
      </c>
      <c r="IQ188" s="185"/>
      <c r="IR188" s="185"/>
      <c r="IS188" s="185">
        <v>2001</v>
      </c>
      <c r="IT188" s="214" t="s">
        <v>2638</v>
      </c>
      <c r="IU188" s="185" t="s">
        <v>480</v>
      </c>
      <c r="IV188" s="185"/>
      <c r="IW188" s="185"/>
      <c r="IX188" s="2"/>
      <c r="IY188" s="2"/>
      <c r="IZ188" s="2"/>
      <c r="JA188" s="2"/>
      <c r="JB188" s="2"/>
      <c r="JC188" s="2"/>
      <c r="JD188" s="2"/>
      <c r="JE188" s="2"/>
      <c r="JF188" s="2"/>
      <c r="JG188" s="2"/>
      <c r="JH188" s="2"/>
      <c r="JI188" s="2"/>
      <c r="JJ188" s="2" t="s">
        <v>2628</v>
      </c>
      <c r="JK188" s="2" t="s">
        <v>494</v>
      </c>
      <c r="JL188" s="151" t="s">
        <v>495</v>
      </c>
      <c r="JM188" s="282" t="s">
        <v>2627</v>
      </c>
      <c r="JN188" s="206"/>
      <c r="JO188" s="185"/>
      <c r="JP188" s="206" t="s">
        <v>508</v>
      </c>
      <c r="JQ188" s="185">
        <f>100*2+40</f>
        <v>240</v>
      </c>
      <c r="JR188" s="185">
        <f>45*2+30</f>
        <v>120</v>
      </c>
      <c r="JS188" s="185">
        <f>30*2+60</f>
        <v>120</v>
      </c>
      <c r="JT188" s="185"/>
      <c r="JU188" s="185"/>
      <c r="JV188" s="140"/>
      <c r="JW188" s="140"/>
      <c r="JX188" s="206"/>
      <c r="JY188" s="185"/>
      <c r="JZ188" s="206"/>
      <c r="KA188" s="185"/>
      <c r="KB188" s="185"/>
      <c r="KC188" s="185"/>
      <c r="KD188" s="206"/>
      <c r="KE188" s="206"/>
      <c r="KF188" s="148"/>
      <c r="KG188" s="216"/>
      <c r="KH188" s="185"/>
      <c r="KI188" s="185"/>
      <c r="KJ188" s="185"/>
      <c r="KK188" s="185"/>
      <c r="KL188" s="206"/>
      <c r="KM188" s="185"/>
      <c r="KN188" s="148"/>
      <c r="KO188" s="216"/>
      <c r="KP188" s="185"/>
      <c r="KQ188" s="185"/>
      <c r="KR188" s="148"/>
      <c r="KS188" s="216"/>
      <c r="KT188" s="185"/>
      <c r="KU188" s="185"/>
      <c r="KV188" s="185"/>
      <c r="KW188" s="3"/>
      <c r="KX188" s="3"/>
      <c r="KY188" s="3"/>
      <c r="KZ188" s="3"/>
      <c r="LA188" s="206"/>
      <c r="LB188" s="206"/>
      <c r="LC188" s="206"/>
      <c r="LD188" s="206"/>
      <c r="LE188" s="206"/>
      <c r="LF188" s="206"/>
      <c r="LG188" s="134"/>
      <c r="LH188" s="206"/>
      <c r="LI188" s="206"/>
      <c r="LJ188" s="206"/>
      <c r="LK188" s="206"/>
      <c r="LL188" s="206"/>
      <c r="LM188" s="206"/>
      <c r="LN188" s="185"/>
      <c r="LO188" s="185"/>
      <c r="LP188" s="185"/>
      <c r="LQ188" s="185"/>
      <c r="LR188" s="185"/>
      <c r="LS188" s="185"/>
      <c r="LT188" s="185"/>
      <c r="LU188" s="185"/>
      <c r="LV188" s="144"/>
      <c r="LW188" s="2"/>
      <c r="LX188" s="2"/>
      <c r="LY188" s="2"/>
      <c r="LZ188" s="2"/>
      <c r="MA188" s="2"/>
      <c r="ME188" s="2"/>
      <c r="MF188" s="185"/>
      <c r="MG188" s="185"/>
      <c r="MH188" s="185"/>
      <c r="MI188" s="2"/>
      <c r="MJ188" s="2"/>
      <c r="MK188" s="2"/>
      <c r="ML188" s="2"/>
      <c r="MM188" s="2"/>
      <c r="MN188" s="2"/>
      <c r="MO188" s="2"/>
      <c r="MP188" s="2"/>
      <c r="MQ188" s="185"/>
      <c r="MR188" s="185"/>
      <c r="MS188" s="185"/>
      <c r="MT188" s="185"/>
      <c r="MU188" s="185"/>
      <c r="MV188" s="185"/>
      <c r="MW188" s="185"/>
      <c r="MX188" s="185"/>
      <c r="MY188" s="211" t="s">
        <v>2626</v>
      </c>
      <c r="MZ188" s="281">
        <f t="shared" si="1"/>
        <v>90</v>
      </c>
      <c r="NA188" t="s">
        <v>2625</v>
      </c>
      <c r="NB188" t="s">
        <v>2625</v>
      </c>
      <c r="NH188" t="s">
        <v>711</v>
      </c>
      <c r="NI188" s="185"/>
      <c r="NJ188" s="185" t="s">
        <v>1380</v>
      </c>
      <c r="NK188" s="185" t="s">
        <v>2624</v>
      </c>
      <c r="NL188" t="s">
        <v>1380</v>
      </c>
      <c r="NM188" t="s">
        <v>2623</v>
      </c>
      <c r="NN188" s="185"/>
      <c r="NO188" s="185"/>
      <c r="NP188" s="185"/>
      <c r="NQ188" s="185"/>
      <c r="NR188" s="185"/>
      <c r="NS188" s="185"/>
      <c r="NT188" t="s">
        <v>2637</v>
      </c>
      <c r="NU188" s="185" t="s">
        <v>2636</v>
      </c>
      <c r="NV188" s="220" t="s">
        <v>518</v>
      </c>
      <c r="NW188">
        <v>7.843</v>
      </c>
      <c r="NX188" s="220" t="s">
        <v>520</v>
      </c>
      <c r="NY188" s="220">
        <v>1.4000000000000234E-2</v>
      </c>
      <c r="NZ188" s="220"/>
      <c r="OA188" s="220"/>
      <c r="OB188" s="185">
        <v>4</v>
      </c>
      <c r="OC188" s="185"/>
      <c r="OD188" s="185"/>
      <c r="OE188" s="185"/>
      <c r="OF188" s="185"/>
      <c r="OG188" s="185"/>
      <c r="OH188" s="185"/>
      <c r="OI188" s="185"/>
      <c r="OJ188" s="185"/>
      <c r="OK188" s="185"/>
      <c r="OL188" s="185"/>
      <c r="OM188" s="133"/>
      <c r="ON188" s="133"/>
      <c r="OO188" s="133"/>
      <c r="OP188" s="133"/>
      <c r="OQ188" s="133"/>
      <c r="OR188" s="133"/>
      <c r="OS188" s="133"/>
      <c r="OT188" s="133"/>
      <c r="OU188" s="185" t="s">
        <v>2620</v>
      </c>
      <c r="OV188" s="185"/>
      <c r="OW188" s="185">
        <v>2007</v>
      </c>
      <c r="OX188" s="185" t="s">
        <v>1049</v>
      </c>
      <c r="OY188" s="185" t="s">
        <v>1049</v>
      </c>
      <c r="OZ188" s="185">
        <v>7.1</v>
      </c>
      <c r="PA188" s="185"/>
      <c r="PB188" t="s">
        <v>2619</v>
      </c>
      <c r="PC188" s="50">
        <v>46176</v>
      </c>
      <c r="PD188" t="s">
        <v>2618</v>
      </c>
      <c r="PE188" t="s">
        <v>1049</v>
      </c>
      <c r="PF188" t="s">
        <v>1049</v>
      </c>
      <c r="PG188" t="s">
        <v>1049</v>
      </c>
      <c r="PH188" t="s">
        <v>1049</v>
      </c>
    </row>
    <row r="189" spans="1:424" ht="17.25" thickBot="1">
      <c r="A189" s="205" t="s">
        <v>665</v>
      </c>
      <c r="B189" s="2" t="s">
        <v>2635</v>
      </c>
      <c r="C189" s="2" t="s">
        <v>2634</v>
      </c>
      <c r="D189" s="88" t="s">
        <v>480</v>
      </c>
      <c r="E189" s="2" t="s">
        <v>2633</v>
      </c>
      <c r="F189" s="88" t="s">
        <v>474</v>
      </c>
      <c r="G189" s="2" t="s">
        <v>475</v>
      </c>
      <c r="H189" s="2" t="s">
        <v>476</v>
      </c>
      <c r="I189" s="88">
        <v>10.566667000000001</v>
      </c>
      <c r="J189" s="88">
        <v>106</v>
      </c>
      <c r="K189" s="88">
        <v>800</v>
      </c>
      <c r="L189" s="2"/>
      <c r="M189" s="88"/>
      <c r="N189" s="2"/>
      <c r="O189" s="2"/>
      <c r="P189" s="2"/>
      <c r="Q189" s="2"/>
      <c r="R189" s="2"/>
      <c r="S189" s="2"/>
      <c r="T189" s="2"/>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2" t="s">
        <v>2632</v>
      </c>
      <c r="AW189" s="2">
        <f t="shared" si="0"/>
        <v>90</v>
      </c>
      <c r="AX189" s="2" t="s">
        <v>480</v>
      </c>
      <c r="AY189" s="2">
        <v>8</v>
      </c>
      <c r="AZ189" s="185" t="s">
        <v>2631</v>
      </c>
      <c r="BA189" s="185">
        <v>2001</v>
      </c>
      <c r="BB189" s="185">
        <v>2008</v>
      </c>
      <c r="BC189" s="185"/>
      <c r="BD189" t="s">
        <v>2622</v>
      </c>
      <c r="BE189" s="51" t="s">
        <v>572</v>
      </c>
      <c r="BF189" s="185" t="s">
        <v>484</v>
      </c>
      <c r="BG189" s="185" t="s">
        <v>1501</v>
      </c>
      <c r="BH189" s="79" t="s">
        <v>480</v>
      </c>
      <c r="BI189" s="206" t="s">
        <v>1503</v>
      </c>
      <c r="BJ189" s="283">
        <v>150</v>
      </c>
      <c r="BK189" s="185" t="s">
        <v>555</v>
      </c>
      <c r="BL189" s="185" t="s">
        <v>2630</v>
      </c>
      <c r="BM189" s="185" t="s">
        <v>480</v>
      </c>
      <c r="BN189" s="206" t="s">
        <v>1503</v>
      </c>
      <c r="BO189" s="185">
        <v>17.5</v>
      </c>
      <c r="BP189" s="185" t="s">
        <v>555</v>
      </c>
      <c r="BQ189" s="185" t="s">
        <v>485</v>
      </c>
      <c r="BR189" s="185" t="s">
        <v>480</v>
      </c>
      <c r="BS189" s="206" t="s">
        <v>1503</v>
      </c>
      <c r="BT189" s="185">
        <v>37.5</v>
      </c>
      <c r="BU189" s="3"/>
      <c r="BV189" s="3"/>
      <c r="BW189" s="3"/>
      <c r="BX189" s="3"/>
      <c r="BY189" s="3"/>
      <c r="BZ189" s="3"/>
      <c r="CA189" s="3"/>
      <c r="CB189" s="3"/>
      <c r="CC189" s="3"/>
      <c r="CD189" s="3"/>
      <c r="CE189" s="3"/>
      <c r="CF189" s="3"/>
      <c r="CG189" s="3"/>
      <c r="CH189" s="3"/>
      <c r="CI189" s="3"/>
      <c r="CJ189" s="3"/>
      <c r="CK189" s="3"/>
      <c r="CL189" s="3"/>
      <c r="CM189" s="3"/>
      <c r="CN189" s="3"/>
      <c r="CO189" s="3"/>
      <c r="CP189" s="3"/>
      <c r="CQ189" s="3"/>
      <c r="CR189" s="3"/>
      <c r="CS189" s="3"/>
      <c r="CT189" s="3"/>
      <c r="CU189" s="3"/>
      <c r="CV189" s="3"/>
      <c r="CW189" s="3"/>
      <c r="CX189" s="3"/>
      <c r="CY189" s="3"/>
      <c r="CZ189" s="3"/>
      <c r="DA189" s="3"/>
      <c r="DB189" s="3"/>
      <c r="DC189" s="3"/>
      <c r="DD189" s="3"/>
      <c r="DE189" s="3"/>
      <c r="DF189" s="3"/>
      <c r="DG189" s="3"/>
      <c r="DH189" s="3"/>
      <c r="DI189" s="3"/>
      <c r="DJ189" s="3"/>
      <c r="DK189" s="3"/>
      <c r="DL189" s="3"/>
      <c r="DM189" s="3"/>
      <c r="DN189" s="3"/>
      <c r="DO189" s="3"/>
      <c r="DP189" s="3"/>
      <c r="DQ189" s="3"/>
      <c r="DR189" s="3"/>
      <c r="DS189" s="3"/>
      <c r="DT189" s="3"/>
      <c r="DU189" s="3"/>
      <c r="DV189" s="3"/>
      <c r="DW189" s="3"/>
      <c r="DX189" s="3"/>
      <c r="DY189" s="3"/>
      <c r="DZ189" s="3"/>
      <c r="EA189" s="3"/>
      <c r="EB189" s="3"/>
      <c r="EC189" s="3"/>
      <c r="ED189" s="2"/>
      <c r="EE189" s="185"/>
      <c r="EF189" s="185"/>
      <c r="EG189" s="185"/>
      <c r="EH189" s="185"/>
      <c r="EI189" s="185"/>
      <c r="EJ189" s="185"/>
      <c r="EK189" s="185"/>
      <c r="EL189" s="3"/>
      <c r="EM189" s="3"/>
      <c r="EN189" s="3"/>
      <c r="EO189" s="3"/>
      <c r="EP189" s="3"/>
      <c r="EQ189" s="3"/>
      <c r="ER189" s="3"/>
      <c r="ES189" s="3"/>
      <c r="ET189" s="3"/>
      <c r="EU189" s="3"/>
      <c r="EV189" s="3"/>
      <c r="EW189" s="3"/>
      <c r="EX189" s="3"/>
      <c r="EY189" s="3"/>
      <c r="EZ189" s="3"/>
      <c r="FA189" s="3"/>
      <c r="FB189" s="3"/>
      <c r="FC189" s="3"/>
      <c r="FD189" s="3"/>
      <c r="FE189" s="3"/>
      <c r="FF189" s="3"/>
      <c r="FG189" s="3"/>
      <c r="FH189" s="3"/>
      <c r="FI189" s="3"/>
      <c r="FJ189" s="3"/>
      <c r="FK189" s="3"/>
      <c r="FL189" s="3"/>
      <c r="FM189" s="3"/>
      <c r="FN189" s="3"/>
      <c r="FO189" s="3"/>
      <c r="FP189" s="3"/>
      <c r="FQ189" s="3"/>
      <c r="FR189" s="3"/>
      <c r="FS189" s="3"/>
      <c r="FT189" s="3"/>
      <c r="FU189" s="3"/>
      <c r="FV189" s="3"/>
      <c r="FW189" s="3"/>
      <c r="FX189" s="3"/>
      <c r="FY189" s="3"/>
      <c r="FZ189" s="3"/>
      <c r="GA189" s="3"/>
      <c r="GB189" s="3"/>
      <c r="GC189" s="3"/>
      <c r="GD189" s="3"/>
      <c r="GE189" s="3"/>
      <c r="GF189" s="3"/>
      <c r="GG189" s="3"/>
      <c r="GH189" s="3"/>
      <c r="GI189" s="3"/>
      <c r="GJ189" s="3"/>
      <c r="GK189" s="3"/>
      <c r="GL189" s="3"/>
      <c r="GM189" s="3"/>
      <c r="GN189" s="3"/>
      <c r="GO189" s="3"/>
      <c r="GP189" s="3"/>
      <c r="GQ189" s="3"/>
      <c r="GR189" s="3"/>
      <c r="GS189" s="3"/>
      <c r="GT189" s="3"/>
      <c r="GU189" s="3"/>
      <c r="GV189" s="3"/>
      <c r="GW189" s="3"/>
      <c r="GX189" s="3"/>
      <c r="GY189" s="3"/>
      <c r="GZ189" s="3"/>
      <c r="HA189" s="3"/>
      <c r="HB189" s="3"/>
      <c r="HC189" s="3"/>
      <c r="HD189" s="3"/>
      <c r="HE189" s="3"/>
      <c r="HF189" s="3"/>
      <c r="HG189" s="3"/>
      <c r="HH189" s="3"/>
      <c r="HI189" s="3"/>
      <c r="HJ189" s="3"/>
      <c r="HK189" s="185"/>
      <c r="HL189" s="185"/>
      <c r="HM189" s="185"/>
      <c r="HN189" s="185"/>
      <c r="HO189" s="185"/>
      <c r="HP189" s="185"/>
      <c r="HQ189" s="185"/>
      <c r="HR189" s="185"/>
      <c r="HS189" s="206"/>
      <c r="HT189" s="185"/>
      <c r="HU189" s="185"/>
      <c r="HV189" s="185"/>
      <c r="HW189" s="185"/>
      <c r="HX189" s="215"/>
      <c r="HY189" s="185"/>
      <c r="HZ189" s="185"/>
      <c r="IA189" s="185"/>
      <c r="IB189" s="185"/>
      <c r="IC189" s="185"/>
      <c r="ID189" s="185"/>
      <c r="IE189" s="185"/>
      <c r="IF189" s="185"/>
      <c r="IG189" s="185"/>
      <c r="IH189" s="185"/>
      <c r="II189" s="148"/>
      <c r="IJ189" s="148"/>
      <c r="IK189" s="210"/>
      <c r="IL189" s="185"/>
      <c r="IM189" s="185"/>
      <c r="IN189" s="185"/>
      <c r="IO189" t="s">
        <v>2622</v>
      </c>
      <c r="IP189" s="185" t="s">
        <v>1280</v>
      </c>
      <c r="IQ189" s="185"/>
      <c r="IR189" s="185"/>
      <c r="IS189" s="185">
        <v>2001</v>
      </c>
      <c r="IT189" s="214" t="s">
        <v>2629</v>
      </c>
      <c r="IU189" s="185" t="s">
        <v>480</v>
      </c>
      <c r="IV189" s="185"/>
      <c r="IW189" s="185"/>
      <c r="IX189" s="2"/>
      <c r="IY189" s="2"/>
      <c r="IZ189" s="2"/>
      <c r="JA189" s="2"/>
      <c r="JB189" s="2"/>
      <c r="JC189" s="2"/>
      <c r="JD189" s="2"/>
      <c r="JE189" s="2"/>
      <c r="JF189" s="2"/>
      <c r="JG189" s="2"/>
      <c r="JH189" s="2"/>
      <c r="JI189" s="2"/>
      <c r="JJ189" s="2" t="s">
        <v>2628</v>
      </c>
      <c r="JK189" s="2" t="s">
        <v>494</v>
      </c>
      <c r="JL189" s="151" t="s">
        <v>495</v>
      </c>
      <c r="JM189" s="282" t="s">
        <v>2627</v>
      </c>
      <c r="JN189" s="206"/>
      <c r="JO189" s="185"/>
      <c r="JP189" s="206" t="s">
        <v>508</v>
      </c>
      <c r="JQ189" s="185">
        <f>100+140+40</f>
        <v>280</v>
      </c>
      <c r="JR189" s="185">
        <f>45+50+30</f>
        <v>125</v>
      </c>
      <c r="JS189" s="185">
        <f>30+30+60</f>
        <v>120</v>
      </c>
      <c r="JT189" s="185"/>
      <c r="JU189" s="185"/>
      <c r="JV189" s="140"/>
      <c r="JW189" s="140"/>
      <c r="JX189" s="206"/>
      <c r="JY189" s="185"/>
      <c r="JZ189" s="206"/>
      <c r="KA189" s="185"/>
      <c r="KB189" s="185"/>
      <c r="KC189" s="185"/>
      <c r="KD189" s="206"/>
      <c r="KE189" s="206"/>
      <c r="KF189" s="148"/>
      <c r="KG189" s="216"/>
      <c r="KH189" s="185"/>
      <c r="KI189" s="185"/>
      <c r="KJ189" s="185"/>
      <c r="KK189" s="185"/>
      <c r="KL189" s="206"/>
      <c r="KM189" s="185"/>
      <c r="KN189" s="148"/>
      <c r="KO189" s="216"/>
      <c r="KP189" s="185"/>
      <c r="KQ189" s="185"/>
      <c r="KR189" s="148"/>
      <c r="KS189" s="216"/>
      <c r="KT189" s="185"/>
      <c r="KU189" s="185"/>
      <c r="KV189" s="185"/>
      <c r="KW189" s="3"/>
      <c r="KX189" s="3"/>
      <c r="KY189" s="3"/>
      <c r="KZ189" s="3"/>
      <c r="LA189" s="206"/>
      <c r="LB189" s="206"/>
      <c r="LC189" s="206"/>
      <c r="LD189" s="206"/>
      <c r="LE189" s="206"/>
      <c r="LF189" s="206"/>
      <c r="LG189" s="134"/>
      <c r="LH189" s="206"/>
      <c r="LI189" s="206"/>
      <c r="LJ189" s="206"/>
      <c r="LK189" s="206"/>
      <c r="LL189" s="206"/>
      <c r="LM189" s="206"/>
      <c r="LN189" s="185"/>
      <c r="LO189" s="185"/>
      <c r="LP189" s="185"/>
      <c r="LQ189" s="185"/>
      <c r="LR189" s="185"/>
      <c r="LS189" s="185"/>
      <c r="LT189" s="185"/>
      <c r="LU189" s="185"/>
      <c r="LV189" s="144"/>
      <c r="LW189" s="2"/>
      <c r="LX189" s="2"/>
      <c r="LY189" s="2"/>
      <c r="LZ189" s="2"/>
      <c r="MA189" s="2"/>
      <c r="ME189" s="2"/>
      <c r="MF189" s="185"/>
      <c r="MG189" s="185"/>
      <c r="MH189" s="185"/>
      <c r="MI189" s="2"/>
      <c r="MJ189" s="2"/>
      <c r="MK189" s="2"/>
      <c r="ML189" s="2"/>
      <c r="MM189" s="2"/>
      <c r="MN189" s="2"/>
      <c r="MO189" s="2"/>
      <c r="MP189" s="2"/>
      <c r="MQ189" s="185"/>
      <c r="MR189" s="185"/>
      <c r="MS189" s="185"/>
      <c r="MT189" s="185"/>
      <c r="MU189" s="185"/>
      <c r="MV189" s="185"/>
      <c r="MW189" s="185"/>
      <c r="MX189" s="185"/>
      <c r="MY189" s="211" t="s">
        <v>2626</v>
      </c>
      <c r="MZ189" s="281">
        <f t="shared" si="1"/>
        <v>90</v>
      </c>
      <c r="NA189" t="s">
        <v>2625</v>
      </c>
      <c r="NB189" t="s">
        <v>2625</v>
      </c>
      <c r="NH189" t="s">
        <v>711</v>
      </c>
      <c r="NI189" s="185"/>
      <c r="NJ189" s="185" t="s">
        <v>1380</v>
      </c>
      <c r="NK189" s="185" t="s">
        <v>2624</v>
      </c>
      <c r="NL189" t="s">
        <v>1380</v>
      </c>
      <c r="NM189" t="s">
        <v>2623</v>
      </c>
      <c r="NN189" s="185"/>
      <c r="NO189" s="185"/>
      <c r="NP189" s="185"/>
      <c r="NQ189" s="185"/>
      <c r="NR189" s="185"/>
      <c r="NS189" s="185"/>
      <c r="NT189" t="s">
        <v>2622</v>
      </c>
      <c r="NU189" s="185" t="s">
        <v>2621</v>
      </c>
      <c r="NV189" s="220" t="s">
        <v>518</v>
      </c>
      <c r="NW189">
        <v>6.806</v>
      </c>
      <c r="NX189" s="220" t="s">
        <v>520</v>
      </c>
      <c r="NY189" s="220">
        <v>0.35899999999999999</v>
      </c>
      <c r="NZ189" s="220"/>
      <c r="OA189" s="220"/>
      <c r="OB189" s="185">
        <v>4</v>
      </c>
      <c r="OC189" s="185"/>
      <c r="OD189" s="185"/>
      <c r="OE189" s="185"/>
      <c r="OF189" s="185"/>
      <c r="OG189" s="185"/>
      <c r="OH189" s="185"/>
      <c r="OI189" s="185"/>
      <c r="OJ189" s="185"/>
      <c r="OK189" s="185"/>
      <c r="OL189" s="185"/>
      <c r="OM189" s="133"/>
      <c r="ON189" s="133"/>
      <c r="OO189" s="133"/>
      <c r="OP189" s="133"/>
      <c r="OQ189" s="133"/>
      <c r="OR189" s="133"/>
      <c r="OS189" s="133"/>
      <c r="OT189" s="133"/>
      <c r="OU189" s="185" t="s">
        <v>2620</v>
      </c>
      <c r="OV189" s="185"/>
      <c r="OW189" s="185">
        <v>2007</v>
      </c>
      <c r="OX189" s="185" t="s">
        <v>1049</v>
      </c>
      <c r="OY189" s="185" t="s">
        <v>1049</v>
      </c>
      <c r="OZ189" s="185">
        <v>7.1</v>
      </c>
      <c r="PA189" s="185"/>
      <c r="PB189" t="s">
        <v>2619</v>
      </c>
      <c r="PC189" s="50">
        <v>46176</v>
      </c>
      <c r="PD189" t="s">
        <v>2618</v>
      </c>
      <c r="PE189" t="s">
        <v>1049</v>
      </c>
      <c r="PF189" t="s">
        <v>1049</v>
      </c>
      <c r="PG189" t="s">
        <v>1049</v>
      </c>
      <c r="PH189" t="s">
        <v>1049</v>
      </c>
    </row>
  </sheetData>
  <conditionalFormatting sqref="C151:K162">
    <cfRule type="expression" dxfId="199" priority="176">
      <formula>AND(LEN(TRIM($C151))&gt;0,LEN(TRIM(C151))=0)</formula>
    </cfRule>
  </conditionalFormatting>
  <conditionalFormatting sqref="C181:K189">
    <cfRule type="expression" dxfId="198" priority="5">
      <formula>AND(LEN(TRIM($C181))&gt;0,LEN(TRIM(C181))=0)</formula>
    </cfRule>
  </conditionalFormatting>
  <conditionalFormatting sqref="L151:T162">
    <cfRule type="expression" dxfId="197" priority="177">
      <formula>AND(LEN(TRIM($L151))&gt;0,LEN(TRIM(L151))=0)</formula>
    </cfRule>
  </conditionalFormatting>
  <conditionalFormatting sqref="L181:T189">
    <cfRule type="expression" dxfId="196" priority="6">
      <formula>AND(LEN(TRIM($L181))&gt;0,LEN(TRIM(L181))=0)</formula>
    </cfRule>
  </conditionalFormatting>
  <conditionalFormatting sqref="U151:AC162">
    <cfRule type="expression" dxfId="195" priority="178">
      <formula>AND(LEN(TRIM($U151))&gt;0,LEN(TRIM(U151))=0)</formula>
    </cfRule>
  </conditionalFormatting>
  <conditionalFormatting sqref="U181:AC189">
    <cfRule type="expression" dxfId="194" priority="7">
      <formula>AND(LEN(TRIM($U181))&gt;0,LEN(TRIM(U181))=0)</formula>
    </cfRule>
  </conditionalFormatting>
  <conditionalFormatting sqref="AD151:AL162">
    <cfRule type="expression" dxfId="193" priority="179">
      <formula>AND(LEN(TRIM($AD151))&gt;0,LEN(TRIM(AD151))=0)</formula>
    </cfRule>
  </conditionalFormatting>
  <conditionalFormatting sqref="AD181:AL189">
    <cfRule type="expression" dxfId="192" priority="8">
      <formula>AND(LEN(TRIM($AD181))&gt;0,LEN(TRIM(AD181))=0)</formula>
    </cfRule>
  </conditionalFormatting>
  <conditionalFormatting sqref="AM151:AU162">
    <cfRule type="expression" dxfId="191" priority="180">
      <formula>AND(LEN(TRIM($AM151))&gt;0,LEN(TRIM(AM151))=0)</formula>
    </cfRule>
  </conditionalFormatting>
  <conditionalFormatting sqref="AM181:AU189">
    <cfRule type="expression" dxfId="190" priority="9">
      <formula>AND(LEN(TRIM($AM181))&gt;0,LEN(TRIM(AM181))=0)</formula>
    </cfRule>
  </conditionalFormatting>
  <conditionalFormatting sqref="AW151:BC162">
    <cfRule type="expression" dxfId="189" priority="181">
      <formula>AND(LEN(TRIM($AV151))&gt;0,LEN(TRIM(AW151))=0)</formula>
    </cfRule>
  </conditionalFormatting>
  <conditionalFormatting sqref="AW181:BC189">
    <cfRule type="expression" dxfId="188" priority="10">
      <formula>AND(LEN(TRIM($AV181))&gt;0,LEN(TRIM(AW181))=0)</formula>
    </cfRule>
  </conditionalFormatting>
  <conditionalFormatting sqref="BE151:BG162">
    <cfRule type="expression" dxfId="187" priority="182">
      <formula>AND(LEN(TRIM($BD151))&gt;0,LEN(TRIM(BE151))=0)</formula>
    </cfRule>
  </conditionalFormatting>
  <conditionalFormatting sqref="BF181:BF189">
    <cfRule type="expression" dxfId="186" priority="11">
      <formula>AND(LEN(TRIM(#REF!))&gt;0,LEN(TRIM(BF181))=0)</formula>
    </cfRule>
  </conditionalFormatting>
  <conditionalFormatting sqref="BH181:BK181">
    <cfRule type="expression" dxfId="185" priority="92">
      <formula>AND(LEN(TRIM($BG181))&gt;0,LEN(TRIM(BH181))=0)</formula>
    </cfRule>
  </conditionalFormatting>
  <conditionalFormatting sqref="BI151:BL162">
    <cfRule type="expression" dxfId="184" priority="183">
      <formula>AND(LEN(TRIM($BH151))&gt;0,LEN(TRIM(BI151))=0)</formula>
    </cfRule>
  </conditionalFormatting>
  <conditionalFormatting sqref="BN181:BN182 BS181:BS182 BP181:BP189 BI182:BK189 BN185:BN189 BS185:BS189">
    <cfRule type="expression" dxfId="183" priority="12">
      <formula>AND(LEN(TRIM($BG181))&gt;0,LEN(TRIM(BI181))=0)</formula>
    </cfRule>
  </conditionalFormatting>
  <conditionalFormatting sqref="BN183:BO184">
    <cfRule type="expression" dxfId="182" priority="4">
      <formula>AND(LEN(TRIM($BG183))&gt;0,LEN(TRIM(BN183))=0)</formula>
    </cfRule>
  </conditionalFormatting>
  <conditionalFormatting sqref="BN151:BQ162">
    <cfRule type="expression" dxfId="181" priority="184">
      <formula>AND(LEN(TRIM($BM151))&gt;0,LEN(TRIM(BN151))=0)</formula>
    </cfRule>
  </conditionalFormatting>
  <conditionalFormatting sqref="BO181:BO182 BT181:BT182 BM181:BM189 BR181:BR189 BO185:BO189 BT189">
    <cfRule type="expression" dxfId="180" priority="13">
      <formula>AND(LEN(TRIM($BL181))&gt;0,LEN(TRIM(BM181))=0)</formula>
    </cfRule>
  </conditionalFormatting>
  <conditionalFormatting sqref="BS183:BT184">
    <cfRule type="expression" dxfId="179" priority="3">
      <formula>AND(LEN(TRIM($BG183))&gt;0,LEN(TRIM(BS183))=0)</formula>
    </cfRule>
  </conditionalFormatting>
  <conditionalFormatting sqref="BS151:BV162">
    <cfRule type="expression" dxfId="178" priority="185">
      <formula>AND(LEN(TRIM($BR151))&gt;0,LEN(TRIM(BS151))=0)</formula>
    </cfRule>
  </conditionalFormatting>
  <conditionalFormatting sqref="BT185:BT188">
    <cfRule type="expression" dxfId="177" priority="1">
      <formula>AND(LEN(TRIM($BG185))&gt;0,LEN(TRIM(BT185))=0)</formula>
    </cfRule>
  </conditionalFormatting>
  <conditionalFormatting sqref="BW181:BZ189">
    <cfRule type="expression" dxfId="176" priority="14">
      <formula>AND(LEN(TRIM($BV181))&gt;0,LEN(TRIM(BW181))=0)</formula>
    </cfRule>
  </conditionalFormatting>
  <conditionalFormatting sqref="BX151:CA162">
    <cfRule type="expression" dxfId="175" priority="186">
      <formula>AND(LEN(TRIM($BW151))&gt;0,LEN(TRIM(BX151))=0)</formula>
    </cfRule>
  </conditionalFormatting>
  <conditionalFormatting sqref="CB181:CE189">
    <cfRule type="expression" dxfId="174" priority="15">
      <formula>AND(LEN(TRIM($CA181))&gt;0,LEN(TRIM(CB181))=0)</formula>
    </cfRule>
  </conditionalFormatting>
  <conditionalFormatting sqref="CC151:CF162">
    <cfRule type="expression" dxfId="173" priority="187">
      <formula>AND(LEN(TRIM($CB151))&gt;0,LEN(TRIM(CC151))=0)</formula>
    </cfRule>
  </conditionalFormatting>
  <conditionalFormatting sqref="CG181:CJ189">
    <cfRule type="expression" dxfId="172" priority="16">
      <formula>AND(LEN(TRIM($CF181))&gt;0,LEN(TRIM(CG181))=0)</formula>
    </cfRule>
  </conditionalFormatting>
  <conditionalFormatting sqref="CH151:CK162">
    <cfRule type="expression" dxfId="171" priority="188">
      <formula>AND(LEN(TRIM($CG151))&gt;0,LEN(TRIM(CH151))=0)</formula>
    </cfRule>
  </conditionalFormatting>
  <conditionalFormatting sqref="CL181:CO189">
    <cfRule type="expression" dxfId="170" priority="17">
      <formula>AND(LEN(TRIM($CK181))&gt;0,LEN(TRIM(CL181))=0)</formula>
    </cfRule>
  </conditionalFormatting>
  <conditionalFormatting sqref="CM151:CP162">
    <cfRule type="expression" dxfId="169" priority="189">
      <formula>AND(LEN(TRIM($CL151))&gt;0,LEN(TRIM(CM151))=0)</formula>
    </cfRule>
  </conditionalFormatting>
  <conditionalFormatting sqref="CQ181:CT189">
    <cfRule type="expression" dxfId="168" priority="18">
      <formula>AND(LEN(TRIM($CP181))&gt;0,LEN(TRIM(CQ181))=0)</formula>
    </cfRule>
  </conditionalFormatting>
  <conditionalFormatting sqref="CR151:CU162">
    <cfRule type="expression" dxfId="167" priority="190">
      <formula>AND(LEN(TRIM($CQ151))&gt;0,LEN(TRIM(CR151))=0)</formula>
    </cfRule>
  </conditionalFormatting>
  <conditionalFormatting sqref="CV181:CY189">
    <cfRule type="expression" dxfId="166" priority="19">
      <formula>AND(LEN(TRIM($CU181))&gt;0,LEN(TRIM(CV181))=0)</formula>
    </cfRule>
  </conditionalFormatting>
  <conditionalFormatting sqref="CW151:CZ162">
    <cfRule type="expression" dxfId="165" priority="191">
      <formula>AND(LEN(TRIM($CV151))&gt;0,LEN(TRIM(CW151))=0)</formula>
    </cfRule>
  </conditionalFormatting>
  <conditionalFormatting sqref="DA181:DD189">
    <cfRule type="expression" dxfId="164" priority="20">
      <formula>AND(LEN(TRIM($CZ181))&gt;0,LEN(TRIM(DA181))=0)</formula>
    </cfRule>
  </conditionalFormatting>
  <conditionalFormatting sqref="DB151:DE162">
    <cfRule type="expression" dxfId="163" priority="192">
      <formula>AND(LEN(TRIM($DA151))&gt;0,LEN(TRIM(DB151))=0)</formula>
    </cfRule>
  </conditionalFormatting>
  <conditionalFormatting sqref="DF181:DI189">
    <cfRule type="expression" dxfId="162" priority="21">
      <formula>AND(LEN(TRIM($DE181))&gt;0,LEN(TRIM(DF181))=0)</formula>
    </cfRule>
  </conditionalFormatting>
  <conditionalFormatting sqref="DG151:DJ162">
    <cfRule type="expression" dxfId="161" priority="193">
      <formula>AND(LEN(TRIM($DF151))&gt;0,LEN(TRIM(DG151))=0)</formula>
    </cfRule>
  </conditionalFormatting>
  <conditionalFormatting sqref="DK181:DN189">
    <cfRule type="expression" dxfId="160" priority="22">
      <formula>AND(LEN(TRIM($DJ181))&gt;0,LEN(TRIM(DK181))=0)</formula>
    </cfRule>
  </conditionalFormatting>
  <conditionalFormatting sqref="DL151:DO162">
    <cfRule type="expression" dxfId="159" priority="194">
      <formula>AND(LEN(TRIM($DK151))&gt;0,LEN(TRIM(DL151))=0)</formula>
    </cfRule>
  </conditionalFormatting>
  <conditionalFormatting sqref="DP181:DS189">
    <cfRule type="expression" dxfId="158" priority="23">
      <formula>AND(LEN(TRIM($DO181))&gt;0,LEN(TRIM(DP181))=0)</formula>
    </cfRule>
  </conditionalFormatting>
  <conditionalFormatting sqref="DQ151:DT162">
    <cfRule type="expression" dxfId="157" priority="195">
      <formula>AND(LEN(TRIM($DP151))&gt;0,LEN(TRIM(DQ151))=0)</formula>
    </cfRule>
  </conditionalFormatting>
  <conditionalFormatting sqref="DU181:DX189">
    <cfRule type="expression" dxfId="156" priority="24">
      <formula>AND(LEN(TRIM($DT181))&gt;0,LEN(TRIM(DU181))=0)</formula>
    </cfRule>
  </conditionalFormatting>
  <conditionalFormatting sqref="DV151:DY162">
    <cfRule type="expression" dxfId="155" priority="196">
      <formula>AND(LEN(TRIM($DU151))&gt;0,LEN(TRIM(DV151))=0)</formula>
    </cfRule>
  </conditionalFormatting>
  <conditionalFormatting sqref="DZ181:EC189">
    <cfRule type="expression" dxfId="154" priority="25">
      <formula>AND(LEN(TRIM($DY181))&gt;0,LEN(TRIM(DZ181))=0)</formula>
    </cfRule>
  </conditionalFormatting>
  <conditionalFormatting sqref="EA151:ED162">
    <cfRule type="expression" dxfId="153" priority="197">
      <formula>AND(LEN(TRIM($DZ151))&gt;0,LEN(TRIM(EA151))=0)</formula>
    </cfRule>
  </conditionalFormatting>
  <conditionalFormatting sqref="EE181:EG189">
    <cfRule type="expression" dxfId="152" priority="26">
      <formula>AND(LEN(TRIM($ED181))&gt;0,LEN(TRIM(EE181))=0)</formula>
    </cfRule>
  </conditionalFormatting>
  <conditionalFormatting sqref="EF151:EH162">
    <cfRule type="expression" dxfId="151" priority="198">
      <formula>AND(LEN(TRIM($EE151))&gt;0,LEN(TRIM(EF151))=0)</formula>
    </cfRule>
  </conditionalFormatting>
  <conditionalFormatting sqref="EI181:EK189">
    <cfRule type="expression" dxfId="150" priority="27">
      <formula>AND(LEN(TRIM($EH181))&gt;0,LEN(TRIM(EI181))=0)</formula>
    </cfRule>
  </conditionalFormatting>
  <conditionalFormatting sqref="EJ152:EK152">
    <cfRule type="expression" dxfId="149" priority="268">
      <formula>AND(LEN(TRIM($EE152))&gt;0,LEN(TRIM(EJ152))=0)</formula>
    </cfRule>
  </conditionalFormatting>
  <conditionalFormatting sqref="EJ154:EK154">
    <cfRule type="expression" dxfId="148" priority="264">
      <formula>AND(LEN(TRIM($EE154))&gt;0,LEN(TRIM(EJ154))=0)</formula>
    </cfRule>
  </conditionalFormatting>
  <conditionalFormatting sqref="EJ156:EK156">
    <cfRule type="expression" dxfId="147" priority="261">
      <formula>AND(LEN(TRIM($EE156))&gt;0,LEN(TRIM(EJ156))=0)</formula>
    </cfRule>
  </conditionalFormatting>
  <conditionalFormatting sqref="EJ158:EK158">
    <cfRule type="expression" dxfId="146" priority="174">
      <formula>AND(LEN(TRIM($EE158))&gt;0,LEN(TRIM(EJ158))=0)</formula>
    </cfRule>
  </conditionalFormatting>
  <conditionalFormatting sqref="EJ160:EK160">
    <cfRule type="expression" dxfId="145" priority="171">
      <formula>AND(LEN(TRIM($EE160))&gt;0,LEN(TRIM(EJ160))=0)</formula>
    </cfRule>
  </conditionalFormatting>
  <conditionalFormatting sqref="EJ162:EK162">
    <cfRule type="expression" dxfId="144" priority="168">
      <formula>AND(LEN(TRIM($EE162))&gt;0,LEN(TRIM(EJ162))=0)</formula>
    </cfRule>
  </conditionalFormatting>
  <conditionalFormatting sqref="EJ151:EL151 EL152 EJ153:EL153 EL154 EJ155:EL155 EL156">
    <cfRule type="expression" dxfId="143" priority="293">
      <formula>AND(LEN(TRIM($EI151))&gt;0,LEN(TRIM(EJ151))=0)</formula>
    </cfRule>
  </conditionalFormatting>
  <conditionalFormatting sqref="EJ157:EL157 EL158 EJ159:EL159 EL160 EJ161:EL161 EL162">
    <cfRule type="expression" dxfId="142" priority="199">
      <formula>AND(LEN(TRIM($EI157))&gt;0,LEN(TRIM(EJ157))=0)</formula>
    </cfRule>
  </conditionalFormatting>
  <conditionalFormatting sqref="EM152">
    <cfRule type="duplicateValues" dxfId="141" priority="269"/>
  </conditionalFormatting>
  <conditionalFormatting sqref="EM154">
    <cfRule type="duplicateValues" dxfId="140" priority="265"/>
  </conditionalFormatting>
  <conditionalFormatting sqref="EM156">
    <cfRule type="duplicateValues" dxfId="139" priority="262"/>
  </conditionalFormatting>
  <conditionalFormatting sqref="EM158">
    <cfRule type="duplicateValues" dxfId="138" priority="175"/>
  </conditionalFormatting>
  <conditionalFormatting sqref="EM160">
    <cfRule type="duplicateValues" dxfId="137" priority="172"/>
  </conditionalFormatting>
  <conditionalFormatting sqref="EM162">
    <cfRule type="duplicateValues" dxfId="136" priority="169"/>
  </conditionalFormatting>
  <conditionalFormatting sqref="EM181:EO189">
    <cfRule type="expression" dxfId="135" priority="28">
      <formula>AND(LEN(TRIM($EL181))&gt;0,LEN(TRIM(EM181))=0)</formula>
    </cfRule>
  </conditionalFormatting>
  <conditionalFormatting sqref="EN152:EO152">
    <cfRule type="expression" dxfId="134" priority="267">
      <formula>AND(LEN(TRIM($EE152))&gt;0,LEN(TRIM(EN152))=0)</formula>
    </cfRule>
  </conditionalFormatting>
  <conditionalFormatting sqref="EN154:EO154">
    <cfRule type="expression" dxfId="133" priority="263">
      <formula>AND(LEN(TRIM($EE154))&gt;0,LEN(TRIM(EN154))=0)</formula>
    </cfRule>
  </conditionalFormatting>
  <conditionalFormatting sqref="EN156:EO156">
    <cfRule type="expression" dxfId="132" priority="260">
      <formula>AND(LEN(TRIM($EE156))&gt;0,LEN(TRIM(EN156))=0)</formula>
    </cfRule>
  </conditionalFormatting>
  <conditionalFormatting sqref="EN158:EO158">
    <cfRule type="expression" dxfId="131" priority="173">
      <formula>AND(LEN(TRIM($EE158))&gt;0,LEN(TRIM(EN158))=0)</formula>
    </cfRule>
  </conditionalFormatting>
  <conditionalFormatting sqref="EN160:EO160">
    <cfRule type="expression" dxfId="130" priority="170">
      <formula>AND(LEN(TRIM($EE160))&gt;0,LEN(TRIM(EN160))=0)</formula>
    </cfRule>
  </conditionalFormatting>
  <conditionalFormatting sqref="EN162:EO162">
    <cfRule type="expression" dxfId="129" priority="167">
      <formula>AND(LEN(TRIM($EE162))&gt;0,LEN(TRIM(EN162))=0)</formula>
    </cfRule>
  </conditionalFormatting>
  <conditionalFormatting sqref="EN151:EP151 EP152 EN153:EP153 EP154 EN155:EP155 EP156">
    <cfRule type="expression" dxfId="128" priority="294">
      <formula>AND(LEN(TRIM($EM151))&gt;0,LEN(TRIM(EN151))=0)</formula>
    </cfRule>
  </conditionalFormatting>
  <conditionalFormatting sqref="EN157:EP157 EP158 EN159:EP159 EP160 EN161:EP161 EP162">
    <cfRule type="expression" dxfId="127" priority="200">
      <formula>AND(LEN(TRIM($EM157))&gt;0,LEN(TRIM(EN157))=0)</formula>
    </cfRule>
  </conditionalFormatting>
  <conditionalFormatting sqref="EQ181:ES189">
    <cfRule type="expression" dxfId="126" priority="29">
      <formula>AND(LEN(TRIM($EP181))&gt;0,LEN(TRIM(EQ181))=0)</formula>
    </cfRule>
  </conditionalFormatting>
  <conditionalFormatting sqref="ER151:ET162">
    <cfRule type="expression" dxfId="125" priority="201">
      <formula>AND(LEN(TRIM($EQ151))&gt;0,LEN(TRIM(ER151))=0)</formula>
    </cfRule>
  </conditionalFormatting>
  <conditionalFormatting sqref="EU181:EW189">
    <cfRule type="expression" dxfId="124" priority="30">
      <formula>AND(LEN(TRIM($ET181))&gt;0,LEN(TRIM(EU181))=0)</formula>
    </cfRule>
  </conditionalFormatting>
  <conditionalFormatting sqref="EV151:EX162">
    <cfRule type="expression" dxfId="123" priority="202">
      <formula>AND(LEN(TRIM($EU151))&gt;0,LEN(TRIM(EV151))=0)</formula>
    </cfRule>
  </conditionalFormatting>
  <conditionalFormatting sqref="EY181:FA189">
    <cfRule type="expression" dxfId="122" priority="31">
      <formula>AND(LEN(TRIM($EX181))&gt;0,LEN(TRIM(EY181))=0)</formula>
    </cfRule>
  </conditionalFormatting>
  <conditionalFormatting sqref="EZ151:FB162">
    <cfRule type="expression" dxfId="121" priority="203">
      <formula>AND(LEN(TRIM($EY151))&gt;0,LEN(TRIM(EZ151))=0)</formula>
    </cfRule>
  </conditionalFormatting>
  <conditionalFormatting sqref="FC181:FE189">
    <cfRule type="expression" dxfId="120" priority="32">
      <formula>AND(LEN(TRIM($FB181))&gt;0,LEN(TRIM(FC181))=0)</formula>
    </cfRule>
  </conditionalFormatting>
  <conditionalFormatting sqref="FD151:FF162">
    <cfRule type="expression" dxfId="119" priority="204">
      <formula>AND(LEN(TRIM($FC151))&gt;0,LEN(TRIM(FD151))=0)</formula>
    </cfRule>
  </conditionalFormatting>
  <conditionalFormatting sqref="FG181:FI189">
    <cfRule type="expression" dxfId="118" priority="33">
      <formula>AND(LEN(TRIM($FF181))&gt;0,LEN(TRIM(FG181))=0)</formula>
    </cfRule>
  </conditionalFormatting>
  <conditionalFormatting sqref="FH151:FJ162">
    <cfRule type="expression" dxfId="117" priority="205">
      <formula>AND(LEN(TRIM($FG151))&gt;0,LEN(TRIM(FH151))=0)</formula>
    </cfRule>
  </conditionalFormatting>
  <conditionalFormatting sqref="FK181:FM189">
    <cfRule type="expression" dxfId="116" priority="34">
      <formula>AND(LEN(TRIM($FJ181))&gt;0,LEN(TRIM(FK181))=0)</formula>
    </cfRule>
  </conditionalFormatting>
  <conditionalFormatting sqref="FL151:FN162">
    <cfRule type="expression" dxfId="115" priority="206">
      <formula>AND(LEN(TRIM($FK151))&gt;0,LEN(TRIM(FL151))=0)</formula>
    </cfRule>
  </conditionalFormatting>
  <conditionalFormatting sqref="FO181:FQ189">
    <cfRule type="expression" dxfId="114" priority="35">
      <formula>AND(LEN(TRIM($FN181))&gt;0,LEN(TRIM(FO181))=0)</formula>
    </cfRule>
  </conditionalFormatting>
  <conditionalFormatting sqref="FP151:FR162">
    <cfRule type="expression" dxfId="113" priority="207">
      <formula>AND(LEN(TRIM($FO151))&gt;0,LEN(TRIM(FP151))=0)</formula>
    </cfRule>
  </conditionalFormatting>
  <conditionalFormatting sqref="FS181:FU189">
    <cfRule type="expression" dxfId="112" priority="36">
      <formula>AND(LEN(TRIM($FR181))&gt;0,LEN(TRIM(FS181))=0)</formula>
    </cfRule>
  </conditionalFormatting>
  <conditionalFormatting sqref="FT151:FV162">
    <cfRule type="expression" dxfId="111" priority="208">
      <formula>AND(LEN(TRIM($FS151))&gt;0,LEN(TRIM(FT151))=0)</formula>
    </cfRule>
  </conditionalFormatting>
  <conditionalFormatting sqref="FW181:FY189">
    <cfRule type="expression" dxfId="110" priority="37">
      <formula>AND(LEN(TRIM($FV181))&gt;0,LEN(TRIM(FW181))=0)</formula>
    </cfRule>
  </conditionalFormatting>
  <conditionalFormatting sqref="FX151:FZ162">
    <cfRule type="expression" dxfId="109" priority="209">
      <formula>AND(LEN(TRIM($FW151))&gt;0,LEN(TRIM(FX151))=0)</formula>
    </cfRule>
  </conditionalFormatting>
  <conditionalFormatting sqref="GA181:GC189">
    <cfRule type="expression" dxfId="108" priority="38">
      <formula>AND(LEN(TRIM($FZ181))&gt;0,LEN(TRIM(GA181))=0)</formula>
    </cfRule>
  </conditionalFormatting>
  <conditionalFormatting sqref="GB151:GD162">
    <cfRule type="expression" dxfId="107" priority="210">
      <formula>AND(LEN(TRIM($GA151))&gt;0,LEN(TRIM(GB151))=0)</formula>
    </cfRule>
  </conditionalFormatting>
  <conditionalFormatting sqref="GE181:GG189">
    <cfRule type="expression" dxfId="106" priority="39">
      <formula>AND(LEN(TRIM($GD181))&gt;0,LEN(TRIM(GE181))=0)</formula>
    </cfRule>
  </conditionalFormatting>
  <conditionalFormatting sqref="GF151:GH162">
    <cfRule type="expression" dxfId="105" priority="211">
      <formula>AND(LEN(TRIM($GE151))&gt;0,LEN(TRIM(GF151))=0)</formula>
    </cfRule>
  </conditionalFormatting>
  <conditionalFormatting sqref="GI181:GK189">
    <cfRule type="expression" dxfId="104" priority="40">
      <formula>AND(LEN(TRIM($GH181))&gt;0,LEN(TRIM(GI181))=0)</formula>
    </cfRule>
  </conditionalFormatting>
  <conditionalFormatting sqref="GJ151:GL162">
    <cfRule type="expression" dxfId="103" priority="212">
      <formula>AND(LEN(TRIM($GI151))&gt;0,LEN(TRIM(GJ151))=0)</formula>
    </cfRule>
  </conditionalFormatting>
  <conditionalFormatting sqref="GM181:GP189">
    <cfRule type="expression" dxfId="102" priority="41">
      <formula>AND(LEN(TRIM($GL181))&gt;0,LEN(TRIM(GM181))=0)</formula>
    </cfRule>
  </conditionalFormatting>
  <conditionalFormatting sqref="GN151:GQ162">
    <cfRule type="expression" dxfId="101" priority="213">
      <formula>AND(LEN(TRIM($GM151))&gt;0,LEN(TRIM(GN151))=0)</formula>
    </cfRule>
  </conditionalFormatting>
  <conditionalFormatting sqref="GR181:GU189">
    <cfRule type="expression" dxfId="100" priority="42">
      <formula>AND(LEN(TRIM($GQ181))&gt;0,LEN(TRIM(GR181))=0)</formula>
    </cfRule>
  </conditionalFormatting>
  <conditionalFormatting sqref="GS151:GV162">
    <cfRule type="expression" dxfId="99" priority="214">
      <formula>AND(LEN(TRIM($GR151))&gt;0,LEN(TRIM(GS151))=0)</formula>
    </cfRule>
  </conditionalFormatting>
  <conditionalFormatting sqref="GW181:GZ189">
    <cfRule type="expression" dxfId="98" priority="43">
      <formula>AND(LEN(TRIM($GV181))&gt;0,LEN(TRIM(GW181))=0)</formula>
    </cfRule>
  </conditionalFormatting>
  <conditionalFormatting sqref="GX151:HA162">
    <cfRule type="expression" dxfId="97" priority="215">
      <formula>AND(LEN(TRIM($GW151))&gt;0,LEN(TRIM(GX151))=0)</formula>
    </cfRule>
  </conditionalFormatting>
  <conditionalFormatting sqref="HB181:HE189">
    <cfRule type="expression" dxfId="96" priority="44">
      <formula>AND(LEN(TRIM($HA181))&gt;0,LEN(TRIM(HB181))=0)</formula>
    </cfRule>
  </conditionalFormatting>
  <conditionalFormatting sqref="HC151:HF162">
    <cfRule type="expression" dxfId="95" priority="216">
      <formula>AND(LEN(TRIM($HB151))&gt;0,LEN(TRIM(HC151))=0)</formula>
    </cfRule>
  </conditionalFormatting>
  <conditionalFormatting sqref="HG181:HJ189">
    <cfRule type="expression" dxfId="94" priority="45">
      <formula>AND(LEN(TRIM($HF181))&gt;0,LEN(TRIM(HG181))=0)</formula>
    </cfRule>
  </conditionalFormatting>
  <conditionalFormatting sqref="HH151:HK162">
    <cfRule type="expression" dxfId="93" priority="217">
      <formula>AND(LEN(TRIM($HG151))&gt;0,LEN(TRIM(HH151))=0)</formula>
    </cfRule>
  </conditionalFormatting>
  <conditionalFormatting sqref="HL181:HP189">
    <cfRule type="expression" dxfId="92" priority="46">
      <formula>AND(LEN(TRIM($HK181))&gt;0,LEN(TRIM(HL181))=0)</formula>
    </cfRule>
  </conditionalFormatting>
  <conditionalFormatting sqref="HM151:HQ162">
    <cfRule type="expression" dxfId="91" priority="218">
      <formula>AND(LEN(TRIM($HL151))&gt;0,LEN(TRIM(HM151))=0)</formula>
    </cfRule>
  </conditionalFormatting>
  <conditionalFormatting sqref="HO181:HO189">
    <cfRule type="expression" dxfId="90" priority="47">
      <formula>AND($HO181&gt;50, $HO181&lt;&gt;"Unspecified")</formula>
    </cfRule>
  </conditionalFormatting>
  <conditionalFormatting sqref="HP151:HP162">
    <cfRule type="expression" dxfId="89" priority="219">
      <formula>AND($HP151&gt;50, $HP151&lt;&gt;"Unspecified")</formula>
    </cfRule>
  </conditionalFormatting>
  <conditionalFormatting sqref="HR181:HU189">
    <cfRule type="expression" dxfId="88" priority="48">
      <formula>AND(LEN(TRIM($HQ181))&gt;0,LEN(TRIM(HR181))=0)</formula>
    </cfRule>
  </conditionalFormatting>
  <conditionalFormatting sqref="HS151:HV162">
    <cfRule type="expression" dxfId="87" priority="220">
      <formula>AND(LEN(TRIM($HR151))&gt;0,LEN(TRIM(HS151))=0)</formula>
    </cfRule>
  </conditionalFormatting>
  <conditionalFormatting sqref="HW151:HW162">
    <cfRule type="expression" dxfId="86" priority="221">
      <formula>IF(AND(COUNTIF($BH151:$DZ151,$HW151)=0,$HW151&lt;&gt;""),1,0)=1</formula>
    </cfRule>
  </conditionalFormatting>
  <conditionalFormatting sqref="HW182:HW189">
    <cfRule type="expression" dxfId="85" priority="49">
      <formula>IF(AND(COUNTIF($BG182:$DY182,$HW182)=0,$HW182&lt;&gt;""),1,0)=1</formula>
    </cfRule>
  </conditionalFormatting>
  <conditionalFormatting sqref="HW181:IB181">
    <cfRule type="expression" dxfId="84" priority="129">
      <formula>AND(LEN(TRIM($HW181))&gt;0,LEN(TRIM(HW181))=0)</formula>
    </cfRule>
  </conditionalFormatting>
  <conditionalFormatting sqref="HX151:IA162">
    <cfRule type="expression" dxfId="83" priority="222">
      <formula>AND(LEN(TRIM($HW151))&gt;0,LEN(TRIM(HX151))=0)</formula>
    </cfRule>
  </conditionalFormatting>
  <conditionalFormatting sqref="HX182:IB189">
    <cfRule type="expression" dxfId="82" priority="50">
      <formula>AND(LEN(TRIM($HW182))&gt;0,LEN(TRIM(HX182))=0)</formula>
    </cfRule>
  </conditionalFormatting>
  <conditionalFormatting sqref="IB151:IB162">
    <cfRule type="expression" dxfId="81" priority="223">
      <formula>IF(AND(COUNTIF(#REF!,$IB151)=0,$IB151&lt;&gt;""),1,0)=1</formula>
    </cfRule>
  </conditionalFormatting>
  <conditionalFormatting sqref="IB181:IB189 ID181:IG189">
    <cfRule type="expression" dxfId="80" priority="52">
      <formula>AND(LEN(TRIM($IC181))&gt;0,LEN(TRIM(IB181))=0)</formula>
    </cfRule>
  </conditionalFormatting>
  <conditionalFormatting sqref="IC181:IC189">
    <cfRule type="expression" dxfId="79" priority="51">
      <formula>IF(AND(COUNTIF(#REF!,$IC181)=0,$IC181&lt;&gt;""),1,0)=1</formula>
    </cfRule>
  </conditionalFormatting>
  <conditionalFormatting sqref="IC151:IG162">
    <cfRule type="expression" dxfId="78" priority="224">
      <formula>AND(LEN(TRIM($IB151))&gt;0,LEN(TRIM(IC151))=0)</formula>
    </cfRule>
  </conditionalFormatting>
  <conditionalFormatting sqref="II151:II162">
    <cfRule type="expression" dxfId="77" priority="225">
      <formula>AND(LEN(TRIM($IH151))&gt;0,LEN(TRIM(II151))=0)</formula>
    </cfRule>
  </conditionalFormatting>
  <conditionalFormatting sqref="II181:II189">
    <cfRule type="expression" dxfId="76" priority="53">
      <formula>AND(LEN(TRIM($IH181))&gt;0,LEN(TRIM(II181))=0)</formula>
    </cfRule>
  </conditionalFormatting>
  <conditionalFormatting sqref="IJ151:IN162">
    <cfRule type="expression" dxfId="75" priority="226">
      <formula>AND(LEN(TRIM($IH151))&gt;0,LEN(TRIM(IJ151))=0,$II151&lt;&gt;"Monoculture")</formula>
    </cfRule>
  </conditionalFormatting>
  <conditionalFormatting sqref="IJ181:IN189">
    <cfRule type="expression" dxfId="74" priority="54">
      <formula>AND(LEN(TRIM($IH181))&gt;0,LEN(TRIM(IJ181))=0,$II181&lt;&gt;"Monoculture")</formula>
    </cfRule>
  </conditionalFormatting>
  <conditionalFormatting sqref="IO151:IO162">
    <cfRule type="expression" dxfId="73" priority="164">
      <formula>AND(LEN(TRIM($BD151))&gt;0,LEN(TRIM(IO151))=0)</formula>
    </cfRule>
  </conditionalFormatting>
  <conditionalFormatting sqref="IP151:IP162 IS151:IU162">
    <cfRule type="expression" dxfId="72" priority="227">
      <formula>AND(LEN(TRIM($IO151))&gt;0,LEN(TRIM(IP151))=0,$IP151&lt;&gt;"Monoculture",$IQ151&lt;&gt;"Monoculture",$IR151&lt;&gt;"Monoculture")</formula>
    </cfRule>
  </conditionalFormatting>
  <conditionalFormatting sqref="IP181:IP189 IS181:IU189">
    <cfRule type="expression" dxfId="71" priority="55">
      <formula>AND(LEN(TRIM($IO181))&gt;0,LEN(TRIM(IP181))=0,$IP181&lt;&gt;"Monoculture",$IQ181&lt;&gt;"Monoculture",$IR181&lt;&gt;"Monoculture")</formula>
    </cfRule>
  </conditionalFormatting>
  <conditionalFormatting sqref="IW181:IY189">
    <cfRule type="expression" dxfId="70" priority="56">
      <formula>AND(LEN(TRIM($IV181))&gt;0,LEN(TRIM(IW181))=0)</formula>
    </cfRule>
  </conditionalFormatting>
  <conditionalFormatting sqref="IW151:IZ162">
    <cfRule type="expression" dxfId="69" priority="228">
      <formula>AND(LEN(TRIM($IV151))&gt;0,LEN(TRIM(IW151))=0)</formula>
    </cfRule>
  </conditionalFormatting>
  <conditionalFormatting sqref="JA181:JA189">
    <cfRule type="expression" dxfId="68" priority="57">
      <formula>AND(OR($JA181&gt;100, $JA181&lt;0), JA181&lt;&gt;"Unspecified")</formula>
    </cfRule>
  </conditionalFormatting>
  <conditionalFormatting sqref="JA181:JI189">
    <cfRule type="expression" dxfId="67" priority="58">
      <formula>AND(LEN(TRIM($IY181))&gt;0,LEN(TRIM(JA181))=0)</formula>
    </cfRule>
  </conditionalFormatting>
  <conditionalFormatting sqref="JB151:JB162">
    <cfRule type="expression" dxfId="66" priority="229">
      <formula>AND(OR($JB151&gt;100, $JB151&lt;0), JB151&lt;&gt;"Unspecified")</formula>
    </cfRule>
  </conditionalFormatting>
  <conditionalFormatting sqref="JB181:JB189">
    <cfRule type="expression" dxfId="65" priority="59">
      <formula>AND(OR($JB181&gt;100, $JB181&lt;0), JC181&lt;&gt;"Unspecified")</formula>
    </cfRule>
  </conditionalFormatting>
  <conditionalFormatting sqref="JB151:JJ162">
    <cfRule type="expression" dxfId="64" priority="230">
      <formula>AND(LEN(TRIM($IZ151))&gt;0,LEN(TRIM(JB151))=0)</formula>
    </cfRule>
  </conditionalFormatting>
  <conditionalFormatting sqref="JC151:JC162">
    <cfRule type="expression" dxfId="63" priority="231">
      <formula>AND(OR($JC151&gt;100, $JC151&lt;0), JD151&lt;&gt;"Unspecified")</formula>
    </cfRule>
  </conditionalFormatting>
  <conditionalFormatting sqref="JC181:JC189">
    <cfRule type="expression" dxfId="62" priority="60">
      <formula>AND(OR($JC181&gt;100, $JC181&lt;$JB181), $JC181&lt;&gt;"Unspecified")</formula>
    </cfRule>
  </conditionalFormatting>
  <conditionalFormatting sqref="JD151:JD162">
    <cfRule type="expression" dxfId="61" priority="232">
      <formula>AND(OR($JD151&gt;100, $JD151&lt;$JC151), $JD151&lt;&gt;"Unspecified")</formula>
    </cfRule>
  </conditionalFormatting>
  <conditionalFormatting sqref="JD181:JD189">
    <cfRule type="expression" dxfId="60" priority="61">
      <formula>AND($JD181&lt;0, $JD181&lt;&gt;"Unspecified")</formula>
    </cfRule>
  </conditionalFormatting>
  <conditionalFormatting sqref="JE151:JE162">
    <cfRule type="expression" dxfId="59" priority="233">
      <formula>AND($JE151&lt;0, $JE151&lt;&gt;"Unspecified")</formula>
    </cfRule>
  </conditionalFormatting>
  <conditionalFormatting sqref="JE181:JE189">
    <cfRule type="expression" dxfId="58" priority="62">
      <formula>AND($JE181&lt;0, $JE181&lt;&gt;"Unspecified")</formula>
    </cfRule>
  </conditionalFormatting>
  <conditionalFormatting sqref="JF151:JF162">
    <cfRule type="expression" dxfId="57" priority="234">
      <formula>AND($JF151&lt;0, $JF151&lt;&gt;"Unspecified")</formula>
    </cfRule>
  </conditionalFormatting>
  <conditionalFormatting sqref="JF181:JF189">
    <cfRule type="expression" dxfId="56" priority="63">
      <formula>AND($JF181&lt;$JE181, $JF181&lt;&gt;"Unspecified")</formula>
    </cfRule>
  </conditionalFormatting>
  <conditionalFormatting sqref="JG151:JG162">
    <cfRule type="expression" dxfId="55" priority="235">
      <formula>AND($JG151&lt;$JF151, $JG151&lt;&gt;"Unspecified")</formula>
    </cfRule>
  </conditionalFormatting>
  <conditionalFormatting sqref="JG181:JG189">
    <cfRule type="expression" dxfId="54" priority="64">
      <formula>AND($JG181&lt;0, $JG181&lt;&gt;"Unspecified")</formula>
    </cfRule>
  </conditionalFormatting>
  <conditionalFormatting sqref="JH151:JH162">
    <cfRule type="expression" dxfId="53" priority="236">
      <formula>AND($JH151&lt;0, $JH151&lt;&gt;"Unspecified")</formula>
    </cfRule>
  </conditionalFormatting>
  <conditionalFormatting sqref="JH181:JH189">
    <cfRule type="expression" dxfId="52" priority="65">
      <formula>AND($JH181&lt;0, $JH181&lt;&gt;"Unspecified")</formula>
    </cfRule>
  </conditionalFormatting>
  <conditionalFormatting sqref="JI151:JI162">
    <cfRule type="expression" dxfId="51" priority="237">
      <formula>AND($JI151&lt;0, $JI151&lt;&gt;"Unspecified")</formula>
    </cfRule>
  </conditionalFormatting>
  <conditionalFormatting sqref="JI181:JI189">
    <cfRule type="expression" dxfId="50" priority="66">
      <formula>AND($JI181&lt;$JH181, $JI181&lt;&gt;"Unspecified")</formula>
    </cfRule>
  </conditionalFormatting>
  <conditionalFormatting sqref="JJ151:JJ162">
    <cfRule type="expression" dxfId="49" priority="238">
      <formula>AND($JJ151&lt;$JI151, $JJ151&lt;&gt;"Unspecified")</formula>
    </cfRule>
  </conditionalFormatting>
  <conditionalFormatting sqref="JK10:JK49">
    <cfRule type="duplicateValues" dxfId="48" priority="360"/>
  </conditionalFormatting>
  <conditionalFormatting sqref="JK50:JK69">
    <cfRule type="duplicateValues" dxfId="47" priority="358"/>
  </conditionalFormatting>
  <conditionalFormatting sqref="JK70:JK89">
    <cfRule type="duplicateValues" dxfId="46" priority="357"/>
  </conditionalFormatting>
  <conditionalFormatting sqref="JK90:JK109">
    <cfRule type="duplicateValues" dxfId="45" priority="356"/>
  </conditionalFormatting>
  <conditionalFormatting sqref="JK110:JK129">
    <cfRule type="duplicateValues" dxfId="44" priority="354"/>
  </conditionalFormatting>
  <conditionalFormatting sqref="JK130:JK149">
    <cfRule type="duplicateValues" dxfId="43" priority="352"/>
  </conditionalFormatting>
  <conditionalFormatting sqref="JK181:JK189">
    <cfRule type="expression" dxfId="42" priority="67">
      <formula>AND(LEN(TRIM($JJ181))&gt;0,LEN(TRIM(JK181))=0)</formula>
    </cfRule>
  </conditionalFormatting>
  <conditionalFormatting sqref="JL151:JL162">
    <cfRule type="expression" dxfId="41" priority="239">
      <formula>AND(LEN(TRIM($JK151))&gt;0,LEN(TRIM(JL151))=0)</formula>
    </cfRule>
  </conditionalFormatting>
  <conditionalFormatting sqref="JM181:JU181">
    <cfRule type="expression" dxfId="40" priority="147">
      <formula>AND(LEN(TRIM($JL181))&gt;0,LEN(TRIM(JM181))=0)</formula>
    </cfRule>
  </conditionalFormatting>
  <conditionalFormatting sqref="JN182:JU189">
    <cfRule type="expression" dxfId="39" priority="68">
      <formula>AND(LEN(TRIM($JL182))&gt;0,LEN(TRIM(JN182))=0)</formula>
    </cfRule>
  </conditionalFormatting>
  <conditionalFormatting sqref="JN151:JV162">
    <cfRule type="expression" dxfId="38" priority="240">
      <formula>AND(LEN(TRIM($JM151))&gt;0,LEN(TRIM(JN151))=0)</formula>
    </cfRule>
  </conditionalFormatting>
  <conditionalFormatting sqref="JW181:KD189">
    <cfRule type="expression" dxfId="37" priority="69">
      <formula>AND(LEN(TRIM($JV181))&gt;0,LEN(TRIM(JW181))=0)</formula>
    </cfRule>
  </conditionalFormatting>
  <conditionalFormatting sqref="JX151:KE162">
    <cfRule type="expression" dxfId="36" priority="241">
      <formula>AND(LEN(TRIM($JW151))&gt;0,LEN(TRIM(JX151))=0)</formula>
    </cfRule>
  </conditionalFormatting>
  <conditionalFormatting sqref="KF181:KH189">
    <cfRule type="expression" dxfId="35" priority="70">
      <formula>AND(LEN(TRIM($KE181))&gt;0,LEN(TRIM(KF181))=0)</formula>
    </cfRule>
  </conditionalFormatting>
  <conditionalFormatting sqref="KG151:KI162">
    <cfRule type="expression" dxfId="34" priority="242">
      <formula>AND(LEN(TRIM($KF151))&gt;0,LEN(TRIM(KG151))=0)</formula>
    </cfRule>
  </conditionalFormatting>
  <conditionalFormatting sqref="KJ181:KJ189">
    <cfRule type="expression" dxfId="33" priority="71">
      <formula>AND(LEN(TRIM($KI181))&gt;0,LEN(TRIM(KJ181))=0)</formula>
    </cfRule>
  </conditionalFormatting>
  <conditionalFormatting sqref="KK151:KK162">
    <cfRule type="expression" dxfId="32" priority="243">
      <formula>AND(LEN(TRIM($KJ151))&gt;0,LEN(TRIM(KK151))=0)</formula>
    </cfRule>
  </conditionalFormatting>
  <conditionalFormatting sqref="KK181:KM189">
    <cfRule type="expression" dxfId="31" priority="72">
      <formula>AND(LEN(TRIM($KI181))&gt;0,LEN(TRIM(KK181))=0,$KJ181&lt;&gt;"Hand Hoe",LEFT($KJ181,3)&lt;&gt;"No ")</formula>
    </cfRule>
  </conditionalFormatting>
  <conditionalFormatting sqref="KL151:KN162">
    <cfRule type="expression" dxfId="30" priority="244">
      <formula>AND(LEN(TRIM($KJ151))&gt;0,LEN(TRIM(KL151))=0,$KK151&lt;&gt;"Hand Hoe",LEFT($KK151,3)&lt;&gt;"No ")</formula>
    </cfRule>
  </conditionalFormatting>
  <conditionalFormatting sqref="KO181:KQ189">
    <cfRule type="expression" dxfId="29" priority="73">
      <formula>AND(LEN(TRIM($KN181))&gt;0,LEN(TRIM(KO181))=0,$KN181&lt;&gt;"Hand Hoe",LEFT($KN181,3)&lt;&gt;"No ")</formula>
    </cfRule>
  </conditionalFormatting>
  <conditionalFormatting sqref="KP151:KR162">
    <cfRule type="expression" dxfId="28" priority="245">
      <formula>AND(LEN(TRIM($KO151))&gt;0,LEN(TRIM(KP151))=0,$KO151&lt;&gt;"Hand Hoe",LEFT($KO151,3)&lt;&gt;"No ")</formula>
    </cfRule>
  </conditionalFormatting>
  <conditionalFormatting sqref="KS181:KU189">
    <cfRule type="expression" dxfId="27" priority="74">
      <formula>AND(LEN(TRIM($KR181))&gt;0,LEN(TRIM(KS181))=0,$KR181&lt;&gt;"Hand Hoe",LEFT($KR181,3)&lt;&gt;"No ")</formula>
    </cfRule>
  </conditionalFormatting>
  <conditionalFormatting sqref="KT151:KV162">
    <cfRule type="expression" dxfId="26" priority="246">
      <formula>AND(LEN(TRIM($KS151))&gt;0,LEN(TRIM(KT151))=0,$KS151&lt;&gt;"Hand Hoe",LEFT($KS151,3)&lt;&gt;"No ")</formula>
    </cfRule>
  </conditionalFormatting>
  <conditionalFormatting sqref="LB181:LB189 LD181:LD189 LF181:LF189 LH181:LN189">
    <cfRule type="expression" dxfId="25" priority="75">
      <formula>AND(LEN(TRIM($KW181))&gt;0,LEN(TRIM(LB181))=0,$KW181&lt;&gt;"No mulch applied")</formula>
    </cfRule>
  </conditionalFormatting>
  <conditionalFormatting sqref="LC151:LK162">
    <cfRule type="expression" dxfId="24" priority="247">
      <formula>AND(LEN(TRIM($KX151))&gt;0,LEN(TRIM(LC151))=0,$KX151&lt;&gt;"No mulch applied")</formula>
    </cfRule>
  </conditionalFormatting>
  <conditionalFormatting sqref="LM151:LP162">
    <cfRule type="expression" dxfId="23" priority="248">
      <formula>AND(LEN(TRIM($LL151))&gt;0,LEN(TRIM(LM151))=0)</formula>
    </cfRule>
  </conditionalFormatting>
  <conditionalFormatting sqref="LP181:LS189">
    <cfRule type="expression" dxfId="22" priority="76">
      <formula>AND(LEN(TRIM($LO181))&gt;0,LEN(TRIM(LP181))=0)</formula>
    </cfRule>
  </conditionalFormatting>
  <conditionalFormatting sqref="LR151:LW162">
    <cfRule type="expression" dxfId="21" priority="249">
      <formula>AND(LEN(TRIM($LQ151))&gt;0,LEN(TRIM(LR151))=0)</formula>
    </cfRule>
  </conditionalFormatting>
  <conditionalFormatting sqref="LU181:MA189">
    <cfRule type="expression" dxfId="20" priority="77">
      <formula>AND(LEN(TRIM($LT181))&gt;0,LEN(TRIM(LU181))=0)</formula>
    </cfRule>
  </conditionalFormatting>
  <conditionalFormatting sqref="LY151:LY162">
    <cfRule type="expression" dxfId="19" priority="250">
      <formula>AND(LEN(TRIM($LX151))&gt;0,LEN(TRIM(LY151))=0)</formula>
    </cfRule>
  </conditionalFormatting>
  <conditionalFormatting sqref="MC181:MC189">
    <cfRule type="expression" dxfId="18" priority="78">
      <formula>AND(LEN(TRIM($MB181))&gt;0,LEN(TRIM(MC181))=0)</formula>
    </cfRule>
  </conditionalFormatting>
  <conditionalFormatting sqref="MD151:MG162">
    <cfRule type="expression" dxfId="17" priority="251">
      <formula>AND(LEN(TRIM($MC151))&gt;0,LEN(TRIM(MD151))=0)</formula>
    </cfRule>
  </conditionalFormatting>
  <conditionalFormatting sqref="MH181:MK189">
    <cfRule type="expression" dxfId="16" priority="79">
      <formula>AND(LEN(TRIM($MG181))&gt;0,LEN(TRIM(MH181))=0)</formula>
    </cfRule>
  </conditionalFormatting>
  <conditionalFormatting sqref="MI151:MI162 MM151:MO162">
    <cfRule type="expression" dxfId="15" priority="252">
      <formula>AND(LEN(TRIM($MH151))&gt;0,LEN(TRIM(MI151))=0)</formula>
    </cfRule>
  </conditionalFormatting>
  <conditionalFormatting sqref="MM181:MM189 MQ181:MS189">
    <cfRule type="expression" dxfId="14" priority="80">
      <formula>AND(LEN(TRIM($ML181))&gt;0,LEN(TRIM(MM181))=0)</formula>
    </cfRule>
  </conditionalFormatting>
  <conditionalFormatting sqref="MQ151:MT162">
    <cfRule type="expression" dxfId="13" priority="253">
      <formula>AND(LEN(TRIM($MP151))&gt;0,LEN(TRIM(MQ151))=0)</formula>
    </cfRule>
  </conditionalFormatting>
  <conditionalFormatting sqref="MU181:MX189">
    <cfRule type="expression" dxfId="12" priority="81">
      <formula>AND(LEN(TRIM($MT181))&gt;0,LEN(TRIM(MU181))=0)</formula>
    </cfRule>
  </conditionalFormatting>
  <conditionalFormatting sqref="MW151:MW162">
    <cfRule type="expression" dxfId="11" priority="166">
      <formula>AND(LEN(TRIM($NG151))&gt;0,LEN(TRIM(MW151))=0)</formula>
    </cfRule>
  </conditionalFormatting>
  <conditionalFormatting sqref="MY151:MY162">
    <cfRule type="expression" dxfId="10" priority="254">
      <formula>AND(LEN(TRIM($MW151))&gt;0,LEN(TRIM(MY151))=0)</formula>
    </cfRule>
  </conditionalFormatting>
  <conditionalFormatting sqref="NA181:NB189">
    <cfRule type="expression" dxfId="9" priority="82">
      <formula>AND(LEN(TRIM($NA181))&gt;0,LEN(TRIM(NA181))=0)</formula>
    </cfRule>
  </conditionalFormatting>
  <conditionalFormatting sqref="NF10:NF29">
    <cfRule type="duplicateValues" dxfId="8" priority="359"/>
  </conditionalFormatting>
  <conditionalFormatting sqref="NF90:NF109">
    <cfRule type="duplicateValues" dxfId="7" priority="355"/>
  </conditionalFormatting>
  <conditionalFormatting sqref="NF110:NF129">
    <cfRule type="duplicateValues" dxfId="6" priority="353"/>
  </conditionalFormatting>
  <conditionalFormatting sqref="NF130:NF149">
    <cfRule type="duplicateValues" dxfId="5" priority="351"/>
  </conditionalFormatting>
  <conditionalFormatting sqref="NH151:NJ162">
    <cfRule type="expression" dxfId="4" priority="165">
      <formula>AND(LEN(TRIM($NG151))&gt;0,LEN(TRIM(NH151))=0)</formula>
    </cfRule>
  </conditionalFormatting>
  <conditionalFormatting sqref="NK181:NM189">
    <cfRule type="expression" dxfId="3" priority="83">
      <formula>AND(LEN(TRIM($NJ181))&gt;0,LEN(TRIM(NK181))=0)</formula>
    </cfRule>
  </conditionalFormatting>
  <conditionalFormatting sqref="NL151:NL162">
    <cfRule type="expression" dxfId="2" priority="256">
      <formula>AND($NL151&lt;$NK151, $NL151&lt;&gt;"Unspecified")</formula>
    </cfRule>
  </conditionalFormatting>
  <conditionalFormatting sqref="NO181:NO189">
    <cfRule type="expression" dxfId="1" priority="84">
      <formula>AND($NO181&lt;$NN181, $NO181&lt;&gt;"Unspecified")</formula>
    </cfRule>
  </conditionalFormatting>
  <conditionalFormatting sqref="NT152">
    <cfRule type="expression" dxfId="0" priority="266">
      <formula>AND($NL152&lt;$NK152, $NL152&lt;&gt;"Unspecified")</formula>
    </cfRule>
  </conditionalFormatting>
  <dataValidations count="145">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O151:JO162 JK151:JK162 JJ181:JJ189" xr:uid="{4ED76847-5B18-454C-9588-9145C9AB4FF5}"/>
    <dataValidation type="list" errorStyle="warning" allowBlank="1" showInputMessage="1" showErrorMessage="1" prompt="Country where the study site is located" sqref="C150:C162 C180:C189" xr:uid="{1B617AED-4B4F-413A-B97B-E411DE8EB3C8}">
      <formula1>CountryList</formula1>
    </dataValidation>
    <dataValidation errorStyle="warning" allowBlank="1" showInputMessage="1" showErrorMessage="1" prompt="Unit used to report elemental nutrient quantities (N, P, K) applied from inorganic fertilizers. Try to record kg/ha" sqref="JQ150:JQ162 JP180:JP181" xr:uid="{82C81E34-CC3C-4EFC-AA38-1E1D06546820}"/>
    <dataValidation allowBlank="1" showInputMessage="1" showErrorMessage="1" prompt="List the starting season of an experimental treatment in systems with &gt;1 growing season. If a region has unimodal rainfall or if seasonality is unespecified please leave this file blanck" sqref="IT150:IT162 IT180:IT181" xr:uid="{ED7BD84D-0623-42F1-9059-72AC171D9983}"/>
    <dataValidation allowBlank="1" showInputMessage="1" showErrorMessage="1" prompt="Unique ID assigned to each site/treatment/managment." sqref="BF150:BF162 BE180:BE189" xr:uid="{258EC4AC-D166-43C1-A0D6-AC04EB098383}"/>
    <dataValidation allowBlank="1" showInputMessage="1" showErrorMessage="1" prompt="Detailed description of how the practice or sub-practice was implemented, including contextual or methodological qualifiers (e.g., frequency, intensity, timing, species used)." sqref="IO151:IO162 BE150:BE162 BD180:BD189 NT182:NT189 IO182:IO189" xr:uid="{22E8112C-57F0-4F10-AE44-B53B6D43CA3F}"/>
    <dataValidation allowBlank="1" showInputMessage="1" showErrorMessage="1" prompt="Subpractice or specific implementation detail of the broader practice as reported (e.g., “reduced tillage”, “legume intercrop”, “organic manure application”)." sqref="BD150:BD162" xr:uid="{7AF3BD43-6152-4886-9E28-879D8A91FED3}"/>
    <dataValidation allowBlank="1" showInputMessage="1" showErrorMessage="1" prompt="Unique identifier assigned to each study" sqref="B150:B162 B180:B189" xr:uid="{86604966-3257-45BF-81DF-69BE17838536}"/>
    <dataValidation allowBlank="1" showInputMessage="1" showErrorMessage="1" prompt="Unique identifier assigned to the study by the original systematic synthesis." sqref="A150:A162 A180:A189" xr:uid="{DC347A44-A9B9-446C-AF76-0ECE5288BE47}"/>
    <dataValidation type="decimal" errorStyle="warning" allowBlank="1" showInputMessage="1" showErrorMessage="1" prompt="Duration (Days). Use with Weight Gain subindicator." sqref="NY151:NY162 NQ151:NQ162 NT181" xr:uid="{3226627B-96D6-4B65-BF23-E47D0344D950}">
      <formula1>0</formula1>
      <formula2>1000</formula2>
    </dataValidation>
    <dataValidation errorStyle="warning" operator="lessThanOrEqual" allowBlank="1" showInputMessage="1" showErrorMessage="1" prompt="Experimental design information, such as plot size, layout and notes on historical management. " sqref="MU151:MU162 MY181:MY189" xr:uid="{8AA91A17-F66C-41FB-B82A-0B94DF857629}"/>
    <dataValidation type="whole" errorStyle="warning" operator="greaterThanOrEqual" allowBlank="1" showInputMessage="1" showErrorMessage="1" prompt="(Days after Storage for Postharvest)" sqref="MO151:MO162 MS181:MS189" xr:uid="{6C37C122-CDF3-483E-833E-C6EC6C668487}">
      <formula1>30</formula1>
    </dataValidation>
    <dataValidation type="whole" errorStyle="warning" operator="greaterThanOrEqual" allowBlank="1" showInputMessage="1" showErrorMessage="1" prompt="Harvest Days After Planting" sqref="MG151:MG162 MK181:MK189" xr:uid="{CBBB7E3F-8299-42E2-AAA4-D8F220BDF814}">
      <formula1>30</formula1>
    </dataValidation>
    <dataValidation type="decimal" errorStyle="warning" operator="greaterThanOrEqual" allowBlank="1" showInputMessage="1" showErrorMessage="1" prompt="Value measure of dispersion when variation is reported as standard deviation or standard error" sqref="OD151:OD162 NY181 NY183:NY189" xr:uid="{C669A7E0-C2B2-404B-A1B7-7316E5EFF155}">
      <formula1>0</formula1>
    </dataValidation>
    <dataValidation type="decimal" errorStyle="warning" allowBlank="1" showInputMessage="1" showErrorMessage="1" prompt="Soil outcome depths (cm) upper. Upper depth of measurement (cm) for soil outcomes" sqref="NT152 NL151:NL162 NO181:NO189" xr:uid="{9FF782D7-06B1-431F-A83D-AB123CE480C0}">
      <formula1>0</formula1>
      <formula2>200</formula2>
    </dataValidation>
    <dataValidation type="decimal" errorStyle="warning" allowBlank="1" showInputMessage="1" showErrorMessage="1" prompt="Soil outcome depths (cm) lower. Lower depth of measurement (cm) for soil outcomes" sqref="NK151:NK162 NN181:NN189" xr:uid="{EB0F826B-F9DD-43A7-870A-16FE9F37E4B3}">
      <formula1>0</formula1>
      <formula2>200</formula2>
    </dataValidation>
    <dataValidation allowBlank="1" showInputMessage="1" showErrorMessage="1" prompt="Choose a easy to recognize name for the practice, you will use this name to reference it when building treatments later in the extraction process. Avoid using special characters." sqref="IV150:IV162 IV180:IV181" xr:uid="{C2EB7B28-9C39-4D12-ADD5-B3E6915F9DFC}"/>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P151:HP162 HO181:HO189" xr:uid="{93EA95EA-C25E-4DE2-93C9-118CDFA44BE1}">
      <formula1>0</formula1>
      <formula2>150</formula2>
    </dataValidation>
    <dataValidation allowBlank="1" showInputMessage="1" showErrorMessage="1" prompt="Unit used to report elemental nutrient quantities (N, P, K) applied from organic fertilizers. Try to record kg/ha" sqref="KA151:KA162" xr:uid="{E50B9E90-C9B8-49AA-A95E-D0C1A6C38E08}"/>
    <dataValidation type="list" errorStyle="warning" allowBlank="1" showInputMessage="1" showErrorMessage="1" prompt="Standardised name of the specific study site" sqref="AO151:AO162 AO181:AO189" xr:uid="{3ACCAA2D-F34E-41CA-B869-1CB9772D2612}">
      <formula1>INDIRECT($AM151)</formula1>
    </dataValidation>
    <dataValidation type="list" errorStyle="warning" allowBlank="1" showInputMessage="1" showErrorMessage="1" prompt="Standardised name of the specific study site" sqref="AF151:AF162 AF181:AF189" xr:uid="{DC4006EF-AE94-4876-B524-5659986F7828}">
      <formula1>INDIRECT($AD151)</formula1>
    </dataValidation>
    <dataValidation type="list" errorStyle="warning" allowBlank="1" showInputMessage="1" showErrorMessage="1" prompt="Standardised name of the specific study site" sqref="W151:W162 W181:W189" xr:uid="{2BD3A263-10F1-43FC-86E8-CEAAAE1573E4}">
      <formula1>INDIRECT($U151)</formula1>
    </dataValidation>
    <dataValidation type="list" errorStyle="warning" allowBlank="1" showInputMessage="1" showErrorMessage="1" prompt="Standardised name of the specific study site" sqref="N151:N162 N181:N189" xr:uid="{0D59DB84-0D9C-4C8D-9156-17A1D3ED10C9}">
      <formula1>INDIRECT($L151)</formula1>
    </dataValidation>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AU151:AU162 AL151:AL162 AC151:AC162 T151:T162 K151:K162 AC181:AC189 K181:K189 T181:T189 AL181:AL189 AU181:AU189" xr:uid="{10A846C4-039E-48BA-AA72-9267A95CEAC6}"/>
    <dataValidation errorStyle="warning" allowBlank="1" showInputMessage="1" showErrorMessage="1" prompt="Longitude of the study location in decimal degrees, recorded at the precision reported in the publication or derived from place-based geocoding when coordinates are not provided." sqref="AT151:AT162 AK151:AK162 AB151:AB162 S151:S162 J151:J162 J181:J189 AB181:AB189 S181:S189 AK181:AK189 AT181:AT189" xr:uid="{90FA1B67-7E2F-47B4-BC7A-4CCEB7362798}"/>
    <dataValidation errorStyle="warning" allowBlank="1" showInputMessage="1" showErrorMessage="1" prompt="Latitude of the study location in decimal degrees, recorded at the precision reported in the publication or derived from place-based geocoding when coordinates are not provided." sqref="AS151:AS162 AJ151:AJ162 AA151:AA162 R151:R162 I151:I162 AA181:AA189 I181:I189 R181:R189 AJ181:AJ189 AS181:AS189" xr:uid="{43DCBAB0-0BBD-48C0-903A-9BE51E264862}"/>
    <dataValidation errorStyle="warning" allowBlank="1" showInputMessage="1" showErrorMessage="1" prompt="For biodiversity outcomes, specify the functional group related to taxa assessed, if specified in the article" sqref="ND151:ND162 NG181:NG189" xr:uid="{1C9D1839-79D2-48A2-BF71-7F20127A768C}"/>
    <dataValidation type="decimal" errorStyle="warning" operator="greaterThanOrEqual" allowBlank="1" showInputMessage="1" showErrorMessage="1" prompt="Lower limit for variation in suboutcome when variation is reported as a confidence interval or interquartile range." sqref="OE151:OE162" xr:uid="{EF960171-20F1-46C3-94AC-5FF1D14B6677}">
      <formula1>-9.99999999999999E+40</formula1>
    </dataValidation>
    <dataValidation type="decimal" errorStyle="warning" operator="greaterThanOrEqual" allowBlank="1" showInputMessage="1" showErrorMessage="1" prompt="Numerical value corresponding to the reported central tendency of the sub-outcome." sqref="NT151 OB151:OB162 NT153:NT162 NW181:NW189" xr:uid="{8A7B464E-AAF0-4222-AE4B-51EF55D1EF5E}">
      <formula1>-9.99999999999999E+30</formula1>
    </dataValidation>
    <dataValidation type="decimal" errorStyle="warning" operator="lessThanOrEqual" allowBlank="1" showInputMessage="1" showErrorMessage="1" prompt="Size of Harvested Plot (m2)." sqref="MV151:MV162" xr:uid="{E3478747-B97C-4EF0-8710-04654C72323D}">
      <formula1>AW151</formula1>
    </dataValidation>
    <dataValidation type="date" errorStyle="warning" allowBlank="1" showInputMessage="1" showErrorMessage="1" prompt="(Storage Date End for Postharvest)" sqref="MN151:MN162 MR181:MR189" xr:uid="{54E3AD9B-A97D-41D8-B958-2B6217DA0B6E}">
      <formula1>MM151</formula1>
      <formula2>73415</formula2>
    </dataValidation>
    <dataValidation type="date" errorStyle="warning" allowBlank="1" showInputMessage="1" showErrorMessage="1" prompt="(Storage Date Start for Postharvest)" sqref="MM151:MM162 MQ181:MQ189" xr:uid="{B5514CF3-2951-4CE4-8900-FD9162941260}">
      <formula1>1</formula1>
      <formula2>73415</formula2>
    </dataValidation>
    <dataValidation type="date" errorStyle="warning" operator="greaterThanOrEqual" allowBlank="1" showInputMessage="1" showErrorMessage="1" prompt="Harvest Date End (dd/mm/yy)" sqref="MF151:MF162 MJ181:MJ189" xr:uid="{5DCF576B-6A79-4EE6-ACEB-B8F0B8767C62}">
      <formula1>ME151</formula1>
    </dataValidation>
    <dataValidation type="date" errorStyle="warning" allowBlank="1" showInputMessage="1" showErrorMessage="1" prompt="Harvest Date Start (dd/mm/yy)" sqref="ME151:ME162 MI181:MI189" xr:uid="{23BC7648-6DAC-4867-81E5-465502C6F43C}">
      <formula1>1</formula1>
      <formula2>73415</formula2>
    </dataValidation>
    <dataValidation type="list" errorStyle="warning" allowBlank="1" showInputMessage="1" showErrorMessage="1" prompt="Tree (plant species). Only required if a material comes from a tree or shrub" sqref="LF151:LF162 LI181:LI189" xr:uid="{6A90E4E0-79FD-47C4-8CD3-F6A0991A138B}">
      <formula1>tree.latin.name</formula1>
    </dataValidation>
    <dataValidation type="list" errorStyle="warning" allowBlank="1" showInputMessage="1" showErrorMessage="1" prompt="Name of the organic fertilizer" sqref="JX151:JX162" xr:uid="{D0822299-31CD-4BFF-8D63-219F8D1CC5D4}">
      <formula1>INDIRECT($JW151)</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N151:JN162" xr:uid="{F5B94E05-F145-44E0-8BF4-F517697B10A4}">
      <formula1>INDIRECT($JM151)</formula1>
    </dataValidation>
    <dataValidation errorStyle="warning" allowBlank="1" showInputMessage="1" showErrorMessage="1" prompt="Name of the agroforestry practice. This dimension captures whether trees are part of a rotation." sqref="IY151:IY162" xr:uid="{473D9515-EC6E-4E45-8EB2-3BBE65116C94}"/>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D151:ID162 IB181:IB189" xr:uid="{4F1A25F5-1B89-4BA5-BCBF-237CAAAEB6C5}"/>
    <dataValidation type="list" errorStyle="warning" allowBlank="1" showInputMessage="1" showErrorMessage="1" prompt="Breed of the animal" sqref="IC151:IC162" xr:uid="{6A64258A-EC0D-4C9F-AFCF-1F72B09CEAEF}">
      <formula1>INDIRECT($IB151)</formula1>
    </dataValidation>
    <dataValidation type="list" errorStyle="warning" allowBlank="1" showInputMessage="1" showErrorMessage="1" prompt="Name of the animal" sqref="IB151:IB162 IC181:IC189" xr:uid="{188D838F-CA7D-48E9-8102-300D4CF39443}">
      <formula1>AnimalsList</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N151:GN162" xr:uid="{3C0262EE-1841-407B-B1D1-5B1756A961D4}">
      <formula1>INDIRECT($GM151)</formula1>
    </dataValidation>
    <dataValidation type="decimal" errorStyle="warning" operator="greaterThan" allowBlank="1" showInputMessage="1" showErrorMessage="1" prompt="Numerical value of animal growing density corresponding to the selected animal and density unit." sqref="HJ151:HJ162 HE151:HE162 GZ151:GZ162 GU151:GU162 GP151:GP162 GY181:GY189 HD181:HD189 HI181:HI189 GO181:GO189 GT181:GT189" xr:uid="{AE2E32A0-1545-4D3B-8950-5FC3ACCD1AE1}">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G151:HG162 HB151:HB162 GW151:GW162 GR151:GR162 GM151:GM162 GV181:GV189 HA181:HA189 HF181:HF189 GL181:GL189 GQ181:GQ189" xr:uid="{770FF079-4E70-4DF6-A0D9-B58A6AEF891E}">
      <formula1>AnimalsList</formula1>
    </dataValidation>
    <dataValidation type="decimal" errorStyle="warning" operator="greaterThanOrEqual" allowBlank="1" showInputMessage="1" prompt="Numerical value of crop planting density corresponding to the selected crop and density unit._x000a__x000a_Should be greater than 0" sqref="BK151:BK162 DD151:DD162 DI151:DI162 DN151:DN162 DS151:DS162 DX151:DX162 EC151:EC162 CY151:CY162 BU151:BU162 BZ151:BZ162 CE151:CE162 CJ151:CJ162 CO151:CO162 CT151:CT162 BP151:BP162 BJ181:BJ189 BT181:BT189 CD181:CD189 BY181:BY189 BO181:BO189 EB181:EB189 DW181:DW189 DR181:DR189 DM181:DM189 DH181:DH189 DC181:DC189 CX181:CX189 CI181:CI189 CS181:CS189 CN181:CN189" xr:uid="{EFB4DB30-BEAA-4217-AC77-4F4376C06FD6}">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I151:BI162 DB151:DB162 DG151:DG162 DL151:DL162 DQ151:DQ162 DV151:DV162 EA151:EA162 BN151:BN162 BS151:BS162 BX151:BX162 CC151:CC162 CH151:CH162 CM151:CM162 CR151:CR162 CW151:CW162" xr:uid="{F6261401-77DE-4BCD-9819-FA143552D056}">
      <formula1>INDIRECT(BH151)</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CV151:CV162 DA151:DA162 DF151:DF162 DK151:DK162 DP151:DP162 DU151:DU162 DZ151:DZ162 BM151:BM162 BR151:BR162 BW151:BW162 CB151:CB162 CG151:CG162 CL151:CL162 CQ151:CQ162 BH151:BH162 BG181:BG189 BQ181:BQ189 BU181:BV189 BL181:BL189 DY181:DY189 DT181:DT189 DO181:DO189 DJ181:DJ189 DE181:DE189 CZ181:CZ189 CU181:CU189 CA181:CA189 CF181:CF189 CP181:CP189 CK181:CK189" xr:uid="{D7D3B5A5-5EF8-4A31-B4B2-DB2BCE8B4D72}">
      <formula1>CropList</formula1>
    </dataValidation>
    <dataValidation type="decimal" errorStyle="warning" operator="greaterThanOrEqual" allowBlank="1" showInputMessage="1" showErrorMessage="1" prompt="Amount of Water Applied" sqref="LV151:LV162 LZ181:LZ189" xr:uid="{37896B8A-FBDD-4C56-9A52-A4AF2C0E4130}">
      <formula1>0</formula1>
    </dataValidation>
    <dataValidation type="date" errorStyle="warning" operator="greaterThanOrEqual" allowBlank="1" showInputMessage="1" showErrorMessage="1" prompt="Date End of the irrigation" sqref="LT151:LT162 LX181:LX189" xr:uid="{E92292F7-D056-4FFC-A372-96082A049E7A}">
      <formula1>LS151</formula1>
    </dataValidation>
    <dataValidation type="date" errorStyle="warning" allowBlank="1" showInputMessage="1" showErrorMessage="1" prompt="Date Start of the irrigation" sqref="LS151:LS162 LW181:LW189" xr:uid="{0C518A3D-AA51-4078-A257-525857C9C739}">
      <formula1>1</formula1>
      <formula2>73415</formula2>
    </dataValidation>
    <dataValidation type="list" errorStyle="warning" allowBlank="1" showInputMessage="1" showErrorMessage="1" prompt="Variety, cultivar of the crop" sqref="HX151:HX162 HX181:HX189" xr:uid="{D913C98B-7BF9-48FE-940D-3DF53333A480}">
      <formula1>INDIRECT($HW151)</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W151:HW162 HW181:HW189" xr:uid="{42A80C0A-ACFD-4D49-86AB-37F887847F31}">
      <formula1>CropList</formula1>
    </dataValidation>
    <dataValidation type="date" errorStyle="warning" allowBlank="1" showInputMessage="1" prompt="Planting Date Start (dd/mm/yy)" sqref="HU151:HU162 HT181:HT189" xr:uid="{283A1DD3-4064-45B4-B5E3-47D4745343F4}">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R151:HR162 HQ181:HQ189" xr:uid="{89DCAD7B-6878-46E5-A763-A4F9454CFE7A}"/>
    <dataValidation type="whole" errorStyle="warning" operator="greaterThan" allowBlank="1" showInputMessage="1" showErrorMessage="1" prompt="How many times was the land tilled during one experimental season " sqref="HQ151:HQ162 HP181:HP189" xr:uid="{1A737786-7E78-466C-B9E9-FD4472297CAE}">
      <formula1>0</formula1>
    </dataValidation>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L151:HL162 HK181:HK189" xr:uid="{AC63538A-4527-4ACE-B169-FA325CDE5C6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OR151:OR162 OU181:OU189" xr:uid="{0C44F52F-2EA8-40B2-9B3F-F6B63E5E83F1}"/>
    <dataValidation type="decimal" errorStyle="warning" operator="greaterThanOrEqual" allowBlank="1" showInputMessage="1" showErrorMessage="1" prompt="Amount Applied. Captures the total amount of pH-altering material applied" sqref="LP151:LP162 LS181:LS189" xr:uid="{F28669DE-A65D-4643-BD91-D48534A312A4}">
      <formula1>0</formula1>
    </dataValidation>
    <dataValidation type="decimal" errorStyle="warning" operator="greaterThanOrEqual" allowBlank="1" showInputMessage="1" showErrorMessage="1" prompt="Amount of material applied in the study_x000a__x000a_Should be 0 or higher" sqref="LK151:LK162 LN181:LN189" xr:uid="{2D632AF5-466D-4DC7-AFDC-4F8B439A0384}">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L151:KL162" xr:uid="{61140D34-C075-4E9A-9B19-0A9A5018372B}">
      <formula1>INDIRECT($KK151)</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KW151:KW162 LL151:LL162 LQ151:LQ162 MH151:MH162 MC151:MC162 MP151:MP162 LX150:LX162 MB180:MB181 MT181:MT189 MG181:MG189 ML181:ML189 LT181:LT189 LO181:LO189 KV181:KV189" xr:uid="{1861F155-AFAD-402C-B4FB-E8C1E358072F}"/>
    <dataValidation type="decimal" errorStyle="warning" operator="greaterThanOrEqual" allowBlank="1" showInputMessage="1" showErrorMessage="1" prompt="Chemical amount applied_x000a__x000a_Should be 0 or higher" sqref="KN151:KN162 KR151:KR162 KV151:KV162 KM181:KM189 KU181:KU189 KQ181:KQ189" xr:uid="{45269E77-79E0-4D17-B613-E45B35C3E157}">
      <formula1>0</formula1>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F151:KF162 KE181:KE189" xr:uid="{38E7B35C-57B0-49B7-BB58-0D26C60A7CDC}"/>
    <dataValidation type="decimal" errorStyle="warning" operator="greaterThanOrEqual" allowBlank="1" showInputMessage="1" showErrorMessage="1" prompt="Total elemental potassium applied from organic sources (e.g., compost, manure, biosolid)." sqref="KD151:KD162 KC181:KC189" xr:uid="{A5B12581-8745-4A35-BA68-456C3E1DC75D}">
      <formula1>0</formula1>
    </dataValidation>
    <dataValidation type="decimal" errorStyle="warning" operator="greaterThanOrEqual" allowBlank="1" showInputMessage="1" showErrorMessage="1" prompt="Total elemental phosphorus applied from organic sources (e.g., compost, manure, biosolid)." sqref="KC151:KC162 KB181:KB189" xr:uid="{433F4601-FB02-4BDB-9086-4BD0359C5504}">
      <formula1>0</formula1>
    </dataValidation>
    <dataValidation type="decimal" errorStyle="warning" operator="greaterThanOrEqual" allowBlank="1" showInputMessage="1" showErrorMessage="1" prompt="Total elemental nitrogen applied  from organic sources (e.g., compost, manure, biosolid)." sqref="KB151:KB162 KA181:KA189" xr:uid="{B87E790A-639E-49D8-8F72-50852871A3F7}">
      <formula1>0</formula1>
    </dataValidation>
    <dataValidation type="whole" errorStyle="warning" allowBlank="1" showInputMessage="1" prompt="The start year of the crop rotation practice" sqref="IS151:IS162 IS181:IS189" xr:uid="{F5E450A8-DF0B-4A2C-8B13-8C96FDE5B20F}">
      <formula1>1900</formula1>
      <formula2>2100</formula2>
    </dataValidation>
    <dataValidation errorStyle="warning" allowBlank="1" showInputMessage="1" showErrorMessage="1" prompt="Intercropping start season" sqref="IM151:IM162 IM181:IM189" xr:uid="{A15F823F-5145-44A8-AAA0-7B1EFED0E2CE}"/>
    <dataValidation type="whole" errorStyle="warning" allowBlank="1" showInputMessage="1" showErrorMessage="1" prompt="Intercropping start year" sqref="IL151:IL162 IL181:IL189" xr:uid="{52C8C3A3-5DE6-4243-B39B-25E4628CDFAA}">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H151:IH162 IO181 IH181:IH189" xr:uid="{5B642FC0-D024-49AA-BFBC-958FD0B76459}"/>
    <dataValidation type="decimal" errorStyle="warning" operator="greaterThanOrEqual" allowBlank="1" showInputMessage="1" showErrorMessage="1" prompt="Numerical value of tree planting density corresponding to the selected tree and density unit._x000a__x000a_Should be greater than 0" sqref="EO151:EO162 EG151:EG162 EK151:EK162 ES151:ES162 EW151:EW162 FA151:FA162 FE151:FE162 FI151:FI162 FM151:FM162 FQ151:FQ162 FU151:FU162 FY151:FY162 GC151:GC162 GG151:GG162 GK151:GK162 FD181:FD189 FX181:FX189 FT181:FT189 FP181:FP189 FL181:FL189 FH181:FH189 EZ181:EZ189 EV181:EV189 ER181:ER189 EF181:EF189 GB181:GB189 GJ181:GJ189 GF181:GF189 EN181:EN189 EJ181:EJ189" xr:uid="{AFDCAC5D-DB0F-485B-BD70-A94CEC4DBA59}">
      <formula1>0</formula1>
    </dataValidation>
    <dataValidation errorStyle="warning" allowBlank="1" showInputMessage="1" showErrorMessage="1" prompt="Total elemental nitrogen, phosphorus, and potassium applied from inorganic sources (e.g., urea or DAP)." sqref="JP151:JP162 JO181:JO189 JQ181:JS189" xr:uid="{024DD035-1684-4EF4-8635-247530DBA31E}"/>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V151:OV162 OY181:OY189" xr:uid="{65C28106-D232-48DB-BAAE-2FD3D33FEFDA}">
      <formula1>OU151</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U151:OU162 OX181:OX189" xr:uid="{2495B4C8-BEF1-4AB6-B1D6-7324002729D3}">
      <formula1>1900</formula1>
      <formula2>2100</formula2>
    </dataValidation>
    <dataValidation errorStyle="warning" allowBlank="1" showInputMessage="1" showErrorMessage="1" prompt="Season as stated by the author" sqref="BC151:BC162 BC181:BC189" xr:uid="{077FD991-887F-4313-ADAF-AD897A4D781E}"/>
    <dataValidation type="whole" errorStyle="warning" allowBlank="1" showInputMessage="1" showErrorMessage="1" prompt="Year when the experiment stopped. Year End as stated by the author _x000a__x000a_Should be equal to start year or later" sqref="BB151:BB162 BB181:BB189" xr:uid="{A8558041-960B-4AC6-BF38-C2E05E41035A}">
      <formula1>BA151</formula1>
      <formula2>2100</formula2>
    </dataValidation>
    <dataValidation type="whole" errorStyle="warning" allowBlank="1" showInputMessage="1" showErrorMessage="1" prompt="Year when the experiment started. Year Start as stated by the author" sqref="BA151:BA162 BA181:BA189" xr:uid="{782F4D90-BB80-41EB-982E-24EF0AAE166B}">
      <formula1>1900</formula1>
      <formula2>2100</formula2>
    </dataValidation>
    <dataValidation errorStyle="warning" allowBlank="1" showInputMessage="1" showErrorMessage="1" prompt="Complete with the specific time period name the study provide" sqref="AZ151:AZ162 AZ181:AZ189" xr:uid="{875F8ED0-75DD-465F-B8A1-1992A541F8C4}"/>
    <dataValidation type="whole" errorStyle="warning" operator="greaterThanOrEqual" allowBlank="1" showInputMessage="1" showErrorMessage="1" prompt="Length of time the experiment has been ongoing up to the date the data are being reported for in years._x000a__x000a_Should be 0 or greater" sqref="AY151:AY162" xr:uid="{D31EBF5A-08BE-44EE-AA87-7BDEACDD194C}">
      <formula1>0</formula1>
    </dataValidation>
    <dataValidation type="decimal" errorStyle="warning" operator="greaterThanOrEqual" allowBlank="1" showInputMessage="1" prompt="Field size in hectares_x000a__x000a_Should be greater than 0" sqref="AX151:AX162" xr:uid="{B9B94253-150B-4DA7-95CD-9C8CD7DE5DF1}">
      <formula1>0</formula1>
    </dataValidation>
    <dataValidation type="decimal" errorStyle="warning" operator="greaterThan" allowBlank="1" showInputMessage="1" prompt="The size of a treatment plot in the experiment, if variable use the mean value or mid-point of the size range._x000a__x000a_Valulue should be greater than 0" sqref="AW151:AW162" xr:uid="{A28BE3D9-902A-46F4-BE0D-26EF0C6A73C4}">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151:AV162 AV181:AV189" xr:uid="{EDDC035C-057B-4774-8D32-8FF604A986B1}"/>
    <dataValidation type="decimal" errorStyle="warning" operator="greaterThanOrEqual" allowBlank="1" showInputMessage="1" prompt="Value should be above agrof_dhb_min, or write &quot;Unspecified&quot; if unknown." sqref="JJ151:JJ162 JI181:JI189" xr:uid="{DBB6253B-89ED-496D-BE09-9F3B6E01F908}">
      <formula1>JH151</formula1>
    </dataValidation>
    <dataValidation type="decimal" errorStyle="warning" operator="greaterThanOrEqual" allowBlank="1" showInputMessage="1" prompt="Value should be above 0, or write &quot;Unspecified&quot; if unknown." sqref="JI151:JI162 JH181:JH189" xr:uid="{DCBB8FD0-89A5-46F0-92FD-75D6F7E17582}">
      <formula1>0</formula1>
    </dataValidation>
    <dataValidation type="decimal" errorStyle="warning" operator="greaterThanOrEqual" allowBlank="1" showInputMessage="1" showErrorMessage="1" prompt="Value should be above 0, or write &quot;Unspecified&quot; if unknown." sqref="JH151:JH162 JG181:JG189" xr:uid="{B0BA0C65-AE7F-497A-B79C-13233CE1AB55}">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G151:JG162 JF181:JF189" xr:uid="{C403FA5F-BF79-4FCE-9776-2D3A201B909F}">
      <formula1>JE151</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F151:JF162 JE181:JE189" xr:uid="{C07FEF39-FE38-4B07-B9E1-892ABD4DF3F6}">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E151:JE162 JD181:JD189" xr:uid="{0D683927-605B-4A79-9793-5640ED269BD3}">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D151:JD162 JC181:JC189" xr:uid="{CE2D2C53-9CA6-4AC3-92F5-807C79CAABEA}">
      <formula1>JB151</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C151:JC162 JB181:JB189" xr:uid="{022427D3-B397-42B3-A078-B9AD55F81599}">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B151:JB162 JA181:JA189" xr:uid="{43D1285A-E5C8-4CBA-971B-F6F52B0B2D66}">
      <formula1>0</formula1>
      <formula2>100</formula2>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W151:OW162 OZ181:OZ189" xr:uid="{C897E05E-B8DD-456C-B947-AFD03438FD07}">
      <formula1>1</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X151:NX162 NP151:NP162 NS181:NS189" xr:uid="{339557BB-B997-4773-8DA7-247F141F004D}"/>
    <dataValidation type="decimal" errorStyle="warning" operator="greaterThanOrEqual" allowBlank="1" showInputMessage="1" showErrorMessage="1" prompt="Starting Weight Unit. Use with Weight Gain subindicator." sqref="NW151:NW162 NO151:NO162 NR181:NR189" xr:uid="{6A4C10BC-1983-405A-9F17-6CF2E6D47E91}">
      <formula1>0</formula1>
    </dataValidation>
    <dataValidation type="decimal" errorStyle="warning" allowBlank="1" showInputMessage="1" showErrorMessage="1" prompt="Economic Discount Rate (%). Typically associated with calculations of Net Present Value (NPV)." sqref="NU151:NU162 NM151:NM162 NP181:NP189" xr:uid="{4447D265-0CAC-4CE5-8278-746AB0A19670}">
      <formula1>0</formula1>
      <formula2>100</formula2>
    </dataValidation>
    <dataValidation type="decimal" errorStyle="warning" operator="greaterThanOrEqual" allowBlank="1" showInputMessage="1" prompt="Indicates the total amount of elemental potassium (K) from non-composted organic materials_x000a__x000a_Should be 0 or higher" sqref="LE151:LE162" xr:uid="{40140748-A61B-468F-9032-05AEF4EE9AB6}">
      <formula1>0</formula1>
    </dataValidation>
    <dataValidation type="decimal" errorStyle="warning" operator="greaterThanOrEqual" allowBlank="1" showInputMessage="1" prompt="Specifies the total amount of elemental phosphorus (P) from non-composted organic materials_x000a__x000a_Should be 0 or higher" sqref="LD151:LD162" xr:uid="{F7E3FB93-2D45-44AB-8372-4129B05E230F}">
      <formula1>0</formula1>
    </dataValidation>
    <dataValidation type="decimal" errorStyle="warning" operator="greaterThanOrEqual" allowBlank="1" showInputMessage="1" prompt="Represents the total amount of elemental nitrogen (N) added from non-composted organic materials_x000a__x000a_Should be 0 or higher" sqref="LC151:LC162 LH181:LH189 LD181:LD189 LF181:LF189 LB181:LB189" xr:uid="{DC43BE21-82D5-4086-A6B5-D5DE951C6C12}">
      <formula1>0</formula1>
    </dataValidation>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J151:KJ162 KI181:KI189" xr:uid="{AFA35621-8D0B-400C-A4B7-82BD455439B9}"/>
    <dataValidation errorStyle="warning" allowBlank="1" showInputMessage="1" showErrorMessage="1" prompt="Frequency of the weeding practice" sqref="KI151:KI162 KH181:KH189" xr:uid="{82893267-ED8F-4448-A781-80458DB5CD48}"/>
    <dataValidation errorStyle="warning" allowBlank="1" showInputMessage="1" showErrorMessage="1" prompt="Fate of crop residues from the previous season" sqref="IU151:IU162" xr:uid="{B89627BA-A74D-4896-98E9-11B7554C6F25}"/>
    <dataValidation type="list" errorStyle="warning" allowBlank="1" showInputMessage="1" showErrorMessage="1" prompt="Standardised name of the specific study site" sqref="E151:E162 E181:E189" xr:uid="{CEE1A8FE-5E45-48C7-9520-E1239425A8E2}">
      <formula1>INDIRECT($C151)</formula1>
    </dataValidation>
    <dataValidation type="decimal" errorStyle="warning" allowBlank="1" showInputMessage="1" showErrorMessage="1" prompt="The calendar year the measurement was taken. Seasons in multi-season systems are identified by decimals ‘.1’ or ‘.2’ for the first and second season respectively." sqref="OT151:OT162 OW181:OW189" xr:uid="{E23B21D5-0280-4D11-B1A6-E8E61A64B92D}">
      <formula1>1900</formula1>
      <formula2>2100</formula2>
    </dataValidation>
    <dataValidation type="decimal" errorStyle="warning" allowBlank="1" showInputMessage="1" showErrorMessage="1" prompt="Economic Period (Years). Use with Net Present Value (NPV) outcome or similar only." sqref="NV151:NV162 NN151:NN162 NQ181:NQ189" xr:uid="{C9B3674E-8AE6-41A5-88B8-D649F0964F91}">
      <formula1>0</formula1>
      <formula2>100</formula2>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T151:KT162" xr:uid="{8BC0124F-AB47-479A-A3C4-C46BDD051EF8}">
      <formula1>INDIRECT($KS151)</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P151:KP162" xr:uid="{9C915441-B183-4EB4-A23E-EAFA6DCFF330}">
      <formula1>INDIRECT($KO151)</formula1>
    </dataValidation>
    <dataValidation type="decimal" errorStyle="warning" operator="greaterThanOrEqual" allowBlank="1" showInputMessage="1" showErrorMessage="1" prompt="Upper limit for variation in suboutcome when  variation is reported as a confidence interval or interquartile range." sqref="OF151:OF162" xr:uid="{671E211F-9837-40F8-BE23-C8E897947A60}">
      <formula1>OE151</formula1>
    </dataValidation>
    <dataValidation errorStyle="warning" allowBlank="1" showInputMessage="1" showErrorMessage="1" prompt="Comparison Treatment (e.g. for LER or fertilizer use efficiency outcomes)" sqref="NZ151:NZ162 NR151:NR162 NU181:NU189" xr:uid="{A7D5D6A6-94B5-45EA-BE49-BF00B0C3159D}"/>
    <dataValidation type="whole" errorStyle="warning" operator="greaterThanOrEqual" allowBlank="1" showInputMessage="1" prompt="Number of independent sampling units on which the sub-outcome estimate is based for this specific practice. " sqref="OG151:OG162 OB181:OB189" xr:uid="{DC7217F0-F44D-4B5F-8B59-C70B3F98AF9A}">
      <formula1>0</formula1>
    </dataValidation>
    <dataValidation type="decimal" errorStyle="warning" operator="greaterThanOrEqual" allowBlank="1" showInputMessage="1" showErrorMessage="1" prompt="Total elemental nitrogen, phosphorus, and potassium applied from organic sources (e.g., compost, manure, biosolid)." sqref="JZ151:JZ162 JY181:JY189" xr:uid="{505678D1-3BE1-46AE-8B5D-765FCB87C6BB}">
      <formula1>0</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GI151:GI162 EI151:EI162 EM151:EM162 EQ151:EQ162 EU151:EU162 EY151:EY162 FC151:FC162 FG151:FG162 FK151:FK162 FO151:FO162 FS151:FS162 FW151:FW162 GA151:GA162 GE151:GE162 EE151:EE162 FB181:FB189 EH181:EH189 ED181:ED189 EL181:EL189 EX181:EX189 FV181:FV189 FR181:FR189 FN181:FN189 FJ181:FJ189 FF181:FF189 EP181:EP189 ET181:ET189 GH181:GH189 FZ181:FZ189 GD181:GD189" xr:uid="{FFCDBF14-E7C5-473D-94F0-AA60662CDC1F}">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H151:HH162" xr:uid="{AB08828D-3FF2-41BA-B7CA-FAEE726513DF}">
      <formula1>INDIRECT($HG151)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C151:HC162" xr:uid="{BAC43D86-D199-4580-95F7-917CC6FE8A19}">
      <formula1>INDIRECT($HB151)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X151:GX162" xr:uid="{DFBFA131-2E89-434D-8907-1FC3DC639807}">
      <formula1>INDIRECT($GW151)</formula1>
    </dataValidation>
    <dataValidation type="list" errorStyle="warning" allowBlank="1" showInputMessage="1" showErrorMessage="1" errorTitle="Invalid Entry" error="Please select a country from the dropdown list." promptTitle="Country" prompt="Select a country from the dropdown list." sqref="L151:L162 AM151:AM162 AD151:AD162 U151:U162 AM181:AM189 AD181:AD189 U181:U189 L181:L189" xr:uid="{1D4103CA-D627-4F6B-A6D7-ADDFA5BAF32B}">
      <formula1>CountryList</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NG151:NG162 NJ181:NJ189" xr:uid="{0F5536BB-962F-4575-BA99-F8383126FA39}"/>
    <dataValidation errorStyle="warning" allowBlank="1" showInputMessage="1" showErrorMessage="1" prompt="Description of the suboutcome as reported in the primary study or systematic synthesis. Record sufficient detail to clearly identify what was measured and how it was defined." sqref="MW151:MW162 NH151:NH162 NK181:NK189" xr:uid="{12CD9816-B1FC-43A8-9553-2D432CA07312}"/>
    <dataValidation type="decimal" errorStyle="warning" operator="greaterThanOrEqual" allowBlank="1" showInputMessage="1" showErrorMessage="1" sqref="JA151:JA162" xr:uid="{F6141074-77F5-4114-A44D-1F4DBD30F72A}">
      <formula1>0</formula1>
    </dataValidation>
    <dataValidation type="decimal" errorStyle="warning" operator="greaterThanOrEqual" allowBlank="1" showInputMessage="1" showErrorMessage="1" prompt="Total potassium applied from inorganic sources presented as potassium oxide (K2O)." sqref="JV151:JV162" xr:uid="{430F1F4D-B34A-4A5C-82FE-3A0F51367CDC}">
      <formula1>0</formula1>
    </dataValidation>
    <dataValidation type="decimal" errorStyle="warning" operator="greaterThanOrEqual" allowBlank="1" showInputMessage="1" showErrorMessage="1" prompt="Total phosphorus applied from inorganic sources presented as phosphorus pentoxide (P2O5) ." sqref="JU151:JU162" xr:uid="{66F3663B-C51D-49BF-8EEC-F9F594CA9D2C}">
      <formula1>0</formula1>
    </dataValidation>
    <dataValidation type="decimal" errorStyle="warning" operator="greaterThanOrEqual" allowBlank="1" showInputMessage="1" showErrorMessage="1" prompt="Total elemental potassium applied from inorganic sources (e.g., potassium chloride or monopotassium phosphate)." sqref="JT151:JT162" xr:uid="{6B916D8C-0F14-4222-94A3-3601DBBF78B5}">
      <formula1>0</formula1>
    </dataValidation>
    <dataValidation type="decimal" errorStyle="warning" operator="greaterThanOrEqual" allowBlank="1" showInputMessage="1" showErrorMessage="1" prompt="Total elemental phosphorus applied from inorganic sources (e.g., rock phosphate or DAP)." sqref="JS151:JS162" xr:uid="{A5063EAC-7ADB-43DC-8237-295275041EE1}">
      <formula1>0</formula1>
    </dataValidation>
    <dataValidation type="decimal" errorStyle="warning" operator="greaterThanOrEqual" allowBlank="1" showInputMessage="1" showErrorMessage="1" prompt="Total elemental nitrogen applied from inorganic sources (e.g., urea or DAP)." sqref="JR151:JR162" xr:uid="{F2306975-D1DD-46B8-A376-8401DF591271}">
      <formula1>0</formula1>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F151:F162 AG151:AG162 X151:X162 O151:O162 AP151:AP162" xr:uid="{D4A75083-CC61-4A83-82F5-8CB55288E366}"/>
    <dataValidation type="list" errorStyle="warning" allowBlank="1" showInputMessage="1" showErrorMessage="1" sqref="GS151:GS162" xr:uid="{B4F37939-90A6-43EC-A10E-CB3BF984A5E6}">
      <formula1>INDIRECT($GR151)</formula1>
    </dataValidation>
    <dataValidation type="date" errorStyle="warning" allowBlank="1" showInputMessage="1" prompt="Planting Date End (dd/mm/yy)" sqref="HV151:HV162" xr:uid="{072EF12A-6411-4493-852C-C988439A49EF}">
      <formula1>HU154</formula1>
      <formula2>73415</formula2>
    </dataValidation>
    <dataValidation allowBlank="1" showInputMessage="1" prompt="Complete with an easy to recognize name for the varietal subpractice, you will use this name to reference it when building treatments later in the extraction process. Avoid using special characters." sqref="HV180:HV189" xr:uid="{8706516D-B899-48FC-AA1C-B7151D76A6BD}"/>
    <dataValidation type="list" errorStyle="warning" allowBlank="1" showInputMessage="1" showErrorMessage="1" prompt="Name of the organic fertilizer" sqref="JW181:JW189" xr:uid="{03682744-881B-4E7C-8636-56DE70E7019D}">
      <formula1>INDIRECT($JV181)</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M181" xr:uid="{7F30F0B5-50BF-470E-B430-EB512E01D3CE}">
      <formula1>INDIRECT($JL181)</formula1>
    </dataValidation>
    <dataValidation type="list" errorStyle="warning" allowBlank="1" showInputMessage="1" showErrorMessage="1" prompt="Breed of the animal" sqref="ID181:ID189" xr:uid="{17C08C5E-C003-4602-BDD4-3A3856AD2940}">
      <formula1>INDIRECT($IC181)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M181:GM189" xr:uid="{72869616-3B6A-4AD6-9197-949170AF2DBE}">
      <formula1>INDIRECT($GL181)</formula1>
    </dataValidation>
    <dataValidation type="list" errorStyle="warning" allowBlank="1" showInputMessage="1" prompt="Please use active ingredient name over trade-name of product, unless the  product contains multiple active ingredients then it is acceptible to use the product name." sqref="KK181:KK189" xr:uid="{CFF0EBD7-7FB9-4075-B14C-341D80488A55}">
      <formula1>INDIRECT($KJ181)</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S181:KS189" xr:uid="{3E415BE0-C96C-48DA-860F-3870A22D386C}">
      <formula1>INDIRECT($KR181)</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181:KO189" xr:uid="{9ADEB68D-1AB1-493D-B915-66DB6F5430B5}">
      <formula1>INDIRECT($KN181)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G181:HG189" xr:uid="{E8026CA0-4363-4C6B-A36A-6A57E094FAC8}">
      <formula1>INDIRECT($HF181)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B181:HB189" xr:uid="{DD6A505F-D017-421B-847F-11DC749EE758}">
      <formula1>INDIRECT($HA181)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W181:GW189" xr:uid="{5E93C57C-EF4D-4B7A-A170-FB45173D2E79}">
      <formula1>INDIRECT($GV181)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R181:GR189" xr:uid="{0188C975-AB0F-455D-80DA-CDC54948D3FB}">
      <formula1>INDIRECT($GQ181)</formula1>
    </dataValidation>
    <dataValidation type="whole" errorStyle="warning" operator="greaterThanOrEqual" allowBlank="1" showInputMessage="1" showErrorMessage="1" prompt="Length of time the experiment has been ongoing up to the date the data are being reported for, recorded in YEARS._x000a__x000a_Should be 0 or greater" sqref="AY181:AY189" xr:uid="{CF8AA7AC-93FF-4AE6-91C5-7BFED35E37B7}">
      <formula1>0</formula1>
    </dataValidation>
    <dataValidation type="decimal" errorStyle="warning" operator="greaterThan" allowBlank="1" showInputMessage="1" prompt="The size of a treatment plot in the experiment, if variable use the mean value or mid-point of the size range. Recorded in m2._x000a__x000a_Valulue should be greater than 0" sqref="AW181:AX189" xr:uid="{145FE68F-91EC-4057-96DC-F78FBC50E5BB}">
      <formula1>0</formula1>
    </dataValidation>
    <dataValidation type="date" errorStyle="warning" allowBlank="1" showInputMessage="1" prompt="Planting Date End (dd/mm/yy)" sqref="HU181:HU189" xr:uid="{B32DC795-3D84-4E59-8C49-9137B47C31AB}">
      <formula1>#REF!</formula1>
      <formula2>73415</formula2>
    </dataValidation>
    <dataValidation type="whole" errorStyle="warning" operator="greaterThanOrEqual" allowBlank="1" showInputMessage="1" showErrorMessage="1" prompt="This only required for temporally aggregated observations in areas with more than one growing season" sqref="PA181:PA189" xr:uid="{1C81FB5E-7375-405D-9F2B-1D9ECB13DCAE}">
      <formula1>1</formula1>
    </dataValidation>
    <dataValidation type="decimal" errorStyle="warning" operator="lessThanOrEqual" allowBlank="1" showInputMessage="1" showErrorMessage="1" prompt="Size of Harvested Plot (m2)." sqref="MZ181:MZ189" xr:uid="{251383D3-D673-4217-B99C-B7E11A5671FD}">
      <formula1>AW181</formula1>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R181:BR189 BM181:BM189 DU181:DU189 DZ181:DZ189 DK181:DK189 BW181:BW189 CB181:CB189 CG181:CG189 CL181:CL189 CQ181:CQ189 CV181:CV189 BH181 DP181:DP189 DA181:DA189 DF181:DF189" xr:uid="{C6D915AC-CFA7-41A2-B099-1F36F3469832}">
      <formula1>INDIRECT(BG181)</formula1>
    </dataValidation>
    <dataValidation type="decimal" errorStyle="warning" operator="greaterThanOrEqual" allowBlank="1" showInputMessage="1" showErrorMessage="1" prompt="Number of years since the agroforestry system or comparator was established or transitioned to its current state, measured at the time of the study. Report values in years using a numeric format" sqref="IZ181:IZ189" xr:uid="{3671E00D-3872-4975-8C37-42A09F16DB89}">
      <formula1>0</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9A190D5-471E-4C5F-8C05-54DBDF483EB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3F80AE0-5CF8-441A-8E3E-6D76A3390D5E}">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A0C90B0A-DBBE-4147-B2EE-79946A8DC17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09_FOMD_metadata_extraction_lon</vt:lpstr>
      <vt:lpstr>09_FOMD_readme</vt:lpstr>
      <vt:lpstr>REMOVED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2026-01-06T12:10:56Z</dcterms:created>
  <dcterms:modified xsi:type="dcterms:W3CDTF">2026-06-10T16:14:39Z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