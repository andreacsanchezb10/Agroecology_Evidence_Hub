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37" documentId="14_{BF77A4DB-2C0A-4862-9CC3-C64A3FB5C01D}" xr6:coauthVersionLast="47" xr6:coauthVersionMax="47" xr10:uidLastSave="{FB9FA970-2EDC-483D-B2D7-4AD7855961BA}"/>
  <bookViews>
    <workbookView xWindow="28680" yWindow="870" windowWidth="29040" windowHeight="15720" activeTab="2"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54" i="2"/>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4" i="2" l="1"/>
  <c r="NW603" i="2"/>
  <c r="NW605" i="2"/>
  <c r="NW606" i="2"/>
  <c r="NW607" i="2"/>
  <c r="NW602" i="2"/>
  <c r="NW60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<sst xmlns="http://schemas.openxmlformats.org/spreadsheetml/2006/main" count="65319" uniqueCount="2652">
  <si>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</si>
  <si>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</si>
  <si>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</si>
  <si>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</si>
  <si>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</si>
  <si>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</si>
  <si>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</si>
  <si>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</si>
  <si>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</si>
  <si>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</si>
  <si>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</si>
  <si>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</si>
  <si>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</si>
  <si>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</si>
  <si>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</si>
  <si>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</si>
  <si>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</si>
  <si>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</si>
  <si>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</si>
  <si>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</si>
  <si>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</si>
  <si>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</si>
  <si>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</si>
  <si>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</si>
  <si>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</si>
  <si>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</si>
  <si>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</si>
  <si>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</si>
  <si>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</si>
  <si>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</si>
  <si>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</si>
  <si>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</si>
  <si>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</si>
  <si>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</si>
  <si>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</si>
  <si>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</si>
  <si>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</si>
  <si>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</si>
  <si>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</si>
  <si>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</si>
  <si>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</si>
  <si>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</si>
  <si>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</si>
  <si>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</si>
  <si>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</si>
  <si>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</si>
  <si>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</si>
  <si>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</si>
  <si>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</si>
  <si>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</si>
  <si>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</si>
  <si>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</si>
  <si>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</si>
  <si>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</si>
  <si>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</si>
  <si>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</si>
  <si>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</si>
  <si>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</si>
  <si>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</si>
  <si>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</si>
  <si>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</si>
  <si>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</si>
  <si>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</si>
  <si>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</si>
  <si>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</si>
  <si>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</si>
  <si>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</si>
  <si>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</si>
  <si>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</si>
  <si>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</si>
  <si>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</si>
  <si>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</si>
  <si>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</si>
  <si>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</si>
  <si>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</si>
  <si>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</si>
  <si>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</si>
  <si>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</si>
  <si>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</si>
  <si>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</si>
  <si>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</si>
  <si>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</si>
  <si>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</si>
  <si>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</si>
  <si>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</si>
  <si>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</si>
  <si>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</si>
  <si>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</si>
  <si>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</si>
  <si>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</si>
  <si>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</si>
  <si>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</si>
  <si>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</si>
  <si>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</si>
  <si>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</si>
  <si>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</si>
  <si>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</si>
  <si>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</si>
  <si>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</si>
  <si>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</si>
  <si>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</si>
  <si>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</si>
  <si>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</si>
  <si>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</si>
  <si>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</si>
  <si>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</si>
  <si>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</si>
  <si>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</si>
  <si>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</si>
  <si>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</si>
  <si>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</si>
  <si>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</si>
  <si>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</si>
  <si>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</si>
  <si>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</si>
  <si>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</si>
  <si>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</si>
  <si>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</si>
  <si>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</si>
  <si>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</si>
  <si>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</si>
  <si>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</si>
  <si>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</si>
  <si>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</si>
  <si>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</si>
  <si>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</si>
  <si>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</si>
  <si>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</si>
  <si>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</si>
  <si>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</si>
  <si>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</si>
  <si>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</si>
  <si>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</si>
  <si>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</si>
  <si>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</si>
  <si>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</si>
  <si>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</si>
  <si>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</si>
  <si>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</si>
  <si>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</si>
  <si>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</si>
  <si>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</si>
  <si>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</si>
  <si>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</si>
  <si>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</si>
  <si>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</si>
  <si>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</si>
  <si>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</si>
  <si>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</si>
  <si>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</si>
  <si>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</si>
  <si>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</si>
  <si>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</si>
  <si>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</si>
  <si>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</si>
  <si>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</si>
  <si>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</si>
  <si>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</si>
  <si>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</si>
  <si>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</si>
  <si>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</si>
  <si>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</si>
  <si>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</si>
  <si>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</si>
  <si>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</si>
  <si>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</si>
  <si>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</si>
  <si>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</si>
  <si>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</si>
  <si>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</si>
  <si>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</si>
  <si>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</si>
  <si>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</si>
  <si>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</si>
  <si>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</si>
  <si>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</si>
  <si>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</si>
  <si>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</si>
  <si>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</si>
  <si>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</si>
  <si>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</si>
  <si>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</si>
  <si>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</si>
  <si>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</si>
  <si>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</si>
  <si>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</si>
  <si>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</si>
  <si>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</si>
  <si>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</si>
  <si>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</si>
  <si>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</si>
  <si>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</si>
  <si>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</si>
  <si>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</si>
  <si>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</si>
  <si>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</si>
  <si>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</si>
  <si>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</si>
  <si>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</si>
  <si>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</si>
  <si>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</si>
  <si>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</si>
  <si>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</si>
  <si>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</si>
  <si>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</si>
  <si>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</si>
  <si>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</si>
  <si>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</si>
  <si>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</si>
  <si>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</si>
  <si>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</si>
  <si>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</si>
  <si>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</si>
  <si>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</si>
  <si>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</si>
  <si>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</si>
  <si>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</si>
  <si>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</si>
  <si>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</si>
  <si>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</si>
  <si>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</si>
  <si>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</si>
  <si>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</si>
  <si>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</si>
  <si>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</si>
  <si>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</si>
  <si>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</si>
  <si>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</si>
  <si>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</si>
  <si>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</si>
  <si>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</si>
  <si>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</si>
  <si>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</si>
  <si>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</si>
  <si>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</si>
  <si>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</si>
  <si>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</si>
  <si>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</si>
  <si>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</si>
  <si>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</si>
  <si>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</si>
  <si>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</si>
  <si>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</si>
  <si>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</si>
  <si>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</si>
  <si>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</si>
  <si>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</si>
  <si>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</si>
  <si>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</si>
  <si>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</si>
  <si>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</si>
  <si>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</si>
  <si>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</si>
  <si>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</si>
  <si>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</si>
  <si>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</si>
  <si>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</si>
  <si>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</si>
  <si>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</si>
  <si>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</si>
  <si>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</si>
  <si>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</si>
  <si>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</si>
  <si>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</si>
  <si>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</si>
  <si>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</si>
  <si>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</si>
  <si>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</si>
  <si>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</si>
  <si>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</si>
  <si>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</si>
  <si>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</si>
  <si>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</si>
  <si>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</si>
  <si>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</si>
  <si>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</si>
  <si>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</si>
  <si>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</si>
  <si>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</si>
  <si>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</si>
  <si>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</si>
  <si>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</si>
  <si>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</si>
  <si>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</si>
  <si>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</si>
  <si>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</si>
  <si>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</si>
  <si>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</si>
  <si>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</si>
  <si>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</si>
  <si>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</si>
  <si>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</si>
  <si>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</si>
  <si>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</si>
  <si>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</si>
  <si>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</si>
  <si>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</si>
  <si>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</si>
  <si>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</si>
  <si>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</si>
  <si>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</si>
  <si>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</si>
  <si>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</si>
  <si>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</si>
  <si>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</si>
  <si>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</si>
  <si>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</si>
  <si>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</si>
  <si>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</si>
  <si>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</si>
  <si>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</si>
  <si>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</si>
  <si>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</si>
  <si>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</si>
  <si>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</si>
  <si>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</si>
  <si>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</si>
  <si>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</si>
  <si>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</si>
  <si>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</si>
  <si>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</si>
  <si>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</si>
  <si>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</si>
  <si>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</si>
  <si>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</si>
  <si>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</si>
  <si>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</si>
  <si>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</si>
  <si>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</si>
  <si>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</si>
  <si>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</si>
  <si>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</si>
  <si>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</si>
  <si>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</si>
  <si>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</si>
  <si>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</si>
  <si>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</si>
  <si>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</si>
  <si>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</si>
  <si>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</si>
  <si>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</si>
  <si>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</si>
  <si>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</si>
  <si>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</si>
  <si>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</si>
  <si>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</si>
  <si>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</si>
  <si>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</si>
  <si>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</si>
  <si>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</si>
  <si>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</si>
  <si>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</si>
  <si>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</si>
  <si>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</si>
  <si>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</si>
  <si>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</si>
  <si>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</si>
  <si>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</si>
  <si>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</si>
  <si>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</si>
  <si>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</si>
  <si>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</si>
  <si>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</si>
  <si>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</si>
  <si>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</si>
  <si>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</si>
  <si>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</si>
  <si>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</si>
  <si>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</si>
  <si>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</si>
  <si>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</si>
  <si>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</si>
  <si>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</si>
  <si>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</si>
  <si>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</si>
  <si>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</si>
  <si>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</si>
  <si>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</si>
  <si>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</si>
  <si>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</si>
  <si>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</si>
  <si>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</si>
  <si>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</si>
  <si>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</si>
  <si>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</si>
  <si>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</si>
  <si>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</si>
  <si>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</si>
  <si>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</si>
  <si>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</si>
  <si>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</si>
  <si>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</si>
  <si>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</si>
  <si>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</si>
  <si>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</si>
  <si>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</si>
  <si>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</si>
  <si>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</si>
  <si>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</si>
  <si>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</si>
  <si>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</si>
  <si>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</si>
  <si>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</si>
  <si>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</si>
  <si>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</si>
  <si>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</si>
  <si>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</si>
  <si>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</si>
  <si>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</si>
  <si>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</si>
  <si>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</si>
  <si>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</si>
  <si>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</si>
  <si>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</si>
  <si>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</si>
  <si>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</si>
  <si>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</si>
  <si>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</si>
  <si>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</si>
  <si>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</si>
  <si>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</si>
  <si>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</si>
  <si>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</si>
  <si>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</si>
  <si>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</si>
  <si>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</si>
  <si>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</si>
  <si>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</si>
  <si>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</si>
  <si>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</si>
  <si>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</si>
  <si>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</si>
  <si>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</si>
  <si>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</si>
  <si>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</si>
  <si>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</si>
  <si>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</si>
  <si>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</si>
  <si>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</si>
  <si>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</si>
  <si>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</si>
  <si>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</si>
  <si>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</si>
  <si>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</si>
  <si>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</si>
  <si>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</si>
  <si>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</si>
  <si>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</si>
  <si>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</si>
  <si>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</si>
  <si>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</si>
  <si>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</si>
  <si>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</si>
  <si>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</si>
  <si>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</si>
  <si>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</si>
  <si>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</si>
  <si>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</si>
  <si>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</si>
  <si>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</si>
  <si>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</si>
  <si>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</si>
  <si>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</si>
  <si>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</si>
  <si>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</si>
  <si>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</si>
  <si>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</si>
  <si>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</si>
  <si>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</si>
  <si>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</si>
  <si>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</si>
  <si>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</si>
  <si>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</si>
  <si>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</si>
  <si>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</si>
  <si>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</si>
  <si>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</si>
  <si>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</si>
  <si>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</si>
  <si>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</si>
  <si>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</si>
  <si>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</si>
  <si>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</si>
  <si>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</si>
  <si>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</si>
  <si>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</si>
  <si>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</si>
  <si>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</si>
  <si>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</si>
  <si>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</si>
  <si>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</si>
  <si>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</si>
  <si>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</si>
  <si>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</si>
  <si>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</si>
  <si>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</si>
  <si>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</si>
  <si>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</si>
  <si>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</si>
  <si>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</si>
  <si>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</si>
  <si>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</si>
  <si>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</si>
  <si>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</si>
  <si>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</si>
  <si>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</si>
  <si>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</si>
  <si>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</si>
  <si>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</si>
  <si>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</si>
  <si>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</si>
  <si>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</si>
  <si>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</si>
  <si>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</si>
  <si>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</si>
  <si>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</si>
  <si>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</si>
  <si>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</si>
  <si>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</si>
  <si>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</si>
  <si>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</si>
  <si>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</si>
  <si>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</si>
  <si>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</si>
  <si>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</si>
  <si>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</si>
  <si>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</si>
  <si>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</si>
  <si>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</si>
  <si>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</si>
  <si>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</si>
  <si>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</si>
  <si>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</si>
  <si>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</si>
  <si>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</si>
  <si>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</si>
  <si>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</si>
  <si>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</si>
  <si>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</si>
  <si>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</si>
  <si>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</si>
  <si>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</si>
  <si>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</si>
  <si>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</si>
  <si>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</si>
  <si>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</si>
  <si>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</si>
  <si>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</si>
  <si>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</si>
  <si>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</si>
  <si>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</si>
  <si>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</si>
  <si>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</si>
  <si>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</si>
  <si>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</si>
  <si>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</si>
  <si>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</si>
  <si>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</si>
  <si>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</si>
  <si>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</si>
  <si>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</si>
  <si>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</si>
  <si>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</si>
  <si>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</si>
  <si>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</si>
  <si>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</si>
  <si>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</si>
  <si>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</si>
  <si>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</si>
  <si>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</si>
  <si>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</si>
  <si>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</si>
  <si>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</si>
  <si>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</si>
  <si>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</si>
  <si>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</si>
  <si>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</si>
  <si>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</si>
  <si>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</si>
  <si>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</si>
  <si>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</si>
  <si>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</si>
  <si>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</si>
  <si>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</si>
  <si>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</si>
  <si>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</si>
  <si>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</si>
  <si>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</si>
  <si>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</si>
  <si>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</si>
  <si>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</si>
  <si>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</si>
  <si>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</si>
  <si>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</si>
  <si>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</si>
  <si>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</si>
  <si>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</si>
  <si>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</si>
  <si>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</si>
  <si>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</si>
  <si>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</si>
  <si>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</si>
  <si>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</si>
  <si>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</si>
  <si>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</si>
  <si>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</si>
  <si>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</si>
  <si>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</si>
  <si>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</si>
  <si>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</si>
  <si>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</si>
  <si>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</si>
  <si>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</si>
  <si>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</si>
  <si>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</si>
  <si>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</si>
  <si>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</si>
  <si>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</si>
  <si>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</si>
  <si>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</si>
  <si>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</si>
  <si>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</si>
  <si>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</si>
  <si>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</si>
  <si>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</si>
  <si>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</si>
  <si>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</si>
  <si>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</si>
  <si>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</si>
  <si>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</si>
  <si>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</si>
  <si>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</si>
  <si>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</si>
  <si>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</si>
  <si>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</si>
  <si>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</si>
  <si>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</si>
  <si>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</si>
  <si>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</si>
  <si>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</si>
  <si>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</si>
  <si>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</si>
  <si>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</si>
  <si>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</si>
  <si>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</si>
  <si>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</si>
  <si>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</si>
  <si>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</si>
  <si>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</si>
  <si>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</si>
  <si>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</si>
  <si>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</si>
  <si>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</si>
  <si>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</si>
  <si>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</si>
  <si>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</si>
  <si>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</si>
  <si>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</si>
  <si>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</si>
  <si>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</si>
  <si>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</si>
  <si>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</si>
  <si>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</si>
  <si>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</si>
  <si>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</si>
  <si>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</si>
  <si>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</si>
  <si>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</si>
  <si>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</si>
  <si>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</si>
  <si>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</si>
  <si>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</si>
  <si>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</si>
  <si>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</si>
  <si>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</si>
  <si>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</si>
  <si>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</si>
  <si>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</si>
  <si>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</si>
  <si>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</si>
  <si>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</si>
  <si>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</si>
  <si>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</si>
  <si>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</si>
  <si>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</si>
  <si>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</si>
  <si>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</si>
  <si>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</si>
  <si>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</si>
  <si>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</si>
  <si>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</si>
  <si>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</si>
  <si>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</si>
  <si>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</si>
  <si>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</si>
  <si>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</si>
  <si>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</si>
  <si>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</si>
  <si>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</si>
  <si>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</si>
  <si>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</si>
  <si>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</si>
  <si>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</si>
  <si>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</si>
  <si>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</si>
  <si>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</si>
  <si>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</si>
  <si>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</si>
  <si>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</si>
  <si>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</si>
  <si>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</si>
  <si>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</si>
  <si>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</si>
  <si>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</si>
  <si>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</si>
  <si>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</si>
  <si>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</si>
  <si>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</si>
  <si>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</si>
  <si>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</si>
  <si>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</si>
  <si>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</si>
  <si>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</si>
  <si>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</si>
  <si>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</si>
  <si>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</si>
  <si>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</si>
  <si>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</si>
  <si>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</si>
  <si>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</si>
  <si>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</si>
  <si>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</si>
  <si>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</si>
  <si>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</si>
  <si>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</si>
  <si>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</si>
  <si>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</si>
  <si>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</si>
  <si>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</si>
  <si>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</si>
  <si>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</si>
  <si>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</si>
  <si>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</si>
  <si>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</si>
  <si>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</si>
  <si>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</si>
  <si>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</si>
  <si>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</si>
  <si>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</si>
  <si>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</si>
  <si>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</si>
  <si>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</si>
  <si>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</si>
  <si>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</si>
  <si>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</si>
  <si>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</si>
  <si>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</si>
  <si>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</si>
  <si>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</si>
  <si>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</si>
  <si>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</si>
  <si>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</si>
  <si>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</si>
  <si>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</si>
  <si>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</si>
  <si>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</si>
  <si>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</si>
  <si>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</si>
  <si>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</si>
  <si>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</si>
  <si>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</si>
  <si>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</si>
  <si>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</si>
  <si>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</si>
  <si>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</si>
  <si>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</si>
  <si>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</si>
  <si>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</si>
  <si>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</si>
  <si>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</si>
  <si>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</si>
  <si>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</si>
  <si>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</si>
  <si>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</si>
  <si>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</si>
  <si>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</si>
  <si>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</si>
  <si>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</si>
  <si>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</si>
  <si>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</si>
  <si>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</si>
  <si>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</si>
  <si>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</si>
  <si>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</si>
  <si>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</si>
  <si>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</si>
  <si>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</si>
  <si>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</si>
  <si>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</si>
  <si>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</si>
  <si>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</si>
  <si>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</si>
  <si>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</si>
  <si>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</si>
  <si>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</si>
  <si>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</si>
  <si>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</si>
  <si>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</si>
  <si>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</si>
  <si>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</si>
  <si>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</si>
  <si>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</si>
  <si>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</si>
  <si>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</si>
  <si>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</si>
  <si>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</si>
  <si>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</si>
  <si>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</si>
  <si>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</si>
  <si>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</si>
  <si>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</si>
  <si>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</si>
  <si>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</si>
  <si>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</si>
  <si>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</si>
  <si>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</si>
  <si>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</si>
  <si>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</si>
  <si>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</si>
  <si>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</si>
  <si>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</si>
  <si>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</si>
  <si>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</si>
  <si>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</si>
  <si>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</si>
  <si>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</si>
  <si>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</si>
  <si>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</si>
  <si>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</si>
  <si>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</si>
  <si>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</si>
  <si>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</si>
  <si>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</si>
  <si>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</si>
  <si>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</si>
  <si>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</si>
  <si>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</si>
  <si>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</si>
  <si>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</si>
  <si>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</si>
  <si>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</si>
  <si>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</si>
  <si>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</si>
  <si>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</si>
  <si>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</si>
  <si>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</si>
  <si>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</si>
  <si>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</si>
  <si>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</si>
  <si>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</si>
  <si>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</si>
  <si>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</si>
  <si>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</si>
  <si>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</si>
  <si>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</si>
  <si>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</si>
  <si>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</si>
  <si>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</si>
  <si>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</si>
  <si>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</si>
  <si>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</si>
  <si>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</si>
  <si>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</si>
  <si>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</si>
  <si>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</si>
  <si>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</si>
  <si>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</si>
  <si>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</si>
  <si>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</si>
  <si>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</si>
  <si>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</si>
  <si>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</si>
  <si>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</si>
  <si>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</si>
  <si>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</si>
  <si>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</si>
  <si>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</si>
  <si>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</si>
  <si>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</si>
  <si>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</si>
  <si>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</si>
  <si>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</si>
  <si>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</si>
  <si>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</si>
  <si>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</si>
  <si>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</si>
  <si>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</si>
  <si>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</si>
  <si>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</si>
  <si>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</si>
  <si>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</si>
  <si>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</si>
  <si>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</si>
  <si>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</si>
  <si>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</si>
  <si>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</si>
  <si>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</si>
  <si>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</si>
  <si>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</si>
  <si>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</si>
  <si>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</si>
  <si>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</si>
  <si>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</si>
  <si>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</si>
  <si>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</si>
  <si>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</si>
  <si>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</si>
  <si>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</si>
  <si>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</si>
  <si>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</si>
  <si>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</si>
  <si>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</si>
  <si>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</si>
  <si>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</si>
  <si>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</si>
  <si>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</si>
  <si>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</si>
  <si>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</si>
  <si>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</si>
  <si>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</si>
  <si>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</si>
  <si>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</si>
  <si>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</si>
  <si>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</si>
  <si>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</si>
  <si>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</si>
  <si>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</si>
  <si>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</si>
  <si>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</si>
  <si>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</si>
  <si>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</si>
  <si>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</si>
  <si>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</si>
  <si>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</si>
  <si>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</si>
  <si>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</si>
  <si>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</si>
  <si>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</si>
  <si>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</si>
  <si>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</si>
  <si>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</si>
  <si>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</si>
  <si>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</si>
  <si>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</si>
  <si>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</si>
  <si>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</si>
  <si>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</si>
  <si>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</si>
  <si>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</si>
  <si>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</si>
  <si>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</si>
  <si>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</si>
  <si>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</si>
  <si>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</si>
  <si>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</si>
  <si>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</si>
  <si>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</si>
  <si>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</si>
  <si>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</si>
  <si>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</si>
  <si>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</si>
  <si>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</si>
  <si>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</si>
  <si>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</si>
  <si>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</si>
  <si>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</si>
  <si>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</si>
  <si>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</si>
  <si>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</si>
  <si>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</si>
  <si>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</si>
  <si>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</si>
  <si>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</si>
  <si>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</si>
  <si>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</si>
  <si>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</si>
  <si>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</si>
  <si>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</si>
  <si>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</si>
  <si>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</si>
  <si>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</si>
  <si>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</si>
  <si>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</si>
  <si>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</si>
  <si>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</si>
  <si>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</si>
  <si>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</si>
  <si>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</si>
  <si>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</si>
  <si>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</si>
  <si>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</si>
  <si>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</si>
  <si>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</si>
  <si>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</si>
  <si>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</si>
  <si>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</si>
  <si>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</si>
  <si>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</si>
  <si>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</si>
  <si>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</si>
  <si>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</si>
  <si>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</si>
  <si>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</si>
  <si>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</si>
  <si>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</si>
  <si>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</si>
  <si>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</si>
  <si>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</si>
  <si>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</si>
  <si>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</si>
  <si>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</si>
  <si>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</si>
  <si>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</si>
  <si>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</si>
  <si>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</si>
  <si>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</si>
  <si>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</si>
  <si>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</si>
  <si>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</si>
  <si>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</si>
  <si>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</si>
  <si>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</si>
  <si>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</si>
  <si>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</si>
  <si>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</si>
  <si>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</si>
  <si>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</si>
  <si>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</si>
  <si>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</si>
  <si>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</si>
  <si>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</si>
  <si>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</si>
  <si>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</si>
  <si>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</si>
  <si>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</si>
  <si>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</si>
  <si>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</si>
  <si>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</si>
  <si>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</si>
  <si>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</si>
  <si>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</si>
  <si>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</si>
  <si>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</si>
  <si>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</si>
  <si>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</si>
  <si>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</si>
  <si>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</si>
  <si>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</si>
  <si>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</si>
  <si>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</si>
  <si>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</si>
  <si>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</si>
  <si>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</si>
  <si>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</si>
  <si>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</si>
  <si>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</si>
  <si>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</si>
  <si>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</si>
  <si>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</si>
  <si>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</si>
  <si>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</si>
  <si>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</si>
  <si>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</si>
  <si>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</si>
  <si>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</si>
  <si>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</si>
  <si>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</si>
  <si>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</si>
  <si>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</si>
  <si>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</si>
  <si>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</si>
  <si>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</si>
  <si>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</si>
  <si>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</si>
  <si>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</si>
  <si>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</si>
  <si>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</si>
  <si>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</si>
  <si>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</si>
  <si>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</si>
  <si>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</si>
  <si>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</si>
  <si>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</si>
  <si>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</si>
  <si>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</si>
  <si>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</si>
  <si>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</si>
  <si>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</si>
  <si>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</si>
  <si>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</si>
  <si>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</si>
  <si>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</si>
  <si>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</si>
  <si>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</si>
  <si>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</si>
  <si>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</si>
  <si>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</si>
  <si>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</si>
  <si>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</si>
  <si>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</si>
  <si>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</si>
  <si>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</si>
  <si>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</si>
  <si>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</si>
  <si>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</si>
  <si>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</si>
  <si>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</si>
  <si>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</si>
  <si>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</si>
  <si>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</si>
  <si>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</si>
  <si>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</si>
  <si>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</si>
  <si>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</si>
  <si>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</si>
  <si>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</si>
  <si>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</si>
  <si>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</si>
  <si>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</si>
  <si>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</si>
  <si>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</si>
  <si>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</si>
  <si>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</si>
  <si>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</si>
  <si>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</si>
  <si>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</si>
  <si>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</si>
  <si>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</si>
  <si>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</si>
  <si>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</si>
  <si>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</si>
  <si>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</si>
  <si>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</si>
  <si>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</si>
  <si>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</si>
  <si>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</si>
  <si>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</si>
  <si>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</si>
  <si>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</si>
  <si>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</si>
  <si>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</si>
  <si>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</si>
  <si>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</si>
  <si>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</si>
  <si>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</si>
  <si>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</si>
  <si>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</si>
  <si>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</si>
  <si>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</si>
  <si>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</si>
  <si>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</si>
  <si>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</si>
  <si>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</si>
  <si>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</si>
  <si>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</si>
  <si>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</si>
  <si>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</si>
  <si>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</si>
  <si>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</si>
  <si>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</si>
  <si>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</si>
  <si>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</si>
  <si>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</si>
  <si>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</si>
  <si>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</si>
  <si>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</si>
  <si>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</si>
  <si>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</si>
  <si>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</si>
  <si>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</si>
  <si>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</si>
  <si>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</si>
  <si>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</si>
  <si>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</si>
  <si>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</si>
  <si>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</si>
  <si>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</si>
  <si>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</si>
  <si>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</si>
  <si>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</si>
  <si>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</si>
  <si>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</si>
  <si>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</si>
  <si>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</si>
  <si>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</si>
  <si>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</si>
  <si>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</si>
  <si>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</si>
  <si>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</si>
  <si>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</si>
  <si>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</si>
  <si>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</si>
  <si>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</si>
  <si>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</si>
  <si>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</si>
  <si>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</si>
  <si>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</si>
  <si>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</si>
  <si>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</si>
  <si>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</si>
  <si>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</si>
  <si>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</si>
  <si>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</si>
  <si>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</si>
  <si>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</si>
  <si>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</si>
  <si>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</si>
  <si>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</si>
  <si>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</si>
  <si>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</si>
  <si>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</si>
  <si>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</si>
  <si>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</si>
  <si>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</si>
  <si>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</si>
  <si>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</si>
  <si>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</si>
  <si>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</si>
  <si>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</si>
  <si>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</si>
  <si>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</si>
  <si>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</si>
  <si>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</si>
  <si>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</si>
  <si>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</si>
  <si>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</si>
  <si>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</si>
  <si>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</si>
  <si>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</si>
  <si>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</si>
  <si>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</si>
  <si>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</si>
  <si>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</si>
  <si>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</si>
  <si>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</si>
  <si>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</si>
  <si>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</si>
  <si>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</si>
  <si>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</si>
  <si>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</si>
  <si>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</si>
  <si>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</si>
  <si>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</si>
  <si>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</si>
  <si>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</si>
  <si>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</si>
  <si>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</si>
  <si>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</si>
  <si>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</si>
  <si>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</si>
  <si>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</si>
  <si>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</si>
  <si>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</si>
  <si>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</si>
  <si>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</si>
  <si>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</si>
  <si>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</si>
  <si>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</si>
  <si>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</si>
  <si>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</si>
  <si>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</si>
  <si>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</si>
  <si>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</si>
  <si>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</si>
  <si>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</si>
  <si>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</si>
  <si>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</si>
  <si>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</si>
  <si>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</si>
  <si>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</si>
  <si>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</si>
  <si>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</si>
  <si>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</si>
  <si>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</si>
  <si>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</si>
  <si>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</si>
  <si>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</si>
  <si>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</si>
  <si>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</si>
  <si>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</si>
  <si>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</si>
  <si>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</si>
  <si>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</si>
  <si>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</si>
  <si>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</si>
  <si>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</si>
  <si>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</si>
  <si>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</si>
  <si>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</si>
  <si>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</si>
  <si>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</si>
  <si>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</si>
  <si>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</si>
  <si>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</si>
  <si>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</si>
  <si>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</si>
  <si>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</si>
  <si>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</si>
  <si>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</si>
  <si>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</si>
  <si>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</si>
  <si>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</si>
  <si>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</si>
  <si>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</si>
  <si>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</si>
  <si>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</si>
  <si>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</si>
  <si>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</si>
  <si>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</si>
  <si>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</si>
  <si>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</si>
  <si>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</si>
  <si>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</si>
  <si>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</si>
  <si>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</si>
  <si>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</si>
  <si>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</si>
  <si>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</si>
  <si>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</si>
  <si>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</si>
  <si>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</si>
  <si>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</si>
  <si>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</si>
  <si>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</si>
  <si>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</si>
  <si>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</si>
  <si>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</si>
  <si>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</si>
  <si>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</si>
  <si>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</si>
  <si>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</si>
  <si>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</si>
  <si>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</si>
  <si>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</si>
  <si>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</si>
  <si>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</si>
  <si>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</si>
  <si>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</si>
  <si>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</si>
  <si>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</si>
  <si>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</si>
  <si>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</si>
  <si>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</si>
  <si>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</si>
  <si>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</si>
  <si>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</si>
  <si>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</si>
  <si>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</si>
  <si>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</si>
  <si>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</si>
  <si>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</si>
  <si>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</si>
  <si>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</si>
  <si>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</si>
  <si>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</si>
  <si>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</si>
  <si>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</si>
  <si>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</si>
  <si>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</si>
  <si>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</si>
  <si>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</si>
  <si>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</si>
  <si>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</si>
  <si>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</si>
  <si>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</si>
  <si>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</si>
  <si>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</si>
  <si>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</si>
  <si>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</si>
  <si>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</si>
  <si>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</si>
  <si>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</si>
  <si>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</si>
  <si>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</si>
  <si>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</si>
  <si>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</si>
  <si>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</si>
  <si>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</si>
  <si>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</si>
  <si>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</si>
  <si>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</si>
  <si>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</si>
  <si>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</si>
  <si>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</si>
  <si>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</si>
  <si>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</si>
  <si>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</si>
  <si>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</si>
  <si>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</si>
  <si>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</si>
  <si>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</si>
  <si>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</si>
  <si>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</si>
  <si>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</si>
  <si>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</si>
  <si>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</si>
  <si>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</si>
  <si>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</si>
  <si>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</si>
  <si>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</si>
  <si>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</si>
  <si>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</si>
  <si>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</si>
  <si>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</si>
  <si>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</si>
  <si>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</si>
  <si>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</si>
  <si>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</si>
  <si>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</si>
  <si>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</si>
  <si>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</si>
  <si>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</si>
  <si>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</si>
  <si>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</si>
  <si>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</si>
  <si>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</si>
  <si>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</si>
  <si>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</si>
  <si>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</si>
  <si>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</si>
  <si>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</si>
  <si>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</si>
  <si>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</si>
  <si>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</si>
  <si>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</si>
  <si>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</si>
  <si>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</si>
  <si>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</si>
  <si>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</si>
  <si>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</si>
  <si>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</si>
  <si>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</si>
  <si>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</si>
  <si>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</si>
  <si>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</si>
  <si>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</si>
  <si>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</si>
  <si>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</si>
  <si>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</si>
  <si>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</si>
  <si>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</si>
  <si>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</si>
  <si>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</si>
  <si>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</si>
  <si>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</si>
  <si>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</si>
  <si>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</si>
  <si>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</si>
  <si>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</si>
  <si>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</si>
  <si>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</si>
  <si>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</si>
  <si>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</si>
  <si>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</si>
  <si>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</si>
  <si>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</si>
  <si>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</si>
  <si>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</si>
  <si>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</si>
  <si>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</si>
  <si>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</si>
  <si>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</si>
  <si>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</si>
  <si>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</si>
  <si>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</si>
  <si>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</si>
  <si>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</si>
  <si>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</si>
  <si>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</si>
  <si>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</si>
  <si>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</si>
  <si>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</si>
  <si>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</si>
  <si>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</si>
  <si>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</si>
  <si>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</si>
  <si>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</si>
  <si>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</si>
  <si>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</si>
  <si>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</si>
  <si>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</si>
  <si>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</si>
  <si>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</si>
  <si>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</si>
  <si>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</si>
  <si>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</si>
  <si>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</si>
  <si>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</si>
  <si>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</si>
  <si>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</si>
  <si>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</si>
  <si>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</si>
  <si>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</si>
  <si>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</si>
  <si>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</si>
  <si>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</si>
  <si>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</si>
  <si>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</si>
  <si>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</si>
  <si>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</si>
  <si>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</si>
  <si>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</si>
  <si>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</si>
  <si>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</si>
  <si>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</si>
  <si>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</si>
  <si>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</si>
  <si>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</si>
  <si>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</si>
  <si>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</si>
  <si>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</si>
  <si>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</si>
  <si>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</si>
  <si>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</si>
  <si>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</si>
  <si>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</si>
  <si>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</si>
  <si>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</si>
  <si>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</si>
  <si>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</si>
  <si>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</si>
  <si>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</si>
  <si>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</si>
  <si>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</si>
  <si>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</si>
  <si>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</si>
  <si>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</si>
  <si>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</si>
  <si>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</si>
  <si>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</si>
  <si>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</si>
  <si>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</si>
  <si>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</si>
  <si>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</si>
  <si>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</si>
  <si>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</si>
  <si>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</si>
  <si>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</si>
  <si>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</si>
  <si>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</si>
  <si>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</si>
  <si>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</si>
  <si>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</si>
  <si>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</si>
  <si>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</si>
  <si>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</si>
  <si>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</si>
  <si>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</si>
  <si>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</si>
  <si>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</si>
  <si>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</si>
  <si>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</si>
  <si>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</si>
  <si>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</si>
  <si>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</si>
  <si>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</si>
  <si>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</si>
  <si>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</si>
  <si>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</si>
  <si>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</si>
  <si>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</si>
  <si>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</si>
  <si>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</si>
  <si>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</si>
  <si>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</si>
  <si>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</si>
  <si>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</si>
  <si>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</si>
  <si>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</si>
  <si>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</si>
  <si>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</si>
  <si>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</si>
  <si>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</si>
  <si>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</si>
  <si>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</si>
  <si>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</si>
  <si>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</si>
  <si>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</si>
  <si>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</si>
  <si>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</si>
  <si>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</si>
  <si>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</si>
  <si>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</si>
  <si>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</si>
  <si>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</si>
  <si>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</si>
  <si>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</si>
  <si>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</si>
  <si>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</si>
  <si>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</si>
  <si>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</si>
  <si>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</si>
  <si>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</si>
  <si>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</si>
  <si>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</si>
  <si>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</si>
  <si>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</si>
  <si>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</si>
  <si>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</si>
  <si>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</si>
  <si>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</si>
  <si>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</si>
  <si>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</si>
  <si>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</si>
  <si>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</si>
  <si>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</si>
  <si>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</si>
  <si>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</si>
  <si>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</si>
  <si>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</si>
  <si>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</si>
  <si>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</si>
  <si>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</si>
  <si>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</si>
  <si>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</si>
  <si>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</si>
  <si>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</si>
  <si>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</si>
  <si>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</si>
  <si>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</si>
  <si>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</si>
  <si>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</si>
  <si>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</si>
  <si>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</si>
  <si>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</si>
  <si>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</si>
  <si>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</si>
  <si>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</si>
  <si>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</si>
  <si>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</si>
  <si>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</si>
  <si>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</si>
  <si>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</si>
  <si>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</si>
  <si>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</si>
  <si>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</si>
  <si>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</si>
  <si>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</si>
  <si>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</si>
  <si>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</si>
  <si>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</si>
  <si>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</si>
  <si>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</si>
  <si>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</si>
  <si>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</si>
  <si>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</si>
  <si>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</si>
  <si>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</si>
  <si>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</si>
  <si>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</si>
  <si>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</si>
  <si>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</si>
  <si>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</si>
  <si>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</si>
  <si>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</si>
  <si>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</si>
  <si>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</si>
  <si>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</si>
  <si>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</si>
  <si>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</si>
  <si>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</si>
  <si>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</si>
  <si>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</si>
  <si>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</si>
  <si>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</si>
  <si>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</si>
  <si>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</si>
  <si>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</si>
  <si>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</si>
  <si>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</si>
  <si>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</si>
  <si>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</si>
  <si>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</si>
  <si>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</si>
  <si>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</si>
  <si>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</si>
  <si>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</si>
  <si>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</si>
  <si>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</si>
  <si>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</si>
  <si>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</si>
  <si>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</si>
  <si>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</si>
  <si>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</si>
  <si>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</si>
  <si>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</si>
  <si>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</si>
  <si>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</si>
  <si>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</si>
  <si>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</si>
  <si>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</si>
  <si>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</si>
  <si>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</si>
  <si>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</si>
  <si>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</si>
  <si>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</si>
  <si>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</si>
  <si>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</si>
  <si>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</si>
  <si>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</si>
  <si>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</si>
  <si>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</si>
  <si>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</si>
  <si>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</si>
  <si>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</si>
  <si>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</si>
  <si>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</si>
  <si>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</si>
  <si>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</si>
  <si>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</si>
  <si>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</si>
  <si>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</si>
  <si>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</si>
  <si>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</si>
  <si>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</si>
  <si>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</si>
  <si>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</si>
  <si>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</si>
  <si>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</si>
  <si>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</si>
  <si>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</si>
  <si>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</si>
  <si>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</si>
  <si>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</si>
  <si>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</si>
  <si>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</si>
  <si>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</si>
  <si>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</si>
  <si>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</si>
  <si>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</si>
  <si>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</si>
  <si>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</si>
  <si>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</si>
  <si>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</si>
  <si>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</si>
  <si>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</si>
  <si>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</si>
  <si>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</si>
  <si>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</si>
  <si>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</si>
  <si>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</si>
  <si>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</si>
  <si>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</si>
  <si>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</si>
  <si>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</si>
  <si>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</si>
  <si>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</si>
  <si>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</si>
  <si>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</si>
  <si>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</si>
  <si>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</si>
  <si>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</si>
  <si>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</si>
  <si>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</si>
  <si>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</si>
  <si>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</si>
  <si>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</si>
  <si>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</si>
  <si>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</si>
  <si>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</si>
  <si>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</si>
  <si>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</si>
  <si>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</si>
  <si>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</si>
  <si>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</si>
  <si>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</si>
  <si>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</si>
  <si>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</si>
  <si>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</si>
  <si>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</si>
  <si>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</si>
  <si>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</si>
  <si>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</si>
  <si>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</si>
  <si>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</si>
  <si>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</si>
  <si>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</si>
  <si>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</si>
  <si>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</si>
  <si>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</si>
  <si>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</si>
  <si>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</si>
  <si>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</si>
  <si>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</si>
  <si>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</si>
  <si>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</si>
  <si>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</si>
  <si>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</si>
  <si>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</si>
  <si>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</si>
  <si>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</si>
  <si>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</si>
  <si>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</si>
  <si>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</si>
  <si>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</si>
  <si>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</si>
  <si>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</si>
  <si>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</si>
  <si>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</si>
  <si>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</si>
  <si>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</si>
  <si>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</si>
  <si>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</si>
  <si>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</si>
  <si>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</si>
  <si>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</si>
  <si>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</si>
  <si>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</si>
  <si>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</si>
  <si>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</si>
  <si>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</si>
  <si>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</si>
  <si>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</si>
  <si>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</si>
  <si>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</si>
  <si>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</si>
  <si>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</si>
  <si>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</si>
  <si>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</si>
  <si>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</si>
  <si>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</si>
  <si>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</si>
  <si>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</si>
  <si>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</si>
  <si>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</si>
  <si>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</si>
  <si>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</si>
  <si>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</si>
  <si>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</si>
  <si>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</si>
  <si>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</si>
  <si>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</si>
  <si>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</si>
  <si>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</si>
  <si>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</si>
  <si>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</si>
  <si>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</si>
  <si>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</si>
  <si>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</si>
  <si>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</si>
  <si>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</si>
  <si>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</si>
  <si>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</si>
  <si>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</si>
  <si>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</si>
  <si>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</si>
  <si>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</si>
  <si>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</si>
  <si>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</si>
  <si>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</si>
  <si>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</si>
  <si>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</si>
  <si>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</si>
  <si>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</si>
  <si>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</si>
  <si>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</si>
  <si>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</si>
  <si>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</si>
  <si>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</si>
  <si>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</si>
  <si>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</si>
  <si>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</si>
  <si>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</si>
  <si>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</si>
  <si>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</si>
  <si>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</si>
  <si>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</si>
  <si>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</si>
  <si>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</si>
  <si>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</si>
  <si>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</si>
  <si>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</si>
  <si>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</si>
  <si>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</si>
  <si>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</si>
  <si>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</si>
  <si>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</si>
  <si>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</si>
  <si>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</si>
  <si>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</si>
  <si>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</si>
  <si>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</si>
  <si>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</si>
  <si>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</si>
  <si>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</si>
  <si>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</si>
  <si>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</si>
  <si>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</si>
  <si>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</si>
  <si>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</si>
  <si>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</si>
  <si>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</si>
  <si>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</si>
  <si>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</si>
  <si>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</si>
  <si>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</si>
  <si>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</si>
  <si>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</si>
  <si>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</si>
  <si>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</si>
  <si>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</si>
  <si>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</si>
  <si>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</si>
  <si>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</si>
  <si>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</si>
  <si>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</si>
  <si>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</si>
  <si>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</si>
  <si>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</si>
  <si>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</si>
  <si>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</si>
  <si>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</si>
  <si>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</si>
  <si>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</si>
  <si>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</si>
  <si>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</si>
  <si>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</si>
  <si>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</si>
  <si>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</si>
  <si>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</si>
  <si>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</si>
  <si>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</si>
  <si>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</si>
  <si>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</si>
  <si>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</si>
  <si>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</si>
  <si>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</si>
  <si>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</si>
  <si>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</si>
  <si>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</si>
  <si>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</si>
  <si>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</si>
  <si>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</si>
  <si>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</si>
  <si>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</si>
  <si>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</si>
  <si>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</si>
  <si>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</si>
  <si>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</si>
  <si>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</si>
  <si>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</si>
  <si>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</si>
  <si>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</si>
  <si>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</si>
  <si>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</si>
  <si>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</si>
  <si>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</si>
  <si>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</si>
  <si>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</si>
  <si>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</si>
  <si>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</si>
  <si>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</si>
  <si>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</si>
  <si>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</si>
  <si>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</si>
  <si>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</si>
  <si>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</si>
  <si>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</si>
  <si>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</si>
  <si>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</si>
  <si>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</si>
  <si>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</si>
  <si>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</si>
  <si>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</si>
  <si>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</si>
  <si>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</si>
  <si>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</si>
  <si>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</si>
  <si>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</si>
  <si>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</si>
  <si>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</si>
  <si>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</si>
  <si>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</si>
  <si>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</si>
  <si>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</si>
  <si>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</si>
  <si>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</si>
  <si>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</si>
  <si>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</si>
  <si>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</si>
  <si>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</si>
  <si>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</si>
  <si>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</si>
  <si>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</si>
  <si>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</si>
  <si>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</si>
  <si>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</si>
  <si>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</si>
  <si>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</si>
  <si>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</si>
  <si>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</si>
  <si>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</si>
  <si>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</si>
  <si>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</si>
  <si>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</si>
  <si>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</si>
  <si>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</si>
  <si>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</si>
  <si>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</si>
  <si>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</si>
  <si>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</si>
  <si>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</si>
  <si>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</si>
  <si>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</si>
  <si>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</si>
  <si>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</si>
  <si>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</si>
  <si>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</si>
  <si>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</si>
  <si>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</si>
  <si>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</si>
  <si>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</si>
  <si>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</si>
  <si>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</si>
  <si>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</si>
  <si>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</si>
  <si>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</si>
  <si>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</si>
  <si>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</si>
  <si>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</si>
  <si>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</si>
  <si>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</si>
  <si>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</si>
  <si>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</si>
  <si>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</si>
  <si>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</si>
  <si>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</si>
  <si>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</si>
  <si>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</si>
  <si>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</si>
  <si>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</si>
  <si>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</si>
  <si>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</si>
  <si>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</si>
  <si>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</si>
  <si>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</si>
  <si>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</si>
  <si>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</si>
  <si>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</si>
  <si>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</si>
  <si>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</si>
  <si>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</si>
  <si>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</si>
  <si>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</si>
  <si>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</si>
  <si>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</si>
  <si>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</si>
  <si>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</si>
  <si>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</si>
  <si>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</si>
  <si>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</si>
  <si>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</si>
  <si>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</si>
  <si>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</si>
  <si>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</si>
  <si>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</si>
  <si>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</si>
  <si>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</si>
  <si>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</si>
  <si>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</si>
  <si>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</si>
  <si>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</si>
  <si>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</si>
  <si>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</si>
  <si>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</si>
  <si>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</si>
  <si>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</si>
  <si>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</si>
  <si>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</si>
  <si>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</si>
  <si>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</si>
  <si>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</si>
  <si>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</si>
  <si>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</si>
  <si>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</si>
  <si>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</si>
  <si>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</si>
  <si>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</si>
  <si>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</si>
  <si>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</si>
  <si>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</si>
  <si>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</si>
  <si>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</si>
  <si>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</si>
  <si>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</si>
  <si>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</si>
  <si>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</si>
  <si>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</si>
  <si>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</si>
  <si>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</si>
  <si>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</si>
  <si>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</si>
  <si>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</si>
  <si>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</si>
  <si>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</si>
  <si>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</si>
  <si>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</si>
  <si>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</si>
  <si>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</si>
  <si>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</si>
  <si>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</si>
  <si>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</si>
  <si>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</si>
  <si>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</si>
  <si>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</si>
  <si>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</si>
  <si>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</si>
  <si>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</si>
  <si>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</si>
  <si>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</si>
  <si>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</si>
  <si>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</si>
  <si>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</si>
  <si>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</si>
  <si>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</si>
  <si>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</si>
  <si>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</si>
  <si>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</si>
  <si>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</si>
  <si>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</si>
  <si>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</si>
  <si>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</si>
  <si>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</si>
  <si>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</si>
  <si>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</si>
  <si>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</si>
  <si>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</si>
  <si>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</si>
  <si>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</si>
  <si>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</si>
  <si>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</si>
  <si>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</si>
  <si>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</si>
  <si>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</si>
  <si>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</si>
  <si>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</si>
  <si>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</si>
  <si>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</si>
  <si>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</si>
  <si>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</si>
  <si>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</si>
  <si>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</si>
  <si>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</si>
  <si>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</si>
  <si>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</si>
  <si>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</si>
  <si>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</si>
  <si>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</si>
  <si>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</si>
  <si>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</si>
  <si>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</si>
  <si>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</si>
  <si>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</si>
  <si>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</si>
  <si>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</si>
  <si>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</si>
  <si>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</si>
  <si>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</si>
  <si>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</si>
  <si>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</si>
  <si>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</si>
  <si>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</si>
  <si>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</si>
  <si>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</si>
  <si>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</si>
  <si>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</si>
  <si>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</si>
  <si>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</si>
  <si>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</si>
  <si>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</si>
  <si>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</si>
  <si>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</si>
  <si>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</si>
  <si>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</si>
  <si>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</si>
  <si>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</si>
  <si>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</si>
  <si>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</si>
  <si>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</si>
  <si>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</si>
  <si>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</si>
  <si>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</si>
  <si>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</si>
  <si>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</si>
  <si>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</si>
  <si>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</si>
  <si>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</si>
  <si>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</si>
  <si>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</si>
  <si>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</si>
  <si>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</si>
  <si>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</si>
  <si>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</si>
  <si>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</si>
  <si>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</si>
  <si>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</si>
  <si>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</si>
  <si>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</si>
  <si>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</si>
  <si>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</si>
  <si>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</si>
  <si>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</si>
  <si>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</si>
  <si>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</si>
  <si>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</si>
  <si>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</si>
  <si>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</si>
  <si>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</si>
  <si>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</si>
  <si>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</si>
  <si>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</si>
  <si>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</si>
  <si>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</si>
  <si>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</si>
  <si>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</si>
  <si>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</si>
  <si>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</si>
  <si>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</si>
  <si>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</si>
  <si>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</si>
  <si>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</si>
  <si>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</si>
  <si>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</si>
  <si>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</si>
  <si>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</si>
  <si>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</si>
  <si>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</si>
  <si>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</si>
  <si>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</si>
  <si>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</si>
  <si>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</si>
  <si>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</si>
  <si>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</si>
  <si>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</si>
  <si>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</si>
  <si>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</si>
  <si>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</si>
  <si>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</si>
  <si>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</si>
  <si>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</si>
  <si>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</si>
  <si>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</si>
  <si>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</si>
  <si>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</si>
  <si>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</si>
  <si>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</si>
  <si>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</si>
  <si>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</si>
  <si>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</si>
  <si>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</si>
  <si>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</si>
  <si>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</si>
  <si>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</si>
  <si>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</si>
  <si>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</si>
  <si>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</si>
  <si>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</si>
  <si>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</si>
  <si>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</si>
  <si>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</si>
  <si>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</si>
  <si>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</si>
  <si>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</si>
  <si>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</si>
  <si>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</si>
  <si>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</si>
  <si>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</si>
  <si>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</si>
  <si>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</si>
  <si>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</si>
  <si>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</si>
  <si>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</si>
  <si>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</si>
  <si>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</si>
  <si>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</si>
  <si>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</si>
  <si>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</si>
  <si>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</si>
  <si>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</si>
  <si>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</si>
  <si>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</si>
  <si>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</si>
  <si>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</si>
  <si>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</si>
  <si>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</si>
  <si>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</si>
  <si>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</si>
  <si>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</si>
  <si>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</si>
  <si>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</si>
  <si>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</si>
  <si>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</si>
  <si>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</si>
  <si>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</si>
  <si>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</si>
  <si>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</si>
  <si>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</si>
  <si>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</si>
  <si>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</si>
  <si>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</si>
  <si>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</si>
  <si>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</si>
  <si>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</si>
  <si>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</si>
  <si>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</si>
  <si>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</si>
  <si>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</si>
  <si>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</si>
  <si>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</si>
  <si>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</si>
  <si>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</si>
  <si>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</si>
  <si>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</si>
  <si>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</si>
  <si>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</si>
  <si>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</si>
  <si>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</si>
  <si>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</si>
  <si>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</si>
  <si>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</si>
  <si>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</si>
  <si>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</si>
  <si>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</si>
  <si>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</si>
  <si>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</si>
  <si>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</si>
  <si>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</si>
  <si>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</si>
  <si>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</si>
  <si>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</si>
  <si>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</si>
  <si>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</si>
  <si>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</si>
  <si>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</si>
  <si>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</si>
  <si>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</si>
  <si>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</si>
  <si>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</si>
  <si>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</si>
  <si>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</si>
  <si>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</si>
  <si>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</si>
  <si>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</si>
  <si>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</si>
  <si>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</si>
  <si>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</si>
  <si>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</si>
  <si>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</si>
  <si>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</si>
  <si>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</si>
  <si>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</si>
  <si>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</si>
  <si>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</si>
  <si>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</si>
  <si>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</si>
  <si>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</si>
  <si>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</si>
  <si>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</si>
  <si>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</si>
  <si>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</si>
  <si>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</si>
  <si>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</si>
  <si>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</si>
  <si>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</si>
  <si>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</si>
  <si>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</si>
  <si>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</si>
  <si>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</si>
  <si>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</si>
  <si>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</si>
  <si>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</si>
  <si>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</si>
  <si>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</si>
  <si>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</si>
  <si>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</si>
  <si>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</si>
  <si>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</si>
  <si>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</si>
  <si>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</si>
  <si>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</si>
  <si>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</si>
  <si>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</si>
  <si>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</si>
  <si>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</si>
  <si>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</si>
  <si>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</si>
  <si>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</si>
  <si>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</si>
  <si>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</si>
  <si>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</si>
  <si>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</si>
  <si>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</si>
  <si>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</si>
  <si>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</si>
  <si>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</si>
  <si>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</si>
  <si>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</si>
  <si>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</si>
  <si>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</si>
  <si>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</si>
  <si>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</si>
  <si>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</si>
  <si>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</si>
  <si>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</si>
  <si>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</si>
  <si>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</si>
  <si>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</si>
  <si>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</si>
  <si>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</si>
  <si>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</si>
  <si>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</si>
  <si>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</si>
  <si>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</si>
  <si>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</si>
  <si>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</si>
  <si>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</si>
  <si>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</si>
  <si>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</si>
  <si>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</si>
  <si>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</si>
  <si>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</si>
  <si>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</si>
  <si>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</si>
  <si>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</si>
  <si>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</si>
  <si>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</si>
  <si>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</si>
  <si>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</si>
  <si>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</si>
  <si>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</si>
  <si>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</si>
  <si>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</si>
  <si>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</si>
  <si>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</si>
  <si>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</si>
  <si>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</si>
  <si>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</si>
  <si>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</si>
  <si>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</si>
  <si>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</si>
  <si>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</si>
  <si>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</si>
  <si>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</si>
  <si>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</si>
  <si>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</si>
  <si>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</si>
  <si>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</si>
  <si>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</si>
  <si>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</si>
  <si>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</si>
  <si>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</si>
  <si>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</si>
  <si>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</si>
  <si>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</si>
  <si>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</si>
  <si>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</si>
  <si>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</si>
  <si>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</si>
  <si>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</si>
  <si>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</si>
  <si>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</si>
  <si>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</si>
  <si>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</si>
  <si>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</si>
  <si>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</si>
  <si>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</si>
  <si>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</si>
  <si>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</si>
  <si>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</si>
  <si>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</si>
  <si>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</si>
  <si>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</si>
  <si>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</si>
  <si>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</si>
  <si>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</si>
  <si>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</si>
  <si>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</si>
  <si>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</si>
  <si>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</si>
  <si>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</si>
  <si>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</si>
  <si>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</si>
  <si>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</si>
  <si>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</si>
  <si>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</si>
  <si>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</si>
  <si>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</si>
  <si>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</si>
  <si>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</si>
  <si>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</si>
  <si>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</si>
  <si>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</si>
  <si>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</si>
  <si>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</si>
  <si>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</si>
  <si>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</si>
  <si>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</si>
  <si>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</si>
  <si>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</si>
  <si>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</si>
  <si>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</si>
  <si>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</si>
  <si>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</si>
  <si>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</si>
  <si>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</si>
  <si>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</si>
  <si>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</si>
  <si>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</si>
  <si>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</si>
  <si>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</si>
  <si>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</si>
  <si>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</si>
  <si>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</si>
  <si>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</si>
  <si>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</si>
  <si>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</si>
  <si>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</si>
  <si>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</si>
  <si>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</si>
  <si>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</si>
  <si>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</si>
  <si>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</si>
  <si>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</si>
  <si>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</si>
  <si>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</si>
  <si>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</si>
  <si>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</si>
  <si>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</si>
  <si>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</si>
  <si>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</si>
  <si>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</si>
  <si>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</si>
  <si>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</si>
  <si>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</si>
  <si>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</si>
  <si>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</si>
  <si>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</si>
  <si>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</si>
  <si>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</si>
  <si>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</si>
  <si>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</si>
  <si>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</si>
  <si>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</si>
  <si>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</si>
  <si>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</si>
  <si>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</si>
  <si>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</si>
  <si>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</si>
  <si>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</si>
  <si>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</si>
  <si>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</si>
  <si>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</si>
  <si>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</si>
  <si>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</si>
  <si>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</si>
  <si>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</si>
  <si>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</si>
  <si>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</si>
  <si>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</si>
  <si>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</si>
  <si>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</si>
  <si>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</si>
  <si>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</si>
  <si>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</si>
  <si>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</si>
  <si>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</si>
  <si>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</si>
  <si>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</si>
  <si>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</si>
  <si>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</si>
  <si>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</si>
  <si>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</si>
  <si>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</si>
  <si>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</si>
  <si>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</si>
  <si>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</si>
  <si>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</si>
  <si>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</si>
  <si>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</si>
  <si>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</si>
  <si>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</si>
  <si>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</si>
  <si>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</si>
  <si>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</si>
  <si>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</si>
  <si>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</si>
  <si>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</si>
  <si>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</si>
  <si>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</si>
  <si>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</si>
  <si>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</si>
  <si>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</si>
  <si>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</si>
  <si>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</si>
  <si>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</si>
  <si>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</si>
  <si>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</si>
  <si>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</si>
  <si>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</si>
  <si>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</si>
  <si>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</si>
  <si>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</si>
  <si>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</si>
  <si>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</si>
  <si>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</si>
  <si>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</si>
  <si>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</si>
  <si>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</si>
  <si>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</si>
  <si>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Charlotte</t>
  </si>
  <si>
    <t>Figure 2a,b estimated (middle of rotation crop)</t>
  </si>
  <si>
    <t>C1..T3</t>
  </si>
  <si>
    <t>RMgM rice–mungbean–maize</t>
  </si>
  <si>
    <t>Shannon-Weaver Index (H')- Bacterial (16S rDNA DGGE) communities</t>
  </si>
  <si>
    <t>Tests of normality of Shannon diversity and Chao I richness values were performed using the Shapiro–Wilk test.</t>
  </si>
  <si>
    <t>Bacteria</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</si>
  <si>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</si>
  <si>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Urea..Superphosphate..Potassium Chloride</t>
  </si>
  <si>
    <t>Fertilizer rates for urea–superphosphate–potassium chloride in kg/ha, for rice 100-45-30, maize 140-50-30, for mungbean 40-30-60. Split between the day before sowing, 7-15 days after sowing, 20-30 days after sowing and 35-50 days after sowing</t>
  </si>
  <si>
    <t>September</t>
  </si>
  <si>
    <t>Mung_Bean</t>
  </si>
  <si>
    <t>These crop rotation treatments were repeated yearly from 2001 to 2008.</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</si>
  <si>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</si>
  <si>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Cailay District, TienGiang Province</t>
  </si>
  <si>
    <t>Vietnam</t>
  </si>
  <si>
    <t>JA_Xuan _12_Diffe_Bi</t>
  </si>
  <si>
    <t>C1..T2</t>
  </si>
  <si>
    <t>RMgR Rice–mungbean–rice treatment</t>
  </si>
  <si>
    <t>July</t>
  </si>
  <si>
    <t>Double Cropping (N fixing and Non N fixing)</t>
  </si>
  <si>
    <t>C1..T1</t>
  </si>
  <si>
    <t>RMR Rice–maize–rice treatment</t>
  </si>
  <si>
    <t>May</t>
  </si>
  <si>
    <t>Double Cropping (Non N fixing)</t>
  </si>
  <si>
    <t>RRR Rice–rice–rice treatment</t>
  </si>
  <si>
    <t>March</t>
  </si>
  <si>
    <t>Index</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</si>
  <si>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</si>
  <si>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</si>
  <si>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January</t>
  </si>
  <si>
    <t>November</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</si>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</sst>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2">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84">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8"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9" fillId="15" borderId="0" xfId="0" applyFont="1" applyFill="1" applyAlignment="1">
      <alignment horizontal="left" vertical="center" wrapText="1"/>
    </xf>
    <xf numFmtId="0" fontId="49" fillId="15" borderId="0" xfId="0" applyFont="1" applyFill="1" applyAlignment="1">
      <alignment horizontal="center" vertical="center" wrapText="1"/>
    </xf>
    <xf numFmtId="0" fontId="50" fillId="16" borderId="0" xfId="0" applyFont="1" applyFill="1" applyAlignment="1">
      <alignment vertical="center" wrapText="1"/>
    </xf>
    <xf numFmtId="0" fontId="17" fillId="8" borderId="0" xfId="0" applyFont="1" applyFill="1" applyAlignment="1">
      <alignment horizontal="center" vertical="center" wrapText="1"/>
    </xf>
    <xf numFmtId="0" fontId="50" fillId="14" borderId="4" xfId="0" applyFont="1" applyFill="1" applyBorder="1" applyAlignment="1">
      <alignment vertical="center"/>
    </xf>
    <xf numFmtId="0" fontId="49" fillId="15" borderId="0" xfId="0" applyFont="1" applyFill="1" applyAlignment="1">
      <alignment vertical="center" wrapText="1"/>
    </xf>
    <xf numFmtId="0" fontId="50" fillId="10" borderId="0" xfId="0" applyFont="1" applyFill="1" applyAlignment="1">
      <alignment vertical="center" wrapText="1"/>
    </xf>
    <xf numFmtId="0" fontId="50" fillId="14" borderId="4" xfId="0" applyFont="1" applyFill="1" applyBorder="1" applyAlignment="1">
      <alignment horizontal="center" vertical="center" wrapText="1"/>
    </xf>
    <xf numFmtId="0" fontId="49" fillId="13" borderId="0" xfId="0" applyFont="1" applyFill="1" applyAlignment="1">
      <alignment horizontal="center" vertical="center" wrapText="1"/>
    </xf>
    <xf numFmtId="0" fontId="17" fillId="12" borderId="0" xfId="0" applyFont="1" applyFill="1" applyAlignment="1">
      <alignment horizontal="center" vertical="center" wrapText="1"/>
    </xf>
    <xf numFmtId="0" fontId="49"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8"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50" fillId="22" borderId="4" xfId="0" applyFont="1" applyFill="1" applyBorder="1" applyAlignment="1">
      <alignment horizontal="center" vertical="center" wrapText="1"/>
    </xf>
    <xf numFmtId="0" fontId="50" fillId="21" borderId="4" xfId="0" applyFont="1" applyFill="1" applyBorder="1" applyAlignment="1">
      <alignment horizontal="center" vertical="center" wrapText="1"/>
    </xf>
    <xf numFmtId="0" fontId="48" fillId="15" borderId="0" xfId="0" applyFont="1" applyFill="1" applyAlignment="1">
      <alignment horizontal="center" vertical="center" wrapText="1"/>
    </xf>
    <xf numFmtId="0" fontId="51" fillId="17" borderId="9" xfId="0" applyFont="1" applyFill="1" applyBorder="1" applyAlignment="1">
      <alignment horizontal="center" vertical="center" wrapText="1"/>
    </xf>
    <xf numFmtId="0" fontId="51"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50" fillId="22" borderId="10" xfId="0" applyFont="1" applyFill="1" applyBorder="1" applyAlignment="1">
      <alignment horizontal="center" vertical="center"/>
    </xf>
    <xf numFmtId="0" fontId="50" fillId="21" borderId="10" xfId="0" applyFont="1" applyFill="1" applyBorder="1" applyAlignment="1">
      <alignment horizontal="center" vertical="center" wrapText="1"/>
    </xf>
    <xf numFmtId="0" fontId="48"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178">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177">
  <autoFilter ref="A1:PH1072" xr:uid="{0217B3CA-C858-4B6B-BFA0-ECFB79516A9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176"/>
    <tableColumn id="159" xr3:uid="{0321910E-E48E-4AAC-9CD3-6A77D4A10F8C}" name="tree_density02" dataDxfId="1175"/>
    <tableColumn id="160" xr3:uid="{FF1A0174-7C22-450F-A789-AAAADE9A74A4}" name="tree_arrangement02" dataDxfId="1174"/>
    <tableColumn id="161" xr3:uid="{C0EC0A3F-C938-4443-BF86-FC9B4244DB01}" name="tree03" dataDxfId="1173"/>
    <tableColumn id="163" xr3:uid="{6DF4F6FF-1D7C-4FA1-99C9-F7CF69A1BBB3}" name="tree_density_unit03" dataDxfId="1172"/>
    <tableColumn id="341" xr3:uid="{ED7654E3-DD55-4A2A-A187-A133397CCAE5}" name="tree_density03" dataDxfId="1171"/>
    <tableColumn id="342" xr3:uid="{7DB88D77-C92D-413D-A77C-69EFE6350AA2}" name="tree_arrangement03" dataDxfId="1170"/>
    <tableColumn id="343" xr3:uid="{FD3367C7-4C84-4EF8-B6AC-F88FD444AD69}" name="tree04" dataDxfId="1169"/>
    <tableColumn id="344" xr3:uid="{07FAD3A1-9249-4B69-B1D3-E19AF8A7E99C}" name="tree_density_unit04" dataDxfId="1168"/>
    <tableColumn id="345" xr3:uid="{45CB8A60-5DAE-4F74-B5E9-78D78DBE1535}" name="tree_density04" dataDxfId="1167"/>
    <tableColumn id="346" xr3:uid="{D81CA74A-71AC-4AB4-899F-4462ABE950F0}" name="tree_arrangement04" dataDxfId="1166"/>
    <tableColumn id="347" xr3:uid="{F20290B1-E7A2-4E30-867E-7AFDDF3EE536}" name="tree05" dataDxfId="1165"/>
    <tableColumn id="348" xr3:uid="{45F9A1D4-3408-437A-8152-4758219BE659}" name="tree_density_unit05" dataDxfId="1164"/>
    <tableColumn id="349" xr3:uid="{AEB83B46-8A38-471A-A132-BCC8FAA81B69}" name="tree_density05" dataDxfId="1163"/>
    <tableColumn id="350" xr3:uid="{C7EEB6CC-AB1F-4AAD-8BA3-8F4FAC1FF4B0}" name="tree_arrangement05" dataDxfId="1162"/>
    <tableColumn id="351" xr3:uid="{D5936058-8DBB-4182-A7C6-E5939A10946C}" name="tree06" dataDxfId="1161"/>
    <tableColumn id="352" xr3:uid="{DD6F006E-DFAC-4BB0-AAF5-91435C4222F4}" name="tree_density_unit06" dataDxfId="1160"/>
    <tableColumn id="353" xr3:uid="{651AF64A-167F-4AD1-BBFF-FCA154A69675}" name="tree_density06" dataDxfId="1159"/>
    <tableColumn id="354" xr3:uid="{ED291335-AEAF-455F-82FB-DA21DE128416}" name="tree_arrangement06" dataDxfId="1158"/>
    <tableColumn id="355" xr3:uid="{1989D979-2636-4321-89A9-0DB56912062B}" name="tree07" dataDxfId="1157"/>
    <tableColumn id="356" xr3:uid="{91D54373-2686-4101-8CF7-E35E2E7915CE}" name="tree_density_unit07" dataDxfId="1156"/>
    <tableColumn id="357" xr3:uid="{03425170-6807-4CFD-B921-98522BE53439}" name="tree_density07" dataDxfId="1155"/>
    <tableColumn id="358" xr3:uid="{714D6E92-A818-4B45-9948-A652D8B7AC8B}" name="tree_arrangement07" dataDxfId="1154"/>
    <tableColumn id="359" xr3:uid="{9B3E0F7F-292C-46BB-B463-9AD791D7E3D3}" name="tree08" dataDxfId="1153"/>
    <tableColumn id="360" xr3:uid="{145EF881-B18B-43E4-842E-6D21CCB737E6}" name="tree_density_unit08" dataDxfId="1152"/>
    <tableColumn id="361" xr3:uid="{A264EF10-F58B-45FB-81AE-51764C6FE113}" name="tree_density08" dataDxfId="1151"/>
    <tableColumn id="362" xr3:uid="{D89DAAD3-E3BD-4598-810E-356038236E61}" name="tree_arrangement08" dataDxfId="1150"/>
    <tableColumn id="363" xr3:uid="{6B7D8A8E-467F-432D-B36B-D99C979F05C8}" name="tree09" dataDxfId="1149"/>
    <tableColumn id="364" xr3:uid="{E7AED1D8-91A7-4EE2-BCE7-300596E85AD0}" name="tree_density_unit09" dataDxfId="1148"/>
    <tableColumn id="365" xr3:uid="{620A20FA-B777-4166-92B7-36DCAA860B9C}" name="tree_density09" dataDxfId="1147"/>
    <tableColumn id="366" xr3:uid="{2EE71C52-8756-4FD2-8FF4-61EDCEC1A26F}" name="tree_arrangement09" dataDxfId="1146"/>
    <tableColumn id="367" xr3:uid="{EBB65759-792A-42DB-95C4-69473B9AD5CE}" name="tree10" dataDxfId="1145"/>
    <tableColumn id="368" xr3:uid="{B00B3FC5-EDC0-4CAA-90EE-0BE717BBECAE}" name="tree_density_unit10" dataDxfId="1144"/>
    <tableColumn id="369" xr3:uid="{BB1859C2-D384-4ACD-8F4C-B8F7124F1F7A}" name="tree_density10" dataDxfId="1143"/>
    <tableColumn id="370" xr3:uid="{A4CB551B-DD37-4969-ADAA-199B947F76A3}" name="tree_arrangement10" dataDxfId="1142"/>
    <tableColumn id="371" xr3:uid="{E6F09058-689E-4A99-B062-B417476C1B92}" name="tree11" dataDxfId="1141"/>
    <tableColumn id="372" xr3:uid="{1D1C89EF-ED33-4804-A325-DFE3028A7810}" name="tree_density_unit11" dataDxfId="1140"/>
    <tableColumn id="373" xr3:uid="{D86F4952-CF9E-4268-A6F5-0814AEE3AAE0}" name="tree_density11" dataDxfId="1139"/>
    <tableColumn id="374" xr3:uid="{3BDEE12F-0A1B-44DC-9B2E-069D92A0BBA3}" name="tree_arrangement11" dataDxfId="1138"/>
    <tableColumn id="375" xr3:uid="{55C93E3B-146C-4619-9B8F-18BC4BAC778B}" name="tree12" dataDxfId="1137"/>
    <tableColumn id="376" xr3:uid="{F9E3EDC1-C841-40FB-ABB3-C33808C60667}" name="tree_density_unit12" dataDxfId="1136"/>
    <tableColumn id="377" xr3:uid="{EED6ADB0-1D9A-45A3-B42D-94C98DB627F9}" name="tree_density12" dataDxfId="1135"/>
    <tableColumn id="378" xr3:uid="{014669D2-0F5E-4968-804D-AF52F873233A}" name="tree_arrangement12" dataDxfId="1134"/>
    <tableColumn id="379" xr3:uid="{BDE1287B-FCA6-4829-A189-E958764713F2}" name="tree13" dataDxfId="1133"/>
    <tableColumn id="380" xr3:uid="{51F57FA1-94C8-4C1F-99BD-FF62A25DC8B0}" name="tree_density_unit13" dataDxfId="1132"/>
    <tableColumn id="381" xr3:uid="{2FBAE601-C061-49CD-9F9E-82A0CA361353}" name="tree_density13" dataDxfId="1131"/>
    <tableColumn id="382" xr3:uid="{DF5D14C1-9069-426E-9915-51041D65AD4B}" name="tree_arrangement13" dataDxfId="1130"/>
    <tableColumn id="383" xr3:uid="{FD6D77A7-0937-405C-BC0A-A1BC4F4817E0}" name="tree14" dataDxfId="1129"/>
    <tableColumn id="384" xr3:uid="{7B2D3EB2-A606-47D8-A0AF-FBF62EEC9C21}" name="tree_density_unit14" dataDxfId="1128"/>
    <tableColumn id="385" xr3:uid="{A3825A04-630C-4E36-AEB7-755E8FFFBC86}" name="tree_density14" dataDxfId="1127"/>
    <tableColumn id="386" xr3:uid="{25BF84F6-72CF-420C-97B6-351007017D84}" name="tree_arrangement14" dataDxfId="1126"/>
    <tableColumn id="387" xr3:uid="{96E0AB0E-02ED-4446-97DE-795691A9EECC}" name="tree15" dataDxfId="1125"/>
    <tableColumn id="388" xr3:uid="{79CE56B6-CD55-4F3F-AD58-F4CD20DACADE}" name="tree_density_unit15" dataDxfId="1124"/>
    <tableColumn id="389" xr3:uid="{F9AC5F0A-015B-4446-90CA-8DD1840DF369}" name="tree_density15" dataDxfId="1123"/>
    <tableColumn id="390" xr3:uid="{25F60004-3BB4-457C-AC05-A79003F9E188}" name="tree_arrangement15" dataDxfId="1122"/>
    <tableColumn id="391" xr3:uid="{519E05BC-962A-4377-928D-71714092EB4A}" name="animal01" dataDxfId="1121"/>
    <tableColumn id="392" xr3:uid="{9E8BC561-A91F-4C84-B359-360BA87F4A30}" name="animal_breed01" dataDxfId="1120"/>
    <tableColumn id="164" xr3:uid="{364EBEDB-5E6E-4AA9-ADD5-D96829D18E90}" name="animal_density_unit01" dataDxfId="1119"/>
    <tableColumn id="168" xr3:uid="{2868DC60-603A-4777-BCA2-674B94674D1E}" name="animal_density01" dataDxfId="1118"/>
    <tableColumn id="169" xr3:uid="{F5D34A2F-27A2-49E6-AA09-FDD3E3E83AAC}" name="animal_arrangement01" dataDxfId="1117"/>
    <tableColumn id="173" xr3:uid="{7FFBAC95-5C85-46BF-B668-E34C4320628F}" name="animal02" dataDxfId="1116"/>
    <tableColumn id="2" xr3:uid="{B1BD080D-7F71-4205-9D5F-106DC407ADB8}" name="animal_breed02" dataDxfId="1115"/>
    <tableColumn id="184" xr3:uid="{32F7EA72-5EEB-4FAD-873E-78FE758EA34E}" name="animal_density_unit02" dataDxfId="1114"/>
    <tableColumn id="185" xr3:uid="{17625798-2A82-4581-854E-A3A708139535}" name="animal_density02" dataDxfId="1113"/>
    <tableColumn id="186" xr3:uid="{7757E5BF-F4A5-4FC2-ACDC-35CF44B75242}" name="animal_arrangement02" dataDxfId="1112"/>
    <tableColumn id="187" xr3:uid="{0DE85C29-3B7C-4160-B792-90A50C4A55E5}" name="animal03" dataDxfId="1111"/>
    <tableColumn id="121" xr3:uid="{61070040-F53D-4A6F-AB55-A14F50122C5F}" name="animal_breed03" dataDxfId="1110"/>
    <tableColumn id="394" xr3:uid="{FFEC33EE-D05E-46F5-B3D2-C18839DF499D}" name="animal_density_unit03" dataDxfId="1109"/>
    <tableColumn id="395" xr3:uid="{25BB282A-44C6-49BD-B913-12F90A239D09}" name="animal_density03" dataDxfId="1108"/>
    <tableColumn id="396" xr3:uid="{E33A2945-7697-446B-8493-2A74237BDB4F}" name="animal_arrangement03" dataDxfId="1107"/>
    <tableColumn id="397" xr3:uid="{76F70A87-63B1-4FBA-8088-B66FA9B7CDA8}" name="animal04" dataDxfId="1106"/>
    <tableColumn id="398" xr3:uid="{28CEF047-4930-4A2F-9138-9F50FF75B498}" name="animal_breed04" dataDxfId="1105"/>
    <tableColumn id="399" xr3:uid="{36AC6548-7D81-4EC7-8190-FDAFA37D00F6}" name="animal_density_unit04" dataDxfId="1104"/>
    <tableColumn id="400" xr3:uid="{2700FAC8-5222-4F69-B8DE-2592AD0323B6}" name="animal_density04" dataDxfId="1103"/>
    <tableColumn id="401" xr3:uid="{7B987B24-4453-442D-970D-814014599D91}" name="animal_arrangement04" dataDxfId="1102"/>
    <tableColumn id="402" xr3:uid="{3C3F83F9-47E4-48C0-AA86-B4CCEE4A88BD}" name="animal05" dataDxfId="1101"/>
    <tableColumn id="403" xr3:uid="{730709D0-0BE3-4E3E-B097-CA27D253BCF4}" name="animal_breed05" dataDxfId="1100"/>
    <tableColumn id="404" xr3:uid="{58CE66C8-F76E-4386-85BC-2CA90F75C8EA}" name="animal_density_unit05" dataDxfId="1099"/>
    <tableColumn id="405" xr3:uid="{CCEBE2F8-41C7-486A-A3CD-FC5CA0877CE0}" name="animal_density05" dataDxfId="1098"/>
    <tableColumn id="406" xr3:uid="{74D87670-21DF-493F-8E34-FB31006D9ADD}" name="animal_arrangement05" dataDxfId="1097"/>
    <tableColumn id="407" xr3:uid="{74C09784-004B-4F46-B880-46A2895C8686}" name="tillage_subpractice_raw" dataDxfId="1096"/>
    <tableColumn id="408" xr3:uid="{5B2C3A21-663A-4167-B19A-376B3E94B378}" name="tillage_subpractice" dataDxfId="1095"/>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094"/>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093"/>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092"/>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091"/>
    <tableColumn id="265" xr3:uid="{FD1F3321-599E-4C3C-AB7D-0FAEFF17BB1E}" name="chem_name03" dataDxfId="1090"/>
    <tableColumn id="266" xr3:uid="{1B11E53A-7535-47EB-93BF-714B7FE7FF11}" name="chem_unit03" dataDxfId="1089"/>
    <tableColumn id="267" xr3:uid="{F808183A-533E-4812-B6DD-E59A71739723}" name="chem_amount03" dataDxfId="1088"/>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72"/>
  <sheetViews>
    <sheetView zoomScale="84" zoomScaleNormal="84" workbookViewId="0">
      <pane xSplit="2" ySplit="2" topLeftCell="OI4" activePane="bottomRight" state="frozen"/>
      <selection pane="topRight" activeCell="C1" sqref="C1"/>
      <selection pane="bottomLeft" activeCell="A3" sqref="A3"/>
      <selection pane="bottomRight" sqref="A1:XFD1"/>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2" max="382" width="35.570312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2" customFormat="1" ht="60.7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7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75"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75"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75"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75"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75"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75"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75"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75"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75"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75"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75"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75"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75"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75"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75"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75"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75"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75"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75"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75"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75"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75"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75"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75"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75"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75"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75"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75"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75"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75"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75"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75"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75"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75"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75"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75"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75"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75"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75"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75"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75"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75"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75"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75"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75"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75"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75"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75"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75"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75"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75"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75"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75"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75"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75"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75"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75"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75"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75"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75"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75"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75"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75"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75"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75"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75"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75"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75"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75"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75"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75"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75"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75"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75"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75"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75"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75"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75"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75"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75"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75"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75"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75"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75"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75"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75"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75"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75"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75"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75"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75"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75"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75"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75"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75"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75"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75"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75"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75"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75"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75"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75"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75"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75"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75"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75"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75"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75"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75"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75"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75"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75"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75"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75"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75"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75"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75"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75"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75"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75"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75"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75"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75"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75"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75"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75"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75"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75"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75"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75"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75"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75"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75"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75"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75"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75"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75"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75"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75"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75"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75"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75"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75"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75"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75"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75"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75"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75"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75"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75"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75"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75"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75"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75"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75"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75"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75"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75"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75"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75"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75"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75"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75"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75"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75"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75"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75"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75"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75"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75"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75"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75"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75"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75"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75"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75"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75"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75"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75"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75"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75"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75"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75"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75"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75"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75"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75"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75"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75"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75"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75"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75"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75"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75"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75"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75"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75"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75"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75"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75"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75"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75"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75"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75"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75"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75"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75"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75"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75"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75"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75"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75"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75"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75"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7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7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7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7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7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7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7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7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7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7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7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7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7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7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7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7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7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7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7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7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7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7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7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7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7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7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7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7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7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7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7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7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7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7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7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7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7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7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7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7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7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7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7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7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7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7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7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7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7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7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7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7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7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7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7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7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7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7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7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7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7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7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7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7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7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7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7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7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7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7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7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7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7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7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7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7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7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7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7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7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7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7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7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7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7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7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7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7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7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7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75"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75"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75"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75"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75"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75"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75"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75"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75"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75"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75"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75"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75"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75"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75"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75"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75"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75"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75"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75"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75"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75"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75"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75"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75"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75"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75"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75"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75"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75"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75"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75"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75"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75"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75"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75"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75"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75"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75"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75"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75"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75"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75"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75"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75"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75"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75"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75"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75"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75"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75"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75"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75"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75"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75"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75"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75"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75"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75"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75"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75"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75"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75"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75"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75"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75"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75"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75"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75"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75"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75"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75"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75"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75"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75"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75"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75"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75"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75"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75"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75"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75"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75"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75"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75"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75"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75"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75"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75"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75"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75"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75"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75"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75"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75"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75"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75"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75"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75"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75"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75"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75"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75"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75"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75"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75"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75"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75"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75"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75"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75"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75"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75"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75"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75"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75"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75"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75"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75"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75"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75"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75"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75"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75"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75"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75"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75"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75"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75"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75"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75"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75"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75"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75"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75"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75"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75"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75"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75"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75"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75"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75"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75"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75"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75"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75"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75"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75"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75"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75"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75"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75"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75"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75"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75"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75"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75"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75"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75"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75"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75"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75"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75"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75"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75"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75"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75"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75"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75"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75"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75"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75"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75"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75"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75"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75"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75"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75"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75"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75"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75"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75"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75"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75"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75"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75"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75"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75"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75"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75"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75"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75"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75"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75"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75"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75"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75"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75"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75"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75"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75"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75"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75"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75"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75"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75"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75"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75"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75"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75"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75"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75"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7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7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7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7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7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7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7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7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75"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75"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75"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75"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75"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75"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75"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75"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75"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75"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75"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75"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75"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75"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75"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75"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75"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75"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75"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75"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75"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75"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75"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75"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75"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75"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75"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75"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75"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75"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75"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75"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75"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75"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75"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75"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75"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75"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75"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75"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75"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75"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75"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75"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75"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75"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75"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75"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75"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75"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75"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75"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75"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75"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75"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75"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75"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75"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75"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75"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75"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75"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75"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75"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75"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75"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75"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75"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75"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75"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75"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75"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75"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75"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75"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75"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75"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75"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75"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75"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75"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75"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75"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75"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75"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75"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75"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75"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75"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75"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75"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75"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75"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75"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75"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75"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75"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75"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75"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75"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75"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75"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75"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75"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75"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75"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75"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75"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75"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75"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75"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75"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75"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75"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75"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75"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75"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75"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75"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75"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75"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75"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75"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75"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75"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75"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t="15.75" thickBot="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75"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t="15.75" thickBot="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75"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t="15.75" thickBot="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75"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t="15.75" thickBot="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75"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t="15.75" thickBot="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75"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t="15.75" thickBot="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75"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75"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t="15.75" thickBot="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75"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75"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t="15.75" thickBot="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75"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75"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t="15.75" thickBot="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75"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75"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t="15.75" thickBot="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75"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75"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t="15.75" thickBot="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75"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75"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t="15.75" thickBot="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75"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75"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t="15.75" thickBot="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75"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75"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t="15.75" thickBot="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75"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75"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t="15.75" thickBot="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75"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75"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t="15.75" thickBot="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75"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75"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t="15.75" thickBot="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75"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75"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t="15.75" thickBot="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75"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75"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t="15.75" thickBot="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75"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75"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7.25" thickBot="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75"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t="15.75" thickBot="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75"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t="15.75" thickBot="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75"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7.25" thickBot="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75"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t="15.75" thickBot="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75"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t="15.75" thickBot="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75"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7.25" thickBot="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75"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t="15.75" thickBot="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75"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t="15.75" thickBot="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75"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7.25" thickBot="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75"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t="15.75" thickBot="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75"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t="15.75" thickBot="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75"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75"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7.25" thickBot="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75"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t="15.75" thickBot="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75"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t="15.75" thickBot="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75"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t="15.75" thickBot="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75"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7.25" thickBot="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75"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t="15.75" thickBot="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75"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t="15.75" thickBot="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7.25" thickBot="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75"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t="15.75" thickBot="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75"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t="15.75" thickBot="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75"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t="15.75" thickBot="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75"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t="15.75" thickBot="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75"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75"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75"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75"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t="15.75" thickBot="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75"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75"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75"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t="15.75" thickBot="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75"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75"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75"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t="15.75" thickBot="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75"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75"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75"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t="15.75" thickBot="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75"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75"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75"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t="15.75" thickBot="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75"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75"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75"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t="15.75" thickBot="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75"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75"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75"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t="15.75" thickBot="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75"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75"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75"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t="15.75" thickBot="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75"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75"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75"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t="15.75" thickBot="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75"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75"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75"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t="15.75" thickBot="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75"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75"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75"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t="15.75" thickBot="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75"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75"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75"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t="15.75" thickBot="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75"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75"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75"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t="15.75" thickBot="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75"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75"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75"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t="15.75" thickBot="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75"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75"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75"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t="15.75" thickBot="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75"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75"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75"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t="15.75" thickBot="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75"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75"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75"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t="15.75" thickBot="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75"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75"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75"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t="15.75" thickBot="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75"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75"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75"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t="15.75" thickBot="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75"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75"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75"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t="15.75" thickBot="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75"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75"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75"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t="15.75" thickBot="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75"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75"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75"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t="15.75" thickBot="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75"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75"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75"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75"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75"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75"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t="15.75" thickBot="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75"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75"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75"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75"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75"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75"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t="15.75" thickBot="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75"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75"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75"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75"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75"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75"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75"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t="15.75" thickBot="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75"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75"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75"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75"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75"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75"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75"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75"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75"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t="15.75" thickBot="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75"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75"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75"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75"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75"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75"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75"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75"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75"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t="15.75" thickBot="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t="15.75" thickBot="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75"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75"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75"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75"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t="15.75" thickBot="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t="15.75" thickBot="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75"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75"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75"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75"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t="15.75" thickBot="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t="15.75" thickBot="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7.25" thickBot="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25"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25"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7.25" thickBot="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7.25" thickBot="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7.25" thickBot="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25"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25"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7.25" thickBot="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7.25" thickBot="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7.25" thickBot="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7.25" thickBot="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7.25" thickBot="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7.25" thickBot="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25"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25"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7.25" thickBot="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7.25" thickBot="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7.25" thickBot="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7.25" thickBot="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25"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25"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7.25" thickBot="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7.25" thickBot="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7.25" thickBot="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7.25" thickBot="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25"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25"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7.25" thickBot="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7.25" thickBot="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7.25" thickBot="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7.25" thickBot="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7.25" thickBot="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7.25" thickBot="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7.25" thickBot="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7.25" thickBot="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7.25" thickBot="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7.25" thickBot="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7.25" thickBot="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7.25" thickBot="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7.25" thickBot="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7.25" thickBot="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7.25" thickBot="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7.25" thickBot="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7.25" thickBot="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7.25" thickBot="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7.25" thickBot="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7.25" thickBot="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7.25" thickBot="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7.25" thickBot="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7.25" thickBot="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7.25" thickBot="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7.25" thickBot="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7.25" thickBot="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7.25" thickBot="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7.25" thickBot="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7.25" thickBot="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1087" priority="680">
      <formula>AND(LEN(TRIM($C724))&gt;0,LEN(TRIM(C724))=0)</formula>
    </cfRule>
  </conditionalFormatting>
  <conditionalFormatting sqref="C682:K723">
    <cfRule type="expression" dxfId="1086" priority="1234">
      <formula>AND(LEN(TRIM($C682))&gt;0,LEN(TRIM(C682))=0)</formula>
    </cfRule>
  </conditionalFormatting>
  <conditionalFormatting sqref="C899:K984">
    <cfRule type="expression" dxfId="1085" priority="190">
      <formula>AND(LEN(TRIM($C899))&gt;0,LEN(TRIM(C899))=0)</formula>
    </cfRule>
  </conditionalFormatting>
  <conditionalFormatting sqref="E724:E771">
    <cfRule type="expression" dxfId="1084" priority="5">
      <formula>AND(LEN(TRIM($C724))&gt;0,LEN(TRIM(E724))=0)</formula>
    </cfRule>
  </conditionalFormatting>
  <conditionalFormatting sqref="F45:F200">
    <cfRule type="expression" dxfId="1083" priority="6">
      <formula>AND(LEN(TRIM($C45))&gt;0,LEN(TRIM(F45))=0)</formula>
    </cfRule>
  </conditionalFormatting>
  <conditionalFormatting sqref="F772:F774 F776:F778 F780:F782">
    <cfRule type="expression" dxfId="1082" priority="893">
      <formula>AND(LEN(TRIM($C773))&gt;0,LEN(TRIM(F772))=0)</formula>
    </cfRule>
  </conditionalFormatting>
  <conditionalFormatting sqref="F775">
    <cfRule type="expression" dxfId="1081" priority="894">
      <formula>AND(LEN(TRIM(#REF!))&gt;0,LEN(TRIM(F775))=0)</formula>
    </cfRule>
  </conditionalFormatting>
  <conditionalFormatting sqref="F784:F786 F788:F790 F792:F794">
    <cfRule type="expression" dxfId="1080" priority="879">
      <formula>AND(LEN(TRIM($C785))&gt;0,LEN(TRIM(F784))=0)</formula>
    </cfRule>
  </conditionalFormatting>
  <conditionalFormatting sqref="F796:F798 F800:F802 F804:F806 F808:F810 F812:F814 F816:F818">
    <cfRule type="expression" dxfId="1079" priority="981">
      <formula>AND(LEN(TRIM($C797))&gt;0,LEN(TRIM(F796))=0)</formula>
    </cfRule>
  </conditionalFormatting>
  <conditionalFormatting sqref="F807">
    <cfRule type="expression" dxfId="1078" priority="896">
      <formula>AND(LEN(TRIM($C812))&gt;0,LEN(TRIM(F807))=0)</formula>
    </cfRule>
  </conditionalFormatting>
  <conditionalFormatting sqref="F811">
    <cfRule type="expression" dxfId="1077" priority="796">
      <formula>AND(LEN(TRIM(#REF!))&gt;0,LEN(TRIM(F811))=0)</formula>
    </cfRule>
  </conditionalFormatting>
  <conditionalFormatting sqref="F819">
    <cfRule type="expression" dxfId="1076" priority="793">
      <formula>AND(LEN(TRIM($C824))&gt;0,LEN(TRIM(F819))=0)</formula>
    </cfRule>
  </conditionalFormatting>
  <conditionalFormatting sqref="F820:F822 F824:F826 F828:F830">
    <cfRule type="expression" dxfId="1075" priority="791">
      <formula>AND(LEN(TRIM($C821))&gt;0,LEN(TRIM(F820))=0)</formula>
    </cfRule>
  </conditionalFormatting>
  <conditionalFormatting sqref="F823">
    <cfRule type="expression" dxfId="1074" priority="789">
      <formula>AND(LEN(TRIM(#REF!))&gt;0,LEN(TRIM(F823))=0)</formula>
    </cfRule>
  </conditionalFormatting>
  <conditionalFormatting sqref="F831">
    <cfRule type="expression" dxfId="1073" priority="786">
      <formula>AND(LEN(TRIM($C836))&gt;0,LEN(TRIM(F831))=0)</formula>
    </cfRule>
  </conditionalFormatting>
  <conditionalFormatting sqref="F832:F834 F836:F838 F840:F842">
    <cfRule type="expression" dxfId="1072" priority="784">
      <formula>AND(LEN(TRIM($C833))&gt;0,LEN(TRIM(F832))=0)</formula>
    </cfRule>
  </conditionalFormatting>
  <conditionalFormatting sqref="F835">
    <cfRule type="expression" dxfId="1071" priority="782">
      <formula>AND(LEN(TRIM(#REF!))&gt;0,LEN(TRIM(F835))=0)</formula>
    </cfRule>
  </conditionalFormatting>
  <conditionalFormatting sqref="F843">
    <cfRule type="expression" dxfId="1070" priority="779">
      <formula>AND(LEN(TRIM($C848))&gt;0,LEN(TRIM(F843))=0)</formula>
    </cfRule>
  </conditionalFormatting>
  <conditionalFormatting sqref="F844:F846 F848:F850 F852:F854">
    <cfRule type="expression" dxfId="1069" priority="777">
      <formula>AND(LEN(TRIM($C845))&gt;0,LEN(TRIM(F844))=0)</formula>
    </cfRule>
  </conditionalFormatting>
  <conditionalFormatting sqref="F847">
    <cfRule type="expression" dxfId="1068" priority="775">
      <formula>AND(LEN(TRIM(#REF!))&gt;0,LEN(TRIM(F847))=0)</formula>
    </cfRule>
  </conditionalFormatting>
  <conditionalFormatting sqref="F851">
    <cfRule type="expression" dxfId="1067" priority="2075">
      <formula>AND(LEN(TRIM(#REF!))&gt;0,LEN(TRIM(F851))=0)</formula>
    </cfRule>
  </conditionalFormatting>
  <conditionalFormatting sqref="F855">
    <cfRule type="expression" dxfId="1066" priority="771">
      <formula>AND(LEN(TRIM($C859))&gt;0,LEN(TRIM(F855))=0)</formula>
    </cfRule>
  </conditionalFormatting>
  <conditionalFormatting sqref="H434:H522">
    <cfRule type="expression" dxfId="1065" priority="148">
      <formula>AND(LEN(TRIM($C434))&gt;0,LEN(TRIM(H434))=0)</formula>
    </cfRule>
  </conditionalFormatting>
  <conditionalFormatting sqref="H724:H728 H730:H734 H736:H740 H742:H746 H762:H768">
    <cfRule type="expression" dxfId="1064" priority="1089">
      <formula>AND(LEN(TRIM($C725))&gt;0,LEN(TRIM(H724))=0)</formula>
    </cfRule>
  </conditionalFormatting>
  <conditionalFormatting sqref="H729 H735 H741">
    <cfRule type="expression" dxfId="1063" priority="1090">
      <formula>AND(LEN(TRIM(#REF!))&gt;0,LEN(TRIM(H729))=0)</formula>
    </cfRule>
  </conditionalFormatting>
  <conditionalFormatting sqref="H747:H748 NB772:NB855 F787">
    <cfRule type="expression" dxfId="1062" priority="880">
      <formula>AND(LEN(TRIM(#REF!))&gt;0,LEN(TRIM(F747))=0)</formula>
    </cfRule>
  </conditionalFormatting>
  <conditionalFormatting sqref="H748 H750 H752">
    <cfRule type="expression" dxfId="1061" priority="2079">
      <formula>AND(LEN(TRIM($C751))&gt;0,LEN(TRIM(H748))=0)</formula>
    </cfRule>
  </conditionalFormatting>
  <conditionalFormatting sqref="H749 H751 H753">
    <cfRule type="expression" dxfId="1060" priority="2080">
      <formula>AND(LEN(TRIM($C748))&gt;0,LEN(TRIM(H749))=0)</formula>
    </cfRule>
  </conditionalFormatting>
  <conditionalFormatting sqref="H754:H756">
    <cfRule type="expression" dxfId="1059" priority="462">
      <formula>AND(LEN(TRIM(#REF!))&gt;0,LEN(TRIM(H754))=0)</formula>
    </cfRule>
  </conditionalFormatting>
  <conditionalFormatting sqref="H756 H758">
    <cfRule type="expression" dxfId="1058" priority="463">
      <formula>AND(LEN(TRIM($C759))&gt;0,LEN(TRIM(H756))=0)</formula>
    </cfRule>
  </conditionalFormatting>
  <conditionalFormatting sqref="H757 H759 H761">
    <cfRule type="expression" dxfId="1057" priority="464">
      <formula>AND(LEN(TRIM($C756))&gt;0,LEN(TRIM(H757))=0)</formula>
    </cfRule>
  </conditionalFormatting>
  <conditionalFormatting sqref="H760">
    <cfRule type="expression" dxfId="1056" priority="2312">
      <formula>AND(LEN(TRIM(#REF!))&gt;0,LEN(TRIM(H760))=0)</formula>
    </cfRule>
  </conditionalFormatting>
  <conditionalFormatting sqref="H769 H771 F779 F783 NL784:NM784 NJ784:NJ795 F791 F795 F799 F803 F815 F827 F839">
    <cfRule type="expression" dxfId="1055" priority="982">
      <formula>AND(LEN(TRIM(#REF!))&gt;0,LEN(TRIM(F769))=0)</formula>
    </cfRule>
  </conditionalFormatting>
  <conditionalFormatting sqref="H770">
    <cfRule type="expression" dxfId="1054" priority="475">
      <formula>AND(LEN(TRIM($C771))&gt;0,LEN(TRIM(H770))=0)</formula>
    </cfRule>
  </conditionalFormatting>
  <conditionalFormatting sqref="L682:T723">
    <cfRule type="expression" dxfId="1053" priority="1235">
      <formula>AND(LEN(TRIM($L682))&gt;0,LEN(TRIM(L682))=0)</formula>
    </cfRule>
  </conditionalFormatting>
  <conditionalFormatting sqref="L724:T771 L772 N772:T772 L773:T984">
    <cfRule type="expression" dxfId="1052" priority="191">
      <formula>AND(LEN(TRIM($L724))&gt;0,LEN(TRIM(L724))=0)</formula>
    </cfRule>
  </conditionalFormatting>
  <conditionalFormatting sqref="U682:AC723">
    <cfRule type="expression" dxfId="1051" priority="1236">
      <formula>AND(LEN(TRIM($U682))&gt;0,LEN(TRIM(U682))=0)</formula>
    </cfRule>
  </conditionalFormatting>
  <conditionalFormatting sqref="U724:AC984">
    <cfRule type="expression" dxfId="1050" priority="192">
      <formula>AND(LEN(TRIM($U724))&gt;0,LEN(TRIM(U724))=0)</formula>
    </cfRule>
  </conditionalFormatting>
  <conditionalFormatting sqref="AD682:AL723">
    <cfRule type="expression" dxfId="1049" priority="1237">
      <formula>AND(LEN(TRIM($AD682))&gt;0,LEN(TRIM(AD682))=0)</formula>
    </cfRule>
  </conditionalFormatting>
  <conditionalFormatting sqref="AD724:AL984">
    <cfRule type="expression" dxfId="1048" priority="193">
      <formula>AND(LEN(TRIM($AD724))&gt;0,LEN(TRIM(AD724))=0)</formula>
    </cfRule>
  </conditionalFormatting>
  <conditionalFormatting sqref="AM682:AU723">
    <cfRule type="expression" dxfId="1047" priority="1238">
      <formula>AND(LEN(TRIM($AM682))&gt;0,LEN(TRIM(AM682))=0)</formula>
    </cfRule>
  </conditionalFormatting>
  <conditionalFormatting sqref="AM724:AU984">
    <cfRule type="expression" dxfId="1046" priority="194">
      <formula>AND(LEN(TRIM($AM724))&gt;0,LEN(TRIM(AM724))=0)</formula>
    </cfRule>
  </conditionalFormatting>
  <conditionalFormatting sqref="AW929:AX930">
    <cfRule type="expression" dxfId="1045" priority="178">
      <formula>AND(LEN(TRIM($AV929))&gt;0,LEN(TRIM(AW929))=0)</formula>
    </cfRule>
  </conditionalFormatting>
  <conditionalFormatting sqref="AW936:AX937">
    <cfRule type="expression" dxfId="1044" priority="175">
      <formula>AND(LEN(TRIM($AV936))&gt;0,LEN(TRIM(AW936))=0)</formula>
    </cfRule>
  </conditionalFormatting>
  <conditionalFormatting sqref="AW943:AX944">
    <cfRule type="expression" dxfId="1043" priority="171">
      <formula>AND(LEN(TRIM($AV943))&gt;0,LEN(TRIM(AW943))=0)</formula>
    </cfRule>
  </conditionalFormatting>
  <conditionalFormatting sqref="AW950:AX951">
    <cfRule type="expression" dxfId="1042" priority="168">
      <formula>AND(LEN(TRIM($AV950))&gt;0,LEN(TRIM(AW950))=0)</formula>
    </cfRule>
  </conditionalFormatting>
  <conditionalFormatting sqref="AW957:AX958">
    <cfRule type="expression" dxfId="1041" priority="161">
      <formula>AND(LEN(TRIM($AV957))&gt;0,LEN(TRIM(AW957))=0)</formula>
    </cfRule>
  </conditionalFormatting>
  <conditionalFormatting sqref="AW964:AX965">
    <cfRule type="expression" dxfId="1040" priority="158">
      <formula>AND(LEN(TRIM($AV964))&gt;0,LEN(TRIM(AW964))=0)</formula>
    </cfRule>
  </conditionalFormatting>
  <conditionalFormatting sqref="AW971:AX972">
    <cfRule type="expression" dxfId="1039" priority="153">
      <formula>AND(LEN(TRIM($AV971))&gt;0,LEN(TRIM(AW971))=0)</formula>
    </cfRule>
  </conditionalFormatting>
  <conditionalFormatting sqref="AW978:AX979">
    <cfRule type="expression" dxfId="1038" priority="150">
      <formula>AND(LEN(TRIM($AV978))&gt;0,LEN(TRIM(AW978))=0)</formula>
    </cfRule>
  </conditionalFormatting>
  <conditionalFormatting sqref="AW682:BC723">
    <cfRule type="expression" dxfId="1037" priority="1239">
      <formula>AND(LEN(TRIM($AV682))&gt;0,LEN(TRIM(AW682))=0)</formula>
    </cfRule>
  </conditionalFormatting>
  <conditionalFormatting sqref="AW724:BC855 AX856:BC898">
    <cfRule type="expression" dxfId="1036" priority="685">
      <formula>AND(LEN(TRIM($AV724))&gt;0,LEN(TRIM(AW724))=0)</formula>
    </cfRule>
  </conditionalFormatting>
  <conditionalFormatting sqref="AW899:BC917 AW918:AX922">
    <cfRule type="expression" dxfId="1035" priority="210">
      <formula>AND(LEN(TRIM($AV899))&gt;0,LEN(TRIM(AW899))=0)</formula>
    </cfRule>
  </conditionalFormatting>
  <conditionalFormatting sqref="AW923:BC928">
    <cfRule type="expression" dxfId="1034"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1033" priority="216">
      <formula>AND(LEN(TRIM($AV918))&gt;0,LEN(TRIM(AW918))=0)</formula>
    </cfRule>
  </conditionalFormatting>
  <conditionalFormatting sqref="BD682:BF723">
    <cfRule type="expression" dxfId="1032" priority="1240">
      <formula>AND(LEN(TRIM(#REF!))&gt;0,LEN(TRIM(BD682))=0)</formula>
    </cfRule>
  </conditionalFormatting>
  <conditionalFormatting sqref="BD724:BF898 IO772:IO898 HQ856:HQ876 BI877:BI886 BI888:BI897">
    <cfRule type="expression" dxfId="1031" priority="686">
      <formula>AND(LEN(TRIM(#REF!))&gt;0,LEN(TRIM(BD724))=0)</formula>
    </cfRule>
  </conditionalFormatting>
  <conditionalFormatting sqref="BE899:BF916">
    <cfRule type="expression" dxfId="1030" priority="378">
      <formula>AND(LEN(TRIM($BD899))&gt;0,LEN(TRIM(BE899))=0)</formula>
    </cfRule>
  </conditionalFormatting>
  <conditionalFormatting sqref="BH797:BJ798">
    <cfRule type="expression" dxfId="1029" priority="907">
      <formula>AND(LEN(TRIM($BG797))&gt;0,LEN(TRIM(BH797))=0)</formula>
    </cfRule>
  </conditionalFormatting>
  <conditionalFormatting sqref="BH918:BJ920">
    <cfRule type="expression" dxfId="1028" priority="200">
      <formula>AND(LEN(TRIM($BG918))&gt;0,LEN(TRIM(BH918))=0)</formula>
    </cfRule>
  </conditionalFormatting>
  <conditionalFormatting sqref="BH924:BJ926">
    <cfRule type="expression" dxfId="1027"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1026" priority="1241">
      <formula>AND(LEN(TRIM($BG682))&gt;0,LEN(TRIM(BH682))=0)</formula>
    </cfRule>
  </conditionalFormatting>
  <conditionalFormatting sqref="BH724:BK772">
    <cfRule type="expression" dxfId="1025" priority="808">
      <formula>AND(LEN(TRIM($BG724))&gt;0,LEN(TRIM(BH724))=0)</formula>
    </cfRule>
  </conditionalFormatting>
  <conditionalFormatting sqref="BH917:BK917">
    <cfRule type="expression" dxfId="1024" priority="204">
      <formula>AND(LEN(TRIM($BG917))&gt;0,LEN(TRIM(BH917))=0)</formula>
    </cfRule>
  </conditionalFormatting>
  <conditionalFormatting sqref="BH921:BK923">
    <cfRule type="expression" dxfId="1023" priority="189">
      <formula>AND(LEN(TRIM($BG921))&gt;0,LEN(TRIM(BH921))=0)</formula>
    </cfRule>
  </conditionalFormatting>
  <conditionalFormatting sqref="BI856:BI861">
    <cfRule type="expression" dxfId="1022" priority="668">
      <formula>AND(LEN(TRIM(#REF!))&gt;0,LEN(TRIM(BI856))=0)</formula>
    </cfRule>
  </conditionalFormatting>
  <conditionalFormatting sqref="BI863:BI868">
    <cfRule type="expression" dxfId="1021" priority="630">
      <formula>AND(LEN(TRIM(#REF!))&gt;0,LEN(TRIM(BI863))=0)</formula>
    </cfRule>
  </conditionalFormatting>
  <conditionalFormatting sqref="BI870:BI875">
    <cfRule type="expression" dxfId="1020" priority="591">
      <formula>AND(LEN(TRIM(#REF!))&gt;0,LEN(TRIM(BI870))=0)</formula>
    </cfRule>
  </conditionalFormatting>
  <conditionalFormatting sqref="BJ856:BK859">
    <cfRule type="expression" dxfId="1019" priority="687">
      <formula>AND(LEN(TRIM($BG856))&gt;0,LEN(TRIM(BJ856))=0)</formula>
    </cfRule>
  </conditionalFormatting>
  <conditionalFormatting sqref="BK918:BK920 BK924:BK926 BH927:BK984 BM933:BO935 BM940:BO942 BM947:BO949 BM954:BO956 BM961:BO963 BM968:BO970 BM975:BO977 BM982:BO984">
    <cfRule type="expression" dxfId="1018" priority="218">
      <formula>AND(LEN(TRIM($BG918))&gt;0,LEN(TRIM(BH918))=0)</formula>
    </cfRule>
  </conditionalFormatting>
  <conditionalFormatting sqref="BM705">
    <cfRule type="expression" dxfId="1017"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1016" priority="1016">
      <formula>AND(LEN(TRIM($BL724))&gt;0,LEN(TRIM(BK724))=0)</formula>
    </cfRule>
  </conditionalFormatting>
  <conditionalFormatting sqref="BM725">
    <cfRule type="expression" dxfId="1015" priority="1007">
      <formula>AND(LEN(TRIM($BG725))&gt;0,LEN(TRIM(BM725))=0)</formula>
    </cfRule>
  </conditionalFormatting>
  <conditionalFormatting sqref="BM727">
    <cfRule type="expression" dxfId="1014" priority="1006">
      <formula>AND(LEN(TRIM($BG727))&gt;0,LEN(TRIM(BM727))=0)</formula>
    </cfRule>
  </conditionalFormatting>
  <conditionalFormatting sqref="BM729">
    <cfRule type="expression" dxfId="1013" priority="1005">
      <formula>AND(LEN(TRIM($BG729))&gt;0,LEN(TRIM(BM729))=0)</formula>
    </cfRule>
  </conditionalFormatting>
  <conditionalFormatting sqref="BM731">
    <cfRule type="expression" dxfId="1012" priority="1004">
      <formula>AND(LEN(TRIM($BG731))&gt;0,LEN(TRIM(BM731))=0)</formula>
    </cfRule>
  </conditionalFormatting>
  <conditionalFormatting sqref="BM733">
    <cfRule type="expression" dxfId="1011" priority="1003">
      <formula>AND(LEN(TRIM($BG733))&gt;0,LEN(TRIM(BM733))=0)</formula>
    </cfRule>
  </conditionalFormatting>
  <conditionalFormatting sqref="BM735">
    <cfRule type="expression" dxfId="1010" priority="1002">
      <formula>AND(LEN(TRIM($BG735))&gt;0,LEN(TRIM(BM735))=0)</formula>
    </cfRule>
  </conditionalFormatting>
  <conditionalFormatting sqref="BM737">
    <cfRule type="expression" dxfId="1009" priority="1001">
      <formula>AND(LEN(TRIM($BG737))&gt;0,LEN(TRIM(BM737))=0)</formula>
    </cfRule>
  </conditionalFormatting>
  <conditionalFormatting sqref="BM739">
    <cfRule type="expression" dxfId="1008" priority="1000">
      <formula>AND(LEN(TRIM($BG739))&gt;0,LEN(TRIM(BM739))=0)</formula>
    </cfRule>
  </conditionalFormatting>
  <conditionalFormatting sqref="BM741">
    <cfRule type="expression" dxfId="1007" priority="999">
      <formula>AND(LEN(TRIM($BG741))&gt;0,LEN(TRIM(BM741))=0)</formula>
    </cfRule>
  </conditionalFormatting>
  <conditionalFormatting sqref="BM743">
    <cfRule type="expression" dxfId="1006" priority="997">
      <formula>AND(LEN(TRIM($BG743))&gt;0,LEN(TRIM(BM743))=0)</formula>
    </cfRule>
  </conditionalFormatting>
  <conditionalFormatting sqref="BM745">
    <cfRule type="expression" dxfId="1005"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1004" priority="304">
      <formula>AND(LEN(TRIM($BG747))&gt;0,LEN(TRIM(BH747))=0)</formula>
    </cfRule>
  </conditionalFormatting>
  <conditionalFormatting sqref="BM763">
    <cfRule type="expression" dxfId="1003" priority="987">
      <formula>AND(LEN(TRIM($BG763))&gt;0,LEN(TRIM(BM763))=0)</formula>
    </cfRule>
  </conditionalFormatting>
  <conditionalFormatting sqref="BM765">
    <cfRule type="expression" dxfId="1002" priority="986">
      <formula>AND(LEN(TRIM($BG765))&gt;0,LEN(TRIM(BM765))=0)</formula>
    </cfRule>
  </conditionalFormatting>
  <conditionalFormatting sqref="BM767">
    <cfRule type="expression" dxfId="1001" priority="985">
      <formula>AND(LEN(TRIM($BG767))&gt;0,LEN(TRIM(BM767))=0)</formula>
    </cfRule>
  </conditionalFormatting>
  <conditionalFormatting sqref="BM769">
    <cfRule type="expression" dxfId="1000" priority="885">
      <formula>AND(LEN(TRIM($BG769))&gt;0,LEN(TRIM(BM769))=0)</formula>
    </cfRule>
  </conditionalFormatting>
  <conditionalFormatting sqref="BM772">
    <cfRule type="expression" dxfId="999" priority="886">
      <formula>AND(LEN(TRIM($BL772))&gt;0,LEN(TRIM(BM772))=0)</formula>
    </cfRule>
  </conditionalFormatting>
  <conditionalFormatting sqref="BM784">
    <cfRule type="expression" dxfId="998" priority="809">
      <formula>AND(LEN(TRIM($BL784))&gt;0,LEN(TRIM(BM784))=0)</formula>
    </cfRule>
  </conditionalFormatting>
  <conditionalFormatting sqref="BM796">
    <cfRule type="expression" dxfId="997" priority="908">
      <formula>AND(LEN(TRIM($BL796))&gt;0,LEN(TRIM(BM796))=0)</formula>
    </cfRule>
  </conditionalFormatting>
  <conditionalFormatting sqref="BM899:BO902 BI899:BJ916 BM903:BN904 BM905:BO908 BM909:BN910 BM911:BO914 BM915:BN916">
    <cfRule type="expression" dxfId="996" priority="298">
      <formula>AND(LEN(TRIM($C899))&gt;0,LEN(TRIM(BI899))=0)</formula>
    </cfRule>
  </conditionalFormatting>
  <conditionalFormatting sqref="BM918:BO920">
    <cfRule type="expression" dxfId="995" priority="202">
      <formula>AND(LEN(TRIM($BG918))&gt;0,LEN(TRIM(BM918))=0)</formula>
    </cfRule>
  </conditionalFormatting>
  <conditionalFormatting sqref="BM924:BO926">
    <cfRule type="expression" dxfId="994"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993" priority="1242">
      <formula>AND(LEN(TRIM($BL682))&gt;0,LEN(TRIM(BM682))=0)</formula>
    </cfRule>
  </conditionalFormatting>
  <conditionalFormatting sqref="BN856:BN898">
    <cfRule type="expression" dxfId="992" priority="509">
      <formula>AND(LEN(TRIM(#REF!))&gt;0,LEN(TRIM(BN856))=0)</formula>
    </cfRule>
  </conditionalFormatting>
  <conditionalFormatting sqref="BP856:BP859">
    <cfRule type="expression" dxfId="991" priority="688">
      <formula>AND(LEN(TRIM($BL856))&gt;0,LEN(TRIM(BP856))=0)</formula>
    </cfRule>
  </conditionalFormatting>
  <conditionalFormatting sqref="BP899:BP902">
    <cfRule type="expression" dxfId="990"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989"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988" priority="887">
      <formula>AND(LEN(TRIM($BQ772))&gt;0,LEN(TRIM(BM772))=0)</formula>
    </cfRule>
  </conditionalFormatting>
  <conditionalFormatting sqref="BR857">
    <cfRule type="expression" dxfId="987" priority="679">
      <formula>AND(LEN(TRIM($BG857))&gt;0,LEN(TRIM(BR857))=0)</formula>
    </cfRule>
  </conditionalFormatting>
  <conditionalFormatting sqref="BR858">
    <cfRule type="expression" dxfId="986" priority="672">
      <formula>AND(LEN(TRIM($BL858))&gt;0,LEN(TRIM(BR858))=0)</formula>
    </cfRule>
  </conditionalFormatting>
  <conditionalFormatting sqref="BR864">
    <cfRule type="expression" dxfId="985" priority="641">
      <formula>AND(LEN(TRIM($BG864))&gt;0,LEN(TRIM(BR864))=0)</formula>
    </cfRule>
  </conditionalFormatting>
  <conditionalFormatting sqref="BR865">
    <cfRule type="expression" dxfId="984" priority="634">
      <formula>AND(LEN(TRIM($BL865))&gt;0,LEN(TRIM(BR865))=0)</formula>
    </cfRule>
  </conditionalFormatting>
  <conditionalFormatting sqref="BR871">
    <cfRule type="expression" dxfId="983" priority="602">
      <formula>AND(LEN(TRIM($BG871))&gt;0,LEN(TRIM(BR871))=0)</formula>
    </cfRule>
  </conditionalFormatting>
  <conditionalFormatting sqref="BR872">
    <cfRule type="expression" dxfId="982" priority="595">
      <formula>AND(LEN(TRIM($BL872))&gt;0,LEN(TRIM(BR872))=0)</formula>
    </cfRule>
  </conditionalFormatting>
  <conditionalFormatting sqref="BR879:BR880">
    <cfRule type="expression" dxfId="981" priority="564">
      <formula>AND(LEN(TRIM($BL879))&gt;0,LEN(TRIM(BR879))=0)</formula>
    </cfRule>
  </conditionalFormatting>
  <conditionalFormatting sqref="BR890:BR891">
    <cfRule type="expression" dxfId="980" priority="521">
      <formula>AND(LEN(TRIM($BL890))&gt;0,LEN(TRIM(BR890))=0)</formula>
    </cfRule>
  </conditionalFormatting>
  <conditionalFormatting sqref="BR682:BU682">
    <cfRule type="expression" dxfId="979" priority="1243">
      <formula>AND(LEN(TRIM($BQ682))&gt;0,LEN(TRIM(BR682))=0)</formula>
    </cfRule>
  </conditionalFormatting>
  <conditionalFormatting sqref="BR724:BU771">
    <cfRule type="expression" dxfId="978" priority="689">
      <formula>AND(LEN(TRIM($BQ724))&gt;0,LEN(TRIM(BR724))=0)</formula>
    </cfRule>
  </conditionalFormatting>
  <conditionalFormatting sqref="BR899:BU916">
    <cfRule type="expression" dxfId="977" priority="306">
      <formula>AND(LEN(TRIM($BQ899))&gt;0,LEN(TRIM(BR899))=0)</formula>
    </cfRule>
  </conditionalFormatting>
  <conditionalFormatting sqref="BR918:BU922 BR924:BU931 BR933:BU938 BR940:BU945 BR947:BU952 BR954:BU959 BR961:BU966 BR968:BU973 BR975:BU980 BR982:BU984">
    <cfRule type="expression" dxfId="976" priority="220">
      <formula>AND(LEN(TRIM($BQ918))&gt;0,LEN(TRIM(BR918))=0)</formula>
    </cfRule>
  </conditionalFormatting>
  <conditionalFormatting sqref="BS683">
    <cfRule type="expression" dxfId="975" priority="1191">
      <formula>AND(LEN(TRIM($BG683))&gt;0,LEN(TRIM(BS683))=0)</formula>
    </cfRule>
  </conditionalFormatting>
  <conditionalFormatting sqref="BS686">
    <cfRule type="expression" dxfId="974" priority="1190">
      <formula>AND(LEN(TRIM($BG686))&gt;0,LEN(TRIM(BS686))=0)</formula>
    </cfRule>
  </conditionalFormatting>
  <conditionalFormatting sqref="BS689">
    <cfRule type="expression" dxfId="973" priority="1176">
      <formula>AND(LEN(TRIM($BG689))&gt;0,LEN(TRIM(BS689))=0)</formula>
    </cfRule>
  </conditionalFormatting>
  <conditionalFormatting sqref="BS692">
    <cfRule type="expression" dxfId="972" priority="1175">
      <formula>AND(LEN(TRIM($BG692))&gt;0,LEN(TRIM(BS692))=0)</formula>
    </cfRule>
  </conditionalFormatting>
  <conditionalFormatting sqref="BS695">
    <cfRule type="expression" dxfId="971" priority="1233">
      <formula>AND(LEN(TRIM($BG695))&gt;0,LEN(TRIM(BS695))=0)</formula>
    </cfRule>
  </conditionalFormatting>
  <conditionalFormatting sqref="BS698">
    <cfRule type="expression" dxfId="970" priority="1232">
      <formula>AND(LEN(TRIM($BG698))&gt;0,LEN(TRIM(BS698))=0)</formula>
    </cfRule>
  </conditionalFormatting>
  <conditionalFormatting sqref="BS701">
    <cfRule type="expression" dxfId="969" priority="1228">
      <formula>AND(LEN(TRIM($BG701))&gt;0,LEN(TRIM(BS701))=0)</formula>
    </cfRule>
  </conditionalFormatting>
  <conditionalFormatting sqref="BS704">
    <cfRule type="expression" dxfId="968" priority="1227">
      <formula>AND(LEN(TRIM($BG704))&gt;0,LEN(TRIM(BS704))=0)</formula>
    </cfRule>
  </conditionalFormatting>
  <conditionalFormatting sqref="BS707">
    <cfRule type="expression" dxfId="967" priority="1152">
      <formula>AND(LEN(TRIM($BG707))&gt;0,LEN(TRIM(BS707))=0)</formula>
    </cfRule>
  </conditionalFormatting>
  <conditionalFormatting sqref="BS710">
    <cfRule type="expression" dxfId="966" priority="1151">
      <formula>AND(LEN(TRIM($BG710))&gt;0,LEN(TRIM(BS710))=0)</formula>
    </cfRule>
  </conditionalFormatting>
  <conditionalFormatting sqref="BS713">
    <cfRule type="expression" dxfId="965" priority="1129">
      <formula>AND(LEN(TRIM($BG713))&gt;0,LEN(TRIM(BS713))=0)</formula>
    </cfRule>
  </conditionalFormatting>
  <conditionalFormatting sqref="BS716">
    <cfRule type="expression" dxfId="964" priority="1128">
      <formula>AND(LEN(TRIM($BG716))&gt;0,LEN(TRIM(BS716))=0)</formula>
    </cfRule>
  </conditionalFormatting>
  <conditionalFormatting sqref="BS719">
    <cfRule type="expression" dxfId="963" priority="1103">
      <formula>AND(LEN(TRIM($BG719))&gt;0,LEN(TRIM(BS719))=0)</formula>
    </cfRule>
  </conditionalFormatting>
  <conditionalFormatting sqref="BS722">
    <cfRule type="expression" dxfId="962" priority="1102">
      <formula>AND(LEN(TRIM($BG722))&gt;0,LEN(TRIM(BS722))=0)</formula>
    </cfRule>
  </conditionalFormatting>
  <conditionalFormatting sqref="BS856:BS861">
    <cfRule type="expression" dxfId="961" priority="655">
      <formula>AND(LEN(TRIM(#REF!))&gt;0,LEN(TRIM(BS856))=0)</formula>
    </cfRule>
  </conditionalFormatting>
  <conditionalFormatting sqref="BS863:BS868">
    <cfRule type="expression" dxfId="960" priority="617">
      <formula>AND(LEN(TRIM(#REF!))&gt;0,LEN(TRIM(BS863))=0)</formula>
    </cfRule>
  </conditionalFormatting>
  <conditionalFormatting sqref="BS870:BS875">
    <cfRule type="expression" dxfId="959" priority="578">
      <formula>AND(LEN(TRIM(#REF!))&gt;0,LEN(TRIM(BS870))=0)</formula>
    </cfRule>
  </conditionalFormatting>
  <conditionalFormatting sqref="BS877:BS885">
    <cfRule type="expression" dxfId="958" priority="551">
      <formula>AND(LEN(TRIM(#REF!))&gt;0,LEN(TRIM(BS877))=0)</formula>
    </cfRule>
  </conditionalFormatting>
  <conditionalFormatting sqref="BS888:BS896">
    <cfRule type="expression" dxfId="957" priority="508">
      <formula>AND(LEN(TRIM(#REF!))&gt;0,LEN(TRIM(BS888))=0)</formula>
    </cfRule>
  </conditionalFormatting>
  <conditionalFormatting sqref="BS699:BT699">
    <cfRule type="expression" dxfId="956" priority="1229">
      <formula>AND(LEN(TRIM($BG699))&gt;0,LEN(TRIM(BS699))=0)</formula>
    </cfRule>
  </conditionalFormatting>
  <conditionalFormatting sqref="BS705:BT705">
    <cfRule type="expression" dxfId="955" priority="1224">
      <formula>AND(LEN(TRIM($BG705))&gt;0,LEN(TRIM(BS705))=0)</formula>
    </cfRule>
  </conditionalFormatting>
  <conditionalFormatting sqref="BS862:BT862">
    <cfRule type="expression" dxfId="954" priority="654">
      <formula>AND(LEN(TRIM($BG862))&gt;0,LEN(TRIM(BS862))=0)</formula>
    </cfRule>
  </conditionalFormatting>
  <conditionalFormatting sqref="BS869:BT869">
    <cfRule type="expression" dxfId="953" priority="616">
      <formula>AND(LEN(TRIM($BG869))&gt;0,LEN(TRIM(BS869))=0)</formula>
    </cfRule>
  </conditionalFormatting>
  <conditionalFormatting sqref="BS876:BT876">
    <cfRule type="expression" dxfId="952" priority="577">
      <formula>AND(LEN(TRIM($BG876))&gt;0,LEN(TRIM(BS876))=0)</formula>
    </cfRule>
  </conditionalFormatting>
  <conditionalFormatting sqref="BS886:BT887">
    <cfRule type="expression" dxfId="951" priority="537">
      <formula>AND(LEN(TRIM($BG886))&gt;0,LEN(TRIM(BS886))=0)</formula>
    </cfRule>
  </conditionalFormatting>
  <conditionalFormatting sqref="BS897:BT898">
    <cfRule type="expression" dxfId="950" priority="494">
      <formula>AND(LEN(TRIM($BG897))&gt;0,LEN(TRIM(BS897))=0)</formula>
    </cfRule>
  </conditionalFormatting>
  <conditionalFormatting sqref="BT857">
    <cfRule type="expression" dxfId="949" priority="665">
      <formula>AND(LEN(TRIM($BG857))&gt;0,LEN(TRIM(BT857))=0)</formula>
    </cfRule>
  </conditionalFormatting>
  <conditionalFormatting sqref="BT860">
    <cfRule type="expression" dxfId="948" priority="667">
      <formula>AND(LEN(TRIM($BG860))&gt;0,LEN(TRIM(BT860))=0)</formula>
    </cfRule>
  </conditionalFormatting>
  <conditionalFormatting sqref="BT864">
    <cfRule type="expression" dxfId="947" priority="627">
      <formula>AND(LEN(TRIM($BG864))&gt;0,LEN(TRIM(BT864))=0)</formula>
    </cfRule>
  </conditionalFormatting>
  <conditionalFormatting sqref="BT867">
    <cfRule type="expression" dxfId="946" priority="629">
      <formula>AND(LEN(TRIM($BG867))&gt;0,LEN(TRIM(BT867))=0)</formula>
    </cfRule>
  </conditionalFormatting>
  <conditionalFormatting sqref="BT871">
    <cfRule type="expression" dxfId="945" priority="588">
      <formula>AND(LEN(TRIM($BG871))&gt;0,LEN(TRIM(BT871))=0)</formula>
    </cfRule>
  </conditionalFormatting>
  <conditionalFormatting sqref="BT874">
    <cfRule type="expression" dxfId="944" priority="590">
      <formula>AND(LEN(TRIM($BG874))&gt;0,LEN(TRIM(BT874))=0)</formula>
    </cfRule>
  </conditionalFormatting>
  <conditionalFormatting sqref="BT883">
    <cfRule type="expression" dxfId="943" priority="560">
      <formula>AND(LEN(TRIM($BG883))&gt;0,LEN(TRIM(BT883))=0)</formula>
    </cfRule>
  </conditionalFormatting>
  <conditionalFormatting sqref="BT894">
    <cfRule type="expression" dxfId="942"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941" priority="1230">
      <formula>AND(LEN(TRIM($BQ683))&gt;0,LEN(TRIM(BM683))=0)</formula>
    </cfRule>
  </conditionalFormatting>
  <conditionalFormatting sqref="BU784">
    <cfRule type="expression" dxfId="940" priority="810">
      <formula>AND(LEN(TRIM($BQ784))&gt;0,LEN(TRIM(BU784))=0)</formula>
    </cfRule>
  </conditionalFormatting>
  <conditionalFormatting sqref="BU796">
    <cfRule type="expression" dxfId="939" priority="909">
      <formula>AND(LEN(TRIM($BQ796))&gt;0,LEN(TRIM(BU796))=0)</formula>
    </cfRule>
  </conditionalFormatting>
  <conditionalFormatting sqref="BW856:BW857">
    <cfRule type="expression" dxfId="938" priority="673">
      <formula>AND(LEN(TRIM($BL856))&gt;0,LEN(TRIM(BW856))=0)</formula>
    </cfRule>
  </conditionalFormatting>
  <conditionalFormatting sqref="BW862:BW864">
    <cfRule type="expression" dxfId="937" priority="635">
      <formula>AND(LEN(TRIM($BL862))&gt;0,LEN(TRIM(BW862))=0)</formula>
    </cfRule>
  </conditionalFormatting>
  <conditionalFormatting sqref="BW869:BW871">
    <cfRule type="expression" dxfId="936" priority="596">
      <formula>AND(LEN(TRIM($BL869))&gt;0,LEN(TRIM(BW869))=0)</formula>
    </cfRule>
  </conditionalFormatting>
  <conditionalFormatting sqref="BW884">
    <cfRule type="expression" dxfId="935" priority="541">
      <formula>AND(LEN(TRIM($BL884))&gt;0,LEN(TRIM(BW884))=0)</formula>
    </cfRule>
  </conditionalFormatting>
  <conditionalFormatting sqref="BW895">
    <cfRule type="expression" dxfId="934" priority="498">
      <formula>AND(LEN(TRIM($BL895))&gt;0,LEN(TRIM(BW895))=0)</formula>
    </cfRule>
  </conditionalFormatting>
  <conditionalFormatting sqref="BW897:BW898">
    <cfRule type="expression" dxfId="933"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932"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931" priority="888">
      <formula>AND(LEN(TRIM($BV724))&gt;0,LEN(TRIM(BW724))=0)</formula>
    </cfRule>
  </conditionalFormatting>
  <conditionalFormatting sqref="BW784:BZ786">
    <cfRule type="expression" dxfId="930" priority="811">
      <formula>AND(LEN(TRIM($BV784))&gt;0,LEN(TRIM(BW784))=0)</formula>
    </cfRule>
  </conditionalFormatting>
  <conditionalFormatting sqref="BW796:BZ798">
    <cfRule type="expression" dxfId="929" priority="910">
      <formula>AND(LEN(TRIM($BV796))&gt;0,LEN(TRIM(BW796))=0)</formula>
    </cfRule>
  </conditionalFormatting>
  <conditionalFormatting sqref="BW899:BZ916">
    <cfRule type="expression" dxfId="928" priority="307">
      <formula>AND(LEN(TRIM($BV899))&gt;0,LEN(TRIM(BW899))=0)</formula>
    </cfRule>
  </conditionalFormatting>
  <conditionalFormatting sqref="BW918:BZ922 BW924:BZ931 BW933:BZ938 BW940:BZ945 BW947:BZ952 BW954:BZ959 BW961:BZ966 BW968:BZ973 BW975:BZ980 BW982:BZ984">
    <cfRule type="expression" dxfId="927" priority="221">
      <formula>AND(LEN(TRIM($BV918))&gt;0,LEN(TRIM(BW918))=0)</formula>
    </cfRule>
  </conditionalFormatting>
  <conditionalFormatting sqref="BX856:BX859">
    <cfRule type="expression" dxfId="926" priority="662">
      <formula>AND(LEN(TRIM(#REF!))&gt;0,LEN(TRIM(BX856))=0)</formula>
    </cfRule>
  </conditionalFormatting>
  <conditionalFormatting sqref="BX860">
    <cfRule type="expression" dxfId="925" priority="647">
      <formula>AND(LEN(TRIM($BL860))&gt;0,LEN(TRIM(BX860))=0)</formula>
    </cfRule>
  </conditionalFormatting>
  <conditionalFormatting sqref="BX861:BX866">
    <cfRule type="expression" dxfId="924" priority="624">
      <formula>AND(LEN(TRIM(#REF!))&gt;0,LEN(TRIM(BX861))=0)</formula>
    </cfRule>
  </conditionalFormatting>
  <conditionalFormatting sqref="BX867">
    <cfRule type="expression" dxfId="923" priority="609">
      <formula>AND(LEN(TRIM($BL867))&gt;0,LEN(TRIM(BX867))=0)</formula>
    </cfRule>
  </conditionalFormatting>
  <conditionalFormatting sqref="BX868:BX873">
    <cfRule type="expression" dxfId="922" priority="585">
      <formula>AND(LEN(TRIM(#REF!))&gt;0,LEN(TRIM(BX868))=0)</formula>
    </cfRule>
  </conditionalFormatting>
  <conditionalFormatting sqref="BX874">
    <cfRule type="expression" dxfId="921" priority="570">
      <formula>AND(LEN(TRIM($BL874))&gt;0,LEN(TRIM(BX874))=0)</formula>
    </cfRule>
  </conditionalFormatting>
  <conditionalFormatting sqref="BX875:BX882">
    <cfRule type="expression" dxfId="920" priority="557">
      <formula>AND(LEN(TRIM(#REF!))&gt;0,LEN(TRIM(BX875))=0)</formula>
    </cfRule>
  </conditionalFormatting>
  <conditionalFormatting sqref="BX883">
    <cfRule type="expression" dxfId="919" priority="543">
      <formula>AND(LEN(TRIM($BL883))&gt;0,LEN(TRIM(BX883))=0)</formula>
    </cfRule>
  </conditionalFormatting>
  <conditionalFormatting sqref="BX884:BX893">
    <cfRule type="expression" dxfId="918" priority="514">
      <formula>AND(LEN(TRIM(#REF!))&gt;0,LEN(TRIM(BX884))=0)</formula>
    </cfRule>
  </conditionalFormatting>
  <conditionalFormatting sqref="BX894">
    <cfRule type="expression" dxfId="917" priority="500">
      <formula>AND(LEN(TRIM($BL894))&gt;0,LEN(TRIM(BX894))=0)</formula>
    </cfRule>
  </conditionalFormatting>
  <conditionalFormatting sqref="BX895:BX898">
    <cfRule type="expression" dxfId="916" priority="495">
      <formula>AND(LEN(TRIM(#REF!))&gt;0,LEN(TRIM(BX895))=0)</formula>
    </cfRule>
  </conditionalFormatting>
  <conditionalFormatting sqref="BY686">
    <cfRule type="expression" dxfId="915" priority="1189">
      <formula>AND(LEN(TRIM($CA686))&gt;0,LEN(TRIM(BY686))=0)</formula>
    </cfRule>
  </conditionalFormatting>
  <conditionalFormatting sqref="BY692">
    <cfRule type="expression" dxfId="914" priority="1174">
      <formula>AND(LEN(TRIM($CA692))&gt;0,LEN(TRIM(BY692))=0)</formula>
    </cfRule>
  </conditionalFormatting>
  <conditionalFormatting sqref="BY698">
    <cfRule type="expression" dxfId="913" priority="1231">
      <formula>AND(LEN(TRIM($CA698))&gt;0,LEN(TRIM(BY698))=0)</formula>
    </cfRule>
  </conditionalFormatting>
  <conditionalFormatting sqref="BY704">
    <cfRule type="expression" dxfId="912" priority="1226">
      <formula>AND(LEN(TRIM($CA704))&gt;0,LEN(TRIM(BY704))=0)</formula>
    </cfRule>
  </conditionalFormatting>
  <conditionalFormatting sqref="BY710">
    <cfRule type="expression" dxfId="911" priority="1150">
      <formula>AND(LEN(TRIM($CA710))&gt;0,LEN(TRIM(BY710))=0)</formula>
    </cfRule>
  </conditionalFormatting>
  <conditionalFormatting sqref="BY716">
    <cfRule type="expression" dxfId="910" priority="1127">
      <formula>AND(LEN(TRIM($CA716))&gt;0,LEN(TRIM(BY716))=0)</formula>
    </cfRule>
  </conditionalFormatting>
  <conditionalFormatting sqref="BY722">
    <cfRule type="expression" dxfId="909" priority="1101">
      <formula>AND(LEN(TRIM($CA722))&gt;0,LEN(TRIM(BY722))=0)</formula>
    </cfRule>
  </conditionalFormatting>
  <conditionalFormatting sqref="BY858">
    <cfRule type="expression" dxfId="908" priority="663">
      <formula>AND(LEN(TRIM($BG858))&gt;0,LEN(TRIM(BY858))=0)</formula>
    </cfRule>
  </conditionalFormatting>
  <conditionalFormatting sqref="BY860">
    <cfRule type="expression" dxfId="907" priority="646">
      <formula>AND(LEN(TRIM($BL860))&gt;0,LEN(TRIM(BY860))=0)</formula>
    </cfRule>
  </conditionalFormatting>
  <conditionalFormatting sqref="BY862">
    <cfRule type="expression" dxfId="906" priority="651">
      <formula>AND(LEN(TRIM($BL862))&gt;0,LEN(TRIM(BY862))=0)</formula>
    </cfRule>
  </conditionalFormatting>
  <conditionalFormatting sqref="BY865">
    <cfRule type="expression" dxfId="905" priority="625">
      <formula>AND(LEN(TRIM($BG865))&gt;0,LEN(TRIM(BY865))=0)</formula>
    </cfRule>
  </conditionalFormatting>
  <conditionalFormatting sqref="BY867">
    <cfRule type="expression" dxfId="904" priority="608">
      <formula>AND(LEN(TRIM($BL867))&gt;0,LEN(TRIM(BY867))=0)</formula>
    </cfRule>
  </conditionalFormatting>
  <conditionalFormatting sqref="BY869">
    <cfRule type="expression" dxfId="903" priority="613">
      <formula>AND(LEN(TRIM($BL869))&gt;0,LEN(TRIM(BY869))=0)</formula>
    </cfRule>
  </conditionalFormatting>
  <conditionalFormatting sqref="BY872">
    <cfRule type="expression" dxfId="902" priority="586">
      <formula>AND(LEN(TRIM($BG872))&gt;0,LEN(TRIM(BY872))=0)</formula>
    </cfRule>
  </conditionalFormatting>
  <conditionalFormatting sqref="BY874">
    <cfRule type="expression" dxfId="901" priority="569">
      <formula>AND(LEN(TRIM($BL874))&gt;0,LEN(TRIM(BY874))=0)</formula>
    </cfRule>
  </conditionalFormatting>
  <conditionalFormatting sqref="BY876">
    <cfRule type="expression" dxfId="900" priority="574">
      <formula>AND(LEN(TRIM($BL876))&gt;0,LEN(TRIM(BY876))=0)</formula>
    </cfRule>
  </conditionalFormatting>
  <conditionalFormatting sqref="BY879:BY880">
    <cfRule type="expression" dxfId="899" priority="558">
      <formula>AND(LEN(TRIM($BG879))&gt;0,LEN(TRIM(BY879))=0)</formula>
    </cfRule>
  </conditionalFormatting>
  <conditionalFormatting sqref="BY883">
    <cfRule type="expression" dxfId="898" priority="542">
      <formula>AND(LEN(TRIM($BL883))&gt;0,LEN(TRIM(BY883))=0)</formula>
    </cfRule>
  </conditionalFormatting>
  <conditionalFormatting sqref="BY886:BY887">
    <cfRule type="expression" dxfId="897" priority="539">
      <formula>AND(LEN(TRIM($BL886))&gt;0,LEN(TRIM(BY886))=0)</formula>
    </cfRule>
  </conditionalFormatting>
  <conditionalFormatting sqref="BY890:BY891">
    <cfRule type="expression" dxfId="896" priority="515">
      <formula>AND(LEN(TRIM($BG890))&gt;0,LEN(TRIM(BY890))=0)</formula>
    </cfRule>
  </conditionalFormatting>
  <conditionalFormatting sqref="BY894">
    <cfRule type="expression" dxfId="895" priority="499">
      <formula>AND(LEN(TRIM($BL894))&gt;0,LEN(TRIM(BY894))=0)</formula>
    </cfRule>
  </conditionalFormatting>
  <conditionalFormatting sqref="BY775:BZ775">
    <cfRule type="expression" dxfId="894" priority="895">
      <formula>AND(LEN(TRIM(#REF!))&gt;0,LEN(TRIM(BY775))=0)</formula>
    </cfRule>
  </conditionalFormatting>
  <conditionalFormatting sqref="BY779:BZ779">
    <cfRule type="expression" dxfId="893" priority="884">
      <formula>AND(LEN(TRIM(#REF!))&gt;0,LEN(TRIM(BY779))=0)</formula>
    </cfRule>
  </conditionalFormatting>
  <conditionalFormatting sqref="BY783:BZ783">
    <cfRule type="expression" dxfId="892" priority="883">
      <formula>AND(LEN(TRIM(#REF!))&gt;0,LEN(TRIM(BY783))=0)</formula>
    </cfRule>
  </conditionalFormatting>
  <conditionalFormatting sqref="BY787:BZ787">
    <cfRule type="expression" dxfId="891" priority="881">
      <formula>AND(LEN(TRIM(#REF!))&gt;0,LEN(TRIM(BY787))=0)</formula>
    </cfRule>
  </conditionalFormatting>
  <conditionalFormatting sqref="BY791:BZ791">
    <cfRule type="expression" dxfId="890" priority="800">
      <formula>AND(LEN(TRIM(#REF!))&gt;0,LEN(TRIM(BY791))=0)</formula>
    </cfRule>
  </conditionalFormatting>
  <conditionalFormatting sqref="BY795:BZ795">
    <cfRule type="expression" dxfId="889" priority="799">
      <formula>AND(LEN(TRIM(#REF!))&gt;0,LEN(TRIM(BY795))=0)</formula>
    </cfRule>
  </conditionalFormatting>
  <conditionalFormatting sqref="BY799:BZ799">
    <cfRule type="expression" dxfId="888" priority="983">
      <formula>AND(LEN(TRIM(#REF!))&gt;0,LEN(TRIM(BY799))=0)</formula>
    </cfRule>
  </conditionalFormatting>
  <conditionalFormatting sqref="BY803:BZ803">
    <cfRule type="expression" dxfId="887" priority="898">
      <formula>AND(LEN(TRIM(#REF!))&gt;0,LEN(TRIM(BY803))=0)</formula>
    </cfRule>
  </conditionalFormatting>
  <conditionalFormatting sqref="BY807:BZ807">
    <cfRule type="expression" dxfId="886" priority="897">
      <formula>AND(LEN(TRIM(#REF!))&gt;0,LEN(TRIM(BY807))=0)</formula>
    </cfRule>
  </conditionalFormatting>
  <conditionalFormatting sqref="BY811:BZ811">
    <cfRule type="expression" dxfId="885" priority="797">
      <formula>AND(LEN(TRIM(#REF!))&gt;0,LEN(TRIM(BY811))=0)</formula>
    </cfRule>
  </conditionalFormatting>
  <conditionalFormatting sqref="BY815:BZ815">
    <cfRule type="expression" dxfId="884" priority="795">
      <formula>AND(LEN(TRIM(#REF!))&gt;0,LEN(TRIM(BY815))=0)</formula>
    </cfRule>
  </conditionalFormatting>
  <conditionalFormatting sqref="BY819:BZ819">
    <cfRule type="expression" dxfId="883" priority="794">
      <formula>AND(LEN(TRIM(#REF!))&gt;0,LEN(TRIM(BY819))=0)</formula>
    </cfRule>
  </conditionalFormatting>
  <conditionalFormatting sqref="BY823:BZ823">
    <cfRule type="expression" dxfId="882" priority="790">
      <formula>AND(LEN(TRIM(#REF!))&gt;0,LEN(TRIM(BY823))=0)</formula>
    </cfRule>
  </conditionalFormatting>
  <conditionalFormatting sqref="BY827:BZ827">
    <cfRule type="expression" dxfId="881" priority="788">
      <formula>AND(LEN(TRIM(#REF!))&gt;0,LEN(TRIM(BY827))=0)</formula>
    </cfRule>
  </conditionalFormatting>
  <conditionalFormatting sqref="BY831:BZ831">
    <cfRule type="expression" dxfId="880" priority="787">
      <formula>AND(LEN(TRIM(#REF!))&gt;0,LEN(TRIM(BY831))=0)</formula>
    </cfRule>
  </conditionalFormatting>
  <conditionalFormatting sqref="BY835:BZ835">
    <cfRule type="expression" dxfId="879" priority="783">
      <formula>AND(LEN(TRIM(#REF!))&gt;0,LEN(TRIM(BY835))=0)</formula>
    </cfRule>
  </conditionalFormatting>
  <conditionalFormatting sqref="BY839:BZ839">
    <cfRule type="expression" dxfId="878" priority="781">
      <formula>AND(LEN(TRIM(#REF!))&gt;0,LEN(TRIM(BY839))=0)</formula>
    </cfRule>
  </conditionalFormatting>
  <conditionalFormatting sqref="BY843:BZ843">
    <cfRule type="expression" dxfId="877" priority="780">
      <formula>AND(LEN(TRIM(#REF!))&gt;0,LEN(TRIM(BY843))=0)</formula>
    </cfRule>
  </conditionalFormatting>
  <conditionalFormatting sqref="BY847:BZ847">
    <cfRule type="expression" dxfId="876" priority="776">
      <formula>AND(LEN(TRIM(#REF!))&gt;0,LEN(TRIM(BY847))=0)</formula>
    </cfRule>
  </conditionalFormatting>
  <conditionalFormatting sqref="BY851:BZ851">
    <cfRule type="expression" dxfId="875" priority="774">
      <formula>AND(LEN(TRIM(#REF!))&gt;0,LEN(TRIM(BY851))=0)</formula>
    </cfRule>
  </conditionalFormatting>
  <conditionalFormatting sqref="BY855:BZ855">
    <cfRule type="expression" dxfId="874" priority="772">
      <formula>AND(LEN(TRIM(#REF!))&gt;0,LEN(TRIM(BY855))=0)</formula>
    </cfRule>
  </conditionalFormatting>
  <conditionalFormatting sqref="BZ856:BZ858">
    <cfRule type="expression" dxfId="873" priority="690">
      <formula>AND(LEN(TRIM($BV856))&gt;0,LEN(TRIM(BZ856))=0)</formula>
    </cfRule>
  </conditionalFormatting>
  <conditionalFormatting sqref="CB858">
    <cfRule type="expression" dxfId="872" priority="653">
      <formula>AND(LEN(TRIM($BL858))&gt;0,LEN(TRIM(CB858))=0)</formula>
    </cfRule>
  </conditionalFormatting>
  <conditionalFormatting sqref="CB865">
    <cfRule type="expression" dxfId="871" priority="615">
      <formula>AND(LEN(TRIM($BL865))&gt;0,LEN(TRIM(CB865))=0)</formula>
    </cfRule>
  </conditionalFormatting>
  <conditionalFormatting sqref="CB872">
    <cfRule type="expression" dxfId="870" priority="576">
      <formula>AND(LEN(TRIM($BL872))&gt;0,LEN(TRIM(CB872))=0)</formula>
    </cfRule>
  </conditionalFormatting>
  <conditionalFormatting sqref="CB879:CB880">
    <cfRule type="expression" dxfId="869" priority="549">
      <formula>AND(LEN(TRIM($BL879))&gt;0,LEN(TRIM(CB879))=0)</formula>
    </cfRule>
  </conditionalFormatting>
  <conditionalFormatting sqref="CB890:CB891">
    <cfRule type="expression" dxfId="868" priority="506">
      <formula>AND(LEN(TRIM($BL890))&gt;0,LEN(TRIM(CB890))=0)</formula>
    </cfRule>
  </conditionalFormatting>
  <conditionalFormatting sqref="CB682:CE723">
    <cfRule type="expression" dxfId="867"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866" priority="889">
      <formula>AND(LEN(TRIM($CA724))&gt;0,LEN(TRIM(CB724))=0)</formula>
    </cfRule>
  </conditionalFormatting>
  <conditionalFormatting sqref="CB784:CE786">
    <cfRule type="expression" dxfId="865" priority="812">
      <formula>AND(LEN(TRIM($CA784))&gt;0,LEN(TRIM(CB784))=0)</formula>
    </cfRule>
  </conditionalFormatting>
  <conditionalFormatting sqref="CB796:CE798">
    <cfRule type="expression" dxfId="864" priority="911">
      <formula>AND(LEN(TRIM($CA796))&gt;0,LEN(TRIM(CB796))=0)</formula>
    </cfRule>
  </conditionalFormatting>
  <conditionalFormatting sqref="CB899:CE916">
    <cfRule type="expression" dxfId="863" priority="308">
      <formula>AND(LEN(TRIM($CA899))&gt;0,LEN(TRIM(CB899))=0)</formula>
    </cfRule>
  </conditionalFormatting>
  <conditionalFormatting sqref="CB918:CE922 CB924:CE931 CB933:CE938 CB940:CE945 CB947:CE952 CB954:CE959 CB961:CE966 CB968:CE973 CB975:CE980 CB982:CE984">
    <cfRule type="expression" dxfId="862" priority="222">
      <formula>AND(LEN(TRIM($CA918))&gt;0,LEN(TRIM(CB918))=0)</formula>
    </cfRule>
  </conditionalFormatting>
  <conditionalFormatting sqref="CC858">
    <cfRule type="expression" dxfId="861" priority="652">
      <formula>AND(LEN(TRIM(#REF!))&gt;0,LEN(TRIM(CC858))=0)</formula>
    </cfRule>
  </conditionalFormatting>
  <conditionalFormatting sqref="CC861:CC862">
    <cfRule type="expression" dxfId="860" priority="658">
      <formula>AND(LEN(TRIM(#REF!))&gt;0,LEN(TRIM(CC861))=0)</formula>
    </cfRule>
  </conditionalFormatting>
  <conditionalFormatting sqref="CC865">
    <cfRule type="expression" dxfId="859" priority="614">
      <formula>AND(LEN(TRIM(#REF!))&gt;0,LEN(TRIM(CC865))=0)</formula>
    </cfRule>
  </conditionalFormatting>
  <conditionalFormatting sqref="CC868:CC869">
    <cfRule type="expression" dxfId="858" priority="620">
      <formula>AND(LEN(TRIM(#REF!))&gt;0,LEN(TRIM(CC868))=0)</formula>
    </cfRule>
  </conditionalFormatting>
  <conditionalFormatting sqref="CC872">
    <cfRule type="expression" dxfId="857" priority="575">
      <formula>AND(LEN(TRIM(#REF!))&gt;0,LEN(TRIM(CC872))=0)</formula>
    </cfRule>
  </conditionalFormatting>
  <conditionalFormatting sqref="CC875:CC876">
    <cfRule type="expression" dxfId="856" priority="581">
      <formula>AND(LEN(TRIM(#REF!))&gt;0,LEN(TRIM(CC875))=0)</formula>
    </cfRule>
  </conditionalFormatting>
  <conditionalFormatting sqref="CC879:CC880">
    <cfRule type="expression" dxfId="855" priority="548">
      <formula>AND(LEN(TRIM(#REF!))&gt;0,LEN(TRIM(CC879))=0)</formula>
    </cfRule>
  </conditionalFormatting>
  <conditionalFormatting sqref="CC884:CC887">
    <cfRule type="expression" dxfId="854" priority="553">
      <formula>AND(LEN(TRIM(#REF!))&gt;0,LEN(TRIM(CC884))=0)</formula>
    </cfRule>
  </conditionalFormatting>
  <conditionalFormatting sqref="CC890:CC891">
    <cfRule type="expression" dxfId="853" priority="505">
      <formula>AND(LEN(TRIM(#REF!))&gt;0,LEN(TRIM(CC890))=0)</formula>
    </cfRule>
  </conditionalFormatting>
  <conditionalFormatting sqref="CC895:CC898">
    <cfRule type="expression" dxfId="852" priority="510">
      <formula>AND(LEN(TRIM(#REF!))&gt;0,LEN(TRIM(CC895))=0)</formula>
    </cfRule>
  </conditionalFormatting>
  <conditionalFormatting sqref="CD861:CD862">
    <cfRule type="expression" dxfId="851" priority="659">
      <formula>AND(LEN(TRIM($BG861))&gt;0,LEN(TRIM(CD861))=0)</formula>
    </cfRule>
  </conditionalFormatting>
  <conditionalFormatting sqref="CD868:CD869">
    <cfRule type="expression" dxfId="850" priority="621">
      <formula>AND(LEN(TRIM($BG868))&gt;0,LEN(TRIM(CD868))=0)</formula>
    </cfRule>
  </conditionalFormatting>
  <conditionalFormatting sqref="CD875:CD876">
    <cfRule type="expression" dxfId="849" priority="582">
      <formula>AND(LEN(TRIM($BG875))&gt;0,LEN(TRIM(CD875))=0)</formula>
    </cfRule>
  </conditionalFormatting>
  <conditionalFormatting sqref="CD884:CD887">
    <cfRule type="expression" dxfId="848" priority="554">
      <formula>AND(LEN(TRIM($BG884))&gt;0,LEN(TRIM(CD884))=0)</formula>
    </cfRule>
  </conditionalFormatting>
  <conditionalFormatting sqref="CD895:CD898">
    <cfRule type="expression" dxfId="847" priority="511">
      <formula>AND(LEN(TRIM($BG895))&gt;0,LEN(TRIM(CD895))=0)</formula>
    </cfRule>
  </conditionalFormatting>
  <conditionalFormatting sqref="CE858">
    <cfRule type="expression" dxfId="846" priority="691">
      <formula>AND(LEN(TRIM($CA858))&gt;0,LEN(TRIM(CE858))=0)</formula>
    </cfRule>
  </conditionalFormatting>
  <conditionalFormatting sqref="CG862">
    <cfRule type="expression" dxfId="845" priority="649">
      <formula>AND(LEN(TRIM($BL862))&gt;0,LEN(TRIM(CG862))=0)</formula>
    </cfRule>
  </conditionalFormatting>
  <conditionalFormatting sqref="CG869">
    <cfRule type="expression" dxfId="844" priority="611">
      <formula>AND(LEN(TRIM($BL869))&gt;0,LEN(TRIM(CG869))=0)</formula>
    </cfRule>
  </conditionalFormatting>
  <conditionalFormatting sqref="CG876">
    <cfRule type="expression" dxfId="843" priority="572">
      <formula>AND(LEN(TRIM($BL876))&gt;0,LEN(TRIM(CG876))=0)</formula>
    </cfRule>
  </conditionalFormatting>
  <conditionalFormatting sqref="CG887">
    <cfRule type="expression" dxfId="842" priority="545">
      <formula>AND(LEN(TRIM($BL887))&gt;0,LEN(TRIM(CG887))=0)</formula>
    </cfRule>
  </conditionalFormatting>
  <conditionalFormatting sqref="CG898">
    <cfRule type="expression" dxfId="841" priority="502">
      <formula>AND(LEN(TRIM($BL898))&gt;0,LEN(TRIM(CG898))=0)</formula>
    </cfRule>
  </conditionalFormatting>
  <conditionalFormatting sqref="CG682:CJ723">
    <cfRule type="expression" dxfId="840" priority="1246">
      <formula>AND(LEN(TRIM($CF682))&gt;0,LEN(TRIM(CG682))=0)</formula>
    </cfRule>
  </conditionalFormatting>
  <conditionalFormatting sqref="CG724:CJ861 CJ862 CG863:CJ868 CJ869 CG870:CJ875 CJ876 CG877:CJ886 CJ887 CG888:CJ897 CJ898">
    <cfRule type="expression" dxfId="839" priority="692">
      <formula>AND(LEN(TRIM($CF724))&gt;0,LEN(TRIM(CG724))=0)</formula>
    </cfRule>
  </conditionalFormatting>
  <conditionalFormatting sqref="CG899:CJ916">
    <cfRule type="expression" dxfId="838" priority="309">
      <formula>AND(LEN(TRIM($CF899))&gt;0,LEN(TRIM(CG899))=0)</formula>
    </cfRule>
  </conditionalFormatting>
  <conditionalFormatting sqref="CG918:CJ922 CG924:CJ931 CG933:CJ938 CG940:CJ945 CG947:CJ952 CG954:CJ959 CG961:CJ966 CG968:CJ973 CG975:CJ980 CG982:CJ984">
    <cfRule type="expression" dxfId="837" priority="223">
      <formula>AND(LEN(TRIM($CF918))&gt;0,LEN(TRIM(CG918))=0)</formula>
    </cfRule>
  </conditionalFormatting>
  <conditionalFormatting sqref="CH862">
    <cfRule type="expression" dxfId="836" priority="648">
      <formula>AND(LEN(TRIM(#REF!))&gt;0,LEN(TRIM(CH862))=0)</formula>
    </cfRule>
  </conditionalFormatting>
  <conditionalFormatting sqref="CH869">
    <cfRule type="expression" dxfId="835" priority="610">
      <formula>AND(LEN(TRIM(#REF!))&gt;0,LEN(TRIM(CH869))=0)</formula>
    </cfRule>
  </conditionalFormatting>
  <conditionalFormatting sqref="CH876">
    <cfRule type="expression" dxfId="834" priority="571">
      <formula>AND(LEN(TRIM(#REF!))&gt;0,LEN(TRIM(CH876))=0)</formula>
    </cfRule>
  </conditionalFormatting>
  <conditionalFormatting sqref="CH887">
    <cfRule type="expression" dxfId="833" priority="544">
      <formula>AND(LEN(TRIM(#REF!))&gt;0,LEN(TRIM(CH887))=0)</formula>
    </cfRule>
  </conditionalFormatting>
  <conditionalFormatting sqref="CH898">
    <cfRule type="expression" dxfId="832" priority="501">
      <formula>AND(LEN(TRIM(#REF!))&gt;0,LEN(TRIM(CH898))=0)</formula>
    </cfRule>
  </conditionalFormatting>
  <conditionalFormatting sqref="CL682:CO723">
    <cfRule type="expression" dxfId="831" priority="1247">
      <formula>AND(LEN(TRIM($CK682))&gt;0,LEN(TRIM(CL682))=0)</formula>
    </cfRule>
  </conditionalFormatting>
  <conditionalFormatting sqref="CL724:CO916">
    <cfRule type="expression" dxfId="830" priority="310">
      <formula>AND(LEN(TRIM($CK724))&gt;0,LEN(TRIM(CL724))=0)</formula>
    </cfRule>
  </conditionalFormatting>
  <conditionalFormatting sqref="CL918:CO922 CL924:CO931 CL933:CO938 CL940:CO945 CL947:CO952 CL954:CO959 CL961:CO966 CL968:CO973 CL975:CO980 CL982:CO984">
    <cfRule type="expression" dxfId="829" priority="224">
      <formula>AND(LEN(TRIM($CK918))&gt;0,LEN(TRIM(CL918))=0)</formula>
    </cfRule>
  </conditionalFormatting>
  <conditionalFormatting sqref="CQ682:CT723">
    <cfRule type="expression" dxfId="828" priority="1248">
      <formula>AND(LEN(TRIM($CP682))&gt;0,LEN(TRIM(CQ682))=0)</formula>
    </cfRule>
  </conditionalFormatting>
  <conditionalFormatting sqref="CQ724:CT916">
    <cfRule type="expression" dxfId="827" priority="311">
      <formula>AND(LEN(TRIM($CP724))&gt;0,LEN(TRIM(CQ724))=0)</formula>
    </cfRule>
  </conditionalFormatting>
  <conditionalFormatting sqref="CQ918:CT922 CQ924:CT931 CQ933:CT938 CQ940:CT945 CQ947:CT952 CQ954:CT959 CQ961:CT966 CQ968:CT973 CQ975:CT980 CQ982:CT984">
    <cfRule type="expression" dxfId="826" priority="225">
      <formula>AND(LEN(TRIM($CP918))&gt;0,LEN(TRIM(CQ918))=0)</formula>
    </cfRule>
  </conditionalFormatting>
  <conditionalFormatting sqref="CV682:CY723">
    <cfRule type="expression" dxfId="825" priority="1249">
      <formula>AND(LEN(TRIM($CU682))&gt;0,LEN(TRIM(CV682))=0)</formula>
    </cfRule>
  </conditionalFormatting>
  <conditionalFormatting sqref="CV724:CY916">
    <cfRule type="expression" dxfId="824" priority="312">
      <formula>AND(LEN(TRIM($CU724))&gt;0,LEN(TRIM(CV724))=0)</formula>
    </cfRule>
  </conditionalFormatting>
  <conditionalFormatting sqref="CV918:CY922 CV924:CY931 CV933:CY938 CV940:CY945 CV947:CY952 CV954:CY959 CV961:CY966 CV968:CY973 CV975:CY980 CV982:CY984">
    <cfRule type="expression" dxfId="823" priority="226">
      <formula>AND(LEN(TRIM($CU918))&gt;0,LEN(TRIM(CV918))=0)</formula>
    </cfRule>
  </conditionalFormatting>
  <conditionalFormatting sqref="DA682:DD723">
    <cfRule type="expression" dxfId="822" priority="1250">
      <formula>AND(LEN(TRIM($CZ682))&gt;0,LEN(TRIM(DA682))=0)</formula>
    </cfRule>
  </conditionalFormatting>
  <conditionalFormatting sqref="DA724:DD916">
    <cfRule type="expression" dxfId="821" priority="313">
      <formula>AND(LEN(TRIM($CZ724))&gt;0,LEN(TRIM(DA724))=0)</formula>
    </cfRule>
  </conditionalFormatting>
  <conditionalFormatting sqref="DA918:DD922 DA924:DD931 DA933:DD938 DA940:DD945 DA947:DD952 DA954:DD959 DA961:DD966 DA968:DD973 DA975:DD980 DA982:DD984">
    <cfRule type="expression" dxfId="820" priority="227">
      <formula>AND(LEN(TRIM($CZ918))&gt;0,LEN(TRIM(DA918))=0)</formula>
    </cfRule>
  </conditionalFormatting>
  <conditionalFormatting sqref="DF682:DI723">
    <cfRule type="expression" dxfId="819" priority="1251">
      <formula>AND(LEN(TRIM($DE682))&gt;0,LEN(TRIM(DF682))=0)</formula>
    </cfRule>
  </conditionalFormatting>
  <conditionalFormatting sqref="DF724:DI916">
    <cfRule type="expression" dxfId="818" priority="314">
      <formula>AND(LEN(TRIM($DE724))&gt;0,LEN(TRIM(DF724))=0)</formula>
    </cfRule>
  </conditionalFormatting>
  <conditionalFormatting sqref="DF918:DI922 DF924:DI931 DF933:DI938 DF940:DI945 DF947:DI952 DF954:DI959 DF961:DI966 DF968:DI973 DF975:DI980 DF982:DI984">
    <cfRule type="expression" dxfId="817" priority="228">
      <formula>AND(LEN(TRIM($DE918))&gt;0,LEN(TRIM(DF918))=0)</formula>
    </cfRule>
  </conditionalFormatting>
  <conditionalFormatting sqref="DK682:DN723">
    <cfRule type="expression" dxfId="816" priority="1252">
      <formula>AND(LEN(TRIM($DJ682))&gt;0,LEN(TRIM(DK682))=0)</formula>
    </cfRule>
  </conditionalFormatting>
  <conditionalFormatting sqref="DK724:DN916">
    <cfRule type="expression" dxfId="815" priority="315">
      <formula>AND(LEN(TRIM($DJ724))&gt;0,LEN(TRIM(DK724))=0)</formula>
    </cfRule>
  </conditionalFormatting>
  <conditionalFormatting sqref="DK918:DN922 DK924:DN931 DK933:DN938 DK940:DN945 DK947:DN952 DK954:DN959 DK961:DN966 DK968:DN973 DK975:DN980 DK982:DN984">
    <cfRule type="expression" dxfId="814" priority="229">
      <formula>AND(LEN(TRIM($DJ918))&gt;0,LEN(TRIM(DK918))=0)</formula>
    </cfRule>
  </conditionalFormatting>
  <conditionalFormatting sqref="DP682:DS723">
    <cfRule type="expression" dxfId="813" priority="1253">
      <formula>AND(LEN(TRIM($DO682))&gt;0,LEN(TRIM(DP682))=0)</formula>
    </cfRule>
  </conditionalFormatting>
  <conditionalFormatting sqref="DP724:DS916">
    <cfRule type="expression" dxfId="812" priority="316">
      <formula>AND(LEN(TRIM($DO724))&gt;0,LEN(TRIM(DP724))=0)</formula>
    </cfRule>
  </conditionalFormatting>
  <conditionalFormatting sqref="DP918:DS922 DP924:DS931 DP933:DS938 DP940:DS945 DP947:DS952 DP954:DS959 DP961:DS966 DP968:DS973 DP975:DS980 DP982:DS984">
    <cfRule type="expression" dxfId="811" priority="230">
      <formula>AND(LEN(TRIM($DO918))&gt;0,LEN(TRIM(DP918))=0)</formula>
    </cfRule>
  </conditionalFormatting>
  <conditionalFormatting sqref="DU682:DX723">
    <cfRule type="expression" dxfId="810" priority="1254">
      <formula>AND(LEN(TRIM($DT682))&gt;0,LEN(TRIM(DU682))=0)</formula>
    </cfRule>
  </conditionalFormatting>
  <conditionalFormatting sqref="DU724:DX916">
    <cfRule type="expression" dxfId="809" priority="317">
      <formula>AND(LEN(TRIM($DT724))&gt;0,LEN(TRIM(DU724))=0)</formula>
    </cfRule>
  </conditionalFormatting>
  <conditionalFormatting sqref="DU918:DX922 DU924:DX931 DU933:DX938 DU940:DX945 DU947:DX952 DU954:DX959 DU961:DX966 DU968:DX973 DU975:DX980 DU982:DX984">
    <cfRule type="expression" dxfId="808" priority="231">
      <formula>AND(LEN(TRIM($DT918))&gt;0,LEN(TRIM(DU918))=0)</formula>
    </cfRule>
  </conditionalFormatting>
  <conditionalFormatting sqref="DZ682:EC723">
    <cfRule type="expression" dxfId="807" priority="1255">
      <formula>AND(LEN(TRIM($DY682))&gt;0,LEN(TRIM(DZ682))=0)</formula>
    </cfRule>
  </conditionalFormatting>
  <conditionalFormatting sqref="DZ724:EC916">
    <cfRule type="expression" dxfId="806" priority="318">
      <formula>AND(LEN(TRIM($DY724))&gt;0,LEN(TRIM(DZ724))=0)</formula>
    </cfRule>
  </conditionalFormatting>
  <conditionalFormatting sqref="DZ918:EC922 DZ924:EC931 DZ933:EC938 DZ940:EC945 DZ947:EC952 DZ954:EC959 DZ961:EC966 DZ968:EC973 DZ975:EC980 DZ982:EC984">
    <cfRule type="expression" dxfId="805" priority="232">
      <formula>AND(LEN(TRIM($DY918))&gt;0,LEN(TRIM(DZ918))=0)</formula>
    </cfRule>
  </conditionalFormatting>
  <conditionalFormatting sqref="ED532">
    <cfRule type="duplicateValues" dxfId="804" priority="1378"/>
  </conditionalFormatting>
  <conditionalFormatting sqref="ED533">
    <cfRule type="duplicateValues" dxfId="803" priority="1376"/>
  </conditionalFormatting>
  <conditionalFormatting sqref="ED534:ED535">
    <cfRule type="duplicateValues" dxfId="802" priority="1377"/>
  </conditionalFormatting>
  <conditionalFormatting sqref="ED536">
    <cfRule type="duplicateValues" dxfId="801" priority="1375"/>
  </conditionalFormatting>
  <conditionalFormatting sqref="ED539">
    <cfRule type="duplicateValues" dxfId="800" priority="1373"/>
  </conditionalFormatting>
  <conditionalFormatting sqref="ED540">
    <cfRule type="duplicateValues" dxfId="799" priority="1371"/>
  </conditionalFormatting>
  <conditionalFormatting sqref="ED541:ED542">
    <cfRule type="duplicateValues" dxfId="798" priority="1372"/>
  </conditionalFormatting>
  <conditionalFormatting sqref="ED543">
    <cfRule type="duplicateValues" dxfId="797" priority="1370"/>
  </conditionalFormatting>
  <conditionalFormatting sqref="ED546">
    <cfRule type="duplicateValues" dxfId="796" priority="1368"/>
  </conditionalFormatting>
  <conditionalFormatting sqref="ED547">
    <cfRule type="duplicateValues" dxfId="795" priority="1366"/>
  </conditionalFormatting>
  <conditionalFormatting sqref="ED548:ED549">
    <cfRule type="duplicateValues" dxfId="794" priority="1367"/>
  </conditionalFormatting>
  <conditionalFormatting sqref="ED550">
    <cfRule type="duplicateValues" dxfId="793" priority="1365"/>
  </conditionalFormatting>
  <conditionalFormatting sqref="ED553">
    <cfRule type="duplicateValues" dxfId="792" priority="1363"/>
  </conditionalFormatting>
  <conditionalFormatting sqref="ED554">
    <cfRule type="duplicateValues" dxfId="791" priority="1361"/>
  </conditionalFormatting>
  <conditionalFormatting sqref="ED555:ED556">
    <cfRule type="duplicateValues" dxfId="790" priority="1362"/>
  </conditionalFormatting>
  <conditionalFormatting sqref="ED557">
    <cfRule type="duplicateValues" dxfId="789" priority="1360"/>
  </conditionalFormatting>
  <conditionalFormatting sqref="ED560">
    <cfRule type="duplicateValues" dxfId="788" priority="1358"/>
  </conditionalFormatting>
  <conditionalFormatting sqref="ED561">
    <cfRule type="duplicateValues" dxfId="787" priority="1356"/>
  </conditionalFormatting>
  <conditionalFormatting sqref="ED562:ED563">
    <cfRule type="duplicateValues" dxfId="786" priority="1357"/>
  </conditionalFormatting>
  <conditionalFormatting sqref="ED564">
    <cfRule type="duplicateValues" dxfId="785" priority="1355"/>
  </conditionalFormatting>
  <conditionalFormatting sqref="ED567">
    <cfRule type="duplicateValues" dxfId="784" priority="84"/>
  </conditionalFormatting>
  <conditionalFormatting sqref="ED568">
    <cfRule type="duplicateValues" dxfId="783" priority="82"/>
  </conditionalFormatting>
  <conditionalFormatting sqref="ED569:ED570">
    <cfRule type="duplicateValues" dxfId="782" priority="83"/>
  </conditionalFormatting>
  <conditionalFormatting sqref="ED571">
    <cfRule type="duplicateValues" dxfId="781" priority="81"/>
  </conditionalFormatting>
  <conditionalFormatting sqref="ED574">
    <cfRule type="duplicateValues" dxfId="780" priority="79"/>
  </conditionalFormatting>
  <conditionalFormatting sqref="ED575">
    <cfRule type="duplicateValues" dxfId="779" priority="77"/>
  </conditionalFormatting>
  <conditionalFormatting sqref="ED576:ED577">
    <cfRule type="duplicateValues" dxfId="778" priority="78"/>
  </conditionalFormatting>
  <conditionalFormatting sqref="ED578">
    <cfRule type="duplicateValues" dxfId="777" priority="76"/>
  </conditionalFormatting>
  <conditionalFormatting sqref="ED581">
    <cfRule type="duplicateValues" dxfId="776" priority="74"/>
  </conditionalFormatting>
  <conditionalFormatting sqref="ED582">
    <cfRule type="duplicateValues" dxfId="775" priority="72"/>
  </conditionalFormatting>
  <conditionalFormatting sqref="ED583:ED584">
    <cfRule type="duplicateValues" dxfId="774" priority="73"/>
  </conditionalFormatting>
  <conditionalFormatting sqref="ED585">
    <cfRule type="duplicateValues" dxfId="773" priority="71"/>
  </conditionalFormatting>
  <conditionalFormatting sqref="ED588">
    <cfRule type="duplicateValues" dxfId="772" priority="69"/>
  </conditionalFormatting>
  <conditionalFormatting sqref="ED589">
    <cfRule type="duplicateValues" dxfId="771" priority="67"/>
  </conditionalFormatting>
  <conditionalFormatting sqref="ED590:ED591">
    <cfRule type="duplicateValues" dxfId="770" priority="68"/>
  </conditionalFormatting>
  <conditionalFormatting sqref="ED592">
    <cfRule type="duplicateValues" dxfId="769" priority="66"/>
  </conditionalFormatting>
  <conditionalFormatting sqref="EE682:EG723">
    <cfRule type="expression" dxfId="768" priority="1256">
      <formula>AND(LEN(TRIM($ED682))&gt;0,LEN(TRIM(EE682))=0)</formula>
    </cfRule>
  </conditionalFormatting>
  <conditionalFormatting sqref="EE724:EG916">
    <cfRule type="expression" dxfId="767" priority="319">
      <formula>AND(LEN(TRIM($ED724))&gt;0,LEN(TRIM(EE724))=0)</formula>
    </cfRule>
  </conditionalFormatting>
  <conditionalFormatting sqref="EE918:EG922 EE924:EG931 EE933:EG938 EE940:EG945 EE947:EG952 EE954:EG959 EE961:EG966 EE968:EG973 EE975:EG980 EE982:EG984">
    <cfRule type="expression" dxfId="766" priority="233">
      <formula>AND(LEN(TRIM($ED918))&gt;0,LEN(TRIM(EE918))=0)</formula>
    </cfRule>
  </conditionalFormatting>
  <conditionalFormatting sqref="EH534">
    <cfRule type="duplicateValues" dxfId="765" priority="1374"/>
  </conditionalFormatting>
  <conditionalFormatting sqref="EH541">
    <cfRule type="duplicateValues" dxfId="764" priority="1369"/>
  </conditionalFormatting>
  <conditionalFormatting sqref="EH548">
    <cfRule type="duplicateValues" dxfId="763" priority="1364"/>
  </conditionalFormatting>
  <conditionalFormatting sqref="EH555">
    <cfRule type="duplicateValues" dxfId="762" priority="1359"/>
  </conditionalFormatting>
  <conditionalFormatting sqref="EH562">
    <cfRule type="duplicateValues" dxfId="761" priority="1354"/>
  </conditionalFormatting>
  <conditionalFormatting sqref="EH569">
    <cfRule type="duplicateValues" dxfId="760" priority="80"/>
  </conditionalFormatting>
  <conditionalFormatting sqref="EH576">
    <cfRule type="duplicateValues" dxfId="759" priority="75"/>
  </conditionalFormatting>
  <conditionalFormatting sqref="EH583">
    <cfRule type="duplicateValues" dxfId="758" priority="70"/>
  </conditionalFormatting>
  <conditionalFormatting sqref="EH590">
    <cfRule type="duplicateValues" dxfId="757" priority="65"/>
  </conditionalFormatting>
  <conditionalFormatting sqref="EI682:EK723">
    <cfRule type="expression" dxfId="756" priority="1257">
      <formula>AND(LEN(TRIM($EH682))&gt;0,LEN(TRIM(EI682))=0)</formula>
    </cfRule>
  </conditionalFormatting>
  <conditionalFormatting sqref="EI724:EK916">
    <cfRule type="expression" dxfId="755" priority="320">
      <formula>AND(LEN(TRIM($EH724))&gt;0,LEN(TRIM(EI724))=0)</formula>
    </cfRule>
  </conditionalFormatting>
  <conditionalFormatting sqref="EI918:EK922 EI924:EK931 EI933:EK938 EI940:EK945 EI947:EK952 EI954:EK959 EI961:EK966 EI968:EK973 EI975:EK980 EI982:EK984">
    <cfRule type="expression" dxfId="754" priority="234">
      <formula>AND(LEN(TRIM($EH918))&gt;0,LEN(TRIM(EI918))=0)</formula>
    </cfRule>
  </conditionalFormatting>
  <conditionalFormatting sqref="EM682:EO723">
    <cfRule type="expression" dxfId="753" priority="1258">
      <formula>AND(LEN(TRIM($EL682))&gt;0,LEN(TRIM(EM682))=0)</formula>
    </cfRule>
  </conditionalFormatting>
  <conditionalFormatting sqref="EM724:EO916">
    <cfRule type="expression" dxfId="752" priority="321">
      <formula>AND(LEN(TRIM($EL724))&gt;0,LEN(TRIM(EM724))=0)</formula>
    </cfRule>
  </conditionalFormatting>
  <conditionalFormatting sqref="EM918:EO922 EM924:EO931 EM933:EO938 EM940:EO945 EM947:EO952 EM954:EO959 EM961:EO966 EM968:EO973 EM975:EO980 EM982:EO984">
    <cfRule type="expression" dxfId="751" priority="235">
      <formula>AND(LEN(TRIM($EL918))&gt;0,LEN(TRIM(EM918))=0)</formula>
    </cfRule>
  </conditionalFormatting>
  <conditionalFormatting sqref="EQ682:ES723">
    <cfRule type="expression" dxfId="750" priority="1259">
      <formula>AND(LEN(TRIM($EP682))&gt;0,LEN(TRIM(EQ682))=0)</formula>
    </cfRule>
  </conditionalFormatting>
  <conditionalFormatting sqref="EQ724:ES916">
    <cfRule type="expression" dxfId="749" priority="322">
      <formula>AND(LEN(TRIM($EP724))&gt;0,LEN(TRIM(EQ724))=0)</formula>
    </cfRule>
  </conditionalFormatting>
  <conditionalFormatting sqref="EQ918:ES922 EQ924:ES931 EQ933:ES938 EQ940:ES945 EQ947:ES952 EQ954:ES959 EQ961:ES966 EQ968:ES973 EQ975:ES980 EQ982:ES984">
    <cfRule type="expression" dxfId="748" priority="236">
      <formula>AND(LEN(TRIM($EP918))&gt;0,LEN(TRIM(EQ918))=0)</formula>
    </cfRule>
  </conditionalFormatting>
  <conditionalFormatting sqref="EU682:EW723">
    <cfRule type="expression" dxfId="747" priority="1260">
      <formula>AND(LEN(TRIM($ET682))&gt;0,LEN(TRIM(EU682))=0)</formula>
    </cfRule>
  </conditionalFormatting>
  <conditionalFormatting sqref="EU724:EW916">
    <cfRule type="expression" dxfId="746" priority="323">
      <formula>AND(LEN(TRIM($ET724))&gt;0,LEN(TRIM(EU724))=0)</formula>
    </cfRule>
  </conditionalFormatting>
  <conditionalFormatting sqref="EU918:EW922 EU924:EW931 EU933:EW938 EU940:EW945 EU947:EW952 EU954:EW959 EU961:EW966 EU968:EW973 EU975:EW980 EU982:EW984">
    <cfRule type="expression" dxfId="745" priority="237">
      <formula>AND(LEN(TRIM($ET918))&gt;0,LEN(TRIM(EU918))=0)</formula>
    </cfRule>
  </conditionalFormatting>
  <conditionalFormatting sqref="EY682:FA723">
    <cfRule type="expression" dxfId="744" priority="1261">
      <formula>AND(LEN(TRIM($EX682))&gt;0,LEN(TRIM(EY682))=0)</formula>
    </cfRule>
  </conditionalFormatting>
  <conditionalFormatting sqref="EY724:FA916">
    <cfRule type="expression" dxfId="743" priority="324">
      <formula>AND(LEN(TRIM($EX724))&gt;0,LEN(TRIM(EY724))=0)</formula>
    </cfRule>
  </conditionalFormatting>
  <conditionalFormatting sqref="EY918:FA922 EY924:FA931 EY933:FA938 EY940:FA945 EY947:FA952 EY954:FA959 EY961:FA966 EY968:FA973 EY975:FA980 EY982:FA984">
    <cfRule type="expression" dxfId="742" priority="238">
      <formula>AND(LEN(TRIM($EX918))&gt;0,LEN(TRIM(EY918))=0)</formula>
    </cfRule>
  </conditionalFormatting>
  <conditionalFormatting sqref="FC682:FE723">
    <cfRule type="expression" dxfId="741" priority="1262">
      <formula>AND(LEN(TRIM($FB682))&gt;0,LEN(TRIM(FC682))=0)</formula>
    </cfRule>
  </conditionalFormatting>
  <conditionalFormatting sqref="FC724:FE916">
    <cfRule type="expression" dxfId="740" priority="325">
      <formula>AND(LEN(TRIM($FB724))&gt;0,LEN(TRIM(FC724))=0)</formula>
    </cfRule>
  </conditionalFormatting>
  <conditionalFormatting sqref="FC918:FE922 FC924:FE931 FC933:FE938 FC940:FE945 FC947:FE952 FC954:FE959 FC961:FE966 FC968:FE973 FC975:FE980 FC982:FE984">
    <cfRule type="expression" dxfId="739" priority="239">
      <formula>AND(LEN(TRIM($FB918))&gt;0,LEN(TRIM(FC918))=0)</formula>
    </cfRule>
  </conditionalFormatting>
  <conditionalFormatting sqref="FG682:FI723">
    <cfRule type="expression" dxfId="738" priority="1263">
      <formula>AND(LEN(TRIM($FF682))&gt;0,LEN(TRIM(FG682))=0)</formula>
    </cfRule>
  </conditionalFormatting>
  <conditionalFormatting sqref="FG724:FI916">
    <cfRule type="expression" dxfId="737" priority="326">
      <formula>AND(LEN(TRIM($FF724))&gt;0,LEN(TRIM(FG724))=0)</formula>
    </cfRule>
  </conditionalFormatting>
  <conditionalFormatting sqref="FG918:FI922 FG924:FI931 FG933:FI938 FG940:FI945 FG947:FI952 FG954:FI959 FG961:FI966 FG968:FI973 FG975:FI980 FG982:FI984">
    <cfRule type="expression" dxfId="736" priority="240">
      <formula>AND(LEN(TRIM($FF918))&gt;0,LEN(TRIM(FG918))=0)</formula>
    </cfRule>
  </conditionalFormatting>
  <conditionalFormatting sqref="FK682:FM723">
    <cfRule type="expression" dxfId="735" priority="1264">
      <formula>AND(LEN(TRIM($FJ682))&gt;0,LEN(TRIM(FK682))=0)</formula>
    </cfRule>
  </conditionalFormatting>
  <conditionalFormatting sqref="FK724:FM916">
    <cfRule type="expression" dxfId="734" priority="327">
      <formula>AND(LEN(TRIM($FJ724))&gt;0,LEN(TRIM(FK724))=0)</formula>
    </cfRule>
  </conditionalFormatting>
  <conditionalFormatting sqref="FK918:FM922 FK924:FM931 FK933:FM938 FK940:FM945 FK947:FM952 FK954:FM959 FK961:FM966 FK968:FM973 FK975:FM980 FK982:FM984">
    <cfRule type="expression" dxfId="733" priority="241">
      <formula>AND(LEN(TRIM($FJ918))&gt;0,LEN(TRIM(FK918))=0)</formula>
    </cfRule>
  </conditionalFormatting>
  <conditionalFormatting sqref="FO682:FQ723">
    <cfRule type="expression" dxfId="732" priority="1265">
      <formula>AND(LEN(TRIM($FN682))&gt;0,LEN(TRIM(FO682))=0)</formula>
    </cfRule>
  </conditionalFormatting>
  <conditionalFormatting sqref="FO724:FQ916">
    <cfRule type="expression" dxfId="731" priority="328">
      <formula>AND(LEN(TRIM($FN724))&gt;0,LEN(TRIM(FO724))=0)</formula>
    </cfRule>
  </conditionalFormatting>
  <conditionalFormatting sqref="FO918:FQ922 FO924:FQ931 FO933:FQ938 FO940:FQ945 FO947:FQ952 FO954:FQ959 FO961:FQ966 FO968:FQ973 FO975:FQ980 FO982:FQ984">
    <cfRule type="expression" dxfId="730" priority="242">
      <formula>AND(LEN(TRIM($FN918))&gt;0,LEN(TRIM(FO918))=0)</formula>
    </cfRule>
  </conditionalFormatting>
  <conditionalFormatting sqref="FS682:FU723">
    <cfRule type="expression" dxfId="729" priority="1266">
      <formula>AND(LEN(TRIM($FR682))&gt;0,LEN(TRIM(FS682))=0)</formula>
    </cfRule>
  </conditionalFormatting>
  <conditionalFormatting sqref="FS724:FU916">
    <cfRule type="expression" dxfId="728" priority="329">
      <formula>AND(LEN(TRIM($FR724))&gt;0,LEN(TRIM(FS724))=0)</formula>
    </cfRule>
  </conditionalFormatting>
  <conditionalFormatting sqref="FS918:FU922 FS924:FU931 FS933:FU938 FS940:FU945 FS947:FU952 FS954:FU959 FS961:FU966 FS968:FU973 FS975:FU980 FS982:FU984">
    <cfRule type="expression" dxfId="727" priority="243">
      <formula>AND(LEN(TRIM($FR918))&gt;0,LEN(TRIM(FS918))=0)</formula>
    </cfRule>
  </conditionalFormatting>
  <conditionalFormatting sqref="FW682:FY723">
    <cfRule type="expression" dxfId="726" priority="1267">
      <formula>AND(LEN(TRIM($FV682))&gt;0,LEN(TRIM(FW682))=0)</formula>
    </cfRule>
  </conditionalFormatting>
  <conditionalFormatting sqref="FW724:FY916">
    <cfRule type="expression" dxfId="725" priority="330">
      <formula>AND(LEN(TRIM($FV724))&gt;0,LEN(TRIM(FW724))=0)</formula>
    </cfRule>
  </conditionalFormatting>
  <conditionalFormatting sqref="FW918:FY922 FW924:FY931 FW933:FY938 FW940:FY945 FW947:FY952 FW954:FY959 FW961:FY966 FW968:FY973 FW975:FY980 FW982:FY984">
    <cfRule type="expression" dxfId="724" priority="244">
      <formula>AND(LEN(TRIM($FV918))&gt;0,LEN(TRIM(FW918))=0)</formula>
    </cfRule>
  </conditionalFormatting>
  <conditionalFormatting sqref="GA682:GC723">
    <cfRule type="expression" dxfId="723" priority="1268">
      <formula>AND(LEN(TRIM($FZ682))&gt;0,LEN(TRIM(GA682))=0)</formula>
    </cfRule>
  </conditionalFormatting>
  <conditionalFormatting sqref="GA724:GC916">
    <cfRule type="expression" dxfId="722" priority="331">
      <formula>AND(LEN(TRIM($FZ724))&gt;0,LEN(TRIM(GA724))=0)</formula>
    </cfRule>
  </conditionalFormatting>
  <conditionalFormatting sqref="GA918:GC922 GA924:GC931 GA933:GC938 GA940:GC945 GA947:GC952 GA954:GC959 GA961:GC966 GA968:GC973 GA975:GC980 GA982:GC984">
    <cfRule type="expression" dxfId="721" priority="245">
      <formula>AND(LEN(TRIM($FZ918))&gt;0,LEN(TRIM(GA918))=0)</formula>
    </cfRule>
  </conditionalFormatting>
  <conditionalFormatting sqref="GE682:GG723">
    <cfRule type="expression" dxfId="720" priority="1269">
      <formula>AND(LEN(TRIM($GD682))&gt;0,LEN(TRIM(GE682))=0)</formula>
    </cfRule>
  </conditionalFormatting>
  <conditionalFormatting sqref="GE724:GG916">
    <cfRule type="expression" dxfId="719" priority="332">
      <formula>AND(LEN(TRIM($GD724))&gt;0,LEN(TRIM(GE724))=0)</formula>
    </cfRule>
  </conditionalFormatting>
  <conditionalFormatting sqref="GE918:GG922 GE924:GG931 GE933:GG938 GE940:GG945 GE947:GG952 GE954:GG959 GE961:GG966 GE968:GG973 GE975:GG980 GE982:GG984">
    <cfRule type="expression" dxfId="718" priority="246">
      <formula>AND(LEN(TRIM($GD918))&gt;0,LEN(TRIM(GE918))=0)</formula>
    </cfRule>
  </conditionalFormatting>
  <conditionalFormatting sqref="GI682:GK723">
    <cfRule type="expression" dxfId="717" priority="1270">
      <formula>AND(LEN(TRIM($GH682))&gt;0,LEN(TRIM(GI682))=0)</formula>
    </cfRule>
  </conditionalFormatting>
  <conditionalFormatting sqref="GI724:GK916">
    <cfRule type="expression" dxfId="716" priority="333">
      <formula>AND(LEN(TRIM($GH724))&gt;0,LEN(TRIM(GI724))=0)</formula>
    </cfRule>
  </conditionalFormatting>
  <conditionalFormatting sqref="GI918:GK922 GI924:GK931 GI933:GK938 GI940:GK945 GI947:GK952 GI954:GK959 GI961:GK966 GI968:GK973 GI975:GK980 GI982:GK984">
    <cfRule type="expression" dxfId="715" priority="247">
      <formula>AND(LEN(TRIM($GH918))&gt;0,LEN(TRIM(GI918))=0)</formula>
    </cfRule>
  </conditionalFormatting>
  <conditionalFormatting sqref="GM682:GP723">
    <cfRule type="expression" dxfId="714" priority="1271">
      <formula>AND(LEN(TRIM($GL682))&gt;0,LEN(TRIM(GM682))=0)</formula>
    </cfRule>
  </conditionalFormatting>
  <conditionalFormatting sqref="GM724:GP916">
    <cfRule type="expression" dxfId="713" priority="334">
      <formula>AND(LEN(TRIM($GL724))&gt;0,LEN(TRIM(GM724))=0)</formula>
    </cfRule>
  </conditionalFormatting>
  <conditionalFormatting sqref="GM918:GP922 GM924:GP931 GM933:GP938 GM940:GP945 GM947:GP952 GM954:GP959 GM961:GP966 GM968:GP973 GM975:GP980 GM982:GP984">
    <cfRule type="expression" dxfId="712" priority="248">
      <formula>AND(LEN(TRIM($GL918))&gt;0,LEN(TRIM(GM918))=0)</formula>
    </cfRule>
  </conditionalFormatting>
  <conditionalFormatting sqref="GR682:GU723">
    <cfRule type="expression" dxfId="711" priority="1272">
      <formula>AND(LEN(TRIM($GQ682))&gt;0,LEN(TRIM(GR682))=0)</formula>
    </cfRule>
  </conditionalFormatting>
  <conditionalFormatting sqref="GR724:GU916">
    <cfRule type="expression" dxfId="710" priority="335">
      <formula>AND(LEN(TRIM($GQ724))&gt;0,LEN(TRIM(GR724))=0)</formula>
    </cfRule>
  </conditionalFormatting>
  <conditionalFormatting sqref="GR918:GU922 GR924:GU931 GR933:GU938 GR940:GU945 GR947:GU952 GR954:GU959 GR961:GU966 GR968:GU973 GR975:GU980 GR982:GU984">
    <cfRule type="expression" dxfId="709" priority="249">
      <formula>AND(LEN(TRIM($GQ918))&gt;0,LEN(TRIM(GR918))=0)</formula>
    </cfRule>
  </conditionalFormatting>
  <conditionalFormatting sqref="GW682:GZ723">
    <cfRule type="expression" dxfId="708" priority="1273">
      <formula>AND(LEN(TRIM($GV682))&gt;0,LEN(TRIM(GW682))=0)</formula>
    </cfRule>
  </conditionalFormatting>
  <conditionalFormatting sqref="GW724:GZ916">
    <cfRule type="expression" dxfId="707" priority="336">
      <formula>AND(LEN(TRIM($GV724))&gt;0,LEN(TRIM(GW724))=0)</formula>
    </cfRule>
  </conditionalFormatting>
  <conditionalFormatting sqref="GW918:GZ922 GW924:GZ931 GW933:GZ938 GW940:GZ945 GW947:GZ952 GW954:GZ959 GW961:GZ966 GW968:GZ973 GW975:GZ980 GW982:GZ984">
    <cfRule type="expression" dxfId="706" priority="250">
      <formula>AND(LEN(TRIM($GV918))&gt;0,LEN(TRIM(GW918))=0)</formula>
    </cfRule>
  </conditionalFormatting>
  <conditionalFormatting sqref="HB682:HE723">
    <cfRule type="expression" dxfId="705" priority="1274">
      <formula>AND(LEN(TRIM($HA682))&gt;0,LEN(TRIM(HB682))=0)</formula>
    </cfRule>
  </conditionalFormatting>
  <conditionalFormatting sqref="HB724:HE916">
    <cfRule type="expression" dxfId="704" priority="337">
      <formula>AND(LEN(TRIM($HA724))&gt;0,LEN(TRIM(HB724))=0)</formula>
    </cfRule>
  </conditionalFormatting>
  <conditionalFormatting sqref="HB918:HE922 HB924:HE931 HB933:HE938 HB940:HE945 HB947:HE952 HB954:HE959 HB961:HE966 HB968:HE973 HB975:HE980 HB982:HE984">
    <cfRule type="expression" dxfId="703" priority="251">
      <formula>AND(LEN(TRIM($HA918))&gt;0,LEN(TRIM(HB918))=0)</formula>
    </cfRule>
  </conditionalFormatting>
  <conditionalFormatting sqref="HG682:HJ723">
    <cfRule type="expression" dxfId="702" priority="1275">
      <formula>AND(LEN(TRIM($HF682))&gt;0,LEN(TRIM(HG682))=0)</formula>
    </cfRule>
  </conditionalFormatting>
  <conditionalFormatting sqref="HG724:HJ876 HG877:HI898">
    <cfRule type="expression" dxfId="701" priority="721">
      <formula>AND(LEN(TRIM($HF724))&gt;0,LEN(TRIM(HG724))=0)</formula>
    </cfRule>
  </conditionalFormatting>
  <conditionalFormatting sqref="HG899:HJ916">
    <cfRule type="expression" dxfId="700" priority="338">
      <formula>AND(LEN(TRIM($HF899))&gt;0,LEN(TRIM(HG899))=0)</formula>
    </cfRule>
  </conditionalFormatting>
  <conditionalFormatting sqref="HG918:HJ922 HG924:HJ931 HG933:HJ938 HG940:HJ945 HG947:HJ952 HG954:HJ959 HG961:HJ966 HG968:HJ973 HG975:HJ980 HG982:HJ984">
    <cfRule type="expression" dxfId="699" priority="252">
      <formula>AND(LEN(TRIM($HF918))&gt;0,LEN(TRIM(HG918))=0)</formula>
    </cfRule>
  </conditionalFormatting>
  <conditionalFormatting sqref="HK856:HK898">
    <cfRule type="expression" dxfId="698"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97"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696" priority="339">
      <formula>AND(LEN(TRIM($HK724))&gt;0,LEN(TRIM(HL724))=0)</formula>
    </cfRule>
  </conditionalFormatting>
  <conditionalFormatting sqref="HL918:HP922 HL924:HP928 HL929:HL984 HO936:HO942 HO950:HO956 HO964:HO970 HM978:HP984">
    <cfRule type="expression" dxfId="695" priority="253">
      <formula>AND(LEN(TRIM($HK918))&gt;0,LEN(TRIM(HL918))=0)</formula>
    </cfRule>
  </conditionalFormatting>
  <conditionalFormatting sqref="HM684">
    <cfRule type="expression" dxfId="694" priority="1188">
      <formula>AND(LEN(TRIM($C682))&gt;0,LEN(TRIM(HM684))=0)</formula>
    </cfRule>
  </conditionalFormatting>
  <conditionalFormatting sqref="HM687">
    <cfRule type="expression" dxfId="693" priority="1184">
      <formula>AND(LEN(TRIM($C685))&gt;0,LEN(TRIM(HM687))=0)</formula>
    </cfRule>
  </conditionalFormatting>
  <conditionalFormatting sqref="HM690">
    <cfRule type="expression" dxfId="692" priority="1173">
      <formula>AND(LEN(TRIM($C688))&gt;0,LEN(TRIM(HM690))=0)</formula>
    </cfRule>
  </conditionalFormatting>
  <conditionalFormatting sqref="HM699">
    <cfRule type="expression" dxfId="691" priority="1219">
      <formula>AND(LEN(TRIM($C697))&gt;0,LEN(TRIM(HM699))=0)</formula>
    </cfRule>
  </conditionalFormatting>
  <conditionalFormatting sqref="HM702">
    <cfRule type="expression" dxfId="690" priority="1215">
      <formula>AND(LEN(TRIM($C700))&gt;0,LEN(TRIM(HM702))=0)</formula>
    </cfRule>
  </conditionalFormatting>
  <conditionalFormatting sqref="HM705">
    <cfRule type="expression" dxfId="689" priority="1211">
      <formula>AND(LEN(TRIM($C703))&gt;0,LEN(TRIM(HM705))=0)</formula>
    </cfRule>
  </conditionalFormatting>
  <conditionalFormatting sqref="HM708">
    <cfRule type="expression" dxfId="688" priority="1149">
      <formula>AND(LEN(TRIM($C706))&gt;0,LEN(TRIM(HM708))=0)</formula>
    </cfRule>
  </conditionalFormatting>
  <conditionalFormatting sqref="HM714">
    <cfRule type="expression" dxfId="687" priority="1126">
      <formula>AND(LEN(TRIM($C712))&gt;0,LEN(TRIM(HM714))=0)</formula>
    </cfRule>
  </conditionalFormatting>
  <conditionalFormatting sqref="HM720">
    <cfRule type="expression" dxfId="686" priority="1100">
      <formula>AND(LEN(TRIM($C718))&gt;0,LEN(TRIM(HM720))=0)</formula>
    </cfRule>
  </conditionalFormatting>
  <conditionalFormatting sqref="HM693:HP693 HM696">
    <cfRule type="expression" dxfId="685" priority="1223">
      <formula>AND(LEN(TRIM($C691))&gt;0,LEN(TRIM(HM693))=0)</formula>
    </cfRule>
  </conditionalFormatting>
  <conditionalFormatting sqref="HM711:HP711">
    <cfRule type="expression" dxfId="684" priority="1157">
      <formula>AND(LEN(TRIM($C709))&gt;0,LEN(TRIM(HM711))=0)</formula>
    </cfRule>
  </conditionalFormatting>
  <conditionalFormatting sqref="HM717:HP717">
    <cfRule type="expression" dxfId="683"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82" priority="1108">
      <formula>AND(LEN(TRIM($C721))&gt;0,LEN(TRIM(HM723))=0)</formula>
    </cfRule>
  </conditionalFormatting>
  <conditionalFormatting sqref="HN684">
    <cfRule type="expression" dxfId="681" priority="1187">
      <formula>AND(LEN(TRIM($C682))&gt;0,LEN(TRIM(HN684))=0)</formula>
    </cfRule>
  </conditionalFormatting>
  <conditionalFormatting sqref="HN687">
    <cfRule type="expression" dxfId="680" priority="1183">
      <formula>AND(LEN(TRIM($C685))&gt;0,LEN(TRIM(HN687))=0)</formula>
    </cfRule>
  </conditionalFormatting>
  <conditionalFormatting sqref="HN690">
    <cfRule type="expression" dxfId="679" priority="1172">
      <formula>AND(LEN(TRIM($C688))&gt;0,LEN(TRIM(HN690))=0)</formula>
    </cfRule>
  </conditionalFormatting>
  <conditionalFormatting sqref="HN696">
    <cfRule type="expression" dxfId="678" priority="1222">
      <formula>AND(LEN(TRIM($C694))&gt;0,LEN(TRIM(HN696))=0)</formula>
    </cfRule>
  </conditionalFormatting>
  <conditionalFormatting sqref="HN699">
    <cfRule type="expression" dxfId="677" priority="1218">
      <formula>AND(LEN(TRIM($C697))&gt;0,LEN(TRIM(HN699))=0)</formula>
    </cfRule>
  </conditionalFormatting>
  <conditionalFormatting sqref="HN702">
    <cfRule type="expression" dxfId="676" priority="1214">
      <formula>AND(LEN(TRIM($C700))&gt;0,LEN(TRIM(HN702))=0)</formula>
    </cfRule>
  </conditionalFormatting>
  <conditionalFormatting sqref="HN705">
    <cfRule type="expression" dxfId="675" priority="1210">
      <formula>AND(LEN(TRIM($C703))&gt;0,LEN(TRIM(HN705))=0)</formula>
    </cfRule>
  </conditionalFormatting>
  <conditionalFormatting sqref="HN708">
    <cfRule type="expression" dxfId="674" priority="1148">
      <formula>AND(LEN(TRIM($C706))&gt;0,LEN(TRIM(HN708))=0)</formula>
    </cfRule>
  </conditionalFormatting>
  <conditionalFormatting sqref="HN714">
    <cfRule type="expression" dxfId="673" priority="1125">
      <formula>AND(LEN(TRIM($C712))&gt;0,LEN(TRIM(HN714))=0)</formula>
    </cfRule>
  </conditionalFormatting>
  <conditionalFormatting sqref="HN720">
    <cfRule type="expression" dxfId="672" priority="1099">
      <formula>AND(LEN(TRIM($C718))&gt;0,LEN(TRIM(HN720))=0)</formula>
    </cfRule>
  </conditionalFormatting>
  <conditionalFormatting sqref="HO682:HO683 HO685:HO689 HO691:HO695 HO697:HO707 HO709:HO713 HO715:HO719 HO721:HO723">
    <cfRule type="expression" dxfId="671" priority="1277">
      <formula>AND($HO682&gt;50, $HO682&lt;&gt;"Unspecified")</formula>
    </cfRule>
  </conditionalFormatting>
  <conditionalFormatting sqref="HO684">
    <cfRule type="expression" dxfId="670" priority="1186">
      <formula>AND(LEN(TRIM($C682))&gt;0,LEN(TRIM(HO684))=0)</formula>
    </cfRule>
  </conditionalFormatting>
  <conditionalFormatting sqref="HO687">
    <cfRule type="expression" dxfId="669" priority="1182">
      <formula>AND(LEN(TRIM($C685))&gt;0,LEN(TRIM(HO687))=0)</formula>
    </cfRule>
  </conditionalFormatting>
  <conditionalFormatting sqref="HO690">
    <cfRule type="expression" dxfId="668" priority="1171">
      <formula>AND(LEN(TRIM($C688))&gt;0,LEN(TRIM(HO690))=0)</formula>
    </cfRule>
  </conditionalFormatting>
  <conditionalFormatting sqref="HO696">
    <cfRule type="expression" dxfId="667" priority="1221">
      <formula>AND(LEN(TRIM($C694))&gt;0,LEN(TRIM(HO696))=0)</formula>
    </cfRule>
  </conditionalFormatting>
  <conditionalFormatting sqref="HO699">
    <cfRule type="expression" dxfId="666" priority="1217">
      <formula>AND(LEN(TRIM($C697))&gt;0,LEN(TRIM(HO699))=0)</formula>
    </cfRule>
  </conditionalFormatting>
  <conditionalFormatting sqref="HO702">
    <cfRule type="expression" dxfId="665" priority="1213">
      <formula>AND(LEN(TRIM($C700))&gt;0,LEN(TRIM(HO702))=0)</formula>
    </cfRule>
  </conditionalFormatting>
  <conditionalFormatting sqref="HO705">
    <cfRule type="expression" dxfId="664" priority="1209">
      <formula>AND(LEN(TRIM($C703))&gt;0,LEN(TRIM(HO705))=0)</formula>
    </cfRule>
  </conditionalFormatting>
  <conditionalFormatting sqref="HO708">
    <cfRule type="expression" dxfId="663" priority="1147">
      <formula>AND(LEN(TRIM($C706))&gt;0,LEN(TRIM(HO708))=0)</formula>
    </cfRule>
  </conditionalFormatting>
  <conditionalFormatting sqref="HO714">
    <cfRule type="expression" dxfId="662" priority="1124">
      <formula>AND(LEN(TRIM($C712))&gt;0,LEN(TRIM(HO714))=0)</formula>
    </cfRule>
  </conditionalFormatting>
  <conditionalFormatting sqref="HO720">
    <cfRule type="expression" dxfId="661" priority="1098">
      <formula>AND(LEN(TRIM($C718))&gt;0,LEN(TRIM(HO720))=0)</formula>
    </cfRule>
  </conditionalFormatting>
  <conditionalFormatting sqref="HO724:HO916">
    <cfRule type="expression" dxfId="660" priority="340">
      <formula>AND($HO724&gt;50, $HO724&lt;&gt;"Unspecified")</formula>
    </cfRule>
  </conditionalFormatting>
  <conditionalFormatting sqref="HO918:HO922 HO924:HO928">
    <cfRule type="expression" dxfId="659" priority="254">
      <formula>AND($HO918&gt;50, $HO918&lt;&gt;"Unspecified")</formula>
    </cfRule>
  </conditionalFormatting>
  <conditionalFormatting sqref="HO929:HO935 HO943:HO949 HO957:HO963 HO971:HO977">
    <cfRule type="expression" dxfId="658" priority="3">
      <formula>AND(LEN(TRIM($C927))&gt;0,LEN(TRIM(HO929))=0)</formula>
    </cfRule>
    <cfRule type="expression" dxfId="657" priority="4">
      <formula>AND(LEN(TRIM($HK929))&gt;0,LEN(TRIM(HO929))=0)</formula>
    </cfRule>
  </conditionalFormatting>
  <conditionalFormatting sqref="HP684">
    <cfRule type="expression" dxfId="656" priority="1185">
      <formula>AND(LEN(TRIM($C682))&gt;0,LEN(TRIM(HP684))=0)</formula>
    </cfRule>
  </conditionalFormatting>
  <conditionalFormatting sqref="HP687">
    <cfRule type="expression" dxfId="655" priority="1181">
      <formula>AND(LEN(TRIM($C685))&gt;0,LEN(TRIM(HP687))=0)</formula>
    </cfRule>
  </conditionalFormatting>
  <conditionalFormatting sqref="HP690">
    <cfRule type="expression" dxfId="654" priority="1170">
      <formula>AND(LEN(TRIM($C688))&gt;0,LEN(TRIM(HP690))=0)</formula>
    </cfRule>
  </conditionalFormatting>
  <conditionalFormatting sqref="HP696">
    <cfRule type="expression" dxfId="653" priority="1220">
      <formula>AND(LEN(TRIM($C694))&gt;0,LEN(TRIM(HP696))=0)</formula>
    </cfRule>
  </conditionalFormatting>
  <conditionalFormatting sqref="HP699">
    <cfRule type="expression" dxfId="652" priority="1216">
      <formula>AND(LEN(TRIM($C697))&gt;0,LEN(TRIM(HP699))=0)</formula>
    </cfRule>
  </conditionalFormatting>
  <conditionalFormatting sqref="HP702">
    <cfRule type="expression" dxfId="651" priority="1212">
      <formula>AND(LEN(TRIM($C700))&gt;0,LEN(TRIM(HP702))=0)</formula>
    </cfRule>
  </conditionalFormatting>
  <conditionalFormatting sqref="HP705">
    <cfRule type="expression" dxfId="650" priority="1208">
      <formula>AND(LEN(TRIM($C703))&gt;0,LEN(TRIM(HP705))=0)</formula>
    </cfRule>
  </conditionalFormatting>
  <conditionalFormatting sqref="HP708">
    <cfRule type="expression" dxfId="649" priority="1146">
      <formula>AND(LEN(TRIM($C706))&gt;0,LEN(TRIM(HP708))=0)</formula>
    </cfRule>
  </conditionalFormatting>
  <conditionalFormatting sqref="HP714">
    <cfRule type="expression" dxfId="648" priority="1123">
      <formula>AND(LEN(TRIM($C712))&gt;0,LEN(TRIM(HP714))=0)</formula>
    </cfRule>
  </conditionalFormatting>
  <conditionalFormatting sqref="HP720">
    <cfRule type="expression" dxfId="647" priority="1097">
      <formula>AND(LEN(TRIM($C718))&gt;0,LEN(TRIM(HP720))=0)</formula>
    </cfRule>
  </conditionalFormatting>
  <conditionalFormatting sqref="HR682:HU723">
    <cfRule type="expression" dxfId="646" priority="1278">
      <formula>AND(LEN(TRIM($HQ682))&gt;0,LEN(TRIM(HR682))=0)</formula>
    </cfRule>
  </conditionalFormatting>
  <conditionalFormatting sqref="HR724:HU916">
    <cfRule type="expression" dxfId="645" priority="341">
      <formula>AND(LEN(TRIM($HQ724))&gt;0,LEN(TRIM(HR724))=0)</formula>
    </cfRule>
  </conditionalFormatting>
  <conditionalFormatting sqref="HR918:HU922 HR924:HU931 HR933:HU938 HR940:HU945 HR947:HU952 HR954:HU959 HR961:HU966 HR968:HU973 HR975:HU980 HR982:HU984">
    <cfRule type="expression" dxfId="644" priority="255">
      <formula>AND(LEN(TRIM($HQ918))&gt;0,LEN(TRIM(HR918))=0)</formula>
    </cfRule>
  </conditionalFormatting>
  <conditionalFormatting sqref="HV682:HW723">
    <cfRule type="expression" dxfId="643" priority="1279">
      <formula>IF(AND(COUNTIF($BG682:$DY682,$HV682)=0,$HV682&lt;&gt;""),1,0)=1</formula>
    </cfRule>
  </conditionalFormatting>
  <conditionalFormatting sqref="HV724:HW898">
    <cfRule type="expression" dxfId="642" priority="725">
      <formula>IF(AND(COUNTIF($BG724:$DY724,$HV724)=0,$HV724&lt;&gt;""),1,0)=1</formula>
    </cfRule>
  </conditionalFormatting>
  <conditionalFormatting sqref="HW899:HW916">
    <cfRule type="expression" dxfId="641" priority="342">
      <formula>IF(AND(COUNTIF($BG899:$DY899,$HW899)=0,$HW899&lt;&gt;""),1,0)=1</formula>
    </cfRule>
  </conditionalFormatting>
  <conditionalFormatting sqref="HW918:HW922 HW924:HW931 HW933:HW938 HW940:HW945 HW947:HW952 HW954:HW959 HW961:HW966 HW968:HW973 HW975:HW980 HW982:HW984">
    <cfRule type="expression" dxfId="640" priority="256">
      <formula>IF(AND(COUNTIF($BG918:$DY918,$HW918)=0,$HW918&lt;&gt;""),1,0)=1</formula>
    </cfRule>
  </conditionalFormatting>
  <conditionalFormatting sqref="HX682:IA723">
    <cfRule type="expression" dxfId="639" priority="1280">
      <formula>AND(LEN(TRIM($HV682))&gt;0,LEN(TRIM(HX682))=0)</formula>
    </cfRule>
  </conditionalFormatting>
  <conditionalFormatting sqref="HX724:IA898">
    <cfRule type="expression" dxfId="638" priority="726">
      <formula>AND(LEN(TRIM($HV724))&gt;0,LEN(TRIM(HX724))=0)</formula>
    </cfRule>
  </conditionalFormatting>
  <conditionalFormatting sqref="HX899:IB916">
    <cfRule type="expression" dxfId="637" priority="343">
      <formula>AND(LEN(TRIM($HW899))&gt;0,LEN(TRIM(HX899))=0)</formula>
    </cfRule>
  </conditionalFormatting>
  <conditionalFormatting sqref="HX918:IB922 HX924:IB931 HX933:IB938 HX940:IB945 HX947:IB952 HX954:IB959 HX961:IB966 HX968:IB973 HX975:IB980 HX982:IB984">
    <cfRule type="expression" dxfId="636" priority="257">
      <formula>AND(LEN(TRIM($HW918))&gt;0,LEN(TRIM(HX918))=0)</formula>
    </cfRule>
  </conditionalFormatting>
  <conditionalFormatting sqref="IB899:IB916 ID899:IG916">
    <cfRule type="expression" dxfId="635"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634" priority="259">
      <formula>AND(LEN(TRIM($IC918))&gt;0,LEN(TRIM(IB918))=0)</formula>
    </cfRule>
  </conditionalFormatting>
  <conditionalFormatting sqref="IB682:IC723">
    <cfRule type="expression" dxfId="633" priority="1281">
      <formula>IF(AND(COUNTIF(#REF!,$IB682)=0,$IB682&lt;&gt;""),1,0)=1</formula>
    </cfRule>
  </conditionalFormatting>
  <conditionalFormatting sqref="IB724:IC898">
    <cfRule type="expression" dxfId="632" priority="727">
      <formula>IF(AND(COUNTIF(#REF!,$IB724)=0,$IB724&lt;&gt;""),1,0)=1</formula>
    </cfRule>
  </conditionalFormatting>
  <conditionalFormatting sqref="IC899:IC916">
    <cfRule type="expression" dxfId="631" priority="344">
      <formula>IF(AND(COUNTIF(#REF!,$IC899)=0,$IC899&lt;&gt;""),1,0)=1</formula>
    </cfRule>
  </conditionalFormatting>
  <conditionalFormatting sqref="IC918:IC922 IC924:IC931 IC933:IC938 IC940:IC945 IC947:IC952 IC954:IC959 IC961:IC966 IC968:IC973 IC975:IC980 IC982:IC984">
    <cfRule type="expression" dxfId="630" priority="258">
      <formula>IF(AND(COUNTIF(#REF!,$IC918)=0,$IC918&lt;&gt;""),1,0)=1</formula>
    </cfRule>
  </conditionalFormatting>
  <conditionalFormatting sqref="ID724:IG771 ID772:IH855 IH878:IH879 IH882 IO882 IH884 IO884 IH886 IO886 IH889:IH890 IH893 IO893 IH895 IO895 IH897 IO897 ID898:IH898">
    <cfRule type="expression" dxfId="629" priority="1056">
      <formula>AND(LEN(TRIM($IB724))&gt;0,LEN(TRIM(ID724))=0)</formula>
    </cfRule>
  </conditionalFormatting>
  <conditionalFormatting sqref="ID856:IG897">
    <cfRule type="expression" dxfId="628" priority="728">
      <formula>AND(LEN(TRIM($IB856))&gt;0,LEN(TRIM(ID856))=0)</formula>
    </cfRule>
  </conditionalFormatting>
  <conditionalFormatting sqref="ID682:II723">
    <cfRule type="expression" dxfId="627" priority="1282">
      <formula>AND(LEN(TRIM($IB682))&gt;0,LEN(TRIM(ID682))=0)</formula>
    </cfRule>
  </conditionalFormatting>
  <conditionalFormatting sqref="IH856:IH898">
    <cfRule type="expression" dxfId="626" priority="568">
      <formula>AND(LEN(TRIM(#REF!))&gt;0,LEN(TRIM(IH856))=0)</formula>
    </cfRule>
  </conditionalFormatting>
  <conditionalFormatting sqref="IH917:IH936">
    <cfRule type="expression" dxfId="625" priority="179">
      <formula>AND(LEN(TRIM(#REF!))&gt;0,LEN(TRIM(IH917))=0)</formula>
    </cfRule>
  </conditionalFormatting>
  <conditionalFormatting sqref="IH938:IH950">
    <cfRule type="expression" dxfId="624" priority="172">
      <formula>AND(LEN(TRIM(#REF!))&gt;0,LEN(TRIM(IH938))=0)</formula>
    </cfRule>
  </conditionalFormatting>
  <conditionalFormatting sqref="IH952:IH964">
    <cfRule type="expression" dxfId="623" priority="162">
      <formula>AND(LEN(TRIM(#REF!))&gt;0,LEN(TRIM(IH952))=0)</formula>
    </cfRule>
  </conditionalFormatting>
  <conditionalFormatting sqref="IH966:IH978">
    <cfRule type="expression" dxfId="622" priority="154">
      <formula>AND(LEN(TRIM(#REF!))&gt;0,LEN(TRIM(IH966))=0)</formula>
    </cfRule>
  </conditionalFormatting>
  <conditionalFormatting sqref="IH980:IH984">
    <cfRule type="expression" dxfId="621" priority="151">
      <formula>AND(LEN(TRIM(#REF!))&gt;0,LEN(TRIM(IH980))=0)</formula>
    </cfRule>
  </conditionalFormatting>
  <conditionalFormatting sqref="II724:II771">
    <cfRule type="expression" dxfId="620" priority="1609">
      <formula>AND(LEN(TRIM($IH724))&gt;0,LEN(TRIM(II724))=0)</formula>
    </cfRule>
  </conditionalFormatting>
  <conditionalFormatting sqref="II856:II916">
    <cfRule type="expression" dxfId="619" priority="64">
      <formula>AND(LEN(TRIM($IH856))&gt;0,LEN(TRIM(II856))=0)</formula>
    </cfRule>
  </conditionalFormatting>
  <conditionalFormatting sqref="II918:II922 II924:II931 II933:II938 II940:II945 II947:II952 II954:II959 II961:II966 II968:II973 II975:II980 II982:II984">
    <cfRule type="expression" dxfId="618" priority="260">
      <formula>AND(LEN(TRIM($IH918))&gt;0,LEN(TRIM(II918))=0)</formula>
    </cfRule>
  </conditionalFormatting>
  <conditionalFormatting sqref="IJ772:IJ855">
    <cfRule type="expression" dxfId="617" priority="850">
      <formula>AND(LEN(TRIM($II772))&gt;0,LEN(TRIM(IJ772))=0)</formula>
    </cfRule>
  </conditionalFormatting>
  <conditionalFormatting sqref="IJ878:IK879 IN882 IU882 LJ882 IJ889:IK890 IN893 IU893 LJ893">
    <cfRule type="expression" dxfId="616" priority="1937">
      <formula>AND(LEN(TRIM(#REF!))&gt;0,LEN(TRIM(IJ878))=0,$II878&lt;&gt;"Monoculture")</formula>
    </cfRule>
  </conditionalFormatting>
  <conditionalFormatting sqref="IJ921:IK921 IM921:IN921">
    <cfRule type="expression" dxfId="615" priority="292">
      <formula>AND(LEN(TRIM($IH922))&gt;0,LEN(TRIM(IJ921))=0,$II922&lt;&gt;"Monoculture")</formula>
    </cfRule>
  </conditionalFormatting>
  <conditionalFormatting sqref="IJ927:IK927 IM927:IN927">
    <cfRule type="expression" dxfId="614" priority="196">
      <formula>AND(LEN(TRIM($IH928))&gt;0,LEN(TRIM(IJ927))=0,$II928&lt;&gt;"Monoculture")</formula>
    </cfRule>
  </conditionalFormatting>
  <conditionalFormatting sqref="IJ931:IK931 IM931:IN931">
    <cfRule type="expression" dxfId="613" priority="180">
      <formula>AND(LEN(TRIM($IH929))&gt;0,LEN(TRIM(IJ931))=0,$II929&lt;&gt;"Monoculture")</formula>
    </cfRule>
  </conditionalFormatting>
  <conditionalFormatting sqref="IJ938:IK938 IM938:IN938">
    <cfRule type="expression" dxfId="612" priority="177">
      <formula>AND(LEN(TRIM($IH936))&gt;0,LEN(TRIM(IJ938))=0,$II936&lt;&gt;"Monoculture")</formula>
    </cfRule>
  </conditionalFormatting>
  <conditionalFormatting sqref="IJ945:IK945 IM945:IN945">
    <cfRule type="expression" dxfId="611" priority="173">
      <formula>AND(LEN(TRIM($IH943))&gt;0,LEN(TRIM(IJ945))=0,$II943&lt;&gt;"Monoculture")</formula>
    </cfRule>
  </conditionalFormatting>
  <conditionalFormatting sqref="IJ952:IK952 IM952:IN952">
    <cfRule type="expression" dxfId="610" priority="170">
      <formula>AND(LEN(TRIM($IH950))&gt;0,LEN(TRIM(IJ952))=0,$II950&lt;&gt;"Monoculture")</formula>
    </cfRule>
  </conditionalFormatting>
  <conditionalFormatting sqref="IJ959:IK959 IM959:IN959">
    <cfRule type="expression" dxfId="609" priority="163">
      <formula>AND(LEN(TRIM($IH957))&gt;0,LEN(TRIM(IJ959))=0,$II957&lt;&gt;"Monoculture")</formula>
    </cfRule>
  </conditionalFormatting>
  <conditionalFormatting sqref="IJ966:IK966 IM966:IN966">
    <cfRule type="expression" dxfId="608" priority="160">
      <formula>AND(LEN(TRIM($IH964))&gt;0,LEN(TRIM(IJ966))=0,$II964&lt;&gt;"Monoculture")</formula>
    </cfRule>
  </conditionalFormatting>
  <conditionalFormatting sqref="IJ973:IK973 IM973:IN973">
    <cfRule type="expression" dxfId="607" priority="155">
      <formula>AND(LEN(TRIM($IH971))&gt;0,LEN(TRIM(IJ973))=0,$II971&lt;&gt;"Monoculture")</formula>
    </cfRule>
  </conditionalFormatting>
  <conditionalFormatting sqref="IJ980:IK980 IM980:IN980">
    <cfRule type="expression" dxfId="606"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605" priority="1610">
      <formula>AND(LEN(TRIM($IH724))&gt;0,LEN(TRIM(IJ724))=0,$II724&lt;&gt;"Monoculture")</formula>
    </cfRule>
  </conditionalFormatting>
  <conditionalFormatting sqref="IJ899:IN916">
    <cfRule type="expression" dxfId="604" priority="347">
      <formula>AND(LEN(TRIM($IH899))&gt;0,LEN(TRIM(IJ899))=0,$II899&lt;&gt;"Monoculture")</formula>
    </cfRule>
  </conditionalFormatting>
  <conditionalFormatting sqref="IK682:IK723">
    <cfRule type="expression" dxfId="603" priority="1283">
      <formula>AND(LEN(TRIM($IJ682))&gt;0,LEN(TRIM(IK682))=0)</formula>
    </cfRule>
  </conditionalFormatting>
  <conditionalFormatting sqref="IK772:IN795 IK796:IO855">
    <cfRule type="expression" dxfId="602" priority="851">
      <formula>AND(LEN(TRIM($II772))&gt;0,LEN(TRIM(IK772))=0,$IJ772&lt;&gt;"Monoculture")</formula>
    </cfRule>
  </conditionalFormatting>
  <conditionalFormatting sqref="IL682:IN723">
    <cfRule type="expression" dxfId="601" priority="1284">
      <formula>AND(LEN(TRIM($IJ682))&gt;0,LEN(TRIM(IL682))=0,$IK682&lt;&gt;"Monoculture")</formula>
    </cfRule>
  </conditionalFormatting>
  <conditionalFormatting sqref="IM877:IM898">
    <cfRule type="expression" dxfId="600"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599" priority="261">
      <formula>AND(LEN(TRIM($IH917))&gt;0,LEN(TRIM(IJ917))=0,$II917&lt;&gt;"Monoculture")</formula>
    </cfRule>
  </conditionalFormatting>
  <conditionalFormatting sqref="IO682:IO723">
    <cfRule type="expression" dxfId="598" priority="1207">
      <formula>AND(LEN(TRIM(#REF!))&gt;0,LEN(TRIM(IO682))=0)</formula>
    </cfRule>
  </conditionalFormatting>
  <conditionalFormatting sqref="IO878:IO879">
    <cfRule type="expression" dxfId="597" priority="533">
      <formula>AND(LEN(TRIM($IB878))&gt;0,LEN(TRIM(IO878))=0)</formula>
    </cfRule>
  </conditionalFormatting>
  <conditionalFormatting sqref="IO889:IO890">
    <cfRule type="expression" dxfId="596" priority="490">
      <formula>AND(LEN(TRIM($IB889))&gt;0,LEN(TRIM(IO889))=0)</formula>
    </cfRule>
  </conditionalFormatting>
  <conditionalFormatting sqref="IP682:IP723 IS682:IU723">
    <cfRule type="expression" dxfId="595" priority="1533">
      <formula>AND(LEN(TRIM($IO682))&gt;0,LEN(TRIM(IP682))=0,$IP682&lt;&gt;"Monoculture",$IQ682&lt;&gt;"Monoculture",$IR682&lt;&gt;"Monoculture")</formula>
    </cfRule>
  </conditionalFormatting>
  <conditionalFormatting sqref="IP772:IP876 IT856:IT876 IS888:IT898 IP888:IP916 IS899:IU916">
    <cfRule type="expression" dxfId="594"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593" priority="262">
      <formula>AND(LEN(TRIM($IO918))&gt;0,LEN(TRIM(IP918))=0,$IP918&lt;&gt;"Monoculture",$IQ918&lt;&gt;"Monoculture",$IR918&lt;&gt;"Monoculture")</formula>
    </cfRule>
  </conditionalFormatting>
  <conditionalFormatting sqref="IR724:IR771 IU724:IW771">
    <cfRule type="expression" dxfId="592" priority="1059">
      <formula>AND(LEN(TRIM($IQ724))&gt;0,LEN(TRIM(IR724))=0,$IR724&lt;&gt;"Monoculture",$IS724&lt;&gt;"Monoculture",$IT724&lt;&gt;"Monoculture")</formula>
    </cfRule>
  </conditionalFormatting>
  <conditionalFormatting sqref="IS856:IS876 IP877:IP887 IS877:IT887">
    <cfRule type="expression" dxfId="591" priority="1967">
      <formula>AND(LEN(TRIM($IO856))&gt;0,LEN(TRIM(IP856))=0,$IP856&lt;&gt;"Monoculture",$IQ856&lt;&gt;"Monoculture",#REF!&lt;&gt;"Monoculture")</formula>
    </cfRule>
  </conditionalFormatting>
  <conditionalFormatting sqref="IS772:IU855">
    <cfRule type="expression" dxfId="590" priority="1615">
      <formula>AND(LEN(TRIM($IO772))&gt;0,LEN(TRIM(IS772))=0,$IP772&lt;&gt;"Monoculture",$IQ772&lt;&gt;"Monoculture",$IR772&lt;&gt;"Monoculture")</formula>
    </cfRule>
  </conditionalFormatting>
  <conditionalFormatting sqref="IW523">
    <cfRule type="expression" dxfId="589" priority="96">
      <formula>AND(LEN(TRIM($IV523))&gt;0,LEN(TRIM(IW523))=0)</formula>
    </cfRule>
  </conditionalFormatting>
  <conditionalFormatting sqref="IW525">
    <cfRule type="expression" dxfId="588" priority="95">
      <formula>AND(LEN(TRIM($IV525))&gt;0,LEN(TRIM(IW525))=0)</formula>
    </cfRule>
  </conditionalFormatting>
  <conditionalFormatting sqref="IW527">
    <cfRule type="expression" dxfId="587" priority="94">
      <formula>AND(LEN(TRIM($IV527))&gt;0,LEN(TRIM(IW527))=0)</formula>
    </cfRule>
  </conditionalFormatting>
  <conditionalFormatting sqref="IW529">
    <cfRule type="expression" dxfId="586" priority="93">
      <formula>AND(LEN(TRIM($IV529))&gt;0,LEN(TRIM(IW529))=0)</formula>
    </cfRule>
  </conditionalFormatting>
  <conditionalFormatting sqref="IW918:IY922 IW924:IY931 IW933:IY938 IW940:IY945 IW947:IY952 IW954:IY959 IW961:IY966 IW968:IY973 IW975:IY980 IW982:IY984">
    <cfRule type="expression" dxfId="585" priority="263">
      <formula>AND(LEN(TRIM($IV918))&gt;0,LEN(TRIM(IW918))=0)</formula>
    </cfRule>
  </conditionalFormatting>
  <conditionalFormatting sqref="IW856:IZ898 IW899:IY916">
    <cfRule type="expression" dxfId="584" priority="1837">
      <formula>AND(LEN(TRIM($IV856))&gt;0,LEN(TRIM(IW856))=0)</formula>
    </cfRule>
  </conditionalFormatting>
  <conditionalFormatting sqref="IX657:IX659">
    <cfRule type="expression" dxfId="583" priority="19">
      <formula>AND(LEN(TRIM($IV657))&gt;0,LEN(TRIM(IX657))=0)</formula>
    </cfRule>
  </conditionalFormatting>
  <conditionalFormatting sqref="IX662:IX664">
    <cfRule type="expression" dxfId="582" priority="17">
      <formula>AND(LEN(TRIM($IV662))&gt;0,LEN(TRIM(IX662))=0)</formula>
    </cfRule>
  </conditionalFormatting>
  <conditionalFormatting sqref="IX667:IX669">
    <cfRule type="expression" dxfId="581" priority="15">
      <formula>AND(LEN(TRIM($IV667))&gt;0,LEN(TRIM(IX667))=0)</formula>
    </cfRule>
  </conditionalFormatting>
  <conditionalFormatting sqref="IX672:IX674">
    <cfRule type="expression" dxfId="580" priority="13">
      <formula>AND(LEN(TRIM($IV672))&gt;0,LEN(TRIM(IX672))=0)</formula>
    </cfRule>
  </conditionalFormatting>
  <conditionalFormatting sqref="IX677:IX679">
    <cfRule type="expression" dxfId="579" priority="11">
      <formula>AND(LEN(TRIM($IV677))&gt;0,LEN(TRIM(IX677))=0)</formula>
    </cfRule>
  </conditionalFormatting>
  <conditionalFormatting sqref="IX772:JA855">
    <cfRule type="expression" dxfId="578" priority="853">
      <formula>AND(LEN(TRIM($IW772))&gt;0,LEN(TRIM(IX772))=0)</formula>
    </cfRule>
  </conditionalFormatting>
  <conditionalFormatting sqref="IY682:JB723">
    <cfRule type="expression" dxfId="577" priority="1286">
      <formula>AND(LEN(TRIM($IX682))&gt;0,LEN(TRIM(IY682))=0)</formula>
    </cfRule>
  </conditionalFormatting>
  <conditionalFormatting sqref="IY724:JB771">
    <cfRule type="expression" dxfId="576" priority="1060">
      <formula>AND(LEN(TRIM($IX724))&gt;0,LEN(TRIM(IY724))=0)</formula>
    </cfRule>
  </conditionalFormatting>
  <conditionalFormatting sqref="JA899:JA916">
    <cfRule type="expression" dxfId="575" priority="2361">
      <formula>AND(OR($JA899&gt;100, $JA899&lt;0), JA899&lt;&gt;"Unspecified")</formula>
    </cfRule>
  </conditionalFormatting>
  <conditionalFormatting sqref="JA918:JA922 JA924:JA931 JA933:JA938 JA940:JA945 JA947:JA952 JA954:JA959 JA961:JA966 JA968:JA973 JA975:JA980 JA982:JA984">
    <cfRule type="expression" dxfId="574" priority="264">
      <formula>AND(OR($JA918&gt;100, $JA918&lt;0), JA918&lt;&gt;"Unspecified")</formula>
    </cfRule>
  </conditionalFormatting>
  <conditionalFormatting sqref="JA899:JI899">
    <cfRule type="expression" dxfId="573" priority="379">
      <formula>AND(LEN(TRIM(#REF!))&gt;0,LEN(TRIM(JA899))=0)</formula>
    </cfRule>
  </conditionalFormatting>
  <conditionalFormatting sqref="JA900:JI916">
    <cfRule type="expression" dxfId="572" priority="2315">
      <formula>AND(LEN(TRIM($IY900))&gt;0,LEN(TRIM(JA900))=0)</formula>
    </cfRule>
  </conditionalFormatting>
  <conditionalFormatting sqref="JA918:JI922 JA924:JI931 JA933:JI938 JA940:JI945 JA947:JI952 JA954:JI959 JA961:JI966 JA968:JI973 JA975:JI980 JA982:JI984">
    <cfRule type="expression" dxfId="571" priority="265">
      <formula>AND(LEN(TRIM($IY918))&gt;0,LEN(TRIM(JA918))=0)</formula>
    </cfRule>
  </conditionalFormatting>
  <conditionalFormatting sqref="JB856:JB898">
    <cfRule type="expression" dxfId="570" priority="1839">
      <formula>AND(OR($JB856&gt;100, $JB856&lt;0), JB856&lt;&gt;"Unspecified")</formula>
    </cfRule>
  </conditionalFormatting>
  <conditionalFormatting sqref="JB899:JB916">
    <cfRule type="expression" dxfId="569" priority="2362">
      <formula>AND(OR($JB899&gt;100, $JB899&lt;0), JC899&lt;&gt;"Unspecified")</formula>
    </cfRule>
  </conditionalFormatting>
  <conditionalFormatting sqref="JB918:JB922 JB924:JB931 JB933:JB938 JB940:JB945 JB947:JB952 JB954:JB959 JB961:JB966 JB968:JB973 JB975:JB980 JB982:JB984">
    <cfRule type="expression" dxfId="568" priority="266">
      <formula>AND(OR($JB918&gt;100, $JB918&lt;0), JC918&lt;&gt;"Unspecified")</formula>
    </cfRule>
  </conditionalFormatting>
  <conditionalFormatting sqref="JB856:JJ898">
    <cfRule type="expression" dxfId="567" priority="1841">
      <formula>AND(LEN(TRIM($IZ856))&gt;0,LEN(TRIM(JB856))=0)</formula>
    </cfRule>
  </conditionalFormatting>
  <conditionalFormatting sqref="JC772:JC855">
    <cfRule type="expression" dxfId="566" priority="854">
      <formula>AND(OR($JC772&gt;100, $JC772&lt;0), JC772&lt;&gt;"Unspecified")</formula>
    </cfRule>
  </conditionalFormatting>
  <conditionalFormatting sqref="JC856:JC898">
    <cfRule type="expression" dxfId="565" priority="1843">
      <formula>AND(OR($JC856&gt;100, $JC856&lt;0), JD856&lt;&gt;"Unspecified")</formula>
    </cfRule>
  </conditionalFormatting>
  <conditionalFormatting sqref="JC899:JC916">
    <cfRule type="expression" dxfId="564" priority="2363">
      <formula>AND(OR($JC899&gt;100, $JC899&lt;$JB899), $JC899&lt;&gt;"Unspecified")</formula>
    </cfRule>
  </conditionalFormatting>
  <conditionalFormatting sqref="JC918:JC922 JC924:JC931 JC933:JC938 JC940:JC945 JC947:JC952 JC954:JC959 JC961:JC966 JC968:JC973 JC975:JC980 JC982:JC984">
    <cfRule type="expression" dxfId="563"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562" priority="855">
      <formula>AND(LEN(TRIM($JA772))&gt;0,LEN(TRIM(JC772))=0)</formula>
    </cfRule>
  </conditionalFormatting>
  <conditionalFormatting sqref="JD682:JD723">
    <cfRule type="expression" dxfId="561" priority="1287">
      <formula>AND(OR($JD682&gt;100, $JD682&lt;0), JD682&lt;&gt;"Unspecified")</formula>
    </cfRule>
  </conditionalFormatting>
  <conditionalFormatting sqref="JD724:JD771">
    <cfRule type="expression" dxfId="560" priority="1061">
      <formula>AND(OR($JD724&gt;100, $JD724&lt;0), JD724&lt;&gt;"Unspecified")</formula>
    </cfRule>
  </conditionalFormatting>
  <conditionalFormatting sqref="JD772:JD855">
    <cfRule type="expression" dxfId="559" priority="856">
      <formula>AND(OR($JD772&gt;100, $JD772&lt;0), JE772&lt;&gt;"Unspecified")</formula>
    </cfRule>
  </conditionalFormatting>
  <conditionalFormatting sqref="JD856:JD898">
    <cfRule type="expression" dxfId="558" priority="1845">
      <formula>AND(OR($JD856&gt;100, $JD856&lt;$JC856), $JD856&lt;&gt;"Unspecified")</formula>
    </cfRule>
  </conditionalFormatting>
  <conditionalFormatting sqref="JD899:JD916">
    <cfRule type="expression" dxfId="557" priority="2364">
      <formula>AND($JD899&lt;0, $JD899&lt;&gt;"Unspecified")</formula>
    </cfRule>
  </conditionalFormatting>
  <conditionalFormatting sqref="JD918:JD922 JD924:JD931 JD933:JD938 JD940:JD945 JD947:JD952 JD954:JD959 JD961:JD966 JD968:JD973 JD975:JD980 JD982:JD984">
    <cfRule type="expression" dxfId="556" priority="268">
      <formula>AND($JD918&lt;0, $JD918&lt;&gt;"Unspecified")</formula>
    </cfRule>
  </conditionalFormatting>
  <conditionalFormatting sqref="JD682:JJ723">
    <cfRule type="expression" dxfId="555" priority="1288">
      <formula>AND(LEN(TRIM($JB682))&gt;0,LEN(TRIM(JD682))=0)</formula>
    </cfRule>
  </conditionalFormatting>
  <conditionalFormatting sqref="JD724:JK771">
    <cfRule type="expression" dxfId="554" priority="1062">
      <formula>AND(LEN(TRIM($JB724))&gt;0,LEN(TRIM(JD724))=0)</formula>
    </cfRule>
  </conditionalFormatting>
  <conditionalFormatting sqref="JE682:JE723">
    <cfRule type="expression" dxfId="553" priority="1289">
      <formula>AND(OR($JE682&gt;100, $JE682&lt;0), JF682&lt;&gt;"Unspecified")</formula>
    </cfRule>
  </conditionalFormatting>
  <conditionalFormatting sqref="JE724:JE771">
    <cfRule type="expression" dxfId="552" priority="1063">
      <formula>AND(OR($JE724&gt;100, $JE724&lt;0), JF724&lt;&gt;"Unspecified")</formula>
    </cfRule>
  </conditionalFormatting>
  <conditionalFormatting sqref="JE772:JE855">
    <cfRule type="expression" dxfId="551" priority="857">
      <formula>AND(OR($JE772&gt;100, $JE772&lt;$JD772), $JE772&lt;&gt;"Unspecified")</formula>
    </cfRule>
  </conditionalFormatting>
  <conditionalFormatting sqref="JE856:JE916">
    <cfRule type="expression" dxfId="550" priority="1847">
      <formula>AND($JE856&lt;0, $JE856&lt;&gt;"Unspecified")</formula>
    </cfRule>
  </conditionalFormatting>
  <conditionalFormatting sqref="JE918:JE922 JE924:JE931 JE933:JE938 JE940:JE945 JE947:JE952 JE954:JE959 JE961:JE966 JE968:JE973 JE975:JE980 JE982:JE984">
    <cfRule type="expression" dxfId="549" priority="269">
      <formula>AND($JE918&lt;0, $JE918&lt;&gt;"Unspecified")</formula>
    </cfRule>
  </conditionalFormatting>
  <conditionalFormatting sqref="JF682:JF723">
    <cfRule type="expression" dxfId="548" priority="1290">
      <formula>AND(OR($JF682&gt;100, $JF682&lt;$JE682), $JF682&lt;&gt;"Unspecified")</formula>
    </cfRule>
  </conditionalFormatting>
  <conditionalFormatting sqref="JF724:JF771">
    <cfRule type="expression" dxfId="547" priority="1064">
      <formula>AND(OR($JF724&gt;100, $JF724&lt;$JE724), $JF724&lt;&gt;"Unspecified")</formula>
    </cfRule>
  </conditionalFormatting>
  <conditionalFormatting sqref="JF772:JF898">
    <cfRule type="expression" dxfId="546" priority="858">
      <formula>AND($JF772&lt;0, $JF772&lt;&gt;"Unspecified")</formula>
    </cfRule>
  </conditionalFormatting>
  <conditionalFormatting sqref="JF899:JF916">
    <cfRule type="expression" dxfId="545" priority="2366">
      <formula>AND($JF899&lt;$JE899, $JF899&lt;&gt;"Unspecified")</formula>
    </cfRule>
  </conditionalFormatting>
  <conditionalFormatting sqref="JF918:JF922 JF924:JF931 JF933:JF938 JF940:JF945 JF947:JF952 JF954:JF959 JF961:JF966 JF968:JF973 JF975:JF980 JF982:JF984">
    <cfRule type="expression" dxfId="544" priority="270">
      <formula>AND($JF918&lt;$JE918, $JF918&lt;&gt;"Unspecified")</formula>
    </cfRule>
  </conditionalFormatting>
  <conditionalFormatting sqref="JG682:JG723">
    <cfRule type="expression" dxfId="543" priority="1291">
      <formula>AND($JG682&lt;0, $JG682&lt;&gt;"Unspecified")</formula>
    </cfRule>
  </conditionalFormatting>
  <conditionalFormatting sqref="JG724:JG855 JG899:JG916">
    <cfRule type="expression" dxfId="542" priority="1065">
      <formula>AND($JG724&lt;0, $JG724&lt;&gt;"Unspecified")</formula>
    </cfRule>
  </conditionalFormatting>
  <conditionalFormatting sqref="JG856:JG898">
    <cfRule type="expression" dxfId="541" priority="1851">
      <formula>AND($JG856&lt;$JF856, $JG856&lt;&gt;"Unspecified")</formula>
    </cfRule>
  </conditionalFormatting>
  <conditionalFormatting sqref="JG918:JG922 JG924:JG931 JG933:JG938 JG940:JG945 JG947:JG952 JG954:JG959 JG961:JG966 JG968:JG973 JG975:JG980 JG982:JG984">
    <cfRule type="expression" dxfId="540" priority="271">
      <formula>AND($JG918&lt;0, $JG918&lt;&gt;"Unspecified")</formula>
    </cfRule>
  </conditionalFormatting>
  <conditionalFormatting sqref="JH682:JH723">
    <cfRule type="expression" dxfId="539" priority="1292">
      <formula>AND($JH682&lt;0, $JH682&lt;&gt;"Unspecified")</formula>
    </cfRule>
  </conditionalFormatting>
  <conditionalFormatting sqref="JH724:JH771 JH856:JH916">
    <cfRule type="expression" dxfId="538" priority="1066">
      <formula>AND($JH724&lt;0, $JH724&lt;&gt;"Unspecified")</formula>
    </cfRule>
  </conditionalFormatting>
  <conditionalFormatting sqref="JH772:JH855">
    <cfRule type="expression" dxfId="537" priority="860">
      <formula>AND($JH772&lt;$JG772, $JH772&lt;&gt;"Unspecified")</formula>
    </cfRule>
  </conditionalFormatting>
  <conditionalFormatting sqref="JH918:JH922 JH924:JH931 JH933:JH938 JH940:JH945 JH947:JH952 JH954:JH959 JH961:JH966 JH968:JH973 JH975:JH980 JH982:JH984">
    <cfRule type="expression" dxfId="536" priority="272">
      <formula>AND($JH918&lt;0, $JH918&lt;&gt;"Unspecified")</formula>
    </cfRule>
  </conditionalFormatting>
  <conditionalFormatting sqref="JI682:JI723">
    <cfRule type="expression" dxfId="535" priority="1293">
      <formula>AND($JI682&lt;$JH682, $JI682&lt;&gt;"Unspecified")</formula>
    </cfRule>
  </conditionalFormatting>
  <conditionalFormatting sqref="JI724:JI771 JI899:JI916">
    <cfRule type="expression" dxfId="534" priority="1067">
      <formula>AND($JI724&lt;$JH724, $JI724&lt;&gt;"Unspecified")</formula>
    </cfRule>
  </conditionalFormatting>
  <conditionalFormatting sqref="JI772:JI898">
    <cfRule type="expression" dxfId="533" priority="861">
      <formula>AND($JI772&lt;0, $JI772&lt;&gt;"Unspecified")</formula>
    </cfRule>
  </conditionalFormatting>
  <conditionalFormatting sqref="JI918:JI922 JI924:JI931 JI933:JI938 JI940:JI945 JI947:JI952 JI954:JI959 JI961:JI966 JI968:JI973 JI975:JI980 JI982:JI984">
    <cfRule type="expression" dxfId="532" priority="273">
      <formula>AND($JI918&lt;$JH918, $JI918&lt;&gt;"Unspecified")</formula>
    </cfRule>
  </conditionalFormatting>
  <conditionalFormatting sqref="JJ682:JJ723">
    <cfRule type="expression" dxfId="531" priority="1577">
      <formula>AND($JJ682&lt;#REF!, $JJ682&lt;&gt;"Unspecified")</formula>
    </cfRule>
  </conditionalFormatting>
  <conditionalFormatting sqref="JJ724:JJ855">
    <cfRule type="expression" dxfId="530" priority="1068">
      <formula>AND($JJ724&lt;0, $JJ724&lt;&gt;"Unspecified")</formula>
    </cfRule>
  </conditionalFormatting>
  <conditionalFormatting sqref="JJ856:JJ898">
    <cfRule type="expression" dxfId="529" priority="1857">
      <formula>AND($JJ856&lt;$JI856, $JJ856&lt;&gt;"Unspecified")</formula>
    </cfRule>
  </conditionalFormatting>
  <conditionalFormatting sqref="JK682:JK723">
    <cfRule type="expression" dxfId="528" priority="1537">
      <formula>AND(LEN(TRIM($JJ682))&gt;0,LEN(TRIM(JK682))=0)</formula>
    </cfRule>
  </conditionalFormatting>
  <conditionalFormatting sqref="JK724:JK771">
    <cfRule type="expression" dxfId="527" priority="1069">
      <formula>AND($JK724&lt;0, $JK724&lt;&gt;"Unspecified")</formula>
    </cfRule>
  </conditionalFormatting>
  <conditionalFormatting sqref="JK772:JK775 JK784:JK787 JK796:JK799 JK808:JK811 JK820:JK823 JK832:JK835 JK844:JK847">
    <cfRule type="expression" dxfId="526" priority="7">
      <formula>AND(LEN(TRIM($JJ772))&gt;0,LEN(TRIM(JK772))=0)</formula>
    </cfRule>
  </conditionalFormatting>
  <conditionalFormatting sqref="JK776:JK783 JK788:JK795 JK800:JK807 JK812:JK819 JK824:JK831 JK836:JK843 JK848:JK855">
    <cfRule type="expression" dxfId="525" priority="863">
      <formula>AND($JK776&lt;$JJ776, $JK776&lt;&gt;"Unspecified")</formula>
    </cfRule>
  </conditionalFormatting>
  <conditionalFormatting sqref="JK856:JK898">
    <cfRule type="expression" dxfId="524" priority="1859">
      <formula>AND(LEN(TRIM(#REF!))&gt;0,LEN(TRIM(JK856))=0)</formula>
    </cfRule>
  </conditionalFormatting>
  <conditionalFormatting sqref="JK899:JK916">
    <cfRule type="expression" dxfId="523" priority="2370">
      <formula>AND(LEN(TRIM($JJ899))&gt;0,LEN(TRIM(JK899))=0)</formula>
    </cfRule>
  </conditionalFormatting>
  <conditionalFormatting sqref="JK918:JK922 JK924:JK984">
    <cfRule type="expression" dxfId="522" priority="274">
      <formula>AND(LEN(TRIM($JJ918))&gt;0,LEN(TRIM(JK918))=0)</formula>
    </cfRule>
  </conditionalFormatting>
  <conditionalFormatting sqref="JM221:JM222 JM239:JM240 JM245:JM246 JM251:JM252 JM227:JM229 JM232:JM234">
    <cfRule type="duplicateValues" dxfId="521" priority="1471"/>
  </conditionalFormatting>
  <conditionalFormatting sqref="JM257:JM258 JM263:JM265 JM268:JM270">
    <cfRule type="duplicateValues" dxfId="520" priority="1465"/>
  </conditionalFormatting>
  <conditionalFormatting sqref="JM281:JM282">
    <cfRule type="duplicateValues" dxfId="519" priority="482"/>
  </conditionalFormatting>
  <conditionalFormatting sqref="JM298:JM300 JM287:JM289 JM275:JM276 JM292:JM295">
    <cfRule type="duplicateValues" dxfId="518" priority="2074"/>
  </conditionalFormatting>
  <conditionalFormatting sqref="JM305:JM306">
    <cfRule type="duplicateValues" dxfId="517" priority="480"/>
  </conditionalFormatting>
  <conditionalFormatting sqref="JM773 JM785 JM797 JM809 JM821 JM833 JM845">
    <cfRule type="expression" dxfId="516"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515" priority="1611">
      <formula>AND(LEN(TRIM($JL724))&gt;0,LEN(TRIM(JM724))=0)</formula>
    </cfRule>
  </conditionalFormatting>
  <conditionalFormatting sqref="JM682:JU723">
    <cfRule type="expression" dxfId="514"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513" priority="275">
      <formula>AND(LEN(TRIM($JL917))&gt;0,LEN(TRIM(JM917))=0)</formula>
    </cfRule>
  </conditionalFormatting>
  <conditionalFormatting sqref="JW374:JW375">
    <cfRule type="duplicateValues" dxfId="512" priority="1455"/>
  </conditionalFormatting>
  <conditionalFormatting sqref="JW376:JW377">
    <cfRule type="duplicateValues" dxfId="511" priority="1499"/>
  </conditionalFormatting>
  <conditionalFormatting sqref="JW378:JW379">
    <cfRule type="duplicateValues" dxfId="510" priority="1453"/>
  </conditionalFormatting>
  <conditionalFormatting sqref="JW383:JW384">
    <cfRule type="duplicateValues" dxfId="509" priority="1439"/>
  </conditionalFormatting>
  <conditionalFormatting sqref="JW385:JW386">
    <cfRule type="duplicateValues" dxfId="508" priority="1440"/>
  </conditionalFormatting>
  <conditionalFormatting sqref="JW387:JW388">
    <cfRule type="duplicateValues" dxfId="507" priority="1438"/>
  </conditionalFormatting>
  <conditionalFormatting sqref="JW392:JW393">
    <cfRule type="duplicateValues" dxfId="506" priority="1424"/>
  </conditionalFormatting>
  <conditionalFormatting sqref="JW394:JW395">
    <cfRule type="duplicateValues" dxfId="505" priority="1425"/>
  </conditionalFormatting>
  <conditionalFormatting sqref="JW396:JW397">
    <cfRule type="duplicateValues" dxfId="504" priority="1423"/>
  </conditionalFormatting>
  <conditionalFormatting sqref="JW401:JW402">
    <cfRule type="duplicateValues" dxfId="503" priority="1415"/>
  </conditionalFormatting>
  <conditionalFormatting sqref="JW403:JW404">
    <cfRule type="duplicateValues" dxfId="502" priority="1416"/>
  </conditionalFormatting>
  <conditionalFormatting sqref="JW405:JW406">
    <cfRule type="duplicateValues" dxfId="501" priority="1414"/>
  </conditionalFormatting>
  <conditionalFormatting sqref="JW408:JW409">
    <cfRule type="duplicateValues" dxfId="500" priority="1404"/>
  </conditionalFormatting>
  <conditionalFormatting sqref="JW411:JW412">
    <cfRule type="duplicateValues" dxfId="499" priority="1406"/>
  </conditionalFormatting>
  <conditionalFormatting sqref="JW414:JW415">
    <cfRule type="duplicateValues" dxfId="498" priority="1405"/>
  </conditionalFormatting>
  <conditionalFormatting sqref="JW419:JW420">
    <cfRule type="duplicateValues" dxfId="497" priority="1400"/>
  </conditionalFormatting>
  <conditionalFormatting sqref="JW421:JW422">
    <cfRule type="duplicateValues" dxfId="496" priority="1401"/>
  </conditionalFormatting>
  <conditionalFormatting sqref="JW423:JW424">
    <cfRule type="duplicateValues" dxfId="495" priority="1399"/>
  </conditionalFormatting>
  <conditionalFormatting sqref="JW428:JW429">
    <cfRule type="duplicateValues" dxfId="494" priority="1397"/>
  </conditionalFormatting>
  <conditionalFormatting sqref="JW430:JW431">
    <cfRule type="duplicateValues" dxfId="493" priority="1398"/>
  </conditionalFormatting>
  <conditionalFormatting sqref="JW432:JW433">
    <cfRule type="duplicateValues" dxfId="492" priority="1396"/>
  </conditionalFormatting>
  <conditionalFormatting sqref="JW899:JW916">
    <cfRule type="expression" dxfId="491" priority="1">
      <formula>AND(LEN(TRIM($JV899))&gt;0,LEN(TRIM(JW899))=0)</formula>
    </cfRule>
  </conditionalFormatting>
  <conditionalFormatting sqref="JW682:KD723">
    <cfRule type="expression" dxfId="490" priority="1550">
      <formula>AND(LEN(TRIM($JV682))&gt;0,LEN(TRIM(JW682))=0)</formula>
    </cfRule>
  </conditionalFormatting>
  <conditionalFormatting sqref="JW772:KD898 JX899:KD916">
    <cfRule type="expression" dxfId="489" priority="1623">
      <formula>AND(LEN(TRIM($JV772))&gt;0,LEN(TRIM(JW772))=0)</formula>
    </cfRule>
  </conditionalFormatting>
  <conditionalFormatting sqref="JW918:KD922 JW924:KD931 JW933:KD938 JW940:KD945 JW947:KD952 JW954:KD959 JW961:KD966 JW968:KD973 JW975:KD980 JW982:KD984">
    <cfRule type="expression" dxfId="488" priority="276">
      <formula>AND(LEN(TRIM($JV918))&gt;0,LEN(TRIM(JW918))=0)</formula>
    </cfRule>
  </conditionalFormatting>
  <conditionalFormatting sqref="JZ724:KG771">
    <cfRule type="expression" dxfId="487" priority="1073">
      <formula>AND(LEN(TRIM($JY724))&gt;0,LEN(TRIM(JZ724))=0)</formula>
    </cfRule>
  </conditionalFormatting>
  <conditionalFormatting sqref="KF682:KH723">
    <cfRule type="expression" dxfId="486" priority="1552">
      <formula>AND(LEN(TRIM($KE682))&gt;0,LEN(TRIM(KF682))=0)</formula>
    </cfRule>
  </conditionalFormatting>
  <conditionalFormatting sqref="KF772:KH876 KF877:KG898 KF899:KH916">
    <cfRule type="expression" dxfId="485" priority="1626">
      <formula>AND(LEN(TRIM($KE772))&gt;0,LEN(TRIM(KF772))=0)</formula>
    </cfRule>
  </conditionalFormatting>
  <conditionalFormatting sqref="KF918:KH922 KF924:KH931 KF933:KH938 KF940:KH945 KF947:KH952 KF954:KH959 KF961:KH966 KF968:KH973 KF975:KH980 KF982:KH984">
    <cfRule type="expression" dxfId="484" priority="277">
      <formula>AND(LEN(TRIM($KE918))&gt;0,LEN(TRIM(KF918))=0)</formula>
    </cfRule>
  </conditionalFormatting>
  <conditionalFormatting sqref="KH877:KH898">
    <cfRule type="expression" dxfId="483" priority="488">
      <formula>AND(LEN(TRIM(#REF!))&gt;0,LEN(TRIM(KH877))=0)</formula>
    </cfRule>
  </conditionalFormatting>
  <conditionalFormatting sqref="KI856:KI898">
    <cfRule type="expression" dxfId="482" priority="601">
      <formula>AND(LEN(TRIM(#REF!))&gt;0,LEN(TRIM(KI856))=0)</formula>
    </cfRule>
  </conditionalFormatting>
  <conditionalFormatting sqref="KI724:KK771">
    <cfRule type="expression" dxfId="481" priority="1074">
      <formula>AND(LEN(TRIM($KH724))&gt;0,LEN(TRIM(KI724))=0)</formula>
    </cfRule>
  </conditionalFormatting>
  <conditionalFormatting sqref="KJ682:KJ723">
    <cfRule type="expression" dxfId="480" priority="1553">
      <formula>AND(LEN(TRIM($KI682))&gt;0,LEN(TRIM(KJ682))=0)</formula>
    </cfRule>
  </conditionalFormatting>
  <conditionalFormatting sqref="KJ772:KJ880 KN856:KN880 KJ883:KJ891 KN883:KN891 KN894:KN898 KJ894:KJ916">
    <cfRule type="expression" dxfId="479" priority="1629">
      <formula>AND(LEN(TRIM($KI772))&gt;0,LEN(TRIM(KJ772))=0)</formula>
    </cfRule>
  </conditionalFormatting>
  <conditionalFormatting sqref="KJ881:KJ882 KN881:KN882 KJ892:KJ893 KN892:KN893">
    <cfRule type="expression" dxfId="478" priority="2067">
      <formula>AND(LEN(TRIM($KI882))&gt;0,LEN(TRIM(KJ881))=0)</formula>
    </cfRule>
  </conditionalFormatting>
  <conditionalFormatting sqref="KJ918:KJ922 KJ924:KJ931 KJ933:KJ938 KJ940:KJ945 KJ947:KJ952 KJ954:KJ959 KJ961:KJ966 KJ968:KJ973 KJ975:KJ980 KJ982:KJ984">
    <cfRule type="expression" dxfId="477" priority="278">
      <formula>AND(LEN(TRIM($KI918))&gt;0,LEN(TRIM(KJ918))=0)</formula>
    </cfRule>
  </conditionalFormatting>
  <conditionalFormatting sqref="KK311:KK370 KK594:KK656">
    <cfRule type="expression" dxfId="476"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475" priority="1762">
      <formula>COUNTIF(KM:KM,KK772)&gt;1</formula>
    </cfRule>
  </conditionalFormatting>
  <conditionalFormatting sqref="KK881:KK882 KM881:KM882 KK892:KK893 KM892:KM893">
    <cfRule type="expression" dxfId="474" priority="2071">
      <formula>AND(LEN(TRIM($KI882))&gt;0,LEN(TRIM(KK881))=0,$KJ881&lt;&gt;"Hand Hoe",LEFT($KJ881,3)&lt;&gt;"No ")</formula>
    </cfRule>
  </conditionalFormatting>
  <conditionalFormatting sqref="KK682:KM723">
    <cfRule type="expression" dxfId="473"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472"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471" priority="279">
      <formula>AND(LEN(TRIM($KI918))&gt;0,LEN(TRIM(KK918))=0,$KJ918&lt;&gt;"Hand Hoe",LEFT($KJ918,3)&lt;&gt;"No ")</formula>
    </cfRule>
  </conditionalFormatting>
  <conditionalFormatting sqref="KM724:KM771">
    <cfRule type="expression" dxfId="470" priority="1075">
      <formula>AND(LEN(TRIM($KL724))&gt;0,LEN(TRIM(KM724))=0)</formula>
    </cfRule>
  </conditionalFormatting>
  <conditionalFormatting sqref="KN724:KP771">
    <cfRule type="expression" dxfId="469" priority="1076">
      <formula>AND(LEN(TRIM($KL724))&gt;0,LEN(TRIM(KN724))=0,$KM724&lt;&gt;"Hand Hoe",LEFT($KM724,3)&lt;&gt;"No ")</formula>
    </cfRule>
  </conditionalFormatting>
  <conditionalFormatting sqref="KO594:KO656">
    <cfRule type="expression" dxfId="468" priority="1502">
      <formula>COUNTIF(KJ:KJ,KO594)&gt;1</formula>
    </cfRule>
  </conditionalFormatting>
  <conditionalFormatting sqref="KO882 KQ882">
    <cfRule type="expression" dxfId="467" priority="766">
      <formula>AND(LEN(TRIM(#REF!))&gt;0,LEN(TRIM(KO882))=0,#REF!&lt;&gt;"Hand Hoe",LEFT(#REF!,3)&lt;&gt;"No ")</formula>
    </cfRule>
  </conditionalFormatting>
  <conditionalFormatting sqref="KO893 KQ893">
    <cfRule type="expression" dxfId="466" priority="528">
      <formula>AND(LEN(TRIM(#REF!))&gt;0,LEN(TRIM(KO893))=0,#REF!&lt;&gt;"Hand Hoe",LEFT(#REF!,3)&lt;&gt;"No ")</formula>
    </cfRule>
  </conditionalFormatting>
  <conditionalFormatting sqref="KO682:KQ723">
    <cfRule type="expression" dxfId="465"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464"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463" priority="1693">
      <formula>AND(LEN(TRIM($KN772))&gt;0,LEN(TRIM(KO772))=0,$KN772&lt;&gt;"Hand Hoe",LEFT($KN772,3)&lt;&gt;"No ")</formula>
    </cfRule>
  </conditionalFormatting>
  <conditionalFormatting sqref="KQ779 KQ791 KQ803 KQ815 KQ827 KQ839 KQ851">
    <cfRule type="expression" dxfId="462" priority="9">
      <formula>AND(LEN(TRIM($KR779))&gt;0,LEN(TRIM(KQ779))=0,$KR779&lt;&gt;"Hand Hoe",LEFT($KR779,3)&lt;&gt;"No ")</formula>
    </cfRule>
  </conditionalFormatting>
  <conditionalFormatting sqref="KR724:KT771">
    <cfRule type="expression" dxfId="461" priority="1077">
      <formula>AND(LEN(TRIM($KQ724))&gt;0,LEN(TRIM(KR724))=0,$KQ724&lt;&gt;"Hand Hoe",LEFT($KQ724,3)&lt;&gt;"No ")</formula>
    </cfRule>
  </conditionalFormatting>
  <conditionalFormatting sqref="KS683:KU687 KS689:KU693 KS695:KU699 KS701:KU705 KS707:KU711 KS713:KU717 KS719:KU723">
    <cfRule type="expression" dxfId="460"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459"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458" priority="281">
      <formula>AND(LEN(TRIM($KR918))&gt;0,LEN(TRIM(KS918))=0,$KR918&lt;&gt;"Hand Hoe",LEFT($KR918,3)&lt;&gt;"No ")</formula>
    </cfRule>
  </conditionalFormatting>
  <conditionalFormatting sqref="KV682 KV688 KV694 KV706 KV712 KV718">
    <cfRule type="expression" dxfId="457" priority="1603">
      <formula>AND(LEN(TRIM($KS683))&gt;0,LEN(TRIM(KV682))=0,$KS683&lt;&gt;"Hand Hoe",LEFT($KS683,3)&lt;&gt;"No ")</formula>
    </cfRule>
  </conditionalFormatting>
  <conditionalFormatting sqref="KV683">
    <cfRule type="expression" dxfId="456" priority="1194">
      <formula>AND(LEN(TRIM(#REF!))&gt;0,LEN(TRIM(KV683))=0,#REF!&lt;&gt;"Hand Hoe",LEFT(#REF!,3)&lt;&gt;"No ")</formula>
    </cfRule>
  </conditionalFormatting>
  <conditionalFormatting sqref="KV684:KV687 KV690:KV693 KV696:KV705 KV708:KV711 KV714:KV717 KV720:KV723">
    <cfRule type="expression" dxfId="455" priority="1578">
      <formula>AND(LEN(TRIM($KS684))&gt;0,LEN(TRIM(KV684))=0,$KS684&lt;&gt;"Hand Hoe",LEFT($KS684,3)&lt;&gt;"No ")</formula>
    </cfRule>
  </conditionalFormatting>
  <conditionalFormatting sqref="KV689">
    <cfRule type="expression" dxfId="454" priority="1178">
      <formula>AND(LEN(TRIM(#REF!))&gt;0,LEN(TRIM(KV689))=0,#REF!&lt;&gt;"Hand Hoe",LEFT(#REF!,3)&lt;&gt;"No ")</formula>
    </cfRule>
  </conditionalFormatting>
  <conditionalFormatting sqref="KV695">
    <cfRule type="expression" dxfId="453" priority="1318">
      <formula>AND(LEN(TRIM(#REF!))&gt;0,LEN(TRIM(KV695))=0,#REF!&lt;&gt;"Hand Hoe",LEFT(#REF!,3)&lt;&gt;"No ")</formula>
    </cfRule>
  </conditionalFormatting>
  <conditionalFormatting sqref="KV707">
    <cfRule type="expression" dxfId="452" priority="1154">
      <formula>AND(LEN(TRIM(#REF!))&gt;0,LEN(TRIM(KV707))=0,#REF!&lt;&gt;"Hand Hoe",LEFT(#REF!,3)&lt;&gt;"No ")</formula>
    </cfRule>
  </conditionalFormatting>
  <conditionalFormatting sqref="KV713">
    <cfRule type="expression" dxfId="451" priority="1131">
      <formula>AND(LEN(TRIM(#REF!))&gt;0,LEN(TRIM(KV713))=0,#REF!&lt;&gt;"Hand Hoe",LEFT(#REF!,3)&lt;&gt;"No ")</formula>
    </cfRule>
  </conditionalFormatting>
  <conditionalFormatting sqref="KV719">
    <cfRule type="expression" dxfId="450" priority="1105">
      <formula>AND(LEN(TRIM(#REF!))&gt;0,LEN(TRIM(KV719))=0,#REF!&lt;&gt;"Hand Hoe",LEFT(#REF!,3)&lt;&gt;"No ")</formula>
    </cfRule>
  </conditionalFormatting>
  <conditionalFormatting sqref="KV724:KX771">
    <cfRule type="expression" dxfId="449" priority="1078">
      <formula>AND(LEN(TRIM($KU724))&gt;0,LEN(TRIM(KV724))=0,$KU724&lt;&gt;"Hand Hoe",LEFT($KU724,3)&lt;&gt;"No ")</formula>
    </cfRule>
  </conditionalFormatting>
  <conditionalFormatting sqref="LD772:LN876 LD877:LG887 LI877:LI887 NT877:NT887 LK877:LN898 LD888:LI898 LD899:LN916">
    <cfRule type="expression" dxfId="448" priority="1728">
      <formula>AND(LEN(TRIM($KW772))&gt;0,LEN(TRIM(LD772))=0,$KW772&lt;&gt;"No mulch applied")</formula>
    </cfRule>
  </conditionalFormatting>
  <conditionalFormatting sqref="LF682:LO723">
    <cfRule type="expression" dxfId="447"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446" priority="282">
      <formula>AND(LEN(TRIM($KW917))&gt;0,LEN(TRIM(LB917))=0,$KW917&lt;&gt;"No mulch applied")</formula>
    </cfRule>
  </conditionalFormatting>
  <conditionalFormatting sqref="LI724:LQ771">
    <cfRule type="expression" dxfId="445" priority="1079">
      <formula>AND(LEN(TRIM($KZ724))&gt;0,LEN(TRIM(LI724))=0,$KZ724&lt;&gt;"No mulch applied")</formula>
    </cfRule>
  </conditionalFormatting>
  <conditionalFormatting sqref="LP772:LS916">
    <cfRule type="expression" dxfId="444" priority="1731">
      <formula>AND(LEN(TRIM($LO772))&gt;0,LEN(TRIM(LP772))=0)</formula>
    </cfRule>
  </conditionalFormatting>
  <conditionalFormatting sqref="LP918:LS922 LP924:LS931 LP933:LS938 LP940:LS945 LP947:LS952 LP954:LS959 LP961:LS966 LP968:LS973 LP975:LS980 LP982:LS984">
    <cfRule type="expression" dxfId="443" priority="283">
      <formula>AND(LEN(TRIM($LO918))&gt;0,LEN(TRIM(LP918))=0)</formula>
    </cfRule>
  </conditionalFormatting>
  <conditionalFormatting sqref="LQ682:LT723">
    <cfRule type="expression" dxfId="442" priority="1582">
      <formula>AND(LEN(TRIM($LP682))&gt;0,LEN(TRIM(LQ682))=0)</formula>
    </cfRule>
  </conditionalFormatting>
  <conditionalFormatting sqref="LS724:LW771">
    <cfRule type="expression" dxfId="441" priority="1080">
      <formula>AND(LEN(TRIM($LR724))&gt;0,LEN(TRIM(LS724))=0)</formula>
    </cfRule>
  </conditionalFormatting>
  <conditionalFormatting sqref="LU772:MA916">
    <cfRule type="expression" dxfId="440" priority="1734">
      <formula>AND(LEN(TRIM($LT772))&gt;0,LEN(TRIM(LU772))=0)</formula>
    </cfRule>
  </conditionalFormatting>
  <conditionalFormatting sqref="LU918:MA922 LU924:MA931 LU933:MA938 LU940:MA945 LU947:MA952 LU954:MA959 LU961:MA966 LU968:MA973 LU975:MA980 LU982:MA984">
    <cfRule type="expression" dxfId="439" priority="284">
      <formula>AND(LEN(TRIM($LT918))&gt;0,LEN(TRIM(LU918))=0)</formula>
    </cfRule>
  </conditionalFormatting>
  <conditionalFormatting sqref="LW682:MB723">
    <cfRule type="expression" dxfId="438" priority="1583">
      <formula>AND(LEN(TRIM($LU682))&gt;0,LEN(TRIM(LW682))=0)</formula>
    </cfRule>
  </conditionalFormatting>
  <conditionalFormatting sqref="LY724:MD771">
    <cfRule type="expression" dxfId="437" priority="1081">
      <formula>AND(LEN(TRIM($LX724))&gt;0,LEN(TRIM(LY724))=0)</formula>
    </cfRule>
  </conditionalFormatting>
  <conditionalFormatting sqref="MC772:MC916">
    <cfRule type="expression" dxfId="436" priority="1735">
      <formula>AND(LEN(TRIM($MB772))&gt;0,LEN(TRIM(MC772))=0)</formula>
    </cfRule>
  </conditionalFormatting>
  <conditionalFormatting sqref="MC918:MC922 MC924:MC931 MC933:MC938 MC940:MC945 MC947:MC952 MC954:MC959 MC961:MC966 MC968:MC973 MC975:MC980 MC982:MC984">
    <cfRule type="expression" dxfId="435" priority="285">
      <formula>AND(LEN(TRIM($MB918))&gt;0,LEN(TRIM(MC918))=0)</formula>
    </cfRule>
  </conditionalFormatting>
  <conditionalFormatting sqref="MD682:MD723">
    <cfRule type="expression" dxfId="434" priority="1584">
      <formula>AND(LEN(TRIM($MC682))&gt;0,LEN(TRIM(MD682))=0)</formula>
    </cfRule>
  </conditionalFormatting>
  <conditionalFormatting sqref="MF724:MF771">
    <cfRule type="expression" dxfId="433" priority="1082">
      <formula>AND(LEN(TRIM($ME724))&gt;0,LEN(TRIM(MF724))=0)</formula>
    </cfRule>
  </conditionalFormatting>
  <conditionalFormatting sqref="MH772:MK916">
    <cfRule type="expression" dxfId="432" priority="1738">
      <formula>AND(LEN(TRIM($MG772))&gt;0,LEN(TRIM(MH772))=0)</formula>
    </cfRule>
  </conditionalFormatting>
  <conditionalFormatting sqref="MH918:MK922 MH924:MK931 MH933:MK938 MH940:MK945 MH947:MK952 MH954:MK959 MH961:MK966 MH968:MK973 MH975:MK980 MH982:MK984">
    <cfRule type="expression" dxfId="431" priority="286">
      <formula>AND(LEN(TRIM($MG918))&gt;0,LEN(TRIM(MH918))=0)</formula>
    </cfRule>
  </conditionalFormatting>
  <conditionalFormatting sqref="MI682:ML723">
    <cfRule type="expression" dxfId="430" priority="1585">
      <formula>AND(LEN(TRIM($MH682))&gt;0,LEN(TRIM(MI682))=0)</formula>
    </cfRule>
  </conditionalFormatting>
  <conditionalFormatting sqref="MK724:MN771">
    <cfRule type="expression" dxfId="429" priority="1083">
      <formula>AND(LEN(TRIM($MJ724))&gt;0,LEN(TRIM(MK724))=0)</formula>
    </cfRule>
  </conditionalFormatting>
  <conditionalFormatting sqref="MM772:MM916 MQ772:MS916">
    <cfRule type="expression" dxfId="428"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427" priority="287">
      <formula>AND(LEN(TRIM($ML918))&gt;0,LEN(TRIM(MM918))=0)</formula>
    </cfRule>
  </conditionalFormatting>
  <conditionalFormatting sqref="MP724:MP771 MT724:MV771">
    <cfRule type="expression" dxfId="426" priority="1084">
      <formula>AND(LEN(TRIM($MO724))&gt;0,LEN(TRIM(MP724))=0)</formula>
    </cfRule>
  </conditionalFormatting>
  <conditionalFormatting sqref="MU434">
    <cfRule type="expression" dxfId="425" priority="147">
      <formula>AND(LEN(TRIM($MT434))&gt;0,LEN(TRIM(MU434))=0)</formula>
    </cfRule>
  </conditionalFormatting>
  <conditionalFormatting sqref="MU439">
    <cfRule type="expression" dxfId="424" priority="144">
      <formula>AND(LEN(TRIM($MT439))&gt;0,LEN(TRIM(MU439))=0)</formula>
    </cfRule>
  </conditionalFormatting>
  <conditionalFormatting sqref="MU444">
    <cfRule type="expression" dxfId="423" priority="141">
      <formula>AND(LEN(TRIM($MT444))&gt;0,LEN(TRIM(MU444))=0)</formula>
    </cfRule>
  </conditionalFormatting>
  <conditionalFormatting sqref="MU449">
    <cfRule type="expression" dxfId="422" priority="138">
      <formula>AND(LEN(TRIM($MT449))&gt;0,LEN(TRIM(MU449))=0)</formula>
    </cfRule>
  </conditionalFormatting>
  <conditionalFormatting sqref="MU454">
    <cfRule type="expression" dxfId="421" priority="135">
      <formula>AND(LEN(TRIM($MT454))&gt;0,LEN(TRIM(MU454))=0)</formula>
    </cfRule>
  </conditionalFormatting>
  <conditionalFormatting sqref="MU459">
    <cfRule type="expression" dxfId="420" priority="132">
      <formula>AND(LEN(TRIM($MT459))&gt;0,LEN(TRIM(MU459))=0)</formula>
    </cfRule>
  </conditionalFormatting>
  <conditionalFormatting sqref="MU464">
    <cfRule type="expression" dxfId="419" priority="129">
      <formula>AND(LEN(TRIM($MT464))&gt;0,LEN(TRIM(MU464))=0)</formula>
    </cfRule>
  </conditionalFormatting>
  <conditionalFormatting sqref="MU469">
    <cfRule type="expression" dxfId="418" priority="126">
      <formula>AND(LEN(TRIM($MT469))&gt;0,LEN(TRIM(MU469))=0)</formula>
    </cfRule>
  </conditionalFormatting>
  <conditionalFormatting sqref="MU474">
    <cfRule type="expression" dxfId="417" priority="123">
      <formula>AND(LEN(TRIM($MT474))&gt;0,LEN(TRIM(MU474))=0)</formula>
    </cfRule>
  </conditionalFormatting>
  <conditionalFormatting sqref="MU479">
    <cfRule type="expression" dxfId="416" priority="120">
      <formula>AND(LEN(TRIM($MT479))&gt;0,LEN(TRIM(MU479))=0)</formula>
    </cfRule>
  </conditionalFormatting>
  <conditionalFormatting sqref="MU484">
    <cfRule type="expression" dxfId="415" priority="117">
      <formula>AND(LEN(TRIM($MT484))&gt;0,LEN(TRIM(MU484))=0)</formula>
    </cfRule>
  </conditionalFormatting>
  <conditionalFormatting sqref="MU489">
    <cfRule type="expression" dxfId="414" priority="114">
      <formula>AND(LEN(TRIM($MT489))&gt;0,LEN(TRIM(MU489))=0)</formula>
    </cfRule>
  </conditionalFormatting>
  <conditionalFormatting sqref="MU494">
    <cfRule type="expression" dxfId="413" priority="111">
      <formula>AND(LEN(TRIM($MT494))&gt;0,LEN(TRIM(MU494))=0)</formula>
    </cfRule>
  </conditionalFormatting>
  <conditionalFormatting sqref="MU499">
    <cfRule type="expression" dxfId="412" priority="108">
      <formula>AND(LEN(TRIM($MT499))&gt;0,LEN(TRIM(MU499))=0)</formula>
    </cfRule>
  </conditionalFormatting>
  <conditionalFormatting sqref="MU504">
    <cfRule type="expression" dxfId="411" priority="105">
      <formula>AND(LEN(TRIM($MT504))&gt;0,LEN(TRIM(MU504))=0)</formula>
    </cfRule>
  </conditionalFormatting>
  <conditionalFormatting sqref="MU509">
    <cfRule type="expression" dxfId="410" priority="102">
      <formula>AND(LEN(TRIM($MT509))&gt;0,LEN(TRIM(MU509))=0)</formula>
    </cfRule>
  </conditionalFormatting>
  <conditionalFormatting sqref="MU514">
    <cfRule type="expression" dxfId="409" priority="99">
      <formula>AND(LEN(TRIM($MT514))&gt;0,LEN(TRIM(MU514))=0)</formula>
    </cfRule>
  </conditionalFormatting>
  <conditionalFormatting sqref="MU523">
    <cfRule type="expression" dxfId="408" priority="92">
      <formula>AND(LEN(TRIM($IV523))&gt;0,LEN(TRIM(MU523))=0)</formula>
    </cfRule>
  </conditionalFormatting>
  <conditionalFormatting sqref="MU525">
    <cfRule type="expression" dxfId="407" priority="91">
      <formula>AND(LEN(TRIM($IV525))&gt;0,LEN(TRIM(MU525))=0)</formula>
    </cfRule>
  </conditionalFormatting>
  <conditionalFormatting sqref="MU527">
    <cfRule type="expression" dxfId="406" priority="90">
      <formula>AND(LEN(TRIM($IV527))&gt;0,LEN(TRIM(MU527))=0)</formula>
    </cfRule>
  </conditionalFormatting>
  <conditionalFormatting sqref="MU529">
    <cfRule type="expression" dxfId="405" priority="89">
      <formula>AND(LEN(TRIM($IV529))&gt;0,LEN(TRIM(MU529))=0)</formula>
    </cfRule>
  </conditionalFormatting>
  <conditionalFormatting sqref="MU657">
    <cfRule type="expression" dxfId="404" priority="50">
      <formula>AND(LEN(TRIM($MT657))&gt;0,LEN(TRIM(MU657))=0)</formula>
    </cfRule>
  </conditionalFormatting>
  <conditionalFormatting sqref="MU661:MU662">
    <cfRule type="expression" dxfId="403" priority="45">
      <formula>AND(LEN(TRIM($MT661))&gt;0,LEN(TRIM(MU661))=0)</formula>
    </cfRule>
  </conditionalFormatting>
  <conditionalFormatting sqref="MU666:MU667">
    <cfRule type="expression" dxfId="402" priority="40">
      <formula>AND(LEN(TRIM($MT666))&gt;0,LEN(TRIM(MU666))=0)</formula>
    </cfRule>
  </conditionalFormatting>
  <conditionalFormatting sqref="MU671:MU672">
    <cfRule type="expression" dxfId="401" priority="30">
      <formula>AND(LEN(TRIM($MT671))&gt;0,LEN(TRIM(MU671))=0)</formula>
    </cfRule>
  </conditionalFormatting>
  <conditionalFormatting sqref="MU676:MU677">
    <cfRule type="expression" dxfId="400" priority="25">
      <formula>AND(LEN(TRIM($MT676))&gt;0,LEN(TRIM(MU676))=0)</formula>
    </cfRule>
  </conditionalFormatting>
  <conditionalFormatting sqref="MU681">
    <cfRule type="expression" dxfId="399" priority="24">
      <formula>AND(LEN(TRIM($MT681))&gt;0,LEN(TRIM(MU681))=0)</formula>
    </cfRule>
  </conditionalFormatting>
  <conditionalFormatting sqref="MU772:MX916">
    <cfRule type="expression" dxfId="398" priority="1747">
      <formula>AND(LEN(TRIM($MT772))&gt;0,LEN(TRIM(MU772))=0)</formula>
    </cfRule>
  </conditionalFormatting>
  <conditionalFormatting sqref="MU918:MX922 MU924:MX931 MU933:MX938 MU940:MX945 MU947:MX952 MU954:MX959 MU961:MX966 MU968:MX973 MU975:MX980 MU982:MX984">
    <cfRule type="expression" dxfId="397" priority="288">
      <formula>AND(LEN(TRIM($MT918))&gt;0,LEN(TRIM(MU918))=0)</formula>
    </cfRule>
  </conditionalFormatting>
  <conditionalFormatting sqref="MW434">
    <cfRule type="expression" dxfId="396" priority="145">
      <formula>AND(LEN(TRIM($MT434))&gt;0,LEN(TRIM(MW434))=0)</formula>
    </cfRule>
  </conditionalFormatting>
  <conditionalFormatting sqref="MW439">
    <cfRule type="expression" dxfId="395" priority="142">
      <formula>AND(LEN(TRIM($MT439))&gt;0,LEN(TRIM(MW439))=0)</formula>
    </cfRule>
  </conditionalFormatting>
  <conditionalFormatting sqref="MW444">
    <cfRule type="expression" dxfId="394" priority="139">
      <formula>AND(LEN(TRIM($MT444))&gt;0,LEN(TRIM(MW444))=0)</formula>
    </cfRule>
  </conditionalFormatting>
  <conditionalFormatting sqref="MW449">
    <cfRule type="expression" dxfId="393" priority="136">
      <formula>AND(LEN(TRIM($MT449))&gt;0,LEN(TRIM(MW449))=0)</formula>
    </cfRule>
  </conditionalFormatting>
  <conditionalFormatting sqref="MW454">
    <cfRule type="expression" dxfId="392" priority="133">
      <formula>AND(LEN(TRIM($MT454))&gt;0,LEN(TRIM(MW454))=0)</formula>
    </cfRule>
  </conditionalFormatting>
  <conditionalFormatting sqref="MW459">
    <cfRule type="expression" dxfId="391" priority="130">
      <formula>AND(LEN(TRIM($MT459))&gt;0,LEN(TRIM(MW459))=0)</formula>
    </cfRule>
  </conditionalFormatting>
  <conditionalFormatting sqref="MW464">
    <cfRule type="expression" dxfId="390" priority="127">
      <formula>AND(LEN(TRIM($MT464))&gt;0,LEN(TRIM(MW464))=0)</formula>
    </cfRule>
  </conditionalFormatting>
  <conditionalFormatting sqref="MW469">
    <cfRule type="expression" dxfId="389" priority="124">
      <formula>AND(LEN(TRIM($MT469))&gt;0,LEN(TRIM(MW469))=0)</formula>
    </cfRule>
  </conditionalFormatting>
  <conditionalFormatting sqref="MW474">
    <cfRule type="expression" dxfId="388" priority="121">
      <formula>AND(LEN(TRIM($MT474))&gt;0,LEN(TRIM(MW474))=0)</formula>
    </cfRule>
  </conditionalFormatting>
  <conditionalFormatting sqref="MW479">
    <cfRule type="expression" dxfId="387" priority="118">
      <formula>AND(LEN(TRIM($MT479))&gt;0,LEN(TRIM(MW479))=0)</formula>
    </cfRule>
  </conditionalFormatting>
  <conditionalFormatting sqref="MW484">
    <cfRule type="expression" dxfId="386" priority="115">
      <formula>AND(LEN(TRIM($MT484))&gt;0,LEN(TRIM(MW484))=0)</formula>
    </cfRule>
  </conditionalFormatting>
  <conditionalFormatting sqref="MW489">
    <cfRule type="expression" dxfId="385" priority="112">
      <formula>AND(LEN(TRIM($MT489))&gt;0,LEN(TRIM(MW489))=0)</formula>
    </cfRule>
  </conditionalFormatting>
  <conditionalFormatting sqref="MW494">
    <cfRule type="expression" dxfId="384" priority="109">
      <formula>AND(LEN(TRIM($MT494))&gt;0,LEN(TRIM(MW494))=0)</formula>
    </cfRule>
  </conditionalFormatting>
  <conditionalFormatting sqref="MW499">
    <cfRule type="expression" dxfId="383" priority="106">
      <formula>AND(LEN(TRIM($MT499))&gt;0,LEN(TRIM(MW499))=0)</formula>
    </cfRule>
  </conditionalFormatting>
  <conditionalFormatting sqref="MW504">
    <cfRule type="expression" dxfId="382" priority="103">
      <formula>AND(LEN(TRIM($MT504))&gt;0,LEN(TRIM(MW504))=0)</formula>
    </cfRule>
  </conditionalFormatting>
  <conditionalFormatting sqref="MW509">
    <cfRule type="expression" dxfId="381" priority="100">
      <formula>AND(LEN(TRIM($MT509))&gt;0,LEN(TRIM(MW509))=0)</formula>
    </cfRule>
  </conditionalFormatting>
  <conditionalFormatting sqref="MW514">
    <cfRule type="expression" dxfId="380" priority="97">
      <formula>AND(LEN(TRIM($MT514))&gt;0,LEN(TRIM(MW514))=0)</formula>
    </cfRule>
  </conditionalFormatting>
  <conditionalFormatting sqref="MW523">
    <cfRule type="expression" dxfId="379" priority="88">
      <formula>AND(LEN(TRIM($MT523))&gt;0,LEN(TRIM(MW523))=0)</formula>
    </cfRule>
  </conditionalFormatting>
  <conditionalFormatting sqref="MW525">
    <cfRule type="expression" dxfId="378" priority="87">
      <formula>AND(LEN(TRIM($MT525))&gt;0,LEN(TRIM(MW525))=0)</formula>
    </cfRule>
  </conditionalFormatting>
  <conditionalFormatting sqref="MW527">
    <cfRule type="expression" dxfId="377" priority="86">
      <formula>AND(LEN(TRIM($MT527))&gt;0,LEN(TRIM(MW527))=0)</formula>
    </cfRule>
  </conditionalFormatting>
  <conditionalFormatting sqref="MW529">
    <cfRule type="expression" dxfId="376" priority="85">
      <formula>AND(LEN(TRIM($MT529))&gt;0,LEN(TRIM(MW529))=0)</formula>
    </cfRule>
  </conditionalFormatting>
  <conditionalFormatting sqref="MW657">
    <cfRule type="expression" dxfId="375" priority="48">
      <formula>AND(LEN(TRIM($MT657))&gt;0,LEN(TRIM(MW657))=0)</formula>
    </cfRule>
  </conditionalFormatting>
  <conditionalFormatting sqref="MW662">
    <cfRule type="expression" dxfId="374" priority="43">
      <formula>AND(LEN(TRIM($MT662))&gt;0,LEN(TRIM(MW662))=0)</formula>
    </cfRule>
  </conditionalFormatting>
  <conditionalFormatting sqref="MW667">
    <cfRule type="expression" dxfId="373" priority="38">
      <formula>AND(LEN(TRIM($MT667))&gt;0,LEN(TRIM(MW667))=0)</formula>
    </cfRule>
  </conditionalFormatting>
  <conditionalFormatting sqref="MW672">
    <cfRule type="expression" dxfId="372" priority="28">
      <formula>AND(LEN(TRIM($MT672))&gt;0,LEN(TRIM(MW672))=0)</formula>
    </cfRule>
  </conditionalFormatting>
  <conditionalFormatting sqref="MW677">
    <cfRule type="expression" dxfId="371" priority="23">
      <formula>AND(LEN(TRIM($MT677))&gt;0,LEN(TRIM(MW677))=0)</formula>
    </cfRule>
  </conditionalFormatting>
  <conditionalFormatting sqref="MX434">
    <cfRule type="expression" dxfId="370" priority="146">
      <formula>AND(LEN(TRIM($MT434))&gt;0,LEN(TRIM(MX434))=0)</formula>
    </cfRule>
  </conditionalFormatting>
  <conditionalFormatting sqref="MX439">
    <cfRule type="expression" dxfId="369" priority="143">
      <formula>AND(LEN(TRIM($MT439))&gt;0,LEN(TRIM(MX439))=0)</formula>
    </cfRule>
  </conditionalFormatting>
  <conditionalFormatting sqref="MX444">
    <cfRule type="expression" dxfId="368" priority="140">
      <formula>AND(LEN(TRIM($MT444))&gt;0,LEN(TRIM(MX444))=0)</formula>
    </cfRule>
  </conditionalFormatting>
  <conditionalFormatting sqref="MX449">
    <cfRule type="expression" dxfId="367" priority="137">
      <formula>AND(LEN(TRIM($MT449))&gt;0,LEN(TRIM(MX449))=0)</formula>
    </cfRule>
  </conditionalFormatting>
  <conditionalFormatting sqref="MX454">
    <cfRule type="expression" dxfId="366" priority="134">
      <formula>AND(LEN(TRIM($MT454))&gt;0,LEN(TRIM(MX454))=0)</formula>
    </cfRule>
  </conditionalFormatting>
  <conditionalFormatting sqref="MX459">
    <cfRule type="expression" dxfId="365" priority="131">
      <formula>AND(LEN(TRIM($MT459))&gt;0,LEN(TRIM(MX459))=0)</formula>
    </cfRule>
  </conditionalFormatting>
  <conditionalFormatting sqref="MX464">
    <cfRule type="expression" dxfId="364" priority="128">
      <formula>AND(LEN(TRIM($MT464))&gt;0,LEN(TRIM(MX464))=0)</formula>
    </cfRule>
  </conditionalFormatting>
  <conditionalFormatting sqref="MX469">
    <cfRule type="expression" dxfId="363" priority="125">
      <formula>AND(LEN(TRIM($MT469))&gt;0,LEN(TRIM(MX469))=0)</formula>
    </cfRule>
  </conditionalFormatting>
  <conditionalFormatting sqref="MX474">
    <cfRule type="expression" dxfId="362" priority="122">
      <formula>AND(LEN(TRIM($MT474))&gt;0,LEN(TRIM(MX474))=0)</formula>
    </cfRule>
  </conditionalFormatting>
  <conditionalFormatting sqref="MX479">
    <cfRule type="expression" dxfId="361" priority="119">
      <formula>AND(LEN(TRIM($MT479))&gt;0,LEN(TRIM(MX479))=0)</formula>
    </cfRule>
  </conditionalFormatting>
  <conditionalFormatting sqref="MX484">
    <cfRule type="expression" dxfId="360" priority="116">
      <formula>AND(LEN(TRIM($MT484))&gt;0,LEN(TRIM(MX484))=0)</formula>
    </cfRule>
  </conditionalFormatting>
  <conditionalFormatting sqref="MX489">
    <cfRule type="expression" dxfId="359" priority="113">
      <formula>AND(LEN(TRIM($MT489))&gt;0,LEN(TRIM(MX489))=0)</formula>
    </cfRule>
  </conditionalFormatting>
  <conditionalFormatting sqref="MX494">
    <cfRule type="expression" dxfId="358" priority="110">
      <formula>AND(LEN(TRIM($MT494))&gt;0,LEN(TRIM(MX494))=0)</formula>
    </cfRule>
  </conditionalFormatting>
  <conditionalFormatting sqref="MX499">
    <cfRule type="expression" dxfId="357" priority="107">
      <formula>AND(LEN(TRIM($MT499))&gt;0,LEN(TRIM(MX499))=0)</formula>
    </cfRule>
  </conditionalFormatting>
  <conditionalFormatting sqref="MX504">
    <cfRule type="expression" dxfId="356" priority="104">
      <formula>AND(LEN(TRIM($MT504))&gt;0,LEN(TRIM(MX504))=0)</formula>
    </cfRule>
  </conditionalFormatting>
  <conditionalFormatting sqref="MX509">
    <cfRule type="expression" dxfId="355" priority="101">
      <formula>AND(LEN(TRIM($MT509))&gt;0,LEN(TRIM(MX509))=0)</formula>
    </cfRule>
  </conditionalFormatting>
  <conditionalFormatting sqref="MX514">
    <cfRule type="expression" dxfId="354" priority="98">
      <formula>AND(LEN(TRIM($MT514))&gt;0,LEN(TRIM(MX514))=0)</formula>
    </cfRule>
  </conditionalFormatting>
  <conditionalFormatting sqref="MX657">
    <cfRule type="expression" dxfId="353" priority="47">
      <formula>AND(LEN(TRIM($MT657))&gt;0,LEN(TRIM(MX657))=0)</formula>
    </cfRule>
  </conditionalFormatting>
  <conditionalFormatting sqref="MX661:MX662">
    <cfRule type="expression" dxfId="352" priority="42">
      <formula>AND(LEN(TRIM($MT661))&gt;0,LEN(TRIM(MX661))=0)</formula>
    </cfRule>
  </conditionalFormatting>
  <conditionalFormatting sqref="MX666:MX667">
    <cfRule type="expression" dxfId="351" priority="37">
      <formula>AND(LEN(TRIM($MT666))&gt;0,LEN(TRIM(MX666))=0)</formula>
    </cfRule>
  </conditionalFormatting>
  <conditionalFormatting sqref="MX671:MX672">
    <cfRule type="expression" dxfId="350" priority="27">
      <formula>AND(LEN(TRIM($MT671))&gt;0,LEN(TRIM(MX671))=0)</formula>
    </cfRule>
  </conditionalFormatting>
  <conditionalFormatting sqref="MX676:MX677">
    <cfRule type="expression" dxfId="349" priority="22">
      <formula>AND(LEN(TRIM($MT676))&gt;0,LEN(TRIM(MX676))=0)</formula>
    </cfRule>
  </conditionalFormatting>
  <conditionalFormatting sqref="MX681">
    <cfRule type="expression" dxfId="348" priority="21">
      <formula>AND(LEN(TRIM($MT681))&gt;0,LEN(TRIM(MX681))=0)</formula>
    </cfRule>
  </conditionalFormatting>
  <conditionalFormatting sqref="MX724:MX771">
    <cfRule type="expression" dxfId="347" priority="1085">
      <formula>AND(LEN(TRIM($MW724))&gt;0,LEN(TRIM(MX724))=0)</formula>
    </cfRule>
  </conditionalFormatting>
  <conditionalFormatting sqref="NA682:NA693 MR682:MT699 MN682:MN723 MR700:MS705 NA700:NA723 MR706:MT723">
    <cfRule type="expression" dxfId="346" priority="1586">
      <formula>AND(LEN(TRIM($MM682))&gt;0,LEN(TRIM(MN682))=0)</formula>
    </cfRule>
  </conditionalFormatting>
  <conditionalFormatting sqref="NA682:NA723">
    <cfRule type="expression" dxfId="345" priority="1569">
      <formula>AND(LEN(TRIM($MY682))&gt;0,LEN(TRIM(NA682))=0)</formula>
    </cfRule>
  </conditionalFormatting>
  <conditionalFormatting sqref="NB682:NB723">
    <cfRule type="expression" dxfId="344" priority="1563">
      <formula>AND(LEN(TRIM($NA682))&gt;0,LEN(TRIM(NB682))=0)</formula>
    </cfRule>
  </conditionalFormatting>
  <conditionalFormatting sqref="NB724:NB771 NB856:NB861 NB862:NC862 NB863:NB868 NB869:NC869 NB870:NB875 NB876:NC876 NC887 NC898">
    <cfRule type="expression" dxfId="343"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342" priority="289">
      <formula>AND(LEN(TRIM($NA877))&gt;0,LEN(TRIM(NB877))=0)</formula>
    </cfRule>
  </conditionalFormatting>
  <conditionalFormatting sqref="NG770:NG771">
    <cfRule type="expression" dxfId="341" priority="62">
      <formula>AND(LEN(TRIM($NA770))&gt;0,LEN(TRIM(NG770))=0)</formula>
    </cfRule>
  </conditionalFormatting>
  <conditionalFormatting sqref="NJ434">
    <cfRule type="duplicateValues" dxfId="340" priority="1381"/>
  </conditionalFormatting>
  <conditionalFormatting sqref="NJ682:NJ704 NJ706:NJ723">
    <cfRule type="expression" dxfId="339" priority="1570">
      <formula>AND(LEN(TRIM($NE682))&gt;0,LEN(TRIM(NJ682))=0)</formula>
    </cfRule>
  </conditionalFormatting>
  <conditionalFormatting sqref="NJ705">
    <cfRule type="expression" dxfId="338" priority="1608">
      <formula>AND(LEN(TRIM($ND705))&gt;0,LEN(TRIM(NJ705))=0)</formula>
    </cfRule>
  </conditionalFormatting>
  <conditionalFormatting sqref="NK917:NL984">
    <cfRule type="expression" dxfId="337"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336" priority="1613">
      <formula>AND(LEN(TRIM($NJ724))&gt;0,LEN(TRIM(NA724))=0)</formula>
    </cfRule>
  </conditionalFormatting>
  <conditionalFormatting sqref="NL21:NL28">
    <cfRule type="duplicateValues" dxfId="335" priority="1467"/>
  </conditionalFormatting>
  <conditionalFormatting sqref="NL111:NL200">
    <cfRule type="duplicateValues" dxfId="334" priority="1474"/>
  </conditionalFormatting>
  <conditionalFormatting sqref="NL221:NL238">
    <cfRule type="duplicateValues" dxfId="333" priority="1494"/>
  </conditionalFormatting>
  <conditionalFormatting sqref="NL239:NL256">
    <cfRule type="duplicateValues" dxfId="332" priority="1495"/>
  </conditionalFormatting>
  <conditionalFormatting sqref="NL257:NL274">
    <cfRule type="duplicateValues" dxfId="331" priority="1464"/>
  </conditionalFormatting>
  <conditionalFormatting sqref="NL281:NL286">
    <cfRule type="duplicateValues" dxfId="330" priority="481"/>
  </conditionalFormatting>
  <conditionalFormatting sqref="NL293:NL298">
    <cfRule type="duplicateValues" dxfId="329" priority="479"/>
  </conditionalFormatting>
  <conditionalFormatting sqref="NL305:NL310">
    <cfRule type="duplicateValues" dxfId="328" priority="478"/>
  </conditionalFormatting>
  <conditionalFormatting sqref="NL311:NL334">
    <cfRule type="duplicateValues" dxfId="327" priority="476"/>
  </conditionalFormatting>
  <conditionalFormatting sqref="NL335:NL352">
    <cfRule type="duplicateValues" dxfId="326" priority="1497"/>
  </conditionalFormatting>
  <conditionalFormatting sqref="NL353:NL370">
    <cfRule type="duplicateValues" dxfId="325" priority="477"/>
  </conditionalFormatting>
  <conditionalFormatting sqref="NL371:NL373">
    <cfRule type="duplicateValues" dxfId="324" priority="1452"/>
  </conditionalFormatting>
  <conditionalFormatting sqref="NL374:NL375">
    <cfRule type="duplicateValues" dxfId="323" priority="1451"/>
  </conditionalFormatting>
  <conditionalFormatting sqref="NL376:NL377">
    <cfRule type="duplicateValues" dxfId="322" priority="1500"/>
  </conditionalFormatting>
  <conditionalFormatting sqref="NL378:NL379">
    <cfRule type="duplicateValues" dxfId="321" priority="1449"/>
  </conditionalFormatting>
  <conditionalFormatting sqref="NL380:NL388">
    <cfRule type="duplicateValues" dxfId="320" priority="1427"/>
  </conditionalFormatting>
  <conditionalFormatting sqref="NL389:NL397">
    <cfRule type="duplicateValues" dxfId="319" priority="1419"/>
  </conditionalFormatting>
  <conditionalFormatting sqref="NL398:NL406">
    <cfRule type="duplicateValues" dxfId="318" priority="1408"/>
  </conditionalFormatting>
  <conditionalFormatting sqref="NL416:NL424">
    <cfRule type="duplicateValues" dxfId="317" priority="1395"/>
  </conditionalFormatting>
  <conditionalFormatting sqref="NL425:NL433">
    <cfRule type="duplicateValues" dxfId="316" priority="1393"/>
  </conditionalFormatting>
  <conditionalFormatting sqref="NL434">
    <cfRule type="duplicateValues" dxfId="315" priority="1379"/>
  </conditionalFormatting>
  <conditionalFormatting sqref="NL519:NL522">
    <cfRule type="duplicateValues" dxfId="314" priority="1380"/>
  </conditionalFormatting>
  <conditionalFormatting sqref="NL594:NL607">
    <cfRule type="duplicateValues" dxfId="313" priority="768"/>
  </conditionalFormatting>
  <conditionalFormatting sqref="NL608:NL614">
    <cfRule type="duplicateValues" dxfId="312" priority="1351"/>
  </conditionalFormatting>
  <conditionalFormatting sqref="NL615:NL621">
    <cfRule type="duplicateValues" dxfId="311" priority="1528"/>
  </conditionalFormatting>
  <conditionalFormatting sqref="NL622:NL628">
    <cfRule type="duplicateValues" dxfId="310" priority="1518"/>
  </conditionalFormatting>
  <conditionalFormatting sqref="NL629:NL635">
    <cfRule type="duplicateValues" dxfId="309" priority="1346"/>
  </conditionalFormatting>
  <conditionalFormatting sqref="NL636:NL642">
    <cfRule type="duplicateValues" dxfId="308" priority="1532"/>
  </conditionalFormatting>
  <conditionalFormatting sqref="NL643:NL649">
    <cfRule type="duplicateValues" dxfId="307" priority="1326"/>
  </conditionalFormatting>
  <conditionalFormatting sqref="NL650:NL656">
    <cfRule type="duplicateValues" dxfId="306" priority="1320"/>
  </conditionalFormatting>
  <conditionalFormatting sqref="NL832:NL843 NL407:NL415">
    <cfRule type="duplicateValues" dxfId="305" priority="1402"/>
  </conditionalFormatting>
  <conditionalFormatting sqref="NL844:NL855">
    <cfRule type="duplicateValues" dxfId="304" priority="769"/>
  </conditionalFormatting>
  <conditionalFormatting sqref="NL863:NL869">
    <cfRule type="duplicateValues" dxfId="303" priority="604"/>
  </conditionalFormatting>
  <conditionalFormatting sqref="NL870:NL876">
    <cfRule type="duplicateValues" dxfId="302" priority="565"/>
  </conditionalFormatting>
  <conditionalFormatting sqref="NL877:NL887">
    <cfRule type="duplicateValues" dxfId="301" priority="761"/>
  </conditionalFormatting>
  <conditionalFormatting sqref="NL888:NL898">
    <cfRule type="duplicateValues" dxfId="300" priority="523"/>
  </conditionalFormatting>
  <conditionalFormatting sqref="NL682:NM711 NL712:NL723 NM718:NM723">
    <cfRule type="expression" dxfId="299" priority="1565">
      <formula>AND(LEN(TRIM($NJ682))&gt;0,LEN(TRIM(NL682))=0)</formula>
    </cfRule>
  </conditionalFormatting>
  <conditionalFormatting sqref="NM917:NM921 NM931">
    <cfRule type="expression" dxfId="298" priority="294">
      <formula>AND(LEN(TRIM(#REF!))&gt;0,LEN(TRIM(NM917))=0)</formula>
    </cfRule>
  </conditionalFormatting>
  <conditionalFormatting sqref="NM922">
    <cfRule type="expression" dxfId="297" priority="295">
      <formula>AND(LEN(TRIM($NJ936))&gt;0,LEN(TRIM(NM922))=0)</formula>
    </cfRule>
  </conditionalFormatting>
  <conditionalFormatting sqref="NM923:NM926">
    <cfRule type="expression" dxfId="296" priority="198">
      <formula>AND(LEN(TRIM($NJ939))&gt;0,LEN(TRIM(NM923))=0)</formula>
    </cfRule>
  </conditionalFormatting>
  <conditionalFormatting sqref="NM927">
    <cfRule type="expression" dxfId="295" priority="197">
      <formula>AND(LEN(TRIM($NJ942))&gt;0,LEN(TRIM(NM927))=0)</formula>
    </cfRule>
  </conditionalFormatting>
  <conditionalFormatting sqref="NM928 NM938 NM951">
    <cfRule type="expression" dxfId="294" priority="297">
      <formula>AND(LEN(TRIM(#REF!))&gt;0,LEN(TRIM(NM928))=0)</formula>
    </cfRule>
  </conditionalFormatting>
  <conditionalFormatting sqref="NM929:NM930 NM936:NM937">
    <cfRule type="expression" dxfId="293" priority="293">
      <formula>AND(LEN(TRIM($NJ948))&gt;0,LEN(TRIM(NM929))=0)</formula>
    </cfRule>
  </conditionalFormatting>
  <conditionalFormatting sqref="NM932:NM935 NM939:NM942">
    <cfRule type="expression" dxfId="292" priority="296">
      <formula>AND(LEN(TRIM($NJ950))&gt;0,LEN(TRIM(NM932))=0)</formula>
    </cfRule>
  </conditionalFormatting>
  <conditionalFormatting sqref="NM943:NM949">
    <cfRule type="expression" dxfId="291" priority="174">
      <formula>AND(LEN(TRIM($NJ962))&gt;0,LEN(TRIM(NM943))=0)</formula>
    </cfRule>
  </conditionalFormatting>
  <conditionalFormatting sqref="NM950">
    <cfRule type="expression" dxfId="290" priority="167">
      <formula>AND(LEN(TRIM($NJ970))&gt;0,LEN(TRIM(NM950))=0)</formula>
    </cfRule>
  </conditionalFormatting>
  <conditionalFormatting sqref="NM952:NM958">
    <cfRule type="expression" dxfId="289" priority="164">
      <formula>AND(LEN(TRIM($NJ971))&gt;0,LEN(TRIM(NM952))=0)</formula>
    </cfRule>
  </conditionalFormatting>
  <conditionalFormatting sqref="NM959">
    <cfRule type="expression" dxfId="288" priority="165">
      <formula>AND(LEN(TRIM(#REF!))&gt;0,LEN(TRIM(NM959))=0)</formula>
    </cfRule>
  </conditionalFormatting>
  <conditionalFormatting sqref="NM960:NM963">
    <cfRule type="expression" dxfId="287" priority="166">
      <formula>AND(LEN(TRIM($NJ978))&gt;0,LEN(TRIM(NM960))=0)</formula>
    </cfRule>
  </conditionalFormatting>
  <conditionalFormatting sqref="NM964:NM970">
    <cfRule type="expression" dxfId="286" priority="157">
      <formula>AND(LEN(TRIM($NJ983))&gt;0,LEN(TRIM(NM964))=0)</formula>
    </cfRule>
  </conditionalFormatting>
  <conditionalFormatting sqref="NM971:NM977">
    <cfRule type="expression" dxfId="285" priority="156">
      <formula>AND(LEN(TRIM($NJ991))&gt;0,LEN(TRIM(NM971))=0)</formula>
    </cfRule>
  </conditionalFormatting>
  <conditionalFormatting sqref="NM978:NM984">
    <cfRule type="expression" dxfId="284" priority="149">
      <formula>AND(LEN(TRIM($NJ999))&gt;0,LEN(TRIM(NM978))=0)</formula>
    </cfRule>
  </conditionalFormatting>
  <conditionalFormatting sqref="NO724:NO984">
    <cfRule type="expression" dxfId="283"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282" priority="1571">
      <formula>AND(LEN(TRIM($NR682))&gt;0,LEN(TRIM(NS682))=0)</formula>
    </cfRule>
  </conditionalFormatting>
  <conditionalFormatting sqref="NT856:NT862">
    <cfRule type="expression" dxfId="281" priority="483">
      <formula>AND(LEN(TRIM(#REF!))&gt;0,LEN(TRIM(NT856))=0)</formula>
    </cfRule>
  </conditionalFormatting>
  <conditionalFormatting sqref="NT877:NT880">
    <cfRule type="expression" dxfId="280" priority="485">
      <formula>AND(LEN(TRIM($IB877))&gt;0,LEN(TRIM(NT877))=0)</formula>
    </cfRule>
  </conditionalFormatting>
  <conditionalFormatting sqref="NT883:NT887">
    <cfRule type="expression" dxfId="279" priority="484">
      <formula>AND(LEN(TRIM($IB883))&gt;0,LEN(TRIM(NT883))=0)</formula>
    </cfRule>
  </conditionalFormatting>
  <conditionalFormatting sqref="NT917:NT929 BD917:BF984 NT931:NT936 NT938:NT943 NT945:NT950 NT952:NT957 NT959:NT964 NT966:NT971 NT973:NT978 NT980:NT984">
    <cfRule type="expression" dxfId="278" priority="217">
      <formula>AND(LEN(TRIM(#REF!))&gt;0,LEN(TRIM(BD917))=0)</formula>
    </cfRule>
  </conditionalFormatting>
  <conditionalFormatting sqref="NU917:NU929">
    <cfRule type="expression" dxfId="277"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dimension ref="A1:R255"/>
  <sheetViews>
    <sheetView topLeftCell="A7" zoomScale="88" zoomScaleNormal="88" workbookViewId="0">
      <pane ySplit="1" topLeftCell="A59" activePane="bottomLeft" state="frozen"/>
      <selection activeCell="A7" sqref="A7"/>
      <selection pane="bottomLeft" activeCell="G67" sqref="G67"/>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75" thickBot="1">
      <c r="A19" s="31" t="s">
        <v>1837</v>
      </c>
      <c r="B19" t="s">
        <v>47</v>
      </c>
      <c r="C19" t="s">
        <v>1785</v>
      </c>
      <c r="E19" t="s">
        <v>1838</v>
      </c>
      <c r="G19" t="s">
        <v>1839</v>
      </c>
      <c r="I19" t="s">
        <v>1840</v>
      </c>
      <c r="J19" t="s">
        <v>1841</v>
      </c>
      <c r="K19" t="s">
        <v>1842</v>
      </c>
    </row>
    <row r="20" spans="1:14" ht="15.7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75" thickBot="1">
      <c r="A23" s="26" t="s">
        <v>1853</v>
      </c>
      <c r="B23" s="95" t="s">
        <v>51</v>
      </c>
      <c r="C23" s="95" t="s">
        <v>1785</v>
      </c>
      <c r="D23" s="95"/>
      <c r="E23" s="95" t="s">
        <v>1854</v>
      </c>
      <c r="F23" s="96"/>
      <c r="G23" s="96" t="s">
        <v>1839</v>
      </c>
      <c r="H23" s="96"/>
      <c r="I23" s="96"/>
      <c r="J23" s="96"/>
      <c r="K23" s="96"/>
    </row>
    <row r="24" spans="1:14" ht="15.75" thickBot="1">
      <c r="A24" s="26" t="s">
        <v>1853</v>
      </c>
      <c r="B24" s="95" t="s">
        <v>52</v>
      </c>
      <c r="C24" s="95" t="s">
        <v>1843</v>
      </c>
      <c r="D24" s="95"/>
      <c r="E24" s="95" t="s">
        <v>1855</v>
      </c>
      <c r="F24" s="96"/>
      <c r="G24" s="96" t="s">
        <v>1856</v>
      </c>
      <c r="H24" s="96"/>
      <c r="I24" s="96"/>
      <c r="J24" s="96"/>
      <c r="K24" s="96"/>
    </row>
    <row r="25" spans="1:14" ht="15.75" thickBot="1">
      <c r="A25" s="26" t="s">
        <v>1853</v>
      </c>
      <c r="B25" s="95" t="s">
        <v>53</v>
      </c>
      <c r="C25" s="95" t="s">
        <v>1843</v>
      </c>
      <c r="D25" s="95"/>
      <c r="E25" s="95" t="s">
        <v>1857</v>
      </c>
      <c r="F25" s="96"/>
      <c r="G25" s="96" t="s">
        <v>1856</v>
      </c>
      <c r="H25" s="96"/>
      <c r="I25" s="96"/>
      <c r="J25" s="96"/>
      <c r="K25" s="96"/>
    </row>
    <row r="26" spans="1:14" ht="15.75" thickBot="1">
      <c r="A26" s="26" t="s">
        <v>1853</v>
      </c>
      <c r="B26" s="95" t="s">
        <v>54</v>
      </c>
      <c r="C26" s="95" t="s">
        <v>1785</v>
      </c>
      <c r="D26" s="95"/>
      <c r="E26" s="95" t="s">
        <v>1858</v>
      </c>
      <c r="F26" s="96"/>
      <c r="G26" s="96" t="s">
        <v>1839</v>
      </c>
      <c r="H26" s="96"/>
      <c r="I26" s="96"/>
      <c r="J26" s="96"/>
      <c r="K26" s="96"/>
    </row>
    <row r="27" spans="1:14" ht="15.75" thickBot="1">
      <c r="A27" s="18" t="s">
        <v>428</v>
      </c>
      <c r="B27" s="95" t="s">
        <v>55</v>
      </c>
      <c r="C27" s="95" t="s">
        <v>1792</v>
      </c>
      <c r="D27" s="95" t="s">
        <v>537</v>
      </c>
      <c r="E27" s="95" t="s">
        <v>1859</v>
      </c>
      <c r="F27" s="95"/>
      <c r="G27" s="95"/>
      <c r="H27" s="95"/>
      <c r="I27" s="95"/>
      <c r="J27" s="95"/>
      <c r="K27" s="95"/>
      <c r="L27" t="s">
        <v>1860</v>
      </c>
      <c r="M27" t="s">
        <v>1787</v>
      </c>
      <c r="N27" t="s">
        <v>1861</v>
      </c>
    </row>
    <row r="28" spans="1:14" ht="15.75" thickBot="1">
      <c r="A28" s="18" t="s">
        <v>428</v>
      </c>
      <c r="B28" s="95" t="s">
        <v>56</v>
      </c>
      <c r="C28" s="95" t="s">
        <v>1792</v>
      </c>
      <c r="D28" s="95"/>
      <c r="E28" s="98" t="s">
        <v>1862</v>
      </c>
      <c r="F28" s="95"/>
      <c r="G28" s="95"/>
      <c r="H28" s="95"/>
      <c r="I28" s="95"/>
      <c r="J28" s="95"/>
      <c r="K28" s="95"/>
    </row>
    <row r="29" spans="1:14" ht="15.75" thickBot="1">
      <c r="A29" s="18" t="s">
        <v>428</v>
      </c>
      <c r="B29" s="95" t="s">
        <v>57</v>
      </c>
      <c r="C29" s="95" t="s">
        <v>1792</v>
      </c>
      <c r="D29" s="95"/>
      <c r="E29" s="98" t="s">
        <v>1863</v>
      </c>
      <c r="F29" s="95"/>
      <c r="G29" s="95"/>
      <c r="H29" s="95"/>
      <c r="I29" s="95"/>
      <c r="J29" s="95"/>
      <c r="K29" s="95"/>
    </row>
    <row r="30" spans="1:14" ht="15.75" thickBot="1">
      <c r="A30" s="1" t="s">
        <v>430</v>
      </c>
      <c r="B30" s="95" t="s">
        <v>1864</v>
      </c>
      <c r="C30" s="95" t="s">
        <v>1792</v>
      </c>
      <c r="D30" s="95" t="s">
        <v>537</v>
      </c>
      <c r="E30" s="95" t="s">
        <v>1865</v>
      </c>
      <c r="F30" s="95"/>
      <c r="G30" s="95" t="s">
        <v>1866</v>
      </c>
      <c r="H30" s="95"/>
      <c r="I30" s="95"/>
      <c r="J30" s="95"/>
      <c r="K30" s="95"/>
      <c r="L30" s="99"/>
    </row>
    <row r="31" spans="1:14" ht="15.75" thickBot="1">
      <c r="A31" s="1" t="s">
        <v>430</v>
      </c>
      <c r="B31" s="95" t="s">
        <v>1867</v>
      </c>
      <c r="C31" s="95" t="s">
        <v>1792</v>
      </c>
      <c r="D31" s="95" t="s">
        <v>537</v>
      </c>
      <c r="E31" s="95" t="s">
        <v>1868</v>
      </c>
      <c r="F31" s="95"/>
      <c r="G31" s="95" t="s">
        <v>1869</v>
      </c>
      <c r="H31" s="95" t="s">
        <v>1870</v>
      </c>
      <c r="I31" s="95"/>
      <c r="J31" s="95"/>
      <c r="K31" s="95"/>
      <c r="L31" s="99"/>
    </row>
    <row r="32" spans="1:14" ht="15.75" thickBot="1">
      <c r="A32" s="1" t="s">
        <v>430</v>
      </c>
      <c r="B32" s="95" t="s">
        <v>1871</v>
      </c>
      <c r="C32" s="95" t="s">
        <v>1792</v>
      </c>
      <c r="D32" s="95" t="s">
        <v>1872</v>
      </c>
      <c r="E32" s="95" t="s">
        <v>1873</v>
      </c>
      <c r="F32" s="95"/>
      <c r="G32" s="95" t="s">
        <v>1874</v>
      </c>
      <c r="H32" s="95"/>
      <c r="I32" s="95"/>
      <c r="J32" s="95"/>
      <c r="K32" s="95"/>
      <c r="L32" s="99"/>
    </row>
    <row r="33" spans="1:15" ht="15.75" thickBot="1">
      <c r="A33" s="1" t="s">
        <v>430</v>
      </c>
      <c r="B33" s="95" t="s">
        <v>1875</v>
      </c>
      <c r="C33" s="95" t="s">
        <v>1843</v>
      </c>
      <c r="D33" s="95" t="s">
        <v>537</v>
      </c>
      <c r="E33" s="95" t="s">
        <v>1876</v>
      </c>
      <c r="F33" s="95"/>
      <c r="G33" s="95"/>
      <c r="H33" s="95" t="s">
        <v>1877</v>
      </c>
      <c r="I33" s="95"/>
      <c r="J33" s="95"/>
      <c r="K33" s="95"/>
    </row>
    <row r="34" spans="1:15" ht="15.75" thickBot="1">
      <c r="A34" s="1" t="s">
        <v>430</v>
      </c>
      <c r="B34" s="95" t="s">
        <v>1878</v>
      </c>
      <c r="C34" s="95" t="s">
        <v>1792</v>
      </c>
      <c r="D34" s="95"/>
      <c r="E34" s="95" t="s">
        <v>1879</v>
      </c>
      <c r="F34" s="95"/>
      <c r="G34" s="95" t="s">
        <v>1880</v>
      </c>
      <c r="H34" s="95"/>
      <c r="I34" s="95"/>
      <c r="J34" s="95"/>
      <c r="K34" s="95"/>
    </row>
    <row r="35" spans="1:15" ht="15.75" thickBot="1">
      <c r="A35" s="31" t="s">
        <v>1881</v>
      </c>
      <c r="B35" s="95" t="s">
        <v>1882</v>
      </c>
      <c r="C35" s="95" t="s">
        <v>1792</v>
      </c>
      <c r="D35" s="95"/>
      <c r="E35" s="95" t="s">
        <v>1883</v>
      </c>
      <c r="F35" s="95"/>
      <c r="G35" s="95" t="s">
        <v>1884</v>
      </c>
      <c r="H35" s="95" t="s">
        <v>1049</v>
      </c>
      <c r="I35" s="95" t="s">
        <v>1840</v>
      </c>
      <c r="J35" s="95" t="s">
        <v>1885</v>
      </c>
      <c r="K35" s="100" t="s">
        <v>1886</v>
      </c>
      <c r="L35" s="3"/>
    </row>
    <row r="36" spans="1:15" ht="15.75" thickBot="1">
      <c r="A36" s="31" t="s">
        <v>1881</v>
      </c>
      <c r="B36" s="95" t="s">
        <v>1887</v>
      </c>
      <c r="C36" s="95" t="s">
        <v>1792</v>
      </c>
      <c r="D36" s="95" t="s">
        <v>1872</v>
      </c>
      <c r="E36" s="95" t="s">
        <v>1873</v>
      </c>
      <c r="F36" s="95"/>
      <c r="G36" s="95" t="s">
        <v>1874</v>
      </c>
      <c r="H36" s="95"/>
      <c r="I36" s="95"/>
      <c r="J36" s="95"/>
      <c r="K36" s="95"/>
      <c r="L36" s="99"/>
    </row>
    <row r="37" spans="1:15" ht="15.75" thickBot="1">
      <c r="A37" s="31" t="s">
        <v>1881</v>
      </c>
      <c r="B37" s="95" t="s">
        <v>1888</v>
      </c>
      <c r="C37" s="95" t="s">
        <v>1843</v>
      </c>
      <c r="D37" s="95"/>
      <c r="E37" s="95" t="s">
        <v>1889</v>
      </c>
      <c r="F37" s="95"/>
      <c r="H37" s="95" t="s">
        <v>1877</v>
      </c>
      <c r="I37" s="95"/>
      <c r="J37" s="95"/>
      <c r="K37" s="95"/>
    </row>
    <row r="38" spans="1:15" ht="15.75" thickBot="1">
      <c r="A38" s="31" t="s">
        <v>1881</v>
      </c>
      <c r="B38" s="95" t="s">
        <v>1890</v>
      </c>
      <c r="C38" s="95" t="s">
        <v>1792</v>
      </c>
      <c r="D38" s="95"/>
      <c r="E38" s="95" t="s">
        <v>1891</v>
      </c>
      <c r="F38" s="95"/>
      <c r="G38" s="95" t="s">
        <v>1880</v>
      </c>
      <c r="H38" s="95"/>
      <c r="I38" s="95"/>
      <c r="J38" s="95"/>
      <c r="K38" s="96"/>
    </row>
    <row r="39" spans="1:15" ht="15.75" thickBot="1">
      <c r="A39" s="23" t="s">
        <v>1892</v>
      </c>
      <c r="B39" s="95" t="s">
        <v>1893</v>
      </c>
      <c r="C39" s="95" t="s">
        <v>1792</v>
      </c>
      <c r="D39" s="95"/>
      <c r="E39" s="95" t="s">
        <v>1894</v>
      </c>
      <c r="F39" s="95"/>
      <c r="G39" s="95" t="s">
        <v>1895</v>
      </c>
      <c r="H39" s="95"/>
      <c r="I39" s="95"/>
      <c r="J39" s="95"/>
      <c r="K39" s="3"/>
      <c r="L39" s="3" t="s">
        <v>1896</v>
      </c>
      <c r="M39" t="s">
        <v>1897</v>
      </c>
      <c r="N39" t="s">
        <v>1898</v>
      </c>
    </row>
    <row r="40" spans="1:15" ht="15.75" thickBot="1">
      <c r="A40" s="23" t="s">
        <v>1892</v>
      </c>
      <c r="B40" s="95" t="s">
        <v>1899</v>
      </c>
      <c r="C40" s="95" t="s">
        <v>1792</v>
      </c>
      <c r="D40" s="95"/>
      <c r="E40" s="95" t="s">
        <v>1900</v>
      </c>
      <c r="F40" s="95"/>
      <c r="G40" s="95" t="s">
        <v>1901</v>
      </c>
      <c r="H40" s="95"/>
      <c r="I40" s="95"/>
      <c r="J40" s="95"/>
      <c r="L40" s="3" t="s">
        <v>1902</v>
      </c>
      <c r="M40" t="s">
        <v>1903</v>
      </c>
      <c r="N40" t="s">
        <v>1904</v>
      </c>
    </row>
    <row r="41" spans="1:15" ht="15.7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7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75" thickBot="1">
      <c r="A43" s="23" t="s">
        <v>1892</v>
      </c>
      <c r="B43" s="95" t="s">
        <v>1916</v>
      </c>
      <c r="C43" s="95" t="s">
        <v>1792</v>
      </c>
      <c r="D43" s="95"/>
      <c r="E43" s="95" t="s">
        <v>1891</v>
      </c>
      <c r="F43" s="95"/>
      <c r="G43" s="95" t="s">
        <v>1880</v>
      </c>
      <c r="H43" s="95"/>
      <c r="I43" s="95"/>
      <c r="J43" s="95"/>
      <c r="K43" s="95"/>
    </row>
    <row r="44" spans="1:15" ht="15.75" thickBot="1">
      <c r="A44" s="26" t="s">
        <v>1917</v>
      </c>
      <c r="B44" s="95" t="s">
        <v>218</v>
      </c>
      <c r="C44" s="95" t="s">
        <v>1792</v>
      </c>
      <c r="D44" s="95"/>
      <c r="E44" s="95" t="s">
        <v>1918</v>
      </c>
      <c r="F44" s="95"/>
      <c r="G44" s="95" t="s">
        <v>1839</v>
      </c>
      <c r="H44" s="95" t="s">
        <v>1919</v>
      </c>
      <c r="I44" s="95" t="s">
        <v>1049</v>
      </c>
      <c r="J44" s="95" t="s">
        <v>1049</v>
      </c>
      <c r="K44" s="95" t="s">
        <v>1049</v>
      </c>
    </row>
    <row r="45" spans="1:15" ht="15.75" thickBot="1">
      <c r="A45" s="26" t="s">
        <v>1917</v>
      </c>
      <c r="B45" s="95" t="s">
        <v>219</v>
      </c>
      <c r="C45" s="95" t="s">
        <v>1792</v>
      </c>
      <c r="D45" s="95"/>
      <c r="E45" s="95" t="s">
        <v>1920</v>
      </c>
      <c r="F45" s="95"/>
      <c r="G45" s="19" t="s">
        <v>1921</v>
      </c>
      <c r="H45" s="95"/>
      <c r="I45" s="95" t="s">
        <v>1840</v>
      </c>
      <c r="J45" s="95"/>
      <c r="K45" s="95"/>
    </row>
    <row r="46" spans="1:15" ht="15.75" thickBot="1">
      <c r="A46" s="26" t="s">
        <v>1922</v>
      </c>
      <c r="B46" s="95" t="s">
        <v>220</v>
      </c>
      <c r="C46" s="95" t="s">
        <v>1792</v>
      </c>
      <c r="D46" s="95"/>
      <c r="E46" s="95" t="s">
        <v>1923</v>
      </c>
      <c r="F46" s="95"/>
      <c r="G46" s="95" t="s">
        <v>1924</v>
      </c>
      <c r="H46" s="95" t="s">
        <v>1925</v>
      </c>
      <c r="I46" s="95" t="s">
        <v>1840</v>
      </c>
      <c r="J46" s="95" t="s">
        <v>1926</v>
      </c>
      <c r="K46" s="95" t="s">
        <v>1927</v>
      </c>
    </row>
    <row r="47" spans="1:15" ht="15.75" thickBot="1">
      <c r="A47" s="26" t="s">
        <v>1922</v>
      </c>
      <c r="B47" s="95" t="s">
        <v>221</v>
      </c>
      <c r="C47" s="95" t="s">
        <v>1792</v>
      </c>
      <c r="D47" s="95"/>
      <c r="E47" s="95" t="s">
        <v>1928</v>
      </c>
      <c r="F47" s="95"/>
      <c r="G47" s="95" t="s">
        <v>1929</v>
      </c>
      <c r="H47" s="95" t="s">
        <v>1049</v>
      </c>
      <c r="I47" s="95" t="s">
        <v>1930</v>
      </c>
      <c r="J47" s="95"/>
      <c r="K47" s="95"/>
    </row>
    <row r="48" spans="1:15" ht="15.75" thickBot="1">
      <c r="A48" s="26" t="s">
        <v>1922</v>
      </c>
      <c r="B48" s="95" t="s">
        <v>222</v>
      </c>
      <c r="C48" s="95" t="s">
        <v>1931</v>
      </c>
      <c r="D48" s="95" t="s">
        <v>1932</v>
      </c>
      <c r="E48" s="95" t="s">
        <v>1933</v>
      </c>
      <c r="F48" s="95"/>
      <c r="G48" s="95" t="s">
        <v>1049</v>
      </c>
      <c r="H48" s="95" t="s">
        <v>1934</v>
      </c>
      <c r="I48" s="95" t="s">
        <v>1840</v>
      </c>
      <c r="J48" s="95" t="s">
        <v>1935</v>
      </c>
      <c r="K48" s="95" t="s">
        <v>1936</v>
      </c>
    </row>
    <row r="49" spans="1:11" ht="15.75" thickBot="1">
      <c r="A49" s="26" t="s">
        <v>1922</v>
      </c>
      <c r="B49" s="95" t="s">
        <v>223</v>
      </c>
      <c r="C49" s="95" t="s">
        <v>1792</v>
      </c>
      <c r="D49" s="95"/>
      <c r="E49" s="95" t="s">
        <v>1937</v>
      </c>
      <c r="F49" s="95"/>
      <c r="G49" s="95" t="s">
        <v>1839</v>
      </c>
      <c r="H49" s="95" t="s">
        <v>1938</v>
      </c>
      <c r="I49" s="95"/>
      <c r="J49" s="95"/>
      <c r="K49" s="95"/>
    </row>
    <row r="50" spans="1:11" ht="15.75" thickBot="1">
      <c r="A50" s="31" t="s">
        <v>1939</v>
      </c>
      <c r="B50" s="95" t="s">
        <v>224</v>
      </c>
      <c r="C50" s="95" t="s">
        <v>1792</v>
      </c>
      <c r="D50" s="95"/>
      <c r="E50" s="95" t="s">
        <v>1940</v>
      </c>
      <c r="F50" s="95"/>
      <c r="G50" s="95" t="s">
        <v>1839</v>
      </c>
      <c r="H50" s="95"/>
      <c r="I50" s="95"/>
      <c r="J50" s="95"/>
      <c r="K50" s="95"/>
    </row>
    <row r="51" spans="1:11" ht="15.75" thickBot="1">
      <c r="A51" s="31" t="s">
        <v>1939</v>
      </c>
      <c r="B51" s="95" t="s">
        <v>225</v>
      </c>
      <c r="C51" s="95" t="s">
        <v>1792</v>
      </c>
      <c r="D51" s="95"/>
      <c r="E51" s="95" t="s">
        <v>1941</v>
      </c>
      <c r="F51" s="95"/>
      <c r="G51" s="95" t="s">
        <v>1942</v>
      </c>
      <c r="H51" s="95"/>
      <c r="I51" s="95"/>
      <c r="J51" s="95"/>
      <c r="K51" s="95"/>
    </row>
    <row r="52" spans="1:11" ht="15.75" thickBot="1">
      <c r="A52" s="31" t="s">
        <v>1943</v>
      </c>
      <c r="B52" s="95" t="s">
        <v>226</v>
      </c>
      <c r="C52" s="95" t="s">
        <v>1792</v>
      </c>
      <c r="D52" s="95"/>
      <c r="E52" s="95" t="s">
        <v>1944</v>
      </c>
      <c r="F52" s="95"/>
      <c r="G52" s="95" t="s">
        <v>1945</v>
      </c>
      <c r="H52" s="95"/>
      <c r="I52" s="95"/>
      <c r="J52" s="95"/>
      <c r="K52" s="95"/>
    </row>
    <row r="53" spans="1:11" ht="15.75" thickBot="1">
      <c r="A53" s="31" t="s">
        <v>1943</v>
      </c>
      <c r="B53" s="95" t="s">
        <v>227</v>
      </c>
      <c r="C53" t="s">
        <v>1946</v>
      </c>
      <c r="D53" s="95"/>
      <c r="E53" s="95" t="s">
        <v>1947</v>
      </c>
      <c r="G53" s="95"/>
      <c r="H53" s="95"/>
      <c r="I53" s="95"/>
      <c r="J53" s="95"/>
      <c r="K53" s="95"/>
    </row>
    <row r="54" spans="1:11" ht="15.75" thickBot="1">
      <c r="A54" s="31" t="s">
        <v>1943</v>
      </c>
      <c r="B54" s="95" t="s">
        <v>228</v>
      </c>
      <c r="C54" t="s">
        <v>1946</v>
      </c>
      <c r="D54" s="95"/>
      <c r="E54" s="95" t="s">
        <v>1948</v>
      </c>
      <c r="G54" s="95"/>
      <c r="H54" s="95"/>
      <c r="I54" s="95"/>
      <c r="J54" s="95"/>
      <c r="K54" s="95"/>
    </row>
    <row r="55" spans="1:11" ht="15.75" thickBot="1">
      <c r="A55" s="33" t="s">
        <v>1949</v>
      </c>
      <c r="B55" s="95" t="s">
        <v>229</v>
      </c>
      <c r="C55" s="95" t="s">
        <v>1792</v>
      </c>
      <c r="D55" s="95"/>
      <c r="E55" s="95" t="s">
        <v>1950</v>
      </c>
      <c r="G55" s="95" t="s">
        <v>1839</v>
      </c>
      <c r="H55" s="95"/>
      <c r="I55" s="95"/>
      <c r="J55" s="95"/>
      <c r="K55" s="95"/>
    </row>
    <row r="56" spans="1:11" ht="15.75" thickBot="1">
      <c r="A56" s="33" t="s">
        <v>1949</v>
      </c>
      <c r="B56" s="95" t="s">
        <v>231</v>
      </c>
      <c r="C56" s="95" t="s">
        <v>1792</v>
      </c>
      <c r="D56" s="95"/>
      <c r="E56" s="95" t="s">
        <v>1951</v>
      </c>
      <c r="F56" s="95"/>
      <c r="G56" s="95" t="s">
        <v>1952</v>
      </c>
      <c r="H56" s="95"/>
      <c r="I56" s="95"/>
      <c r="J56" s="95"/>
      <c r="K56" s="95"/>
    </row>
    <row r="57" spans="1:11" ht="15.75" thickBot="1">
      <c r="A57" s="33" t="s">
        <v>1949</v>
      </c>
      <c r="B57" s="95" t="s">
        <v>232</v>
      </c>
      <c r="C57" s="95" t="s">
        <v>1792</v>
      </c>
      <c r="D57" s="95"/>
      <c r="E57" s="95" t="s">
        <v>1953</v>
      </c>
      <c r="F57" s="95"/>
      <c r="G57" s="19" t="s">
        <v>1954</v>
      </c>
      <c r="H57" s="95"/>
      <c r="I57" s="95"/>
      <c r="J57" s="95"/>
      <c r="K57" s="95"/>
    </row>
    <row r="58" spans="1:11" ht="15.75" thickBot="1">
      <c r="A58" s="33" t="s">
        <v>1949</v>
      </c>
      <c r="B58" s="95" t="s">
        <v>233</v>
      </c>
      <c r="C58" s="95" t="s">
        <v>1792</v>
      </c>
      <c r="D58" s="95"/>
      <c r="E58" s="95" t="s">
        <v>1955</v>
      </c>
      <c r="F58" s="95"/>
      <c r="G58" s="95" t="s">
        <v>1956</v>
      </c>
      <c r="H58" s="95"/>
      <c r="I58" s="95"/>
      <c r="J58" s="95"/>
      <c r="K58" s="95"/>
    </row>
    <row r="59" spans="1:11" ht="15.75" thickBot="1">
      <c r="A59" s="33" t="s">
        <v>1949</v>
      </c>
      <c r="B59" s="95" t="s">
        <v>234</v>
      </c>
      <c r="C59" s="95" t="s">
        <v>1792</v>
      </c>
      <c r="D59" s="95"/>
      <c r="E59" s="95" t="s">
        <v>1957</v>
      </c>
      <c r="F59" s="95"/>
      <c r="G59" s="95" t="s">
        <v>1958</v>
      </c>
      <c r="H59" s="95" t="s">
        <v>1925</v>
      </c>
      <c r="I59" s="95"/>
      <c r="J59" s="95"/>
      <c r="K59" s="95"/>
    </row>
    <row r="60" spans="1:11" ht="15.75" thickBot="1">
      <c r="A60" s="39" t="s">
        <v>438</v>
      </c>
      <c r="B60" s="95" t="s">
        <v>235</v>
      </c>
      <c r="C60" s="95" t="s">
        <v>1792</v>
      </c>
      <c r="D60" s="95"/>
      <c r="E60" s="95" t="s">
        <v>1959</v>
      </c>
      <c r="F60" s="95"/>
      <c r="G60" s="95" t="s">
        <v>1839</v>
      </c>
      <c r="H60" s="95"/>
      <c r="I60" s="95"/>
      <c r="J60" s="95"/>
      <c r="K60" s="95"/>
    </row>
    <row r="61" spans="1:11" ht="15.75" thickBot="1">
      <c r="A61" s="39" t="s">
        <v>438</v>
      </c>
      <c r="B61" s="95" t="s">
        <v>237</v>
      </c>
      <c r="C61" s="95" t="s">
        <v>1792</v>
      </c>
      <c r="D61" s="95"/>
      <c r="E61" s="95" t="s">
        <v>1960</v>
      </c>
      <c r="F61" s="95"/>
      <c r="G61" s="95" t="s">
        <v>1901</v>
      </c>
      <c r="H61" s="95"/>
      <c r="I61" s="95"/>
      <c r="J61" s="95"/>
      <c r="K61" s="95"/>
    </row>
    <row r="62" spans="1:11" ht="15.75" thickBot="1">
      <c r="A62" s="39" t="s">
        <v>438</v>
      </c>
      <c r="B62" s="95" t="s">
        <v>238</v>
      </c>
      <c r="C62" s="95" t="s">
        <v>1792</v>
      </c>
      <c r="D62" s="95"/>
      <c r="E62" s="95" t="s">
        <v>1961</v>
      </c>
      <c r="F62" s="95"/>
      <c r="G62" s="19" t="s">
        <v>1962</v>
      </c>
      <c r="H62" s="95"/>
      <c r="I62" s="95"/>
      <c r="J62" s="95"/>
      <c r="K62" s="95"/>
    </row>
    <row r="63" spans="1:11" ht="15.75" thickBot="1">
      <c r="A63" s="39" t="s">
        <v>438</v>
      </c>
      <c r="B63" s="95" t="s">
        <v>239</v>
      </c>
      <c r="C63" s="95" t="s">
        <v>1792</v>
      </c>
      <c r="D63" s="95"/>
      <c r="E63" s="95" t="s">
        <v>1963</v>
      </c>
      <c r="F63" s="95"/>
      <c r="G63" s="95" t="s">
        <v>1964</v>
      </c>
      <c r="H63" s="95"/>
      <c r="I63" s="95"/>
      <c r="J63" s="95"/>
      <c r="K63" s="95"/>
    </row>
    <row r="64" spans="1:11" ht="15.75" thickBot="1">
      <c r="A64" s="39" t="s">
        <v>438</v>
      </c>
      <c r="B64" s="95" t="s">
        <v>240</v>
      </c>
      <c r="C64" s="95" t="s">
        <v>1792</v>
      </c>
      <c r="D64" s="95"/>
      <c r="E64" s="95" t="s">
        <v>1965</v>
      </c>
      <c r="F64" s="95"/>
      <c r="G64" s="95" t="s">
        <v>1966</v>
      </c>
      <c r="H64" s="95"/>
      <c r="I64" s="96"/>
      <c r="J64" s="96"/>
      <c r="K64" s="96"/>
    </row>
    <row r="65" spans="1:11" ht="15.75" thickBot="1">
      <c r="A65" s="30" t="s">
        <v>1967</v>
      </c>
      <c r="B65" s="95" t="s">
        <v>241</v>
      </c>
      <c r="C65" s="95" t="s">
        <v>1792</v>
      </c>
      <c r="D65" s="95"/>
      <c r="E65" s="95" t="s">
        <v>1968</v>
      </c>
      <c r="F65" s="95"/>
      <c r="G65" s="95" t="s">
        <v>1839</v>
      </c>
      <c r="H65" s="95"/>
    </row>
    <row r="66" spans="1:11" ht="15.75" thickBot="1">
      <c r="A66" s="30" t="s">
        <v>1967</v>
      </c>
      <c r="B66" s="95" t="s">
        <v>242</v>
      </c>
      <c r="C66" s="95" t="s">
        <v>1792</v>
      </c>
      <c r="D66" s="95"/>
      <c r="E66" s="95" t="s">
        <v>1969</v>
      </c>
      <c r="F66" s="95"/>
      <c r="G66" s="19" t="s">
        <v>1970</v>
      </c>
      <c r="H66" s="95" t="s">
        <v>1925</v>
      </c>
    </row>
    <row r="67" spans="1:11" ht="15.75" thickBot="1">
      <c r="A67" s="30" t="s">
        <v>1971</v>
      </c>
      <c r="B67" s="95" t="s">
        <v>243</v>
      </c>
      <c r="C67" s="95" t="s">
        <v>1792</v>
      </c>
      <c r="D67" s="95"/>
      <c r="E67" s="95" t="s">
        <v>1972</v>
      </c>
      <c r="F67" s="95"/>
      <c r="G67" s="95" t="s">
        <v>1973</v>
      </c>
      <c r="H67" s="95"/>
      <c r="J67" t="s">
        <v>1974</v>
      </c>
      <c r="K67" t="s">
        <v>1975</v>
      </c>
    </row>
    <row r="68" spans="1:11" ht="15.75" thickBot="1">
      <c r="A68" s="30" t="s">
        <v>1971</v>
      </c>
      <c r="B68" s="95" t="s">
        <v>244</v>
      </c>
      <c r="C68" s="95" t="s">
        <v>1792</v>
      </c>
      <c r="D68" s="95"/>
      <c r="E68" s="95" t="s">
        <v>1976</v>
      </c>
      <c r="F68" s="95"/>
      <c r="G68" s="95" t="s">
        <v>1977</v>
      </c>
      <c r="H68" s="95"/>
      <c r="J68" t="s">
        <v>1974</v>
      </c>
      <c r="K68" t="s">
        <v>1975</v>
      </c>
    </row>
    <row r="69" spans="1:11" ht="15.7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7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75" thickBot="1">
      <c r="A77" s="31" t="s">
        <v>1989</v>
      </c>
      <c r="B77" s="95" t="s">
        <v>255</v>
      </c>
      <c r="C77" s="95" t="s">
        <v>1792</v>
      </c>
      <c r="D77" s="95"/>
      <c r="E77" s="95" t="s">
        <v>1990</v>
      </c>
      <c r="F77" s="95"/>
      <c r="G77" s="95" t="s">
        <v>1839</v>
      </c>
      <c r="H77" s="95"/>
      <c r="I77" s="95"/>
      <c r="J77" s="95"/>
      <c r="K77" s="95"/>
    </row>
    <row r="78" spans="1:11" ht="15.75" thickBot="1">
      <c r="A78" s="31" t="s">
        <v>1989</v>
      </c>
      <c r="B78" s="95" t="s">
        <v>256</v>
      </c>
      <c r="C78" s="95" t="s">
        <v>1792</v>
      </c>
      <c r="D78" s="95"/>
      <c r="E78" s="95" t="s">
        <v>1991</v>
      </c>
      <c r="F78" s="95"/>
      <c r="G78" s="18" t="s">
        <v>1992</v>
      </c>
      <c r="H78" s="95"/>
      <c r="I78" s="95" t="s">
        <v>1840</v>
      </c>
      <c r="J78" s="95" t="s">
        <v>1993</v>
      </c>
      <c r="K78" s="95" t="s">
        <v>1994</v>
      </c>
    </row>
    <row r="79" spans="1:11" ht="15.75" thickBot="1">
      <c r="A79" s="31" t="s">
        <v>1989</v>
      </c>
      <c r="B79" s="96" t="s">
        <v>257</v>
      </c>
      <c r="C79" s="95" t="s">
        <v>1792</v>
      </c>
      <c r="D79" s="96"/>
      <c r="E79" s="96" t="s">
        <v>1995</v>
      </c>
      <c r="F79" s="96"/>
      <c r="G79" s="18" t="s">
        <v>1996</v>
      </c>
      <c r="H79" s="96"/>
      <c r="I79" s="96"/>
      <c r="J79" s="96"/>
      <c r="K79" s="96"/>
    </row>
    <row r="80" spans="1:11" ht="15.75" thickBot="1">
      <c r="A80" s="31" t="s">
        <v>1989</v>
      </c>
      <c r="B80" s="96" t="s">
        <v>258</v>
      </c>
      <c r="C80" s="95" t="s">
        <v>1792</v>
      </c>
      <c r="D80" s="96"/>
      <c r="E80" s="95" t="s">
        <v>1997</v>
      </c>
      <c r="F80" s="96"/>
      <c r="G80" s="18" t="s">
        <v>1998</v>
      </c>
      <c r="H80" s="96"/>
      <c r="I80" s="96"/>
      <c r="J80" s="96"/>
      <c r="K80" s="96"/>
    </row>
    <row r="81" spans="1:14" ht="15.75" thickBot="1">
      <c r="A81" s="31" t="s">
        <v>1989</v>
      </c>
      <c r="B81" s="96" t="s">
        <v>259</v>
      </c>
      <c r="C81" s="95" t="s">
        <v>1843</v>
      </c>
      <c r="D81" s="95" t="s">
        <v>1851</v>
      </c>
      <c r="E81" s="95" t="s">
        <v>1999</v>
      </c>
      <c r="F81" s="96"/>
      <c r="G81" s="96"/>
      <c r="H81" s="96"/>
      <c r="I81" s="96"/>
      <c r="J81" s="96"/>
      <c r="K81" s="96"/>
    </row>
    <row r="82" spans="1:14" ht="15.75" thickBot="1">
      <c r="A82" s="31" t="s">
        <v>2000</v>
      </c>
      <c r="B82" s="95" t="s">
        <v>260</v>
      </c>
      <c r="C82" s="95" t="s">
        <v>1792</v>
      </c>
      <c r="D82" s="95" t="s">
        <v>2001</v>
      </c>
      <c r="E82" s="96" t="s">
        <v>2002</v>
      </c>
      <c r="F82" s="96"/>
      <c r="G82" s="96" t="s">
        <v>2003</v>
      </c>
      <c r="H82" s="96"/>
      <c r="I82" s="96"/>
      <c r="J82" s="96"/>
      <c r="K82" s="96"/>
    </row>
    <row r="83" spans="1:14" ht="15.75" thickBot="1">
      <c r="A83" s="31" t="s">
        <v>2000</v>
      </c>
      <c r="B83" s="95" t="s">
        <v>261</v>
      </c>
      <c r="C83" s="95" t="s">
        <v>1792</v>
      </c>
      <c r="D83" s="95" t="s">
        <v>2001</v>
      </c>
      <c r="E83" s="96" t="s">
        <v>2004</v>
      </c>
      <c r="F83" s="96"/>
      <c r="G83" s="96" t="s">
        <v>2003</v>
      </c>
      <c r="H83" s="96"/>
      <c r="I83" s="96"/>
      <c r="J83" s="96"/>
      <c r="K83" s="96"/>
    </row>
    <row r="84" spans="1:14" ht="15.75" thickBot="1">
      <c r="A84" s="31" t="s">
        <v>2000</v>
      </c>
      <c r="B84" s="95" t="s">
        <v>262</v>
      </c>
      <c r="C84" s="95" t="s">
        <v>1792</v>
      </c>
      <c r="D84" s="95" t="s">
        <v>2001</v>
      </c>
      <c r="E84" s="96" t="s">
        <v>2005</v>
      </c>
      <c r="F84" s="96"/>
      <c r="G84" s="96" t="s">
        <v>2003</v>
      </c>
      <c r="H84" s="96"/>
      <c r="I84" s="96"/>
      <c r="J84" s="96"/>
      <c r="K84" s="96"/>
    </row>
    <row r="85" spans="1:14" ht="15.75" thickBot="1">
      <c r="A85" s="31" t="s">
        <v>2000</v>
      </c>
      <c r="B85" s="95" t="s">
        <v>263</v>
      </c>
      <c r="C85" s="95" t="s">
        <v>1792</v>
      </c>
      <c r="D85" s="95" t="s">
        <v>1833</v>
      </c>
      <c r="E85" s="96" t="s">
        <v>2006</v>
      </c>
      <c r="F85" s="96"/>
      <c r="G85" s="96" t="s">
        <v>2007</v>
      </c>
      <c r="H85" s="96"/>
      <c r="I85" s="96"/>
      <c r="J85" s="96"/>
      <c r="K85" s="96"/>
    </row>
    <row r="86" spans="1:14" ht="15.75" thickBot="1">
      <c r="A86" s="31" t="s">
        <v>2000</v>
      </c>
      <c r="B86" s="95" t="s">
        <v>264</v>
      </c>
      <c r="C86" s="95" t="s">
        <v>1792</v>
      </c>
      <c r="D86" s="95" t="s">
        <v>1833</v>
      </c>
      <c r="E86" s="96" t="s">
        <v>2008</v>
      </c>
      <c r="F86" s="96"/>
      <c r="G86" s="96" t="s">
        <v>2007</v>
      </c>
      <c r="H86" s="96"/>
      <c r="I86" s="96"/>
      <c r="J86" s="96"/>
      <c r="K86" s="96"/>
    </row>
    <row r="87" spans="1:14" ht="15.75" thickBot="1">
      <c r="A87" s="31" t="s">
        <v>2000</v>
      </c>
      <c r="B87" s="95" t="s">
        <v>265</v>
      </c>
      <c r="C87" s="95" t="s">
        <v>1792</v>
      </c>
      <c r="D87" s="95" t="s">
        <v>1833</v>
      </c>
      <c r="E87" s="96" t="s">
        <v>2009</v>
      </c>
      <c r="F87" s="96"/>
      <c r="G87" s="96" t="s">
        <v>2007</v>
      </c>
      <c r="H87" s="96"/>
      <c r="I87" s="96"/>
      <c r="J87" s="96"/>
      <c r="K87" s="96"/>
    </row>
    <row r="88" spans="1:14" ht="15.75" thickBot="1">
      <c r="A88" s="31" t="s">
        <v>2000</v>
      </c>
      <c r="B88" s="95" t="s">
        <v>266</v>
      </c>
      <c r="C88" s="95" t="s">
        <v>1792</v>
      </c>
      <c r="D88" s="95" t="s">
        <v>1932</v>
      </c>
      <c r="E88" s="96" t="s">
        <v>2010</v>
      </c>
      <c r="F88" s="96"/>
      <c r="G88" s="96"/>
      <c r="H88" s="96"/>
      <c r="I88" s="96"/>
      <c r="J88" s="96"/>
      <c r="K88" s="96"/>
    </row>
    <row r="89" spans="1:14" ht="15.75" thickBot="1">
      <c r="A89" s="31" t="s">
        <v>2000</v>
      </c>
      <c r="B89" s="95" t="s">
        <v>267</v>
      </c>
      <c r="C89" s="95" t="s">
        <v>1792</v>
      </c>
      <c r="D89" s="95" t="s">
        <v>1932</v>
      </c>
      <c r="E89" s="96" t="s">
        <v>2011</v>
      </c>
      <c r="F89" s="96"/>
      <c r="G89" s="96"/>
      <c r="H89" s="96"/>
      <c r="I89" s="96"/>
      <c r="J89" s="96"/>
      <c r="K89" s="96"/>
    </row>
    <row r="90" spans="1:14" ht="15.75" thickBot="1">
      <c r="A90" s="31" t="s">
        <v>2000</v>
      </c>
      <c r="B90" s="95" t="s">
        <v>268</v>
      </c>
      <c r="C90" s="95" t="s">
        <v>1792</v>
      </c>
      <c r="D90" s="95" t="s">
        <v>1932</v>
      </c>
      <c r="E90" s="96" t="s">
        <v>2012</v>
      </c>
      <c r="F90" s="96"/>
      <c r="G90" s="96"/>
      <c r="H90" s="96"/>
      <c r="I90" s="96"/>
      <c r="J90" s="96"/>
      <c r="K90" s="96"/>
    </row>
    <row r="91" spans="1:14" ht="15.75" thickBot="1">
      <c r="A91" s="30" t="s">
        <v>2013</v>
      </c>
      <c r="B91" s="96" t="s">
        <v>269</v>
      </c>
      <c r="C91" s="95" t="s">
        <v>1792</v>
      </c>
      <c r="D91" s="95"/>
      <c r="E91" s="95" t="s">
        <v>2014</v>
      </c>
      <c r="F91" s="95"/>
      <c r="G91" s="95" t="s">
        <v>1839</v>
      </c>
      <c r="H91" s="95"/>
      <c r="I91" s="95"/>
      <c r="J91" s="95"/>
      <c r="K91" s="95"/>
      <c r="M91" t="s">
        <v>2015</v>
      </c>
    </row>
    <row r="92" spans="1:14" ht="15.75" thickBot="1">
      <c r="A92" s="30" t="s">
        <v>2013</v>
      </c>
      <c r="B92" s="96" t="s">
        <v>270</v>
      </c>
      <c r="C92" s="95" t="s">
        <v>1792</v>
      </c>
      <c r="D92" s="95"/>
      <c r="E92" s="95" t="s">
        <v>2016</v>
      </c>
      <c r="F92" s="95"/>
      <c r="G92" s="18" t="s">
        <v>2017</v>
      </c>
      <c r="H92" s="95"/>
      <c r="I92" s="95"/>
      <c r="J92" s="95"/>
      <c r="K92" s="95"/>
    </row>
    <row r="93" spans="1:14" ht="15.7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75" thickBot="1">
      <c r="A94" s="30" t="s">
        <v>2018</v>
      </c>
      <c r="B94" s="95" t="s">
        <v>272</v>
      </c>
      <c r="C94" s="95" t="s">
        <v>1792</v>
      </c>
      <c r="D94" s="95"/>
      <c r="E94" s="95" t="s">
        <v>2024</v>
      </c>
      <c r="F94" s="95"/>
      <c r="G94" s="95" t="s">
        <v>2025</v>
      </c>
      <c r="H94" s="95" t="s">
        <v>2026</v>
      </c>
      <c r="I94" s="95" t="s">
        <v>1840</v>
      </c>
      <c r="J94" s="95" t="s">
        <v>2021</v>
      </c>
      <c r="K94" s="95" t="s">
        <v>2022</v>
      </c>
      <c r="N94" s="101"/>
    </row>
    <row r="95" spans="1:14" ht="15.7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75" thickBot="1">
      <c r="A96" s="30" t="s">
        <v>2018</v>
      </c>
      <c r="B96" s="95" t="s">
        <v>274</v>
      </c>
      <c r="C96" s="95" t="s">
        <v>1843</v>
      </c>
      <c r="D96" s="95"/>
      <c r="E96" s="95" t="s">
        <v>2031</v>
      </c>
      <c r="F96" s="95"/>
      <c r="G96" s="95" t="s">
        <v>1049</v>
      </c>
      <c r="H96" s="95" t="s">
        <v>1877</v>
      </c>
      <c r="I96" s="95"/>
      <c r="J96" s="95"/>
      <c r="K96" s="95"/>
      <c r="M96" t="s">
        <v>1846</v>
      </c>
      <c r="N96" t="s">
        <v>2032</v>
      </c>
    </row>
    <row r="97" spans="1:14" ht="15.75" thickBot="1">
      <c r="A97" s="30" t="s">
        <v>2018</v>
      </c>
      <c r="B97" s="95" t="s">
        <v>275</v>
      </c>
      <c r="C97" s="95" t="s">
        <v>1792</v>
      </c>
      <c r="D97" s="95"/>
      <c r="E97" s="95" t="s">
        <v>2033</v>
      </c>
      <c r="F97" s="95"/>
      <c r="G97" s="95"/>
      <c r="H97" s="95"/>
      <c r="I97" s="95"/>
      <c r="J97" s="95"/>
      <c r="K97" s="95"/>
    </row>
    <row r="98" spans="1:14" ht="15.7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7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7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75" thickBot="1">
      <c r="A101" s="30" t="s">
        <v>2018</v>
      </c>
      <c r="B101" s="95" t="s">
        <v>279</v>
      </c>
      <c r="C101" s="95" t="s">
        <v>1843</v>
      </c>
      <c r="D101" s="95"/>
      <c r="E101" s="95" t="s">
        <v>2041</v>
      </c>
      <c r="F101" s="95"/>
      <c r="G101" s="95" t="s">
        <v>1049</v>
      </c>
      <c r="H101" s="95" t="s">
        <v>1877</v>
      </c>
      <c r="I101" s="95" t="s">
        <v>1840</v>
      </c>
      <c r="J101" s="95" t="s">
        <v>2038</v>
      </c>
      <c r="K101" s="95" t="s">
        <v>2039</v>
      </c>
    </row>
    <row r="102" spans="1:14" ht="15.75" thickBot="1">
      <c r="A102" s="30" t="s">
        <v>2018</v>
      </c>
      <c r="B102" s="95" t="s">
        <v>280</v>
      </c>
      <c r="C102" s="95" t="s">
        <v>1843</v>
      </c>
      <c r="D102" s="95"/>
      <c r="E102" s="95" t="s">
        <v>2042</v>
      </c>
      <c r="F102" s="95"/>
      <c r="G102" s="95" t="s">
        <v>1049</v>
      </c>
      <c r="H102" s="95" t="s">
        <v>1877</v>
      </c>
      <c r="I102" s="95" t="s">
        <v>1840</v>
      </c>
      <c r="J102" s="95" t="s">
        <v>2043</v>
      </c>
      <c r="K102" s="95" t="s">
        <v>2044</v>
      </c>
    </row>
    <row r="103" spans="1:14" ht="15.75" thickBot="1">
      <c r="A103" s="26" t="s">
        <v>2045</v>
      </c>
      <c r="B103" s="95" t="s">
        <v>281</v>
      </c>
      <c r="C103" s="95" t="s">
        <v>1792</v>
      </c>
      <c r="D103" s="95"/>
      <c r="E103" s="95" t="s">
        <v>2046</v>
      </c>
      <c r="F103" s="95"/>
      <c r="G103" s="95" t="s">
        <v>2020</v>
      </c>
      <c r="H103" s="95" t="s">
        <v>1049</v>
      </c>
      <c r="I103" s="95" t="s">
        <v>1840</v>
      </c>
      <c r="J103" s="95" t="s">
        <v>2021</v>
      </c>
      <c r="K103" s="95" t="s">
        <v>2022</v>
      </c>
    </row>
    <row r="104" spans="1:14" ht="15.75" thickBot="1">
      <c r="A104" s="26" t="s">
        <v>2045</v>
      </c>
      <c r="B104" s="95" t="s">
        <v>282</v>
      </c>
      <c r="C104" s="95" t="s">
        <v>1792</v>
      </c>
      <c r="D104" s="95"/>
      <c r="E104" s="95" t="s">
        <v>2047</v>
      </c>
      <c r="F104" s="95"/>
      <c r="G104" s="95" t="s">
        <v>2048</v>
      </c>
      <c r="H104" s="95" t="s">
        <v>2026</v>
      </c>
      <c r="I104" s="95" t="s">
        <v>1840</v>
      </c>
      <c r="J104" s="95" t="s">
        <v>2021</v>
      </c>
      <c r="K104" s="95" t="s">
        <v>2022</v>
      </c>
    </row>
    <row r="105" spans="1:14" ht="15.75" thickBot="1">
      <c r="A105" s="26" t="s">
        <v>2045</v>
      </c>
      <c r="B105" s="95" t="s">
        <v>283</v>
      </c>
      <c r="C105" s="95" t="s">
        <v>1792</v>
      </c>
      <c r="D105" s="95" t="s">
        <v>2027</v>
      </c>
      <c r="E105" s="95" t="s">
        <v>2049</v>
      </c>
      <c r="F105" s="95"/>
      <c r="G105" s="95" t="s">
        <v>2029</v>
      </c>
      <c r="H105" s="95" t="s">
        <v>1049</v>
      </c>
      <c r="I105" s="95" t="s">
        <v>2030</v>
      </c>
      <c r="J105" s="95" t="s">
        <v>1840</v>
      </c>
      <c r="K105" s="95"/>
    </row>
    <row r="106" spans="1:14" ht="15.7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75" thickBot="1">
      <c r="A107" s="26" t="s">
        <v>2045</v>
      </c>
      <c r="B107" s="95" t="s">
        <v>285</v>
      </c>
      <c r="C107" s="95" t="s">
        <v>1792</v>
      </c>
      <c r="D107" s="95"/>
      <c r="E107" s="95" t="s">
        <v>2051</v>
      </c>
      <c r="F107" s="95"/>
      <c r="G107" s="95"/>
      <c r="H107" s="95"/>
      <c r="I107" s="95"/>
      <c r="J107" s="95"/>
      <c r="K107" s="95"/>
    </row>
    <row r="108" spans="1:14" ht="15.7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7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7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75" thickBot="1">
      <c r="A111" s="26" t="s">
        <v>2045</v>
      </c>
      <c r="B111" s="95" t="s">
        <v>289</v>
      </c>
      <c r="C111" s="95" t="s">
        <v>1792</v>
      </c>
      <c r="D111" s="95"/>
      <c r="E111" s="95" t="s">
        <v>2061</v>
      </c>
      <c r="F111" s="95"/>
      <c r="G111" s="95" t="s">
        <v>2062</v>
      </c>
      <c r="H111" s="95" t="s">
        <v>1049</v>
      </c>
      <c r="I111" s="95" t="s">
        <v>2063</v>
      </c>
      <c r="J111" s="95" t="s">
        <v>1840</v>
      </c>
      <c r="K111" s="95"/>
    </row>
    <row r="112" spans="1:14" ht="15.75" thickBot="1">
      <c r="A112" s="30" t="s">
        <v>2064</v>
      </c>
      <c r="B112" s="95" t="s">
        <v>290</v>
      </c>
      <c r="C112" s="95" t="s">
        <v>1792</v>
      </c>
      <c r="D112" s="95"/>
      <c r="E112" s="95" t="s">
        <v>2065</v>
      </c>
      <c r="F112" s="95"/>
      <c r="G112" s="95" t="s">
        <v>1839</v>
      </c>
      <c r="H112" s="95" t="s">
        <v>1049</v>
      </c>
      <c r="I112" s="95" t="s">
        <v>1049</v>
      </c>
      <c r="J112" s="95" t="s">
        <v>1049</v>
      </c>
      <c r="K112" s="95" t="s">
        <v>1049</v>
      </c>
    </row>
    <row r="113" spans="1:13" ht="15.7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7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75" thickBot="1">
      <c r="A115" s="30" t="s">
        <v>2070</v>
      </c>
      <c r="B115" s="95" t="s">
        <v>293</v>
      </c>
      <c r="C115" s="95" t="s">
        <v>1792</v>
      </c>
      <c r="D115" s="95"/>
      <c r="E115" s="95" t="s">
        <v>2073</v>
      </c>
      <c r="F115" s="95"/>
      <c r="G115" s="95" t="s">
        <v>1839</v>
      </c>
      <c r="H115" s="95" t="s">
        <v>1049</v>
      </c>
      <c r="I115" s="95" t="s">
        <v>1049</v>
      </c>
      <c r="J115" s="95" t="s">
        <v>1049</v>
      </c>
      <c r="K115" s="95" t="s">
        <v>1049</v>
      </c>
    </row>
    <row r="116" spans="1:13" ht="15.75" thickBot="1">
      <c r="A116" s="26" t="s">
        <v>2074</v>
      </c>
      <c r="B116" s="95" t="s">
        <v>294</v>
      </c>
      <c r="C116" s="95" t="s">
        <v>1792</v>
      </c>
      <c r="D116" s="95"/>
      <c r="E116" s="95" t="s">
        <v>2075</v>
      </c>
      <c r="F116" s="95"/>
      <c r="G116" s="95" t="s">
        <v>1839</v>
      </c>
      <c r="H116" s="95" t="s">
        <v>1049</v>
      </c>
      <c r="I116" s="95" t="s">
        <v>1049</v>
      </c>
      <c r="J116" s="95" t="s">
        <v>1049</v>
      </c>
      <c r="K116" s="95" t="s">
        <v>1049</v>
      </c>
    </row>
    <row r="117" spans="1:13" ht="15.75" thickBot="1">
      <c r="A117" s="26" t="s">
        <v>2074</v>
      </c>
      <c r="B117" s="95" t="s">
        <v>2076</v>
      </c>
      <c r="C117" s="95" t="s">
        <v>1792</v>
      </c>
      <c r="D117" s="95"/>
      <c r="E117" s="95" t="s">
        <v>2077</v>
      </c>
      <c r="F117" s="95"/>
      <c r="G117" s="18" t="s">
        <v>2078</v>
      </c>
      <c r="H117" s="95" t="s">
        <v>1049</v>
      </c>
      <c r="I117" s="95" t="s">
        <v>1840</v>
      </c>
      <c r="J117" s="95" t="s">
        <v>2079</v>
      </c>
      <c r="K117" s="95" t="s">
        <v>2080</v>
      </c>
    </row>
    <row r="118" spans="1:13" ht="15.75" thickBot="1">
      <c r="A118" s="26" t="s">
        <v>2081</v>
      </c>
      <c r="B118" s="95" t="s">
        <v>2082</v>
      </c>
      <c r="C118" s="95" t="s">
        <v>1792</v>
      </c>
      <c r="D118" s="95"/>
      <c r="E118" s="95" t="s">
        <v>2083</v>
      </c>
      <c r="F118" s="95"/>
      <c r="G118" s="95" t="s">
        <v>2084</v>
      </c>
      <c r="H118" s="95" t="s">
        <v>1049</v>
      </c>
      <c r="I118" s="95" t="s">
        <v>1840</v>
      </c>
      <c r="J118" s="95" t="s">
        <v>2079</v>
      </c>
      <c r="K118" s="95" t="s">
        <v>2080</v>
      </c>
    </row>
    <row r="119" spans="1:13" ht="15.7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7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75" thickBot="1">
      <c r="A121" s="30" t="s">
        <v>2091</v>
      </c>
      <c r="B121" s="95" t="s">
        <v>307</v>
      </c>
      <c r="C121" s="95" t="s">
        <v>1792</v>
      </c>
      <c r="D121" s="95"/>
      <c r="E121" s="95" t="s">
        <v>2092</v>
      </c>
      <c r="F121" s="95"/>
      <c r="G121" s="95" t="s">
        <v>1839</v>
      </c>
      <c r="H121" s="95" t="s">
        <v>1919</v>
      </c>
      <c r="I121" s="95" t="s">
        <v>1049</v>
      </c>
      <c r="J121" s="95" t="s">
        <v>1049</v>
      </c>
      <c r="K121" s="95" t="s">
        <v>1049</v>
      </c>
    </row>
    <row r="122" spans="1:13" ht="15.7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75" thickBot="1">
      <c r="A123" s="30" t="s">
        <v>2091</v>
      </c>
      <c r="B123" s="95" t="s">
        <v>312</v>
      </c>
      <c r="C123" s="95"/>
      <c r="D123" s="95"/>
      <c r="E123" s="227" t="s">
        <v>2098</v>
      </c>
      <c r="F123" s="95"/>
      <c r="G123" s="95"/>
      <c r="H123" s="95"/>
      <c r="I123" s="95"/>
      <c r="J123" s="95"/>
      <c r="K123" s="95"/>
      <c r="M123" s="101"/>
    </row>
    <row r="124" spans="1:13" ht="15.75" thickBot="1">
      <c r="A124" s="30" t="s">
        <v>2091</v>
      </c>
      <c r="B124" s="95" t="s">
        <v>313</v>
      </c>
      <c r="C124" s="95"/>
      <c r="D124" s="95"/>
      <c r="E124" s="95" t="s">
        <v>2099</v>
      </c>
      <c r="F124" s="95"/>
      <c r="G124" s="95"/>
      <c r="H124" s="95"/>
      <c r="I124" s="95"/>
      <c r="J124" s="95"/>
      <c r="K124" s="95"/>
      <c r="M124" s="101"/>
    </row>
    <row r="125" spans="1:13" ht="15.75" thickBot="1">
      <c r="A125" s="30" t="s">
        <v>2100</v>
      </c>
      <c r="B125" s="95" t="s">
        <v>314</v>
      </c>
      <c r="C125" s="95" t="s">
        <v>1792</v>
      </c>
      <c r="D125" s="95"/>
      <c r="E125" s="227" t="s">
        <v>2101</v>
      </c>
      <c r="F125" s="95"/>
      <c r="G125" s="95" t="s">
        <v>2029</v>
      </c>
      <c r="H125" s="95" t="s">
        <v>1049</v>
      </c>
      <c r="I125" s="95" t="s">
        <v>1840</v>
      </c>
      <c r="J125" s="95"/>
      <c r="K125" s="95"/>
      <c r="M125" s="101"/>
    </row>
    <row r="126" spans="1:13" ht="15.7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75" thickBot="1">
      <c r="A127" s="30" t="s">
        <v>2100</v>
      </c>
      <c r="B127" s="95" t="s">
        <v>316</v>
      </c>
      <c r="C127" s="95" t="s">
        <v>1792</v>
      </c>
      <c r="D127" s="95"/>
      <c r="E127" s="227" t="s">
        <v>2105</v>
      </c>
      <c r="F127" s="95"/>
      <c r="G127" s="95" t="s">
        <v>2029</v>
      </c>
      <c r="H127" s="95" t="s">
        <v>1049</v>
      </c>
      <c r="I127" s="95" t="s">
        <v>1840</v>
      </c>
      <c r="J127" s="95"/>
      <c r="K127" s="95"/>
      <c r="M127" s="101"/>
    </row>
    <row r="128" spans="1:13" ht="15.7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75" thickBot="1">
      <c r="A129" s="30" t="s">
        <v>2100</v>
      </c>
      <c r="B129" s="95" t="s">
        <v>2109</v>
      </c>
      <c r="C129" s="95" t="s">
        <v>1792</v>
      </c>
      <c r="D129" s="95"/>
      <c r="E129" s="227" t="s">
        <v>2110</v>
      </c>
      <c r="F129" s="95"/>
      <c r="G129" s="95" t="s">
        <v>2029</v>
      </c>
      <c r="H129" s="95" t="s">
        <v>1049</v>
      </c>
      <c r="I129" s="95" t="s">
        <v>1840</v>
      </c>
      <c r="J129" s="95"/>
      <c r="K129" s="95"/>
      <c r="M129" s="101"/>
    </row>
    <row r="130" spans="1:13" ht="15.75" thickBot="1">
      <c r="A130" s="30" t="s">
        <v>2100</v>
      </c>
      <c r="B130" s="95" t="s">
        <v>319</v>
      </c>
      <c r="C130" s="95" t="s">
        <v>1843</v>
      </c>
      <c r="D130" s="95"/>
      <c r="E130" s="95" t="s">
        <v>2111</v>
      </c>
      <c r="F130" s="95"/>
      <c r="G130" s="95" t="s">
        <v>1049</v>
      </c>
      <c r="H130" s="95" t="s">
        <v>1877</v>
      </c>
      <c r="I130" s="95" t="s">
        <v>1840</v>
      </c>
      <c r="J130" s="95" t="s">
        <v>2112</v>
      </c>
      <c r="K130" s="95" t="s">
        <v>2113</v>
      </c>
    </row>
    <row r="131" spans="1:13" ht="15.75" thickBot="1">
      <c r="A131" s="30" t="s">
        <v>2100</v>
      </c>
      <c r="B131" s="95" t="s">
        <v>320</v>
      </c>
      <c r="C131" s="95" t="s">
        <v>1792</v>
      </c>
      <c r="D131" s="95"/>
      <c r="E131" s="95" t="s">
        <v>2114</v>
      </c>
      <c r="F131" s="95"/>
      <c r="G131" s="95" t="s">
        <v>2115</v>
      </c>
      <c r="H131" s="95" t="s">
        <v>1049</v>
      </c>
      <c r="I131" s="95" t="s">
        <v>1840</v>
      </c>
      <c r="J131" s="95" t="s">
        <v>2116</v>
      </c>
      <c r="K131" s="95" t="s">
        <v>2117</v>
      </c>
    </row>
    <row r="132" spans="1:13" ht="15.75" thickBot="1">
      <c r="A132" s="30" t="s">
        <v>2100</v>
      </c>
      <c r="B132" s="95" t="s">
        <v>321</v>
      </c>
      <c r="C132" s="95" t="s">
        <v>1792</v>
      </c>
      <c r="D132" s="95"/>
      <c r="E132" s="95" t="s">
        <v>2118</v>
      </c>
      <c r="F132" s="95"/>
      <c r="G132" s="95" t="s">
        <v>2119</v>
      </c>
      <c r="H132" s="95" t="s">
        <v>1919</v>
      </c>
      <c r="I132" s="95" t="s">
        <v>1840</v>
      </c>
      <c r="J132" s="95" t="s">
        <v>2120</v>
      </c>
      <c r="K132" s="95" t="s">
        <v>2121</v>
      </c>
    </row>
    <row r="133" spans="1:13" ht="15.75" thickBot="1">
      <c r="A133" s="30" t="s">
        <v>2100</v>
      </c>
      <c r="B133" s="95" t="s">
        <v>322</v>
      </c>
      <c r="C133" s="95" t="s">
        <v>1792</v>
      </c>
      <c r="D133" s="95"/>
      <c r="E133" s="95" t="s">
        <v>2122</v>
      </c>
      <c r="F133" s="95"/>
      <c r="G133" s="4" t="s">
        <v>2123</v>
      </c>
      <c r="H133" s="95"/>
      <c r="I133" s="95"/>
      <c r="J133" s="95"/>
      <c r="K133" s="95"/>
    </row>
    <row r="134" spans="1:13" ht="15.75" thickBot="1">
      <c r="A134" s="30" t="s">
        <v>2100</v>
      </c>
      <c r="B134" s="95" t="s">
        <v>323</v>
      </c>
      <c r="C134" s="95" t="s">
        <v>1792</v>
      </c>
      <c r="D134" s="95"/>
      <c r="E134" s="95" t="s">
        <v>2124</v>
      </c>
      <c r="F134" s="95"/>
      <c r="G134" s="95" t="s">
        <v>2125</v>
      </c>
      <c r="H134" s="95" t="s">
        <v>475</v>
      </c>
      <c r="I134" s="95" t="s">
        <v>1840</v>
      </c>
      <c r="J134" s="95"/>
      <c r="K134" s="95"/>
    </row>
    <row r="135" spans="1:13" ht="15.75" thickBot="1">
      <c r="A135" s="30" t="s">
        <v>2100</v>
      </c>
      <c r="B135" s="95" t="s">
        <v>324</v>
      </c>
      <c r="C135" s="95" t="s">
        <v>1792</v>
      </c>
      <c r="D135" s="95"/>
      <c r="E135" s="95" t="s">
        <v>2126</v>
      </c>
      <c r="F135" s="95"/>
      <c r="G135" s="95" t="s">
        <v>2127</v>
      </c>
      <c r="H135" s="95" t="s">
        <v>2128</v>
      </c>
      <c r="I135" s="95" t="s">
        <v>1840</v>
      </c>
      <c r="J135" s="95"/>
      <c r="K135" s="95"/>
    </row>
    <row r="136" spans="1:13" ht="15.75" thickBot="1">
      <c r="A136" s="30" t="s">
        <v>2100</v>
      </c>
      <c r="B136" s="95" t="s">
        <v>325</v>
      </c>
      <c r="C136" s="95" t="s">
        <v>1843</v>
      </c>
      <c r="D136" s="95"/>
      <c r="E136" s="95" t="s">
        <v>2129</v>
      </c>
      <c r="F136" s="95"/>
      <c r="G136" s="95" t="s">
        <v>1877</v>
      </c>
      <c r="H136" s="95" t="s">
        <v>475</v>
      </c>
      <c r="I136" s="95" t="s">
        <v>1840</v>
      </c>
      <c r="J136" s="95"/>
      <c r="K136" s="95"/>
    </row>
    <row r="137" spans="1:13" ht="15.75" thickBot="1">
      <c r="A137" s="29" t="s">
        <v>2130</v>
      </c>
      <c r="B137" s="95" t="s">
        <v>326</v>
      </c>
      <c r="C137" s="95" t="s">
        <v>1792</v>
      </c>
      <c r="D137" s="95"/>
      <c r="E137" s="95" t="s">
        <v>2092</v>
      </c>
      <c r="F137" s="95"/>
      <c r="G137" s="95" t="s">
        <v>1839</v>
      </c>
      <c r="H137" s="95" t="s">
        <v>1919</v>
      </c>
      <c r="I137" s="95" t="s">
        <v>1049</v>
      </c>
      <c r="J137" s="95" t="s">
        <v>1049</v>
      </c>
      <c r="K137" s="95" t="s">
        <v>1049</v>
      </c>
    </row>
    <row r="138" spans="1:13" ht="15.75" thickBot="1">
      <c r="A138" s="29" t="s">
        <v>2130</v>
      </c>
      <c r="B138" s="95" t="s">
        <v>327</v>
      </c>
      <c r="C138" s="95" t="s">
        <v>1792</v>
      </c>
      <c r="D138" s="95"/>
      <c r="E138" s="95" t="s">
        <v>2131</v>
      </c>
      <c r="F138" s="95"/>
      <c r="G138" s="95" t="s">
        <v>2132</v>
      </c>
      <c r="H138" s="95" t="s">
        <v>1049</v>
      </c>
      <c r="I138" s="95" t="s">
        <v>1840</v>
      </c>
      <c r="J138" s="95" t="s">
        <v>2133</v>
      </c>
      <c r="K138" s="95" t="s">
        <v>2134</v>
      </c>
    </row>
    <row r="139" spans="1:13" ht="15.75" thickBot="1">
      <c r="A139" s="29" t="s">
        <v>2135</v>
      </c>
      <c r="B139" s="95" t="s">
        <v>328</v>
      </c>
      <c r="C139" s="95" t="s">
        <v>1792</v>
      </c>
      <c r="D139" s="95"/>
      <c r="E139" s="95" t="s">
        <v>2136</v>
      </c>
      <c r="F139" s="95"/>
      <c r="G139" s="95" t="s">
        <v>2137</v>
      </c>
      <c r="H139" s="95" t="s">
        <v>1919</v>
      </c>
      <c r="I139" s="95" t="s">
        <v>1840</v>
      </c>
      <c r="J139" s="95" t="s">
        <v>2138</v>
      </c>
      <c r="K139" s="95" t="s">
        <v>2139</v>
      </c>
    </row>
    <row r="140" spans="1:13" ht="15.75" thickBot="1">
      <c r="A140" s="29" t="s">
        <v>2135</v>
      </c>
      <c r="B140" s="95" t="s">
        <v>329</v>
      </c>
      <c r="C140" s="95" t="s">
        <v>1792</v>
      </c>
      <c r="D140" s="95"/>
      <c r="E140" s="95" t="s">
        <v>2126</v>
      </c>
      <c r="F140" s="95"/>
      <c r="G140" s="95" t="s">
        <v>2140</v>
      </c>
      <c r="H140" s="95"/>
      <c r="I140" s="95" t="s">
        <v>1840</v>
      </c>
      <c r="J140" s="95"/>
      <c r="K140" s="95"/>
    </row>
    <row r="141" spans="1:13" ht="15.75" thickBot="1">
      <c r="A141" s="29" t="s">
        <v>2135</v>
      </c>
      <c r="B141" s="95" t="s">
        <v>330</v>
      </c>
      <c r="C141" s="95" t="s">
        <v>1843</v>
      </c>
      <c r="D141" s="95"/>
      <c r="E141" s="95" t="s">
        <v>2141</v>
      </c>
      <c r="F141" s="95" t="s">
        <v>1049</v>
      </c>
      <c r="G141" s="95" t="s">
        <v>1877</v>
      </c>
      <c r="H141" s="95"/>
      <c r="I141" s="95" t="s">
        <v>1840</v>
      </c>
      <c r="J141" s="95"/>
      <c r="K141" s="95"/>
    </row>
    <row r="142" spans="1:13" ht="15.75" thickBot="1">
      <c r="A142" s="54" t="s">
        <v>2142</v>
      </c>
      <c r="B142" s="95" t="s">
        <v>331</v>
      </c>
      <c r="C142" s="95" t="s">
        <v>1792</v>
      </c>
      <c r="D142" s="95"/>
      <c r="E142" s="95" t="s">
        <v>2092</v>
      </c>
      <c r="F142" s="95"/>
      <c r="G142" s="95" t="s">
        <v>1839</v>
      </c>
      <c r="H142" s="95" t="s">
        <v>1919</v>
      </c>
      <c r="I142" s="95" t="s">
        <v>1049</v>
      </c>
      <c r="J142" s="95" t="s">
        <v>1049</v>
      </c>
      <c r="K142" s="95" t="s">
        <v>1049</v>
      </c>
    </row>
    <row r="143" spans="1:13" ht="15.75" thickBot="1">
      <c r="A143" s="54" t="s">
        <v>2142</v>
      </c>
      <c r="B143" s="95" t="s">
        <v>332</v>
      </c>
      <c r="C143" s="95" t="s">
        <v>1792</v>
      </c>
      <c r="D143" s="95"/>
      <c r="E143" s="95" t="s">
        <v>2143</v>
      </c>
      <c r="F143" s="95"/>
      <c r="G143" s="19" t="s">
        <v>2144</v>
      </c>
      <c r="H143" s="95"/>
      <c r="I143" s="95" t="s">
        <v>1840</v>
      </c>
      <c r="J143" s="95" t="s">
        <v>1049</v>
      </c>
      <c r="K143" s="95" t="s">
        <v>1049</v>
      </c>
    </row>
    <row r="144" spans="1:13" ht="15.75" thickBot="1">
      <c r="A144" s="54" t="s">
        <v>2142</v>
      </c>
      <c r="B144" s="95" t="s">
        <v>333</v>
      </c>
      <c r="C144" s="95" t="s">
        <v>1792</v>
      </c>
      <c r="D144" s="95"/>
      <c r="E144" s="20"/>
      <c r="F144" s="96"/>
      <c r="G144" s="18"/>
      <c r="H144" s="96"/>
      <c r="I144" s="96"/>
      <c r="J144" s="96"/>
      <c r="K144" s="96"/>
    </row>
    <row r="145" spans="1:11" ht="15.75" thickBot="1">
      <c r="A145" s="54" t="s">
        <v>2145</v>
      </c>
      <c r="B145" s="95" t="s">
        <v>334</v>
      </c>
      <c r="C145" s="95" t="s">
        <v>1946</v>
      </c>
      <c r="D145" s="95"/>
      <c r="E145" s="95" t="s">
        <v>2146</v>
      </c>
      <c r="F145" s="96"/>
      <c r="G145" s="96"/>
      <c r="H145" s="96"/>
      <c r="I145" s="96"/>
      <c r="J145" s="96"/>
      <c r="K145" s="96"/>
    </row>
    <row r="146" spans="1:11" ht="15.75" thickBot="1">
      <c r="A146" s="54" t="s">
        <v>2145</v>
      </c>
      <c r="B146" s="95" t="s">
        <v>335</v>
      </c>
      <c r="C146" s="95" t="s">
        <v>1946</v>
      </c>
      <c r="D146" s="95"/>
      <c r="E146" s="95" t="s">
        <v>2147</v>
      </c>
      <c r="F146" s="96"/>
      <c r="G146" s="96"/>
      <c r="H146" s="96"/>
      <c r="I146" s="96"/>
      <c r="J146" s="96"/>
      <c r="K146" s="96"/>
    </row>
    <row r="147" spans="1:11" ht="15.75" thickBot="1">
      <c r="A147" s="54" t="s">
        <v>2145</v>
      </c>
      <c r="B147" s="95" t="s">
        <v>336</v>
      </c>
      <c r="C147" s="95" t="s">
        <v>1792</v>
      </c>
      <c r="D147" s="95"/>
      <c r="E147" s="95" t="s">
        <v>2148</v>
      </c>
      <c r="F147" s="96"/>
      <c r="G147" s="96" t="s">
        <v>2149</v>
      </c>
      <c r="H147" s="96" t="s">
        <v>1049</v>
      </c>
      <c r="I147" s="96" t="s">
        <v>1840</v>
      </c>
      <c r="J147" s="96"/>
      <c r="K147" s="96"/>
    </row>
    <row r="148" spans="1:11" ht="15.75" thickBot="1">
      <c r="A148" s="54" t="s">
        <v>2145</v>
      </c>
      <c r="B148" s="95" t="s">
        <v>337</v>
      </c>
      <c r="C148" s="95" t="s">
        <v>1843</v>
      </c>
      <c r="D148" s="95"/>
      <c r="E148" s="95" t="s">
        <v>2150</v>
      </c>
      <c r="F148" s="96"/>
      <c r="G148" s="96" t="s">
        <v>1049</v>
      </c>
      <c r="H148" s="96" t="s">
        <v>1877</v>
      </c>
      <c r="I148" s="96"/>
      <c r="J148" s="96"/>
      <c r="K148" s="96"/>
    </row>
    <row r="149" spans="1:11" ht="15.75" thickBot="1">
      <c r="A149" s="54" t="s">
        <v>2145</v>
      </c>
      <c r="B149" s="95" t="s">
        <v>338</v>
      </c>
      <c r="C149" s="95" t="s">
        <v>1792</v>
      </c>
      <c r="D149" s="95"/>
      <c r="E149" s="95" t="s">
        <v>2151</v>
      </c>
      <c r="F149" s="96"/>
      <c r="G149" s="96" t="s">
        <v>2152</v>
      </c>
      <c r="H149" s="96" t="s">
        <v>1049</v>
      </c>
      <c r="I149" s="96" t="s">
        <v>1840</v>
      </c>
      <c r="J149" s="96" t="s">
        <v>2153</v>
      </c>
      <c r="K149" s="96" t="s">
        <v>2154</v>
      </c>
    </row>
    <row r="150" spans="1:11" ht="15.75" thickBot="1">
      <c r="A150" s="109" t="s">
        <v>2155</v>
      </c>
      <c r="B150" s="95" t="s">
        <v>339</v>
      </c>
      <c r="C150" s="95" t="s">
        <v>1792</v>
      </c>
      <c r="D150" s="95"/>
      <c r="E150" s="95" t="s">
        <v>2092</v>
      </c>
      <c r="F150" s="96"/>
      <c r="G150" s="96" t="s">
        <v>1839</v>
      </c>
      <c r="H150" s="96" t="s">
        <v>1919</v>
      </c>
      <c r="I150" s="96" t="s">
        <v>1049</v>
      </c>
      <c r="J150" s="96" t="s">
        <v>1049</v>
      </c>
      <c r="K150" s="96" t="s">
        <v>1049</v>
      </c>
    </row>
    <row r="151" spans="1:11" ht="15.75" thickBot="1">
      <c r="A151" s="109" t="s">
        <v>2155</v>
      </c>
      <c r="B151" s="95" t="s">
        <v>2156</v>
      </c>
      <c r="C151" s="95" t="s">
        <v>1792</v>
      </c>
      <c r="D151" s="95"/>
      <c r="E151" s="96" t="s">
        <v>2157</v>
      </c>
      <c r="F151" s="96"/>
      <c r="G151" s="18" t="s">
        <v>2158</v>
      </c>
      <c r="H151" s="96" t="s">
        <v>1049</v>
      </c>
      <c r="I151" s="96" t="s">
        <v>1840</v>
      </c>
      <c r="J151" s="96" t="s">
        <v>2159</v>
      </c>
      <c r="K151" s="96" t="s">
        <v>2160</v>
      </c>
    </row>
    <row r="152" spans="1:11" ht="15.75" thickBot="1">
      <c r="A152" s="26" t="s">
        <v>2161</v>
      </c>
      <c r="B152" s="95" t="s">
        <v>344</v>
      </c>
      <c r="C152" s="95" t="s">
        <v>1792</v>
      </c>
      <c r="D152" s="95"/>
      <c r="E152" s="95" t="s">
        <v>2092</v>
      </c>
      <c r="F152" s="95"/>
      <c r="G152" s="95" t="s">
        <v>1839</v>
      </c>
      <c r="H152" s="95" t="s">
        <v>1919</v>
      </c>
      <c r="I152" s="95" t="s">
        <v>1049</v>
      </c>
      <c r="J152" s="95" t="s">
        <v>1049</v>
      </c>
      <c r="K152" s="95" t="s">
        <v>1049</v>
      </c>
    </row>
    <row r="153" spans="1:11" ht="15.75" thickBot="1">
      <c r="A153" s="26" t="s">
        <v>2161</v>
      </c>
      <c r="B153" s="95" t="s">
        <v>345</v>
      </c>
      <c r="C153" s="95" t="s">
        <v>1792</v>
      </c>
      <c r="D153" s="95"/>
      <c r="E153" s="95" t="s">
        <v>2162</v>
      </c>
      <c r="F153" s="95"/>
      <c r="G153" s="95" t="s">
        <v>2163</v>
      </c>
      <c r="H153" s="95" t="s">
        <v>1049</v>
      </c>
      <c r="I153" s="95" t="s">
        <v>1840</v>
      </c>
      <c r="J153" s="95" t="s">
        <v>2164</v>
      </c>
      <c r="K153" s="95" t="s">
        <v>2165</v>
      </c>
    </row>
    <row r="154" spans="1:11" ht="15.75" thickBot="1">
      <c r="A154" s="26" t="s">
        <v>2166</v>
      </c>
      <c r="B154" s="96" t="s">
        <v>346</v>
      </c>
      <c r="C154" s="95" t="s">
        <v>1946</v>
      </c>
      <c r="D154" s="95"/>
      <c r="E154" s="95" t="s">
        <v>2167</v>
      </c>
      <c r="F154" s="95"/>
      <c r="G154" s="95" t="s">
        <v>2168</v>
      </c>
      <c r="H154" s="95"/>
      <c r="I154" s="95"/>
      <c r="J154" s="95"/>
      <c r="K154" s="95"/>
    </row>
    <row r="155" spans="1:11" ht="15.75" thickBot="1">
      <c r="A155" s="26" t="s">
        <v>2166</v>
      </c>
      <c r="B155" s="96" t="s">
        <v>347</v>
      </c>
      <c r="C155" s="95" t="s">
        <v>1946</v>
      </c>
      <c r="D155" s="95"/>
      <c r="E155" s="95" t="s">
        <v>2169</v>
      </c>
      <c r="F155" s="95"/>
      <c r="G155" s="95" t="s">
        <v>2168</v>
      </c>
      <c r="H155" s="95"/>
      <c r="I155" s="95"/>
      <c r="J155" s="95"/>
      <c r="K155" s="95"/>
    </row>
    <row r="156" spans="1:11" ht="15.75" thickBot="1">
      <c r="A156" s="26" t="s">
        <v>2166</v>
      </c>
      <c r="B156" s="96" t="s">
        <v>348</v>
      </c>
      <c r="C156" s="96" t="s">
        <v>1931</v>
      </c>
      <c r="D156" s="95"/>
      <c r="E156" s="95" t="s">
        <v>2170</v>
      </c>
      <c r="F156" s="95"/>
      <c r="G156" s="95"/>
      <c r="H156" s="95" t="s">
        <v>2171</v>
      </c>
      <c r="I156" s="95"/>
      <c r="J156" s="95"/>
      <c r="K156" s="95"/>
    </row>
    <row r="157" spans="1:11" ht="15.75" thickBot="1">
      <c r="A157" s="25" t="s">
        <v>2172</v>
      </c>
      <c r="B157" s="96" t="s">
        <v>349</v>
      </c>
      <c r="C157" s="96" t="s">
        <v>1792</v>
      </c>
      <c r="D157" s="96"/>
      <c r="E157" s="96" t="s">
        <v>2092</v>
      </c>
      <c r="F157" s="96"/>
      <c r="G157" s="96"/>
      <c r="H157" s="96"/>
      <c r="I157" s="96"/>
      <c r="J157" s="96"/>
      <c r="K157" s="96"/>
    </row>
    <row r="158" spans="1:11" ht="15.7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75" thickBot="1">
      <c r="A161" s="25" t="s">
        <v>2176</v>
      </c>
      <c r="B161" s="96" t="s">
        <v>356</v>
      </c>
      <c r="C161" s="96" t="s">
        <v>1931</v>
      </c>
      <c r="D161" s="96"/>
      <c r="E161" s="96" t="s">
        <v>2179</v>
      </c>
      <c r="F161" s="96"/>
      <c r="G161" s="96" t="s">
        <v>1049</v>
      </c>
      <c r="H161" s="37" t="s">
        <v>2171</v>
      </c>
      <c r="I161" s="96"/>
      <c r="J161" s="96"/>
      <c r="K161" s="96"/>
    </row>
    <row r="162" spans="1:14" ht="15.75" thickBot="1">
      <c r="A162" s="30" t="s">
        <v>462</v>
      </c>
      <c r="B162" s="96" t="s">
        <v>357</v>
      </c>
      <c r="C162" s="96" t="s">
        <v>1792</v>
      </c>
      <c r="D162" s="96"/>
      <c r="E162" s="95" t="s">
        <v>2092</v>
      </c>
      <c r="F162" s="96"/>
      <c r="G162" s="95" t="s">
        <v>1839</v>
      </c>
      <c r="H162" s="37"/>
      <c r="I162" s="96"/>
      <c r="J162" s="96"/>
      <c r="K162" s="96"/>
    </row>
    <row r="163" spans="1:14" ht="15.75" thickBot="1">
      <c r="A163" s="30" t="s">
        <v>462</v>
      </c>
      <c r="B163" s="96" t="s">
        <v>358</v>
      </c>
      <c r="C163" s="96" t="s">
        <v>1792</v>
      </c>
      <c r="D163" s="96"/>
      <c r="E163" s="95" t="s">
        <v>2180</v>
      </c>
      <c r="F163" s="96"/>
      <c r="G163" s="18" t="s">
        <v>2181</v>
      </c>
      <c r="H163" s="37"/>
      <c r="I163" s="96"/>
      <c r="J163" s="96"/>
      <c r="K163" s="96"/>
    </row>
    <row r="164" spans="1:14" ht="15.75" thickBot="1">
      <c r="A164" s="30" t="s">
        <v>462</v>
      </c>
      <c r="B164" s="96" t="s">
        <v>359</v>
      </c>
      <c r="C164" s="96" t="s">
        <v>1792</v>
      </c>
      <c r="D164" s="96"/>
      <c r="E164" t="s">
        <v>2182</v>
      </c>
      <c r="F164" s="96"/>
      <c r="G164" s="96" t="s">
        <v>2183</v>
      </c>
      <c r="H164" s="37"/>
      <c r="I164" s="96"/>
      <c r="J164" s="96"/>
      <c r="K164" s="96"/>
    </row>
    <row r="165" spans="1:14" ht="15.75" thickBot="1">
      <c r="A165" s="30" t="s">
        <v>462</v>
      </c>
      <c r="B165" s="96" t="s">
        <v>360</v>
      </c>
      <c r="C165" s="96" t="s">
        <v>1792</v>
      </c>
      <c r="D165" s="96"/>
      <c r="E165" s="96" t="s">
        <v>2184</v>
      </c>
      <c r="F165" s="96"/>
      <c r="G165" s="96" t="s">
        <v>2185</v>
      </c>
      <c r="H165" s="37"/>
      <c r="I165" s="96"/>
      <c r="J165" s="96"/>
      <c r="K165" s="96"/>
    </row>
    <row r="166" spans="1:14" ht="15.75" thickBot="1">
      <c r="A166" s="30" t="s">
        <v>462</v>
      </c>
      <c r="B166" s="96" t="s">
        <v>361</v>
      </c>
      <c r="C166" s="96" t="s">
        <v>1792</v>
      </c>
      <c r="D166" s="96"/>
      <c r="E166" s="96" t="s">
        <v>2186</v>
      </c>
      <c r="F166" s="96"/>
      <c r="G166" s="96" t="s">
        <v>2187</v>
      </c>
      <c r="H166" s="37"/>
      <c r="I166" s="96"/>
      <c r="J166" s="96"/>
      <c r="K166" s="96"/>
    </row>
    <row r="167" spans="1:14" ht="15.7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7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75" thickBot="1">
      <c r="A172" s="23" t="s">
        <v>2194</v>
      </c>
      <c r="B172" t="s">
        <v>370</v>
      </c>
      <c r="C172" s="96" t="s">
        <v>1792</v>
      </c>
      <c r="E172" t="s">
        <v>2199</v>
      </c>
    </row>
    <row r="173" spans="1:14" ht="15.75" thickBot="1">
      <c r="A173" s="23" t="s">
        <v>2194</v>
      </c>
      <c r="B173" s="95" t="s">
        <v>371</v>
      </c>
      <c r="C173" s="95" t="s">
        <v>1792</v>
      </c>
      <c r="D173" s="95"/>
      <c r="E173" s="95" t="s">
        <v>2200</v>
      </c>
      <c r="F173" s="95"/>
      <c r="G173" s="95" t="s">
        <v>2201</v>
      </c>
      <c r="H173" s="95"/>
      <c r="I173" s="95"/>
      <c r="J173" s="95"/>
      <c r="K173" s="95"/>
    </row>
    <row r="174" spans="1:14" ht="15.75" thickBot="1">
      <c r="A174" s="23" t="s">
        <v>465</v>
      </c>
      <c r="B174" s="95" t="s">
        <v>372</v>
      </c>
      <c r="C174" s="95" t="s">
        <v>1792</v>
      </c>
      <c r="D174" s="95"/>
      <c r="E174" s="95" t="s">
        <v>2202</v>
      </c>
      <c r="F174" s="95"/>
      <c r="G174" s="95" t="s">
        <v>2203</v>
      </c>
      <c r="H174" s="95" t="s">
        <v>2204</v>
      </c>
      <c r="I174" s="95"/>
      <c r="J174" s="95"/>
      <c r="K174" s="95"/>
    </row>
    <row r="175" spans="1:14" ht="15.7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7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7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7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75" thickBot="1">
      <c r="A179" s="1" t="s">
        <v>466</v>
      </c>
      <c r="B179" s="95" t="s">
        <v>377</v>
      </c>
      <c r="C179" s="95" t="s">
        <v>1843</v>
      </c>
      <c r="D179" s="95" t="s">
        <v>1932</v>
      </c>
      <c r="E179" s="95" t="s">
        <v>2219</v>
      </c>
      <c r="F179" s="95"/>
      <c r="G179" s="95"/>
      <c r="H179" s="95" t="s">
        <v>2220</v>
      </c>
      <c r="I179" s="95" t="s">
        <v>1840</v>
      </c>
      <c r="J179" s="95" t="s">
        <v>2221</v>
      </c>
      <c r="K179" s="95" t="s">
        <v>2222</v>
      </c>
    </row>
    <row r="180" spans="1:18" ht="15.75" thickBot="1">
      <c r="A180" s="1" t="s">
        <v>466</v>
      </c>
      <c r="B180" s="95" t="s">
        <v>378</v>
      </c>
      <c r="C180" s="95" t="s">
        <v>1843</v>
      </c>
      <c r="D180" s="95" t="s">
        <v>1932</v>
      </c>
      <c r="E180" s="95" t="s">
        <v>2223</v>
      </c>
      <c r="F180" s="95"/>
      <c r="G180" s="95"/>
      <c r="H180" s="95" t="s">
        <v>2224</v>
      </c>
      <c r="I180" s="95" t="s">
        <v>1840</v>
      </c>
      <c r="J180" s="95" t="s">
        <v>2221</v>
      </c>
      <c r="K180" s="95" t="s">
        <v>2222</v>
      </c>
    </row>
    <row r="181" spans="1:18" ht="15.75" thickBot="1">
      <c r="A181" s="1" t="s">
        <v>466</v>
      </c>
      <c r="B181" s="95" t="s">
        <v>379</v>
      </c>
      <c r="C181" s="95" t="s">
        <v>1843</v>
      </c>
      <c r="D181" s="95" t="s">
        <v>1450</v>
      </c>
      <c r="E181" s="95" t="s">
        <v>2225</v>
      </c>
      <c r="F181" s="95"/>
      <c r="G181" s="95" t="s">
        <v>1049</v>
      </c>
      <c r="H181" s="95" t="s">
        <v>2226</v>
      </c>
      <c r="I181" s="95" t="s">
        <v>1840</v>
      </c>
      <c r="J181" s="95"/>
      <c r="K181" s="95"/>
    </row>
    <row r="182" spans="1:18" ht="15.75" thickBot="1">
      <c r="A182" s="1" t="s">
        <v>466</v>
      </c>
      <c r="B182" s="95" t="s">
        <v>380</v>
      </c>
      <c r="C182" s="95" t="s">
        <v>1843</v>
      </c>
      <c r="D182" s="95" t="s">
        <v>1851</v>
      </c>
      <c r="E182" s="95" t="s">
        <v>2227</v>
      </c>
      <c r="F182" s="95"/>
      <c r="G182" s="95" t="s">
        <v>1049</v>
      </c>
      <c r="H182" s="95" t="s">
        <v>2226</v>
      </c>
      <c r="I182" s="95" t="s">
        <v>1840</v>
      </c>
      <c r="J182" s="95"/>
      <c r="K182" s="95"/>
    </row>
    <row r="183" spans="1:18" ht="15.75" thickBot="1">
      <c r="A183" s="1" t="s">
        <v>466</v>
      </c>
      <c r="B183" s="95" t="s">
        <v>381</v>
      </c>
      <c r="C183" s="95" t="s">
        <v>1792</v>
      </c>
      <c r="D183" s="95"/>
      <c r="E183" s="95" t="s">
        <v>2228</v>
      </c>
      <c r="F183" s="95"/>
      <c r="G183" s="95"/>
      <c r="H183" s="95" t="s">
        <v>2229</v>
      </c>
      <c r="I183" s="95" t="s">
        <v>2230</v>
      </c>
      <c r="J183" s="95" t="s">
        <v>1840</v>
      </c>
      <c r="K183" s="95"/>
    </row>
    <row r="184" spans="1:18" ht="15.75" thickBot="1">
      <c r="A184" s="1" t="s">
        <v>466</v>
      </c>
      <c r="B184" s="95" t="s">
        <v>382</v>
      </c>
      <c r="C184" s="95" t="s">
        <v>1843</v>
      </c>
      <c r="D184" s="95"/>
      <c r="E184" s="95" t="s">
        <v>2231</v>
      </c>
      <c r="F184" s="95"/>
      <c r="G184" s="95"/>
      <c r="H184" s="95" t="s">
        <v>1877</v>
      </c>
      <c r="I184" s="95" t="s">
        <v>1840</v>
      </c>
      <c r="J184" s="95" t="s">
        <v>2232</v>
      </c>
      <c r="K184" s="95" t="s">
        <v>2233</v>
      </c>
    </row>
    <row r="185" spans="1:18" ht="15.7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75" thickBot="1">
      <c r="A186" s="1" t="s">
        <v>466</v>
      </c>
      <c r="B186" s="95" t="s">
        <v>384</v>
      </c>
      <c r="C186" s="95" t="s">
        <v>1792</v>
      </c>
      <c r="D186" s="95"/>
      <c r="E186" s="95" t="s">
        <v>2240</v>
      </c>
      <c r="F186"/>
      <c r="G186"/>
      <c r="H186"/>
      <c r="I186"/>
      <c r="J186"/>
      <c r="K186"/>
      <c r="L186"/>
      <c r="M186"/>
      <c r="N186"/>
      <c r="O186"/>
      <c r="P186"/>
      <c r="Q186"/>
      <c r="R186"/>
    </row>
    <row r="187" spans="1:18" ht="15.7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7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7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7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7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7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7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75" thickBot="1">
      <c r="A194" s="203" t="s">
        <v>2266</v>
      </c>
      <c r="B194" s="95" t="s">
        <v>2267</v>
      </c>
      <c r="C194" s="95"/>
      <c r="D194" s="95"/>
      <c r="E194" s="95"/>
      <c r="F194" s="95"/>
      <c r="G194" s="95"/>
      <c r="H194" s="95"/>
      <c r="I194" s="95"/>
      <c r="J194" s="95"/>
      <c r="K194" s="95"/>
      <c r="L194" s="3"/>
    </row>
    <row r="195" spans="1:14" ht="15.75" thickBot="1">
      <c r="A195" s="203" t="s">
        <v>2266</v>
      </c>
      <c r="B195" s="95" t="s">
        <v>2268</v>
      </c>
      <c r="C195" s="95"/>
      <c r="D195" s="95"/>
      <c r="E195" s="95"/>
      <c r="F195" s="95"/>
      <c r="G195" s="95"/>
      <c r="H195" s="95"/>
      <c r="I195" s="95"/>
      <c r="J195" s="95"/>
      <c r="K195" s="95"/>
      <c r="L195" s="3"/>
    </row>
    <row r="196" spans="1:14" ht="15.75" thickBot="1">
      <c r="A196" s="202" t="s">
        <v>2269</v>
      </c>
      <c r="B196" s="95" t="s">
        <v>2270</v>
      </c>
      <c r="C196" s="95"/>
      <c r="D196" s="95"/>
      <c r="E196" s="95"/>
      <c r="F196" s="95"/>
      <c r="G196" s="95"/>
      <c r="H196" s="95"/>
      <c r="I196" s="95"/>
      <c r="J196" s="95"/>
      <c r="K196" s="95"/>
      <c r="L196" s="3"/>
    </row>
    <row r="197" spans="1:14" ht="15.75" thickBot="1">
      <c r="A197" s="202" t="s">
        <v>2269</v>
      </c>
      <c r="B197" s="95" t="s">
        <v>2271</v>
      </c>
      <c r="C197" s="95"/>
      <c r="D197" s="95"/>
      <c r="E197" s="95"/>
      <c r="F197" s="95"/>
      <c r="G197" s="95"/>
      <c r="H197" s="95"/>
      <c r="I197" s="95"/>
      <c r="J197" s="95"/>
      <c r="K197" s="95"/>
      <c r="L197" s="3"/>
    </row>
    <row r="198" spans="1:14" ht="15.75" thickBot="1">
      <c r="A198" s="202" t="s">
        <v>2269</v>
      </c>
      <c r="B198" s="95" t="s">
        <v>408</v>
      </c>
      <c r="C198" s="95"/>
      <c r="D198" s="95"/>
      <c r="E198" s="95"/>
      <c r="F198" s="95"/>
      <c r="G198" s="95"/>
      <c r="H198" s="95"/>
      <c r="I198" s="95"/>
      <c r="J198" s="95"/>
      <c r="K198" s="95"/>
      <c r="L198" s="3"/>
    </row>
    <row r="199" spans="1:14" ht="15.7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7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75" thickBot="1">
      <c r="A203" s="31" t="s">
        <v>2276</v>
      </c>
      <c r="B203" s="95" t="s">
        <v>413</v>
      </c>
      <c r="C203" s="95" t="s">
        <v>2280</v>
      </c>
      <c r="D203" s="95"/>
      <c r="E203" s="103" t="s">
        <v>2281</v>
      </c>
      <c r="F203" s="95"/>
      <c r="G203" s="95"/>
      <c r="H203" s="95"/>
      <c r="I203" s="95"/>
      <c r="J203" s="95"/>
      <c r="K203" s="95"/>
    </row>
    <row r="204" spans="1:14" ht="15.7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75" thickBot="1">
      <c r="A207" s="73" t="s">
        <v>2285</v>
      </c>
      <c r="B207" s="95" t="s">
        <v>417</v>
      </c>
      <c r="C207" s="95"/>
      <c r="D207" s="95"/>
      <c r="E207" s="96" t="s">
        <v>2286</v>
      </c>
      <c r="F207" s="95"/>
      <c r="G207" s="95"/>
      <c r="H207" s="95"/>
      <c r="I207" s="95"/>
      <c r="J207" s="95"/>
      <c r="K207" s="95"/>
    </row>
    <row r="208" spans="1:14" ht="15.75" thickBot="1">
      <c r="A208" s="73" t="s">
        <v>2285</v>
      </c>
      <c r="B208" s="95" t="s">
        <v>418</v>
      </c>
      <c r="C208" s="95"/>
      <c r="D208" s="95"/>
      <c r="E208" s="96" t="s">
        <v>2287</v>
      </c>
      <c r="F208" s="95"/>
      <c r="G208" s="95"/>
      <c r="H208" s="95"/>
      <c r="I208" s="95"/>
      <c r="J208" s="95"/>
      <c r="K208" s="95"/>
    </row>
    <row r="209" spans="1:11" ht="15.7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75" thickBot="1">
      <c r="A211" s="73" t="s">
        <v>2285</v>
      </c>
      <c r="B211" s="95" t="s">
        <v>421</v>
      </c>
      <c r="C211" s="95"/>
      <c r="D211" s="95"/>
      <c r="E211" s="96"/>
      <c r="F211" s="95"/>
      <c r="G211" s="95"/>
      <c r="H211" s="95"/>
      <c r="I211" s="95"/>
      <c r="J211" s="95"/>
      <c r="K211" s="95"/>
    </row>
    <row r="212" spans="1:11" ht="15.75" thickBot="1">
      <c r="A212" s="73" t="s">
        <v>2285</v>
      </c>
      <c r="B212" s="95" t="s">
        <v>422</v>
      </c>
      <c r="C212" s="95"/>
      <c r="D212" s="95"/>
      <c r="E212" s="96"/>
      <c r="F212" s="95"/>
      <c r="G212" s="95"/>
      <c r="H212" s="95"/>
      <c r="I212" s="95"/>
      <c r="J212" s="95"/>
      <c r="K212" s="95"/>
    </row>
    <row r="213" spans="1:11" ht="15.75" thickBot="1">
      <c r="A213" s="73" t="s">
        <v>2285</v>
      </c>
      <c r="B213" s="95" t="s">
        <v>423</v>
      </c>
      <c r="C213" s="95"/>
      <c r="D213" s="95"/>
      <c r="E213" s="96"/>
      <c r="F213" s="95"/>
      <c r="G213" s="95"/>
      <c r="H213" s="95"/>
      <c r="I213" s="95"/>
      <c r="J213" s="95"/>
      <c r="K213" s="95"/>
    </row>
    <row r="214" spans="1:11" ht="15.75" thickBot="1">
      <c r="A214" s="21"/>
      <c r="B214" s="104"/>
      <c r="C214" s="95"/>
      <c r="D214" s="95"/>
      <c r="E214" s="96"/>
      <c r="F214" s="95"/>
      <c r="G214" s="95"/>
      <c r="H214" s="95"/>
      <c r="I214" s="95"/>
      <c r="J214" s="95"/>
      <c r="K214" s="95"/>
    </row>
    <row r="215" spans="1:11" ht="15.75" thickBot="1">
      <c r="A215" s="21"/>
      <c r="B215" s="104"/>
      <c r="C215" s="95"/>
      <c r="D215" s="95"/>
      <c r="E215" s="96"/>
      <c r="F215" s="95"/>
      <c r="G215" s="95"/>
      <c r="H215" s="95"/>
      <c r="I215" s="95"/>
      <c r="J215" s="95"/>
      <c r="K215" s="95"/>
    </row>
    <row r="216" spans="1:11" ht="15.75" thickBot="1">
      <c r="A216" s="21"/>
      <c r="B216" s="104"/>
      <c r="C216" s="95"/>
      <c r="D216" s="95"/>
      <c r="E216" s="96"/>
      <c r="F216" s="95"/>
      <c r="G216" s="95"/>
      <c r="H216" s="95"/>
      <c r="I216" s="95"/>
      <c r="J216" s="95"/>
      <c r="K216" s="95"/>
    </row>
    <row r="217" spans="1:11" ht="15.75" thickBot="1">
      <c r="A217" s="21"/>
      <c r="B217" s="104"/>
      <c r="C217" s="95"/>
      <c r="D217" s="95"/>
      <c r="E217" s="96"/>
      <c r="F217" s="95"/>
      <c r="G217" s="95"/>
      <c r="H217" s="95"/>
      <c r="I217" s="95"/>
      <c r="J217" s="95"/>
      <c r="K217" s="95"/>
    </row>
    <row r="218" spans="1:11" ht="15.75" thickBot="1">
      <c r="A218" s="21"/>
      <c r="B218" s="104"/>
      <c r="C218" s="95"/>
      <c r="D218" s="95"/>
      <c r="E218" s="96"/>
      <c r="F218" s="95"/>
      <c r="G218" s="95"/>
      <c r="H218" s="95"/>
      <c r="I218" s="95"/>
      <c r="J218" s="95"/>
      <c r="K218" s="95"/>
    </row>
    <row r="219" spans="1:11" ht="15.75" thickBot="1">
      <c r="A219" s="21"/>
      <c r="B219" s="104"/>
      <c r="C219" s="95"/>
      <c r="D219" s="95"/>
      <c r="E219" s="96"/>
      <c r="F219" s="95"/>
      <c r="G219" s="95"/>
      <c r="H219" s="95"/>
      <c r="I219" s="95"/>
      <c r="J219" s="95"/>
      <c r="K219" s="95"/>
    </row>
    <row r="220" spans="1:11" ht="15.75" thickBot="1">
      <c r="A220" s="21"/>
      <c r="B220" s="104"/>
      <c r="C220" s="95"/>
      <c r="D220" s="95"/>
      <c r="E220" s="96"/>
      <c r="F220" s="95"/>
      <c r="G220" s="95"/>
      <c r="H220" s="95"/>
      <c r="I220" s="95"/>
      <c r="J220" s="95"/>
      <c r="K220" s="95"/>
    </row>
    <row r="221" spans="1:11" ht="15.75" thickBot="1">
      <c r="A221" s="21"/>
      <c r="B221" s="104"/>
      <c r="C221" s="95"/>
      <c r="D221" s="95"/>
      <c r="E221" s="96"/>
      <c r="F221" s="95"/>
      <c r="G221" s="95"/>
      <c r="H221" s="95"/>
      <c r="I221" s="95"/>
      <c r="J221" s="95"/>
      <c r="K221" s="95"/>
    </row>
    <row r="222" spans="1:11" ht="15.75" thickBot="1">
      <c r="A222" s="21"/>
      <c r="B222" s="104"/>
      <c r="C222" s="95"/>
      <c r="D222" s="95"/>
      <c r="E222" s="96"/>
      <c r="F222" s="95"/>
      <c r="G222" s="95"/>
      <c r="H222" s="95"/>
      <c r="I222" s="95"/>
      <c r="J222" s="95"/>
      <c r="K222" s="95"/>
    </row>
    <row r="223" spans="1:11" ht="15.75" thickBot="1">
      <c r="A223" s="21"/>
      <c r="B223" s="104"/>
      <c r="C223" s="95"/>
      <c r="D223" s="95"/>
      <c r="E223" s="96"/>
      <c r="F223" s="95"/>
      <c r="G223" s="95"/>
      <c r="H223" s="95"/>
      <c r="I223" s="95"/>
      <c r="J223" s="95"/>
      <c r="K223" s="95"/>
    </row>
    <row r="224" spans="1:11" ht="15.75" thickBot="1">
      <c r="A224" s="21"/>
      <c r="B224" s="104"/>
      <c r="C224" s="95"/>
      <c r="D224" s="95"/>
      <c r="E224" s="96"/>
      <c r="F224" s="95"/>
      <c r="G224" s="95"/>
      <c r="H224" s="95"/>
      <c r="I224" s="95"/>
      <c r="J224" s="95"/>
      <c r="K224" s="95"/>
    </row>
    <row r="225" spans="1:14" ht="15.75" thickBot="1">
      <c r="A225" s="31" t="s">
        <v>2288</v>
      </c>
      <c r="B225" s="95" t="s">
        <v>2289</v>
      </c>
      <c r="C225" s="95" t="s">
        <v>1946</v>
      </c>
      <c r="D225" s="95"/>
      <c r="E225" s="37" t="s">
        <v>2290</v>
      </c>
      <c r="F225" s="95"/>
      <c r="G225" s="95" t="s">
        <v>2291</v>
      </c>
      <c r="H225" s="95" t="s">
        <v>2292</v>
      </c>
      <c r="I225" s="95" t="s">
        <v>1840</v>
      </c>
      <c r="J225" s="95" t="s">
        <v>2293</v>
      </c>
      <c r="K225" s="95" t="s">
        <v>2294</v>
      </c>
    </row>
    <row r="226" spans="1:14" ht="15.7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PH189"/>
  <sheetViews>
    <sheetView tabSelected="1" topLeftCell="A163" workbookViewId="0">
      <selection activeCell="D178" sqref="D178"/>
    </sheetView>
  </sheetViews>
  <sheetFormatPr defaultRowHeight="15"/>
  <sheetData>
    <row r="1" spans="1:410" s="40" customFormat="1" ht="75.75"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7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7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7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7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7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7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7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5.75"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7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7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7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7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7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7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7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7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7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7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7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7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7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7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7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7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7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7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7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7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7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7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7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7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7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7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7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7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7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7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7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7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7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7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7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7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7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7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7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7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7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7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7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7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7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7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7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7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7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7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7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7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7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7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7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7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7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7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7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7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7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7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7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7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7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7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7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7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7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7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7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7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7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7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7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7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7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7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7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7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7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7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7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7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7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7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7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7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7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7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7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7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7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7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7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7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7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7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7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7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7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7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7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7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7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7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7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7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7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7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7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7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7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7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7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7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7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7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7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7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7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7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7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7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7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7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7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7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7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7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7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7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7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7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7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7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7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7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7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7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4.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7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7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7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7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7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7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7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7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7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7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7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7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5.75"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ht="15.75" thickBot="1">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row r="180" spans="1:424" s="70" customFormat="1" ht="75.75" thickBot="1">
      <c r="A180" s="164" t="s">
        <v>0</v>
      </c>
      <c r="B180" s="165" t="s">
        <v>1</v>
      </c>
      <c r="C180" s="166" t="s">
        <v>2</v>
      </c>
      <c r="D180" s="166" t="s">
        <v>3</v>
      </c>
      <c r="E180" s="166" t="s">
        <v>4</v>
      </c>
      <c r="F180" s="166" t="s">
        <v>5</v>
      </c>
      <c r="G180" s="166" t="s">
        <v>6</v>
      </c>
      <c r="H180" s="166" t="s">
        <v>7</v>
      </c>
      <c r="I180" s="166" t="s">
        <v>8</v>
      </c>
      <c r="J180" s="166" t="s">
        <v>9</v>
      </c>
      <c r="K180" s="166" t="s">
        <v>10</v>
      </c>
      <c r="L180" s="166" t="s">
        <v>11</v>
      </c>
      <c r="M180" s="166" t="s">
        <v>12</v>
      </c>
      <c r="N180" s="166" t="s">
        <v>13</v>
      </c>
      <c r="O180" s="166" t="s">
        <v>14</v>
      </c>
      <c r="P180" s="166" t="s">
        <v>15</v>
      </c>
      <c r="Q180" s="166" t="s">
        <v>16</v>
      </c>
      <c r="R180" s="166" t="s">
        <v>17</v>
      </c>
      <c r="S180" s="166" t="s">
        <v>18</v>
      </c>
      <c r="T180" s="166" t="s">
        <v>19</v>
      </c>
      <c r="U180" s="113" t="s">
        <v>20</v>
      </c>
      <c r="V180" s="113" t="s">
        <v>21</v>
      </c>
      <c r="W180" s="113" t="s">
        <v>22</v>
      </c>
      <c r="X180" s="113" t="s">
        <v>23</v>
      </c>
      <c r="Y180" s="113" t="s">
        <v>24</v>
      </c>
      <c r="Z180" s="113" t="s">
        <v>25</v>
      </c>
      <c r="AA180" s="113" t="s">
        <v>26</v>
      </c>
      <c r="AB180" s="113" t="s">
        <v>27</v>
      </c>
      <c r="AC180" s="113" t="s">
        <v>28</v>
      </c>
      <c r="AD180" s="113" t="s">
        <v>29</v>
      </c>
      <c r="AE180" s="113" t="s">
        <v>30</v>
      </c>
      <c r="AF180" s="113" t="s">
        <v>31</v>
      </c>
      <c r="AG180" s="113" t="s">
        <v>32</v>
      </c>
      <c r="AH180" s="113" t="s">
        <v>33</v>
      </c>
      <c r="AI180" s="113" t="s">
        <v>34</v>
      </c>
      <c r="AJ180" s="113" t="s">
        <v>35</v>
      </c>
      <c r="AK180" s="113" t="s">
        <v>36</v>
      </c>
      <c r="AL180" s="113" t="s">
        <v>37</v>
      </c>
      <c r="AM180" s="113" t="s">
        <v>38</v>
      </c>
      <c r="AN180" s="113" t="s">
        <v>39</v>
      </c>
      <c r="AO180" s="113" t="s">
        <v>40</v>
      </c>
      <c r="AP180" s="113" t="s">
        <v>41</v>
      </c>
      <c r="AQ180" s="113" t="s">
        <v>42</v>
      </c>
      <c r="AR180" s="113" t="s">
        <v>43</v>
      </c>
      <c r="AS180" s="113" t="s">
        <v>44</v>
      </c>
      <c r="AT180" s="113" t="s">
        <v>45</v>
      </c>
      <c r="AU180" s="113" t="s">
        <v>46</v>
      </c>
      <c r="AV180" s="228" t="s">
        <v>47</v>
      </c>
      <c r="AW180" s="228" t="s">
        <v>48</v>
      </c>
      <c r="AX180" s="228" t="s">
        <v>49</v>
      </c>
      <c r="AY180" s="228" t="s">
        <v>50</v>
      </c>
      <c r="AZ180" s="229" t="s">
        <v>51</v>
      </c>
      <c r="BA180" s="229" t="s">
        <v>52</v>
      </c>
      <c r="BB180" s="229" t="s">
        <v>53</v>
      </c>
      <c r="BC180" s="229" t="s">
        <v>54</v>
      </c>
      <c r="BD180" s="18" t="s">
        <v>55</v>
      </c>
      <c r="BE180" s="18" t="s">
        <v>56</v>
      </c>
      <c r="BF180" s="18" t="s">
        <v>57</v>
      </c>
      <c r="BG180" s="230" t="s">
        <v>58</v>
      </c>
      <c r="BH180" s="230" t="s">
        <v>59</v>
      </c>
      <c r="BI180" s="230" t="s">
        <v>60</v>
      </c>
      <c r="BJ180" s="230" t="s">
        <v>61</v>
      </c>
      <c r="BK180" s="230" t="s">
        <v>62</v>
      </c>
      <c r="BL180" s="230" t="s">
        <v>63</v>
      </c>
      <c r="BM180" s="230" t="s">
        <v>64</v>
      </c>
      <c r="BN180" s="230" t="s">
        <v>65</v>
      </c>
      <c r="BO180" s="230" t="s">
        <v>66</v>
      </c>
      <c r="BP180" s="230" t="s">
        <v>67</v>
      </c>
      <c r="BQ180" s="230" t="s">
        <v>68</v>
      </c>
      <c r="BR180" s="230" t="s">
        <v>69</v>
      </c>
      <c r="BS180" s="230" t="s">
        <v>70</v>
      </c>
      <c r="BT180" s="230" t="s">
        <v>71</v>
      </c>
      <c r="BU180" s="230" t="s">
        <v>72</v>
      </c>
      <c r="BV180" s="122" t="s">
        <v>73</v>
      </c>
      <c r="BW180" s="122" t="s">
        <v>74</v>
      </c>
      <c r="BX180" s="122" t="s">
        <v>75</v>
      </c>
      <c r="BY180" s="122" t="s">
        <v>76</v>
      </c>
      <c r="BZ180" s="122" t="s">
        <v>77</v>
      </c>
      <c r="CA180" s="122" t="s">
        <v>78</v>
      </c>
      <c r="CB180" s="122" t="s">
        <v>79</v>
      </c>
      <c r="CC180" s="122" t="s">
        <v>80</v>
      </c>
      <c r="CD180" s="122" t="s">
        <v>81</v>
      </c>
      <c r="CE180" s="122" t="s">
        <v>82</v>
      </c>
      <c r="CF180" s="122" t="s">
        <v>83</v>
      </c>
      <c r="CG180" s="122" t="s">
        <v>84</v>
      </c>
      <c r="CH180" s="122" t="s">
        <v>85</v>
      </c>
      <c r="CI180" s="122" t="s">
        <v>86</v>
      </c>
      <c r="CJ180" s="122" t="s">
        <v>87</v>
      </c>
      <c r="CK180" s="122" t="s">
        <v>88</v>
      </c>
      <c r="CL180" s="122" t="s">
        <v>89</v>
      </c>
      <c r="CM180" s="122" t="s">
        <v>90</v>
      </c>
      <c r="CN180" s="122" t="s">
        <v>91</v>
      </c>
      <c r="CO180" s="122" t="s">
        <v>92</v>
      </c>
      <c r="CP180" s="122" t="s">
        <v>93</v>
      </c>
      <c r="CQ180" s="122" t="s">
        <v>94</v>
      </c>
      <c r="CR180" s="122" t="s">
        <v>95</v>
      </c>
      <c r="CS180" s="122" t="s">
        <v>96</v>
      </c>
      <c r="CT180" s="122" t="s">
        <v>97</v>
      </c>
      <c r="CU180" s="122" t="s">
        <v>98</v>
      </c>
      <c r="CV180" s="122" t="s">
        <v>99</v>
      </c>
      <c r="CW180" s="122" t="s">
        <v>100</v>
      </c>
      <c r="CX180" s="122" t="s">
        <v>101</v>
      </c>
      <c r="CY180" s="122" t="s">
        <v>102</v>
      </c>
      <c r="CZ180" s="122" t="s">
        <v>103</v>
      </c>
      <c r="DA180" s="122" t="s">
        <v>104</v>
      </c>
      <c r="DB180" s="122" t="s">
        <v>105</v>
      </c>
      <c r="DC180" s="122" t="s">
        <v>106</v>
      </c>
      <c r="DD180" s="122" t="s">
        <v>107</v>
      </c>
      <c r="DE180" s="122" t="s">
        <v>108</v>
      </c>
      <c r="DF180" s="122" t="s">
        <v>109</v>
      </c>
      <c r="DG180" s="122" t="s">
        <v>110</v>
      </c>
      <c r="DH180" s="122" t="s">
        <v>111</v>
      </c>
      <c r="DI180" s="122" t="s">
        <v>112</v>
      </c>
      <c r="DJ180" s="122" t="s">
        <v>113</v>
      </c>
      <c r="DK180" s="122" t="s">
        <v>114</v>
      </c>
      <c r="DL180" s="122" t="s">
        <v>115</v>
      </c>
      <c r="DM180" s="122" t="s">
        <v>116</v>
      </c>
      <c r="DN180" s="122" t="s">
        <v>117</v>
      </c>
      <c r="DO180" s="122" t="s">
        <v>118</v>
      </c>
      <c r="DP180" s="122" t="s">
        <v>119</v>
      </c>
      <c r="DQ180" s="122" t="s">
        <v>120</v>
      </c>
      <c r="DR180" s="122" t="s">
        <v>121</v>
      </c>
      <c r="DS180" s="122" t="s">
        <v>122</v>
      </c>
      <c r="DT180" s="122" t="s">
        <v>123</v>
      </c>
      <c r="DU180" s="122" t="s">
        <v>124</v>
      </c>
      <c r="DV180" s="122" t="s">
        <v>125</v>
      </c>
      <c r="DW180" s="122" t="s">
        <v>126</v>
      </c>
      <c r="DX180" s="122" t="s">
        <v>127</v>
      </c>
      <c r="DY180" s="122" t="s">
        <v>128</v>
      </c>
      <c r="DZ180" s="122" t="s">
        <v>129</v>
      </c>
      <c r="EA180" s="122" t="s">
        <v>130</v>
      </c>
      <c r="EB180" s="122" t="s">
        <v>131</v>
      </c>
      <c r="EC180" s="122" t="s">
        <v>132</v>
      </c>
      <c r="ED180" s="231" t="s">
        <v>133</v>
      </c>
      <c r="EE180" s="231" t="s">
        <v>134</v>
      </c>
      <c r="EF180" s="231" t="s">
        <v>135</v>
      </c>
      <c r="EG180" s="231" t="s">
        <v>136</v>
      </c>
      <c r="EH180" s="231" t="s">
        <v>137</v>
      </c>
      <c r="EI180" s="231" t="s">
        <v>138</v>
      </c>
      <c r="EJ180" s="231" t="s">
        <v>139</v>
      </c>
      <c r="EK180" s="231" t="s">
        <v>140</v>
      </c>
      <c r="EL180" s="231" t="s">
        <v>141</v>
      </c>
      <c r="EM180" s="231" t="s">
        <v>142</v>
      </c>
      <c r="EN180" s="231" t="s">
        <v>143</v>
      </c>
      <c r="EO180" s="231" t="s">
        <v>144</v>
      </c>
      <c r="EP180" s="231" t="s">
        <v>145</v>
      </c>
      <c r="EQ180" s="231" t="s">
        <v>146</v>
      </c>
      <c r="ER180" s="231" t="s">
        <v>147</v>
      </c>
      <c r="ES180" s="231" t="s">
        <v>148</v>
      </c>
      <c r="ET180" s="231" t="s">
        <v>149</v>
      </c>
      <c r="EU180" s="231" t="s">
        <v>150</v>
      </c>
      <c r="EV180" s="231" t="s">
        <v>151</v>
      </c>
      <c r="EW180" s="231" t="s">
        <v>152</v>
      </c>
      <c r="EX180" s="231" t="s">
        <v>153</v>
      </c>
      <c r="EY180" s="231" t="s">
        <v>154</v>
      </c>
      <c r="EZ180" s="231" t="s">
        <v>155</v>
      </c>
      <c r="FA180" s="231" t="s">
        <v>156</v>
      </c>
      <c r="FB180" s="231" t="s">
        <v>157</v>
      </c>
      <c r="FC180" s="231" t="s">
        <v>158</v>
      </c>
      <c r="FD180" s="231" t="s">
        <v>159</v>
      </c>
      <c r="FE180" s="231" t="s">
        <v>160</v>
      </c>
      <c r="FF180" s="231" t="s">
        <v>161</v>
      </c>
      <c r="FG180" s="231" t="s">
        <v>162</v>
      </c>
      <c r="FH180" s="231" t="s">
        <v>163</v>
      </c>
      <c r="FI180" s="231" t="s">
        <v>164</v>
      </c>
      <c r="FJ180" s="231" t="s">
        <v>165</v>
      </c>
      <c r="FK180" s="231" t="s">
        <v>166</v>
      </c>
      <c r="FL180" s="231" t="s">
        <v>167</v>
      </c>
      <c r="FM180" s="231" t="s">
        <v>168</v>
      </c>
      <c r="FN180" s="231" t="s">
        <v>169</v>
      </c>
      <c r="FO180" s="231" t="s">
        <v>170</v>
      </c>
      <c r="FP180" s="231" t="s">
        <v>171</v>
      </c>
      <c r="FQ180" s="231" t="s">
        <v>172</v>
      </c>
      <c r="FR180" s="231" t="s">
        <v>173</v>
      </c>
      <c r="FS180" s="231" t="s">
        <v>174</v>
      </c>
      <c r="FT180" s="231" t="s">
        <v>175</v>
      </c>
      <c r="FU180" s="231" t="s">
        <v>176</v>
      </c>
      <c r="FV180" s="231" t="s">
        <v>177</v>
      </c>
      <c r="FW180" s="231" t="s">
        <v>178</v>
      </c>
      <c r="FX180" s="231" t="s">
        <v>179</v>
      </c>
      <c r="FY180" s="231" t="s">
        <v>180</v>
      </c>
      <c r="FZ180" s="231" t="s">
        <v>181</v>
      </c>
      <c r="GA180" s="231" t="s">
        <v>182</v>
      </c>
      <c r="GB180" s="231" t="s">
        <v>183</v>
      </c>
      <c r="GC180" s="231" t="s">
        <v>184</v>
      </c>
      <c r="GD180" s="231" t="s">
        <v>185</v>
      </c>
      <c r="GE180" s="231" t="s">
        <v>186</v>
      </c>
      <c r="GF180" s="231" t="s">
        <v>187</v>
      </c>
      <c r="GG180" s="231" t="s">
        <v>188</v>
      </c>
      <c r="GH180" s="231" t="s">
        <v>189</v>
      </c>
      <c r="GI180" s="231" t="s">
        <v>190</v>
      </c>
      <c r="GJ180" s="231" t="s">
        <v>191</v>
      </c>
      <c r="GK180" s="231"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7" t="s">
        <v>218</v>
      </c>
      <c r="HL180" s="117" t="s">
        <v>219</v>
      </c>
      <c r="HM180" s="117" t="s">
        <v>220</v>
      </c>
      <c r="HN180" s="117" t="s">
        <v>221</v>
      </c>
      <c r="HO180" s="117" t="s">
        <v>222</v>
      </c>
      <c r="HP180" s="117" t="s">
        <v>223</v>
      </c>
      <c r="HQ180" s="232" t="s">
        <v>224</v>
      </c>
      <c r="HR180" s="232" t="s">
        <v>225</v>
      </c>
      <c r="HS180" s="232" t="s">
        <v>226</v>
      </c>
      <c r="HT180" s="232" t="s">
        <v>227</v>
      </c>
      <c r="HU180" s="232" t="s">
        <v>228</v>
      </c>
      <c r="HV180" s="233" t="s">
        <v>229</v>
      </c>
      <c r="HW180" s="233" t="s">
        <v>230</v>
      </c>
      <c r="HX180" s="233" t="s">
        <v>231</v>
      </c>
      <c r="HY180" s="233" t="s">
        <v>232</v>
      </c>
      <c r="HZ180" s="233" t="s">
        <v>233</v>
      </c>
      <c r="IA180" s="233" t="s">
        <v>234</v>
      </c>
      <c r="IB180" s="234" t="s">
        <v>235</v>
      </c>
      <c r="IC180" s="234" t="s">
        <v>236</v>
      </c>
      <c r="ID180" s="234" t="s">
        <v>237</v>
      </c>
      <c r="IE180" s="234" t="s">
        <v>238</v>
      </c>
      <c r="IF180" s="234" t="s">
        <v>239</v>
      </c>
      <c r="IG180" s="234" t="s">
        <v>240</v>
      </c>
      <c r="IH180" s="235" t="s">
        <v>241</v>
      </c>
      <c r="II180" s="235" t="s">
        <v>242</v>
      </c>
      <c r="IJ180" s="235" t="s">
        <v>243</v>
      </c>
      <c r="IK180" s="235" t="s">
        <v>244</v>
      </c>
      <c r="IL180" s="235" t="s">
        <v>245</v>
      </c>
      <c r="IM180" s="235" t="s">
        <v>246</v>
      </c>
      <c r="IN180" s="235" t="s">
        <v>247</v>
      </c>
      <c r="IO180" s="26" t="s">
        <v>248</v>
      </c>
      <c r="IP180" s="26" t="s">
        <v>249</v>
      </c>
      <c r="IQ180" s="26" t="s">
        <v>250</v>
      </c>
      <c r="IR180" s="26" t="s">
        <v>251</v>
      </c>
      <c r="IS180" s="26" t="s">
        <v>252</v>
      </c>
      <c r="IT180" s="26" t="s">
        <v>253</v>
      </c>
      <c r="IU180" s="26" t="s">
        <v>254</v>
      </c>
      <c r="IV180" s="236" t="s">
        <v>255</v>
      </c>
      <c r="IW180" s="236" t="s">
        <v>256</v>
      </c>
      <c r="IX180" s="236" t="s">
        <v>257</v>
      </c>
      <c r="IY180" s="236" t="s">
        <v>258</v>
      </c>
      <c r="IZ180" s="236" t="s">
        <v>259</v>
      </c>
      <c r="JA180" s="236" t="s">
        <v>260</v>
      </c>
      <c r="JB180" s="236" t="s">
        <v>261</v>
      </c>
      <c r="JC180" s="236" t="s">
        <v>262</v>
      </c>
      <c r="JD180" s="236" t="s">
        <v>263</v>
      </c>
      <c r="JE180" s="236" t="s">
        <v>264</v>
      </c>
      <c r="JF180" s="236" t="s">
        <v>265</v>
      </c>
      <c r="JG180" s="236" t="s">
        <v>266</v>
      </c>
      <c r="JH180" s="236" t="s">
        <v>267</v>
      </c>
      <c r="JI180" s="236"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7" t="s">
        <v>294</v>
      </c>
      <c r="KJ180" s="237" t="s">
        <v>295</v>
      </c>
      <c r="KK180" s="237" t="s">
        <v>296</v>
      </c>
      <c r="KL180" s="237" t="s">
        <v>297</v>
      </c>
      <c r="KM180" s="237" t="s">
        <v>298</v>
      </c>
      <c r="KN180" s="237" t="s">
        <v>299</v>
      </c>
      <c r="KO180" s="237" t="s">
        <v>300</v>
      </c>
      <c r="KP180" s="237" t="s">
        <v>301</v>
      </c>
      <c r="KQ180" s="237" t="s">
        <v>302</v>
      </c>
      <c r="KR180" s="237" t="s">
        <v>303</v>
      </c>
      <c r="KS180" s="237" t="s">
        <v>304</v>
      </c>
      <c r="KT180" s="237" t="s">
        <v>305</v>
      </c>
      <c r="KU180" s="237" t="s">
        <v>306</v>
      </c>
      <c r="KV180" s="238" t="s">
        <v>307</v>
      </c>
      <c r="KW180" s="238" t="s">
        <v>308</v>
      </c>
      <c r="KX180" s="238" t="s">
        <v>309</v>
      </c>
      <c r="KY180" s="238" t="s">
        <v>310</v>
      </c>
      <c r="KZ180" s="238" t="s">
        <v>311</v>
      </c>
      <c r="LA180" s="238" t="s">
        <v>312</v>
      </c>
      <c r="LB180" s="238" t="s">
        <v>313</v>
      </c>
      <c r="LC180" s="238" t="s">
        <v>314</v>
      </c>
      <c r="LD180" s="238" t="s">
        <v>315</v>
      </c>
      <c r="LE180" s="238" t="s">
        <v>316</v>
      </c>
      <c r="LF180" s="238" t="s">
        <v>317</v>
      </c>
      <c r="LG180" s="238" t="s">
        <v>318</v>
      </c>
      <c r="LH180" s="238" t="s">
        <v>319</v>
      </c>
      <c r="LI180" s="238" t="s">
        <v>320</v>
      </c>
      <c r="LJ180" s="238" t="s">
        <v>321</v>
      </c>
      <c r="LK180" s="238" t="s">
        <v>322</v>
      </c>
      <c r="LL180" s="238" t="s">
        <v>323</v>
      </c>
      <c r="LM180" s="238" t="s">
        <v>324</v>
      </c>
      <c r="LN180" s="238" t="s">
        <v>325</v>
      </c>
      <c r="LO180" s="239" t="s">
        <v>326</v>
      </c>
      <c r="LP180" s="239" t="s">
        <v>327</v>
      </c>
      <c r="LQ180" s="239" t="s">
        <v>328</v>
      </c>
      <c r="LR180" s="239" t="s">
        <v>329</v>
      </c>
      <c r="LS180" s="239" t="s">
        <v>330</v>
      </c>
      <c r="LT180" s="240" t="s">
        <v>331</v>
      </c>
      <c r="LU180" s="240" t="s">
        <v>332</v>
      </c>
      <c r="LV180" s="240" t="s">
        <v>333</v>
      </c>
      <c r="LW180" s="240" t="s">
        <v>334</v>
      </c>
      <c r="LX180" s="240" t="s">
        <v>335</v>
      </c>
      <c r="LY180" s="240" t="s">
        <v>336</v>
      </c>
      <c r="LZ180" s="240" t="s">
        <v>337</v>
      </c>
      <c r="MA180" s="240" t="s">
        <v>338</v>
      </c>
      <c r="MB180" s="241" t="s">
        <v>339</v>
      </c>
      <c r="MC180" s="241" t="s">
        <v>340</v>
      </c>
      <c r="MD180" s="241" t="s">
        <v>341</v>
      </c>
      <c r="ME180" s="241" t="s">
        <v>342</v>
      </c>
      <c r="MF180" s="241" t="s">
        <v>343</v>
      </c>
      <c r="MG180" s="242" t="s">
        <v>344</v>
      </c>
      <c r="MH180" s="242" t="s">
        <v>345</v>
      </c>
      <c r="MI180" s="242" t="s">
        <v>346</v>
      </c>
      <c r="MJ180" s="242" t="s">
        <v>347</v>
      </c>
      <c r="MK180" s="242" t="s">
        <v>348</v>
      </c>
      <c r="ML180" s="243" t="s">
        <v>349</v>
      </c>
      <c r="MM180" s="243" t="s">
        <v>350</v>
      </c>
      <c r="MN180" s="243" t="s">
        <v>351</v>
      </c>
      <c r="MO180" s="243" t="s">
        <v>352</v>
      </c>
      <c r="MP180" s="243" t="s">
        <v>353</v>
      </c>
      <c r="MQ180" s="243" t="s">
        <v>354</v>
      </c>
      <c r="MR180" s="243" t="s">
        <v>355</v>
      </c>
      <c r="MS180" s="243" t="s">
        <v>356</v>
      </c>
      <c r="MT180" s="238" t="s">
        <v>357</v>
      </c>
      <c r="MU180" s="238" t="s">
        <v>358</v>
      </c>
      <c r="MV180" s="238" t="s">
        <v>359</v>
      </c>
      <c r="MW180" s="238" t="s">
        <v>360</v>
      </c>
      <c r="MX180" s="238" t="s">
        <v>361</v>
      </c>
      <c r="MY180" s="244" t="s">
        <v>362</v>
      </c>
      <c r="MZ180" s="244" t="s">
        <v>363</v>
      </c>
      <c r="NA180" s="113" t="s">
        <v>364</v>
      </c>
      <c r="NB180" s="113" t="s">
        <v>365</v>
      </c>
      <c r="NC180" s="113" t="s">
        <v>366</v>
      </c>
      <c r="ND180" s="113" t="s">
        <v>367</v>
      </c>
      <c r="NE180" s="113" t="s">
        <v>368</v>
      </c>
      <c r="NF180" s="113" t="s">
        <v>369</v>
      </c>
      <c r="NG180" s="113" t="s">
        <v>370</v>
      </c>
      <c r="NH180" s="113" t="s">
        <v>371</v>
      </c>
      <c r="NI180" s="113"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45" t="s">
        <v>385</v>
      </c>
      <c r="NW180" s="245" t="s">
        <v>386</v>
      </c>
      <c r="NX180" s="245" t="s">
        <v>387</v>
      </c>
      <c r="NY180" s="245" t="s">
        <v>388</v>
      </c>
      <c r="NZ180" s="245" t="s">
        <v>389</v>
      </c>
      <c r="OA180" s="245" t="s">
        <v>390</v>
      </c>
      <c r="OB180" s="245" t="s">
        <v>391</v>
      </c>
      <c r="OC180" s="246" t="s">
        <v>392</v>
      </c>
      <c r="OD180" s="246" t="s">
        <v>393</v>
      </c>
      <c r="OE180" s="246" t="s">
        <v>394</v>
      </c>
      <c r="OF180" s="246" t="s">
        <v>395</v>
      </c>
      <c r="OG180" s="246" t="s">
        <v>396</v>
      </c>
      <c r="OH180" s="246" t="s">
        <v>397</v>
      </c>
      <c r="OI180" s="246" t="s">
        <v>398</v>
      </c>
      <c r="OJ180" s="246" t="s">
        <v>399</v>
      </c>
      <c r="OK180" s="246" t="s">
        <v>400</v>
      </c>
      <c r="OL180" s="246" t="s">
        <v>401</v>
      </c>
      <c r="OM180" s="247" t="s">
        <v>402</v>
      </c>
      <c r="ON180" s="247" t="s">
        <v>403</v>
      </c>
      <c r="OO180" s="247" t="s">
        <v>404</v>
      </c>
      <c r="OP180" s="247" t="s">
        <v>405</v>
      </c>
      <c r="OQ180" s="247" t="s">
        <v>406</v>
      </c>
      <c r="OR180" s="247" t="s">
        <v>407</v>
      </c>
      <c r="OS180" s="247" t="s">
        <v>408</v>
      </c>
      <c r="OT180" s="247" t="s">
        <v>409</v>
      </c>
      <c r="OU180" s="22" t="s">
        <v>410</v>
      </c>
      <c r="OV180" s="248" t="s">
        <v>411</v>
      </c>
      <c r="OW180" s="248" t="s">
        <v>412</v>
      </c>
      <c r="OX180" s="248" t="s">
        <v>413</v>
      </c>
      <c r="OY180" s="248" t="s">
        <v>414</v>
      </c>
      <c r="OZ180" s="248" t="s">
        <v>415</v>
      </c>
      <c r="PA180" s="248" t="s">
        <v>416</v>
      </c>
      <c r="PB180" s="249" t="s">
        <v>417</v>
      </c>
      <c r="PC180" s="249" t="s">
        <v>418</v>
      </c>
      <c r="PD180" s="250" t="s">
        <v>419</v>
      </c>
      <c r="PE180" s="250" t="s">
        <v>420</v>
      </c>
      <c r="PF180" s="250" t="s">
        <v>421</v>
      </c>
      <c r="PG180" s="250" t="s">
        <v>422</v>
      </c>
      <c r="PH180" s="183" t="s">
        <v>423</v>
      </c>
    </row>
    <row r="181" spans="1:424" ht="17.25" customHeight="1" thickBot="1">
      <c r="A181" s="251" t="s">
        <v>424</v>
      </c>
      <c r="B181" s="252" t="s">
        <v>424</v>
      </c>
      <c r="C181" s="253" t="s">
        <v>425</v>
      </c>
      <c r="D181" s="253" t="s">
        <v>425</v>
      </c>
      <c r="E181" s="253" t="s">
        <v>425</v>
      </c>
      <c r="F181" s="253" t="s">
        <v>425</v>
      </c>
      <c r="G181" s="253" t="s">
        <v>425</v>
      </c>
      <c r="H181" s="253" t="s">
        <v>425</v>
      </c>
      <c r="I181" s="253" t="s">
        <v>425</v>
      </c>
      <c r="J181" s="253" t="s">
        <v>425</v>
      </c>
      <c r="K181" s="253" t="s">
        <v>425</v>
      </c>
      <c r="L181" s="253" t="s">
        <v>425</v>
      </c>
      <c r="M181" s="253" t="s">
        <v>425</v>
      </c>
      <c r="N181" s="253" t="s">
        <v>425</v>
      </c>
      <c r="O181" s="253" t="s">
        <v>425</v>
      </c>
      <c r="P181" s="253" t="s">
        <v>425</v>
      </c>
      <c r="Q181" s="253" t="s">
        <v>425</v>
      </c>
      <c r="R181" s="253" t="s">
        <v>425</v>
      </c>
      <c r="S181" s="253" t="s">
        <v>425</v>
      </c>
      <c r="T181" s="253" t="s">
        <v>425</v>
      </c>
      <c r="U181" s="76" t="s">
        <v>425</v>
      </c>
      <c r="V181" s="76" t="s">
        <v>425</v>
      </c>
      <c r="W181" s="76" t="s">
        <v>425</v>
      </c>
      <c r="X181" s="76" t="s">
        <v>425</v>
      </c>
      <c r="Y181" s="76" t="s">
        <v>425</v>
      </c>
      <c r="Z181" s="76" t="s">
        <v>425</v>
      </c>
      <c r="AA181" s="76" t="s">
        <v>425</v>
      </c>
      <c r="AB181" s="76" t="s">
        <v>425</v>
      </c>
      <c r="AC181" s="76" t="s">
        <v>425</v>
      </c>
      <c r="AD181" s="76" t="s">
        <v>425</v>
      </c>
      <c r="AE181" s="76" t="s">
        <v>425</v>
      </c>
      <c r="AF181" s="76" t="s">
        <v>425</v>
      </c>
      <c r="AG181" s="76" t="s">
        <v>425</v>
      </c>
      <c r="AH181" s="76" t="s">
        <v>425</v>
      </c>
      <c r="AI181" s="76" t="s">
        <v>425</v>
      </c>
      <c r="AJ181" s="76" t="s">
        <v>425</v>
      </c>
      <c r="AK181" s="76" t="s">
        <v>425</v>
      </c>
      <c r="AL181" s="76" t="s">
        <v>425</v>
      </c>
      <c r="AM181" s="76" t="s">
        <v>425</v>
      </c>
      <c r="AN181" s="76" t="s">
        <v>425</v>
      </c>
      <c r="AO181" s="76" t="s">
        <v>425</v>
      </c>
      <c r="AP181" s="76" t="s">
        <v>425</v>
      </c>
      <c r="AQ181" s="76" t="s">
        <v>425</v>
      </c>
      <c r="AR181" s="76" t="s">
        <v>425</v>
      </c>
      <c r="AS181" s="76" t="s">
        <v>425</v>
      </c>
      <c r="AT181" s="76" t="s">
        <v>425</v>
      </c>
      <c r="AU181" s="76" t="s">
        <v>425</v>
      </c>
      <c r="AV181" s="254" t="s">
        <v>426</v>
      </c>
      <c r="AW181" s="254" t="s">
        <v>426</v>
      </c>
      <c r="AX181" s="254" t="s">
        <v>426</v>
      </c>
      <c r="AY181" s="254" t="s">
        <v>426</v>
      </c>
      <c r="AZ181" s="255" t="s">
        <v>427</v>
      </c>
      <c r="BA181" s="255" t="s">
        <v>427</v>
      </c>
      <c r="BB181" s="255" t="s">
        <v>427</v>
      </c>
      <c r="BC181" s="255" t="s">
        <v>427</v>
      </c>
      <c r="BD181" s="18" t="s">
        <v>428</v>
      </c>
      <c r="BE181" s="18" t="s">
        <v>428</v>
      </c>
      <c r="BF181" s="256" t="s">
        <v>428</v>
      </c>
      <c r="BG181" s="257" t="s">
        <v>429</v>
      </c>
      <c r="BH181" s="257" t="s">
        <v>430</v>
      </c>
      <c r="BI181" s="257" t="s">
        <v>430</v>
      </c>
      <c r="BJ181" s="257" t="s">
        <v>430</v>
      </c>
      <c r="BK181" s="257" t="s">
        <v>430</v>
      </c>
      <c r="BL181" s="257" t="s">
        <v>430</v>
      </c>
      <c r="BM181" s="257" t="s">
        <v>430</v>
      </c>
      <c r="BN181" s="257" t="s">
        <v>430</v>
      </c>
      <c r="BO181" s="257" t="s">
        <v>430</v>
      </c>
      <c r="BP181" s="257" t="s">
        <v>430</v>
      </c>
      <c r="BQ181" s="257" t="s">
        <v>430</v>
      </c>
      <c r="BR181" s="257" t="s">
        <v>430</v>
      </c>
      <c r="BS181" s="257" t="s">
        <v>430</v>
      </c>
      <c r="BT181" s="257"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54" t="s">
        <v>431</v>
      </c>
      <c r="EE181" s="258" t="s">
        <v>431</v>
      </c>
      <c r="EF181" s="258" t="s">
        <v>431</v>
      </c>
      <c r="EG181" s="258" t="s">
        <v>431</v>
      </c>
      <c r="EH181" s="258" t="s">
        <v>431</v>
      </c>
      <c r="EI181" s="258" t="s">
        <v>431</v>
      </c>
      <c r="EJ181" s="258" t="s">
        <v>431</v>
      </c>
      <c r="EK181" s="258"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55" t="s">
        <v>433</v>
      </c>
      <c r="HL181" s="255" t="s">
        <v>433</v>
      </c>
      <c r="HM181" s="255" t="s">
        <v>434</v>
      </c>
      <c r="HN181" s="255" t="s">
        <v>434</v>
      </c>
      <c r="HO181" s="255" t="s">
        <v>434</v>
      </c>
      <c r="HP181" s="255" t="s">
        <v>434</v>
      </c>
      <c r="HQ181" s="258" t="s">
        <v>435</v>
      </c>
      <c r="HR181" s="258" t="s">
        <v>435</v>
      </c>
      <c r="HS181" s="258" t="s">
        <v>436</v>
      </c>
      <c r="HT181" s="258" t="s">
        <v>436</v>
      </c>
      <c r="HU181" s="258" t="s">
        <v>436</v>
      </c>
      <c r="HV181" s="259" t="s">
        <v>437</v>
      </c>
      <c r="HW181" s="259" t="s">
        <v>437</v>
      </c>
      <c r="HX181" s="259" t="s">
        <v>437</v>
      </c>
      <c r="HY181" s="259" t="s">
        <v>437</v>
      </c>
      <c r="HZ181" s="259" t="s">
        <v>437</v>
      </c>
      <c r="IA181" s="259" t="s">
        <v>437</v>
      </c>
      <c r="IB181" s="260" t="s">
        <v>438</v>
      </c>
      <c r="IC181" s="260" t="s">
        <v>438</v>
      </c>
      <c r="ID181" s="260" t="s">
        <v>438</v>
      </c>
      <c r="IE181" s="260" t="s">
        <v>438</v>
      </c>
      <c r="IF181" s="260" t="s">
        <v>438</v>
      </c>
      <c r="IG181" s="260" t="s">
        <v>438</v>
      </c>
      <c r="IH181" s="261" t="s">
        <v>439</v>
      </c>
      <c r="II181" s="262" t="s">
        <v>439</v>
      </c>
      <c r="IJ181" s="262" t="s">
        <v>440</v>
      </c>
      <c r="IK181" s="261" t="s">
        <v>440</v>
      </c>
      <c r="IL181" s="261" t="s">
        <v>440</v>
      </c>
      <c r="IM181" s="261" t="s">
        <v>440</v>
      </c>
      <c r="IN181" s="261" t="s">
        <v>440</v>
      </c>
      <c r="IO181" s="255" t="s">
        <v>441</v>
      </c>
      <c r="IP181" s="255" t="s">
        <v>441</v>
      </c>
      <c r="IQ181" s="255"/>
      <c r="IR181" s="255"/>
      <c r="IS181" s="255" t="s">
        <v>442</v>
      </c>
      <c r="IT181" s="255" t="s">
        <v>442</v>
      </c>
      <c r="IU181" s="255" t="s">
        <v>442</v>
      </c>
      <c r="IV181" s="258" t="s">
        <v>443</v>
      </c>
      <c r="IW181" s="258" t="s">
        <v>443</v>
      </c>
      <c r="IX181" s="254" t="s">
        <v>443</v>
      </c>
      <c r="IY181" s="254" t="s">
        <v>443</v>
      </c>
      <c r="IZ181" s="254" t="s">
        <v>1989</v>
      </c>
      <c r="JA181" s="254" t="s">
        <v>444</v>
      </c>
      <c r="JB181" s="254" t="s">
        <v>444</v>
      </c>
      <c r="JC181" s="254" t="s">
        <v>444</v>
      </c>
      <c r="JD181" s="254" t="s">
        <v>444</v>
      </c>
      <c r="JE181" s="254" t="s">
        <v>444</v>
      </c>
      <c r="JF181" s="254" t="s">
        <v>444</v>
      </c>
      <c r="JG181" s="254" t="s">
        <v>444</v>
      </c>
      <c r="JH181" s="254" t="s">
        <v>444</v>
      </c>
      <c r="JI181" s="254" t="s">
        <v>444</v>
      </c>
      <c r="JJ181" s="263" t="s">
        <v>445</v>
      </c>
      <c r="JK181" s="263" t="s">
        <v>445</v>
      </c>
      <c r="JL181" s="263" t="s">
        <v>446</v>
      </c>
      <c r="JM181" s="261" t="s">
        <v>446</v>
      </c>
      <c r="JN181" s="261" t="s">
        <v>446</v>
      </c>
      <c r="JO181" s="261" t="s">
        <v>446</v>
      </c>
      <c r="JP181" s="261" t="s">
        <v>446</v>
      </c>
      <c r="JQ181" s="261" t="s">
        <v>446</v>
      </c>
      <c r="JR181" s="261" t="s">
        <v>446</v>
      </c>
      <c r="JS181" s="261" t="s">
        <v>446</v>
      </c>
      <c r="JT181" s="261" t="s">
        <v>446</v>
      </c>
      <c r="JU181" s="261" t="s">
        <v>446</v>
      </c>
      <c r="JV181" s="255" t="s">
        <v>446</v>
      </c>
      <c r="JW181" s="255" t="s">
        <v>446</v>
      </c>
      <c r="JX181" s="255" t="s">
        <v>446</v>
      </c>
      <c r="JY181" s="255" t="s">
        <v>446</v>
      </c>
      <c r="JZ181" s="255" t="s">
        <v>446</v>
      </c>
      <c r="KA181" s="255" t="s">
        <v>446</v>
      </c>
      <c r="KB181" s="255" t="s">
        <v>446</v>
      </c>
      <c r="KC181" s="255" t="s">
        <v>446</v>
      </c>
      <c r="KD181" s="255" t="s">
        <v>446</v>
      </c>
      <c r="KE181" s="261" t="s">
        <v>447</v>
      </c>
      <c r="KF181" s="262" t="s">
        <v>447</v>
      </c>
      <c r="KG181" s="262" t="s">
        <v>448</v>
      </c>
      <c r="KH181" s="261" t="s">
        <v>448</v>
      </c>
      <c r="KI181" s="255" t="s">
        <v>449</v>
      </c>
      <c r="KJ181" s="255" t="s">
        <v>449</v>
      </c>
      <c r="KK181" s="255" t="s">
        <v>450</v>
      </c>
      <c r="KL181" s="255" t="s">
        <v>450</v>
      </c>
      <c r="KM181" s="255" t="s">
        <v>450</v>
      </c>
      <c r="KN181" s="264" t="s">
        <v>449</v>
      </c>
      <c r="KO181" s="264" t="s">
        <v>450</v>
      </c>
      <c r="KP181" s="255" t="s">
        <v>450</v>
      </c>
      <c r="KQ181" s="255" t="s">
        <v>450</v>
      </c>
      <c r="KR181" s="264" t="s">
        <v>449</v>
      </c>
      <c r="KS181" s="264" t="s">
        <v>450</v>
      </c>
      <c r="KT181" s="255" t="s">
        <v>450</v>
      </c>
      <c r="KU181" s="255" t="s">
        <v>450</v>
      </c>
      <c r="KV181" s="261" t="s">
        <v>451</v>
      </c>
      <c r="KW181" s="265" t="s">
        <v>451</v>
      </c>
      <c r="KX181" s="265" t="s">
        <v>451</v>
      </c>
      <c r="KY181" s="265" t="s">
        <v>451</v>
      </c>
      <c r="KZ181" s="265" t="s">
        <v>451</v>
      </c>
      <c r="LA181" s="261"/>
      <c r="LB181" s="261"/>
      <c r="LC181" s="261"/>
      <c r="LD181" s="261" t="s">
        <v>452</v>
      </c>
      <c r="LE181" s="261"/>
      <c r="LF181" s="261" t="s">
        <v>452</v>
      </c>
      <c r="LG181" s="261"/>
      <c r="LH181" s="261" t="s">
        <v>452</v>
      </c>
      <c r="LI181" s="261" t="s">
        <v>452</v>
      </c>
      <c r="LJ181" s="261" t="s">
        <v>452</v>
      </c>
      <c r="LK181" s="261" t="s">
        <v>452</v>
      </c>
      <c r="LL181" s="261" t="s">
        <v>452</v>
      </c>
      <c r="LM181" s="261" t="s">
        <v>452</v>
      </c>
      <c r="LN181" s="261" t="s">
        <v>452</v>
      </c>
      <c r="LO181" s="266" t="s">
        <v>453</v>
      </c>
      <c r="LP181" s="266" t="s">
        <v>453</v>
      </c>
      <c r="LQ181" s="266" t="s">
        <v>453</v>
      </c>
      <c r="LR181" s="266" t="s">
        <v>454</v>
      </c>
      <c r="LS181" s="266" t="s">
        <v>454</v>
      </c>
      <c r="LT181" s="267" t="s">
        <v>455</v>
      </c>
      <c r="LU181" s="267" t="s">
        <v>455</v>
      </c>
      <c r="LV181" s="28" t="s">
        <v>456</v>
      </c>
      <c r="LW181" s="268" t="s">
        <v>456</v>
      </c>
      <c r="LX181" s="268" t="s">
        <v>456</v>
      </c>
      <c r="LY181" s="268" t="s">
        <v>456</v>
      </c>
      <c r="LZ181" s="268" t="s">
        <v>456</v>
      </c>
      <c r="MA181" s="268" t="s">
        <v>456</v>
      </c>
      <c r="MB181" s="27" t="s">
        <v>457</v>
      </c>
      <c r="MC181" s="27" t="s">
        <v>457</v>
      </c>
      <c r="MD181" s="27" t="s">
        <v>457</v>
      </c>
      <c r="ME181" s="269" t="s">
        <v>457</v>
      </c>
      <c r="MF181" s="270" t="s">
        <v>457</v>
      </c>
      <c r="MG181" s="255" t="s">
        <v>458</v>
      </c>
      <c r="MH181" s="255" t="s">
        <v>458</v>
      </c>
      <c r="MI181" s="271" t="s">
        <v>459</v>
      </c>
      <c r="MJ181" s="271" t="s">
        <v>459</v>
      </c>
      <c r="MK181" s="271" t="s">
        <v>459</v>
      </c>
      <c r="ML181" s="272" t="s">
        <v>460</v>
      </c>
      <c r="MM181" s="272" t="s">
        <v>460</v>
      </c>
      <c r="MN181" s="272" t="s">
        <v>460</v>
      </c>
      <c r="MO181" s="272" t="s">
        <v>460</v>
      </c>
      <c r="MP181" s="272" t="s">
        <v>460</v>
      </c>
      <c r="MQ181" s="273" t="s">
        <v>461</v>
      </c>
      <c r="MR181" s="273" t="s">
        <v>461</v>
      </c>
      <c r="MS181" s="273" t="s">
        <v>461</v>
      </c>
      <c r="MT181" s="261" t="s">
        <v>462</v>
      </c>
      <c r="MU181" s="261" t="s">
        <v>462</v>
      </c>
      <c r="MV181" s="261" t="s">
        <v>462</v>
      </c>
      <c r="MW181" s="261" t="s">
        <v>462</v>
      </c>
      <c r="MX181" s="261" t="s">
        <v>462</v>
      </c>
      <c r="MY181" s="274" t="s">
        <v>463</v>
      </c>
      <c r="MZ181" s="275" t="s">
        <v>463</v>
      </c>
      <c r="NA181" s="49" t="s">
        <v>464</v>
      </c>
      <c r="NB181" s="49" t="s">
        <v>464</v>
      </c>
      <c r="NC181" s="49" t="s">
        <v>464</v>
      </c>
      <c r="ND181" s="49" t="s">
        <v>464</v>
      </c>
      <c r="NE181" s="49" t="s">
        <v>464</v>
      </c>
      <c r="NF181" s="49" t="s">
        <v>464</v>
      </c>
      <c r="NG181" s="49" t="s">
        <v>464</v>
      </c>
      <c r="NH181" s="49" t="s">
        <v>464</v>
      </c>
      <c r="NI181" s="276" t="s">
        <v>465</v>
      </c>
      <c r="NJ181" s="257" t="s">
        <v>466</v>
      </c>
      <c r="NK181" s="257" t="s">
        <v>466</v>
      </c>
      <c r="NL181" s="58" t="s">
        <v>466</v>
      </c>
      <c r="NM181" s="58" t="s">
        <v>466</v>
      </c>
      <c r="NN181" s="257" t="s">
        <v>466</v>
      </c>
      <c r="NO181" s="257" t="s">
        <v>466</v>
      </c>
      <c r="NP181" s="257" t="s">
        <v>466</v>
      </c>
      <c r="NQ181" s="257" t="s">
        <v>466</v>
      </c>
      <c r="NR181" s="257" t="s">
        <v>466</v>
      </c>
      <c r="NS181" s="257" t="s">
        <v>466</v>
      </c>
      <c r="NT181" s="257" t="s">
        <v>466</v>
      </c>
      <c r="NU181" s="257" t="s">
        <v>466</v>
      </c>
      <c r="NV181" s="277" t="s">
        <v>467</v>
      </c>
      <c r="NW181" s="21" t="s">
        <v>467</v>
      </c>
      <c r="NX181" s="277" t="s">
        <v>467</v>
      </c>
      <c r="NY181" s="277" t="s">
        <v>467</v>
      </c>
      <c r="NZ181" s="277" t="s">
        <v>467</v>
      </c>
      <c r="OA181" s="277" t="s">
        <v>467</v>
      </c>
      <c r="OB181" s="277" t="s">
        <v>467</v>
      </c>
      <c r="OC181" s="278" t="s">
        <v>2616</v>
      </c>
      <c r="OD181" s="278" t="s">
        <v>2616</v>
      </c>
      <c r="OE181" s="278" t="s">
        <v>2616</v>
      </c>
      <c r="OF181" s="278" t="s">
        <v>2616</v>
      </c>
      <c r="OG181" s="278" t="s">
        <v>2616</v>
      </c>
      <c r="OH181" s="278" t="s">
        <v>2616</v>
      </c>
      <c r="OI181" s="278" t="s">
        <v>2616</v>
      </c>
      <c r="OJ181" s="278" t="s">
        <v>2616</v>
      </c>
      <c r="OK181" s="278" t="s">
        <v>2616</v>
      </c>
      <c r="OL181" s="278" t="s">
        <v>2616</v>
      </c>
      <c r="OM181" s="279" t="s">
        <v>2617</v>
      </c>
      <c r="ON181" s="279" t="s">
        <v>2617</v>
      </c>
      <c r="OO181" s="279" t="s">
        <v>2617</v>
      </c>
      <c r="OP181" s="279" t="s">
        <v>2617</v>
      </c>
      <c r="OQ181" s="279" t="s">
        <v>2617</v>
      </c>
      <c r="OR181" s="279" t="s">
        <v>2617</v>
      </c>
      <c r="OS181" s="279" t="s">
        <v>2617</v>
      </c>
      <c r="OT181" s="279" t="s">
        <v>2617</v>
      </c>
      <c r="OU181" s="277" t="s">
        <v>467</v>
      </c>
      <c r="OV181" s="280" t="s">
        <v>467</v>
      </c>
      <c r="OW181" s="280" t="s">
        <v>468</v>
      </c>
      <c r="OX181" s="280" t="s">
        <v>468</v>
      </c>
      <c r="OY181" s="280" t="s">
        <v>468</v>
      </c>
      <c r="OZ181" s="280" t="s">
        <v>468</v>
      </c>
      <c r="PA181" s="280" t="s">
        <v>468</v>
      </c>
    </row>
    <row r="182" spans="1:424" ht="17.25" thickBot="1">
      <c r="A182" s="205" t="s">
        <v>665</v>
      </c>
      <c r="B182" s="2" t="s">
        <v>2635</v>
      </c>
      <c r="C182" s="2" t="s">
        <v>2634</v>
      </c>
      <c r="D182" s="88" t="s">
        <v>480</v>
      </c>
      <c r="E182" s="2" t="s">
        <v>2633</v>
      </c>
      <c r="F182" s="88" t="s">
        <v>474</v>
      </c>
      <c r="G182" s="2" t="s">
        <v>475</v>
      </c>
      <c r="H182" s="2" t="s">
        <v>476</v>
      </c>
      <c r="I182" s="88">
        <v>10.566667000000001</v>
      </c>
      <c r="J182" s="88">
        <v>106</v>
      </c>
      <c r="K182" s="88">
        <v>800</v>
      </c>
      <c r="L182" s="2"/>
      <c r="M182" s="88"/>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2632</v>
      </c>
      <c r="AW182" s="2">
        <f>6*15</f>
        <v>90</v>
      </c>
      <c r="AX182" s="2" t="s">
        <v>480</v>
      </c>
      <c r="AY182" s="2">
        <v>8</v>
      </c>
      <c r="AZ182" s="185" t="s">
        <v>2651</v>
      </c>
      <c r="BA182" s="185">
        <v>2001</v>
      </c>
      <c r="BB182" s="185">
        <v>2008</v>
      </c>
      <c r="BC182" s="185"/>
      <c r="BD182" t="s">
        <v>2644</v>
      </c>
      <c r="BE182" t="s">
        <v>524</v>
      </c>
      <c r="BF182" s="185" t="s">
        <v>484</v>
      </c>
      <c r="BG182" s="185" t="s">
        <v>1501</v>
      </c>
      <c r="BH182" s="79" t="s">
        <v>480</v>
      </c>
      <c r="BI182" s="206" t="s">
        <v>1503</v>
      </c>
      <c r="BJ182" s="283">
        <v>150</v>
      </c>
      <c r="BK182" s="185" t="s">
        <v>555</v>
      </c>
      <c r="BL182" s="185" t="s">
        <v>1501</v>
      </c>
      <c r="BM182" s="185" t="s">
        <v>480</v>
      </c>
      <c r="BN182" s="206" t="s">
        <v>1503</v>
      </c>
      <c r="BO182" s="283">
        <v>150</v>
      </c>
      <c r="BP182" s="185" t="s">
        <v>555</v>
      </c>
      <c r="BQ182" s="185" t="s">
        <v>1501</v>
      </c>
      <c r="BR182" s="185" t="s">
        <v>480</v>
      </c>
      <c r="BS182" s="206" t="s">
        <v>1503</v>
      </c>
      <c r="BT182" s="283">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85"/>
      <c r="EF182" s="185"/>
      <c r="EG182" s="185"/>
      <c r="EH182" s="185"/>
      <c r="EI182" s="185"/>
      <c r="EJ182" s="185"/>
      <c r="EK182" s="185"/>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85"/>
      <c r="HL182" s="185"/>
      <c r="HM182" s="185"/>
      <c r="HN182" s="185"/>
      <c r="HO182" s="185"/>
      <c r="HP182" s="185"/>
      <c r="HQ182" s="185"/>
      <c r="HR182" s="185"/>
      <c r="HS182" s="206"/>
      <c r="HT182" s="185"/>
      <c r="HU182" s="185"/>
      <c r="HV182" s="185"/>
      <c r="HW182" s="185"/>
      <c r="HX182" s="215"/>
      <c r="HY182" s="185"/>
      <c r="HZ182" s="185"/>
      <c r="IA182" s="185"/>
      <c r="IB182" s="185"/>
      <c r="IC182" s="185"/>
      <c r="ID182" s="185"/>
      <c r="IE182" s="185"/>
      <c r="IF182" s="185"/>
      <c r="IG182" s="185"/>
      <c r="IH182" s="185"/>
      <c r="II182" s="148"/>
      <c r="IJ182" s="148"/>
      <c r="IK182" s="210"/>
      <c r="IL182" s="185"/>
      <c r="IM182" s="185"/>
      <c r="IN182" s="185"/>
      <c r="IO182" t="s">
        <v>2644</v>
      </c>
      <c r="IP182" s="185" t="s">
        <v>492</v>
      </c>
      <c r="IQ182" s="185"/>
      <c r="IR182" s="185"/>
      <c r="IS182" s="185">
        <v>2001</v>
      </c>
      <c r="IT182" s="214" t="s">
        <v>2650</v>
      </c>
      <c r="IU182" s="185" t="s">
        <v>480</v>
      </c>
      <c r="IV182" s="185"/>
      <c r="IW182" s="185"/>
      <c r="IX182" s="2"/>
      <c r="IY182" s="2"/>
      <c r="IZ182" s="2"/>
      <c r="JA182" s="2"/>
      <c r="JB182" s="2"/>
      <c r="JC182" s="2"/>
      <c r="JD182" s="2"/>
      <c r="JE182" s="2"/>
      <c r="JF182" s="2"/>
      <c r="JG182" s="2"/>
      <c r="JH182" s="2"/>
      <c r="JI182" s="2"/>
      <c r="JJ182" s="2" t="s">
        <v>2628</v>
      </c>
      <c r="JK182" s="2" t="s">
        <v>494</v>
      </c>
      <c r="JL182" s="151" t="s">
        <v>495</v>
      </c>
      <c r="JM182" s="282" t="s">
        <v>2627</v>
      </c>
      <c r="JN182" s="206"/>
      <c r="JO182" s="185"/>
      <c r="JP182" s="206" t="s">
        <v>508</v>
      </c>
      <c r="JQ182" s="185">
        <f>100*3</f>
        <v>300</v>
      </c>
      <c r="JR182" s="185">
        <f>45*3</f>
        <v>135</v>
      </c>
      <c r="JS182" s="185">
        <f>30*3</f>
        <v>90</v>
      </c>
      <c r="JT182" s="185"/>
      <c r="JU182" s="185"/>
      <c r="JV182" s="140"/>
      <c r="JW182" s="140"/>
      <c r="JX182" s="206"/>
      <c r="JY182" s="185"/>
      <c r="JZ182" s="206"/>
      <c r="KA182" s="185"/>
      <c r="KB182" s="185"/>
      <c r="KC182" s="185"/>
      <c r="KD182" s="206"/>
      <c r="KE182" s="206"/>
      <c r="KF182" s="148"/>
      <c r="KG182" s="216"/>
      <c r="KH182" s="185"/>
      <c r="KI182" s="185"/>
      <c r="KJ182" s="185"/>
      <c r="KK182" s="185"/>
      <c r="KL182" s="206"/>
      <c r="KM182" s="185"/>
      <c r="KN182" s="148"/>
      <c r="KO182" s="216"/>
      <c r="KP182" s="185"/>
      <c r="KQ182" s="185"/>
      <c r="KR182" s="148"/>
      <c r="KS182" s="216"/>
      <c r="KT182" s="185"/>
      <c r="KU182" s="185"/>
      <c r="KV182" s="185"/>
      <c r="KW182" s="3"/>
      <c r="KX182" s="3"/>
      <c r="KY182" s="3"/>
      <c r="KZ182" s="3"/>
      <c r="LA182" s="206"/>
      <c r="LB182" s="206"/>
      <c r="LC182" s="206"/>
      <c r="LD182" s="206"/>
      <c r="LE182" s="206"/>
      <c r="LF182" s="206"/>
      <c r="LG182" s="134"/>
      <c r="LH182" s="206"/>
      <c r="LI182" s="206"/>
      <c r="LJ182" s="206"/>
      <c r="LK182" s="206"/>
      <c r="LL182" s="206"/>
      <c r="LM182" s="206"/>
      <c r="LN182" s="185"/>
      <c r="LO182" s="185"/>
      <c r="LP182" s="185"/>
      <c r="LQ182" s="185"/>
      <c r="LR182" s="185"/>
      <c r="LS182" s="185"/>
      <c r="LT182" s="185"/>
      <c r="LU182" s="185"/>
      <c r="LV182" s="144"/>
      <c r="LW182" s="2"/>
      <c r="LX182" s="2"/>
      <c r="LY182" s="2"/>
      <c r="LZ182" s="2"/>
      <c r="MA182" s="2"/>
      <c r="ME182" s="2"/>
      <c r="MF182" s="185"/>
      <c r="MG182" s="185"/>
      <c r="MH182" s="185"/>
      <c r="MI182" s="2"/>
      <c r="MJ182" s="2"/>
      <c r="MK182" s="2"/>
      <c r="ML182" s="2"/>
      <c r="MM182" s="2"/>
      <c r="MN182" s="2"/>
      <c r="MO182" s="2"/>
      <c r="MP182" s="2"/>
      <c r="MQ182" s="185"/>
      <c r="MR182" s="185"/>
      <c r="MS182" s="185"/>
      <c r="MT182" s="185"/>
      <c r="MU182" s="185"/>
      <c r="MV182" s="185"/>
      <c r="MW182" s="185"/>
      <c r="MX182" s="185"/>
      <c r="MY182" s="211" t="s">
        <v>2626</v>
      </c>
      <c r="MZ182" s="281">
        <f>6*15</f>
        <v>90</v>
      </c>
      <c r="NA182" t="s">
        <v>2625</v>
      </c>
      <c r="NB182" t="s">
        <v>2625</v>
      </c>
      <c r="NH182" t="s">
        <v>711</v>
      </c>
      <c r="NI182" s="185"/>
      <c r="NJ182" s="185" t="s">
        <v>2647</v>
      </c>
      <c r="NK182" s="185" t="s">
        <v>2648</v>
      </c>
      <c r="NL182" t="s">
        <v>2647</v>
      </c>
      <c r="NM182" t="s">
        <v>2646</v>
      </c>
      <c r="NN182" s="185"/>
      <c r="NO182" s="185"/>
      <c r="NP182" s="185"/>
      <c r="NQ182" s="185"/>
      <c r="NR182" s="185"/>
      <c r="NS182" s="185"/>
      <c r="NT182" t="s">
        <v>2644</v>
      </c>
      <c r="NU182" s="185"/>
      <c r="NV182" s="220" t="s">
        <v>518</v>
      </c>
      <c r="NW182">
        <v>2752.5149999999999</v>
      </c>
      <c r="NX182" s="220" t="s">
        <v>520</v>
      </c>
      <c r="NY182" s="185">
        <v>458.75300000000016</v>
      </c>
      <c r="NZ182" s="220"/>
      <c r="OA182" s="220"/>
      <c r="OB182" s="185">
        <v>4</v>
      </c>
      <c r="OC182" s="185"/>
      <c r="OD182" s="185"/>
      <c r="OE182" s="185"/>
      <c r="OF182" s="185"/>
      <c r="OG182" s="185"/>
      <c r="OH182" s="185"/>
      <c r="OI182" s="185"/>
      <c r="OJ182" s="185"/>
      <c r="OK182" s="185"/>
      <c r="OL182" s="185"/>
      <c r="OM182" s="133"/>
      <c r="ON182" s="133"/>
      <c r="OO182" s="133"/>
      <c r="OP182" s="133"/>
      <c r="OQ182" s="133"/>
      <c r="OR182" s="133"/>
      <c r="OS182" s="133"/>
      <c r="OT182" s="133"/>
      <c r="OU182" s="185" t="s">
        <v>2620</v>
      </c>
      <c r="OV182" s="185"/>
      <c r="OW182" s="185">
        <v>2007</v>
      </c>
      <c r="OX182" s="185" t="s">
        <v>1049</v>
      </c>
      <c r="OY182" s="185" t="s">
        <v>1049</v>
      </c>
      <c r="OZ182" s="185">
        <v>7.1</v>
      </c>
      <c r="PA182" s="185"/>
      <c r="PB182" t="s">
        <v>2619</v>
      </c>
      <c r="PC182" s="50">
        <v>46176</v>
      </c>
      <c r="PD182" t="s">
        <v>2618</v>
      </c>
      <c r="PE182" t="s">
        <v>1049</v>
      </c>
      <c r="PF182" t="s">
        <v>1049</v>
      </c>
      <c r="PH182" t="s">
        <v>1049</v>
      </c>
    </row>
    <row r="183" spans="1:424" ht="17.25" thickBot="1">
      <c r="A183" s="205" t="s">
        <v>665</v>
      </c>
      <c r="B183" s="2" t="s">
        <v>2635</v>
      </c>
      <c r="C183" s="2" t="s">
        <v>2634</v>
      </c>
      <c r="D183" s="88" t="s">
        <v>480</v>
      </c>
      <c r="E183" s="2" t="s">
        <v>2633</v>
      </c>
      <c r="F183" s="88" t="s">
        <v>474</v>
      </c>
      <c r="G183" s="2" t="s">
        <v>475</v>
      </c>
      <c r="H183" s="2" t="s">
        <v>476</v>
      </c>
      <c r="I183" s="88">
        <v>10.566667000000001</v>
      </c>
      <c r="J183" s="88">
        <v>106</v>
      </c>
      <c r="K183" s="88">
        <v>800</v>
      </c>
      <c r="L183" s="2"/>
      <c r="M183" s="88"/>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2632</v>
      </c>
      <c r="AW183" s="2">
        <f>6*15</f>
        <v>90</v>
      </c>
      <c r="AX183" s="2" t="s">
        <v>480</v>
      </c>
      <c r="AY183" s="2">
        <v>8</v>
      </c>
      <c r="AZ183" s="185" t="s">
        <v>2631</v>
      </c>
      <c r="BA183" s="185">
        <v>2001</v>
      </c>
      <c r="BB183" s="185">
        <v>2008</v>
      </c>
      <c r="BC183" s="185"/>
      <c r="BD183" t="s">
        <v>2641</v>
      </c>
      <c r="BE183" t="s">
        <v>536</v>
      </c>
      <c r="BF183" s="185" t="s">
        <v>484</v>
      </c>
      <c r="BG183" s="185" t="s">
        <v>1501</v>
      </c>
      <c r="BH183" s="79" t="s">
        <v>480</v>
      </c>
      <c r="BI183" s="206" t="s">
        <v>1503</v>
      </c>
      <c r="BJ183" s="283">
        <v>150</v>
      </c>
      <c r="BK183" s="185" t="s">
        <v>555</v>
      </c>
      <c r="BL183" s="185" t="s">
        <v>485</v>
      </c>
      <c r="BM183" s="185" t="s">
        <v>480</v>
      </c>
      <c r="BN183" s="206" t="s">
        <v>1503</v>
      </c>
      <c r="BO183" s="185">
        <v>37.5</v>
      </c>
      <c r="BP183" s="185" t="s">
        <v>555</v>
      </c>
      <c r="BQ183" s="185" t="s">
        <v>1501</v>
      </c>
      <c r="BR183" s="185" t="s">
        <v>480</v>
      </c>
      <c r="BS183" s="206" t="s">
        <v>1503</v>
      </c>
      <c r="BT183" s="283">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85"/>
      <c r="EF183" s="185"/>
      <c r="EG183" s="185"/>
      <c r="EH183" s="185"/>
      <c r="EI183" s="185"/>
      <c r="EJ183" s="185"/>
      <c r="EK183" s="185"/>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85"/>
      <c r="HL183" s="185"/>
      <c r="HM183" s="185"/>
      <c r="HN183" s="185"/>
      <c r="HO183" s="185"/>
      <c r="HP183" s="185"/>
      <c r="HQ183" s="185"/>
      <c r="HR183" s="185"/>
      <c r="HS183" s="206"/>
      <c r="HT183" s="185"/>
      <c r="HU183" s="185"/>
      <c r="HV183" s="185"/>
      <c r="HW183" s="185"/>
      <c r="HX183" s="215"/>
      <c r="HY183" s="185"/>
      <c r="HZ183" s="185"/>
      <c r="IA183" s="185"/>
      <c r="IB183" s="185"/>
      <c r="IC183" s="185"/>
      <c r="ID183" s="185"/>
      <c r="IE183" s="185"/>
      <c r="IF183" s="185"/>
      <c r="IG183" s="185"/>
      <c r="IH183" s="185"/>
      <c r="II183" s="148"/>
      <c r="IJ183" s="148"/>
      <c r="IK183" s="210"/>
      <c r="IL183" s="185"/>
      <c r="IM183" s="185"/>
      <c r="IN183" s="185"/>
      <c r="IO183" t="s">
        <v>2641</v>
      </c>
      <c r="IP183" s="185" t="s">
        <v>2643</v>
      </c>
      <c r="IQ183" s="185"/>
      <c r="IR183" s="185"/>
      <c r="IS183" s="185">
        <v>2001</v>
      </c>
      <c r="IT183" s="214" t="s">
        <v>2649</v>
      </c>
      <c r="IU183" s="185" t="s">
        <v>480</v>
      </c>
      <c r="IV183" s="185"/>
      <c r="IW183" s="185"/>
      <c r="IX183" s="2"/>
      <c r="IY183" s="2"/>
      <c r="IZ183" s="2"/>
      <c r="JA183" s="2"/>
      <c r="JB183" s="2"/>
      <c r="JC183" s="2"/>
      <c r="JD183" s="2"/>
      <c r="JE183" s="2"/>
      <c r="JF183" s="2"/>
      <c r="JG183" s="2"/>
      <c r="JH183" s="2"/>
      <c r="JI183" s="2"/>
      <c r="JJ183" s="2" t="s">
        <v>2628</v>
      </c>
      <c r="JK183" s="2" t="s">
        <v>494</v>
      </c>
      <c r="JL183" s="151" t="s">
        <v>495</v>
      </c>
      <c r="JM183" s="282" t="s">
        <v>2627</v>
      </c>
      <c r="JN183" s="206"/>
      <c r="JO183" s="185"/>
      <c r="JP183" s="206" t="s">
        <v>508</v>
      </c>
      <c r="JQ183" s="185">
        <f>100*2+140</f>
        <v>340</v>
      </c>
      <c r="JR183" s="185">
        <f>45*2+50</f>
        <v>140</v>
      </c>
      <c r="JS183" s="185">
        <f>30*2+30</f>
        <v>90</v>
      </c>
      <c r="JT183" s="185"/>
      <c r="JU183" s="185"/>
      <c r="JV183" s="140"/>
      <c r="JW183" s="140"/>
      <c r="JX183" s="206"/>
      <c r="JY183" s="185"/>
      <c r="JZ183" s="206"/>
      <c r="KA183" s="185"/>
      <c r="KB183" s="185"/>
      <c r="KC183" s="185"/>
      <c r="KD183" s="206"/>
      <c r="KE183" s="206"/>
      <c r="KF183" s="148"/>
      <c r="KG183" s="216"/>
      <c r="KH183" s="185"/>
      <c r="KI183" s="185"/>
      <c r="KJ183" s="185"/>
      <c r="KK183" s="185"/>
      <c r="KL183" s="206"/>
      <c r="KM183" s="185"/>
      <c r="KN183" s="148"/>
      <c r="KO183" s="216"/>
      <c r="KP183" s="185"/>
      <c r="KQ183" s="185"/>
      <c r="KR183" s="148"/>
      <c r="KS183" s="216"/>
      <c r="KT183" s="185"/>
      <c r="KU183" s="185"/>
      <c r="KV183" s="185"/>
      <c r="KW183" s="3"/>
      <c r="KX183" s="3"/>
      <c r="KY183" s="3"/>
      <c r="KZ183" s="3"/>
      <c r="LA183" s="206"/>
      <c r="LB183" s="206"/>
      <c r="LC183" s="206"/>
      <c r="LD183" s="206"/>
      <c r="LE183" s="206"/>
      <c r="LF183" s="206"/>
      <c r="LG183" s="134"/>
      <c r="LH183" s="206"/>
      <c r="LI183" s="206"/>
      <c r="LJ183" s="206"/>
      <c r="LK183" s="206"/>
      <c r="LL183" s="206"/>
      <c r="LM183" s="206"/>
      <c r="LN183" s="185"/>
      <c r="LO183" s="185"/>
      <c r="LP183" s="185"/>
      <c r="LQ183" s="185"/>
      <c r="LR183" s="185"/>
      <c r="LS183" s="185"/>
      <c r="LT183" s="185"/>
      <c r="LU183" s="185"/>
      <c r="LV183" s="144"/>
      <c r="LW183" s="2"/>
      <c r="LX183" s="2"/>
      <c r="LY183" s="2"/>
      <c r="LZ183" s="2"/>
      <c r="MA183" s="2"/>
      <c r="ME183" s="2"/>
      <c r="MF183" s="185"/>
      <c r="MG183" s="185"/>
      <c r="MH183" s="185"/>
      <c r="MI183" s="2"/>
      <c r="MJ183" s="2"/>
      <c r="MK183" s="2"/>
      <c r="ML183" s="2"/>
      <c r="MM183" s="2"/>
      <c r="MN183" s="2"/>
      <c r="MO183" s="2"/>
      <c r="MP183" s="2"/>
      <c r="MQ183" s="185"/>
      <c r="MR183" s="185"/>
      <c r="MS183" s="185"/>
      <c r="MT183" s="185"/>
      <c r="MU183" s="185"/>
      <c r="MV183" s="185"/>
      <c r="MW183" s="185"/>
      <c r="MX183" s="185"/>
      <c r="MY183" s="211" t="s">
        <v>2626</v>
      </c>
      <c r="MZ183" s="281">
        <f>6*15</f>
        <v>90</v>
      </c>
      <c r="NA183" t="s">
        <v>2625</v>
      </c>
      <c r="NB183" t="s">
        <v>2625</v>
      </c>
      <c r="NH183" t="s">
        <v>711</v>
      </c>
      <c r="NI183" s="185"/>
      <c r="NJ183" s="185" t="s">
        <v>2647</v>
      </c>
      <c r="NK183" s="185" t="s">
        <v>2648</v>
      </c>
      <c r="NL183" t="s">
        <v>2647</v>
      </c>
      <c r="NM183" t="s">
        <v>2646</v>
      </c>
      <c r="NN183" s="185"/>
      <c r="NO183" s="185"/>
      <c r="NP183" s="185"/>
      <c r="NQ183" s="185"/>
      <c r="NR183" s="185"/>
      <c r="NS183" s="185"/>
      <c r="NT183" t="s">
        <v>2641</v>
      </c>
      <c r="NU183" s="185" t="s">
        <v>2640</v>
      </c>
      <c r="NV183" s="220" t="s">
        <v>518</v>
      </c>
      <c r="NW183">
        <v>8088.5309999999999</v>
      </c>
      <c r="NX183" s="220" t="s">
        <v>520</v>
      </c>
      <c r="NY183" s="3">
        <v>1641.8509999999997</v>
      </c>
      <c r="NZ183" s="220"/>
      <c r="OA183" s="220"/>
      <c r="OB183" s="185">
        <v>4</v>
      </c>
      <c r="OC183" s="185"/>
      <c r="OD183" s="185"/>
      <c r="OE183" s="185"/>
      <c r="OF183" s="185"/>
      <c r="OG183" s="185"/>
      <c r="OH183" s="185"/>
      <c r="OI183" s="185"/>
      <c r="OJ183" s="185"/>
      <c r="OK183" s="185"/>
      <c r="OL183" s="185"/>
      <c r="OM183" s="133"/>
      <c r="ON183" s="133"/>
      <c r="OO183" s="133"/>
      <c r="OP183" s="133"/>
      <c r="OQ183" s="133"/>
      <c r="OR183" s="133"/>
      <c r="OS183" s="133"/>
      <c r="OT183" s="133"/>
      <c r="OU183" s="185" t="s">
        <v>2620</v>
      </c>
      <c r="OV183" s="185"/>
      <c r="OW183" s="185">
        <v>2007</v>
      </c>
      <c r="OX183" s="185" t="s">
        <v>1049</v>
      </c>
      <c r="OY183" s="185" t="s">
        <v>1049</v>
      </c>
      <c r="OZ183" s="185">
        <v>7.1</v>
      </c>
      <c r="PA183" s="185"/>
      <c r="PB183" t="s">
        <v>2619</v>
      </c>
      <c r="PC183" s="50">
        <v>46176</v>
      </c>
      <c r="PD183" t="s">
        <v>2618</v>
      </c>
      <c r="PE183" t="s">
        <v>1049</v>
      </c>
      <c r="PF183" t="s">
        <v>1049</v>
      </c>
      <c r="PG183" t="s">
        <v>1049</v>
      </c>
      <c r="PH183" t="s">
        <v>1049</v>
      </c>
    </row>
    <row r="184" spans="1:424" ht="17.25" thickBot="1">
      <c r="A184" s="205" t="s">
        <v>665</v>
      </c>
      <c r="B184" s="2" t="s">
        <v>2635</v>
      </c>
      <c r="C184" s="2" t="s">
        <v>2634</v>
      </c>
      <c r="D184" s="88" t="s">
        <v>480</v>
      </c>
      <c r="E184" s="2" t="s">
        <v>2633</v>
      </c>
      <c r="F184" s="88" t="s">
        <v>474</v>
      </c>
      <c r="G184" s="2" t="s">
        <v>475</v>
      </c>
      <c r="H184" s="2" t="s">
        <v>476</v>
      </c>
      <c r="I184" s="88">
        <v>10.566667000000001</v>
      </c>
      <c r="J184" s="88">
        <v>106</v>
      </c>
      <c r="K184" s="88">
        <v>800</v>
      </c>
      <c r="L184" s="2"/>
      <c r="M184" s="88"/>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2632</v>
      </c>
      <c r="AW184" s="2">
        <f>6*15</f>
        <v>90</v>
      </c>
      <c r="AX184" s="2" t="s">
        <v>480</v>
      </c>
      <c r="AY184" s="2">
        <v>8</v>
      </c>
      <c r="AZ184" s="185" t="s">
        <v>2631</v>
      </c>
      <c r="BA184" s="185">
        <v>2001</v>
      </c>
      <c r="BB184" s="185">
        <v>2008</v>
      </c>
      <c r="BC184" s="185"/>
      <c r="BD184" t="s">
        <v>2637</v>
      </c>
      <c r="BE184" t="s">
        <v>566</v>
      </c>
      <c r="BF184" s="185" t="s">
        <v>484</v>
      </c>
      <c r="BG184" s="185" t="s">
        <v>1501</v>
      </c>
      <c r="BH184" s="79" t="s">
        <v>480</v>
      </c>
      <c r="BI184" s="206" t="s">
        <v>1503</v>
      </c>
      <c r="BJ184" s="283">
        <v>150</v>
      </c>
      <c r="BK184" s="185" t="s">
        <v>555</v>
      </c>
      <c r="BL184" s="185" t="s">
        <v>2630</v>
      </c>
      <c r="BM184" s="185" t="s">
        <v>480</v>
      </c>
      <c r="BN184" s="206" t="s">
        <v>1503</v>
      </c>
      <c r="BO184" s="185">
        <v>17.5</v>
      </c>
      <c r="BP184" s="185" t="s">
        <v>555</v>
      </c>
      <c r="BQ184" s="185" t="s">
        <v>1501</v>
      </c>
      <c r="BR184" s="185" t="s">
        <v>480</v>
      </c>
      <c r="BS184" s="206" t="s">
        <v>1503</v>
      </c>
      <c r="BT184" s="283">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85"/>
      <c r="EF184" s="185"/>
      <c r="EG184" s="185"/>
      <c r="EH184" s="185"/>
      <c r="EI184" s="185"/>
      <c r="EJ184" s="185"/>
      <c r="EK184" s="185"/>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85"/>
      <c r="HL184" s="185"/>
      <c r="HM184" s="185"/>
      <c r="HN184" s="185"/>
      <c r="HO184" s="185"/>
      <c r="HP184" s="185"/>
      <c r="HQ184" s="185"/>
      <c r="HR184" s="185"/>
      <c r="HS184" s="206"/>
      <c r="HT184" s="185"/>
      <c r="HU184" s="185"/>
      <c r="HV184" s="185"/>
      <c r="HW184" s="185"/>
      <c r="HX184" s="215"/>
      <c r="HY184" s="185"/>
      <c r="HZ184" s="185"/>
      <c r="IA184" s="185"/>
      <c r="IB184" s="185"/>
      <c r="IC184" s="185"/>
      <c r="ID184" s="185"/>
      <c r="IE184" s="185"/>
      <c r="IF184" s="185"/>
      <c r="IG184" s="185"/>
      <c r="IH184" s="185"/>
      <c r="II184" s="148"/>
      <c r="IJ184" s="148"/>
      <c r="IK184" s="210"/>
      <c r="IL184" s="185"/>
      <c r="IM184" s="185"/>
      <c r="IN184" s="185"/>
      <c r="IO184" t="s">
        <v>2637</v>
      </c>
      <c r="IP184" s="185" t="s">
        <v>2639</v>
      </c>
      <c r="IQ184" s="185"/>
      <c r="IR184" s="185"/>
      <c r="IS184" s="185">
        <v>2001</v>
      </c>
      <c r="IT184" s="214" t="s">
        <v>2645</v>
      </c>
      <c r="IU184" s="185" t="s">
        <v>480</v>
      </c>
      <c r="IV184" s="185"/>
      <c r="IW184" s="185"/>
      <c r="IX184" s="2"/>
      <c r="IY184" s="2"/>
      <c r="IZ184" s="2"/>
      <c r="JA184" s="2"/>
      <c r="JB184" s="2"/>
      <c r="JC184" s="2"/>
      <c r="JD184" s="2"/>
      <c r="JE184" s="2"/>
      <c r="JF184" s="2"/>
      <c r="JG184" s="2"/>
      <c r="JH184" s="2"/>
      <c r="JI184" s="2"/>
      <c r="JJ184" s="2" t="s">
        <v>2628</v>
      </c>
      <c r="JK184" s="2" t="s">
        <v>494</v>
      </c>
      <c r="JL184" s="151" t="s">
        <v>495</v>
      </c>
      <c r="JM184" s="282" t="s">
        <v>2627</v>
      </c>
      <c r="JN184" s="206"/>
      <c r="JO184" s="185"/>
      <c r="JP184" s="206" t="s">
        <v>508</v>
      </c>
      <c r="JQ184" s="185">
        <f>100*2+40</f>
        <v>240</v>
      </c>
      <c r="JR184" s="185">
        <f>45*2+30</f>
        <v>120</v>
      </c>
      <c r="JS184" s="185">
        <f>30*2+60</f>
        <v>120</v>
      </c>
      <c r="JT184" s="185"/>
      <c r="JU184" s="185"/>
      <c r="JV184" s="140"/>
      <c r="JW184" s="140"/>
      <c r="JX184" s="206"/>
      <c r="JY184" s="185"/>
      <c r="JZ184" s="206"/>
      <c r="KA184" s="185"/>
      <c r="KB184" s="185"/>
      <c r="KC184" s="185"/>
      <c r="KD184" s="206"/>
      <c r="KE184" s="206"/>
      <c r="KF184" s="148"/>
      <c r="KG184" s="216"/>
      <c r="KH184" s="185"/>
      <c r="KI184" s="185"/>
      <c r="KJ184" s="185"/>
      <c r="KK184" s="185"/>
      <c r="KL184" s="206"/>
      <c r="KM184" s="185"/>
      <c r="KN184" s="148"/>
      <c r="KO184" s="216"/>
      <c r="KP184" s="185"/>
      <c r="KQ184" s="185"/>
      <c r="KR184" s="148"/>
      <c r="KS184" s="216"/>
      <c r="KT184" s="185"/>
      <c r="KU184" s="185"/>
      <c r="KV184" s="185"/>
      <c r="KW184" s="3"/>
      <c r="KX184" s="3"/>
      <c r="KY184" s="3"/>
      <c r="KZ184" s="3"/>
      <c r="LA184" s="206"/>
      <c r="LB184" s="206"/>
      <c r="LC184" s="206"/>
      <c r="LD184" s="206"/>
      <c r="LE184" s="206"/>
      <c r="LF184" s="206"/>
      <c r="LG184" s="134"/>
      <c r="LH184" s="206"/>
      <c r="LI184" s="206"/>
      <c r="LJ184" s="206"/>
      <c r="LK184" s="206"/>
      <c r="LL184" s="206"/>
      <c r="LM184" s="206"/>
      <c r="LN184" s="185"/>
      <c r="LO184" s="185"/>
      <c r="LP184" s="185"/>
      <c r="LQ184" s="185"/>
      <c r="LR184" s="185"/>
      <c r="LS184" s="185"/>
      <c r="LT184" s="185"/>
      <c r="LU184" s="185"/>
      <c r="LV184" s="144"/>
      <c r="LW184" s="2"/>
      <c r="LX184" s="2"/>
      <c r="LY184" s="2"/>
      <c r="LZ184" s="2"/>
      <c r="MA184" s="2"/>
      <c r="ME184" s="2"/>
      <c r="MF184" s="185"/>
      <c r="MG184" s="185"/>
      <c r="MH184" s="185"/>
      <c r="MI184" s="2"/>
      <c r="MJ184" s="2"/>
      <c r="MK184" s="2"/>
      <c r="ML184" s="2"/>
      <c r="MM184" s="2"/>
      <c r="MN184" s="2"/>
      <c r="MO184" s="2"/>
      <c r="MP184" s="2"/>
      <c r="MQ184" s="185"/>
      <c r="MR184" s="185"/>
      <c r="MS184" s="185"/>
      <c r="MT184" s="185"/>
      <c r="MU184" s="185"/>
      <c r="MV184" s="185"/>
      <c r="MW184" s="185"/>
      <c r="MX184" s="185"/>
      <c r="MY184" s="211" t="s">
        <v>2626</v>
      </c>
      <c r="MZ184" s="281">
        <f>6*15</f>
        <v>90</v>
      </c>
      <c r="NA184" t="s">
        <v>2625</v>
      </c>
      <c r="NB184" t="s">
        <v>2625</v>
      </c>
      <c r="NH184" t="s">
        <v>711</v>
      </c>
      <c r="NI184" s="185"/>
      <c r="NJ184" s="185" t="s">
        <v>2647</v>
      </c>
      <c r="NK184" s="185" t="s">
        <v>2648</v>
      </c>
      <c r="NL184" t="s">
        <v>2647</v>
      </c>
      <c r="NM184" t="s">
        <v>2646</v>
      </c>
      <c r="NN184" s="185"/>
      <c r="NO184" s="185"/>
      <c r="NP184" s="185"/>
      <c r="NQ184" s="185"/>
      <c r="NR184" s="185"/>
      <c r="NS184" s="185"/>
      <c r="NT184" t="s">
        <v>2637</v>
      </c>
      <c r="NU184" s="185" t="s">
        <v>2636</v>
      </c>
      <c r="NV184" s="220" t="s">
        <v>518</v>
      </c>
      <c r="NW184">
        <v>9319.92</v>
      </c>
      <c r="NX184" s="220" t="s">
        <v>520</v>
      </c>
      <c r="NY184" s="220">
        <v>410.46199999999953</v>
      </c>
      <c r="NZ184" s="220"/>
      <c r="OA184" s="220"/>
      <c r="OB184" s="185">
        <v>4</v>
      </c>
      <c r="OC184" s="185"/>
      <c r="OD184" s="185"/>
      <c r="OE184" s="185"/>
      <c r="OF184" s="185"/>
      <c r="OG184" s="185"/>
      <c r="OH184" s="185"/>
      <c r="OI184" s="185"/>
      <c r="OJ184" s="185"/>
      <c r="OK184" s="185"/>
      <c r="OL184" s="185"/>
      <c r="OM184" s="133"/>
      <c r="ON184" s="133"/>
      <c r="OO184" s="133"/>
      <c r="OP184" s="133"/>
      <c r="OQ184" s="133"/>
      <c r="OR184" s="133"/>
      <c r="OS184" s="133"/>
      <c r="OT184" s="133"/>
      <c r="OU184" s="185" t="s">
        <v>2620</v>
      </c>
      <c r="OV184" s="185"/>
      <c r="OW184" s="185">
        <v>2007</v>
      </c>
      <c r="OX184" s="185" t="s">
        <v>1049</v>
      </c>
      <c r="OY184" s="185" t="s">
        <v>1049</v>
      </c>
      <c r="OZ184" s="185">
        <v>7.1</v>
      </c>
      <c r="PA184" s="185"/>
      <c r="PB184" t="s">
        <v>2619</v>
      </c>
      <c r="PC184" s="50">
        <v>46176</v>
      </c>
      <c r="PD184" t="s">
        <v>2618</v>
      </c>
      <c r="PE184" t="s">
        <v>1049</v>
      </c>
      <c r="PF184" t="s">
        <v>1049</v>
      </c>
      <c r="PG184" t="s">
        <v>1049</v>
      </c>
      <c r="PH184" t="s">
        <v>1049</v>
      </c>
    </row>
    <row r="185" spans="1:424" ht="17.25" thickBot="1">
      <c r="A185" s="205" t="s">
        <v>665</v>
      </c>
      <c r="B185" s="2" t="s">
        <v>2635</v>
      </c>
      <c r="C185" s="2" t="s">
        <v>2634</v>
      </c>
      <c r="D185" s="88" t="s">
        <v>480</v>
      </c>
      <c r="E185" s="2" t="s">
        <v>2633</v>
      </c>
      <c r="F185" s="88" t="s">
        <v>474</v>
      </c>
      <c r="G185" s="2" t="s">
        <v>475</v>
      </c>
      <c r="H185" s="2" t="s">
        <v>476</v>
      </c>
      <c r="I185" s="88">
        <v>10.566667000000001</v>
      </c>
      <c r="J185" s="88">
        <v>106</v>
      </c>
      <c r="K185" s="88">
        <v>800</v>
      </c>
      <c r="L185" s="2"/>
      <c r="M185" s="88"/>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2632</v>
      </c>
      <c r="AW185" s="2">
        <f>6*15</f>
        <v>90</v>
      </c>
      <c r="AX185" s="2" t="s">
        <v>480</v>
      </c>
      <c r="AY185" s="2">
        <v>8</v>
      </c>
      <c r="AZ185" s="185" t="s">
        <v>2631</v>
      </c>
      <c r="BA185" s="185">
        <v>2001</v>
      </c>
      <c r="BB185" s="185">
        <v>2008</v>
      </c>
      <c r="BC185" s="185"/>
      <c r="BD185" t="s">
        <v>2622</v>
      </c>
      <c r="BE185" t="s">
        <v>572</v>
      </c>
      <c r="BF185" s="185" t="s">
        <v>484</v>
      </c>
      <c r="BG185" s="185" t="s">
        <v>1501</v>
      </c>
      <c r="BH185" s="79" t="s">
        <v>480</v>
      </c>
      <c r="BI185" s="206" t="s">
        <v>1503</v>
      </c>
      <c r="BJ185" s="283">
        <v>150</v>
      </c>
      <c r="BK185" s="185" t="s">
        <v>555</v>
      </c>
      <c r="BL185" s="185" t="s">
        <v>2630</v>
      </c>
      <c r="BM185" s="185" t="s">
        <v>480</v>
      </c>
      <c r="BN185" s="206" t="s">
        <v>1503</v>
      </c>
      <c r="BO185" s="185">
        <v>17.5</v>
      </c>
      <c r="BP185" s="185" t="s">
        <v>555</v>
      </c>
      <c r="BQ185" s="185" t="s">
        <v>485</v>
      </c>
      <c r="BR185" s="185" t="s">
        <v>480</v>
      </c>
      <c r="BS185" s="206" t="s">
        <v>1503</v>
      </c>
      <c r="BT185" s="185">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85"/>
      <c r="EF185" s="185"/>
      <c r="EG185" s="185"/>
      <c r="EH185" s="185"/>
      <c r="EI185" s="185"/>
      <c r="EJ185" s="185"/>
      <c r="EK185" s="185"/>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85"/>
      <c r="HL185" s="185"/>
      <c r="HM185" s="185"/>
      <c r="HN185" s="185"/>
      <c r="HO185" s="185"/>
      <c r="HP185" s="185"/>
      <c r="HQ185" s="185"/>
      <c r="HR185" s="185"/>
      <c r="HS185" s="206"/>
      <c r="HT185" s="185"/>
      <c r="HU185" s="185"/>
      <c r="HV185" s="185"/>
      <c r="HW185" s="185"/>
      <c r="HX185" s="215"/>
      <c r="HY185" s="185"/>
      <c r="HZ185" s="185"/>
      <c r="IA185" s="185"/>
      <c r="IB185" s="185"/>
      <c r="IC185" s="185"/>
      <c r="ID185" s="185"/>
      <c r="IE185" s="185"/>
      <c r="IF185" s="185"/>
      <c r="IG185" s="185"/>
      <c r="IH185" s="185"/>
      <c r="II185" s="148"/>
      <c r="IJ185" s="148"/>
      <c r="IK185" s="210"/>
      <c r="IL185" s="185"/>
      <c r="IM185" s="185"/>
      <c r="IN185" s="185"/>
      <c r="IO185" t="s">
        <v>2622</v>
      </c>
      <c r="IP185" s="185" t="s">
        <v>1280</v>
      </c>
      <c r="IQ185" s="185"/>
      <c r="IR185" s="185"/>
      <c r="IS185" s="185">
        <v>2001</v>
      </c>
      <c r="IT185" s="214" t="s">
        <v>2642</v>
      </c>
      <c r="IU185" s="185" t="s">
        <v>480</v>
      </c>
      <c r="IV185" s="185"/>
      <c r="IW185" s="185"/>
      <c r="IX185" s="2"/>
      <c r="IY185" s="2"/>
      <c r="IZ185" s="2"/>
      <c r="JA185" s="2"/>
      <c r="JB185" s="2"/>
      <c r="JC185" s="2"/>
      <c r="JD185" s="2"/>
      <c r="JE185" s="2"/>
      <c r="JF185" s="2"/>
      <c r="JG185" s="2"/>
      <c r="JH185" s="2"/>
      <c r="JI185" s="2"/>
      <c r="JJ185" s="2" t="s">
        <v>2628</v>
      </c>
      <c r="JK185" s="2" t="s">
        <v>494</v>
      </c>
      <c r="JL185" s="151" t="s">
        <v>495</v>
      </c>
      <c r="JM185" s="282" t="s">
        <v>2627</v>
      </c>
      <c r="JN185" s="206"/>
      <c r="JO185" s="185"/>
      <c r="JP185" s="206" t="s">
        <v>508</v>
      </c>
      <c r="JQ185" s="185">
        <f>100+140+40</f>
        <v>280</v>
      </c>
      <c r="JR185" s="185">
        <f>45+50+30</f>
        <v>125</v>
      </c>
      <c r="JS185" s="185">
        <f>30+30+60</f>
        <v>120</v>
      </c>
      <c r="JT185" s="185"/>
      <c r="JU185" s="185"/>
      <c r="JV185" s="140"/>
      <c r="JW185" s="140"/>
      <c r="JX185" s="206"/>
      <c r="JY185" s="185"/>
      <c r="JZ185" s="206"/>
      <c r="KA185" s="185"/>
      <c r="KB185" s="185"/>
      <c r="KC185" s="185"/>
      <c r="KD185" s="206"/>
      <c r="KE185" s="206"/>
      <c r="KF185" s="148"/>
      <c r="KG185" s="216"/>
      <c r="KH185" s="185"/>
      <c r="KI185" s="185"/>
      <c r="KJ185" s="185"/>
      <c r="KK185" s="185"/>
      <c r="KL185" s="206"/>
      <c r="KM185" s="185"/>
      <c r="KN185" s="148"/>
      <c r="KO185" s="216"/>
      <c r="KP185" s="185"/>
      <c r="KQ185" s="185"/>
      <c r="KR185" s="148"/>
      <c r="KS185" s="216"/>
      <c r="KT185" s="185"/>
      <c r="KU185" s="185"/>
      <c r="KV185" s="185"/>
      <c r="KW185" s="3"/>
      <c r="KX185" s="3"/>
      <c r="KY185" s="3"/>
      <c r="KZ185" s="3"/>
      <c r="LA185" s="206"/>
      <c r="LB185" s="206"/>
      <c r="LC185" s="206"/>
      <c r="LD185" s="206"/>
      <c r="LE185" s="206"/>
      <c r="LF185" s="206"/>
      <c r="LG185" s="134"/>
      <c r="LH185" s="206"/>
      <c r="LI185" s="206"/>
      <c r="LJ185" s="206"/>
      <c r="LK185" s="206"/>
      <c r="LL185" s="206"/>
      <c r="LM185" s="206"/>
      <c r="LN185" s="185"/>
      <c r="LO185" s="185"/>
      <c r="LP185" s="185"/>
      <c r="LQ185" s="185"/>
      <c r="LR185" s="185"/>
      <c r="LS185" s="185"/>
      <c r="LT185" s="185"/>
      <c r="LU185" s="185"/>
      <c r="LV185" s="144"/>
      <c r="LW185" s="2"/>
      <c r="LX185" s="2"/>
      <c r="LY185" s="2"/>
      <c r="LZ185" s="2"/>
      <c r="MA185" s="2"/>
      <c r="ME185" s="2"/>
      <c r="MF185" s="185"/>
      <c r="MG185" s="185"/>
      <c r="MH185" s="185"/>
      <c r="MI185" s="2"/>
      <c r="MJ185" s="2"/>
      <c r="MK185" s="2"/>
      <c r="ML185" s="2"/>
      <c r="MM185" s="2"/>
      <c r="MN185" s="2"/>
      <c r="MO185" s="2"/>
      <c r="MP185" s="2"/>
      <c r="MQ185" s="185"/>
      <c r="MR185" s="185"/>
      <c r="MS185" s="185"/>
      <c r="MT185" s="185"/>
      <c r="MU185" s="185"/>
      <c r="MV185" s="185"/>
      <c r="MW185" s="185"/>
      <c r="MX185" s="185"/>
      <c r="MY185" s="211" t="s">
        <v>2626</v>
      </c>
      <c r="MZ185" s="281">
        <f>6*15</f>
        <v>90</v>
      </c>
      <c r="NA185" t="s">
        <v>2625</v>
      </c>
      <c r="NB185" t="s">
        <v>2625</v>
      </c>
      <c r="NH185" t="s">
        <v>711</v>
      </c>
      <c r="NI185" s="185"/>
      <c r="NJ185" s="185" t="s">
        <v>2647</v>
      </c>
      <c r="NK185" s="185" t="s">
        <v>2648</v>
      </c>
      <c r="NL185" t="s">
        <v>2647</v>
      </c>
      <c r="NM185" t="s">
        <v>2646</v>
      </c>
      <c r="NN185" s="185"/>
      <c r="NO185" s="185"/>
      <c r="NP185" s="185"/>
      <c r="NQ185" s="185"/>
      <c r="NR185" s="185"/>
      <c r="NS185" s="185"/>
      <c r="NT185" t="s">
        <v>2622</v>
      </c>
      <c r="NU185" s="185" t="s">
        <v>2621</v>
      </c>
      <c r="NV185" s="220" t="s">
        <v>518</v>
      </c>
      <c r="NW185">
        <v>3018.1089999999999</v>
      </c>
      <c r="NX185" s="220" t="s">
        <v>520</v>
      </c>
      <c r="NY185" s="220">
        <v>820.92500000000018</v>
      </c>
      <c r="NZ185" s="220"/>
      <c r="OA185" s="220"/>
      <c r="OB185" s="185">
        <v>4</v>
      </c>
      <c r="OC185" s="185"/>
      <c r="OD185" s="185"/>
      <c r="OE185" s="185"/>
      <c r="OF185" s="185"/>
      <c r="OG185" s="185"/>
      <c r="OH185" s="185"/>
      <c r="OI185" s="185"/>
      <c r="OJ185" s="185"/>
      <c r="OK185" s="185"/>
      <c r="OL185" s="185"/>
      <c r="OM185" s="133"/>
      <c r="ON185" s="133"/>
      <c r="OO185" s="133"/>
      <c r="OP185" s="133"/>
      <c r="OQ185" s="133"/>
      <c r="OR185" s="133"/>
      <c r="OS185" s="133"/>
      <c r="OT185" s="133"/>
      <c r="OU185" s="185" t="s">
        <v>2620</v>
      </c>
      <c r="OV185" s="185"/>
      <c r="OW185" s="185">
        <v>2007</v>
      </c>
      <c r="OX185" s="185" t="s">
        <v>1049</v>
      </c>
      <c r="OY185" s="185" t="s">
        <v>1049</v>
      </c>
      <c r="OZ185" s="185">
        <v>7.1</v>
      </c>
      <c r="PA185" s="185"/>
      <c r="PB185" t="s">
        <v>2619</v>
      </c>
      <c r="PC185" s="50">
        <v>46176</v>
      </c>
      <c r="PD185" t="s">
        <v>2618</v>
      </c>
      <c r="PE185" t="s">
        <v>1049</v>
      </c>
      <c r="PF185" t="s">
        <v>1049</v>
      </c>
      <c r="PG185" t="s">
        <v>1049</v>
      </c>
      <c r="PH185" t="s">
        <v>1049</v>
      </c>
    </row>
    <row r="186" spans="1:424" ht="17.25" thickBot="1">
      <c r="A186" s="205" t="s">
        <v>665</v>
      </c>
      <c r="B186" s="2" t="s">
        <v>2635</v>
      </c>
      <c r="C186" s="2" t="s">
        <v>2634</v>
      </c>
      <c r="D186" s="88" t="s">
        <v>480</v>
      </c>
      <c r="E186" s="2" t="s">
        <v>2633</v>
      </c>
      <c r="F186" s="88" t="s">
        <v>474</v>
      </c>
      <c r="G186" s="2" t="s">
        <v>475</v>
      </c>
      <c r="H186" s="2" t="s">
        <v>476</v>
      </c>
      <c r="I186" s="88">
        <v>10.566667000000001</v>
      </c>
      <c r="J186" s="88">
        <v>106</v>
      </c>
      <c r="K186" s="88">
        <v>800</v>
      </c>
      <c r="L186" s="2"/>
      <c r="M186" s="88"/>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2632</v>
      </c>
      <c r="AW186" s="2">
        <f>6*15</f>
        <v>90</v>
      </c>
      <c r="AX186" s="2" t="s">
        <v>480</v>
      </c>
      <c r="AY186" s="2">
        <v>8</v>
      </c>
      <c r="AZ186" s="185" t="s">
        <v>2631</v>
      </c>
      <c r="BA186" s="185">
        <v>2001</v>
      </c>
      <c r="BB186" s="185">
        <v>2008</v>
      </c>
      <c r="BC186" s="185"/>
      <c r="BD186" t="s">
        <v>2644</v>
      </c>
      <c r="BE186" s="51" t="s">
        <v>524</v>
      </c>
      <c r="BF186" s="185" t="s">
        <v>484</v>
      </c>
      <c r="BG186" s="185" t="s">
        <v>1501</v>
      </c>
      <c r="BH186" s="79" t="s">
        <v>480</v>
      </c>
      <c r="BI186" s="206" t="s">
        <v>1503</v>
      </c>
      <c r="BJ186" s="283">
        <v>150</v>
      </c>
      <c r="BK186" s="185" t="s">
        <v>555</v>
      </c>
      <c r="BL186" s="185" t="s">
        <v>1501</v>
      </c>
      <c r="BM186" s="185" t="s">
        <v>480</v>
      </c>
      <c r="BN186" s="206" t="s">
        <v>1503</v>
      </c>
      <c r="BO186" s="283">
        <v>150</v>
      </c>
      <c r="BP186" s="185" t="s">
        <v>555</v>
      </c>
      <c r="BQ186" s="185" t="s">
        <v>1501</v>
      </c>
      <c r="BR186" s="185" t="s">
        <v>480</v>
      </c>
      <c r="BS186" s="206" t="s">
        <v>1503</v>
      </c>
      <c r="BT186" s="283">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85"/>
      <c r="EF186" s="185"/>
      <c r="EG186" s="185"/>
      <c r="EH186" s="185"/>
      <c r="EI186" s="185"/>
      <c r="EJ186" s="185"/>
      <c r="EK186" s="185"/>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85"/>
      <c r="HL186" s="185"/>
      <c r="HM186" s="185"/>
      <c r="HN186" s="185"/>
      <c r="HO186" s="185"/>
      <c r="HP186" s="185"/>
      <c r="HQ186" s="185"/>
      <c r="HR186" s="185"/>
      <c r="HS186" s="206"/>
      <c r="HT186" s="185"/>
      <c r="HU186" s="185"/>
      <c r="HV186" s="185"/>
      <c r="HW186" s="185"/>
      <c r="HX186" s="215"/>
      <c r="HY186" s="185"/>
      <c r="HZ186" s="185"/>
      <c r="IA186" s="185"/>
      <c r="IB186" s="185"/>
      <c r="IC186" s="185"/>
      <c r="ID186" s="185"/>
      <c r="IE186" s="185"/>
      <c r="IF186" s="185"/>
      <c r="IG186" s="185"/>
      <c r="IH186" s="185"/>
      <c r="II186" s="148"/>
      <c r="IJ186" s="148"/>
      <c r="IK186" s="210"/>
      <c r="IL186" s="185"/>
      <c r="IM186" s="185"/>
      <c r="IN186" s="185"/>
      <c r="IO186" t="s">
        <v>2644</v>
      </c>
      <c r="IP186" s="185" t="s">
        <v>492</v>
      </c>
      <c r="IQ186" s="185"/>
      <c r="IR186" s="185"/>
      <c r="IS186" s="185">
        <v>2001</v>
      </c>
      <c r="IT186" s="214" t="s">
        <v>2645</v>
      </c>
      <c r="IU186" s="185" t="s">
        <v>480</v>
      </c>
      <c r="IV186" s="185"/>
      <c r="IW186" s="185"/>
      <c r="IX186" s="2"/>
      <c r="IY186" s="2"/>
      <c r="IZ186" s="2"/>
      <c r="JA186" s="2"/>
      <c r="JB186" s="2"/>
      <c r="JC186" s="2"/>
      <c r="JD186" s="2"/>
      <c r="JE186" s="2"/>
      <c r="JF186" s="2"/>
      <c r="JG186" s="2"/>
      <c r="JH186" s="2"/>
      <c r="JI186" s="2"/>
      <c r="JJ186" s="2" t="s">
        <v>2628</v>
      </c>
      <c r="JK186" s="2" t="s">
        <v>494</v>
      </c>
      <c r="JL186" s="151" t="s">
        <v>495</v>
      </c>
      <c r="JM186" s="282" t="s">
        <v>2627</v>
      </c>
      <c r="JN186" s="206"/>
      <c r="JO186" s="185"/>
      <c r="JP186" s="206" t="s">
        <v>508</v>
      </c>
      <c r="JQ186" s="185">
        <f>100*3</f>
        <v>300</v>
      </c>
      <c r="JR186" s="185">
        <f>45*3</f>
        <v>135</v>
      </c>
      <c r="JS186" s="185">
        <f>30*3</f>
        <v>90</v>
      </c>
      <c r="JT186" s="185"/>
      <c r="JU186" s="185"/>
      <c r="JV186" s="140"/>
      <c r="JW186" s="140"/>
      <c r="JX186" s="206"/>
      <c r="JY186" s="185"/>
      <c r="JZ186" s="206"/>
      <c r="KA186" s="185"/>
      <c r="KB186" s="185"/>
      <c r="KC186" s="185"/>
      <c r="KD186" s="206"/>
      <c r="KE186" s="206"/>
      <c r="KF186" s="148"/>
      <c r="KG186" s="216"/>
      <c r="KH186" s="185"/>
      <c r="KI186" s="185"/>
      <c r="KJ186" s="185"/>
      <c r="KK186" s="185"/>
      <c r="KL186" s="206"/>
      <c r="KM186" s="185"/>
      <c r="KN186" s="148"/>
      <c r="KO186" s="216"/>
      <c r="KP186" s="185"/>
      <c r="KQ186" s="185"/>
      <c r="KR186" s="148"/>
      <c r="KS186" s="216"/>
      <c r="KT186" s="185"/>
      <c r="KU186" s="185"/>
      <c r="KV186" s="185"/>
      <c r="KW186" s="3"/>
      <c r="KX186" s="3"/>
      <c r="KY186" s="3"/>
      <c r="KZ186" s="3"/>
      <c r="LA186" s="206"/>
      <c r="LB186" s="206"/>
      <c r="LC186" s="206"/>
      <c r="LD186" s="206"/>
      <c r="LE186" s="206"/>
      <c r="LF186" s="206"/>
      <c r="LG186" s="134"/>
      <c r="LH186" s="206"/>
      <c r="LI186" s="206"/>
      <c r="LJ186" s="206"/>
      <c r="LK186" s="206"/>
      <c r="LL186" s="206"/>
      <c r="LM186" s="206"/>
      <c r="LN186" s="185"/>
      <c r="LO186" s="185"/>
      <c r="LP186" s="185"/>
      <c r="LQ186" s="185"/>
      <c r="LR186" s="185"/>
      <c r="LS186" s="185"/>
      <c r="LT186" s="185"/>
      <c r="LU186" s="185"/>
      <c r="LV186" s="144"/>
      <c r="LW186" s="2"/>
      <c r="LX186" s="2"/>
      <c r="LY186" s="2"/>
      <c r="LZ186" s="2"/>
      <c r="MA186" s="2"/>
      <c r="ME186" s="2"/>
      <c r="MF186" s="185"/>
      <c r="MG186" s="185"/>
      <c r="MH186" s="185"/>
      <c r="MI186" s="2"/>
      <c r="MJ186" s="2"/>
      <c r="MK186" s="2"/>
      <c r="ML186" s="2"/>
      <c r="MM186" s="2"/>
      <c r="MN186" s="2"/>
      <c r="MO186" s="2"/>
      <c r="MP186" s="2"/>
      <c r="MQ186" s="185"/>
      <c r="MR186" s="185"/>
      <c r="MS186" s="185"/>
      <c r="MT186" s="185"/>
      <c r="MU186" s="185"/>
      <c r="MV186" s="185"/>
      <c r="MW186" s="185"/>
      <c r="MX186" s="185"/>
      <c r="MY186" s="211" t="s">
        <v>2626</v>
      </c>
      <c r="MZ186" s="281">
        <f>6*15</f>
        <v>90</v>
      </c>
      <c r="NA186" t="s">
        <v>2625</v>
      </c>
      <c r="NB186" t="s">
        <v>2625</v>
      </c>
      <c r="NH186" t="s">
        <v>711</v>
      </c>
      <c r="NI186" s="185"/>
      <c r="NJ186" s="185" t="s">
        <v>1380</v>
      </c>
      <c r="NK186" s="185" t="s">
        <v>2624</v>
      </c>
      <c r="NL186" t="s">
        <v>1380</v>
      </c>
      <c r="NM186" t="s">
        <v>2623</v>
      </c>
      <c r="NN186" s="185"/>
      <c r="NO186" s="185"/>
      <c r="NP186" s="185"/>
      <c r="NQ186" s="185"/>
      <c r="NR186" s="185"/>
      <c r="NS186" s="185"/>
      <c r="NT186" t="s">
        <v>2644</v>
      </c>
      <c r="NU186" s="185"/>
      <c r="NV186" s="220" t="s">
        <v>518</v>
      </c>
      <c r="NW186">
        <v>6.806</v>
      </c>
      <c r="NX186" s="220" t="s">
        <v>520</v>
      </c>
      <c r="NY186" s="185">
        <v>0.16000000000000014</v>
      </c>
      <c r="NZ186" s="220"/>
      <c r="OA186" s="220"/>
      <c r="OB186" s="185">
        <v>4</v>
      </c>
      <c r="OC186" s="185"/>
      <c r="OD186" s="185"/>
      <c r="OE186" s="185"/>
      <c r="OF186" s="185"/>
      <c r="OG186" s="185"/>
      <c r="OH186" s="185"/>
      <c r="OI186" s="185"/>
      <c r="OJ186" s="185"/>
      <c r="OK186" s="185"/>
      <c r="OL186" s="185"/>
      <c r="OM186" s="133"/>
      <c r="ON186" s="133"/>
      <c r="OO186" s="133"/>
      <c r="OP186" s="133"/>
      <c r="OQ186" s="133"/>
      <c r="OR186" s="133"/>
      <c r="OS186" s="133"/>
      <c r="OT186" s="133"/>
      <c r="OU186" s="185" t="s">
        <v>2620</v>
      </c>
      <c r="OV186" s="185"/>
      <c r="OW186" s="185">
        <v>2007</v>
      </c>
      <c r="OX186" s="185" t="s">
        <v>1049</v>
      </c>
      <c r="OY186" s="185" t="s">
        <v>1049</v>
      </c>
      <c r="OZ186" s="185">
        <v>7.1</v>
      </c>
      <c r="PA186" s="185"/>
      <c r="PB186" t="s">
        <v>2619</v>
      </c>
      <c r="PC186" s="50">
        <v>46176</v>
      </c>
      <c r="PD186" t="s">
        <v>2618</v>
      </c>
      <c r="PE186" t="s">
        <v>1049</v>
      </c>
      <c r="PF186" t="s">
        <v>1049</v>
      </c>
      <c r="PG186" t="s">
        <v>1049</v>
      </c>
      <c r="PH186" t="s">
        <v>1049</v>
      </c>
    </row>
    <row r="187" spans="1:424" ht="17.25" thickBot="1">
      <c r="A187" s="205" t="s">
        <v>665</v>
      </c>
      <c r="B187" s="2" t="s">
        <v>2635</v>
      </c>
      <c r="C187" s="2" t="s">
        <v>2634</v>
      </c>
      <c r="D187" s="88" t="s">
        <v>480</v>
      </c>
      <c r="E187" s="2" t="s">
        <v>2633</v>
      </c>
      <c r="F187" s="88" t="s">
        <v>474</v>
      </c>
      <c r="G187" s="2" t="s">
        <v>475</v>
      </c>
      <c r="H187" s="2" t="s">
        <v>476</v>
      </c>
      <c r="I187" s="88">
        <v>10.566667000000001</v>
      </c>
      <c r="J187" s="88">
        <v>106</v>
      </c>
      <c r="K187" s="88">
        <v>800</v>
      </c>
      <c r="L187" s="2"/>
      <c r="M187" s="88"/>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2632</v>
      </c>
      <c r="AW187" s="2">
        <f>6*15</f>
        <v>90</v>
      </c>
      <c r="AX187" s="2" t="s">
        <v>480</v>
      </c>
      <c r="AY187" s="2">
        <v>8</v>
      </c>
      <c r="AZ187" s="185" t="s">
        <v>2631</v>
      </c>
      <c r="BA187" s="185">
        <v>2001</v>
      </c>
      <c r="BB187" s="185">
        <v>2008</v>
      </c>
      <c r="BC187" s="185"/>
      <c r="BD187" t="s">
        <v>2641</v>
      </c>
      <c r="BE187" s="51" t="s">
        <v>536</v>
      </c>
      <c r="BF187" s="185" t="s">
        <v>484</v>
      </c>
      <c r="BG187" s="185" t="s">
        <v>1501</v>
      </c>
      <c r="BH187" s="79" t="s">
        <v>480</v>
      </c>
      <c r="BI187" s="206" t="s">
        <v>1503</v>
      </c>
      <c r="BJ187" s="283">
        <v>150</v>
      </c>
      <c r="BK187" s="185" t="s">
        <v>555</v>
      </c>
      <c r="BL187" s="185" t="s">
        <v>485</v>
      </c>
      <c r="BM187" s="185" t="s">
        <v>480</v>
      </c>
      <c r="BN187" s="206" t="s">
        <v>1503</v>
      </c>
      <c r="BO187" s="185">
        <v>37.5</v>
      </c>
      <c r="BP187" s="185" t="s">
        <v>555</v>
      </c>
      <c r="BQ187" s="185" t="s">
        <v>1501</v>
      </c>
      <c r="BR187" s="185" t="s">
        <v>480</v>
      </c>
      <c r="BS187" s="206" t="s">
        <v>1503</v>
      </c>
      <c r="BT187" s="283">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85"/>
      <c r="EF187" s="185"/>
      <c r="EG187" s="185"/>
      <c r="EH187" s="185"/>
      <c r="EI187" s="185"/>
      <c r="EJ187" s="185"/>
      <c r="EK187" s="185"/>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85"/>
      <c r="HL187" s="185"/>
      <c r="HM187" s="185"/>
      <c r="HN187" s="185"/>
      <c r="HO187" s="185"/>
      <c r="HP187" s="185"/>
      <c r="HQ187" s="185"/>
      <c r="HR187" s="185"/>
      <c r="HS187" s="206"/>
      <c r="HT187" s="185"/>
      <c r="HU187" s="185"/>
      <c r="HV187" s="185"/>
      <c r="HW187" s="185"/>
      <c r="HX187" s="215"/>
      <c r="HY187" s="185"/>
      <c r="HZ187" s="185"/>
      <c r="IA187" s="185"/>
      <c r="IB187" s="185"/>
      <c r="IC187" s="185"/>
      <c r="ID187" s="185"/>
      <c r="IE187" s="185"/>
      <c r="IF187" s="185"/>
      <c r="IG187" s="185"/>
      <c r="IH187" s="185"/>
      <c r="II187" s="148"/>
      <c r="IJ187" s="148"/>
      <c r="IK187" s="210"/>
      <c r="IL187" s="185"/>
      <c r="IM187" s="185"/>
      <c r="IN187" s="185"/>
      <c r="IO187" t="s">
        <v>2641</v>
      </c>
      <c r="IP187" s="185" t="s">
        <v>2643</v>
      </c>
      <c r="IQ187" s="185"/>
      <c r="IR187" s="185"/>
      <c r="IS187" s="185">
        <v>2001</v>
      </c>
      <c r="IT187" s="214" t="s">
        <v>2642</v>
      </c>
      <c r="IU187" s="185" t="s">
        <v>480</v>
      </c>
      <c r="IV187" s="185"/>
      <c r="IW187" s="185"/>
      <c r="IX187" s="2"/>
      <c r="IY187" s="2"/>
      <c r="IZ187" s="2"/>
      <c r="JA187" s="2"/>
      <c r="JB187" s="2"/>
      <c r="JC187" s="2"/>
      <c r="JD187" s="2"/>
      <c r="JE187" s="2"/>
      <c r="JF187" s="2"/>
      <c r="JG187" s="2"/>
      <c r="JH187" s="2"/>
      <c r="JI187" s="2"/>
      <c r="JJ187" s="2" t="s">
        <v>2628</v>
      </c>
      <c r="JK187" s="2" t="s">
        <v>494</v>
      </c>
      <c r="JL187" s="151" t="s">
        <v>495</v>
      </c>
      <c r="JM187" s="282" t="s">
        <v>2627</v>
      </c>
      <c r="JN187" s="206"/>
      <c r="JO187" s="185"/>
      <c r="JP187" s="206" t="s">
        <v>508</v>
      </c>
      <c r="JQ187" s="185">
        <f>100*2+140</f>
        <v>340</v>
      </c>
      <c r="JR187" s="185">
        <f>45*2+50</f>
        <v>140</v>
      </c>
      <c r="JS187" s="185">
        <f>30*2+30</f>
        <v>90</v>
      </c>
      <c r="JT187" s="185"/>
      <c r="JU187" s="185"/>
      <c r="JV187" s="140"/>
      <c r="JW187" s="140"/>
      <c r="JX187" s="206"/>
      <c r="JY187" s="185"/>
      <c r="JZ187" s="206"/>
      <c r="KA187" s="185"/>
      <c r="KB187" s="185"/>
      <c r="KC187" s="185"/>
      <c r="KD187" s="206"/>
      <c r="KE187" s="206"/>
      <c r="KF187" s="148"/>
      <c r="KG187" s="216"/>
      <c r="KH187" s="185"/>
      <c r="KI187" s="185"/>
      <c r="KJ187" s="185"/>
      <c r="KK187" s="185"/>
      <c r="KL187" s="206"/>
      <c r="KM187" s="185"/>
      <c r="KN187" s="148"/>
      <c r="KO187" s="216"/>
      <c r="KP187" s="185"/>
      <c r="KQ187" s="185"/>
      <c r="KR187" s="148"/>
      <c r="KS187" s="216"/>
      <c r="KT187" s="185"/>
      <c r="KU187" s="185"/>
      <c r="KV187" s="185"/>
      <c r="KW187" s="3"/>
      <c r="KX187" s="3"/>
      <c r="KY187" s="3"/>
      <c r="KZ187" s="3"/>
      <c r="LA187" s="206"/>
      <c r="LB187" s="206"/>
      <c r="LC187" s="206"/>
      <c r="LD187" s="206"/>
      <c r="LE187" s="206"/>
      <c r="LF187" s="206"/>
      <c r="LG187" s="134"/>
      <c r="LH187" s="206"/>
      <c r="LI187" s="206"/>
      <c r="LJ187" s="206"/>
      <c r="LK187" s="206"/>
      <c r="LL187" s="206"/>
      <c r="LM187" s="206"/>
      <c r="LN187" s="185"/>
      <c r="LO187" s="185"/>
      <c r="LP187" s="185"/>
      <c r="LQ187" s="185"/>
      <c r="LR187" s="185"/>
      <c r="LS187" s="185"/>
      <c r="LT187" s="185"/>
      <c r="LU187" s="185"/>
      <c r="LV187" s="144"/>
      <c r="LW187" s="2"/>
      <c r="LX187" s="2"/>
      <c r="LY187" s="2"/>
      <c r="LZ187" s="2"/>
      <c r="MA187" s="2"/>
      <c r="ME187" s="2"/>
      <c r="MF187" s="185"/>
      <c r="MG187" s="185"/>
      <c r="MH187" s="185"/>
      <c r="MI187" s="2"/>
      <c r="MJ187" s="2"/>
      <c r="MK187" s="2"/>
      <c r="ML187" s="2"/>
      <c r="MM187" s="2"/>
      <c r="MN187" s="2"/>
      <c r="MO187" s="2"/>
      <c r="MP187" s="2"/>
      <c r="MQ187" s="185"/>
      <c r="MR187" s="185"/>
      <c r="MS187" s="185"/>
      <c r="MT187" s="185"/>
      <c r="MU187" s="185"/>
      <c r="MV187" s="185"/>
      <c r="MW187" s="185"/>
      <c r="MX187" s="185"/>
      <c r="MY187" s="211" t="s">
        <v>2626</v>
      </c>
      <c r="MZ187" s="281">
        <f>6*15</f>
        <v>90</v>
      </c>
      <c r="NA187" t="s">
        <v>2625</v>
      </c>
      <c r="NB187" t="s">
        <v>2625</v>
      </c>
      <c r="NH187" t="s">
        <v>711</v>
      </c>
      <c r="NI187" s="185"/>
      <c r="NJ187" s="185" t="s">
        <v>1380</v>
      </c>
      <c r="NK187" s="185" t="s">
        <v>2624</v>
      </c>
      <c r="NL187" t="s">
        <v>1380</v>
      </c>
      <c r="NM187" t="s">
        <v>2623</v>
      </c>
      <c r="NN187" s="185"/>
      <c r="NO187" s="185"/>
      <c r="NP187" s="185"/>
      <c r="NQ187" s="185"/>
      <c r="NR187" s="185"/>
      <c r="NS187" s="185"/>
      <c r="NT187" t="s">
        <v>2641</v>
      </c>
      <c r="NU187" s="185" t="s">
        <v>2640</v>
      </c>
      <c r="NV187" s="220" t="s">
        <v>518</v>
      </c>
      <c r="NW187">
        <v>7.7240000000000002</v>
      </c>
      <c r="NX187" s="220" t="s">
        <v>520</v>
      </c>
      <c r="NY187" s="220">
        <v>0.13300000000000001</v>
      </c>
      <c r="NZ187" s="220"/>
      <c r="OA187" s="220"/>
      <c r="OB187" s="185">
        <v>4</v>
      </c>
      <c r="OC187" s="185"/>
      <c r="OD187" s="185"/>
      <c r="OE187" s="185"/>
      <c r="OF187" s="185"/>
      <c r="OG187" s="185"/>
      <c r="OH187" s="185"/>
      <c r="OI187" s="185"/>
      <c r="OJ187" s="185"/>
      <c r="OK187" s="185"/>
      <c r="OL187" s="185"/>
      <c r="OM187" s="133"/>
      <c r="ON187" s="133"/>
      <c r="OO187" s="133"/>
      <c r="OP187" s="133"/>
      <c r="OQ187" s="133"/>
      <c r="OR187" s="133"/>
      <c r="OS187" s="133"/>
      <c r="OT187" s="133"/>
      <c r="OU187" s="185" t="s">
        <v>2620</v>
      </c>
      <c r="OV187" s="185"/>
      <c r="OW187" s="185">
        <v>2007</v>
      </c>
      <c r="OX187" s="185" t="s">
        <v>1049</v>
      </c>
      <c r="OY187" s="185" t="s">
        <v>1049</v>
      </c>
      <c r="OZ187" s="185">
        <v>7.1</v>
      </c>
      <c r="PA187" s="185"/>
      <c r="PB187" t="s">
        <v>2619</v>
      </c>
      <c r="PC187" s="50">
        <v>46176</v>
      </c>
      <c r="PD187" t="s">
        <v>2618</v>
      </c>
      <c r="PE187" t="s">
        <v>1049</v>
      </c>
      <c r="PF187" t="s">
        <v>1049</v>
      </c>
      <c r="PG187" t="s">
        <v>1049</v>
      </c>
      <c r="PH187" t="s">
        <v>1049</v>
      </c>
    </row>
    <row r="188" spans="1:424" ht="17.25" thickBot="1">
      <c r="A188" s="205" t="s">
        <v>665</v>
      </c>
      <c r="B188" s="2" t="s">
        <v>2635</v>
      </c>
      <c r="C188" s="2" t="s">
        <v>2634</v>
      </c>
      <c r="D188" s="88" t="s">
        <v>480</v>
      </c>
      <c r="E188" s="2" t="s">
        <v>2633</v>
      </c>
      <c r="F188" s="88" t="s">
        <v>474</v>
      </c>
      <c r="G188" s="2" t="s">
        <v>475</v>
      </c>
      <c r="H188" s="2" t="s">
        <v>476</v>
      </c>
      <c r="I188" s="88">
        <v>10.566667000000001</v>
      </c>
      <c r="J188" s="88">
        <v>106</v>
      </c>
      <c r="K188" s="88">
        <v>800</v>
      </c>
      <c r="L188" s="2"/>
      <c r="M188" s="88"/>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2632</v>
      </c>
      <c r="AW188" s="2">
        <f>6*15</f>
        <v>90</v>
      </c>
      <c r="AX188" s="2" t="s">
        <v>480</v>
      </c>
      <c r="AY188" s="2">
        <v>8</v>
      </c>
      <c r="AZ188" s="185" t="s">
        <v>2631</v>
      </c>
      <c r="BA188" s="185">
        <v>2001</v>
      </c>
      <c r="BB188" s="185">
        <v>2008</v>
      </c>
      <c r="BC188" s="185"/>
      <c r="BD188" t="s">
        <v>2637</v>
      </c>
      <c r="BE188" s="51" t="s">
        <v>566</v>
      </c>
      <c r="BF188" s="185" t="s">
        <v>484</v>
      </c>
      <c r="BG188" s="185" t="s">
        <v>1501</v>
      </c>
      <c r="BH188" s="79" t="s">
        <v>480</v>
      </c>
      <c r="BI188" s="206" t="s">
        <v>1503</v>
      </c>
      <c r="BJ188" s="283">
        <v>150</v>
      </c>
      <c r="BK188" s="185" t="s">
        <v>555</v>
      </c>
      <c r="BL188" s="185" t="s">
        <v>2630</v>
      </c>
      <c r="BM188" s="185" t="s">
        <v>480</v>
      </c>
      <c r="BN188" s="206" t="s">
        <v>1503</v>
      </c>
      <c r="BO188" s="185">
        <v>17.5</v>
      </c>
      <c r="BP188" s="185" t="s">
        <v>555</v>
      </c>
      <c r="BQ188" s="185" t="s">
        <v>1501</v>
      </c>
      <c r="BR188" s="185" t="s">
        <v>480</v>
      </c>
      <c r="BS188" s="206" t="s">
        <v>1503</v>
      </c>
      <c r="BT188" s="283">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85"/>
      <c r="EF188" s="185"/>
      <c r="EG188" s="185"/>
      <c r="EH188" s="185"/>
      <c r="EI188" s="185"/>
      <c r="EJ188" s="185"/>
      <c r="EK188" s="185"/>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85"/>
      <c r="HL188" s="185"/>
      <c r="HM188" s="185"/>
      <c r="HN188" s="185"/>
      <c r="HO188" s="185"/>
      <c r="HP188" s="185"/>
      <c r="HQ188" s="185"/>
      <c r="HR188" s="185"/>
      <c r="HS188" s="206"/>
      <c r="HT188" s="185"/>
      <c r="HU188" s="185"/>
      <c r="HV188" s="185"/>
      <c r="HW188" s="185"/>
      <c r="HX188" s="215"/>
      <c r="HY188" s="185"/>
      <c r="HZ188" s="185"/>
      <c r="IA188" s="185"/>
      <c r="IB188" s="185"/>
      <c r="IC188" s="185"/>
      <c r="ID188" s="185"/>
      <c r="IE188" s="185"/>
      <c r="IF188" s="185"/>
      <c r="IG188" s="185"/>
      <c r="IH188" s="185"/>
      <c r="II188" s="148"/>
      <c r="IJ188" s="148"/>
      <c r="IK188" s="210"/>
      <c r="IL188" s="185"/>
      <c r="IM188" s="185"/>
      <c r="IN188" s="185"/>
      <c r="IO188" t="s">
        <v>2637</v>
      </c>
      <c r="IP188" s="185" t="s">
        <v>2639</v>
      </c>
      <c r="IQ188" s="185"/>
      <c r="IR188" s="185"/>
      <c r="IS188" s="185">
        <v>2001</v>
      </c>
      <c r="IT188" s="214" t="s">
        <v>2638</v>
      </c>
      <c r="IU188" s="185" t="s">
        <v>480</v>
      </c>
      <c r="IV188" s="185"/>
      <c r="IW188" s="185"/>
      <c r="IX188" s="2"/>
      <c r="IY188" s="2"/>
      <c r="IZ188" s="2"/>
      <c r="JA188" s="2"/>
      <c r="JB188" s="2"/>
      <c r="JC188" s="2"/>
      <c r="JD188" s="2"/>
      <c r="JE188" s="2"/>
      <c r="JF188" s="2"/>
      <c r="JG188" s="2"/>
      <c r="JH188" s="2"/>
      <c r="JI188" s="2"/>
      <c r="JJ188" s="2" t="s">
        <v>2628</v>
      </c>
      <c r="JK188" s="2" t="s">
        <v>494</v>
      </c>
      <c r="JL188" s="151" t="s">
        <v>495</v>
      </c>
      <c r="JM188" s="282" t="s">
        <v>2627</v>
      </c>
      <c r="JN188" s="206"/>
      <c r="JO188" s="185"/>
      <c r="JP188" s="206" t="s">
        <v>508</v>
      </c>
      <c r="JQ188" s="185">
        <f>100*2+40</f>
        <v>240</v>
      </c>
      <c r="JR188" s="185">
        <f>45*2+30</f>
        <v>120</v>
      </c>
      <c r="JS188" s="185">
        <f>30*2+60</f>
        <v>120</v>
      </c>
      <c r="JT188" s="185"/>
      <c r="JU188" s="185"/>
      <c r="JV188" s="140"/>
      <c r="JW188" s="140"/>
      <c r="JX188" s="206"/>
      <c r="JY188" s="185"/>
      <c r="JZ188" s="206"/>
      <c r="KA188" s="185"/>
      <c r="KB188" s="185"/>
      <c r="KC188" s="185"/>
      <c r="KD188" s="206"/>
      <c r="KE188" s="206"/>
      <c r="KF188" s="148"/>
      <c r="KG188" s="216"/>
      <c r="KH188" s="185"/>
      <c r="KI188" s="185"/>
      <c r="KJ188" s="185"/>
      <c r="KK188" s="185"/>
      <c r="KL188" s="206"/>
      <c r="KM188" s="185"/>
      <c r="KN188" s="148"/>
      <c r="KO188" s="216"/>
      <c r="KP188" s="185"/>
      <c r="KQ188" s="185"/>
      <c r="KR188" s="148"/>
      <c r="KS188" s="216"/>
      <c r="KT188" s="185"/>
      <c r="KU188" s="185"/>
      <c r="KV188" s="185"/>
      <c r="KW188" s="3"/>
      <c r="KX188" s="3"/>
      <c r="KY188" s="3"/>
      <c r="KZ188" s="3"/>
      <c r="LA188" s="206"/>
      <c r="LB188" s="206"/>
      <c r="LC188" s="206"/>
      <c r="LD188" s="206"/>
      <c r="LE188" s="206"/>
      <c r="LF188" s="206"/>
      <c r="LG188" s="134"/>
      <c r="LH188" s="206"/>
      <c r="LI188" s="206"/>
      <c r="LJ188" s="206"/>
      <c r="LK188" s="206"/>
      <c r="LL188" s="206"/>
      <c r="LM188" s="206"/>
      <c r="LN188" s="185"/>
      <c r="LO188" s="185"/>
      <c r="LP188" s="185"/>
      <c r="LQ188" s="185"/>
      <c r="LR188" s="185"/>
      <c r="LS188" s="185"/>
      <c r="LT188" s="185"/>
      <c r="LU188" s="185"/>
      <c r="LV188" s="144"/>
      <c r="LW188" s="2"/>
      <c r="LX188" s="2"/>
      <c r="LY188" s="2"/>
      <c r="LZ188" s="2"/>
      <c r="MA188" s="2"/>
      <c r="ME188" s="2"/>
      <c r="MF188" s="185"/>
      <c r="MG188" s="185"/>
      <c r="MH188" s="185"/>
      <c r="MI188" s="2"/>
      <c r="MJ188" s="2"/>
      <c r="MK188" s="2"/>
      <c r="ML188" s="2"/>
      <c r="MM188" s="2"/>
      <c r="MN188" s="2"/>
      <c r="MO188" s="2"/>
      <c r="MP188" s="2"/>
      <c r="MQ188" s="185"/>
      <c r="MR188" s="185"/>
      <c r="MS188" s="185"/>
      <c r="MT188" s="185"/>
      <c r="MU188" s="185"/>
      <c r="MV188" s="185"/>
      <c r="MW188" s="185"/>
      <c r="MX188" s="185"/>
      <c r="MY188" s="211" t="s">
        <v>2626</v>
      </c>
      <c r="MZ188" s="281">
        <f>6*15</f>
        <v>90</v>
      </c>
      <c r="NA188" t="s">
        <v>2625</v>
      </c>
      <c r="NB188" t="s">
        <v>2625</v>
      </c>
      <c r="NH188" t="s">
        <v>711</v>
      </c>
      <c r="NI188" s="185"/>
      <c r="NJ188" s="185" t="s">
        <v>1380</v>
      </c>
      <c r="NK188" s="185" t="s">
        <v>2624</v>
      </c>
      <c r="NL188" t="s">
        <v>1380</v>
      </c>
      <c r="NM188" t="s">
        <v>2623</v>
      </c>
      <c r="NN188" s="185"/>
      <c r="NO188" s="185"/>
      <c r="NP188" s="185"/>
      <c r="NQ188" s="185"/>
      <c r="NR188" s="185"/>
      <c r="NS188" s="185"/>
      <c r="NT188" t="s">
        <v>2637</v>
      </c>
      <c r="NU188" s="185" t="s">
        <v>2636</v>
      </c>
      <c r="NV188" s="220" t="s">
        <v>518</v>
      </c>
      <c r="NW188">
        <v>7.843</v>
      </c>
      <c r="NX188" s="220" t="s">
        <v>520</v>
      </c>
      <c r="NY188" s="220">
        <v>1.4000000000000234E-2</v>
      </c>
      <c r="NZ188" s="220"/>
      <c r="OA188" s="220"/>
      <c r="OB188" s="185">
        <v>4</v>
      </c>
      <c r="OC188" s="185"/>
      <c r="OD188" s="185"/>
      <c r="OE188" s="185"/>
      <c r="OF188" s="185"/>
      <c r="OG188" s="185"/>
      <c r="OH188" s="185"/>
      <c r="OI188" s="185"/>
      <c r="OJ188" s="185"/>
      <c r="OK188" s="185"/>
      <c r="OL188" s="185"/>
      <c r="OM188" s="133"/>
      <c r="ON188" s="133"/>
      <c r="OO188" s="133"/>
      <c r="OP188" s="133"/>
      <c r="OQ188" s="133"/>
      <c r="OR188" s="133"/>
      <c r="OS188" s="133"/>
      <c r="OT188" s="133"/>
      <c r="OU188" s="185" t="s">
        <v>2620</v>
      </c>
      <c r="OV188" s="185"/>
      <c r="OW188" s="185">
        <v>2007</v>
      </c>
      <c r="OX188" s="185" t="s">
        <v>1049</v>
      </c>
      <c r="OY188" s="185" t="s">
        <v>1049</v>
      </c>
      <c r="OZ188" s="185">
        <v>7.1</v>
      </c>
      <c r="PA188" s="185"/>
      <c r="PB188" t="s">
        <v>2619</v>
      </c>
      <c r="PC188" s="50">
        <v>46176</v>
      </c>
      <c r="PD188" t="s">
        <v>2618</v>
      </c>
      <c r="PE188" t="s">
        <v>1049</v>
      </c>
      <c r="PF188" t="s">
        <v>1049</v>
      </c>
      <c r="PG188" t="s">
        <v>1049</v>
      </c>
      <c r="PH188" t="s">
        <v>1049</v>
      </c>
    </row>
    <row r="189" spans="1:424" ht="17.25" thickBot="1">
      <c r="A189" s="205" t="s">
        <v>665</v>
      </c>
      <c r="B189" s="2" t="s">
        <v>2635</v>
      </c>
      <c r="C189" s="2" t="s">
        <v>2634</v>
      </c>
      <c r="D189" s="88" t="s">
        <v>480</v>
      </c>
      <c r="E189" s="2" t="s">
        <v>2633</v>
      </c>
      <c r="F189" s="88" t="s">
        <v>474</v>
      </c>
      <c r="G189" s="2" t="s">
        <v>475</v>
      </c>
      <c r="H189" s="2" t="s">
        <v>476</v>
      </c>
      <c r="I189" s="88">
        <v>10.566667000000001</v>
      </c>
      <c r="J189" s="88">
        <v>106</v>
      </c>
      <c r="K189" s="88">
        <v>800</v>
      </c>
      <c r="L189" s="2"/>
      <c r="M189" s="88"/>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2632</v>
      </c>
      <c r="AW189" s="2">
        <f>6*15</f>
        <v>90</v>
      </c>
      <c r="AX189" s="2" t="s">
        <v>480</v>
      </c>
      <c r="AY189" s="2">
        <v>8</v>
      </c>
      <c r="AZ189" s="185" t="s">
        <v>2631</v>
      </c>
      <c r="BA189" s="185">
        <v>2001</v>
      </c>
      <c r="BB189" s="185">
        <v>2008</v>
      </c>
      <c r="BC189" s="185"/>
      <c r="BD189" t="s">
        <v>2622</v>
      </c>
      <c r="BE189" s="51" t="s">
        <v>572</v>
      </c>
      <c r="BF189" s="185" t="s">
        <v>484</v>
      </c>
      <c r="BG189" s="185" t="s">
        <v>1501</v>
      </c>
      <c r="BH189" s="79" t="s">
        <v>480</v>
      </c>
      <c r="BI189" s="206" t="s">
        <v>1503</v>
      </c>
      <c r="BJ189" s="283">
        <v>150</v>
      </c>
      <c r="BK189" s="185" t="s">
        <v>555</v>
      </c>
      <c r="BL189" s="185" t="s">
        <v>2630</v>
      </c>
      <c r="BM189" s="185" t="s">
        <v>480</v>
      </c>
      <c r="BN189" s="206" t="s">
        <v>1503</v>
      </c>
      <c r="BO189" s="185">
        <v>17.5</v>
      </c>
      <c r="BP189" s="185" t="s">
        <v>555</v>
      </c>
      <c r="BQ189" s="185" t="s">
        <v>485</v>
      </c>
      <c r="BR189" s="185" t="s">
        <v>480</v>
      </c>
      <c r="BS189" s="206" t="s">
        <v>1503</v>
      </c>
      <c r="BT189" s="185">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85"/>
      <c r="EF189" s="185"/>
      <c r="EG189" s="185"/>
      <c r="EH189" s="185"/>
      <c r="EI189" s="185"/>
      <c r="EJ189" s="185"/>
      <c r="EK189" s="185"/>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85"/>
      <c r="HL189" s="185"/>
      <c r="HM189" s="185"/>
      <c r="HN189" s="185"/>
      <c r="HO189" s="185"/>
      <c r="HP189" s="185"/>
      <c r="HQ189" s="185"/>
      <c r="HR189" s="185"/>
      <c r="HS189" s="206"/>
      <c r="HT189" s="185"/>
      <c r="HU189" s="185"/>
      <c r="HV189" s="185"/>
      <c r="HW189" s="185"/>
      <c r="HX189" s="215"/>
      <c r="HY189" s="185"/>
      <c r="HZ189" s="185"/>
      <c r="IA189" s="185"/>
      <c r="IB189" s="185"/>
      <c r="IC189" s="185"/>
      <c r="ID189" s="185"/>
      <c r="IE189" s="185"/>
      <c r="IF189" s="185"/>
      <c r="IG189" s="185"/>
      <c r="IH189" s="185"/>
      <c r="II189" s="148"/>
      <c r="IJ189" s="148"/>
      <c r="IK189" s="210"/>
      <c r="IL189" s="185"/>
      <c r="IM189" s="185"/>
      <c r="IN189" s="185"/>
      <c r="IO189" t="s">
        <v>2622</v>
      </c>
      <c r="IP189" s="185" t="s">
        <v>1280</v>
      </c>
      <c r="IQ189" s="185"/>
      <c r="IR189" s="185"/>
      <c r="IS189" s="185">
        <v>2001</v>
      </c>
      <c r="IT189" s="214" t="s">
        <v>2629</v>
      </c>
      <c r="IU189" s="185" t="s">
        <v>480</v>
      </c>
      <c r="IV189" s="185"/>
      <c r="IW189" s="185"/>
      <c r="IX189" s="2"/>
      <c r="IY189" s="2"/>
      <c r="IZ189" s="2"/>
      <c r="JA189" s="2"/>
      <c r="JB189" s="2"/>
      <c r="JC189" s="2"/>
      <c r="JD189" s="2"/>
      <c r="JE189" s="2"/>
      <c r="JF189" s="2"/>
      <c r="JG189" s="2"/>
      <c r="JH189" s="2"/>
      <c r="JI189" s="2"/>
      <c r="JJ189" s="2" t="s">
        <v>2628</v>
      </c>
      <c r="JK189" s="2" t="s">
        <v>494</v>
      </c>
      <c r="JL189" s="151" t="s">
        <v>495</v>
      </c>
      <c r="JM189" s="282" t="s">
        <v>2627</v>
      </c>
      <c r="JN189" s="206"/>
      <c r="JO189" s="185"/>
      <c r="JP189" s="206" t="s">
        <v>508</v>
      </c>
      <c r="JQ189" s="185">
        <f>100+140+40</f>
        <v>280</v>
      </c>
      <c r="JR189" s="185">
        <f>45+50+30</f>
        <v>125</v>
      </c>
      <c r="JS189" s="185">
        <f>30+30+60</f>
        <v>120</v>
      </c>
      <c r="JT189" s="185"/>
      <c r="JU189" s="185"/>
      <c r="JV189" s="140"/>
      <c r="JW189" s="140"/>
      <c r="JX189" s="206"/>
      <c r="JY189" s="185"/>
      <c r="JZ189" s="206"/>
      <c r="KA189" s="185"/>
      <c r="KB189" s="185"/>
      <c r="KC189" s="185"/>
      <c r="KD189" s="206"/>
      <c r="KE189" s="206"/>
      <c r="KF189" s="148"/>
      <c r="KG189" s="216"/>
      <c r="KH189" s="185"/>
      <c r="KI189" s="185"/>
      <c r="KJ189" s="185"/>
      <c r="KK189" s="185"/>
      <c r="KL189" s="206"/>
      <c r="KM189" s="185"/>
      <c r="KN189" s="148"/>
      <c r="KO189" s="216"/>
      <c r="KP189" s="185"/>
      <c r="KQ189" s="185"/>
      <c r="KR189" s="148"/>
      <c r="KS189" s="216"/>
      <c r="KT189" s="185"/>
      <c r="KU189" s="185"/>
      <c r="KV189" s="185"/>
      <c r="KW189" s="3"/>
      <c r="KX189" s="3"/>
      <c r="KY189" s="3"/>
      <c r="KZ189" s="3"/>
      <c r="LA189" s="206"/>
      <c r="LB189" s="206"/>
      <c r="LC189" s="206"/>
      <c r="LD189" s="206"/>
      <c r="LE189" s="206"/>
      <c r="LF189" s="206"/>
      <c r="LG189" s="134"/>
      <c r="LH189" s="206"/>
      <c r="LI189" s="206"/>
      <c r="LJ189" s="206"/>
      <c r="LK189" s="206"/>
      <c r="LL189" s="206"/>
      <c r="LM189" s="206"/>
      <c r="LN189" s="185"/>
      <c r="LO189" s="185"/>
      <c r="LP189" s="185"/>
      <c r="LQ189" s="185"/>
      <c r="LR189" s="185"/>
      <c r="LS189" s="185"/>
      <c r="LT189" s="185"/>
      <c r="LU189" s="185"/>
      <c r="LV189" s="144"/>
      <c r="LW189" s="2"/>
      <c r="LX189" s="2"/>
      <c r="LY189" s="2"/>
      <c r="LZ189" s="2"/>
      <c r="MA189" s="2"/>
      <c r="ME189" s="2"/>
      <c r="MF189" s="185"/>
      <c r="MG189" s="185"/>
      <c r="MH189" s="185"/>
      <c r="MI189" s="2"/>
      <c r="MJ189" s="2"/>
      <c r="MK189" s="2"/>
      <c r="ML189" s="2"/>
      <c r="MM189" s="2"/>
      <c r="MN189" s="2"/>
      <c r="MO189" s="2"/>
      <c r="MP189" s="2"/>
      <c r="MQ189" s="185"/>
      <c r="MR189" s="185"/>
      <c r="MS189" s="185"/>
      <c r="MT189" s="185"/>
      <c r="MU189" s="185"/>
      <c r="MV189" s="185"/>
      <c r="MW189" s="185"/>
      <c r="MX189" s="185"/>
      <c r="MY189" s="211" t="s">
        <v>2626</v>
      </c>
      <c r="MZ189" s="281">
        <f>6*15</f>
        <v>90</v>
      </c>
      <c r="NA189" t="s">
        <v>2625</v>
      </c>
      <c r="NB189" t="s">
        <v>2625</v>
      </c>
      <c r="NH189" t="s">
        <v>711</v>
      </c>
      <c r="NI189" s="185"/>
      <c r="NJ189" s="185" t="s">
        <v>1380</v>
      </c>
      <c r="NK189" s="185" t="s">
        <v>2624</v>
      </c>
      <c r="NL189" t="s">
        <v>1380</v>
      </c>
      <c r="NM189" t="s">
        <v>2623</v>
      </c>
      <c r="NN189" s="185"/>
      <c r="NO189" s="185"/>
      <c r="NP189" s="185"/>
      <c r="NQ189" s="185"/>
      <c r="NR189" s="185"/>
      <c r="NS189" s="185"/>
      <c r="NT189" t="s">
        <v>2622</v>
      </c>
      <c r="NU189" s="185" t="s">
        <v>2621</v>
      </c>
      <c r="NV189" s="220" t="s">
        <v>518</v>
      </c>
      <c r="NW189">
        <v>6.806</v>
      </c>
      <c r="NX189" s="220" t="s">
        <v>520</v>
      </c>
      <c r="NY189" s="220">
        <v>0.35899999999999999</v>
      </c>
      <c r="NZ189" s="220"/>
      <c r="OA189" s="220"/>
      <c r="OB189" s="185">
        <v>4</v>
      </c>
      <c r="OC189" s="185"/>
      <c r="OD189" s="185"/>
      <c r="OE189" s="185"/>
      <c r="OF189" s="185"/>
      <c r="OG189" s="185"/>
      <c r="OH189" s="185"/>
      <c r="OI189" s="185"/>
      <c r="OJ189" s="185"/>
      <c r="OK189" s="185"/>
      <c r="OL189" s="185"/>
      <c r="OM189" s="133"/>
      <c r="ON189" s="133"/>
      <c r="OO189" s="133"/>
      <c r="OP189" s="133"/>
      <c r="OQ189" s="133"/>
      <c r="OR189" s="133"/>
      <c r="OS189" s="133"/>
      <c r="OT189" s="133"/>
      <c r="OU189" s="185" t="s">
        <v>2620</v>
      </c>
      <c r="OV189" s="185"/>
      <c r="OW189" s="185">
        <v>2007</v>
      </c>
      <c r="OX189" s="185" t="s">
        <v>1049</v>
      </c>
      <c r="OY189" s="185" t="s">
        <v>1049</v>
      </c>
      <c r="OZ189" s="185">
        <v>7.1</v>
      </c>
      <c r="PA189" s="185"/>
      <c r="PB189" t="s">
        <v>2619</v>
      </c>
      <c r="PC189" s="50">
        <v>46176</v>
      </c>
      <c r="PD189" t="s">
        <v>2618</v>
      </c>
      <c r="PE189" t="s">
        <v>1049</v>
      </c>
      <c r="PF189" t="s">
        <v>1049</v>
      </c>
      <c r="PG189" t="s">
        <v>1049</v>
      </c>
      <c r="PH189" t="s">
        <v>1049</v>
      </c>
    </row>
  </sheetData>
  <conditionalFormatting sqref="C151:K162">
    <cfRule type="expression" dxfId="276" priority="176">
      <formula>AND(LEN(TRIM($C151))&gt;0,LEN(TRIM(C151))=0)</formula>
    </cfRule>
  </conditionalFormatting>
  <conditionalFormatting sqref="L151:T162">
    <cfRule type="expression" dxfId="275" priority="177">
      <formula>AND(LEN(TRIM($L151))&gt;0,LEN(TRIM(L151))=0)</formula>
    </cfRule>
  </conditionalFormatting>
  <conditionalFormatting sqref="U151:AC162">
    <cfRule type="expression" dxfId="274" priority="178">
      <formula>AND(LEN(TRIM($U151))&gt;0,LEN(TRIM(U151))=0)</formula>
    </cfRule>
  </conditionalFormatting>
  <conditionalFormatting sqref="AD151:AL162">
    <cfRule type="expression" dxfId="273" priority="179">
      <formula>AND(LEN(TRIM($AD151))&gt;0,LEN(TRIM(AD151))=0)</formula>
    </cfRule>
  </conditionalFormatting>
  <conditionalFormatting sqref="AM151:AU162">
    <cfRule type="expression" dxfId="272" priority="180">
      <formula>AND(LEN(TRIM($AM151))&gt;0,LEN(TRIM(AM151))=0)</formula>
    </cfRule>
  </conditionalFormatting>
  <conditionalFormatting sqref="AW151:BC162">
    <cfRule type="expression" dxfId="271" priority="181">
      <formula>AND(LEN(TRIM($AV151))&gt;0,LEN(TRIM(AW151))=0)</formula>
    </cfRule>
  </conditionalFormatting>
  <conditionalFormatting sqref="BE151:BG162">
    <cfRule type="expression" dxfId="270" priority="182">
      <formula>AND(LEN(TRIM($BD151))&gt;0,LEN(TRIM(BE151))=0)</formula>
    </cfRule>
  </conditionalFormatting>
  <conditionalFormatting sqref="BI151:BL162">
    <cfRule type="expression" dxfId="269" priority="183">
      <formula>AND(LEN(TRIM($BH151))&gt;0,LEN(TRIM(BI151))=0)</formula>
    </cfRule>
  </conditionalFormatting>
  <conditionalFormatting sqref="BN151:BQ162">
    <cfRule type="expression" dxfId="268" priority="184">
      <formula>AND(LEN(TRIM($BM151))&gt;0,LEN(TRIM(BN151))=0)</formula>
    </cfRule>
  </conditionalFormatting>
  <conditionalFormatting sqref="BS151:BV162">
    <cfRule type="expression" dxfId="267" priority="185">
      <formula>AND(LEN(TRIM($BR151))&gt;0,LEN(TRIM(BS151))=0)</formula>
    </cfRule>
  </conditionalFormatting>
  <conditionalFormatting sqref="BX151:CA162">
    <cfRule type="expression" dxfId="266" priority="186">
      <formula>AND(LEN(TRIM($BW151))&gt;0,LEN(TRIM(BX151))=0)</formula>
    </cfRule>
  </conditionalFormatting>
  <conditionalFormatting sqref="CC151:CF162">
    <cfRule type="expression" dxfId="265" priority="187">
      <formula>AND(LEN(TRIM($CB151))&gt;0,LEN(TRIM(CC151))=0)</formula>
    </cfRule>
  </conditionalFormatting>
  <conditionalFormatting sqref="CH151:CK162">
    <cfRule type="expression" dxfId="264" priority="188">
      <formula>AND(LEN(TRIM($CG151))&gt;0,LEN(TRIM(CH151))=0)</formula>
    </cfRule>
  </conditionalFormatting>
  <conditionalFormatting sqref="CM151:CP162">
    <cfRule type="expression" dxfId="263" priority="189">
      <formula>AND(LEN(TRIM($CL151))&gt;0,LEN(TRIM(CM151))=0)</formula>
    </cfRule>
  </conditionalFormatting>
  <conditionalFormatting sqref="CR151:CU162">
    <cfRule type="expression" dxfId="262" priority="190">
      <formula>AND(LEN(TRIM($CQ151))&gt;0,LEN(TRIM(CR151))=0)</formula>
    </cfRule>
  </conditionalFormatting>
  <conditionalFormatting sqref="CW151:CZ162">
    <cfRule type="expression" dxfId="261" priority="191">
      <formula>AND(LEN(TRIM($CV151))&gt;0,LEN(TRIM(CW151))=0)</formula>
    </cfRule>
  </conditionalFormatting>
  <conditionalFormatting sqref="DB151:DE162">
    <cfRule type="expression" dxfId="260" priority="192">
      <formula>AND(LEN(TRIM($DA151))&gt;0,LEN(TRIM(DB151))=0)</formula>
    </cfRule>
  </conditionalFormatting>
  <conditionalFormatting sqref="DG151:DJ162">
    <cfRule type="expression" dxfId="259" priority="193">
      <formula>AND(LEN(TRIM($DF151))&gt;0,LEN(TRIM(DG151))=0)</formula>
    </cfRule>
  </conditionalFormatting>
  <conditionalFormatting sqref="DL151:DO162">
    <cfRule type="expression" dxfId="258" priority="194">
      <formula>AND(LEN(TRIM($DK151))&gt;0,LEN(TRIM(DL151))=0)</formula>
    </cfRule>
  </conditionalFormatting>
  <conditionalFormatting sqref="DQ151:DT162">
    <cfRule type="expression" dxfId="257" priority="195">
      <formula>AND(LEN(TRIM($DP151))&gt;0,LEN(TRIM(DQ151))=0)</formula>
    </cfRule>
  </conditionalFormatting>
  <conditionalFormatting sqref="DV151:DY162">
    <cfRule type="expression" dxfId="256" priority="196">
      <formula>AND(LEN(TRIM($DU151))&gt;0,LEN(TRIM(DV151))=0)</formula>
    </cfRule>
  </conditionalFormatting>
  <conditionalFormatting sqref="EA151:ED162">
    <cfRule type="expression" dxfId="255" priority="197">
      <formula>AND(LEN(TRIM($DZ151))&gt;0,LEN(TRIM(EA151))=0)</formula>
    </cfRule>
  </conditionalFormatting>
  <conditionalFormatting sqref="EF151:EH162">
    <cfRule type="expression" dxfId="254" priority="198">
      <formula>AND(LEN(TRIM($EE151))&gt;0,LEN(TRIM(EF151))=0)</formula>
    </cfRule>
  </conditionalFormatting>
  <conditionalFormatting sqref="EJ152:EK152">
    <cfRule type="expression" dxfId="253" priority="268">
      <formula>AND(LEN(TRIM($EE152))&gt;0,LEN(TRIM(EJ152))=0)</formula>
    </cfRule>
  </conditionalFormatting>
  <conditionalFormatting sqref="EJ154:EK154">
    <cfRule type="expression" dxfId="252" priority="264">
      <formula>AND(LEN(TRIM($EE154))&gt;0,LEN(TRIM(EJ154))=0)</formula>
    </cfRule>
  </conditionalFormatting>
  <conditionalFormatting sqref="EJ156:EK156">
    <cfRule type="expression" dxfId="251" priority="261">
      <formula>AND(LEN(TRIM($EE156))&gt;0,LEN(TRIM(EJ156))=0)</formula>
    </cfRule>
  </conditionalFormatting>
  <conditionalFormatting sqref="EJ158:EK158">
    <cfRule type="expression" dxfId="250" priority="174">
      <formula>AND(LEN(TRIM($EE158))&gt;0,LEN(TRIM(EJ158))=0)</formula>
    </cfRule>
  </conditionalFormatting>
  <conditionalFormatting sqref="EJ160:EK160">
    <cfRule type="expression" dxfId="249" priority="171">
      <formula>AND(LEN(TRIM($EE160))&gt;0,LEN(TRIM(EJ160))=0)</formula>
    </cfRule>
  </conditionalFormatting>
  <conditionalFormatting sqref="EJ162:EK162">
    <cfRule type="expression" dxfId="248" priority="168">
      <formula>AND(LEN(TRIM($EE162))&gt;0,LEN(TRIM(EJ162))=0)</formula>
    </cfRule>
  </conditionalFormatting>
  <conditionalFormatting sqref="EJ151:EL151 EL152 EJ153:EL153 EL154 EJ155:EL155 EL156">
    <cfRule type="expression" dxfId="247" priority="293">
      <formula>AND(LEN(TRIM($EI151))&gt;0,LEN(TRIM(EJ151))=0)</formula>
    </cfRule>
  </conditionalFormatting>
  <conditionalFormatting sqref="EJ157:EL157 EL158 EJ159:EL159 EL160 EJ161:EL161 EL162">
    <cfRule type="expression" dxfId="246" priority="199">
      <formula>AND(LEN(TRIM($EI157))&gt;0,LEN(TRIM(EJ157))=0)</formula>
    </cfRule>
  </conditionalFormatting>
  <conditionalFormatting sqref="EM152">
    <cfRule type="duplicateValues" dxfId="245" priority="269"/>
  </conditionalFormatting>
  <conditionalFormatting sqref="EM154">
    <cfRule type="duplicateValues" dxfId="244" priority="265"/>
  </conditionalFormatting>
  <conditionalFormatting sqref="EM156">
    <cfRule type="duplicateValues" dxfId="243" priority="262"/>
  </conditionalFormatting>
  <conditionalFormatting sqref="EM158">
    <cfRule type="duplicateValues" dxfId="242" priority="175"/>
  </conditionalFormatting>
  <conditionalFormatting sqref="EM160">
    <cfRule type="duplicateValues" dxfId="241" priority="172"/>
  </conditionalFormatting>
  <conditionalFormatting sqref="EM162">
    <cfRule type="duplicateValues" dxfId="240" priority="169"/>
  </conditionalFormatting>
  <conditionalFormatting sqref="EN152:EO152">
    <cfRule type="expression" dxfId="239" priority="267">
      <formula>AND(LEN(TRIM($EE152))&gt;0,LEN(TRIM(EN152))=0)</formula>
    </cfRule>
  </conditionalFormatting>
  <conditionalFormatting sqref="EN154:EO154">
    <cfRule type="expression" dxfId="238" priority="263">
      <formula>AND(LEN(TRIM($EE154))&gt;0,LEN(TRIM(EN154))=0)</formula>
    </cfRule>
  </conditionalFormatting>
  <conditionalFormatting sqref="EN156:EO156">
    <cfRule type="expression" dxfId="237" priority="260">
      <formula>AND(LEN(TRIM($EE156))&gt;0,LEN(TRIM(EN156))=0)</formula>
    </cfRule>
  </conditionalFormatting>
  <conditionalFormatting sqref="EN158:EO158">
    <cfRule type="expression" dxfId="236" priority="173">
      <formula>AND(LEN(TRIM($EE158))&gt;0,LEN(TRIM(EN158))=0)</formula>
    </cfRule>
  </conditionalFormatting>
  <conditionalFormatting sqref="EN160:EO160">
    <cfRule type="expression" dxfId="235" priority="170">
      <formula>AND(LEN(TRIM($EE160))&gt;0,LEN(TRIM(EN160))=0)</formula>
    </cfRule>
  </conditionalFormatting>
  <conditionalFormatting sqref="EN162:EO162">
    <cfRule type="expression" dxfId="234" priority="167">
      <formula>AND(LEN(TRIM($EE162))&gt;0,LEN(TRIM(EN162))=0)</formula>
    </cfRule>
  </conditionalFormatting>
  <conditionalFormatting sqref="EN151:EP151 EP152 EN153:EP153 EP154 EN155:EP155 EP156">
    <cfRule type="expression" dxfId="233" priority="294">
      <formula>AND(LEN(TRIM($EM151))&gt;0,LEN(TRIM(EN151))=0)</formula>
    </cfRule>
  </conditionalFormatting>
  <conditionalFormatting sqref="EN157:EP157 EP158 EN159:EP159 EP160 EN161:EP161 EP162">
    <cfRule type="expression" dxfId="232" priority="200">
      <formula>AND(LEN(TRIM($EM157))&gt;0,LEN(TRIM(EN157))=0)</formula>
    </cfRule>
  </conditionalFormatting>
  <conditionalFormatting sqref="ER151:ET162">
    <cfRule type="expression" dxfId="231" priority="201">
      <formula>AND(LEN(TRIM($EQ151))&gt;0,LEN(TRIM(ER151))=0)</formula>
    </cfRule>
  </conditionalFormatting>
  <conditionalFormatting sqref="EV151:EX162">
    <cfRule type="expression" dxfId="230" priority="202">
      <formula>AND(LEN(TRIM($EU151))&gt;0,LEN(TRIM(EV151))=0)</formula>
    </cfRule>
  </conditionalFormatting>
  <conditionalFormatting sqref="EZ151:FB162">
    <cfRule type="expression" dxfId="229" priority="203">
      <formula>AND(LEN(TRIM($EY151))&gt;0,LEN(TRIM(EZ151))=0)</formula>
    </cfRule>
  </conditionalFormatting>
  <conditionalFormatting sqref="FD151:FF162">
    <cfRule type="expression" dxfId="228" priority="204">
      <formula>AND(LEN(TRIM($FC151))&gt;0,LEN(TRIM(FD151))=0)</formula>
    </cfRule>
  </conditionalFormatting>
  <conditionalFormatting sqref="FH151:FJ162">
    <cfRule type="expression" dxfId="227" priority="205">
      <formula>AND(LEN(TRIM($FG151))&gt;0,LEN(TRIM(FH151))=0)</formula>
    </cfRule>
  </conditionalFormatting>
  <conditionalFormatting sqref="FL151:FN162">
    <cfRule type="expression" dxfId="226" priority="206">
      <formula>AND(LEN(TRIM($FK151))&gt;0,LEN(TRIM(FL151))=0)</formula>
    </cfRule>
  </conditionalFormatting>
  <conditionalFormatting sqref="FP151:FR162">
    <cfRule type="expression" dxfId="225" priority="207">
      <formula>AND(LEN(TRIM($FO151))&gt;0,LEN(TRIM(FP151))=0)</formula>
    </cfRule>
  </conditionalFormatting>
  <conditionalFormatting sqref="FT151:FV162">
    <cfRule type="expression" dxfId="224" priority="208">
      <formula>AND(LEN(TRIM($FS151))&gt;0,LEN(TRIM(FT151))=0)</formula>
    </cfRule>
  </conditionalFormatting>
  <conditionalFormatting sqref="FX151:FZ162">
    <cfRule type="expression" dxfId="223" priority="209">
      <formula>AND(LEN(TRIM($FW151))&gt;0,LEN(TRIM(FX151))=0)</formula>
    </cfRule>
  </conditionalFormatting>
  <conditionalFormatting sqref="GB151:GD162">
    <cfRule type="expression" dxfId="222" priority="210">
      <formula>AND(LEN(TRIM($GA151))&gt;0,LEN(TRIM(GB151))=0)</formula>
    </cfRule>
  </conditionalFormatting>
  <conditionalFormatting sqref="GF151:GH162">
    <cfRule type="expression" dxfId="221" priority="211">
      <formula>AND(LEN(TRIM($GE151))&gt;0,LEN(TRIM(GF151))=0)</formula>
    </cfRule>
  </conditionalFormatting>
  <conditionalFormatting sqref="GJ151:GL162">
    <cfRule type="expression" dxfId="220" priority="212">
      <formula>AND(LEN(TRIM($GI151))&gt;0,LEN(TRIM(GJ151))=0)</formula>
    </cfRule>
  </conditionalFormatting>
  <conditionalFormatting sqref="GN151:GQ162">
    <cfRule type="expression" dxfId="219" priority="213">
      <formula>AND(LEN(TRIM($GM151))&gt;0,LEN(TRIM(GN151))=0)</formula>
    </cfRule>
  </conditionalFormatting>
  <conditionalFormatting sqref="GS151:GV162">
    <cfRule type="expression" dxfId="218" priority="214">
      <formula>AND(LEN(TRIM($GR151))&gt;0,LEN(TRIM(GS151))=0)</formula>
    </cfRule>
  </conditionalFormatting>
  <conditionalFormatting sqref="GX151:HA162">
    <cfRule type="expression" dxfId="217" priority="215">
      <formula>AND(LEN(TRIM($GW151))&gt;0,LEN(TRIM(GX151))=0)</formula>
    </cfRule>
  </conditionalFormatting>
  <conditionalFormatting sqref="HC151:HF162">
    <cfRule type="expression" dxfId="216" priority="216">
      <formula>AND(LEN(TRIM($HB151))&gt;0,LEN(TRIM(HC151))=0)</formula>
    </cfRule>
  </conditionalFormatting>
  <conditionalFormatting sqref="HH151:HK162">
    <cfRule type="expression" dxfId="215" priority="217">
      <formula>AND(LEN(TRIM($HG151))&gt;0,LEN(TRIM(HH151))=0)</formula>
    </cfRule>
  </conditionalFormatting>
  <conditionalFormatting sqref="HM151:HQ162">
    <cfRule type="expression" dxfId="214" priority="218">
      <formula>AND(LEN(TRIM($HL151))&gt;0,LEN(TRIM(HM151))=0)</formula>
    </cfRule>
  </conditionalFormatting>
  <conditionalFormatting sqref="HP151:HP162">
    <cfRule type="expression" dxfId="213" priority="219">
      <formula>AND($HP151&gt;50, $HP151&lt;&gt;"Unspecified")</formula>
    </cfRule>
  </conditionalFormatting>
  <conditionalFormatting sqref="HS151:HV162">
    <cfRule type="expression" dxfId="212" priority="220">
      <formula>AND(LEN(TRIM($HR151))&gt;0,LEN(TRIM(HS151))=0)</formula>
    </cfRule>
  </conditionalFormatting>
  <conditionalFormatting sqref="HW151:HW162">
    <cfRule type="expression" dxfId="211" priority="221">
      <formula>IF(AND(COUNTIF($BH151:$DZ151,$HW151)=0,$HW151&lt;&gt;""),1,0)=1</formula>
    </cfRule>
  </conditionalFormatting>
  <conditionalFormatting sqref="HX151:IA162">
    <cfRule type="expression" dxfId="210" priority="222">
      <formula>AND(LEN(TRIM($HW151))&gt;0,LEN(TRIM(HX151))=0)</formula>
    </cfRule>
  </conditionalFormatting>
  <conditionalFormatting sqref="IB151:IB162">
    <cfRule type="expression" dxfId="209" priority="223">
      <formula>IF(AND(COUNTIF(#REF!,$IB151)=0,$IB151&lt;&gt;""),1,0)=1</formula>
    </cfRule>
  </conditionalFormatting>
  <conditionalFormatting sqref="IC151:IG162">
    <cfRule type="expression" dxfId="208" priority="224">
      <formula>AND(LEN(TRIM($IB151))&gt;0,LEN(TRIM(IC151))=0)</formula>
    </cfRule>
  </conditionalFormatting>
  <conditionalFormatting sqref="II151:II162">
    <cfRule type="expression" dxfId="207" priority="225">
      <formula>AND(LEN(TRIM($IH151))&gt;0,LEN(TRIM(II151))=0)</formula>
    </cfRule>
  </conditionalFormatting>
  <conditionalFormatting sqref="IJ151:IN162">
    <cfRule type="expression" dxfId="206" priority="226">
      <formula>AND(LEN(TRIM($IH151))&gt;0,LEN(TRIM(IJ151))=0,$II151&lt;&gt;"Monoculture")</formula>
    </cfRule>
  </conditionalFormatting>
  <conditionalFormatting sqref="IO151:IO162">
    <cfRule type="expression" dxfId="205" priority="164">
      <formula>AND(LEN(TRIM($BD151))&gt;0,LEN(TRIM(IO151))=0)</formula>
    </cfRule>
  </conditionalFormatting>
  <conditionalFormatting sqref="IP151:IP162 IS151:IU162">
    <cfRule type="expression" dxfId="204" priority="227">
      <formula>AND(LEN(TRIM($IO151))&gt;0,LEN(TRIM(IP151))=0,$IP151&lt;&gt;"Monoculture",$IQ151&lt;&gt;"Monoculture",$IR151&lt;&gt;"Monoculture")</formula>
    </cfRule>
  </conditionalFormatting>
  <conditionalFormatting sqref="IW151:IZ162">
    <cfRule type="expression" dxfId="203" priority="228">
      <formula>AND(LEN(TRIM($IV151))&gt;0,LEN(TRIM(IW151))=0)</formula>
    </cfRule>
  </conditionalFormatting>
  <conditionalFormatting sqref="JB151:JB162">
    <cfRule type="expression" dxfId="202" priority="229">
      <formula>AND(OR($JB151&gt;100, $JB151&lt;0), JB151&lt;&gt;"Unspecified")</formula>
    </cfRule>
  </conditionalFormatting>
  <conditionalFormatting sqref="JB151:JJ162">
    <cfRule type="expression" dxfId="201" priority="230">
      <formula>AND(LEN(TRIM($IZ151))&gt;0,LEN(TRIM(JB151))=0)</formula>
    </cfRule>
  </conditionalFormatting>
  <conditionalFormatting sqref="JC151:JC162">
    <cfRule type="expression" dxfId="200" priority="231">
      <formula>AND(OR($JC151&gt;100, $JC151&lt;0), JD151&lt;&gt;"Unspecified")</formula>
    </cfRule>
  </conditionalFormatting>
  <conditionalFormatting sqref="JD151:JD162">
    <cfRule type="expression" dxfId="199" priority="232">
      <formula>AND(OR($JD151&gt;100, $JD151&lt;$JC151), $JD151&lt;&gt;"Unspecified")</formula>
    </cfRule>
  </conditionalFormatting>
  <conditionalFormatting sqref="JE151:JE162">
    <cfRule type="expression" dxfId="198" priority="233">
      <formula>AND($JE151&lt;0, $JE151&lt;&gt;"Unspecified")</formula>
    </cfRule>
  </conditionalFormatting>
  <conditionalFormatting sqref="JF151:JF162">
    <cfRule type="expression" dxfId="197" priority="234">
      <formula>AND($JF151&lt;0, $JF151&lt;&gt;"Unspecified")</formula>
    </cfRule>
  </conditionalFormatting>
  <conditionalFormatting sqref="JG151:JG162">
    <cfRule type="expression" dxfId="196" priority="235">
      <formula>AND($JG151&lt;$JF151, $JG151&lt;&gt;"Unspecified")</formula>
    </cfRule>
  </conditionalFormatting>
  <conditionalFormatting sqref="JH151:JH162">
    <cfRule type="expression" dxfId="195" priority="236">
      <formula>AND($JH151&lt;0, $JH151&lt;&gt;"Unspecified")</formula>
    </cfRule>
  </conditionalFormatting>
  <conditionalFormatting sqref="JI151:JI162">
    <cfRule type="expression" dxfId="194" priority="237">
      <formula>AND($JI151&lt;0, $JI151&lt;&gt;"Unspecified")</formula>
    </cfRule>
  </conditionalFormatting>
  <conditionalFormatting sqref="JJ151:JJ162">
    <cfRule type="expression" dxfId="193" priority="238">
      <formula>AND($JJ151&lt;$JI151, $JJ151&lt;&gt;"Unspecified")</formula>
    </cfRule>
  </conditionalFormatting>
  <conditionalFormatting sqref="JK10:JK49">
    <cfRule type="duplicateValues" dxfId="192" priority="360"/>
  </conditionalFormatting>
  <conditionalFormatting sqref="JK50:JK69">
    <cfRule type="duplicateValues" dxfId="191" priority="358"/>
  </conditionalFormatting>
  <conditionalFormatting sqref="JK70:JK89">
    <cfRule type="duplicateValues" dxfId="190" priority="357"/>
  </conditionalFormatting>
  <conditionalFormatting sqref="JK90:JK109">
    <cfRule type="duplicateValues" dxfId="189" priority="356"/>
  </conditionalFormatting>
  <conditionalFormatting sqref="JK110:JK129">
    <cfRule type="duplicateValues" dxfId="188" priority="354"/>
  </conditionalFormatting>
  <conditionalFormatting sqref="JK130:JK149">
    <cfRule type="duplicateValues" dxfId="187" priority="352"/>
  </conditionalFormatting>
  <conditionalFormatting sqref="JL151:JL162">
    <cfRule type="expression" dxfId="186" priority="239">
      <formula>AND(LEN(TRIM($JK151))&gt;0,LEN(TRIM(JL151))=0)</formula>
    </cfRule>
  </conditionalFormatting>
  <conditionalFormatting sqref="JN151:JV162">
    <cfRule type="expression" dxfId="185" priority="240">
      <formula>AND(LEN(TRIM($JM151))&gt;0,LEN(TRIM(JN151))=0)</formula>
    </cfRule>
  </conditionalFormatting>
  <conditionalFormatting sqref="JX151:KE162">
    <cfRule type="expression" dxfId="184" priority="241">
      <formula>AND(LEN(TRIM($JW151))&gt;0,LEN(TRIM(JX151))=0)</formula>
    </cfRule>
  </conditionalFormatting>
  <conditionalFormatting sqref="KG151:KI162">
    <cfRule type="expression" dxfId="183" priority="242">
      <formula>AND(LEN(TRIM($KF151))&gt;0,LEN(TRIM(KG151))=0)</formula>
    </cfRule>
  </conditionalFormatting>
  <conditionalFormatting sqref="KK151:KK162">
    <cfRule type="expression" dxfId="182" priority="243">
      <formula>AND(LEN(TRIM($KJ151))&gt;0,LEN(TRIM(KK151))=0)</formula>
    </cfRule>
  </conditionalFormatting>
  <conditionalFormatting sqref="KL151:KN162">
    <cfRule type="expression" dxfId="181" priority="244">
      <formula>AND(LEN(TRIM($KJ151))&gt;0,LEN(TRIM(KL151))=0,$KK151&lt;&gt;"Hand Hoe",LEFT($KK151,3)&lt;&gt;"No ")</formula>
    </cfRule>
  </conditionalFormatting>
  <conditionalFormatting sqref="KP151:KR162">
    <cfRule type="expression" dxfId="180" priority="245">
      <formula>AND(LEN(TRIM($KO151))&gt;0,LEN(TRIM(KP151))=0,$KO151&lt;&gt;"Hand Hoe",LEFT($KO151,3)&lt;&gt;"No ")</formula>
    </cfRule>
  </conditionalFormatting>
  <conditionalFormatting sqref="KT151:KV162">
    <cfRule type="expression" dxfId="179" priority="246">
      <formula>AND(LEN(TRIM($KS151))&gt;0,LEN(TRIM(KT151))=0,$KS151&lt;&gt;"Hand Hoe",LEFT($KS151,3)&lt;&gt;"No ")</formula>
    </cfRule>
  </conditionalFormatting>
  <conditionalFormatting sqref="LC151:LK162">
    <cfRule type="expression" dxfId="178" priority="247">
      <formula>AND(LEN(TRIM($KX151))&gt;0,LEN(TRIM(LC151))=0,$KX151&lt;&gt;"No mulch applied")</formula>
    </cfRule>
  </conditionalFormatting>
  <conditionalFormatting sqref="LM151:LP162">
    <cfRule type="expression" dxfId="177" priority="248">
      <formula>AND(LEN(TRIM($LL151))&gt;0,LEN(TRIM(LM151))=0)</formula>
    </cfRule>
  </conditionalFormatting>
  <conditionalFormatting sqref="LR151:LW162">
    <cfRule type="expression" dxfId="176" priority="249">
      <formula>AND(LEN(TRIM($LQ151))&gt;0,LEN(TRIM(LR151))=0)</formula>
    </cfRule>
  </conditionalFormatting>
  <conditionalFormatting sqref="LY151:LY162">
    <cfRule type="expression" dxfId="175" priority="250">
      <formula>AND(LEN(TRIM($LX151))&gt;0,LEN(TRIM(LY151))=0)</formula>
    </cfRule>
  </conditionalFormatting>
  <conditionalFormatting sqref="MD151:MG162">
    <cfRule type="expression" dxfId="174" priority="251">
      <formula>AND(LEN(TRIM($MC151))&gt;0,LEN(TRIM(MD151))=0)</formula>
    </cfRule>
  </conditionalFormatting>
  <conditionalFormatting sqref="MI151:MI162 MM151:MO162">
    <cfRule type="expression" dxfId="173" priority="252">
      <formula>AND(LEN(TRIM($MH151))&gt;0,LEN(TRIM(MI151))=0)</formula>
    </cfRule>
  </conditionalFormatting>
  <conditionalFormatting sqref="MQ151:MT162">
    <cfRule type="expression" dxfId="172" priority="253">
      <formula>AND(LEN(TRIM($MP151))&gt;0,LEN(TRIM(MQ151))=0)</formula>
    </cfRule>
  </conditionalFormatting>
  <conditionalFormatting sqref="MW151:MW162">
    <cfRule type="expression" dxfId="171" priority="166">
      <formula>AND(LEN(TRIM($NG151))&gt;0,LEN(TRIM(MW151))=0)</formula>
    </cfRule>
  </conditionalFormatting>
  <conditionalFormatting sqref="MY151:MY162">
    <cfRule type="expression" dxfId="170" priority="254">
      <formula>AND(LEN(TRIM($MW151))&gt;0,LEN(TRIM(MY151))=0)</formula>
    </cfRule>
  </conditionalFormatting>
  <conditionalFormatting sqref="NF10:NF29">
    <cfRule type="duplicateValues" dxfId="169" priority="359"/>
  </conditionalFormatting>
  <conditionalFormatting sqref="NF90:NF109">
    <cfRule type="duplicateValues" dxfId="168" priority="355"/>
  </conditionalFormatting>
  <conditionalFormatting sqref="NF110:NF129">
    <cfRule type="duplicateValues" dxfId="167" priority="353"/>
  </conditionalFormatting>
  <conditionalFormatting sqref="NF130:NF149">
    <cfRule type="duplicateValues" dxfId="166" priority="351"/>
  </conditionalFormatting>
  <conditionalFormatting sqref="NH151:NJ162">
    <cfRule type="expression" dxfId="165" priority="165">
      <formula>AND(LEN(TRIM($NG151))&gt;0,LEN(TRIM(NH151))=0)</formula>
    </cfRule>
  </conditionalFormatting>
  <conditionalFormatting sqref="NL151:NL162">
    <cfRule type="expression" dxfId="164" priority="256">
      <formula>AND($NL151&lt;$NK151, $NL151&lt;&gt;"Unspecified")</formula>
    </cfRule>
  </conditionalFormatting>
  <conditionalFormatting sqref="NT152">
    <cfRule type="expression" dxfId="163" priority="266">
      <formula>AND($NL152&lt;$NK152, $NL152&lt;&gt;"Unspecified")</formula>
    </cfRule>
  </conditionalFormatting>
  <conditionalFormatting sqref="C181:K181">
    <cfRule type="expression" dxfId="162" priority="85">
      <formula>AND(LEN(TRIM($C181))&gt;0,LEN(TRIM(C181))=0)</formula>
    </cfRule>
  </conditionalFormatting>
  <conditionalFormatting sqref="L181:T181">
    <cfRule type="expression" dxfId="161" priority="86">
      <formula>AND(LEN(TRIM($L181))&gt;0,LEN(TRIM(L181))=0)</formula>
    </cfRule>
  </conditionalFormatting>
  <conditionalFormatting sqref="U181:AC181">
    <cfRule type="expression" dxfId="160" priority="87">
      <formula>AND(LEN(TRIM($U181))&gt;0,LEN(TRIM(U181))=0)</formula>
    </cfRule>
  </conditionalFormatting>
  <conditionalFormatting sqref="AD181:AL181">
    <cfRule type="expression" dxfId="159" priority="88">
      <formula>AND(LEN(TRIM($AD181))&gt;0,LEN(TRIM(AD181))=0)</formula>
    </cfRule>
  </conditionalFormatting>
  <conditionalFormatting sqref="AM181:AU181">
    <cfRule type="expression" dxfId="158" priority="89">
      <formula>AND(LEN(TRIM($AM181))&gt;0,LEN(TRIM(AM181))=0)</formula>
    </cfRule>
  </conditionalFormatting>
  <conditionalFormatting sqref="AW181:BC181">
    <cfRule type="expression" dxfId="157" priority="90">
      <formula>AND(LEN(TRIM($AV181))&gt;0,LEN(TRIM(AW181))=0)</formula>
    </cfRule>
  </conditionalFormatting>
  <conditionalFormatting sqref="BF181">
    <cfRule type="expression" dxfId="156" priority="91">
      <formula>AND(LEN(TRIM(#REF!))&gt;0,LEN(TRIM(BF181))=0)</formula>
    </cfRule>
  </conditionalFormatting>
  <conditionalFormatting sqref="BH181:BK181 BP181 BN181 BS181">
    <cfRule type="expression" dxfId="155" priority="92">
      <formula>AND(LEN(TRIM($BG181))&gt;0,LEN(TRIM(BH181))=0)</formula>
    </cfRule>
  </conditionalFormatting>
  <conditionalFormatting sqref="BO181 BM181 BR181 BT181">
    <cfRule type="expression" dxfId="154" priority="93">
      <formula>AND(LEN(TRIM($BL181))&gt;0,LEN(TRIM(BM181))=0)</formula>
    </cfRule>
  </conditionalFormatting>
  <conditionalFormatting sqref="BW181:BZ181">
    <cfRule type="expression" dxfId="153" priority="94">
      <formula>AND(LEN(TRIM($BV181))&gt;0,LEN(TRIM(BW181))=0)</formula>
    </cfRule>
  </conditionalFormatting>
  <conditionalFormatting sqref="CB181:CE181">
    <cfRule type="expression" dxfId="152" priority="95">
      <formula>AND(LEN(TRIM($CA181))&gt;0,LEN(TRIM(CB181))=0)</formula>
    </cfRule>
  </conditionalFormatting>
  <conditionalFormatting sqref="CG181:CJ181">
    <cfRule type="expression" dxfId="151" priority="96">
      <formula>AND(LEN(TRIM($CF181))&gt;0,LEN(TRIM(CG181))=0)</formula>
    </cfRule>
  </conditionalFormatting>
  <conditionalFormatting sqref="CL181:CO181">
    <cfRule type="expression" dxfId="150" priority="97">
      <formula>AND(LEN(TRIM($CK181))&gt;0,LEN(TRIM(CL181))=0)</formula>
    </cfRule>
  </conditionalFormatting>
  <conditionalFormatting sqref="CQ181:CT181">
    <cfRule type="expression" dxfId="149" priority="98">
      <formula>AND(LEN(TRIM($CP181))&gt;0,LEN(TRIM(CQ181))=0)</formula>
    </cfRule>
  </conditionalFormatting>
  <conditionalFormatting sqref="CV181:CY181">
    <cfRule type="expression" dxfId="148" priority="99">
      <formula>AND(LEN(TRIM($CU181))&gt;0,LEN(TRIM(CV181))=0)</formula>
    </cfRule>
  </conditionalFormatting>
  <conditionalFormatting sqref="DA181:DD181">
    <cfRule type="expression" dxfId="147" priority="100">
      <formula>AND(LEN(TRIM($CZ181))&gt;0,LEN(TRIM(DA181))=0)</formula>
    </cfRule>
  </conditionalFormatting>
  <conditionalFormatting sqref="DF181:DI181">
    <cfRule type="expression" dxfId="146" priority="101">
      <formula>AND(LEN(TRIM($DE181))&gt;0,LEN(TRIM(DF181))=0)</formula>
    </cfRule>
  </conditionalFormatting>
  <conditionalFormatting sqref="DK181:DN181">
    <cfRule type="expression" dxfId="145" priority="102">
      <formula>AND(LEN(TRIM($DJ181))&gt;0,LEN(TRIM(DK181))=0)</formula>
    </cfRule>
  </conditionalFormatting>
  <conditionalFormatting sqref="DP181:DS181">
    <cfRule type="expression" dxfId="144" priority="103">
      <formula>AND(LEN(TRIM($DO181))&gt;0,LEN(TRIM(DP181))=0)</formula>
    </cfRule>
  </conditionalFormatting>
  <conditionalFormatting sqref="DU181:DX181">
    <cfRule type="expression" dxfId="143" priority="104">
      <formula>AND(LEN(TRIM($DT181))&gt;0,LEN(TRIM(DU181))=0)</formula>
    </cfRule>
  </conditionalFormatting>
  <conditionalFormatting sqref="DZ181:EC181">
    <cfRule type="expression" dxfId="142" priority="105">
      <formula>AND(LEN(TRIM($DY181))&gt;0,LEN(TRIM(DZ181))=0)</formula>
    </cfRule>
  </conditionalFormatting>
  <conditionalFormatting sqref="EE181:EG181">
    <cfRule type="expression" dxfId="141" priority="106">
      <formula>AND(LEN(TRIM($ED181))&gt;0,LEN(TRIM(EE181))=0)</formula>
    </cfRule>
  </conditionalFormatting>
  <conditionalFormatting sqref="EI181:EK181">
    <cfRule type="expression" dxfId="140" priority="107">
      <formula>AND(LEN(TRIM($EH181))&gt;0,LEN(TRIM(EI181))=0)</formula>
    </cfRule>
  </conditionalFormatting>
  <conditionalFormatting sqref="EM181:EO181">
    <cfRule type="expression" dxfId="139" priority="108">
      <formula>AND(LEN(TRIM($EL181))&gt;0,LEN(TRIM(EM181))=0)</formula>
    </cfRule>
  </conditionalFormatting>
  <conditionalFormatting sqref="EQ181:ES181">
    <cfRule type="expression" dxfId="138" priority="109">
      <formula>AND(LEN(TRIM($EP181))&gt;0,LEN(TRIM(EQ181))=0)</formula>
    </cfRule>
  </conditionalFormatting>
  <conditionalFormatting sqref="EU181:EW181">
    <cfRule type="expression" dxfId="137" priority="110">
      <formula>AND(LEN(TRIM($ET181))&gt;0,LEN(TRIM(EU181))=0)</formula>
    </cfRule>
  </conditionalFormatting>
  <conditionalFormatting sqref="EY181:FA181">
    <cfRule type="expression" dxfId="136" priority="111">
      <formula>AND(LEN(TRIM($EX181))&gt;0,LEN(TRIM(EY181))=0)</formula>
    </cfRule>
  </conditionalFormatting>
  <conditionalFormatting sqref="FC181:FE181">
    <cfRule type="expression" dxfId="135" priority="112">
      <formula>AND(LEN(TRIM($FB181))&gt;0,LEN(TRIM(FC181))=0)</formula>
    </cfRule>
  </conditionalFormatting>
  <conditionalFormatting sqref="FG181:FI181">
    <cfRule type="expression" dxfId="134" priority="113">
      <formula>AND(LEN(TRIM($FF181))&gt;0,LEN(TRIM(FG181))=0)</formula>
    </cfRule>
  </conditionalFormatting>
  <conditionalFormatting sqref="FK181:FM181">
    <cfRule type="expression" dxfId="133" priority="114">
      <formula>AND(LEN(TRIM($FJ181))&gt;0,LEN(TRIM(FK181))=0)</formula>
    </cfRule>
  </conditionalFormatting>
  <conditionalFormatting sqref="FO181:FQ181">
    <cfRule type="expression" dxfId="132" priority="115">
      <formula>AND(LEN(TRIM($FN181))&gt;0,LEN(TRIM(FO181))=0)</formula>
    </cfRule>
  </conditionalFormatting>
  <conditionalFormatting sqref="FS181:FU181">
    <cfRule type="expression" dxfId="131" priority="116">
      <formula>AND(LEN(TRIM($FR181))&gt;0,LEN(TRIM(FS181))=0)</formula>
    </cfRule>
  </conditionalFormatting>
  <conditionalFormatting sqref="FW181:FY181">
    <cfRule type="expression" dxfId="130" priority="117">
      <formula>AND(LEN(TRIM($FV181))&gt;0,LEN(TRIM(FW181))=0)</formula>
    </cfRule>
  </conditionalFormatting>
  <conditionalFormatting sqref="GA181:GC181">
    <cfRule type="expression" dxfId="129" priority="118">
      <formula>AND(LEN(TRIM($FZ181))&gt;0,LEN(TRIM(GA181))=0)</formula>
    </cfRule>
  </conditionalFormatting>
  <conditionalFormatting sqref="GE181:GG181">
    <cfRule type="expression" dxfId="128" priority="119">
      <formula>AND(LEN(TRIM($GD181))&gt;0,LEN(TRIM(GE181))=0)</formula>
    </cfRule>
  </conditionalFormatting>
  <conditionalFormatting sqref="GI181:GK181">
    <cfRule type="expression" dxfId="127" priority="120">
      <formula>AND(LEN(TRIM($GH181))&gt;0,LEN(TRIM(GI181))=0)</formula>
    </cfRule>
  </conditionalFormatting>
  <conditionalFormatting sqref="GM181:GP181">
    <cfRule type="expression" dxfId="126" priority="121">
      <formula>AND(LEN(TRIM($GL181))&gt;0,LEN(TRIM(GM181))=0)</formula>
    </cfRule>
  </conditionalFormatting>
  <conditionalFormatting sqref="GR181:GU181">
    <cfRule type="expression" dxfId="125" priority="122">
      <formula>AND(LEN(TRIM($GQ181))&gt;0,LEN(TRIM(GR181))=0)</formula>
    </cfRule>
  </conditionalFormatting>
  <conditionalFormatting sqref="GW181:GZ181">
    <cfRule type="expression" dxfId="124" priority="123">
      <formula>AND(LEN(TRIM($GV181))&gt;0,LEN(TRIM(GW181))=0)</formula>
    </cfRule>
  </conditionalFormatting>
  <conditionalFormatting sqref="HB181:HE181">
    <cfRule type="expression" dxfId="123" priority="124">
      <formula>AND(LEN(TRIM($HA181))&gt;0,LEN(TRIM(HB181))=0)</formula>
    </cfRule>
  </conditionalFormatting>
  <conditionalFormatting sqref="HG181:HJ181">
    <cfRule type="expression" dxfId="122" priority="125">
      <formula>AND(LEN(TRIM($HF181))&gt;0,LEN(TRIM(HG181))=0)</formula>
    </cfRule>
  </conditionalFormatting>
  <conditionalFormatting sqref="HL181:HP181">
    <cfRule type="expression" dxfId="121" priority="126">
      <formula>AND(LEN(TRIM($HK181))&gt;0,LEN(TRIM(HL181))=0)</formula>
    </cfRule>
  </conditionalFormatting>
  <conditionalFormatting sqref="HO181">
    <cfRule type="expression" dxfId="120" priority="127">
      <formula>AND($HO181&gt;50, $HO181&lt;&gt;"Unspecified")</formula>
    </cfRule>
  </conditionalFormatting>
  <conditionalFormatting sqref="HR181:HU181">
    <cfRule type="expression" dxfId="119" priority="128">
      <formula>AND(LEN(TRIM($HQ181))&gt;0,LEN(TRIM(HR181))=0)</formula>
    </cfRule>
  </conditionalFormatting>
  <conditionalFormatting sqref="HW181:IB181">
    <cfRule type="expression" dxfId="118" priority="129">
      <formula>AND(LEN(TRIM($HW181))&gt;0,LEN(TRIM(HW181))=0)</formula>
    </cfRule>
  </conditionalFormatting>
  <conditionalFormatting sqref="IC181">
    <cfRule type="expression" dxfId="117" priority="130">
      <formula>IF(AND(COUNTIF(#REF!,$IC181)=0,$IC181&lt;&gt;""),1,0)=1</formula>
    </cfRule>
  </conditionalFormatting>
  <conditionalFormatting sqref="ID181:IG181 IB181">
    <cfRule type="expression" dxfId="116" priority="131">
      <formula>AND(LEN(TRIM($IC181))&gt;0,LEN(TRIM(IB181))=0)</formula>
    </cfRule>
  </conditionalFormatting>
  <conditionalFormatting sqref="II181">
    <cfRule type="expression" dxfId="115" priority="132">
      <formula>AND(LEN(TRIM($IH181))&gt;0,LEN(TRIM(II181))=0)</formula>
    </cfRule>
  </conditionalFormatting>
  <conditionalFormatting sqref="IJ181:IN181">
    <cfRule type="expression" dxfId="114" priority="133">
      <formula>AND(LEN(TRIM($IH181))&gt;0,LEN(TRIM(IJ181))=0,$II181&lt;&gt;"Monoculture")</formula>
    </cfRule>
  </conditionalFormatting>
  <conditionalFormatting sqref="IP181 IS181:IU181">
    <cfRule type="expression" dxfId="113" priority="134">
      <formula>AND(LEN(TRIM($IO181))&gt;0,LEN(TRIM(IP181))=0,$IP181&lt;&gt;"Monoculture",$IQ181&lt;&gt;"Monoculture",$IR181&lt;&gt;"Monoculture")</formula>
    </cfRule>
  </conditionalFormatting>
  <conditionalFormatting sqref="IW181:IY181">
    <cfRule type="expression" dxfId="112" priority="135">
      <formula>AND(LEN(TRIM($IV181))&gt;0,LEN(TRIM(IW181))=0)</formula>
    </cfRule>
  </conditionalFormatting>
  <conditionalFormatting sqref="JA181">
    <cfRule type="expression" dxfId="111" priority="136">
      <formula>AND(OR($JA181&gt;100, $JA181&lt;0), JA181&lt;&gt;"Unspecified")</formula>
    </cfRule>
  </conditionalFormatting>
  <conditionalFormatting sqref="JA181:JI181">
    <cfRule type="expression" dxfId="110" priority="137">
      <formula>AND(LEN(TRIM($IY181))&gt;0,LEN(TRIM(JA181))=0)</formula>
    </cfRule>
  </conditionalFormatting>
  <conditionalFormatting sqref="JB181">
    <cfRule type="expression" dxfId="109" priority="138">
      <formula>AND(OR($JB181&gt;100, $JB181&lt;0), JC181&lt;&gt;"Unspecified")</formula>
    </cfRule>
  </conditionalFormatting>
  <conditionalFormatting sqref="JC181">
    <cfRule type="expression" dxfId="108" priority="139">
      <formula>AND(OR($JC181&gt;100, $JC181&lt;$JB181), $JC181&lt;&gt;"Unspecified")</formula>
    </cfRule>
  </conditionalFormatting>
  <conditionalFormatting sqref="JD181">
    <cfRule type="expression" dxfId="107" priority="140">
      <formula>AND($JD181&lt;0, $JD181&lt;&gt;"Unspecified")</formula>
    </cfRule>
  </conditionalFormatting>
  <conditionalFormatting sqref="JE181">
    <cfRule type="expression" dxfId="106" priority="141">
      <formula>AND($JE181&lt;0, $JE181&lt;&gt;"Unspecified")</formula>
    </cfRule>
  </conditionalFormatting>
  <conditionalFormatting sqref="JF181">
    <cfRule type="expression" dxfId="105" priority="142">
      <formula>AND($JF181&lt;$JE181, $JF181&lt;&gt;"Unspecified")</formula>
    </cfRule>
  </conditionalFormatting>
  <conditionalFormatting sqref="JG181">
    <cfRule type="expression" dxfId="104" priority="143">
      <formula>AND($JG181&lt;0, $JG181&lt;&gt;"Unspecified")</formula>
    </cfRule>
  </conditionalFormatting>
  <conditionalFormatting sqref="JH181">
    <cfRule type="expression" dxfId="103" priority="144">
      <formula>AND($JH181&lt;0, $JH181&lt;&gt;"Unspecified")</formula>
    </cfRule>
  </conditionalFormatting>
  <conditionalFormatting sqref="JI181">
    <cfRule type="expression" dxfId="102" priority="145">
      <formula>AND($JI181&lt;$JH181, $JI181&lt;&gt;"Unspecified")</formula>
    </cfRule>
  </conditionalFormatting>
  <conditionalFormatting sqref="JK181">
    <cfRule type="expression" dxfId="101" priority="146">
      <formula>AND(LEN(TRIM($JJ181))&gt;0,LEN(TRIM(JK181))=0)</formula>
    </cfRule>
  </conditionalFormatting>
  <conditionalFormatting sqref="JM181:JU181">
    <cfRule type="expression" dxfId="100" priority="147">
      <formula>AND(LEN(TRIM($JL181))&gt;0,LEN(TRIM(JM181))=0)</formula>
    </cfRule>
  </conditionalFormatting>
  <conditionalFormatting sqref="JW181:KD181">
    <cfRule type="expression" dxfId="99" priority="148">
      <formula>AND(LEN(TRIM($JV181))&gt;0,LEN(TRIM(JW181))=0)</formula>
    </cfRule>
  </conditionalFormatting>
  <conditionalFormatting sqref="KF181:KH181">
    <cfRule type="expression" dxfId="98" priority="149">
      <formula>AND(LEN(TRIM($KE181))&gt;0,LEN(TRIM(KF181))=0)</formula>
    </cfRule>
  </conditionalFormatting>
  <conditionalFormatting sqref="KJ181">
    <cfRule type="expression" dxfId="97" priority="150">
      <formula>AND(LEN(TRIM($KI181))&gt;0,LEN(TRIM(KJ181))=0)</formula>
    </cfRule>
  </conditionalFormatting>
  <conditionalFormatting sqref="KK181:KM181">
    <cfRule type="expression" dxfId="96" priority="151">
      <formula>AND(LEN(TRIM($KI181))&gt;0,LEN(TRIM(KK181))=0,$KJ181&lt;&gt;"Hand Hoe",LEFT($KJ181,3)&lt;&gt;"No ")</formula>
    </cfRule>
  </conditionalFormatting>
  <conditionalFormatting sqref="KO181:KQ181">
    <cfRule type="expression" dxfId="95" priority="152">
      <formula>AND(LEN(TRIM($KN181))&gt;0,LEN(TRIM(KO181))=0,$KN181&lt;&gt;"Hand Hoe",LEFT($KN181,3)&lt;&gt;"No ")</formula>
    </cfRule>
  </conditionalFormatting>
  <conditionalFormatting sqref="KS181:KU181">
    <cfRule type="expression" dxfId="94" priority="153">
      <formula>AND(LEN(TRIM($KR181))&gt;0,LEN(TRIM(KS181))=0,$KR181&lt;&gt;"Hand Hoe",LEFT($KR181,3)&lt;&gt;"No ")</formula>
    </cfRule>
  </conditionalFormatting>
  <conditionalFormatting sqref="LH181:LN181 LB181 LD181 LF181">
    <cfRule type="expression" dxfId="93" priority="154">
      <formula>AND(LEN(TRIM($KW181))&gt;0,LEN(TRIM(LB181))=0,$KW181&lt;&gt;"No mulch applied")</formula>
    </cfRule>
  </conditionalFormatting>
  <conditionalFormatting sqref="LP181:LS181">
    <cfRule type="expression" dxfId="92" priority="155">
      <formula>AND(LEN(TRIM($LO181))&gt;0,LEN(TRIM(LP181))=0)</formula>
    </cfRule>
  </conditionalFormatting>
  <conditionalFormatting sqref="LU181:MA181">
    <cfRule type="expression" dxfId="91" priority="156">
      <formula>AND(LEN(TRIM($LT181))&gt;0,LEN(TRIM(LU181))=0)</formula>
    </cfRule>
  </conditionalFormatting>
  <conditionalFormatting sqref="MC181">
    <cfRule type="expression" dxfId="90" priority="157">
      <formula>AND(LEN(TRIM($MB181))&gt;0,LEN(TRIM(MC181))=0)</formula>
    </cfRule>
  </conditionalFormatting>
  <conditionalFormatting sqref="MH181:MK181">
    <cfRule type="expression" dxfId="89" priority="158">
      <formula>AND(LEN(TRIM($MG181))&gt;0,LEN(TRIM(MH181))=0)</formula>
    </cfRule>
  </conditionalFormatting>
  <conditionalFormatting sqref="MM181 MQ181:MS181">
    <cfRule type="expression" dxfId="88" priority="159">
      <formula>AND(LEN(TRIM($ML181))&gt;0,LEN(TRIM(MM181))=0)</formula>
    </cfRule>
  </conditionalFormatting>
  <conditionalFormatting sqref="MU181:MX181">
    <cfRule type="expression" dxfId="87" priority="160">
      <formula>AND(LEN(TRIM($MT181))&gt;0,LEN(TRIM(MU181))=0)</formula>
    </cfRule>
  </conditionalFormatting>
  <conditionalFormatting sqref="NA181:NB181">
    <cfRule type="expression" dxfId="86" priority="161">
      <formula>AND(LEN(TRIM($NA181))&gt;0,LEN(TRIM(NA181))=0)</formula>
    </cfRule>
  </conditionalFormatting>
  <conditionalFormatting sqref="NK181:NM181">
    <cfRule type="expression" dxfId="85" priority="162">
      <formula>AND(LEN(TRIM($NJ181))&gt;0,LEN(TRIM(NK181))=0)</formula>
    </cfRule>
  </conditionalFormatting>
  <conditionalFormatting sqref="NO181">
    <cfRule type="expression" dxfId="84" priority="163">
      <formula>AND($NO181&lt;$NN181, $NO181&lt;&gt;"Unspecified")</formula>
    </cfRule>
  </conditionalFormatting>
  <conditionalFormatting sqref="C182:K189">
    <cfRule type="expression" dxfId="83" priority="5">
      <formula>AND(LEN(TRIM($C182))&gt;0,LEN(TRIM(C182))=0)</formula>
    </cfRule>
  </conditionalFormatting>
  <conditionalFormatting sqref="L182:T189">
    <cfRule type="expression" dxfId="82" priority="6">
      <formula>AND(LEN(TRIM($L182))&gt;0,LEN(TRIM(L182))=0)</formula>
    </cfRule>
  </conditionalFormatting>
  <conditionalFormatting sqref="U182:AC189">
    <cfRule type="expression" dxfId="81" priority="7">
      <formula>AND(LEN(TRIM($U182))&gt;0,LEN(TRIM(U182))=0)</formula>
    </cfRule>
  </conditionalFormatting>
  <conditionalFormatting sqref="AD182:AL189">
    <cfRule type="expression" dxfId="80" priority="8">
      <formula>AND(LEN(TRIM($AD182))&gt;0,LEN(TRIM(AD182))=0)</formula>
    </cfRule>
  </conditionalFormatting>
  <conditionalFormatting sqref="AM182:AU189">
    <cfRule type="expression" dxfId="79" priority="9">
      <formula>AND(LEN(TRIM($AM182))&gt;0,LEN(TRIM(AM182))=0)</formula>
    </cfRule>
  </conditionalFormatting>
  <conditionalFormatting sqref="AW182:BC189">
    <cfRule type="expression" dxfId="78" priority="10">
      <formula>AND(LEN(TRIM($AV182))&gt;0,LEN(TRIM(AW182))=0)</formula>
    </cfRule>
  </conditionalFormatting>
  <conditionalFormatting sqref="BF182:BF189">
    <cfRule type="expression" dxfId="77" priority="11">
      <formula>AND(LEN(TRIM(#REF!))&gt;0,LEN(TRIM(BF182))=0)</formula>
    </cfRule>
  </conditionalFormatting>
  <conditionalFormatting sqref="BN182 BS182 BN185:BN189 BS185:BS189 BI182:BK189 BP182:BP189">
    <cfRule type="expression" dxfId="76" priority="12">
      <formula>AND(LEN(TRIM($BG182))&gt;0,LEN(TRIM(BI182))=0)</formula>
    </cfRule>
  </conditionalFormatting>
  <conditionalFormatting sqref="BO182 BT182 BO185:BO189 BT189 BM182:BM189 BR182:BR189">
    <cfRule type="expression" dxfId="75" priority="13">
      <formula>AND(LEN(TRIM($BL182))&gt;0,LEN(TRIM(BM182))=0)</formula>
    </cfRule>
  </conditionalFormatting>
  <conditionalFormatting sqref="BW182:BZ189">
    <cfRule type="expression" dxfId="74" priority="14">
      <formula>AND(LEN(TRIM($BV182))&gt;0,LEN(TRIM(BW182))=0)</formula>
    </cfRule>
  </conditionalFormatting>
  <conditionalFormatting sqref="CB182:CE189">
    <cfRule type="expression" dxfId="73" priority="15">
      <formula>AND(LEN(TRIM($CA182))&gt;0,LEN(TRIM(CB182))=0)</formula>
    </cfRule>
  </conditionalFormatting>
  <conditionalFormatting sqref="CG182:CJ189">
    <cfRule type="expression" dxfId="72" priority="16">
      <formula>AND(LEN(TRIM($CF182))&gt;0,LEN(TRIM(CG182))=0)</formula>
    </cfRule>
  </conditionalFormatting>
  <conditionalFormatting sqref="CL182:CO189">
    <cfRule type="expression" dxfId="71" priority="17">
      <formula>AND(LEN(TRIM($CK182))&gt;0,LEN(TRIM(CL182))=0)</formula>
    </cfRule>
  </conditionalFormatting>
  <conditionalFormatting sqref="CQ182:CT189">
    <cfRule type="expression" dxfId="70" priority="18">
      <formula>AND(LEN(TRIM($CP182))&gt;0,LEN(TRIM(CQ182))=0)</formula>
    </cfRule>
  </conditionalFormatting>
  <conditionalFormatting sqref="CV182:CY189">
    <cfRule type="expression" dxfId="69" priority="19">
      <formula>AND(LEN(TRIM($CU182))&gt;0,LEN(TRIM(CV182))=0)</formula>
    </cfRule>
  </conditionalFormatting>
  <conditionalFormatting sqref="DA182:DD189">
    <cfRule type="expression" dxfId="68" priority="20">
      <formula>AND(LEN(TRIM($CZ182))&gt;0,LEN(TRIM(DA182))=0)</formula>
    </cfRule>
  </conditionalFormatting>
  <conditionalFormatting sqref="DF182:DI189">
    <cfRule type="expression" dxfId="67" priority="21">
      <formula>AND(LEN(TRIM($DE182))&gt;0,LEN(TRIM(DF182))=0)</formula>
    </cfRule>
  </conditionalFormatting>
  <conditionalFormatting sqref="DK182:DN189">
    <cfRule type="expression" dxfId="66" priority="22">
      <formula>AND(LEN(TRIM($DJ182))&gt;0,LEN(TRIM(DK182))=0)</formula>
    </cfRule>
  </conditionalFormatting>
  <conditionalFormatting sqref="DP182:DS189">
    <cfRule type="expression" dxfId="65" priority="23">
      <formula>AND(LEN(TRIM($DO182))&gt;0,LEN(TRIM(DP182))=0)</formula>
    </cfRule>
  </conditionalFormatting>
  <conditionalFormatting sqref="DU182:DX189">
    <cfRule type="expression" dxfId="64" priority="24">
      <formula>AND(LEN(TRIM($DT182))&gt;0,LEN(TRIM(DU182))=0)</formula>
    </cfRule>
  </conditionalFormatting>
  <conditionalFormatting sqref="DZ182:EC189">
    <cfRule type="expression" dxfId="63" priority="25">
      <formula>AND(LEN(TRIM($DY182))&gt;0,LEN(TRIM(DZ182))=0)</formula>
    </cfRule>
  </conditionalFormatting>
  <conditionalFormatting sqref="EE182:EG189">
    <cfRule type="expression" dxfId="62" priority="26">
      <formula>AND(LEN(TRIM($ED182))&gt;0,LEN(TRIM(EE182))=0)</formula>
    </cfRule>
  </conditionalFormatting>
  <conditionalFormatting sqref="EI182:EK189">
    <cfRule type="expression" dxfId="61" priority="27">
      <formula>AND(LEN(TRIM($EH182))&gt;0,LEN(TRIM(EI182))=0)</formula>
    </cfRule>
  </conditionalFormatting>
  <conditionalFormatting sqref="EM182:EO189">
    <cfRule type="expression" dxfId="60" priority="28">
      <formula>AND(LEN(TRIM($EL182))&gt;0,LEN(TRIM(EM182))=0)</formula>
    </cfRule>
  </conditionalFormatting>
  <conditionalFormatting sqref="EQ182:ES189">
    <cfRule type="expression" dxfId="59" priority="29">
      <formula>AND(LEN(TRIM($EP182))&gt;0,LEN(TRIM(EQ182))=0)</formula>
    </cfRule>
  </conditionalFormatting>
  <conditionalFormatting sqref="EU182:EW189">
    <cfRule type="expression" dxfId="58" priority="30">
      <formula>AND(LEN(TRIM($ET182))&gt;0,LEN(TRIM(EU182))=0)</formula>
    </cfRule>
  </conditionalFormatting>
  <conditionalFormatting sqref="EY182:FA189">
    <cfRule type="expression" dxfId="57" priority="31">
      <formula>AND(LEN(TRIM($EX182))&gt;0,LEN(TRIM(EY182))=0)</formula>
    </cfRule>
  </conditionalFormatting>
  <conditionalFormatting sqref="FC182:FE189">
    <cfRule type="expression" dxfId="56" priority="32">
      <formula>AND(LEN(TRIM($FB182))&gt;0,LEN(TRIM(FC182))=0)</formula>
    </cfRule>
  </conditionalFormatting>
  <conditionalFormatting sqref="FG182:FI189">
    <cfRule type="expression" dxfId="55" priority="33">
      <formula>AND(LEN(TRIM($FF182))&gt;0,LEN(TRIM(FG182))=0)</formula>
    </cfRule>
  </conditionalFormatting>
  <conditionalFormatting sqref="FK182:FM189">
    <cfRule type="expression" dxfId="54" priority="34">
      <formula>AND(LEN(TRIM($FJ182))&gt;0,LEN(TRIM(FK182))=0)</formula>
    </cfRule>
  </conditionalFormatting>
  <conditionalFormatting sqref="FO182:FQ189">
    <cfRule type="expression" dxfId="53" priority="35">
      <formula>AND(LEN(TRIM($FN182))&gt;0,LEN(TRIM(FO182))=0)</formula>
    </cfRule>
  </conditionalFormatting>
  <conditionalFormatting sqref="FS182:FU189">
    <cfRule type="expression" dxfId="52" priority="36">
      <formula>AND(LEN(TRIM($FR182))&gt;0,LEN(TRIM(FS182))=0)</formula>
    </cfRule>
  </conditionalFormatting>
  <conditionalFormatting sqref="FW182:FY189">
    <cfRule type="expression" dxfId="51" priority="37">
      <formula>AND(LEN(TRIM($FV182))&gt;0,LEN(TRIM(FW182))=0)</formula>
    </cfRule>
  </conditionalFormatting>
  <conditionalFormatting sqref="GA182:GC189">
    <cfRule type="expression" dxfId="50" priority="38">
      <formula>AND(LEN(TRIM($FZ182))&gt;0,LEN(TRIM(GA182))=0)</formula>
    </cfRule>
  </conditionalFormatting>
  <conditionalFormatting sqref="GE182:GG189">
    <cfRule type="expression" dxfId="49" priority="39">
      <formula>AND(LEN(TRIM($GD182))&gt;0,LEN(TRIM(GE182))=0)</formula>
    </cfRule>
  </conditionalFormatting>
  <conditionalFormatting sqref="GI182:GK189">
    <cfRule type="expression" dxfId="48" priority="40">
      <formula>AND(LEN(TRIM($GH182))&gt;0,LEN(TRIM(GI182))=0)</formula>
    </cfRule>
  </conditionalFormatting>
  <conditionalFormatting sqref="GM182:GP189">
    <cfRule type="expression" dxfId="47" priority="41">
      <formula>AND(LEN(TRIM($GL182))&gt;0,LEN(TRIM(GM182))=0)</formula>
    </cfRule>
  </conditionalFormatting>
  <conditionalFormatting sqref="GR182:GU189">
    <cfRule type="expression" dxfId="46" priority="42">
      <formula>AND(LEN(TRIM($GQ182))&gt;0,LEN(TRIM(GR182))=0)</formula>
    </cfRule>
  </conditionalFormatting>
  <conditionalFormatting sqref="GW182:GZ189">
    <cfRule type="expression" dxfId="45" priority="43">
      <formula>AND(LEN(TRIM($GV182))&gt;0,LEN(TRIM(GW182))=0)</formula>
    </cfRule>
  </conditionalFormatting>
  <conditionalFormatting sqref="HB182:HE189">
    <cfRule type="expression" dxfId="44" priority="44">
      <formula>AND(LEN(TRIM($HA182))&gt;0,LEN(TRIM(HB182))=0)</formula>
    </cfRule>
  </conditionalFormatting>
  <conditionalFormatting sqref="HG182:HJ189">
    <cfRule type="expression" dxfId="43" priority="45">
      <formula>AND(LEN(TRIM($HF182))&gt;0,LEN(TRIM(HG182))=0)</formula>
    </cfRule>
  </conditionalFormatting>
  <conditionalFormatting sqref="HL182:HP189">
    <cfRule type="expression" dxfId="42" priority="46">
      <formula>AND(LEN(TRIM($HK182))&gt;0,LEN(TRIM(HL182))=0)</formula>
    </cfRule>
  </conditionalFormatting>
  <conditionalFormatting sqref="HO182:HO189">
    <cfRule type="expression" dxfId="41" priority="47">
      <formula>AND($HO182&gt;50, $HO182&lt;&gt;"Unspecified")</formula>
    </cfRule>
  </conditionalFormatting>
  <conditionalFormatting sqref="HR182:HU189">
    <cfRule type="expression" dxfId="40" priority="48">
      <formula>AND(LEN(TRIM($HQ182))&gt;0,LEN(TRIM(HR182))=0)</formula>
    </cfRule>
  </conditionalFormatting>
  <conditionalFormatting sqref="HW182:HW189">
    <cfRule type="expression" dxfId="39" priority="49">
      <formula>IF(AND(COUNTIF($BG182:$DY182,$HW182)=0,$HW182&lt;&gt;""),1,0)=1</formula>
    </cfRule>
  </conditionalFormatting>
  <conditionalFormatting sqref="HX182:IB189">
    <cfRule type="expression" dxfId="38" priority="50">
      <formula>AND(LEN(TRIM($HW182))&gt;0,LEN(TRIM(HX182))=0)</formula>
    </cfRule>
  </conditionalFormatting>
  <conditionalFormatting sqref="IC182:IC189">
    <cfRule type="expression" dxfId="37" priority="51">
      <formula>IF(AND(COUNTIF(#REF!,$IC182)=0,$IC182&lt;&gt;""),1,0)=1</formula>
    </cfRule>
  </conditionalFormatting>
  <conditionalFormatting sqref="ID182:IG189 IB182:IB189">
    <cfRule type="expression" dxfId="36" priority="52">
      <formula>AND(LEN(TRIM($IC182))&gt;0,LEN(TRIM(IB182))=0)</formula>
    </cfRule>
  </conditionalFormatting>
  <conditionalFormatting sqref="II182:II189">
    <cfRule type="expression" dxfId="35" priority="53">
      <formula>AND(LEN(TRIM($IH182))&gt;0,LEN(TRIM(II182))=0)</formula>
    </cfRule>
  </conditionalFormatting>
  <conditionalFormatting sqref="IJ182:IN189">
    <cfRule type="expression" dxfId="34" priority="54">
      <formula>AND(LEN(TRIM($IH182))&gt;0,LEN(TRIM(IJ182))=0,$II182&lt;&gt;"Monoculture")</formula>
    </cfRule>
  </conditionalFormatting>
  <conditionalFormatting sqref="IP182:IP189 IS182:IU189">
    <cfRule type="expression" dxfId="33" priority="55">
      <formula>AND(LEN(TRIM($IO182))&gt;0,LEN(TRIM(IP182))=0,$IP182&lt;&gt;"Monoculture",$IQ182&lt;&gt;"Monoculture",$IR182&lt;&gt;"Monoculture")</formula>
    </cfRule>
  </conditionalFormatting>
  <conditionalFormatting sqref="IW182:IY189">
    <cfRule type="expression" dxfId="32" priority="56">
      <formula>AND(LEN(TRIM($IV182))&gt;0,LEN(TRIM(IW182))=0)</formula>
    </cfRule>
  </conditionalFormatting>
  <conditionalFormatting sqref="JA182:JA189">
    <cfRule type="expression" dxfId="31" priority="57">
      <formula>AND(OR($JA182&gt;100, $JA182&lt;0), JA182&lt;&gt;"Unspecified")</formula>
    </cfRule>
  </conditionalFormatting>
  <conditionalFormatting sqref="JA182:JI189">
    <cfRule type="expression" dxfId="30" priority="58">
      <formula>AND(LEN(TRIM($IY182))&gt;0,LEN(TRIM(JA182))=0)</formula>
    </cfRule>
  </conditionalFormatting>
  <conditionalFormatting sqref="JB182:JB189">
    <cfRule type="expression" dxfId="29" priority="59">
      <formula>AND(OR($JB182&gt;100, $JB182&lt;0), JC182&lt;&gt;"Unspecified")</formula>
    </cfRule>
  </conditionalFormatting>
  <conditionalFormatting sqref="JC182:JC189">
    <cfRule type="expression" dxfId="28" priority="60">
      <formula>AND(OR($JC182&gt;100, $JC182&lt;$JB182), $JC182&lt;&gt;"Unspecified")</formula>
    </cfRule>
  </conditionalFormatting>
  <conditionalFormatting sqref="JD182:JD189">
    <cfRule type="expression" dxfId="27" priority="61">
      <formula>AND($JD182&lt;0, $JD182&lt;&gt;"Unspecified")</formula>
    </cfRule>
  </conditionalFormatting>
  <conditionalFormatting sqref="JE182:JE189">
    <cfRule type="expression" dxfId="26" priority="62">
      <formula>AND($JE182&lt;0, $JE182&lt;&gt;"Unspecified")</formula>
    </cfRule>
  </conditionalFormatting>
  <conditionalFormatting sqref="JF182:JF189">
    <cfRule type="expression" dxfId="25" priority="63">
      <formula>AND($JF182&lt;$JE182, $JF182&lt;&gt;"Unspecified")</formula>
    </cfRule>
  </conditionalFormatting>
  <conditionalFormatting sqref="JG182:JG189">
    <cfRule type="expression" dxfId="24" priority="64">
      <formula>AND($JG182&lt;0, $JG182&lt;&gt;"Unspecified")</formula>
    </cfRule>
  </conditionalFormatting>
  <conditionalFormatting sqref="JH182:JH189">
    <cfRule type="expression" dxfId="23" priority="65">
      <formula>AND($JH182&lt;0, $JH182&lt;&gt;"Unspecified")</formula>
    </cfRule>
  </conditionalFormatting>
  <conditionalFormatting sqref="JI182:JI189">
    <cfRule type="expression" dxfId="22" priority="66">
      <formula>AND($JI182&lt;$JH182, $JI182&lt;&gt;"Unspecified")</formula>
    </cfRule>
  </conditionalFormatting>
  <conditionalFormatting sqref="JK182:JK189">
    <cfRule type="expression" dxfId="21" priority="67">
      <formula>AND(LEN(TRIM($JJ182))&gt;0,LEN(TRIM(JK182))=0)</formula>
    </cfRule>
  </conditionalFormatting>
  <conditionalFormatting sqref="JN182:JU189">
    <cfRule type="expression" dxfId="20" priority="68">
      <formula>AND(LEN(TRIM($JL182))&gt;0,LEN(TRIM(JN182))=0)</formula>
    </cfRule>
  </conditionalFormatting>
  <conditionalFormatting sqref="JW182:KD189">
    <cfRule type="expression" dxfId="19" priority="69">
      <formula>AND(LEN(TRIM($JV182))&gt;0,LEN(TRIM(JW182))=0)</formula>
    </cfRule>
  </conditionalFormatting>
  <conditionalFormatting sqref="KF182:KH189">
    <cfRule type="expression" dxfId="18" priority="70">
      <formula>AND(LEN(TRIM($KE182))&gt;0,LEN(TRIM(KF182))=0)</formula>
    </cfRule>
  </conditionalFormatting>
  <conditionalFormatting sqref="KJ182:KJ189">
    <cfRule type="expression" dxfId="17" priority="71">
      <formula>AND(LEN(TRIM($KI182))&gt;0,LEN(TRIM(KJ182))=0)</formula>
    </cfRule>
  </conditionalFormatting>
  <conditionalFormatting sqref="KK182:KM189">
    <cfRule type="expression" dxfId="16" priority="72">
      <formula>AND(LEN(TRIM($KI182))&gt;0,LEN(TRIM(KK182))=0,$KJ182&lt;&gt;"Hand Hoe",LEFT($KJ182,3)&lt;&gt;"No ")</formula>
    </cfRule>
  </conditionalFormatting>
  <conditionalFormatting sqref="KO182:KQ189">
    <cfRule type="expression" dxfId="15" priority="73">
      <formula>AND(LEN(TRIM($KN182))&gt;0,LEN(TRIM(KO182))=0,$KN182&lt;&gt;"Hand Hoe",LEFT($KN182,3)&lt;&gt;"No ")</formula>
    </cfRule>
  </conditionalFormatting>
  <conditionalFormatting sqref="KS182:KU189">
    <cfRule type="expression" dxfId="14" priority="74">
      <formula>AND(LEN(TRIM($KR182))&gt;0,LEN(TRIM(KS182))=0,$KR182&lt;&gt;"Hand Hoe",LEFT($KR182,3)&lt;&gt;"No ")</formula>
    </cfRule>
  </conditionalFormatting>
  <conditionalFormatting sqref="LH182:LN189 LB182:LB189 LD182:LD189 LF182:LF189">
    <cfRule type="expression" dxfId="13" priority="75">
      <formula>AND(LEN(TRIM($KW182))&gt;0,LEN(TRIM(LB182))=0,$KW182&lt;&gt;"No mulch applied")</formula>
    </cfRule>
  </conditionalFormatting>
  <conditionalFormatting sqref="LP182:LS189">
    <cfRule type="expression" dxfId="12" priority="76">
      <formula>AND(LEN(TRIM($LO182))&gt;0,LEN(TRIM(LP182))=0)</formula>
    </cfRule>
  </conditionalFormatting>
  <conditionalFormatting sqref="LU182:MA189">
    <cfRule type="expression" dxfId="11" priority="77">
      <formula>AND(LEN(TRIM($LT182))&gt;0,LEN(TRIM(LU182))=0)</formula>
    </cfRule>
  </conditionalFormatting>
  <conditionalFormatting sqref="MC182:MC189">
    <cfRule type="expression" dxfId="10" priority="78">
      <formula>AND(LEN(TRIM($MB182))&gt;0,LEN(TRIM(MC182))=0)</formula>
    </cfRule>
  </conditionalFormatting>
  <conditionalFormatting sqref="MH182:MK189">
    <cfRule type="expression" dxfId="9" priority="79">
      <formula>AND(LEN(TRIM($MG182))&gt;0,LEN(TRIM(MH182))=0)</formula>
    </cfRule>
  </conditionalFormatting>
  <conditionalFormatting sqref="MM182:MM189 MQ182:MS189">
    <cfRule type="expression" dxfId="8" priority="80">
      <formula>AND(LEN(TRIM($ML182))&gt;0,LEN(TRIM(MM182))=0)</formula>
    </cfRule>
  </conditionalFormatting>
  <conditionalFormatting sqref="MU182:MX189">
    <cfRule type="expression" dxfId="7" priority="81">
      <formula>AND(LEN(TRIM($MT182))&gt;0,LEN(TRIM(MU182))=0)</formula>
    </cfRule>
  </conditionalFormatting>
  <conditionalFormatting sqref="NA182:NB189">
    <cfRule type="expression" dxfId="6" priority="82">
      <formula>AND(LEN(TRIM($NA182))&gt;0,LEN(TRIM(NA182))=0)</formula>
    </cfRule>
  </conditionalFormatting>
  <conditionalFormatting sqref="NK182:NM189">
    <cfRule type="expression" dxfId="5" priority="83">
      <formula>AND(LEN(TRIM($NJ182))&gt;0,LEN(TRIM(NK182))=0)</formula>
    </cfRule>
  </conditionalFormatting>
  <conditionalFormatting sqref="NO182:NO189">
    <cfRule type="expression" dxfId="4" priority="84">
      <formula>AND($NO182&lt;$NN182, $NO182&lt;&gt;"Unspecified")</formula>
    </cfRule>
  </conditionalFormatting>
  <conditionalFormatting sqref="BN183:BO184">
    <cfRule type="expression" dxfId="3" priority="4">
      <formula>AND(LEN(TRIM($BG183))&gt;0,LEN(TRIM(BN183))=0)</formula>
    </cfRule>
  </conditionalFormatting>
  <conditionalFormatting sqref="BS183:BT184">
    <cfRule type="expression" dxfId="2" priority="3">
      <formula>AND(LEN(TRIM($BG183))&gt;0,LEN(TRIM(BS183))=0)</formula>
    </cfRule>
  </conditionalFormatting>
  <conditionalFormatting sqref="BT185:BT186">
    <cfRule type="expression" dxfId="1" priority="2">
      <formula>AND(LEN(TRIM($BG185))&gt;0,LEN(TRIM(BT185))=0)</formula>
    </cfRule>
  </conditionalFormatting>
  <conditionalFormatting sqref="BT187:BT188">
    <cfRule type="expression" dxfId="0" priority="1">
      <formula>AND(LEN(TRIM($BG187))&gt;0,LEN(TRIM(BT187))=0)</formula>
    </cfRule>
  </conditionalFormatting>
  <dataValidations count="145">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xr:uid="{4ED76847-5B18-454C-9588-9145C9AB4FF5}"/>
    <dataValidation type="list" errorStyle="warning" allowBlank="1" showInputMessage="1" showErrorMessage="1" prompt="Country where the study site is located" sqref="C150:C162 C180:C189"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xr:uid="{ED7BD84D-0623-42F1-9059-72AC171D9983}"/>
    <dataValidation allowBlank="1" showInputMessage="1" showErrorMessage="1" prompt="Unique ID assigned to each site/treatment/managment." sqref="BF150:BF162 BE180:BE189"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xr:uid="{86604966-3257-45BF-81DF-69BE17838536}"/>
    <dataValidation allowBlank="1" showInputMessage="1" showErrorMessage="1" prompt="Unique identifier assigned to the study by the original systematic synthesis." sqref="A150:A162 A180:A189" xr:uid="{DC347A44-A9B9-446C-AF76-0ECE5288BE47}"/>
    <dataValidation type="decimal" errorStyle="warning" allowBlank="1" showInputMessage="1" showErrorMessage="1" prompt="Duration (Days). Use with Weight Gain subindicator." sqref="NY151:NY162 NQ151:NQ162 NT18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xr:uid="{8AA91A17-F66C-41FB-B82A-0B94DF857629}"/>
    <dataValidation type="whole" errorStyle="warning" operator="greaterThanOrEqual" allowBlank="1" showInputMessage="1" showErrorMessage="1" prompt="(Days after Storage for Postharvest)" sqref="MO151:MO162 MS181:MS189" xr:uid="{6C37C122-CDF3-483E-833E-C6EC6C668487}">
      <formula1>30</formula1>
    </dataValidation>
    <dataValidation type="whole" errorStyle="warning" operator="greaterThanOrEqual" allowBlank="1" showInputMessage="1" showErrorMessage="1" prompt="Harvest Days After Planting" sqref="MG151:MG162 MK181:MK189"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AO181:AO189" xr:uid="{3ACCAA2D-F34E-41CA-B869-1CB9772D2612}">
      <formula1>INDIRECT($AM151)</formula1>
    </dataValidation>
    <dataValidation type="list" errorStyle="warning" allowBlank="1" showInputMessage="1" showErrorMessage="1" prompt="Standardised name of the specific study site" sqref="AF151:AF162 AF181:AF189" xr:uid="{DC4006EF-AE94-4876-B524-5659986F7828}">
      <formula1>INDIRECT($AD151)</formula1>
    </dataValidation>
    <dataValidation type="list" errorStyle="warning" allowBlank="1" showInputMessage="1" showErrorMessage="1" prompt="Standardised name of the specific study site" sqref="W151:W162 W181:W189" xr:uid="{2BD3A263-10F1-43FC-86E8-CEAAAE1573E4}">
      <formula1>INDIRECT($U151)</formula1>
    </dataValidation>
    <dataValidation type="list" errorStyle="warning" allowBlank="1" showInputMessage="1" showErrorMessage="1" prompt="Standardised name of the specific study site" sqref="N151:N162 N181:N189"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xr:uid="{43DCBAB0-0BBD-48C0-903A-9BE51E264862}"/>
    <dataValidation errorStyle="warning" allowBlank="1" showInputMessage="1" showErrorMessage="1" prompt="For biodiversity outcomes, specify the functional group related to taxa assessed, if specified in the article" sqref="ND151:ND162 NG181:NG189"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xr:uid="{54E3AD9B-A97D-41D8-B958-2B6217DA0B6E}">
      <formula1>MM151</formula1>
      <formula2>73415</formula2>
    </dataValidation>
    <dataValidation type="date" errorStyle="warning" allowBlank="1" showInputMessage="1" showErrorMessage="1" prompt="(Storage Date Start for Postharvest)" sqref="MM151:MM162 MQ181:MQ189" xr:uid="{B5514CF3-2951-4CE4-8900-FD9162941260}">
      <formula1>1</formula1>
      <formula2>73415</formula2>
    </dataValidation>
    <dataValidation type="date" errorStyle="warning" operator="greaterThanOrEqual" allowBlank="1" showInputMessage="1" showErrorMessage="1" prompt="Harvest Date End (dd/mm/yy)" sqref="MF151:MF162 MJ181:MJ189" xr:uid="{5DCF576B-6A79-4EE6-ACEB-B8F0B8767C62}">
      <formula1>ME151</formula1>
    </dataValidation>
    <dataValidation type="date" errorStyle="warning" allowBlank="1" showInputMessage="1" showErrorMessage="1" prompt="Harvest Date Start (dd/mm/yy)" sqref="ME151:ME162 MI181:MI189"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xr:uid="{D7D3B5A5-5EF8-4A31-B4B2-DB2BCE8B4D72}">
      <formula1>CropList</formula1>
    </dataValidation>
    <dataValidation type="decimal" errorStyle="warning" operator="greaterThanOrEqual" allowBlank="1" showInputMessage="1" showErrorMessage="1" prompt="Amount of Water Applied" sqref="LV151:LV162 LZ181:LZ189" xr:uid="{37896B8A-FBDD-4C56-9A52-A4AF2C0E4130}">
      <formula1>0</formula1>
    </dataValidation>
    <dataValidation type="date" errorStyle="warning" operator="greaterThanOrEqual" allowBlank="1" showInputMessage="1" showErrorMessage="1" prompt="Date End of the irrigation" sqref="LT151:LT162 LX181:LX189" xr:uid="{E92292F7-D056-4FFC-A372-96082A049E7A}">
      <formula1>LS151</formula1>
    </dataValidation>
    <dataValidation type="date" errorStyle="warning" allowBlank="1" showInputMessage="1" showErrorMessage="1" prompt="Date Start of the irrigation" sqref="LS151:LS162 LW181:LW189" xr:uid="{0C518A3D-AA51-4078-A257-525857C9C739}">
      <formula1>1</formula1>
      <formula2>73415</formula2>
    </dataValidation>
    <dataValidation type="list" errorStyle="warning" allowBlank="1" showInputMessage="1" showErrorMessage="1" prompt="Variety, cultivar of the crop" sqref="HX151:HX162 HX181:HX18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xr:uid="{42A80C0A-ACFD-4D49-86AB-37F887847F31}">
      <formula1>CropList</formula1>
    </dataValidation>
    <dataValidation type="date" errorStyle="warning" allowBlank="1" showInputMessage="1" prompt="Planting Date Start (dd/mm/yy)" sqref="HU151:HU162 HT181:HT189"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xr:uid="{89DCAD7B-6878-46E5-A763-A4F9454CFE7A}"/>
    <dataValidation type="whole" errorStyle="warning" operator="greaterThan" allowBlank="1" showInputMessage="1" showErrorMessage="1" prompt="How many times was the land tilled during one experimental season " sqref="HQ151:HQ162 HP181:HP189"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xr:uid="{0C44F52F-2EA8-40B2-9B3F-F6B63E5E83F1}"/>
    <dataValidation type="decimal" errorStyle="warning" operator="greaterThanOrEqual" allowBlank="1" showInputMessage="1" showErrorMessage="1" prompt="Amount Applied. Captures the total amount of pH-altering material applied" sqref="LP151:LP162 LS181:LS189"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xr:uid="{38E7B35C-57B0-49B7-BB58-0D26C60A7CDC}"/>
    <dataValidation type="decimal" errorStyle="warning" operator="greaterThanOrEqual" allowBlank="1" showInputMessage="1" showErrorMessage="1" prompt="Total elemental potassium applied from organic sources (e.g., compost, manure, biosolid)." sqref="KD151:KD162 KC181:KC189"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xr:uid="{B87E790A-639E-49D8-8F72-50852871A3F7}">
      <formula1>0</formula1>
    </dataValidation>
    <dataValidation type="whole" errorStyle="warning" allowBlank="1" showInputMessage="1" prompt="The start year of the crop rotation practice" sqref="IS151:IS162 IS181:IS189" xr:uid="{F5E450A8-DF0B-4A2C-8B13-8C96FDE5B20F}">
      <formula1>1900</formula1>
      <formula2>2100</formula2>
    </dataValidation>
    <dataValidation errorStyle="warning" allowBlank="1" showInputMessage="1" showErrorMessage="1" prompt="Intercropping start season" sqref="IM151:IM162 IM181:IM189" xr:uid="{A15F823F-5145-44A8-AAA0-7B1EFED0E2CE}"/>
    <dataValidation type="whole" errorStyle="warning" allowBlank="1" showInputMessage="1" showErrorMessage="1" prompt="Intercropping start year" sqref="IL151:IL162 IL181:IL189"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xr:uid="{65C28106-D232-48DB-BAAE-2FD3D33FEFDA}">
      <formula1>OU151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xr:uid="{2495B4C8-BEF1-4AB6-B1D6-7324002729D3}">
      <formula1>1900</formula1>
      <formula2>2100</formula2>
    </dataValidation>
    <dataValidation errorStyle="warning" allowBlank="1" showInputMessage="1" showErrorMessage="1" prompt="Season as stated by the author" sqref="BC151:BC162 BC181:BC18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xr:uid="{782F4D90-BB80-41EB-982E-24EF0AAE166B}">
      <formula1>1900</formula1>
      <formula2>2100</formula2>
    </dataValidation>
    <dataValidation errorStyle="warning" allowBlank="1" showInputMessage="1" showErrorMessage="1" prompt="Complete with the specific time period name the study provide" sqref="AZ151:AZ162 AZ181:AZ189"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xr:uid="{EDDC035C-057B-4774-8D32-8FF604A986B1}"/>
    <dataValidation type="decimal" errorStyle="warning" operator="greaterThanOrEqual" allowBlank="1" showInputMessage="1" prompt="Value should be above agrof_dhb_min, or write &quot;Unspecified&quot; if unknown." sqref="JJ151:JJ162 JI181:JI189" xr:uid="{DBB6253B-89ED-496D-BE09-9F3B6E01F908}">
      <formula1>JH151</formula1>
    </dataValidation>
    <dataValidation type="decimal" errorStyle="warning" operator="greaterThanOrEqual" allowBlank="1" showInputMessage="1" prompt="Value should be above 0, or write &quot;Unspecified&quot; if unknown." sqref="JI151:JI162 JH181:JH189"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xr:uid="{C403FA5F-BF79-4FCE-9776-2D3A201B909F}">
      <formula1>JE151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xr:uid="{CE2D2C53-9CA6-4AC3-92F5-807C79CAABEA}">
      <formula1>JB151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xr:uid="{339557BB-B997-4773-8DA7-247F141F004D}"/>
    <dataValidation type="decimal" errorStyle="warning" operator="greaterThanOrEqual" allowBlank="1" showInputMessage="1" showErrorMessage="1" prompt="Starting Weight Unit. Use with Weight Gain subindicator." sqref="NW151:NW162 NO151:NO162 NR181:NR189"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xr:uid="{AFA35621-8D0B-400C-A4B7-82BD455439B9}"/>
    <dataValidation errorStyle="warning" allowBlank="1" showInputMessage="1" showErrorMessage="1" prompt="Frequency of the weeding practice" sqref="KI151:KI162 KH181:KH189"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xr:uid="{671E211F-9837-40F8-BE23-C8E897947A60}">
      <formula1>OE151</formula1>
    </dataValidation>
    <dataValidation errorStyle="warning" allowBlank="1" showInputMessage="1" showErrorMessage="1" prompt="Comparison Treatment (e.g. for LER or fertilizer use efficiency outcomes)" sqref="NZ151:NZ162 NR151:NR162 NU181:NU189" xr:uid="{A7D5D6A6-94B5-45EA-BE49-BF00B0C3159D}"/>
    <dataValidation type="whole" errorStyle="warning" operator="greaterThanOrEqual" allowBlank="1" showInputMessage="1" prompt="Number of independent sampling units on which the sub-outcome estimate is based for this specific practice. " sqref="OG151:OG162 OB181:OB189"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xr:uid="{8706516D-B899-48FC-AA1C-B7151D76A6BD}"/>
    <dataValidation type="list" errorStyle="warning" allowBlank="1" showInputMessage="1" showErrorMessage="1" prompt="Name of the organic fertilizer" sqref="JW181:JW189"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xr:uid="{7F30F0B5-50BF-470E-B430-EB512E01D3CE}">
      <formula1>INDIRECT($JL181)</formula1>
    </dataValidation>
    <dataValidation type="list" errorStyle="warning" allowBlank="1" showInputMessage="1" showErrorMessage="1" prompt="Breed of the animal" sqref="ID181:ID18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xr:uid="{145FE68F-91EC-4057-96DC-F78FBC50E5BB}">
      <formula1>0</formula1>
    </dataValidation>
    <dataValidation type="date" errorStyle="warning" allowBlank="1" showInputMessage="1" prompt="Planting Date End (dd/mm/yy)" sqref="HU181:HU189"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xr:uid="{1C81FB5E-7375-405D-9F2B-1D9ECB13DCAE}">
      <formula1>1</formula1>
    </dataValidation>
    <dataValidation type="decimal" errorStyle="warning" operator="lessThanOrEqual" allowBlank="1" showInputMessage="1" showErrorMessage="1" prompt="Size of Harvested Plot (m2)." sqref="MZ181:MZ189" xr:uid="{251383D3-D673-4217-B99C-B7E11A5671FD}">
      <formula1>AW181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xr:uid="{3671E00D-3872-4975-8C37-42A09F16DB89}">
      <formula1>0</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0C90B0A-DBBE-4147-B2EE-79946A8DC1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2026-06-03T14:46:29Z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